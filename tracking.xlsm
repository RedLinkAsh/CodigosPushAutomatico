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WB" hidePivotFieldList="1"/>
  <mc:AlternateContent xmlns:mc="http://schemas.openxmlformats.org/markup-compatibility/2006">
    <mc:Choice Requires="x15">
      <x15ac:absPath xmlns:x15ac="http://schemas.microsoft.com/office/spreadsheetml/2010/11/ac" url="https://gtpclogistica-my.sharepoint.com/personal/alef_costa_grupotpc_com/Documents/tracking/"/>
    </mc:Choice>
  </mc:AlternateContent>
  <xr:revisionPtr revIDLastSave="217610" documentId="6_{CDA56204-7C4C-4ADD-A342-4A2137D3BB6D}" xr6:coauthVersionLast="47" xr6:coauthVersionMax="47" xr10:uidLastSave="{2E79F8E9-93BE-4E5C-8252-8610B5636DDD}"/>
  <bookViews>
    <workbookView xWindow="225" yWindow="0" windowWidth="20265" windowHeight="10920" tabRatio="825" activeTab="5" xr2:uid="{00000000-000D-0000-FFFF-FFFF00000000}"/>
  </bookViews>
  <sheets>
    <sheet name="Base - Cockpit Reserva" sheetId="1" r:id="rId1"/>
    <sheet name="Base - Reservas faturadas" sheetId="8" r:id="rId2"/>
    <sheet name="Base - Volumetria em reservas" sheetId="5" r:id="rId3"/>
    <sheet name="ZT1686" sheetId="4" r:id="rId4"/>
    <sheet name="Hr criação" sheetId="12" r:id="rId5"/>
    <sheet name="Dados" sheetId="3" r:id="rId6"/>
    <sheet name="Tab_" sheetId="17" r:id="rId7"/>
    <sheet name="Produção" sheetId="18" r:id="rId8"/>
  </sheets>
  <functionGroups builtInGroupCount="19"/>
  <definedNames>
    <definedName name="_xlnm._FilterDatabase" localSheetId="1" hidden="1">'Base - Reservas faturadas'!$A$1:$G$48</definedName>
  </definedNames>
  <calcPr calcId="191028"/>
  <pivotCaches>
    <pivotCache cacheId="8" r:id="rId9"/>
    <pivotCache cacheId="17" r:id="rId10"/>
    <pivotCache cacheId="2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8" i="8" l="1"/>
  <c r="I48" i="8"/>
  <c r="J48" i="8"/>
  <c r="K48" i="8"/>
  <c r="H47" i="8"/>
  <c r="I47" i="8"/>
  <c r="J47" i="8"/>
  <c r="K47" i="8"/>
  <c r="H46" i="8"/>
  <c r="I46" i="8"/>
  <c r="J46" i="8"/>
  <c r="K46" i="8"/>
  <c r="H45" i="8"/>
  <c r="I45" i="8"/>
  <c r="J45" i="8"/>
  <c r="K45" i="8"/>
  <c r="H44" i="8"/>
  <c r="I44" i="8"/>
  <c r="J44" i="8"/>
  <c r="K44" i="8"/>
  <c r="H43" i="8"/>
  <c r="I43" i="8"/>
  <c r="J43" i="8"/>
  <c r="K43" i="8"/>
  <c r="H42" i="8"/>
  <c r="I42" i="8"/>
  <c r="J42" i="8"/>
  <c r="K42" i="8"/>
  <c r="H41" i="8"/>
  <c r="I41" i="8"/>
  <c r="J41" i="8"/>
  <c r="K41" i="8"/>
  <c r="H40" i="8"/>
  <c r="I40" i="8"/>
  <c r="J40" i="8"/>
  <c r="K40" i="8"/>
  <c r="H39" i="8"/>
  <c r="I39" i="8"/>
  <c r="J39" i="8"/>
  <c r="K39" i="8"/>
  <c r="H38" i="8"/>
  <c r="I38" i="8"/>
  <c r="J38" i="8"/>
  <c r="K38" i="8"/>
  <c r="H37" i="8"/>
  <c r="I37" i="8"/>
  <c r="J37" i="8"/>
  <c r="K37" i="8"/>
  <c r="H36" i="8"/>
  <c r="I36" i="8"/>
  <c r="J36" i="8"/>
  <c r="K36" i="8"/>
  <c r="H35" i="8"/>
  <c r="I35" i="8"/>
  <c r="J35" i="8"/>
  <c r="K35" i="8"/>
  <c r="H34" i="8"/>
  <c r="I34" i="8"/>
  <c r="J34" i="8"/>
  <c r="K34" i="8"/>
  <c r="H33" i="8"/>
  <c r="I33" i="8"/>
  <c r="J33" i="8"/>
  <c r="K33" i="8"/>
  <c r="H32" i="8"/>
  <c r="I32" i="8"/>
  <c r="J32" i="8"/>
  <c r="K32" i="8"/>
  <c r="H31" i="8"/>
  <c r="I31" i="8"/>
  <c r="J31" i="8"/>
  <c r="K31" i="8"/>
  <c r="H30" i="8"/>
  <c r="I30" i="8"/>
  <c r="J30" i="8"/>
  <c r="K30" i="8"/>
  <c r="H29" i="8"/>
  <c r="I29" i="8"/>
  <c r="J29" i="8"/>
  <c r="K29" i="8"/>
  <c r="H28" i="8"/>
  <c r="I28" i="8"/>
  <c r="J28" i="8"/>
  <c r="K28" i="8"/>
  <c r="H27" i="8"/>
  <c r="I27" i="8"/>
  <c r="J27" i="8"/>
  <c r="K27" i="8"/>
  <c r="H26" i="8"/>
  <c r="I26" i="8"/>
  <c r="J26" i="8"/>
  <c r="K26" i="8"/>
  <c r="H25" i="8"/>
  <c r="I25" i="8"/>
  <c r="J25" i="8"/>
  <c r="K25" i="8"/>
  <c r="H24" i="8"/>
  <c r="I24" i="8"/>
  <c r="J24" i="8"/>
  <c r="K24" i="8"/>
  <c r="H23" i="8"/>
  <c r="I23" i="8"/>
  <c r="J23" i="8"/>
  <c r="K23" i="8"/>
  <c r="H22" i="8"/>
  <c r="I22" i="8"/>
  <c r="J22" i="8"/>
  <c r="K22" i="8"/>
  <c r="H21" i="8"/>
  <c r="I21" i="8"/>
  <c r="J21" i="8"/>
  <c r="K21" i="8"/>
  <c r="H20" i="8"/>
  <c r="I20" i="8"/>
  <c r="J20" i="8"/>
  <c r="K20" i="8"/>
  <c r="H19" i="8"/>
  <c r="I19" i="8"/>
  <c r="J19" i="8"/>
  <c r="K19" i="8"/>
  <c r="H18" i="8"/>
  <c r="I18" i="8"/>
  <c r="J18" i="8"/>
  <c r="K18" i="8"/>
  <c r="H17" i="8"/>
  <c r="I17" i="8"/>
  <c r="J17" i="8"/>
  <c r="K17" i="8"/>
  <c r="H16" i="8"/>
  <c r="I16" i="8"/>
  <c r="J16" i="8"/>
  <c r="K16" i="8"/>
  <c r="H15" i="8"/>
  <c r="I15" i="8"/>
  <c r="J15" i="8"/>
  <c r="K15" i="8"/>
  <c r="H14" i="8"/>
  <c r="I14" i="8"/>
  <c r="J14" i="8"/>
  <c r="K14" i="8"/>
  <c r="H13" i="8"/>
  <c r="I13" i="8"/>
  <c r="J13" i="8"/>
  <c r="K13" i="8"/>
  <c r="H12" i="8"/>
  <c r="I12" i="8"/>
  <c r="J12" i="8"/>
  <c r="K12" i="8"/>
  <c r="H11" i="8"/>
  <c r="I11" i="8"/>
  <c r="J11" i="8"/>
  <c r="K11" i="8"/>
  <c r="H10" i="8"/>
  <c r="I10" i="8"/>
  <c r="J10" i="8"/>
  <c r="K10" i="8"/>
  <c r="H9" i="8"/>
  <c r="I9" i="8"/>
  <c r="J9" i="8"/>
  <c r="K9" i="8"/>
  <c r="H8" i="8"/>
  <c r="I8" i="8"/>
  <c r="J8" i="8"/>
  <c r="K8" i="8"/>
  <c r="H7" i="8"/>
  <c r="I7" i="8"/>
  <c r="J7" i="8"/>
  <c r="K7" i="8"/>
  <c r="H6" i="8"/>
  <c r="I6" i="8"/>
  <c r="J6" i="8"/>
  <c r="K6" i="8"/>
  <c r="H5" i="8"/>
  <c r="I5" i="8"/>
  <c r="J5" i="8"/>
  <c r="K5" i="8"/>
  <c r="H4" i="8"/>
  <c r="I4" i="8"/>
  <c r="J4" i="8"/>
  <c r="K4" i="8"/>
  <c r="H3" i="8"/>
  <c r="I3" i="8"/>
  <c r="J3" i="8"/>
  <c r="K3" i="8"/>
  <c r="U570" i="4"/>
  <c r="U569" i="4"/>
  <c r="U568" i="4"/>
  <c r="U567" i="4"/>
  <c r="U566" i="4"/>
  <c r="U565" i="4"/>
  <c r="U564" i="4"/>
  <c r="U563" i="4"/>
  <c r="U562" i="4"/>
  <c r="U561" i="4"/>
  <c r="U560" i="4"/>
  <c r="U559" i="4"/>
  <c r="U558" i="4"/>
  <c r="U557" i="4"/>
  <c r="U556" i="4"/>
  <c r="U555" i="4"/>
  <c r="U554" i="4"/>
  <c r="U553" i="4"/>
  <c r="U552" i="4"/>
  <c r="U551" i="4"/>
  <c r="U550" i="4"/>
  <c r="U549" i="4"/>
  <c r="U548" i="4"/>
  <c r="U547" i="4"/>
  <c r="U546" i="4"/>
  <c r="U545" i="4"/>
  <c r="U544" i="4"/>
  <c r="U543" i="4"/>
  <c r="U542" i="4"/>
  <c r="U541" i="4"/>
  <c r="U540" i="4"/>
  <c r="U539" i="4"/>
  <c r="U538" i="4"/>
  <c r="U537" i="4"/>
  <c r="U536" i="4"/>
  <c r="U535" i="4"/>
  <c r="U534" i="4"/>
  <c r="U533" i="4"/>
  <c r="U532" i="4"/>
  <c r="U531" i="4"/>
  <c r="U530" i="4"/>
  <c r="U529" i="4"/>
  <c r="U528" i="4"/>
  <c r="U527" i="4"/>
  <c r="U526" i="4"/>
  <c r="U525" i="4"/>
  <c r="U524" i="4"/>
  <c r="U523" i="4"/>
  <c r="U522" i="4"/>
  <c r="U521" i="4"/>
  <c r="U520" i="4"/>
  <c r="U519" i="4"/>
  <c r="U518" i="4"/>
  <c r="U517" i="4"/>
  <c r="U516" i="4"/>
  <c r="U515" i="4"/>
  <c r="U514" i="4"/>
  <c r="U513" i="4"/>
  <c r="U512" i="4"/>
  <c r="U511" i="4"/>
  <c r="U510" i="4"/>
  <c r="U509" i="4"/>
  <c r="U508" i="4"/>
  <c r="U507" i="4"/>
  <c r="U506" i="4"/>
  <c r="U505" i="4"/>
  <c r="U504" i="4"/>
  <c r="U503" i="4"/>
  <c r="U502" i="4"/>
  <c r="U501" i="4"/>
  <c r="U500" i="4"/>
  <c r="U499" i="4"/>
  <c r="U498" i="4"/>
  <c r="U497" i="4"/>
  <c r="U496" i="4"/>
  <c r="U495" i="4"/>
  <c r="U494" i="4"/>
  <c r="U493" i="4"/>
  <c r="U492" i="4"/>
  <c r="U491" i="4"/>
  <c r="U490" i="4"/>
  <c r="U489" i="4"/>
  <c r="U488" i="4"/>
  <c r="U487" i="4"/>
  <c r="U486" i="4"/>
  <c r="U485" i="4"/>
  <c r="U484" i="4"/>
  <c r="U483" i="4"/>
  <c r="U482" i="4"/>
  <c r="U481" i="4"/>
  <c r="U480" i="4"/>
  <c r="U479" i="4"/>
  <c r="U478" i="4"/>
  <c r="U477" i="4"/>
  <c r="U476" i="4"/>
  <c r="U475" i="4"/>
  <c r="U474" i="4"/>
  <c r="U473" i="4"/>
  <c r="U472" i="4"/>
  <c r="U471" i="4"/>
  <c r="U470" i="4"/>
  <c r="U469" i="4"/>
  <c r="U468" i="4"/>
  <c r="U467" i="4"/>
  <c r="U466" i="4"/>
  <c r="U465" i="4"/>
  <c r="U464" i="4"/>
  <c r="U463" i="4"/>
  <c r="U462" i="4"/>
  <c r="U461" i="4"/>
  <c r="U460" i="4"/>
  <c r="U459" i="4"/>
  <c r="U458" i="4"/>
  <c r="U457" i="4"/>
  <c r="U456" i="4"/>
  <c r="U455" i="4"/>
  <c r="U454" i="4"/>
  <c r="U453" i="4"/>
  <c r="U452" i="4"/>
  <c r="U451" i="4"/>
  <c r="U450" i="4"/>
  <c r="U449" i="4"/>
  <c r="U448" i="4"/>
  <c r="U447" i="4"/>
  <c r="U446" i="4"/>
  <c r="U445" i="4"/>
  <c r="U444" i="4"/>
  <c r="U443" i="4"/>
  <c r="U442" i="4"/>
  <c r="U441" i="4"/>
  <c r="U440" i="4"/>
  <c r="U439" i="4"/>
  <c r="U438" i="4"/>
  <c r="U437" i="4"/>
  <c r="U436" i="4"/>
  <c r="U435" i="4"/>
  <c r="U434" i="4"/>
  <c r="U433" i="4"/>
  <c r="U432" i="4"/>
  <c r="U431" i="4"/>
  <c r="U430" i="4"/>
  <c r="U429" i="4"/>
  <c r="U428" i="4"/>
  <c r="U427" i="4"/>
  <c r="U426" i="4"/>
  <c r="U425" i="4"/>
  <c r="U424" i="4"/>
  <c r="U423" i="4"/>
  <c r="U422" i="4"/>
  <c r="U421" i="4"/>
  <c r="U420" i="4"/>
  <c r="U419" i="4"/>
  <c r="U418" i="4"/>
  <c r="U417" i="4"/>
  <c r="U416" i="4"/>
  <c r="U415" i="4"/>
  <c r="U414" i="4"/>
  <c r="U413" i="4"/>
  <c r="U412" i="4"/>
  <c r="U411" i="4"/>
  <c r="U410" i="4"/>
  <c r="U409" i="4"/>
  <c r="U408" i="4"/>
  <c r="U407" i="4"/>
  <c r="U406" i="4"/>
  <c r="U405" i="4"/>
  <c r="U404" i="4"/>
  <c r="U403" i="4"/>
  <c r="U402" i="4"/>
  <c r="U401" i="4"/>
  <c r="U400" i="4"/>
  <c r="U399" i="4"/>
  <c r="U398" i="4"/>
  <c r="U397" i="4"/>
  <c r="U396" i="4"/>
  <c r="U395" i="4"/>
  <c r="U394" i="4"/>
  <c r="U393" i="4"/>
  <c r="U392" i="4"/>
  <c r="U391" i="4"/>
  <c r="U390" i="4"/>
  <c r="U389" i="4"/>
  <c r="U388" i="4"/>
  <c r="U387" i="4"/>
  <c r="U386" i="4"/>
  <c r="U385" i="4"/>
  <c r="U384" i="4"/>
  <c r="U383" i="4"/>
  <c r="U382" i="4"/>
  <c r="U381" i="4"/>
  <c r="U380" i="4"/>
  <c r="U379" i="4"/>
  <c r="U378" i="4"/>
  <c r="U377" i="4"/>
  <c r="U376" i="4"/>
  <c r="U375" i="4"/>
  <c r="U374" i="4"/>
  <c r="U373" i="4"/>
  <c r="U372" i="4"/>
  <c r="U371" i="4"/>
  <c r="U370" i="4"/>
  <c r="U369" i="4"/>
  <c r="U368" i="4"/>
  <c r="U367" i="4"/>
  <c r="U366" i="4"/>
  <c r="U365" i="4"/>
  <c r="U364" i="4"/>
  <c r="U363" i="4"/>
  <c r="U362" i="4"/>
  <c r="U361" i="4"/>
  <c r="U360" i="4"/>
  <c r="U359" i="4"/>
  <c r="U358" i="4"/>
  <c r="U357" i="4"/>
  <c r="U356" i="4"/>
  <c r="U355" i="4"/>
  <c r="U354" i="4"/>
  <c r="U353" i="4"/>
  <c r="U352" i="4"/>
  <c r="U351" i="4"/>
  <c r="U350" i="4"/>
  <c r="U349" i="4"/>
  <c r="U348" i="4"/>
  <c r="U347" i="4"/>
  <c r="U346" i="4"/>
  <c r="U345" i="4"/>
  <c r="U344" i="4"/>
  <c r="U343" i="4"/>
  <c r="U342" i="4"/>
  <c r="U341" i="4"/>
  <c r="U340" i="4"/>
  <c r="U339" i="4"/>
  <c r="U338" i="4"/>
  <c r="U337" i="4"/>
  <c r="U336" i="4"/>
  <c r="U335" i="4"/>
  <c r="U334" i="4"/>
  <c r="U333" i="4"/>
  <c r="U332" i="4"/>
  <c r="U331" i="4"/>
  <c r="U330" i="4"/>
  <c r="U329" i="4"/>
  <c r="U328" i="4"/>
  <c r="U327" i="4"/>
  <c r="U326" i="4"/>
  <c r="U325" i="4"/>
  <c r="U324" i="4"/>
  <c r="U323" i="4"/>
  <c r="U322" i="4"/>
  <c r="U321" i="4"/>
  <c r="U320" i="4"/>
  <c r="U319" i="4"/>
  <c r="U318" i="4"/>
  <c r="U317" i="4"/>
  <c r="U316" i="4"/>
  <c r="U315" i="4"/>
  <c r="U314" i="4"/>
  <c r="U313" i="4"/>
  <c r="U312" i="4"/>
  <c r="U311" i="4"/>
  <c r="U310" i="4"/>
  <c r="U309" i="4"/>
  <c r="U308" i="4"/>
  <c r="U307" i="4"/>
  <c r="U306" i="4"/>
  <c r="U305" i="4"/>
  <c r="U304" i="4"/>
  <c r="U303" i="4"/>
  <c r="U302" i="4"/>
  <c r="U301" i="4"/>
  <c r="U300" i="4"/>
  <c r="U299" i="4"/>
  <c r="U298" i="4"/>
  <c r="U297" i="4"/>
  <c r="U296" i="4"/>
  <c r="U295" i="4"/>
  <c r="U294" i="4"/>
  <c r="U293" i="4"/>
  <c r="U292" i="4"/>
  <c r="U291" i="4"/>
  <c r="U290" i="4"/>
  <c r="U289" i="4"/>
  <c r="U288" i="4"/>
  <c r="U287" i="4"/>
  <c r="U286" i="4"/>
  <c r="U285" i="4"/>
  <c r="U284" i="4"/>
  <c r="U283" i="4"/>
  <c r="U282" i="4"/>
  <c r="U281" i="4"/>
  <c r="U280" i="4"/>
  <c r="U279" i="4"/>
  <c r="U278" i="4"/>
  <c r="U277" i="4"/>
  <c r="U276" i="4"/>
  <c r="U275" i="4"/>
  <c r="U274" i="4"/>
  <c r="U273" i="4"/>
  <c r="U272" i="4"/>
  <c r="U271" i="4"/>
  <c r="U270" i="4"/>
  <c r="U269" i="4"/>
  <c r="U268" i="4"/>
  <c r="U267" i="4"/>
  <c r="U266" i="4"/>
  <c r="U265" i="4"/>
  <c r="U264" i="4"/>
  <c r="U263" i="4"/>
  <c r="U262" i="4"/>
  <c r="U261" i="4"/>
  <c r="U260" i="4"/>
  <c r="U259" i="4"/>
  <c r="U258" i="4"/>
  <c r="U257" i="4"/>
  <c r="U256" i="4"/>
  <c r="U255" i="4"/>
  <c r="U254" i="4"/>
  <c r="U253" i="4"/>
  <c r="U252" i="4"/>
  <c r="U251" i="4"/>
  <c r="U250" i="4"/>
  <c r="U249" i="4"/>
  <c r="U248" i="4"/>
  <c r="U247" i="4"/>
  <c r="U246" i="4"/>
  <c r="U245" i="4"/>
  <c r="U244" i="4"/>
  <c r="U243" i="4"/>
  <c r="U242" i="4"/>
  <c r="U241" i="4"/>
  <c r="U240" i="4"/>
  <c r="U239" i="4"/>
  <c r="U238" i="4"/>
  <c r="U237" i="4"/>
  <c r="U236" i="4"/>
  <c r="U235" i="4"/>
  <c r="U234" i="4"/>
  <c r="U233" i="4"/>
  <c r="U232" i="4"/>
  <c r="U231" i="4"/>
  <c r="U230" i="4"/>
  <c r="U229" i="4"/>
  <c r="U228" i="4"/>
  <c r="U227" i="4"/>
  <c r="U226" i="4"/>
  <c r="U225" i="4"/>
  <c r="U224" i="4"/>
  <c r="U223" i="4"/>
  <c r="U222" i="4"/>
  <c r="U221" i="4"/>
  <c r="U220" i="4"/>
  <c r="U219" i="4"/>
  <c r="U218" i="4"/>
  <c r="U217" i="4"/>
  <c r="U216" i="4"/>
  <c r="U215" i="4"/>
  <c r="U214" i="4"/>
  <c r="U213" i="4"/>
  <c r="U212" i="4"/>
  <c r="U211" i="4"/>
  <c r="U210" i="4"/>
  <c r="U209" i="4"/>
  <c r="U208" i="4"/>
  <c r="U207" i="4"/>
  <c r="U206" i="4"/>
  <c r="U205" i="4"/>
  <c r="U204" i="4"/>
  <c r="U203" i="4"/>
  <c r="U202" i="4"/>
  <c r="U201" i="4"/>
  <c r="U200" i="4"/>
  <c r="U199" i="4"/>
  <c r="U198" i="4"/>
  <c r="U197" i="4"/>
  <c r="U196" i="4"/>
  <c r="U195" i="4"/>
  <c r="U194" i="4"/>
  <c r="U193" i="4"/>
  <c r="U192" i="4"/>
  <c r="U191" i="4"/>
  <c r="U190" i="4"/>
  <c r="U189" i="4"/>
  <c r="U188" i="4"/>
  <c r="U187" i="4"/>
  <c r="U186" i="4"/>
  <c r="U185" i="4"/>
  <c r="U184" i="4"/>
  <c r="U183" i="4"/>
  <c r="U182" i="4"/>
  <c r="U181" i="4"/>
  <c r="U180" i="4"/>
  <c r="U179" i="4"/>
  <c r="U178" i="4"/>
  <c r="U177" i="4"/>
  <c r="U176" i="4"/>
  <c r="U175" i="4"/>
  <c r="U174" i="4"/>
  <c r="U173" i="4"/>
  <c r="U172" i="4"/>
  <c r="U171" i="4"/>
  <c r="U170" i="4"/>
  <c r="U169" i="4"/>
  <c r="U168" i="4"/>
  <c r="U167" i="4"/>
  <c r="U166" i="4"/>
  <c r="U165" i="4"/>
  <c r="U164" i="4"/>
  <c r="U163" i="4"/>
  <c r="U162" i="4"/>
  <c r="U161" i="4"/>
  <c r="U160" i="4"/>
  <c r="U159" i="4"/>
  <c r="U158" i="4"/>
  <c r="U157" i="4"/>
  <c r="U156" i="4"/>
  <c r="U155" i="4"/>
  <c r="U154" i="4"/>
  <c r="U153" i="4"/>
  <c r="U152" i="4"/>
  <c r="U151" i="4"/>
  <c r="U150" i="4"/>
  <c r="U149" i="4"/>
  <c r="U148" i="4"/>
  <c r="U147" i="4"/>
  <c r="U146" i="4"/>
  <c r="U145" i="4"/>
  <c r="U144" i="4"/>
  <c r="U143" i="4"/>
  <c r="U142" i="4"/>
  <c r="U141" i="4"/>
  <c r="U140" i="4"/>
  <c r="U139" i="4"/>
  <c r="U138" i="4"/>
  <c r="U137" i="4"/>
  <c r="U136" i="4"/>
  <c r="U135" i="4"/>
  <c r="U134" i="4"/>
  <c r="U133" i="4"/>
  <c r="U132" i="4"/>
  <c r="U131" i="4"/>
  <c r="U130" i="4"/>
  <c r="U129" i="4"/>
  <c r="U128" i="4"/>
  <c r="U127" i="4"/>
  <c r="U126" i="4"/>
  <c r="U125" i="4"/>
  <c r="U124" i="4"/>
  <c r="U123" i="4"/>
  <c r="U122" i="4"/>
  <c r="U121" i="4"/>
  <c r="U120" i="4"/>
  <c r="U119" i="4"/>
  <c r="U118" i="4"/>
  <c r="U117" i="4"/>
  <c r="U116" i="4"/>
  <c r="U115" i="4"/>
  <c r="U114" i="4"/>
  <c r="U113" i="4"/>
  <c r="U112" i="4"/>
  <c r="U111" i="4"/>
  <c r="U110" i="4"/>
  <c r="U109" i="4"/>
  <c r="U108" i="4"/>
  <c r="U107" i="4"/>
  <c r="U10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U4" i="4"/>
  <c r="U3" i="4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F3" i="1"/>
  <c r="F4" i="1"/>
  <c r="F5" i="1"/>
  <c r="F6" i="1"/>
  <c r="F7" i="1"/>
  <c r="F8" i="1"/>
  <c r="F9" i="1"/>
  <c r="F10" i="1"/>
  <c r="F11" i="1"/>
  <c r="F12" i="1"/>
  <c r="F13" i="1"/>
  <c r="F14" i="1"/>
  <c r="G14" i="1" s="1"/>
  <c r="I14" i="1" s="1"/>
  <c r="N14" i="1" s="1"/>
  <c r="M56" i="5" s="1"/>
  <c r="F15" i="1"/>
  <c r="F16" i="1"/>
  <c r="F17" i="1"/>
  <c r="F18" i="1"/>
  <c r="F19" i="1"/>
  <c r="F20" i="1"/>
  <c r="F21" i="1"/>
  <c r="F22" i="1"/>
  <c r="F23" i="1"/>
  <c r="F24" i="1"/>
  <c r="F25" i="1"/>
  <c r="F26" i="1"/>
  <c r="G26" i="1" s="1"/>
  <c r="I26" i="1" s="1"/>
  <c r="N26" i="1" s="1"/>
  <c r="M70" i="5" s="1"/>
  <c r="F27" i="1"/>
  <c r="F28" i="1"/>
  <c r="F29" i="1"/>
  <c r="F30" i="1"/>
  <c r="F31" i="1"/>
  <c r="F32" i="1"/>
  <c r="F33" i="1"/>
  <c r="F34" i="1"/>
  <c r="F35" i="1"/>
  <c r="F36" i="1"/>
  <c r="F37" i="1"/>
  <c r="F38" i="1"/>
  <c r="G38" i="1" s="1"/>
  <c r="I38" i="1" s="1"/>
  <c r="N38" i="1" s="1"/>
  <c r="M112" i="5" s="1"/>
  <c r="F39" i="1"/>
  <c r="F40" i="1"/>
  <c r="F41" i="1"/>
  <c r="F42" i="1"/>
  <c r="F43" i="1"/>
  <c r="F44" i="1"/>
  <c r="F45" i="1"/>
  <c r="F46" i="1"/>
  <c r="F47" i="1"/>
  <c r="F48" i="1"/>
  <c r="F49" i="1"/>
  <c r="F50" i="1"/>
  <c r="G50" i="1" s="1"/>
  <c r="I50" i="1" s="1"/>
  <c r="N50" i="1" s="1"/>
  <c r="M124" i="5" s="1"/>
  <c r="F51" i="1"/>
  <c r="F52" i="1"/>
  <c r="F53" i="1"/>
  <c r="F54" i="1"/>
  <c r="F55" i="1"/>
  <c r="F56" i="1"/>
  <c r="F57" i="1"/>
  <c r="F58" i="1"/>
  <c r="F59" i="1"/>
  <c r="F60" i="1"/>
  <c r="F61" i="1"/>
  <c r="F62" i="1"/>
  <c r="G62" i="1" s="1"/>
  <c r="I62" i="1" s="1"/>
  <c r="N62" i="1" s="1"/>
  <c r="M153" i="5" s="1"/>
  <c r="F63" i="1"/>
  <c r="F64" i="1"/>
  <c r="F65" i="1"/>
  <c r="F66" i="1"/>
  <c r="F67" i="1"/>
  <c r="F68" i="1"/>
  <c r="F69" i="1"/>
  <c r="F70" i="1"/>
  <c r="F71" i="1"/>
  <c r="F72" i="1"/>
  <c r="F73" i="1"/>
  <c r="F74" i="1"/>
  <c r="G74" i="1" s="1"/>
  <c r="I74" i="1" s="1"/>
  <c r="N74" i="1" s="1"/>
  <c r="M166" i="5" s="1"/>
  <c r="F75" i="1"/>
  <c r="F76" i="1"/>
  <c r="F77" i="1"/>
  <c r="F78" i="1"/>
  <c r="F79" i="1"/>
  <c r="F80" i="1"/>
  <c r="F81" i="1"/>
  <c r="F82" i="1"/>
  <c r="F83" i="1"/>
  <c r="F84" i="1"/>
  <c r="F85" i="1"/>
  <c r="F86" i="1"/>
  <c r="G86" i="1" s="1"/>
  <c r="I86" i="1" s="1"/>
  <c r="N86" i="1" s="1"/>
  <c r="M178" i="5" s="1"/>
  <c r="F87" i="1"/>
  <c r="F88" i="1"/>
  <c r="F89" i="1"/>
  <c r="F90" i="1"/>
  <c r="F91" i="1"/>
  <c r="F92" i="1"/>
  <c r="F93" i="1"/>
  <c r="F94" i="1"/>
  <c r="F95" i="1"/>
  <c r="F96" i="1"/>
  <c r="F97" i="1"/>
  <c r="F98" i="1"/>
  <c r="G98" i="1" s="1"/>
  <c r="I98" i="1" s="1"/>
  <c r="N98" i="1" s="1"/>
  <c r="M191" i="5" s="1"/>
  <c r="F99" i="1"/>
  <c r="F100" i="1"/>
  <c r="F101" i="1"/>
  <c r="F102" i="1"/>
  <c r="F103" i="1"/>
  <c r="F104" i="1"/>
  <c r="F105" i="1"/>
  <c r="F106" i="1"/>
  <c r="G106" i="1" s="1"/>
  <c r="I106" i="1" s="1"/>
  <c r="N106" i="1" s="1"/>
  <c r="M199" i="5" s="1"/>
  <c r="F107" i="1"/>
  <c r="F108" i="1"/>
  <c r="F109" i="1"/>
  <c r="F110" i="1"/>
  <c r="G110" i="1" s="1"/>
  <c r="I110" i="1" s="1"/>
  <c r="N110" i="1" s="1"/>
  <c r="M203" i="5" s="1"/>
  <c r="F111" i="1"/>
  <c r="F112" i="1"/>
  <c r="F113" i="1"/>
  <c r="F114" i="1"/>
  <c r="F115" i="1"/>
  <c r="F116" i="1"/>
  <c r="F117" i="1"/>
  <c r="F118" i="1"/>
  <c r="G118" i="1" s="1"/>
  <c r="I118" i="1" s="1"/>
  <c r="N118" i="1" s="1"/>
  <c r="M212" i="5" s="1"/>
  <c r="F119" i="1"/>
  <c r="F120" i="1"/>
  <c r="F121" i="1"/>
  <c r="F122" i="1"/>
  <c r="G122" i="1" s="1"/>
  <c r="I122" i="1" s="1"/>
  <c r="N122" i="1" s="1"/>
  <c r="M218" i="5" s="1"/>
  <c r="F123" i="1"/>
  <c r="F124" i="1"/>
  <c r="F125" i="1"/>
  <c r="F126" i="1"/>
  <c r="F127" i="1"/>
  <c r="F128" i="1"/>
  <c r="F129" i="1"/>
  <c r="F130" i="1"/>
  <c r="G130" i="1" s="1"/>
  <c r="I130" i="1" s="1"/>
  <c r="N130" i="1" s="1"/>
  <c r="M226" i="5" s="1"/>
  <c r="F131" i="1"/>
  <c r="F132" i="1"/>
  <c r="F133" i="1"/>
  <c r="F134" i="1"/>
  <c r="G134" i="1" s="1"/>
  <c r="I134" i="1" s="1"/>
  <c r="N134" i="1" s="1"/>
  <c r="M231" i="5" s="1"/>
  <c r="F135" i="1"/>
  <c r="F136" i="1"/>
  <c r="F137" i="1"/>
  <c r="F138" i="1"/>
  <c r="F139" i="1"/>
  <c r="F140" i="1"/>
  <c r="F141" i="1"/>
  <c r="F142" i="1"/>
  <c r="G142" i="1" s="1"/>
  <c r="I142" i="1" s="1"/>
  <c r="N142" i="1" s="1"/>
  <c r="M242" i="5" s="1"/>
  <c r="F143" i="1"/>
  <c r="F144" i="1"/>
  <c r="F145" i="1"/>
  <c r="F146" i="1"/>
  <c r="F147" i="1"/>
  <c r="F148" i="1"/>
  <c r="F149" i="1"/>
  <c r="F150" i="1"/>
  <c r="F151" i="1"/>
  <c r="F152" i="1"/>
  <c r="F153" i="1"/>
  <c r="F154" i="1"/>
  <c r="G154" i="1" s="1"/>
  <c r="I154" i="1" s="1"/>
  <c r="N154" i="1" s="1"/>
  <c r="F155" i="1"/>
  <c r="F156" i="1"/>
  <c r="F157" i="1"/>
  <c r="F158" i="1"/>
  <c r="G158" i="1" s="1"/>
  <c r="I158" i="1" s="1"/>
  <c r="N158" i="1" s="1"/>
  <c r="M258" i="5" s="1"/>
  <c r="F159" i="1"/>
  <c r="F160" i="1"/>
  <c r="F161" i="1"/>
  <c r="F162" i="1"/>
  <c r="F163" i="1"/>
  <c r="F164" i="1"/>
  <c r="F165" i="1"/>
  <c r="F166" i="1"/>
  <c r="G166" i="1" s="1"/>
  <c r="I166" i="1" s="1"/>
  <c r="N166" i="1" s="1"/>
  <c r="M266" i="5" s="1"/>
  <c r="F167" i="1"/>
  <c r="F168" i="1"/>
  <c r="F169" i="1"/>
  <c r="F170" i="1"/>
  <c r="G170" i="1" s="1"/>
  <c r="I170" i="1" s="1"/>
  <c r="N170" i="1" s="1"/>
  <c r="M270" i="5" s="1"/>
  <c r="F171" i="1"/>
  <c r="F172" i="1"/>
  <c r="F173" i="1"/>
  <c r="F174" i="1"/>
  <c r="F175" i="1"/>
  <c r="F176" i="1"/>
  <c r="F177" i="1"/>
  <c r="F178" i="1"/>
  <c r="G178" i="1" s="1"/>
  <c r="I178" i="1" s="1"/>
  <c r="N178" i="1" s="1"/>
  <c r="M278" i="5" s="1"/>
  <c r="F179" i="1"/>
  <c r="F180" i="1"/>
  <c r="F181" i="1"/>
  <c r="F182" i="1"/>
  <c r="G182" i="1" s="1"/>
  <c r="I182" i="1" s="1"/>
  <c r="N182" i="1" s="1"/>
  <c r="M282" i="5" s="1"/>
  <c r="F183" i="1"/>
  <c r="F184" i="1"/>
  <c r="F185" i="1"/>
  <c r="F186" i="1"/>
  <c r="F187" i="1"/>
  <c r="F188" i="1"/>
  <c r="F189" i="1"/>
  <c r="F190" i="1"/>
  <c r="G190" i="1" s="1"/>
  <c r="I190" i="1" s="1"/>
  <c r="N190" i="1" s="1"/>
  <c r="M290" i="5" s="1"/>
  <c r="F191" i="1"/>
  <c r="F192" i="1"/>
  <c r="F193" i="1"/>
  <c r="F194" i="1"/>
  <c r="F195" i="1"/>
  <c r="F196" i="1"/>
  <c r="F197" i="1"/>
  <c r="F198" i="1"/>
  <c r="F199" i="1"/>
  <c r="F200" i="1"/>
  <c r="F201" i="1"/>
  <c r="F202" i="1"/>
  <c r="G202" i="1" s="1"/>
  <c r="I202" i="1" s="1"/>
  <c r="N202" i="1" s="1"/>
  <c r="M304" i="5" s="1"/>
  <c r="F203" i="1"/>
  <c r="F204" i="1"/>
  <c r="F205" i="1"/>
  <c r="F206" i="1"/>
  <c r="G206" i="1" s="1"/>
  <c r="I206" i="1" s="1"/>
  <c r="N206" i="1" s="1"/>
  <c r="M309" i="5" s="1"/>
  <c r="F207" i="1"/>
  <c r="F208" i="1"/>
  <c r="F209" i="1"/>
  <c r="F210" i="1"/>
  <c r="F211" i="1"/>
  <c r="F212" i="1"/>
  <c r="F213" i="1"/>
  <c r="F214" i="1"/>
  <c r="G214" i="1" s="1"/>
  <c r="I214" i="1" s="1"/>
  <c r="N214" i="1" s="1"/>
  <c r="M317" i="5" s="1"/>
  <c r="F215" i="1"/>
  <c r="F216" i="1"/>
  <c r="F217" i="1"/>
  <c r="F218" i="1"/>
  <c r="G218" i="1" s="1"/>
  <c r="I218" i="1" s="1"/>
  <c r="N218" i="1" s="1"/>
  <c r="M321" i="5" s="1"/>
  <c r="F219" i="1"/>
  <c r="F220" i="1"/>
  <c r="F221" i="1"/>
  <c r="F222" i="1"/>
  <c r="F223" i="1"/>
  <c r="F224" i="1"/>
  <c r="F225" i="1"/>
  <c r="F226" i="1"/>
  <c r="G226" i="1" s="1"/>
  <c r="I226" i="1" s="1"/>
  <c r="N226" i="1" s="1"/>
  <c r="M329" i="5" s="1"/>
  <c r="F227" i="1"/>
  <c r="F228" i="1"/>
  <c r="F229" i="1"/>
  <c r="F230" i="1"/>
  <c r="G230" i="1" s="1"/>
  <c r="I230" i="1" s="1"/>
  <c r="N230" i="1" s="1"/>
  <c r="M333" i="5" s="1"/>
  <c r="F231" i="1"/>
  <c r="F232" i="1"/>
  <c r="F233" i="1"/>
  <c r="F234" i="1"/>
  <c r="F235" i="1"/>
  <c r="F236" i="1"/>
  <c r="F237" i="1"/>
  <c r="F238" i="1"/>
  <c r="G238" i="1" s="1"/>
  <c r="I238" i="1" s="1"/>
  <c r="N238" i="1" s="1"/>
  <c r="M345" i="5" s="1"/>
  <c r="F239" i="1"/>
  <c r="F240" i="1"/>
  <c r="F241" i="1"/>
  <c r="F242" i="1"/>
  <c r="G242" i="1" s="1"/>
  <c r="I242" i="1" s="1"/>
  <c r="N242" i="1" s="1"/>
  <c r="F243" i="1"/>
  <c r="F244" i="1"/>
  <c r="F245" i="1"/>
  <c r="F246" i="1"/>
  <c r="F247" i="1"/>
  <c r="F248" i="1"/>
  <c r="F249" i="1"/>
  <c r="F250" i="1"/>
  <c r="G250" i="1" s="1"/>
  <c r="I250" i="1" s="1"/>
  <c r="N250" i="1" s="1"/>
  <c r="F251" i="1"/>
  <c r="F252" i="1"/>
  <c r="F253" i="1"/>
  <c r="F254" i="1"/>
  <c r="G254" i="1" s="1"/>
  <c r="I254" i="1" s="1"/>
  <c r="N254" i="1" s="1"/>
  <c r="M450" i="5" s="1"/>
  <c r="F255" i="1"/>
  <c r="F256" i="1"/>
  <c r="F257" i="1"/>
  <c r="F258" i="1"/>
  <c r="F259" i="1"/>
  <c r="F260" i="1"/>
  <c r="F261" i="1"/>
  <c r="F262" i="1"/>
  <c r="G262" i="1" s="1"/>
  <c r="I262" i="1" s="1"/>
  <c r="N262" i="1" s="1"/>
  <c r="F263" i="1"/>
  <c r="F264" i="1"/>
  <c r="F265" i="1"/>
  <c r="F266" i="1"/>
  <c r="G266" i="1" s="1"/>
  <c r="I266" i="1" s="1"/>
  <c r="N266" i="1" s="1"/>
  <c r="M512" i="5" s="1"/>
  <c r="F267" i="1"/>
  <c r="F268" i="1"/>
  <c r="F269" i="1"/>
  <c r="F270" i="1"/>
  <c r="F271" i="1"/>
  <c r="F272" i="1"/>
  <c r="F273" i="1"/>
  <c r="F274" i="1"/>
  <c r="G274" i="1" s="1"/>
  <c r="I274" i="1" s="1"/>
  <c r="N274" i="1" s="1"/>
  <c r="F275" i="1"/>
  <c r="F276" i="1"/>
  <c r="F277" i="1"/>
  <c r="F278" i="1"/>
  <c r="G278" i="1" s="1"/>
  <c r="I278" i="1" s="1"/>
  <c r="N278" i="1" s="1"/>
  <c r="F279" i="1"/>
  <c r="F280" i="1"/>
  <c r="F281" i="1"/>
  <c r="F282" i="1"/>
  <c r="F283" i="1"/>
  <c r="F284" i="1"/>
  <c r="F285" i="1"/>
  <c r="F286" i="1"/>
  <c r="G286" i="1" s="1"/>
  <c r="I286" i="1" s="1"/>
  <c r="N286" i="1" s="1"/>
  <c r="F287" i="1"/>
  <c r="F288" i="1"/>
  <c r="F289" i="1"/>
  <c r="F290" i="1"/>
  <c r="F291" i="1"/>
  <c r="F292" i="1"/>
  <c r="F293" i="1"/>
  <c r="F294" i="1"/>
  <c r="F295" i="1"/>
  <c r="F296" i="1"/>
  <c r="F297" i="1"/>
  <c r="F298" i="1"/>
  <c r="G298" i="1" s="1"/>
  <c r="I298" i="1" s="1"/>
  <c r="N298" i="1" s="1"/>
  <c r="M693" i="5" s="1"/>
  <c r="F299" i="1"/>
  <c r="F300" i="1"/>
  <c r="F301" i="1"/>
  <c r="F302" i="1"/>
  <c r="G302" i="1" s="1"/>
  <c r="I302" i="1" s="1"/>
  <c r="N302" i="1" s="1"/>
  <c r="F303" i="1"/>
  <c r="F304" i="1"/>
  <c r="F305" i="1"/>
  <c r="F306" i="1"/>
  <c r="F307" i="1"/>
  <c r="F308" i="1"/>
  <c r="F309" i="1"/>
  <c r="F310" i="1"/>
  <c r="G310" i="1" s="1"/>
  <c r="I310" i="1" s="1"/>
  <c r="N310" i="1" s="1"/>
  <c r="F311" i="1"/>
  <c r="F312" i="1"/>
  <c r="F313" i="1"/>
  <c r="F314" i="1"/>
  <c r="G314" i="1" s="1"/>
  <c r="I314" i="1" s="1"/>
  <c r="N314" i="1" s="1"/>
  <c r="F315" i="1"/>
  <c r="F316" i="1"/>
  <c r="F317" i="1"/>
  <c r="F318" i="1"/>
  <c r="F319" i="1"/>
  <c r="F320" i="1"/>
  <c r="F321" i="1"/>
  <c r="F322" i="1"/>
  <c r="G322" i="1" s="1"/>
  <c r="I322" i="1" s="1"/>
  <c r="N322" i="1" s="1"/>
  <c r="M790" i="5" s="1"/>
  <c r="F323" i="1"/>
  <c r="F324" i="1"/>
  <c r="F325" i="1"/>
  <c r="F326" i="1"/>
  <c r="G326" i="1" s="1"/>
  <c r="I326" i="1" s="1"/>
  <c r="N326" i="1" s="1"/>
  <c r="F327" i="1"/>
  <c r="F328" i="1"/>
  <c r="F329" i="1"/>
  <c r="F330" i="1"/>
  <c r="F331" i="1"/>
  <c r="F332" i="1"/>
  <c r="F333" i="1"/>
  <c r="F334" i="1"/>
  <c r="G334" i="1" s="1"/>
  <c r="I334" i="1" s="1"/>
  <c r="N334" i="1" s="1"/>
  <c r="F335" i="1"/>
  <c r="F336" i="1"/>
  <c r="F337" i="1"/>
  <c r="F338" i="1"/>
  <c r="F339" i="1"/>
  <c r="F340" i="1"/>
  <c r="F341" i="1"/>
  <c r="F342" i="1"/>
  <c r="F343" i="1"/>
  <c r="F344" i="1"/>
  <c r="F345" i="1"/>
  <c r="F346" i="1"/>
  <c r="G346" i="1" s="1"/>
  <c r="I346" i="1" s="1"/>
  <c r="N346" i="1" s="1"/>
  <c r="F347" i="1"/>
  <c r="F348" i="1"/>
  <c r="F349" i="1"/>
  <c r="F350" i="1"/>
  <c r="G350" i="1" s="1"/>
  <c r="I350" i="1" s="1"/>
  <c r="N350" i="1" s="1"/>
  <c r="F351" i="1"/>
  <c r="F352" i="1"/>
  <c r="F353" i="1"/>
  <c r="F354" i="1"/>
  <c r="F355" i="1"/>
  <c r="F356" i="1"/>
  <c r="F357" i="1"/>
  <c r="F358" i="1"/>
  <c r="G358" i="1" s="1"/>
  <c r="I358" i="1" s="1"/>
  <c r="N358" i="1" s="1"/>
  <c r="F359" i="1"/>
  <c r="F360" i="1"/>
  <c r="F361" i="1"/>
  <c r="F362" i="1"/>
  <c r="G362" i="1" s="1"/>
  <c r="I362" i="1" s="1"/>
  <c r="N362" i="1" s="1"/>
  <c r="F363" i="1"/>
  <c r="F364" i="1"/>
  <c r="F365" i="1"/>
  <c r="F366" i="1"/>
  <c r="F367" i="1"/>
  <c r="F368" i="1"/>
  <c r="F369" i="1"/>
  <c r="F370" i="1"/>
  <c r="G370" i="1" s="1"/>
  <c r="I370" i="1" s="1"/>
  <c r="N370" i="1" s="1"/>
  <c r="F371" i="1"/>
  <c r="F372" i="1"/>
  <c r="F373" i="1"/>
  <c r="F374" i="1"/>
  <c r="G374" i="1" s="1"/>
  <c r="I374" i="1" s="1"/>
  <c r="N374" i="1" s="1"/>
  <c r="F375" i="1"/>
  <c r="F376" i="1"/>
  <c r="F377" i="1"/>
  <c r="F378" i="1"/>
  <c r="F379" i="1"/>
  <c r="F380" i="1"/>
  <c r="F381" i="1"/>
  <c r="F382" i="1"/>
  <c r="G382" i="1" s="1"/>
  <c r="I382" i="1" s="1"/>
  <c r="N382" i="1" s="1"/>
  <c r="F383" i="1"/>
  <c r="F384" i="1"/>
  <c r="F385" i="1"/>
  <c r="F386" i="1"/>
  <c r="G386" i="1" s="1"/>
  <c r="I386" i="1" s="1"/>
  <c r="N386" i="1" s="1"/>
  <c r="F387" i="1"/>
  <c r="F388" i="1"/>
  <c r="F389" i="1"/>
  <c r="F390" i="1"/>
  <c r="F391" i="1"/>
  <c r="F392" i="1"/>
  <c r="F393" i="1"/>
  <c r="F394" i="1"/>
  <c r="G394" i="1" s="1"/>
  <c r="I394" i="1" s="1"/>
  <c r="N394" i="1" s="1"/>
  <c r="F395" i="1"/>
  <c r="F396" i="1"/>
  <c r="F397" i="1"/>
  <c r="F398" i="1"/>
  <c r="G398" i="1" s="1"/>
  <c r="I398" i="1" s="1"/>
  <c r="N398" i="1" s="1"/>
  <c r="F399" i="1"/>
  <c r="F400" i="1"/>
  <c r="F401" i="1"/>
  <c r="F402" i="1"/>
  <c r="F403" i="1"/>
  <c r="F404" i="1"/>
  <c r="F405" i="1"/>
  <c r="F406" i="1"/>
  <c r="G406" i="1" s="1"/>
  <c r="I406" i="1" s="1"/>
  <c r="N406" i="1" s="1"/>
  <c r="F407" i="1"/>
  <c r="F408" i="1"/>
  <c r="F409" i="1"/>
  <c r="F410" i="1"/>
  <c r="G410" i="1" s="1"/>
  <c r="I410" i="1" s="1"/>
  <c r="N410" i="1" s="1"/>
  <c r="F411" i="1"/>
  <c r="F412" i="1"/>
  <c r="F413" i="1"/>
  <c r="F414" i="1"/>
  <c r="F415" i="1"/>
  <c r="F416" i="1"/>
  <c r="F417" i="1"/>
  <c r="F418" i="1"/>
  <c r="G418" i="1" s="1"/>
  <c r="I418" i="1" s="1"/>
  <c r="N418" i="1" s="1"/>
  <c r="F419" i="1"/>
  <c r="F420" i="1"/>
  <c r="F421" i="1"/>
  <c r="F422" i="1"/>
  <c r="G422" i="1" s="1"/>
  <c r="I422" i="1" s="1"/>
  <c r="N422" i="1" s="1"/>
  <c r="F423" i="1"/>
  <c r="F424" i="1"/>
  <c r="F425" i="1"/>
  <c r="F426" i="1"/>
  <c r="F427" i="1"/>
  <c r="F428" i="1"/>
  <c r="F429" i="1"/>
  <c r="F430" i="1"/>
  <c r="G430" i="1" s="1"/>
  <c r="I430" i="1" s="1"/>
  <c r="N430" i="1" s="1"/>
  <c r="F431" i="1"/>
  <c r="F432" i="1"/>
  <c r="F433" i="1"/>
  <c r="F434" i="1"/>
  <c r="F435" i="1"/>
  <c r="F436" i="1"/>
  <c r="F437" i="1"/>
  <c r="F438" i="1"/>
  <c r="F439" i="1"/>
  <c r="F440" i="1"/>
  <c r="F441" i="1"/>
  <c r="F442" i="1"/>
  <c r="G442" i="1" s="1"/>
  <c r="I442" i="1" s="1"/>
  <c r="N442" i="1" s="1"/>
  <c r="F443" i="1"/>
  <c r="F444" i="1"/>
  <c r="F445" i="1"/>
  <c r="F446" i="1"/>
  <c r="G446" i="1" s="1"/>
  <c r="I446" i="1" s="1"/>
  <c r="N446" i="1" s="1"/>
  <c r="M1229" i="5" s="1"/>
  <c r="F447" i="1"/>
  <c r="F448" i="1"/>
  <c r="F449" i="1"/>
  <c r="F450" i="1"/>
  <c r="F451" i="1"/>
  <c r="F452" i="1"/>
  <c r="F453" i="1"/>
  <c r="F454" i="1"/>
  <c r="G454" i="1" s="1"/>
  <c r="I454" i="1" s="1"/>
  <c r="N454" i="1" s="1"/>
  <c r="F455" i="1"/>
  <c r="F456" i="1"/>
  <c r="F457" i="1"/>
  <c r="F458" i="1"/>
  <c r="G458" i="1" s="1"/>
  <c r="I458" i="1" s="1"/>
  <c r="N458" i="1" s="1"/>
  <c r="M1287" i="5" s="1"/>
  <c r="F459" i="1"/>
  <c r="F460" i="1"/>
  <c r="F461" i="1"/>
  <c r="F462" i="1"/>
  <c r="F463" i="1"/>
  <c r="F464" i="1"/>
  <c r="F465" i="1"/>
  <c r="F466" i="1"/>
  <c r="G466" i="1" s="1"/>
  <c r="I466" i="1" s="1"/>
  <c r="N466" i="1" s="1"/>
  <c r="M1297" i="5" s="1"/>
  <c r="F467" i="1"/>
  <c r="F468" i="1"/>
  <c r="F469" i="1"/>
  <c r="F470" i="1"/>
  <c r="G470" i="1" s="1"/>
  <c r="I470" i="1" s="1"/>
  <c r="N470" i="1" s="1"/>
  <c r="F471" i="1"/>
  <c r="F472" i="1"/>
  <c r="F473" i="1"/>
  <c r="F474" i="1"/>
  <c r="F475" i="1"/>
  <c r="F476" i="1"/>
  <c r="F477" i="1"/>
  <c r="F478" i="1"/>
  <c r="G478" i="1" s="1"/>
  <c r="I478" i="1" s="1"/>
  <c r="N478" i="1" s="1"/>
  <c r="F479" i="1"/>
  <c r="F480" i="1"/>
  <c r="F481" i="1"/>
  <c r="F482" i="1"/>
  <c r="F483" i="1"/>
  <c r="F484" i="1"/>
  <c r="F485" i="1"/>
  <c r="F486" i="1"/>
  <c r="F487" i="1"/>
  <c r="F488" i="1"/>
  <c r="F489" i="1"/>
  <c r="F490" i="1"/>
  <c r="G490" i="1" s="1"/>
  <c r="I490" i="1" s="1"/>
  <c r="N490" i="1" s="1"/>
  <c r="F491" i="1"/>
  <c r="F492" i="1"/>
  <c r="F493" i="1"/>
  <c r="F494" i="1"/>
  <c r="G494" i="1" s="1"/>
  <c r="I494" i="1" s="1"/>
  <c r="N494" i="1" s="1"/>
  <c r="F495" i="1"/>
  <c r="F496" i="1"/>
  <c r="F497" i="1"/>
  <c r="F498" i="1"/>
  <c r="F499" i="1"/>
  <c r="F500" i="1"/>
  <c r="F501" i="1"/>
  <c r="F502" i="1"/>
  <c r="G502" i="1" s="1"/>
  <c r="I502" i="1" s="1"/>
  <c r="N502" i="1" s="1"/>
  <c r="F503" i="1"/>
  <c r="F504" i="1"/>
  <c r="F505" i="1"/>
  <c r="F506" i="1"/>
  <c r="G506" i="1" s="1"/>
  <c r="I506" i="1" s="1"/>
  <c r="N506" i="1" s="1"/>
  <c r="F507" i="1"/>
  <c r="F508" i="1"/>
  <c r="F509" i="1"/>
  <c r="F510" i="1"/>
  <c r="F511" i="1"/>
  <c r="F512" i="1"/>
  <c r="F513" i="1"/>
  <c r="F514" i="1"/>
  <c r="G514" i="1" s="1"/>
  <c r="I514" i="1" s="1"/>
  <c r="N514" i="1" s="1"/>
  <c r="F515" i="1"/>
  <c r="F516" i="1"/>
  <c r="F517" i="1"/>
  <c r="F518" i="1"/>
  <c r="G518" i="1" s="1"/>
  <c r="I518" i="1" s="1"/>
  <c r="N518" i="1" s="1"/>
  <c r="F519" i="1"/>
  <c r="F520" i="1"/>
  <c r="F521" i="1"/>
  <c r="F522" i="1"/>
  <c r="F523" i="1"/>
  <c r="F524" i="1"/>
  <c r="F525" i="1"/>
  <c r="F526" i="1"/>
  <c r="G526" i="1" s="1"/>
  <c r="I526" i="1" s="1"/>
  <c r="N526" i="1" s="1"/>
  <c r="M1538" i="5" s="1"/>
  <c r="F527" i="1"/>
  <c r="F528" i="1"/>
  <c r="F529" i="1"/>
  <c r="F530" i="1"/>
  <c r="G530" i="1" s="1"/>
  <c r="I530" i="1" s="1"/>
  <c r="N530" i="1" s="1"/>
  <c r="M1542" i="5" s="1"/>
  <c r="F531" i="1"/>
  <c r="F532" i="1"/>
  <c r="F533" i="1"/>
  <c r="F534" i="1"/>
  <c r="F535" i="1"/>
  <c r="F536" i="1"/>
  <c r="F537" i="1"/>
  <c r="F538" i="1"/>
  <c r="G538" i="1" s="1"/>
  <c r="I538" i="1" s="1"/>
  <c r="N538" i="1" s="1"/>
  <c r="F539" i="1"/>
  <c r="F540" i="1"/>
  <c r="F541" i="1"/>
  <c r="F542" i="1"/>
  <c r="G542" i="1" s="1"/>
  <c r="I542" i="1" s="1"/>
  <c r="N542" i="1" s="1"/>
  <c r="F543" i="1"/>
  <c r="F544" i="1"/>
  <c r="F545" i="1"/>
  <c r="F546" i="1"/>
  <c r="F547" i="1"/>
  <c r="F548" i="1"/>
  <c r="F549" i="1"/>
  <c r="F550" i="1"/>
  <c r="G550" i="1" s="1"/>
  <c r="I550" i="1" s="1"/>
  <c r="N550" i="1" s="1"/>
  <c r="F551" i="1"/>
  <c r="F552" i="1"/>
  <c r="F553" i="1"/>
  <c r="F554" i="1"/>
  <c r="G554" i="1" s="1"/>
  <c r="I554" i="1" s="1"/>
  <c r="N554" i="1" s="1"/>
  <c r="F555" i="1"/>
  <c r="F556" i="1"/>
  <c r="F557" i="1"/>
  <c r="F558" i="1"/>
  <c r="F559" i="1"/>
  <c r="F560" i="1"/>
  <c r="F561" i="1"/>
  <c r="F562" i="1"/>
  <c r="G562" i="1" s="1"/>
  <c r="I562" i="1" s="1"/>
  <c r="N562" i="1" s="1"/>
  <c r="F563" i="1"/>
  <c r="F564" i="1"/>
  <c r="F565" i="1"/>
  <c r="F566" i="1"/>
  <c r="G566" i="1" s="1"/>
  <c r="I566" i="1" s="1"/>
  <c r="N566" i="1" s="1"/>
  <c r="F567" i="1"/>
  <c r="F568" i="1"/>
  <c r="F569" i="1"/>
  <c r="F570" i="1"/>
  <c r="F571" i="1"/>
  <c r="F572" i="1"/>
  <c r="F573" i="1"/>
  <c r="F574" i="1"/>
  <c r="G574" i="1" s="1"/>
  <c r="I574" i="1" s="1"/>
  <c r="N574" i="1" s="1"/>
  <c r="M1694" i="5" s="1"/>
  <c r="F575" i="1"/>
  <c r="F576" i="1"/>
  <c r="F577" i="1"/>
  <c r="F578" i="1"/>
  <c r="F579" i="1"/>
  <c r="F580" i="1"/>
  <c r="F581" i="1"/>
  <c r="F582" i="1"/>
  <c r="F583" i="1"/>
  <c r="F584" i="1"/>
  <c r="F585" i="1"/>
  <c r="F586" i="1"/>
  <c r="G586" i="1" s="1"/>
  <c r="I586" i="1" s="1"/>
  <c r="N586" i="1" s="1"/>
  <c r="F587" i="1"/>
  <c r="F588" i="1"/>
  <c r="F589" i="1"/>
  <c r="F590" i="1"/>
  <c r="G590" i="1" s="1"/>
  <c r="I590" i="1" s="1"/>
  <c r="N590" i="1" s="1"/>
  <c r="F591" i="1"/>
  <c r="F592" i="1"/>
  <c r="F593" i="1"/>
  <c r="F594" i="1"/>
  <c r="F595" i="1"/>
  <c r="F596" i="1"/>
  <c r="F597" i="1"/>
  <c r="F598" i="1"/>
  <c r="G598" i="1" s="1"/>
  <c r="I598" i="1" s="1"/>
  <c r="N598" i="1" s="1"/>
  <c r="F599" i="1"/>
  <c r="F600" i="1"/>
  <c r="F601" i="1"/>
  <c r="F602" i="1"/>
  <c r="G602" i="1" s="1"/>
  <c r="I602" i="1" s="1"/>
  <c r="N602" i="1" s="1"/>
  <c r="F603" i="1"/>
  <c r="F604" i="1"/>
  <c r="F605" i="1"/>
  <c r="F606" i="1"/>
  <c r="F607" i="1"/>
  <c r="F608" i="1"/>
  <c r="F609" i="1"/>
  <c r="F610" i="1"/>
  <c r="G610" i="1" s="1"/>
  <c r="I610" i="1" s="1"/>
  <c r="N610" i="1" s="1"/>
  <c r="F611" i="1"/>
  <c r="F612" i="1"/>
  <c r="F613" i="1"/>
  <c r="F614" i="1"/>
  <c r="G614" i="1" s="1"/>
  <c r="I614" i="1" s="1"/>
  <c r="N614" i="1" s="1"/>
  <c r="F615" i="1"/>
  <c r="F616" i="1"/>
  <c r="F617" i="1"/>
  <c r="F618" i="1"/>
  <c r="F619" i="1"/>
  <c r="F620" i="1"/>
  <c r="F621" i="1"/>
  <c r="F622" i="1"/>
  <c r="G622" i="1" s="1"/>
  <c r="I622" i="1" s="1"/>
  <c r="N622" i="1" s="1"/>
  <c r="F623" i="1"/>
  <c r="F624" i="1"/>
  <c r="F625" i="1"/>
  <c r="F626" i="1"/>
  <c r="F627" i="1"/>
  <c r="F628" i="1"/>
  <c r="F629" i="1"/>
  <c r="F630" i="1"/>
  <c r="F631" i="1"/>
  <c r="F632" i="1"/>
  <c r="F633" i="1"/>
  <c r="F634" i="1"/>
  <c r="G634" i="1" s="1"/>
  <c r="I634" i="1" s="1"/>
  <c r="N634" i="1" s="1"/>
  <c r="F635" i="1"/>
  <c r="F636" i="1"/>
  <c r="F637" i="1"/>
  <c r="F638" i="1"/>
  <c r="G638" i="1" s="1"/>
  <c r="I638" i="1" s="1"/>
  <c r="N638" i="1" s="1"/>
  <c r="F639" i="1"/>
  <c r="F640" i="1"/>
  <c r="F641" i="1"/>
  <c r="F642" i="1"/>
  <c r="F643" i="1"/>
  <c r="F644" i="1"/>
  <c r="F645" i="1"/>
  <c r="F646" i="1"/>
  <c r="G646" i="1" s="1"/>
  <c r="I646" i="1" s="1"/>
  <c r="N646" i="1" s="1"/>
  <c r="F647" i="1"/>
  <c r="F648" i="1"/>
  <c r="F649" i="1"/>
  <c r="F650" i="1"/>
  <c r="G650" i="1" s="1"/>
  <c r="I650" i="1" s="1"/>
  <c r="N650" i="1" s="1"/>
  <c r="F651" i="1"/>
  <c r="F652" i="1"/>
  <c r="F653" i="1"/>
  <c r="F654" i="1"/>
  <c r="F655" i="1"/>
  <c r="F656" i="1"/>
  <c r="F657" i="1"/>
  <c r="F658" i="1"/>
  <c r="G658" i="1" s="1"/>
  <c r="I658" i="1" s="1"/>
  <c r="N658" i="1" s="1"/>
  <c r="F659" i="1"/>
  <c r="F660" i="1"/>
  <c r="F661" i="1"/>
  <c r="F662" i="1"/>
  <c r="G662" i="1" s="1"/>
  <c r="I662" i="1" s="1"/>
  <c r="N662" i="1" s="1"/>
  <c r="M1980" i="5" s="1"/>
  <c r="F663" i="1"/>
  <c r="F664" i="1"/>
  <c r="F665" i="1"/>
  <c r="F666" i="1"/>
  <c r="G3" i="1"/>
  <c r="G4" i="1"/>
  <c r="G5" i="1"/>
  <c r="G6" i="1"/>
  <c r="I6" i="1" s="1"/>
  <c r="N6" i="1" s="1"/>
  <c r="M15" i="5" s="1"/>
  <c r="G7" i="1"/>
  <c r="G8" i="1"/>
  <c r="G9" i="1"/>
  <c r="G10" i="1"/>
  <c r="G11" i="1"/>
  <c r="G12" i="1"/>
  <c r="G13" i="1"/>
  <c r="G15" i="1"/>
  <c r="G16" i="1"/>
  <c r="G17" i="1"/>
  <c r="G18" i="1"/>
  <c r="I18" i="1" s="1"/>
  <c r="N18" i="1" s="1"/>
  <c r="M61" i="5" s="1"/>
  <c r="G19" i="1"/>
  <c r="G20" i="1"/>
  <c r="G21" i="1"/>
  <c r="G22" i="1"/>
  <c r="G23" i="1"/>
  <c r="G24" i="1"/>
  <c r="G25" i="1"/>
  <c r="G27" i="1"/>
  <c r="G28" i="1"/>
  <c r="G29" i="1"/>
  <c r="G30" i="1"/>
  <c r="I30" i="1" s="1"/>
  <c r="N30" i="1" s="1"/>
  <c r="M79" i="5" s="1"/>
  <c r="G31" i="1"/>
  <c r="G32" i="1"/>
  <c r="G33" i="1"/>
  <c r="G34" i="1"/>
  <c r="G35" i="1"/>
  <c r="G36" i="1"/>
  <c r="G37" i="1"/>
  <c r="G39" i="1"/>
  <c r="G40" i="1"/>
  <c r="G41" i="1"/>
  <c r="G42" i="1"/>
  <c r="I42" i="1" s="1"/>
  <c r="N42" i="1" s="1"/>
  <c r="M116" i="5" s="1"/>
  <c r="G43" i="1"/>
  <c r="G44" i="1"/>
  <c r="G45" i="1"/>
  <c r="G46" i="1"/>
  <c r="G47" i="1"/>
  <c r="G48" i="1"/>
  <c r="G49" i="1"/>
  <c r="G51" i="1"/>
  <c r="G52" i="1"/>
  <c r="G53" i="1"/>
  <c r="G54" i="1"/>
  <c r="I54" i="1" s="1"/>
  <c r="N54" i="1" s="1"/>
  <c r="M128" i="5" s="1"/>
  <c r="G55" i="1"/>
  <c r="G56" i="1"/>
  <c r="G57" i="1"/>
  <c r="G58" i="1"/>
  <c r="G59" i="1"/>
  <c r="G60" i="1"/>
  <c r="G61" i="1"/>
  <c r="G63" i="1"/>
  <c r="G64" i="1"/>
  <c r="G65" i="1"/>
  <c r="G66" i="1"/>
  <c r="I66" i="1" s="1"/>
  <c r="N66" i="1" s="1"/>
  <c r="M157" i="5" s="1"/>
  <c r="G67" i="1"/>
  <c r="G68" i="1"/>
  <c r="G69" i="1"/>
  <c r="G70" i="1"/>
  <c r="G71" i="1"/>
  <c r="G72" i="1"/>
  <c r="G73" i="1"/>
  <c r="G75" i="1"/>
  <c r="G76" i="1"/>
  <c r="G77" i="1"/>
  <c r="G78" i="1"/>
  <c r="I78" i="1" s="1"/>
  <c r="N78" i="1" s="1"/>
  <c r="M170" i="5" s="1"/>
  <c r="G79" i="1"/>
  <c r="G80" i="1"/>
  <c r="G81" i="1"/>
  <c r="G82" i="1"/>
  <c r="G83" i="1"/>
  <c r="G84" i="1"/>
  <c r="G85" i="1"/>
  <c r="G87" i="1"/>
  <c r="G88" i="1"/>
  <c r="G89" i="1"/>
  <c r="G90" i="1"/>
  <c r="I90" i="1" s="1"/>
  <c r="N90" i="1" s="1"/>
  <c r="M182" i="5" s="1"/>
  <c r="G91" i="1"/>
  <c r="G92" i="1"/>
  <c r="G93" i="1"/>
  <c r="G94" i="1"/>
  <c r="G95" i="1"/>
  <c r="G96" i="1"/>
  <c r="G97" i="1"/>
  <c r="G99" i="1"/>
  <c r="G100" i="1"/>
  <c r="G101" i="1"/>
  <c r="G102" i="1"/>
  <c r="I102" i="1" s="1"/>
  <c r="N102" i="1" s="1"/>
  <c r="M195" i="5" s="1"/>
  <c r="G103" i="1"/>
  <c r="G104" i="1"/>
  <c r="G105" i="1"/>
  <c r="G107" i="1"/>
  <c r="G108" i="1"/>
  <c r="G109" i="1"/>
  <c r="G111" i="1"/>
  <c r="G112" i="1"/>
  <c r="G113" i="1"/>
  <c r="G114" i="1"/>
  <c r="G115" i="1"/>
  <c r="I115" i="1" s="1"/>
  <c r="N115" i="1" s="1"/>
  <c r="M209" i="5" s="1"/>
  <c r="G116" i="1"/>
  <c r="G117" i="1"/>
  <c r="G119" i="1"/>
  <c r="G120" i="1"/>
  <c r="G121" i="1"/>
  <c r="G123" i="1"/>
  <c r="G124" i="1"/>
  <c r="G125" i="1"/>
  <c r="G126" i="1"/>
  <c r="G127" i="1"/>
  <c r="G128" i="1"/>
  <c r="I128" i="1" s="1"/>
  <c r="N128" i="1" s="1"/>
  <c r="M224" i="5" s="1"/>
  <c r="G129" i="1"/>
  <c r="G131" i="1"/>
  <c r="G132" i="1"/>
  <c r="G133" i="1"/>
  <c r="G135" i="1"/>
  <c r="G136" i="1"/>
  <c r="G137" i="1"/>
  <c r="G138" i="1"/>
  <c r="G139" i="1"/>
  <c r="G140" i="1"/>
  <c r="G141" i="1"/>
  <c r="I141" i="1" s="1"/>
  <c r="N141" i="1" s="1"/>
  <c r="M240" i="5" s="1"/>
  <c r="G143" i="1"/>
  <c r="G144" i="1"/>
  <c r="G145" i="1"/>
  <c r="G146" i="1"/>
  <c r="G147" i="1"/>
  <c r="G148" i="1"/>
  <c r="G149" i="1"/>
  <c r="G150" i="1"/>
  <c r="G151" i="1"/>
  <c r="G152" i="1"/>
  <c r="G153" i="1"/>
  <c r="G155" i="1"/>
  <c r="I155" i="1" s="1"/>
  <c r="N155" i="1" s="1"/>
  <c r="M255" i="5" s="1"/>
  <c r="G156" i="1"/>
  <c r="G157" i="1"/>
  <c r="G159" i="1"/>
  <c r="G160" i="1"/>
  <c r="G161" i="1"/>
  <c r="G162" i="1"/>
  <c r="G163" i="1"/>
  <c r="G164" i="1"/>
  <c r="G165" i="1"/>
  <c r="G167" i="1"/>
  <c r="G168" i="1"/>
  <c r="I168" i="1" s="1"/>
  <c r="N168" i="1" s="1"/>
  <c r="M268" i="5" s="1"/>
  <c r="G169" i="1"/>
  <c r="G171" i="1"/>
  <c r="G172" i="1"/>
  <c r="G173" i="1"/>
  <c r="G174" i="1"/>
  <c r="G175" i="1"/>
  <c r="G176" i="1"/>
  <c r="G177" i="1"/>
  <c r="G179" i="1"/>
  <c r="G180" i="1"/>
  <c r="G181" i="1"/>
  <c r="I181" i="1" s="1"/>
  <c r="N181" i="1" s="1"/>
  <c r="M281" i="5" s="1"/>
  <c r="G183" i="1"/>
  <c r="G184" i="1"/>
  <c r="G185" i="1"/>
  <c r="G186" i="1"/>
  <c r="G187" i="1"/>
  <c r="G188" i="1"/>
  <c r="G189" i="1"/>
  <c r="G191" i="1"/>
  <c r="G192" i="1"/>
  <c r="G193" i="1"/>
  <c r="G194" i="1"/>
  <c r="I194" i="1" s="1"/>
  <c r="N194" i="1" s="1"/>
  <c r="M295" i="5" s="1"/>
  <c r="G195" i="1"/>
  <c r="G196" i="1"/>
  <c r="G197" i="1"/>
  <c r="G198" i="1"/>
  <c r="G199" i="1"/>
  <c r="G200" i="1"/>
  <c r="G201" i="1"/>
  <c r="G203" i="1"/>
  <c r="G204" i="1"/>
  <c r="G205" i="1"/>
  <c r="G207" i="1"/>
  <c r="I207" i="1" s="1"/>
  <c r="N207" i="1" s="1"/>
  <c r="M310" i="5" s="1"/>
  <c r="G208" i="1"/>
  <c r="G209" i="1"/>
  <c r="G210" i="1"/>
  <c r="G211" i="1"/>
  <c r="G212" i="1"/>
  <c r="G213" i="1"/>
  <c r="G215" i="1"/>
  <c r="G216" i="1"/>
  <c r="G217" i="1"/>
  <c r="G219" i="1"/>
  <c r="G220" i="1"/>
  <c r="I220" i="1" s="1"/>
  <c r="N220" i="1" s="1"/>
  <c r="M323" i="5" s="1"/>
  <c r="G221" i="1"/>
  <c r="G222" i="1"/>
  <c r="G223" i="1"/>
  <c r="G224" i="1"/>
  <c r="G225" i="1"/>
  <c r="G227" i="1"/>
  <c r="G228" i="1"/>
  <c r="G229" i="1"/>
  <c r="G231" i="1"/>
  <c r="G232" i="1"/>
  <c r="G233" i="1"/>
  <c r="I233" i="1" s="1"/>
  <c r="N233" i="1" s="1"/>
  <c r="M337" i="5" s="1"/>
  <c r="G234" i="1"/>
  <c r="G235" i="1"/>
  <c r="G236" i="1"/>
  <c r="G237" i="1"/>
  <c r="G239" i="1"/>
  <c r="G240" i="1"/>
  <c r="G241" i="1"/>
  <c r="G243" i="1"/>
  <c r="G244" i="1"/>
  <c r="G245" i="1"/>
  <c r="G246" i="1"/>
  <c r="I246" i="1" s="1"/>
  <c r="N246" i="1" s="1"/>
  <c r="G247" i="1"/>
  <c r="G248" i="1"/>
  <c r="G249" i="1"/>
  <c r="G251" i="1"/>
  <c r="G252" i="1"/>
  <c r="G253" i="1"/>
  <c r="G255" i="1"/>
  <c r="G256" i="1"/>
  <c r="G257" i="1"/>
  <c r="G258" i="1"/>
  <c r="G259" i="1"/>
  <c r="I259" i="1" s="1"/>
  <c r="N259" i="1" s="1"/>
  <c r="M466" i="5" s="1"/>
  <c r="G260" i="1"/>
  <c r="G261" i="1"/>
  <c r="G263" i="1"/>
  <c r="G264" i="1"/>
  <c r="G265" i="1"/>
  <c r="G267" i="1"/>
  <c r="G268" i="1"/>
  <c r="G269" i="1"/>
  <c r="G270" i="1"/>
  <c r="G271" i="1"/>
  <c r="G272" i="1"/>
  <c r="I272" i="1" s="1"/>
  <c r="N272" i="1" s="1"/>
  <c r="G273" i="1"/>
  <c r="G275" i="1"/>
  <c r="G276" i="1"/>
  <c r="G277" i="1"/>
  <c r="G279" i="1"/>
  <c r="G280" i="1"/>
  <c r="G281" i="1"/>
  <c r="G282" i="1"/>
  <c r="G283" i="1"/>
  <c r="G284" i="1"/>
  <c r="G285" i="1"/>
  <c r="I285" i="1" s="1"/>
  <c r="N285" i="1" s="1"/>
  <c r="M664" i="5" s="1"/>
  <c r="G287" i="1"/>
  <c r="G288" i="1"/>
  <c r="G289" i="1"/>
  <c r="G290" i="1"/>
  <c r="G291" i="1"/>
  <c r="G292" i="1"/>
  <c r="G293" i="1"/>
  <c r="G294" i="1"/>
  <c r="G295" i="1"/>
  <c r="G296" i="1"/>
  <c r="G297" i="1"/>
  <c r="G299" i="1"/>
  <c r="I299" i="1" s="1"/>
  <c r="N299" i="1" s="1"/>
  <c r="G300" i="1"/>
  <c r="G301" i="1"/>
  <c r="G303" i="1"/>
  <c r="G304" i="1"/>
  <c r="G305" i="1"/>
  <c r="G306" i="1"/>
  <c r="G307" i="1"/>
  <c r="G308" i="1"/>
  <c r="G309" i="1"/>
  <c r="G311" i="1"/>
  <c r="G312" i="1"/>
  <c r="I312" i="1" s="1"/>
  <c r="N312" i="1" s="1"/>
  <c r="G313" i="1"/>
  <c r="G315" i="1"/>
  <c r="G316" i="1"/>
  <c r="G317" i="1"/>
  <c r="G318" i="1"/>
  <c r="G319" i="1"/>
  <c r="G320" i="1"/>
  <c r="G321" i="1"/>
  <c r="G323" i="1"/>
  <c r="G324" i="1"/>
  <c r="G325" i="1"/>
  <c r="I325" i="1" s="1"/>
  <c r="N325" i="1" s="1"/>
  <c r="G327" i="1"/>
  <c r="G328" i="1"/>
  <c r="G329" i="1"/>
  <c r="G330" i="1"/>
  <c r="G331" i="1"/>
  <c r="G332" i="1"/>
  <c r="G333" i="1"/>
  <c r="G335" i="1"/>
  <c r="G336" i="1"/>
  <c r="G337" i="1"/>
  <c r="G338" i="1"/>
  <c r="I338" i="1" s="1"/>
  <c r="N338" i="1" s="1"/>
  <c r="G339" i="1"/>
  <c r="G340" i="1"/>
  <c r="G341" i="1"/>
  <c r="G342" i="1"/>
  <c r="G343" i="1"/>
  <c r="G344" i="1"/>
  <c r="G345" i="1"/>
  <c r="G347" i="1"/>
  <c r="G348" i="1"/>
  <c r="G349" i="1"/>
  <c r="G351" i="1"/>
  <c r="I351" i="1" s="1"/>
  <c r="N351" i="1" s="1"/>
  <c r="G352" i="1"/>
  <c r="G353" i="1"/>
  <c r="G354" i="1"/>
  <c r="G355" i="1"/>
  <c r="G356" i="1"/>
  <c r="G357" i="1"/>
  <c r="G359" i="1"/>
  <c r="G360" i="1"/>
  <c r="G361" i="1"/>
  <c r="G363" i="1"/>
  <c r="G364" i="1"/>
  <c r="I364" i="1" s="1"/>
  <c r="N364" i="1" s="1"/>
  <c r="G365" i="1"/>
  <c r="G366" i="1"/>
  <c r="G367" i="1"/>
  <c r="G368" i="1"/>
  <c r="G369" i="1"/>
  <c r="G371" i="1"/>
  <c r="G372" i="1"/>
  <c r="G373" i="1"/>
  <c r="G375" i="1"/>
  <c r="G376" i="1"/>
  <c r="G377" i="1"/>
  <c r="I377" i="1" s="1"/>
  <c r="N377" i="1" s="1"/>
  <c r="G378" i="1"/>
  <c r="G379" i="1"/>
  <c r="G380" i="1"/>
  <c r="G381" i="1"/>
  <c r="G383" i="1"/>
  <c r="G384" i="1"/>
  <c r="G385" i="1"/>
  <c r="G387" i="1"/>
  <c r="G388" i="1"/>
  <c r="G389" i="1"/>
  <c r="G390" i="1"/>
  <c r="I390" i="1" s="1"/>
  <c r="N390" i="1" s="1"/>
  <c r="M1037" i="5" s="1"/>
  <c r="G391" i="1"/>
  <c r="G392" i="1"/>
  <c r="G393" i="1"/>
  <c r="G395" i="1"/>
  <c r="G396" i="1"/>
  <c r="G397" i="1"/>
  <c r="G399" i="1"/>
  <c r="G400" i="1"/>
  <c r="G401" i="1"/>
  <c r="G402" i="1"/>
  <c r="G403" i="1"/>
  <c r="I403" i="1" s="1"/>
  <c r="N403" i="1" s="1"/>
  <c r="G404" i="1"/>
  <c r="G405" i="1"/>
  <c r="G407" i="1"/>
  <c r="G408" i="1"/>
  <c r="G409" i="1"/>
  <c r="G411" i="1"/>
  <c r="G412" i="1"/>
  <c r="G413" i="1"/>
  <c r="G414" i="1"/>
  <c r="G415" i="1"/>
  <c r="G416" i="1"/>
  <c r="I416" i="1" s="1"/>
  <c r="N416" i="1" s="1"/>
  <c r="M1148" i="5" s="1"/>
  <c r="G417" i="1"/>
  <c r="G419" i="1"/>
  <c r="G420" i="1"/>
  <c r="G421" i="1"/>
  <c r="G423" i="1"/>
  <c r="G424" i="1"/>
  <c r="G425" i="1"/>
  <c r="G426" i="1"/>
  <c r="G427" i="1"/>
  <c r="G428" i="1"/>
  <c r="G429" i="1"/>
  <c r="I429" i="1" s="1"/>
  <c r="N429" i="1" s="1"/>
  <c r="G431" i="1"/>
  <c r="G432" i="1"/>
  <c r="G433" i="1"/>
  <c r="G434" i="1"/>
  <c r="G435" i="1"/>
  <c r="G436" i="1"/>
  <c r="G437" i="1"/>
  <c r="G438" i="1"/>
  <c r="G439" i="1"/>
  <c r="G440" i="1"/>
  <c r="G441" i="1"/>
  <c r="G443" i="1"/>
  <c r="I443" i="1" s="1"/>
  <c r="N443" i="1" s="1"/>
  <c r="M1225" i="5" s="1"/>
  <c r="G444" i="1"/>
  <c r="G445" i="1"/>
  <c r="G447" i="1"/>
  <c r="G448" i="1"/>
  <c r="G449" i="1"/>
  <c r="G450" i="1"/>
  <c r="G451" i="1"/>
  <c r="G452" i="1"/>
  <c r="G453" i="1"/>
  <c r="G455" i="1"/>
  <c r="G456" i="1"/>
  <c r="I456" i="1" s="1"/>
  <c r="N456" i="1" s="1"/>
  <c r="M1274" i="5" s="1"/>
  <c r="G457" i="1"/>
  <c r="G459" i="1"/>
  <c r="G460" i="1"/>
  <c r="G461" i="1"/>
  <c r="G462" i="1"/>
  <c r="G463" i="1"/>
  <c r="G464" i="1"/>
  <c r="G465" i="1"/>
  <c r="G467" i="1"/>
  <c r="G468" i="1"/>
  <c r="G469" i="1"/>
  <c r="I469" i="1" s="1"/>
  <c r="N469" i="1" s="1"/>
  <c r="M1304" i="5" s="1"/>
  <c r="G471" i="1"/>
  <c r="G472" i="1"/>
  <c r="G473" i="1"/>
  <c r="G474" i="1"/>
  <c r="G475" i="1"/>
  <c r="G476" i="1"/>
  <c r="G477" i="1"/>
  <c r="G479" i="1"/>
  <c r="G480" i="1"/>
  <c r="G481" i="1"/>
  <c r="G482" i="1"/>
  <c r="I482" i="1" s="1"/>
  <c r="N482" i="1" s="1"/>
  <c r="G483" i="1"/>
  <c r="G484" i="1"/>
  <c r="G485" i="1"/>
  <c r="G486" i="1"/>
  <c r="G487" i="1"/>
  <c r="G488" i="1"/>
  <c r="G489" i="1"/>
  <c r="G491" i="1"/>
  <c r="G492" i="1"/>
  <c r="G493" i="1"/>
  <c r="G495" i="1"/>
  <c r="I495" i="1" s="1"/>
  <c r="N495" i="1" s="1"/>
  <c r="M1439" i="5" s="1"/>
  <c r="G496" i="1"/>
  <c r="G497" i="1"/>
  <c r="G498" i="1"/>
  <c r="G499" i="1"/>
  <c r="G500" i="1"/>
  <c r="G501" i="1"/>
  <c r="G503" i="1"/>
  <c r="G504" i="1"/>
  <c r="G505" i="1"/>
  <c r="G507" i="1"/>
  <c r="G508" i="1"/>
  <c r="I508" i="1" s="1"/>
  <c r="N508" i="1" s="1"/>
  <c r="M1503" i="5" s="1"/>
  <c r="G509" i="1"/>
  <c r="G510" i="1"/>
  <c r="G511" i="1"/>
  <c r="G512" i="1"/>
  <c r="G513" i="1"/>
  <c r="G515" i="1"/>
  <c r="G516" i="1"/>
  <c r="G517" i="1"/>
  <c r="G519" i="1"/>
  <c r="G520" i="1"/>
  <c r="G521" i="1"/>
  <c r="I521" i="1" s="1"/>
  <c r="N521" i="1" s="1"/>
  <c r="M1532" i="5" s="1"/>
  <c r="G522" i="1"/>
  <c r="G523" i="1"/>
  <c r="G524" i="1"/>
  <c r="G525" i="1"/>
  <c r="G527" i="1"/>
  <c r="G528" i="1"/>
  <c r="G529" i="1"/>
  <c r="G531" i="1"/>
  <c r="G532" i="1"/>
  <c r="G533" i="1"/>
  <c r="G534" i="1"/>
  <c r="I534" i="1" s="1"/>
  <c r="N534" i="1" s="1"/>
  <c r="M1547" i="5" s="1"/>
  <c r="G535" i="1"/>
  <c r="G536" i="1"/>
  <c r="G537" i="1"/>
  <c r="G539" i="1"/>
  <c r="G540" i="1"/>
  <c r="G541" i="1"/>
  <c r="G543" i="1"/>
  <c r="G544" i="1"/>
  <c r="G545" i="1"/>
  <c r="G546" i="1"/>
  <c r="G547" i="1"/>
  <c r="I547" i="1" s="1"/>
  <c r="N547" i="1" s="1"/>
  <c r="G548" i="1"/>
  <c r="G549" i="1"/>
  <c r="G551" i="1"/>
  <c r="G552" i="1"/>
  <c r="G553" i="1"/>
  <c r="G555" i="1"/>
  <c r="G556" i="1"/>
  <c r="G557" i="1"/>
  <c r="G558" i="1"/>
  <c r="G559" i="1"/>
  <c r="G560" i="1"/>
  <c r="I560" i="1" s="1"/>
  <c r="N560" i="1" s="1"/>
  <c r="G561" i="1"/>
  <c r="G563" i="1"/>
  <c r="G564" i="1"/>
  <c r="G565" i="1"/>
  <c r="G567" i="1"/>
  <c r="G568" i="1"/>
  <c r="G569" i="1"/>
  <c r="G570" i="1"/>
  <c r="G571" i="1"/>
  <c r="G572" i="1"/>
  <c r="G573" i="1"/>
  <c r="I573" i="1" s="1"/>
  <c r="N573" i="1" s="1"/>
  <c r="M1693" i="5" s="1"/>
  <c r="G575" i="1"/>
  <c r="G576" i="1"/>
  <c r="G577" i="1"/>
  <c r="G578" i="1"/>
  <c r="G579" i="1"/>
  <c r="G580" i="1"/>
  <c r="G581" i="1"/>
  <c r="G582" i="1"/>
  <c r="G583" i="1"/>
  <c r="G584" i="1"/>
  <c r="G585" i="1"/>
  <c r="G587" i="1"/>
  <c r="I587" i="1" s="1"/>
  <c r="N587" i="1" s="1"/>
  <c r="G588" i="1"/>
  <c r="G589" i="1"/>
  <c r="G591" i="1"/>
  <c r="G592" i="1"/>
  <c r="G593" i="1"/>
  <c r="G594" i="1"/>
  <c r="G595" i="1"/>
  <c r="G596" i="1"/>
  <c r="G597" i="1"/>
  <c r="G599" i="1"/>
  <c r="G600" i="1"/>
  <c r="I600" i="1" s="1"/>
  <c r="N600" i="1" s="1"/>
  <c r="M1784" i="5" s="1"/>
  <c r="G601" i="1"/>
  <c r="G603" i="1"/>
  <c r="G604" i="1"/>
  <c r="G605" i="1"/>
  <c r="G606" i="1"/>
  <c r="G607" i="1"/>
  <c r="G608" i="1"/>
  <c r="G609" i="1"/>
  <c r="G611" i="1"/>
  <c r="G612" i="1"/>
  <c r="G613" i="1"/>
  <c r="I613" i="1" s="1"/>
  <c r="N613" i="1" s="1"/>
  <c r="G615" i="1"/>
  <c r="G616" i="1"/>
  <c r="G617" i="1"/>
  <c r="G618" i="1"/>
  <c r="G619" i="1"/>
  <c r="G620" i="1"/>
  <c r="G621" i="1"/>
  <c r="G623" i="1"/>
  <c r="G624" i="1"/>
  <c r="G625" i="1"/>
  <c r="G626" i="1"/>
  <c r="I626" i="1" s="1"/>
  <c r="N626" i="1" s="1"/>
  <c r="G627" i="1"/>
  <c r="G628" i="1"/>
  <c r="G629" i="1"/>
  <c r="G630" i="1"/>
  <c r="G631" i="1"/>
  <c r="G632" i="1"/>
  <c r="G633" i="1"/>
  <c r="G635" i="1"/>
  <c r="G636" i="1"/>
  <c r="G637" i="1"/>
  <c r="G639" i="1"/>
  <c r="I639" i="1" s="1"/>
  <c r="N639" i="1" s="1"/>
  <c r="G640" i="1"/>
  <c r="G641" i="1"/>
  <c r="G642" i="1"/>
  <c r="G643" i="1"/>
  <c r="G644" i="1"/>
  <c r="G645" i="1"/>
  <c r="G647" i="1"/>
  <c r="G648" i="1"/>
  <c r="G649" i="1"/>
  <c r="G651" i="1"/>
  <c r="G652" i="1"/>
  <c r="I652" i="1" s="1"/>
  <c r="N652" i="1" s="1"/>
  <c r="G653" i="1"/>
  <c r="G654" i="1"/>
  <c r="G655" i="1"/>
  <c r="G656" i="1"/>
  <c r="G657" i="1"/>
  <c r="G659" i="1"/>
  <c r="G660" i="1"/>
  <c r="G661" i="1"/>
  <c r="G663" i="1"/>
  <c r="G664" i="1"/>
  <c r="G665" i="1"/>
  <c r="I665" i="1" s="1"/>
  <c r="N665" i="1" s="1"/>
  <c r="M1989" i="5" s="1"/>
  <c r="G66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I3" i="1"/>
  <c r="I4" i="1"/>
  <c r="I5" i="1"/>
  <c r="I7" i="1"/>
  <c r="I8" i="1"/>
  <c r="I9" i="1"/>
  <c r="I10" i="1"/>
  <c r="I11" i="1"/>
  <c r="I12" i="1"/>
  <c r="I13" i="1"/>
  <c r="I15" i="1"/>
  <c r="I16" i="1"/>
  <c r="I17" i="1"/>
  <c r="I19" i="1"/>
  <c r="I20" i="1"/>
  <c r="I21" i="1"/>
  <c r="I22" i="1"/>
  <c r="I23" i="1"/>
  <c r="I24" i="1"/>
  <c r="I25" i="1"/>
  <c r="I27" i="1"/>
  <c r="I28" i="1"/>
  <c r="I29" i="1"/>
  <c r="I31" i="1"/>
  <c r="I32" i="1"/>
  <c r="I33" i="1"/>
  <c r="I34" i="1"/>
  <c r="I35" i="1"/>
  <c r="I36" i="1"/>
  <c r="I37" i="1"/>
  <c r="I39" i="1"/>
  <c r="I40" i="1"/>
  <c r="I41" i="1"/>
  <c r="I43" i="1"/>
  <c r="I44" i="1"/>
  <c r="I45" i="1"/>
  <c r="I46" i="1"/>
  <c r="I47" i="1"/>
  <c r="I48" i="1"/>
  <c r="I49" i="1"/>
  <c r="I51" i="1"/>
  <c r="I52" i="1"/>
  <c r="I53" i="1"/>
  <c r="I55" i="1"/>
  <c r="I56" i="1"/>
  <c r="I57" i="1"/>
  <c r="I58" i="1"/>
  <c r="I59" i="1"/>
  <c r="I60" i="1"/>
  <c r="I61" i="1"/>
  <c r="I63" i="1"/>
  <c r="I64" i="1"/>
  <c r="I65" i="1"/>
  <c r="I67" i="1"/>
  <c r="I68" i="1"/>
  <c r="I69" i="1"/>
  <c r="I70" i="1"/>
  <c r="I71" i="1"/>
  <c r="I72" i="1"/>
  <c r="I73" i="1"/>
  <c r="I75" i="1"/>
  <c r="I76" i="1"/>
  <c r="I77" i="1"/>
  <c r="I79" i="1"/>
  <c r="I80" i="1"/>
  <c r="I81" i="1"/>
  <c r="I82" i="1"/>
  <c r="I83" i="1"/>
  <c r="I84" i="1"/>
  <c r="I85" i="1"/>
  <c r="I87" i="1"/>
  <c r="I88" i="1"/>
  <c r="I89" i="1"/>
  <c r="I91" i="1"/>
  <c r="I92" i="1"/>
  <c r="I93" i="1"/>
  <c r="I94" i="1"/>
  <c r="I95" i="1"/>
  <c r="I96" i="1"/>
  <c r="I97" i="1"/>
  <c r="I99" i="1"/>
  <c r="I100" i="1"/>
  <c r="I101" i="1"/>
  <c r="I103" i="1"/>
  <c r="I104" i="1"/>
  <c r="I105" i="1"/>
  <c r="I107" i="1"/>
  <c r="I108" i="1"/>
  <c r="I109" i="1"/>
  <c r="I111" i="1"/>
  <c r="I112" i="1"/>
  <c r="I113" i="1"/>
  <c r="I114" i="1"/>
  <c r="I116" i="1"/>
  <c r="I117" i="1"/>
  <c r="I119" i="1"/>
  <c r="I120" i="1"/>
  <c r="I121" i="1"/>
  <c r="I123" i="1"/>
  <c r="I124" i="1"/>
  <c r="I125" i="1"/>
  <c r="I126" i="1"/>
  <c r="I127" i="1"/>
  <c r="I129" i="1"/>
  <c r="I131" i="1"/>
  <c r="I132" i="1"/>
  <c r="I133" i="1"/>
  <c r="I135" i="1"/>
  <c r="I136" i="1"/>
  <c r="I137" i="1"/>
  <c r="I138" i="1"/>
  <c r="I139" i="1"/>
  <c r="I140" i="1"/>
  <c r="I143" i="1"/>
  <c r="I144" i="1"/>
  <c r="I145" i="1"/>
  <c r="I146" i="1"/>
  <c r="I147" i="1"/>
  <c r="I148" i="1"/>
  <c r="I149" i="1"/>
  <c r="I150" i="1"/>
  <c r="I151" i="1"/>
  <c r="I152" i="1"/>
  <c r="I153" i="1"/>
  <c r="I156" i="1"/>
  <c r="I157" i="1"/>
  <c r="I159" i="1"/>
  <c r="I160" i="1"/>
  <c r="I161" i="1"/>
  <c r="I162" i="1"/>
  <c r="I163" i="1"/>
  <c r="I164" i="1"/>
  <c r="I165" i="1"/>
  <c r="I167" i="1"/>
  <c r="I169" i="1"/>
  <c r="I171" i="1"/>
  <c r="I172" i="1"/>
  <c r="I173" i="1"/>
  <c r="I174" i="1"/>
  <c r="I175" i="1"/>
  <c r="I176" i="1"/>
  <c r="I177" i="1"/>
  <c r="I179" i="1"/>
  <c r="I180" i="1"/>
  <c r="I183" i="1"/>
  <c r="I184" i="1"/>
  <c r="I185" i="1"/>
  <c r="I186" i="1"/>
  <c r="I187" i="1"/>
  <c r="I188" i="1"/>
  <c r="I189" i="1"/>
  <c r="I191" i="1"/>
  <c r="I192" i="1"/>
  <c r="I193" i="1"/>
  <c r="I195" i="1"/>
  <c r="I196" i="1"/>
  <c r="I197" i="1"/>
  <c r="I198" i="1"/>
  <c r="I199" i="1"/>
  <c r="I200" i="1"/>
  <c r="I201" i="1"/>
  <c r="I203" i="1"/>
  <c r="I204" i="1"/>
  <c r="I205" i="1"/>
  <c r="I208" i="1"/>
  <c r="I209" i="1"/>
  <c r="I210" i="1"/>
  <c r="I211" i="1"/>
  <c r="I212" i="1"/>
  <c r="I213" i="1"/>
  <c r="I215" i="1"/>
  <c r="I216" i="1"/>
  <c r="I217" i="1"/>
  <c r="I219" i="1"/>
  <c r="I221" i="1"/>
  <c r="I222" i="1"/>
  <c r="I223" i="1"/>
  <c r="I224" i="1"/>
  <c r="I225" i="1"/>
  <c r="I227" i="1"/>
  <c r="I228" i="1"/>
  <c r="I229" i="1"/>
  <c r="I231" i="1"/>
  <c r="I232" i="1"/>
  <c r="I234" i="1"/>
  <c r="I235" i="1"/>
  <c r="I236" i="1"/>
  <c r="I237" i="1"/>
  <c r="I239" i="1"/>
  <c r="I240" i="1"/>
  <c r="I241" i="1"/>
  <c r="I243" i="1"/>
  <c r="I244" i="1"/>
  <c r="I245" i="1"/>
  <c r="I247" i="1"/>
  <c r="I248" i="1"/>
  <c r="I249" i="1"/>
  <c r="I251" i="1"/>
  <c r="I252" i="1"/>
  <c r="I253" i="1"/>
  <c r="I255" i="1"/>
  <c r="I256" i="1"/>
  <c r="I257" i="1"/>
  <c r="I258" i="1"/>
  <c r="I260" i="1"/>
  <c r="I261" i="1"/>
  <c r="I263" i="1"/>
  <c r="I264" i="1"/>
  <c r="I265" i="1"/>
  <c r="I267" i="1"/>
  <c r="I268" i="1"/>
  <c r="I269" i="1"/>
  <c r="I270" i="1"/>
  <c r="I271" i="1"/>
  <c r="I273" i="1"/>
  <c r="I275" i="1"/>
  <c r="I276" i="1"/>
  <c r="I277" i="1"/>
  <c r="I279" i="1"/>
  <c r="I280" i="1"/>
  <c r="I281" i="1"/>
  <c r="I282" i="1"/>
  <c r="I283" i="1"/>
  <c r="I284" i="1"/>
  <c r="I287" i="1"/>
  <c r="I288" i="1"/>
  <c r="I289" i="1"/>
  <c r="I290" i="1"/>
  <c r="I291" i="1"/>
  <c r="I292" i="1"/>
  <c r="I293" i="1"/>
  <c r="I294" i="1"/>
  <c r="I295" i="1"/>
  <c r="I296" i="1"/>
  <c r="I297" i="1"/>
  <c r="I300" i="1"/>
  <c r="I301" i="1"/>
  <c r="I303" i="1"/>
  <c r="I304" i="1"/>
  <c r="I305" i="1"/>
  <c r="I306" i="1"/>
  <c r="I307" i="1"/>
  <c r="I308" i="1"/>
  <c r="I309" i="1"/>
  <c r="I311" i="1"/>
  <c r="I313" i="1"/>
  <c r="I315" i="1"/>
  <c r="I316" i="1"/>
  <c r="I317" i="1"/>
  <c r="I318" i="1"/>
  <c r="I319" i="1"/>
  <c r="I320" i="1"/>
  <c r="I321" i="1"/>
  <c r="I323" i="1"/>
  <c r="I324" i="1"/>
  <c r="I327" i="1"/>
  <c r="I328" i="1"/>
  <c r="I329" i="1"/>
  <c r="I330" i="1"/>
  <c r="I331" i="1"/>
  <c r="I332" i="1"/>
  <c r="I333" i="1"/>
  <c r="I335" i="1"/>
  <c r="I336" i="1"/>
  <c r="I337" i="1"/>
  <c r="I339" i="1"/>
  <c r="I340" i="1"/>
  <c r="I341" i="1"/>
  <c r="I342" i="1"/>
  <c r="I343" i="1"/>
  <c r="I344" i="1"/>
  <c r="I345" i="1"/>
  <c r="I347" i="1"/>
  <c r="I348" i="1"/>
  <c r="I349" i="1"/>
  <c r="I352" i="1"/>
  <c r="I353" i="1"/>
  <c r="I354" i="1"/>
  <c r="I355" i="1"/>
  <c r="I356" i="1"/>
  <c r="I357" i="1"/>
  <c r="I359" i="1"/>
  <c r="I360" i="1"/>
  <c r="I361" i="1"/>
  <c r="I363" i="1"/>
  <c r="I365" i="1"/>
  <c r="I366" i="1"/>
  <c r="I367" i="1"/>
  <c r="I368" i="1"/>
  <c r="I369" i="1"/>
  <c r="I371" i="1"/>
  <c r="I372" i="1"/>
  <c r="I373" i="1"/>
  <c r="I375" i="1"/>
  <c r="I376" i="1"/>
  <c r="I378" i="1"/>
  <c r="I379" i="1"/>
  <c r="I380" i="1"/>
  <c r="I381" i="1"/>
  <c r="I383" i="1"/>
  <c r="I384" i="1"/>
  <c r="I385" i="1"/>
  <c r="I387" i="1"/>
  <c r="I388" i="1"/>
  <c r="I389" i="1"/>
  <c r="I391" i="1"/>
  <c r="I392" i="1"/>
  <c r="I393" i="1"/>
  <c r="I395" i="1"/>
  <c r="I396" i="1"/>
  <c r="I397" i="1"/>
  <c r="I399" i="1"/>
  <c r="I400" i="1"/>
  <c r="I401" i="1"/>
  <c r="I402" i="1"/>
  <c r="I404" i="1"/>
  <c r="I405" i="1"/>
  <c r="I407" i="1"/>
  <c r="I408" i="1"/>
  <c r="I409" i="1"/>
  <c r="I411" i="1"/>
  <c r="I412" i="1"/>
  <c r="I413" i="1"/>
  <c r="I414" i="1"/>
  <c r="I415" i="1"/>
  <c r="I417" i="1"/>
  <c r="I419" i="1"/>
  <c r="I420" i="1"/>
  <c r="I421" i="1"/>
  <c r="I423" i="1"/>
  <c r="I424" i="1"/>
  <c r="I425" i="1"/>
  <c r="I426" i="1"/>
  <c r="I427" i="1"/>
  <c r="I428" i="1"/>
  <c r="I431" i="1"/>
  <c r="I432" i="1"/>
  <c r="I433" i="1"/>
  <c r="I434" i="1"/>
  <c r="I435" i="1"/>
  <c r="I436" i="1"/>
  <c r="I437" i="1"/>
  <c r="I438" i="1"/>
  <c r="I439" i="1"/>
  <c r="I440" i="1"/>
  <c r="I441" i="1"/>
  <c r="I444" i="1"/>
  <c r="I445" i="1"/>
  <c r="I447" i="1"/>
  <c r="I448" i="1"/>
  <c r="I449" i="1"/>
  <c r="I450" i="1"/>
  <c r="I451" i="1"/>
  <c r="I452" i="1"/>
  <c r="I453" i="1"/>
  <c r="I455" i="1"/>
  <c r="I457" i="1"/>
  <c r="I459" i="1"/>
  <c r="I460" i="1"/>
  <c r="I461" i="1"/>
  <c r="I462" i="1"/>
  <c r="I463" i="1"/>
  <c r="I464" i="1"/>
  <c r="I465" i="1"/>
  <c r="I467" i="1"/>
  <c r="I468" i="1"/>
  <c r="I471" i="1"/>
  <c r="I472" i="1"/>
  <c r="I473" i="1"/>
  <c r="I474" i="1"/>
  <c r="I475" i="1"/>
  <c r="I476" i="1"/>
  <c r="I477" i="1"/>
  <c r="I479" i="1"/>
  <c r="I480" i="1"/>
  <c r="I481" i="1"/>
  <c r="I483" i="1"/>
  <c r="I484" i="1"/>
  <c r="I485" i="1"/>
  <c r="I486" i="1"/>
  <c r="I487" i="1"/>
  <c r="I488" i="1"/>
  <c r="I489" i="1"/>
  <c r="I491" i="1"/>
  <c r="I492" i="1"/>
  <c r="I493" i="1"/>
  <c r="I496" i="1"/>
  <c r="I497" i="1"/>
  <c r="I498" i="1"/>
  <c r="I499" i="1"/>
  <c r="I500" i="1"/>
  <c r="I501" i="1"/>
  <c r="I503" i="1"/>
  <c r="I504" i="1"/>
  <c r="I505" i="1"/>
  <c r="I507" i="1"/>
  <c r="I509" i="1"/>
  <c r="I510" i="1"/>
  <c r="I511" i="1"/>
  <c r="I512" i="1"/>
  <c r="I513" i="1"/>
  <c r="I515" i="1"/>
  <c r="I516" i="1"/>
  <c r="I517" i="1"/>
  <c r="I519" i="1"/>
  <c r="I520" i="1"/>
  <c r="I522" i="1"/>
  <c r="I523" i="1"/>
  <c r="I524" i="1"/>
  <c r="I525" i="1"/>
  <c r="I527" i="1"/>
  <c r="I528" i="1"/>
  <c r="I529" i="1"/>
  <c r="I531" i="1"/>
  <c r="I532" i="1"/>
  <c r="I533" i="1"/>
  <c r="I535" i="1"/>
  <c r="I536" i="1"/>
  <c r="I537" i="1"/>
  <c r="I539" i="1"/>
  <c r="I540" i="1"/>
  <c r="I541" i="1"/>
  <c r="I543" i="1"/>
  <c r="I544" i="1"/>
  <c r="I545" i="1"/>
  <c r="I546" i="1"/>
  <c r="I548" i="1"/>
  <c r="I549" i="1"/>
  <c r="I551" i="1"/>
  <c r="I552" i="1"/>
  <c r="I553" i="1"/>
  <c r="I555" i="1"/>
  <c r="I556" i="1"/>
  <c r="I557" i="1"/>
  <c r="I558" i="1"/>
  <c r="I559" i="1"/>
  <c r="I561" i="1"/>
  <c r="I563" i="1"/>
  <c r="I564" i="1"/>
  <c r="I565" i="1"/>
  <c r="I567" i="1"/>
  <c r="I568" i="1"/>
  <c r="I569" i="1"/>
  <c r="I570" i="1"/>
  <c r="I571" i="1"/>
  <c r="I572" i="1"/>
  <c r="I575" i="1"/>
  <c r="I576" i="1"/>
  <c r="I577" i="1"/>
  <c r="I578" i="1"/>
  <c r="I579" i="1"/>
  <c r="I580" i="1"/>
  <c r="I581" i="1"/>
  <c r="I582" i="1"/>
  <c r="I583" i="1"/>
  <c r="I584" i="1"/>
  <c r="I585" i="1"/>
  <c r="I588" i="1"/>
  <c r="I589" i="1"/>
  <c r="I591" i="1"/>
  <c r="I592" i="1"/>
  <c r="I593" i="1"/>
  <c r="I594" i="1"/>
  <c r="I595" i="1"/>
  <c r="I596" i="1"/>
  <c r="I597" i="1"/>
  <c r="I599" i="1"/>
  <c r="I601" i="1"/>
  <c r="I603" i="1"/>
  <c r="I604" i="1"/>
  <c r="I605" i="1"/>
  <c r="I606" i="1"/>
  <c r="I607" i="1"/>
  <c r="I608" i="1"/>
  <c r="I609" i="1"/>
  <c r="I611" i="1"/>
  <c r="I612" i="1"/>
  <c r="I615" i="1"/>
  <c r="I616" i="1"/>
  <c r="I617" i="1"/>
  <c r="I618" i="1"/>
  <c r="I619" i="1"/>
  <c r="I620" i="1"/>
  <c r="I621" i="1"/>
  <c r="I623" i="1"/>
  <c r="I624" i="1"/>
  <c r="I625" i="1"/>
  <c r="I627" i="1"/>
  <c r="I628" i="1"/>
  <c r="I629" i="1"/>
  <c r="I630" i="1"/>
  <c r="I631" i="1"/>
  <c r="I632" i="1"/>
  <c r="I633" i="1"/>
  <c r="I635" i="1"/>
  <c r="I636" i="1"/>
  <c r="I637" i="1"/>
  <c r="I640" i="1"/>
  <c r="I641" i="1"/>
  <c r="I642" i="1"/>
  <c r="I643" i="1"/>
  <c r="I644" i="1"/>
  <c r="I645" i="1"/>
  <c r="I647" i="1"/>
  <c r="I648" i="1"/>
  <c r="I649" i="1"/>
  <c r="I651" i="1"/>
  <c r="I653" i="1"/>
  <c r="I654" i="1"/>
  <c r="I655" i="1"/>
  <c r="I656" i="1"/>
  <c r="I657" i="1"/>
  <c r="I659" i="1"/>
  <c r="I660" i="1"/>
  <c r="I661" i="1"/>
  <c r="I663" i="1"/>
  <c r="I664" i="1"/>
  <c r="I666" i="1"/>
  <c r="J3" i="1"/>
  <c r="J4" i="1"/>
  <c r="K4" i="1" s="1"/>
  <c r="J5" i="1"/>
  <c r="K5" i="1" s="1"/>
  <c r="J6" i="1"/>
  <c r="J7" i="1"/>
  <c r="K7" i="1" s="1"/>
  <c r="J8" i="1"/>
  <c r="J9" i="1"/>
  <c r="L9" i="1" s="1"/>
  <c r="J10" i="1"/>
  <c r="K10" i="1" s="1"/>
  <c r="J11" i="1"/>
  <c r="K11" i="1" s="1"/>
  <c r="J12" i="1"/>
  <c r="J13" i="1"/>
  <c r="J14" i="1"/>
  <c r="J15" i="1"/>
  <c r="J16" i="1"/>
  <c r="K16" i="1" s="1"/>
  <c r="J17" i="1"/>
  <c r="K17" i="1" s="1"/>
  <c r="J18" i="1"/>
  <c r="J19" i="1"/>
  <c r="L19" i="1" s="1"/>
  <c r="J20" i="1"/>
  <c r="J21" i="1"/>
  <c r="L21" i="1" s="1"/>
  <c r="J22" i="1"/>
  <c r="L22" i="1" s="1"/>
  <c r="J23" i="1"/>
  <c r="L23" i="1" s="1"/>
  <c r="J24" i="1"/>
  <c r="J25" i="1"/>
  <c r="J26" i="1"/>
  <c r="J27" i="1"/>
  <c r="J28" i="1"/>
  <c r="K28" i="1" s="1"/>
  <c r="J29" i="1"/>
  <c r="K29" i="1" s="1"/>
  <c r="J30" i="1"/>
  <c r="J31" i="1"/>
  <c r="K31" i="1" s="1"/>
  <c r="J32" i="1"/>
  <c r="J33" i="1"/>
  <c r="K33" i="1" s="1"/>
  <c r="J34" i="1"/>
  <c r="L34" i="1" s="1"/>
  <c r="J35" i="1"/>
  <c r="K35" i="1" s="1"/>
  <c r="J36" i="1"/>
  <c r="J37" i="1"/>
  <c r="J38" i="1"/>
  <c r="J39" i="1"/>
  <c r="J40" i="1"/>
  <c r="K40" i="1" s="1"/>
  <c r="J41" i="1"/>
  <c r="L41" i="1" s="1"/>
  <c r="J42" i="1"/>
  <c r="J43" i="1"/>
  <c r="K43" i="1" s="1"/>
  <c r="J44" i="1"/>
  <c r="J45" i="1"/>
  <c r="K45" i="1" s="1"/>
  <c r="J46" i="1"/>
  <c r="K46" i="1" s="1"/>
  <c r="J47" i="1"/>
  <c r="K47" i="1" s="1"/>
  <c r="J48" i="1"/>
  <c r="J49" i="1"/>
  <c r="J50" i="1"/>
  <c r="J51" i="1"/>
  <c r="J52" i="1"/>
  <c r="K52" i="1" s="1"/>
  <c r="J53" i="1"/>
  <c r="K53" i="1" s="1"/>
  <c r="J54" i="1"/>
  <c r="J55" i="1"/>
  <c r="K55" i="1" s="1"/>
  <c r="J56" i="1"/>
  <c r="J57" i="1"/>
  <c r="K57" i="1" s="1"/>
  <c r="J58" i="1"/>
  <c r="K58" i="1" s="1"/>
  <c r="J59" i="1"/>
  <c r="K59" i="1" s="1"/>
  <c r="J60" i="1"/>
  <c r="J61" i="1"/>
  <c r="J62" i="1"/>
  <c r="J63" i="1"/>
  <c r="J64" i="1"/>
  <c r="K64" i="1" s="1"/>
  <c r="J65" i="1"/>
  <c r="K65" i="1" s="1"/>
  <c r="J66" i="1"/>
  <c r="J67" i="1"/>
  <c r="K67" i="1" s="1"/>
  <c r="J68" i="1"/>
  <c r="J69" i="1"/>
  <c r="K69" i="1" s="1"/>
  <c r="J70" i="1"/>
  <c r="K70" i="1" s="1"/>
  <c r="J71" i="1"/>
  <c r="K71" i="1" s="1"/>
  <c r="J72" i="1"/>
  <c r="J73" i="1"/>
  <c r="J74" i="1"/>
  <c r="J75" i="1"/>
  <c r="J76" i="1"/>
  <c r="K76" i="1" s="1"/>
  <c r="J77" i="1"/>
  <c r="K77" i="1" s="1"/>
  <c r="J78" i="1"/>
  <c r="J79" i="1"/>
  <c r="K79" i="1" s="1"/>
  <c r="J80" i="1"/>
  <c r="J81" i="1"/>
  <c r="K81" i="1" s="1"/>
  <c r="J82" i="1"/>
  <c r="L82" i="1" s="1"/>
  <c r="J83" i="1"/>
  <c r="K83" i="1" s="1"/>
  <c r="J84" i="1"/>
  <c r="J85" i="1"/>
  <c r="J86" i="1"/>
  <c r="J87" i="1"/>
  <c r="J88" i="1"/>
  <c r="K88" i="1" s="1"/>
  <c r="J89" i="1"/>
  <c r="K89" i="1" s="1"/>
  <c r="J90" i="1"/>
  <c r="J91" i="1"/>
  <c r="K91" i="1" s="1"/>
  <c r="J92" i="1"/>
  <c r="J93" i="1"/>
  <c r="K93" i="1" s="1"/>
  <c r="J94" i="1"/>
  <c r="L94" i="1" s="1"/>
  <c r="J95" i="1"/>
  <c r="K95" i="1" s="1"/>
  <c r="J96" i="1"/>
  <c r="J97" i="1"/>
  <c r="J98" i="1"/>
  <c r="J99" i="1"/>
  <c r="J100" i="1"/>
  <c r="K100" i="1" s="1"/>
  <c r="J101" i="1"/>
  <c r="K101" i="1" s="1"/>
  <c r="J102" i="1"/>
  <c r="J103" i="1"/>
  <c r="K103" i="1" s="1"/>
  <c r="J104" i="1"/>
  <c r="J105" i="1"/>
  <c r="K105" i="1" s="1"/>
  <c r="J106" i="1"/>
  <c r="K106" i="1" s="1"/>
  <c r="J107" i="1"/>
  <c r="K107" i="1" s="1"/>
  <c r="J108" i="1"/>
  <c r="J109" i="1"/>
  <c r="J110" i="1"/>
  <c r="J111" i="1"/>
  <c r="J112" i="1"/>
  <c r="K112" i="1" s="1"/>
  <c r="J113" i="1"/>
  <c r="K113" i="1" s="1"/>
  <c r="J114" i="1"/>
  <c r="J115" i="1"/>
  <c r="K115" i="1" s="1"/>
  <c r="J116" i="1"/>
  <c r="J117" i="1"/>
  <c r="K117" i="1" s="1"/>
  <c r="J118" i="1"/>
  <c r="L118" i="1" s="1"/>
  <c r="J119" i="1"/>
  <c r="K119" i="1" s="1"/>
  <c r="J120" i="1"/>
  <c r="J121" i="1"/>
  <c r="J122" i="1"/>
  <c r="J123" i="1"/>
  <c r="J124" i="1"/>
  <c r="K124" i="1" s="1"/>
  <c r="J125" i="1"/>
  <c r="K125" i="1" s="1"/>
  <c r="J126" i="1"/>
  <c r="J127" i="1"/>
  <c r="K127" i="1" s="1"/>
  <c r="J128" i="1"/>
  <c r="J129" i="1"/>
  <c r="K129" i="1" s="1"/>
  <c r="J130" i="1"/>
  <c r="L130" i="1" s="1"/>
  <c r="J131" i="1"/>
  <c r="K131" i="1" s="1"/>
  <c r="J132" i="1"/>
  <c r="J133" i="1"/>
  <c r="J134" i="1"/>
  <c r="J135" i="1"/>
  <c r="J136" i="1"/>
  <c r="K136" i="1" s="1"/>
  <c r="J137" i="1"/>
  <c r="K137" i="1" s="1"/>
  <c r="J138" i="1"/>
  <c r="J139" i="1"/>
  <c r="K139" i="1" s="1"/>
  <c r="J140" i="1"/>
  <c r="J141" i="1"/>
  <c r="K141" i="1" s="1"/>
  <c r="J142" i="1"/>
  <c r="K142" i="1" s="1"/>
  <c r="J143" i="1"/>
  <c r="K143" i="1" s="1"/>
  <c r="J144" i="1"/>
  <c r="J145" i="1"/>
  <c r="J146" i="1"/>
  <c r="J147" i="1"/>
  <c r="J148" i="1"/>
  <c r="K148" i="1" s="1"/>
  <c r="J149" i="1"/>
  <c r="K149" i="1" s="1"/>
  <c r="J150" i="1"/>
  <c r="J151" i="1"/>
  <c r="K151" i="1" s="1"/>
  <c r="J152" i="1"/>
  <c r="J153" i="1"/>
  <c r="K153" i="1" s="1"/>
  <c r="J154" i="1"/>
  <c r="L154" i="1" s="1"/>
  <c r="J155" i="1"/>
  <c r="K155" i="1" s="1"/>
  <c r="J156" i="1"/>
  <c r="J157" i="1"/>
  <c r="J158" i="1"/>
  <c r="J159" i="1"/>
  <c r="J160" i="1"/>
  <c r="K160" i="1" s="1"/>
  <c r="J161" i="1"/>
  <c r="K161" i="1" s="1"/>
  <c r="J162" i="1"/>
  <c r="J163" i="1"/>
  <c r="K163" i="1" s="1"/>
  <c r="J164" i="1"/>
  <c r="J165" i="1"/>
  <c r="K165" i="1" s="1"/>
  <c r="J166" i="1"/>
  <c r="K166" i="1" s="1"/>
  <c r="J167" i="1"/>
  <c r="K167" i="1" s="1"/>
  <c r="J168" i="1"/>
  <c r="J169" i="1"/>
  <c r="J170" i="1"/>
  <c r="J171" i="1"/>
  <c r="J172" i="1"/>
  <c r="K172" i="1" s="1"/>
  <c r="J173" i="1"/>
  <c r="K173" i="1" s="1"/>
  <c r="J174" i="1"/>
  <c r="J175" i="1"/>
  <c r="K175" i="1" s="1"/>
  <c r="J176" i="1"/>
  <c r="J177" i="1"/>
  <c r="K177" i="1" s="1"/>
  <c r="J178" i="1"/>
  <c r="K178" i="1" s="1"/>
  <c r="J179" i="1"/>
  <c r="K179" i="1" s="1"/>
  <c r="J180" i="1"/>
  <c r="J181" i="1"/>
  <c r="J182" i="1"/>
  <c r="J183" i="1"/>
  <c r="J184" i="1"/>
  <c r="K184" i="1" s="1"/>
  <c r="J185" i="1"/>
  <c r="K185" i="1" s="1"/>
  <c r="J186" i="1"/>
  <c r="J187" i="1"/>
  <c r="K187" i="1" s="1"/>
  <c r="J188" i="1"/>
  <c r="J189" i="1"/>
  <c r="K189" i="1" s="1"/>
  <c r="J190" i="1"/>
  <c r="K190" i="1" s="1"/>
  <c r="J191" i="1"/>
  <c r="K191" i="1" s="1"/>
  <c r="J192" i="1"/>
  <c r="J193" i="1"/>
  <c r="J194" i="1"/>
  <c r="J195" i="1"/>
  <c r="J196" i="1"/>
  <c r="K196" i="1" s="1"/>
  <c r="J197" i="1"/>
  <c r="K197" i="1" s="1"/>
  <c r="J198" i="1"/>
  <c r="J199" i="1"/>
  <c r="K199" i="1" s="1"/>
  <c r="J200" i="1"/>
  <c r="J201" i="1"/>
  <c r="K201" i="1" s="1"/>
  <c r="J202" i="1"/>
  <c r="K202" i="1" s="1"/>
  <c r="J203" i="1"/>
  <c r="K203" i="1" s="1"/>
  <c r="J204" i="1"/>
  <c r="J205" i="1"/>
  <c r="J206" i="1"/>
  <c r="J207" i="1"/>
  <c r="J208" i="1"/>
  <c r="K208" i="1" s="1"/>
  <c r="J209" i="1"/>
  <c r="K209" i="1" s="1"/>
  <c r="J210" i="1"/>
  <c r="J211" i="1"/>
  <c r="K211" i="1" s="1"/>
  <c r="J212" i="1"/>
  <c r="J213" i="1"/>
  <c r="K213" i="1" s="1"/>
  <c r="J214" i="1"/>
  <c r="L214" i="1" s="1"/>
  <c r="J215" i="1"/>
  <c r="K215" i="1" s="1"/>
  <c r="J216" i="1"/>
  <c r="J217" i="1"/>
  <c r="J218" i="1"/>
  <c r="J219" i="1"/>
  <c r="J220" i="1"/>
  <c r="K220" i="1" s="1"/>
  <c r="J221" i="1"/>
  <c r="K221" i="1" s="1"/>
  <c r="J222" i="1"/>
  <c r="J223" i="1"/>
  <c r="K223" i="1" s="1"/>
  <c r="J224" i="1"/>
  <c r="J225" i="1"/>
  <c r="K225" i="1" s="1"/>
  <c r="J226" i="1"/>
  <c r="K226" i="1" s="1"/>
  <c r="J227" i="1"/>
  <c r="K227" i="1" s="1"/>
  <c r="J228" i="1"/>
  <c r="J229" i="1"/>
  <c r="J230" i="1"/>
  <c r="J231" i="1"/>
  <c r="J232" i="1"/>
  <c r="K232" i="1" s="1"/>
  <c r="J233" i="1"/>
  <c r="K233" i="1" s="1"/>
  <c r="J234" i="1"/>
  <c r="J235" i="1"/>
  <c r="K235" i="1" s="1"/>
  <c r="J236" i="1"/>
  <c r="J237" i="1"/>
  <c r="K237" i="1" s="1"/>
  <c r="J238" i="1"/>
  <c r="L238" i="1" s="1"/>
  <c r="J239" i="1"/>
  <c r="K239" i="1" s="1"/>
  <c r="J240" i="1"/>
  <c r="J241" i="1"/>
  <c r="J242" i="1"/>
  <c r="J243" i="1"/>
  <c r="J244" i="1"/>
  <c r="K244" i="1" s="1"/>
  <c r="J245" i="1"/>
  <c r="K245" i="1" s="1"/>
  <c r="J246" i="1"/>
  <c r="J247" i="1"/>
  <c r="K247" i="1" s="1"/>
  <c r="J248" i="1"/>
  <c r="J249" i="1"/>
  <c r="K249" i="1" s="1"/>
  <c r="J250" i="1"/>
  <c r="L250" i="1" s="1"/>
  <c r="J251" i="1"/>
  <c r="K251" i="1" s="1"/>
  <c r="J252" i="1"/>
  <c r="J253" i="1"/>
  <c r="J254" i="1"/>
  <c r="J255" i="1"/>
  <c r="J256" i="1"/>
  <c r="K256" i="1" s="1"/>
  <c r="J257" i="1"/>
  <c r="K257" i="1" s="1"/>
  <c r="J258" i="1"/>
  <c r="J259" i="1"/>
  <c r="K259" i="1" s="1"/>
  <c r="J260" i="1"/>
  <c r="J261" i="1"/>
  <c r="L261" i="1" s="1"/>
  <c r="J262" i="1"/>
  <c r="K262" i="1" s="1"/>
  <c r="J263" i="1"/>
  <c r="K263" i="1" s="1"/>
  <c r="J264" i="1"/>
  <c r="J265" i="1"/>
  <c r="J266" i="1"/>
  <c r="J267" i="1"/>
  <c r="J268" i="1"/>
  <c r="K268" i="1" s="1"/>
  <c r="J269" i="1"/>
  <c r="K269" i="1" s="1"/>
  <c r="J270" i="1"/>
  <c r="J271" i="1"/>
  <c r="K271" i="1" s="1"/>
  <c r="J272" i="1"/>
  <c r="J273" i="1"/>
  <c r="K273" i="1" s="1"/>
  <c r="J274" i="1"/>
  <c r="L274" i="1" s="1"/>
  <c r="J275" i="1"/>
  <c r="K275" i="1" s="1"/>
  <c r="J276" i="1"/>
  <c r="J277" i="1"/>
  <c r="J278" i="1"/>
  <c r="J279" i="1"/>
  <c r="J280" i="1"/>
  <c r="K280" i="1" s="1"/>
  <c r="J281" i="1"/>
  <c r="K281" i="1" s="1"/>
  <c r="J282" i="1"/>
  <c r="J283" i="1"/>
  <c r="K283" i="1" s="1"/>
  <c r="J284" i="1"/>
  <c r="J285" i="1"/>
  <c r="K285" i="1" s="1"/>
  <c r="J286" i="1"/>
  <c r="L286" i="1" s="1"/>
  <c r="J287" i="1"/>
  <c r="K287" i="1" s="1"/>
  <c r="J288" i="1"/>
  <c r="J289" i="1"/>
  <c r="J290" i="1"/>
  <c r="J291" i="1"/>
  <c r="J292" i="1"/>
  <c r="K292" i="1" s="1"/>
  <c r="J293" i="1"/>
  <c r="K293" i="1" s="1"/>
  <c r="J294" i="1"/>
  <c r="J295" i="1"/>
  <c r="K295" i="1" s="1"/>
  <c r="J296" i="1"/>
  <c r="J297" i="1"/>
  <c r="L297" i="1" s="1"/>
  <c r="J298" i="1"/>
  <c r="L298" i="1" s="1"/>
  <c r="J299" i="1"/>
  <c r="K299" i="1" s="1"/>
  <c r="J300" i="1"/>
  <c r="J301" i="1"/>
  <c r="J302" i="1"/>
  <c r="J303" i="1"/>
  <c r="J304" i="1"/>
  <c r="K304" i="1" s="1"/>
  <c r="J305" i="1"/>
  <c r="K305" i="1" s="1"/>
  <c r="J306" i="1"/>
  <c r="J307" i="1"/>
  <c r="K307" i="1" s="1"/>
  <c r="J308" i="1"/>
  <c r="J309" i="1"/>
  <c r="K309" i="1" s="1"/>
  <c r="J310" i="1"/>
  <c r="K310" i="1" s="1"/>
  <c r="J311" i="1"/>
  <c r="K311" i="1" s="1"/>
  <c r="J312" i="1"/>
  <c r="J313" i="1"/>
  <c r="J314" i="1"/>
  <c r="J315" i="1"/>
  <c r="J316" i="1"/>
  <c r="K316" i="1" s="1"/>
  <c r="J317" i="1"/>
  <c r="K317" i="1" s="1"/>
  <c r="J318" i="1"/>
  <c r="J319" i="1"/>
  <c r="K319" i="1" s="1"/>
  <c r="J320" i="1"/>
  <c r="J321" i="1"/>
  <c r="K321" i="1" s="1"/>
  <c r="J322" i="1"/>
  <c r="K322" i="1" s="1"/>
  <c r="J323" i="1"/>
  <c r="K323" i="1" s="1"/>
  <c r="J324" i="1"/>
  <c r="J325" i="1"/>
  <c r="J326" i="1"/>
  <c r="J327" i="1"/>
  <c r="J328" i="1"/>
  <c r="K328" i="1" s="1"/>
  <c r="J329" i="1"/>
  <c r="K329" i="1" s="1"/>
  <c r="J330" i="1"/>
  <c r="J331" i="1"/>
  <c r="K331" i="1" s="1"/>
  <c r="J332" i="1"/>
  <c r="J333" i="1"/>
  <c r="K333" i="1" s="1"/>
  <c r="J334" i="1"/>
  <c r="K334" i="1" s="1"/>
  <c r="J335" i="1"/>
  <c r="K335" i="1" s="1"/>
  <c r="J336" i="1"/>
  <c r="J337" i="1"/>
  <c r="J338" i="1"/>
  <c r="J339" i="1"/>
  <c r="J340" i="1"/>
  <c r="K340" i="1" s="1"/>
  <c r="J341" i="1"/>
  <c r="K341" i="1" s="1"/>
  <c r="J342" i="1"/>
  <c r="J343" i="1"/>
  <c r="K343" i="1" s="1"/>
  <c r="J344" i="1"/>
  <c r="J345" i="1"/>
  <c r="K345" i="1" s="1"/>
  <c r="J346" i="1"/>
  <c r="K346" i="1" s="1"/>
  <c r="J347" i="1"/>
  <c r="K347" i="1" s="1"/>
  <c r="J348" i="1"/>
  <c r="J349" i="1"/>
  <c r="J350" i="1"/>
  <c r="J351" i="1"/>
  <c r="J352" i="1"/>
  <c r="K352" i="1" s="1"/>
  <c r="J353" i="1"/>
  <c r="K353" i="1" s="1"/>
  <c r="J354" i="1"/>
  <c r="J355" i="1"/>
  <c r="K355" i="1" s="1"/>
  <c r="J356" i="1"/>
  <c r="J357" i="1"/>
  <c r="K357" i="1" s="1"/>
  <c r="J358" i="1"/>
  <c r="L358" i="1" s="1"/>
  <c r="J359" i="1"/>
  <c r="K359" i="1" s="1"/>
  <c r="J360" i="1"/>
  <c r="J361" i="1"/>
  <c r="J362" i="1"/>
  <c r="J363" i="1"/>
  <c r="J364" i="1"/>
  <c r="K364" i="1" s="1"/>
  <c r="J365" i="1"/>
  <c r="K365" i="1" s="1"/>
  <c r="J366" i="1"/>
  <c r="J367" i="1"/>
  <c r="K367" i="1" s="1"/>
  <c r="J368" i="1"/>
  <c r="J369" i="1"/>
  <c r="L369" i="1" s="1"/>
  <c r="J370" i="1"/>
  <c r="K370" i="1" s="1"/>
  <c r="J371" i="1"/>
  <c r="K371" i="1" s="1"/>
  <c r="J372" i="1"/>
  <c r="J373" i="1"/>
  <c r="J374" i="1"/>
  <c r="J375" i="1"/>
  <c r="J376" i="1"/>
  <c r="K376" i="1" s="1"/>
  <c r="J377" i="1"/>
  <c r="K377" i="1" s="1"/>
  <c r="J378" i="1"/>
  <c r="K378" i="1" s="1"/>
  <c r="J379" i="1"/>
  <c r="K379" i="1" s="1"/>
  <c r="J380" i="1"/>
  <c r="J381" i="1"/>
  <c r="K381" i="1" s="1"/>
  <c r="J382" i="1"/>
  <c r="K382" i="1" s="1"/>
  <c r="J383" i="1"/>
  <c r="K383" i="1" s="1"/>
  <c r="J384" i="1"/>
  <c r="J385" i="1"/>
  <c r="J386" i="1"/>
  <c r="J387" i="1"/>
  <c r="K387" i="1" s="1"/>
  <c r="J388" i="1"/>
  <c r="K388" i="1" s="1"/>
  <c r="J389" i="1"/>
  <c r="K389" i="1" s="1"/>
  <c r="J390" i="1"/>
  <c r="K390" i="1" s="1"/>
  <c r="J391" i="1"/>
  <c r="K391" i="1" s="1"/>
  <c r="J392" i="1"/>
  <c r="J393" i="1"/>
  <c r="K393" i="1" s="1"/>
  <c r="J394" i="1"/>
  <c r="L394" i="1" s="1"/>
  <c r="J395" i="1"/>
  <c r="K395" i="1" s="1"/>
  <c r="J396" i="1"/>
  <c r="J397" i="1"/>
  <c r="J398" i="1"/>
  <c r="J399" i="1"/>
  <c r="K399" i="1" s="1"/>
  <c r="J400" i="1"/>
  <c r="K400" i="1" s="1"/>
  <c r="J401" i="1"/>
  <c r="K401" i="1" s="1"/>
  <c r="J402" i="1"/>
  <c r="K402" i="1" s="1"/>
  <c r="J403" i="1"/>
  <c r="K403" i="1" s="1"/>
  <c r="J404" i="1"/>
  <c r="J405" i="1"/>
  <c r="J406" i="1"/>
  <c r="L406" i="1" s="1"/>
  <c r="J407" i="1"/>
  <c r="K407" i="1" s="1"/>
  <c r="J408" i="1"/>
  <c r="J409" i="1"/>
  <c r="J410" i="1"/>
  <c r="J411" i="1"/>
  <c r="K411" i="1" s="1"/>
  <c r="J412" i="1"/>
  <c r="K412" i="1" s="1"/>
  <c r="J413" i="1"/>
  <c r="K413" i="1" s="1"/>
  <c r="J414" i="1"/>
  <c r="K414" i="1" s="1"/>
  <c r="J415" i="1"/>
  <c r="K415" i="1" s="1"/>
  <c r="J416" i="1"/>
  <c r="J417" i="1"/>
  <c r="K417" i="1" s="1"/>
  <c r="J418" i="1"/>
  <c r="L418" i="1" s="1"/>
  <c r="J419" i="1"/>
  <c r="K419" i="1" s="1"/>
  <c r="J420" i="1"/>
  <c r="J421" i="1"/>
  <c r="J422" i="1"/>
  <c r="J423" i="1"/>
  <c r="J424" i="1"/>
  <c r="L424" i="1" s="1"/>
  <c r="J425" i="1"/>
  <c r="K425" i="1" s="1"/>
  <c r="J426" i="1"/>
  <c r="K426" i="1" s="1"/>
  <c r="J427" i="1"/>
  <c r="K427" i="1" s="1"/>
  <c r="J428" i="1"/>
  <c r="J429" i="1"/>
  <c r="K429" i="1" s="1"/>
  <c r="J430" i="1"/>
  <c r="L430" i="1" s="1"/>
  <c r="J431" i="1"/>
  <c r="K431" i="1" s="1"/>
  <c r="J432" i="1"/>
  <c r="J433" i="1"/>
  <c r="J434" i="1"/>
  <c r="J435" i="1"/>
  <c r="J436" i="1"/>
  <c r="L436" i="1" s="1"/>
  <c r="J437" i="1"/>
  <c r="K437" i="1" s="1"/>
  <c r="J438" i="1"/>
  <c r="K438" i="1" s="1"/>
  <c r="J439" i="1"/>
  <c r="K439" i="1" s="1"/>
  <c r="J440" i="1"/>
  <c r="J441" i="1"/>
  <c r="K441" i="1" s="1"/>
  <c r="J442" i="1"/>
  <c r="L442" i="1" s="1"/>
  <c r="J443" i="1"/>
  <c r="K443" i="1" s="1"/>
  <c r="J444" i="1"/>
  <c r="J445" i="1"/>
  <c r="J446" i="1"/>
  <c r="J447" i="1"/>
  <c r="K447" i="1" s="1"/>
  <c r="J448" i="1"/>
  <c r="L448" i="1" s="1"/>
  <c r="J449" i="1"/>
  <c r="K449" i="1" s="1"/>
  <c r="J450" i="1"/>
  <c r="K450" i="1" s="1"/>
  <c r="J451" i="1"/>
  <c r="K451" i="1" s="1"/>
  <c r="J452" i="1"/>
  <c r="J453" i="1"/>
  <c r="K453" i="1" s="1"/>
  <c r="J454" i="1"/>
  <c r="K454" i="1" s="1"/>
  <c r="J455" i="1"/>
  <c r="K455" i="1" s="1"/>
  <c r="J456" i="1"/>
  <c r="J457" i="1"/>
  <c r="J458" i="1"/>
  <c r="J459" i="1"/>
  <c r="J460" i="1"/>
  <c r="L460" i="1" s="1"/>
  <c r="J461" i="1"/>
  <c r="K461" i="1" s="1"/>
  <c r="J462" i="1"/>
  <c r="K462" i="1" s="1"/>
  <c r="J463" i="1"/>
  <c r="K463" i="1" s="1"/>
  <c r="J464" i="1"/>
  <c r="J465" i="1"/>
  <c r="K465" i="1" s="1"/>
  <c r="J466" i="1"/>
  <c r="K466" i="1" s="1"/>
  <c r="J467" i="1"/>
  <c r="K467" i="1" s="1"/>
  <c r="J468" i="1"/>
  <c r="J469" i="1"/>
  <c r="J470" i="1"/>
  <c r="J471" i="1"/>
  <c r="K471" i="1" s="1"/>
  <c r="J472" i="1"/>
  <c r="L472" i="1" s="1"/>
  <c r="J473" i="1"/>
  <c r="K473" i="1" s="1"/>
  <c r="J474" i="1"/>
  <c r="K474" i="1" s="1"/>
  <c r="J475" i="1"/>
  <c r="K475" i="1" s="1"/>
  <c r="J476" i="1"/>
  <c r="J477" i="1"/>
  <c r="K477" i="1" s="1"/>
  <c r="J478" i="1"/>
  <c r="L478" i="1" s="1"/>
  <c r="J479" i="1"/>
  <c r="K479" i="1" s="1"/>
  <c r="J480" i="1"/>
  <c r="J481" i="1"/>
  <c r="J482" i="1"/>
  <c r="J483" i="1"/>
  <c r="K483" i="1" s="1"/>
  <c r="J484" i="1"/>
  <c r="K484" i="1" s="1"/>
  <c r="J485" i="1"/>
  <c r="K485" i="1" s="1"/>
  <c r="J486" i="1"/>
  <c r="K486" i="1" s="1"/>
  <c r="J487" i="1"/>
  <c r="K487" i="1" s="1"/>
  <c r="J488" i="1"/>
  <c r="J489" i="1"/>
  <c r="K489" i="1" s="1"/>
  <c r="J490" i="1"/>
  <c r="K490" i="1" s="1"/>
  <c r="J491" i="1"/>
  <c r="K491" i="1" s="1"/>
  <c r="J492" i="1"/>
  <c r="J493" i="1"/>
  <c r="J494" i="1"/>
  <c r="J495" i="1"/>
  <c r="J496" i="1"/>
  <c r="K496" i="1" s="1"/>
  <c r="J497" i="1"/>
  <c r="K497" i="1" s="1"/>
  <c r="J498" i="1"/>
  <c r="K498" i="1" s="1"/>
  <c r="J499" i="1"/>
  <c r="K499" i="1" s="1"/>
  <c r="J500" i="1"/>
  <c r="J501" i="1"/>
  <c r="K501" i="1" s="1"/>
  <c r="J502" i="1"/>
  <c r="L502" i="1" s="1"/>
  <c r="J503" i="1"/>
  <c r="K503" i="1" s="1"/>
  <c r="J504" i="1"/>
  <c r="J505" i="1"/>
  <c r="J506" i="1"/>
  <c r="J507" i="1"/>
  <c r="J508" i="1"/>
  <c r="K508" i="1" s="1"/>
  <c r="J509" i="1"/>
  <c r="K509" i="1" s="1"/>
  <c r="J510" i="1"/>
  <c r="K510" i="1" s="1"/>
  <c r="J511" i="1"/>
  <c r="K511" i="1" s="1"/>
  <c r="J512" i="1"/>
  <c r="J513" i="1"/>
  <c r="L513" i="1" s="1"/>
  <c r="J514" i="1"/>
  <c r="K514" i="1" s="1"/>
  <c r="J515" i="1"/>
  <c r="K515" i="1" s="1"/>
  <c r="J516" i="1"/>
  <c r="J517" i="1"/>
  <c r="J518" i="1"/>
  <c r="J519" i="1"/>
  <c r="K519" i="1" s="1"/>
  <c r="J520" i="1"/>
  <c r="K520" i="1" s="1"/>
  <c r="J521" i="1"/>
  <c r="K521" i="1" s="1"/>
  <c r="J522" i="1"/>
  <c r="K522" i="1" s="1"/>
  <c r="J523" i="1"/>
  <c r="K523" i="1" s="1"/>
  <c r="J524" i="1"/>
  <c r="J525" i="1"/>
  <c r="K525" i="1" s="1"/>
  <c r="J526" i="1"/>
  <c r="L526" i="1" s="1"/>
  <c r="J527" i="1"/>
  <c r="K527" i="1" s="1"/>
  <c r="J528" i="1"/>
  <c r="J529" i="1"/>
  <c r="J530" i="1"/>
  <c r="J531" i="1"/>
  <c r="J532" i="1"/>
  <c r="K532" i="1" s="1"/>
  <c r="J533" i="1"/>
  <c r="K533" i="1" s="1"/>
  <c r="J534" i="1"/>
  <c r="K534" i="1" s="1"/>
  <c r="J535" i="1"/>
  <c r="K535" i="1" s="1"/>
  <c r="J536" i="1"/>
  <c r="J537" i="1"/>
  <c r="L537" i="1" s="1"/>
  <c r="J538" i="1"/>
  <c r="L538" i="1" s="1"/>
  <c r="J539" i="1"/>
  <c r="K539" i="1" s="1"/>
  <c r="J540" i="1"/>
  <c r="J541" i="1"/>
  <c r="J542" i="1"/>
  <c r="J543" i="1"/>
  <c r="K543" i="1" s="1"/>
  <c r="J544" i="1"/>
  <c r="K544" i="1" s="1"/>
  <c r="J545" i="1"/>
  <c r="K545" i="1" s="1"/>
  <c r="J546" i="1"/>
  <c r="K546" i="1" s="1"/>
  <c r="J547" i="1"/>
  <c r="K547" i="1" s="1"/>
  <c r="J548" i="1"/>
  <c r="J549" i="1"/>
  <c r="J550" i="1"/>
  <c r="L550" i="1" s="1"/>
  <c r="J551" i="1"/>
  <c r="K551" i="1" s="1"/>
  <c r="J552" i="1"/>
  <c r="J553" i="1"/>
  <c r="J554" i="1"/>
  <c r="J555" i="1"/>
  <c r="K555" i="1" s="1"/>
  <c r="J556" i="1"/>
  <c r="K556" i="1" s="1"/>
  <c r="J557" i="1"/>
  <c r="K557" i="1" s="1"/>
  <c r="J558" i="1"/>
  <c r="K558" i="1" s="1"/>
  <c r="J559" i="1"/>
  <c r="K559" i="1" s="1"/>
  <c r="J560" i="1"/>
  <c r="J561" i="1"/>
  <c r="K561" i="1" s="1"/>
  <c r="J562" i="1"/>
  <c r="L562" i="1" s="1"/>
  <c r="J563" i="1"/>
  <c r="K563" i="1" s="1"/>
  <c r="J564" i="1"/>
  <c r="J565" i="1"/>
  <c r="J566" i="1"/>
  <c r="J567" i="1"/>
  <c r="J568" i="1"/>
  <c r="L568" i="1" s="1"/>
  <c r="J569" i="1"/>
  <c r="K569" i="1" s="1"/>
  <c r="J570" i="1"/>
  <c r="K570" i="1" s="1"/>
  <c r="J571" i="1"/>
  <c r="K571" i="1" s="1"/>
  <c r="J572" i="1"/>
  <c r="K572" i="1" s="1"/>
  <c r="J573" i="1"/>
  <c r="K573" i="1" s="1"/>
  <c r="J574" i="1"/>
  <c r="L574" i="1" s="1"/>
  <c r="J575" i="1"/>
  <c r="K575" i="1" s="1"/>
  <c r="J576" i="1"/>
  <c r="J577" i="1"/>
  <c r="J578" i="1"/>
  <c r="J579" i="1"/>
  <c r="J580" i="1"/>
  <c r="L580" i="1" s="1"/>
  <c r="J581" i="1"/>
  <c r="K581" i="1" s="1"/>
  <c r="J582" i="1"/>
  <c r="K582" i="1" s="1"/>
  <c r="J583" i="1"/>
  <c r="K583" i="1" s="1"/>
  <c r="J584" i="1"/>
  <c r="J585" i="1"/>
  <c r="K585" i="1" s="1"/>
  <c r="J586" i="1"/>
  <c r="L586" i="1" s="1"/>
  <c r="J587" i="1"/>
  <c r="K587" i="1" s="1"/>
  <c r="J588" i="1"/>
  <c r="J589" i="1"/>
  <c r="J590" i="1"/>
  <c r="J591" i="1"/>
  <c r="K591" i="1" s="1"/>
  <c r="J592" i="1"/>
  <c r="L592" i="1" s="1"/>
  <c r="J593" i="1"/>
  <c r="K593" i="1" s="1"/>
  <c r="J594" i="1"/>
  <c r="K594" i="1" s="1"/>
  <c r="J595" i="1"/>
  <c r="K595" i="1" s="1"/>
  <c r="J596" i="1"/>
  <c r="J597" i="1"/>
  <c r="K597" i="1" s="1"/>
  <c r="J598" i="1"/>
  <c r="K598" i="1" s="1"/>
  <c r="J599" i="1"/>
  <c r="K599" i="1" s="1"/>
  <c r="J600" i="1"/>
  <c r="J601" i="1"/>
  <c r="J602" i="1"/>
  <c r="J603" i="1"/>
  <c r="K603" i="1" s="1"/>
  <c r="J604" i="1"/>
  <c r="L604" i="1" s="1"/>
  <c r="J605" i="1"/>
  <c r="K605" i="1" s="1"/>
  <c r="J606" i="1"/>
  <c r="K606" i="1" s="1"/>
  <c r="J607" i="1"/>
  <c r="K607" i="1" s="1"/>
  <c r="J608" i="1"/>
  <c r="J609" i="1"/>
  <c r="L609" i="1" s="1"/>
  <c r="J610" i="1"/>
  <c r="K610" i="1" s="1"/>
  <c r="J611" i="1"/>
  <c r="K611" i="1" s="1"/>
  <c r="J612" i="1"/>
  <c r="J613" i="1"/>
  <c r="J614" i="1"/>
  <c r="J615" i="1"/>
  <c r="K615" i="1" s="1"/>
  <c r="J616" i="1"/>
  <c r="L616" i="1" s="1"/>
  <c r="J617" i="1"/>
  <c r="K617" i="1" s="1"/>
  <c r="J618" i="1"/>
  <c r="K618" i="1" s="1"/>
  <c r="J619" i="1"/>
  <c r="K619" i="1" s="1"/>
  <c r="J620" i="1"/>
  <c r="J621" i="1"/>
  <c r="K621" i="1" s="1"/>
  <c r="J622" i="1"/>
  <c r="K622" i="1" s="1"/>
  <c r="J623" i="1"/>
  <c r="K623" i="1" s="1"/>
  <c r="J624" i="1"/>
  <c r="J625" i="1"/>
  <c r="J626" i="1"/>
  <c r="J627" i="1"/>
  <c r="K627" i="1" s="1"/>
  <c r="J628" i="1"/>
  <c r="K628" i="1" s="1"/>
  <c r="J629" i="1"/>
  <c r="K629" i="1" s="1"/>
  <c r="J630" i="1"/>
  <c r="K630" i="1" s="1"/>
  <c r="J631" i="1"/>
  <c r="K631" i="1" s="1"/>
  <c r="J632" i="1"/>
  <c r="K632" i="1" s="1"/>
  <c r="J633" i="1"/>
  <c r="K633" i="1" s="1"/>
  <c r="J634" i="1"/>
  <c r="K634" i="1" s="1"/>
  <c r="J635" i="1"/>
  <c r="K635" i="1" s="1"/>
  <c r="J636" i="1"/>
  <c r="J637" i="1"/>
  <c r="J638" i="1"/>
  <c r="J639" i="1"/>
  <c r="K639" i="1" s="1"/>
  <c r="J640" i="1"/>
  <c r="K640" i="1" s="1"/>
  <c r="J641" i="1"/>
  <c r="K641" i="1" s="1"/>
  <c r="J642" i="1"/>
  <c r="K642" i="1" s="1"/>
  <c r="J643" i="1"/>
  <c r="K643" i="1" s="1"/>
  <c r="J644" i="1"/>
  <c r="J645" i="1"/>
  <c r="K645" i="1" s="1"/>
  <c r="J646" i="1"/>
  <c r="K646" i="1" s="1"/>
  <c r="J647" i="1"/>
  <c r="K647" i="1" s="1"/>
  <c r="J648" i="1"/>
  <c r="J649" i="1"/>
  <c r="J650" i="1"/>
  <c r="J651" i="1"/>
  <c r="J652" i="1"/>
  <c r="K652" i="1" s="1"/>
  <c r="J653" i="1"/>
  <c r="K653" i="1" s="1"/>
  <c r="J654" i="1"/>
  <c r="K654" i="1" s="1"/>
  <c r="J655" i="1"/>
  <c r="K655" i="1" s="1"/>
  <c r="J656" i="1"/>
  <c r="J657" i="1"/>
  <c r="K657" i="1" s="1"/>
  <c r="J658" i="1"/>
  <c r="K658" i="1" s="1"/>
  <c r="J659" i="1"/>
  <c r="K659" i="1" s="1"/>
  <c r="J660" i="1"/>
  <c r="J661" i="1"/>
  <c r="J662" i="1"/>
  <c r="J663" i="1"/>
  <c r="K663" i="1" s="1"/>
  <c r="J664" i="1"/>
  <c r="K664" i="1" s="1"/>
  <c r="J665" i="1"/>
  <c r="K665" i="1" s="1"/>
  <c r="J666" i="1"/>
  <c r="K666" i="1" s="1"/>
  <c r="K3" i="1"/>
  <c r="K6" i="1"/>
  <c r="K8" i="1"/>
  <c r="K9" i="1"/>
  <c r="K12" i="1"/>
  <c r="K13" i="1"/>
  <c r="K14" i="1"/>
  <c r="K15" i="1"/>
  <c r="K18" i="1"/>
  <c r="K19" i="1"/>
  <c r="K20" i="1"/>
  <c r="K24" i="1"/>
  <c r="K25" i="1"/>
  <c r="K26" i="1"/>
  <c r="K27" i="1"/>
  <c r="K30" i="1"/>
  <c r="K32" i="1"/>
  <c r="K36" i="1"/>
  <c r="K37" i="1"/>
  <c r="K38" i="1"/>
  <c r="K39" i="1"/>
  <c r="K42" i="1"/>
  <c r="K44" i="1"/>
  <c r="K48" i="1"/>
  <c r="K49" i="1"/>
  <c r="K50" i="1"/>
  <c r="K51" i="1"/>
  <c r="K54" i="1"/>
  <c r="K56" i="1"/>
  <c r="K60" i="1"/>
  <c r="K61" i="1"/>
  <c r="K62" i="1"/>
  <c r="K63" i="1"/>
  <c r="K66" i="1"/>
  <c r="K68" i="1"/>
  <c r="K72" i="1"/>
  <c r="K73" i="1"/>
  <c r="K74" i="1"/>
  <c r="K75" i="1"/>
  <c r="K78" i="1"/>
  <c r="K80" i="1"/>
  <c r="K84" i="1"/>
  <c r="K85" i="1"/>
  <c r="K86" i="1"/>
  <c r="K87" i="1"/>
  <c r="K90" i="1"/>
  <c r="K92" i="1"/>
  <c r="K96" i="1"/>
  <c r="K97" i="1"/>
  <c r="K98" i="1"/>
  <c r="K99" i="1"/>
  <c r="K102" i="1"/>
  <c r="K104" i="1"/>
  <c r="K108" i="1"/>
  <c r="K109" i="1"/>
  <c r="K110" i="1"/>
  <c r="K111" i="1"/>
  <c r="K114" i="1"/>
  <c r="K116" i="1"/>
  <c r="K120" i="1"/>
  <c r="K121" i="1"/>
  <c r="K122" i="1"/>
  <c r="K123" i="1"/>
  <c r="K126" i="1"/>
  <c r="K128" i="1"/>
  <c r="K132" i="1"/>
  <c r="K133" i="1"/>
  <c r="K134" i="1"/>
  <c r="K135" i="1"/>
  <c r="K138" i="1"/>
  <c r="K140" i="1"/>
  <c r="K144" i="1"/>
  <c r="K145" i="1"/>
  <c r="K146" i="1"/>
  <c r="K147" i="1"/>
  <c r="K150" i="1"/>
  <c r="K152" i="1"/>
  <c r="K156" i="1"/>
  <c r="K157" i="1"/>
  <c r="K158" i="1"/>
  <c r="K159" i="1"/>
  <c r="K162" i="1"/>
  <c r="K164" i="1"/>
  <c r="K168" i="1"/>
  <c r="K169" i="1"/>
  <c r="K170" i="1"/>
  <c r="K171" i="1"/>
  <c r="K174" i="1"/>
  <c r="K176" i="1"/>
  <c r="K180" i="1"/>
  <c r="K181" i="1"/>
  <c r="K182" i="1"/>
  <c r="K183" i="1"/>
  <c r="K186" i="1"/>
  <c r="K188" i="1"/>
  <c r="K192" i="1"/>
  <c r="K193" i="1"/>
  <c r="K194" i="1"/>
  <c r="K195" i="1"/>
  <c r="K198" i="1"/>
  <c r="K200" i="1"/>
  <c r="K204" i="1"/>
  <c r="K205" i="1"/>
  <c r="K206" i="1"/>
  <c r="K207" i="1"/>
  <c r="K210" i="1"/>
  <c r="K212" i="1"/>
  <c r="K216" i="1"/>
  <c r="K217" i="1"/>
  <c r="K218" i="1"/>
  <c r="K219" i="1"/>
  <c r="K222" i="1"/>
  <c r="K224" i="1"/>
  <c r="K228" i="1"/>
  <c r="K229" i="1"/>
  <c r="K230" i="1"/>
  <c r="K231" i="1"/>
  <c r="K234" i="1"/>
  <c r="K236" i="1"/>
  <c r="K240" i="1"/>
  <c r="K241" i="1"/>
  <c r="K242" i="1"/>
  <c r="K243" i="1"/>
  <c r="K246" i="1"/>
  <c r="K248" i="1"/>
  <c r="K252" i="1"/>
  <c r="K253" i="1"/>
  <c r="K254" i="1"/>
  <c r="K255" i="1"/>
  <c r="K258" i="1"/>
  <c r="K260" i="1"/>
  <c r="K264" i="1"/>
  <c r="K265" i="1"/>
  <c r="K266" i="1"/>
  <c r="K267" i="1"/>
  <c r="K270" i="1"/>
  <c r="K272" i="1"/>
  <c r="K276" i="1"/>
  <c r="K277" i="1"/>
  <c r="K278" i="1"/>
  <c r="K279" i="1"/>
  <c r="K282" i="1"/>
  <c r="K284" i="1"/>
  <c r="K288" i="1"/>
  <c r="K289" i="1"/>
  <c r="K290" i="1"/>
  <c r="K291" i="1"/>
  <c r="K294" i="1"/>
  <c r="K296" i="1"/>
  <c r="K300" i="1"/>
  <c r="K301" i="1"/>
  <c r="K302" i="1"/>
  <c r="K303" i="1"/>
  <c r="K306" i="1"/>
  <c r="K308" i="1"/>
  <c r="K312" i="1"/>
  <c r="K313" i="1"/>
  <c r="K314" i="1"/>
  <c r="K315" i="1"/>
  <c r="K318" i="1"/>
  <c r="K320" i="1"/>
  <c r="K324" i="1"/>
  <c r="K325" i="1"/>
  <c r="K326" i="1"/>
  <c r="K327" i="1"/>
  <c r="K330" i="1"/>
  <c r="K332" i="1"/>
  <c r="K336" i="1"/>
  <c r="K337" i="1"/>
  <c r="K338" i="1"/>
  <c r="K339" i="1"/>
  <c r="K342" i="1"/>
  <c r="K344" i="1"/>
  <c r="K348" i="1"/>
  <c r="K349" i="1"/>
  <c r="K350" i="1"/>
  <c r="K351" i="1"/>
  <c r="K354" i="1"/>
  <c r="K356" i="1"/>
  <c r="K360" i="1"/>
  <c r="K361" i="1"/>
  <c r="K362" i="1"/>
  <c r="K363" i="1"/>
  <c r="K366" i="1"/>
  <c r="K368" i="1"/>
  <c r="K369" i="1"/>
  <c r="K372" i="1"/>
  <c r="K373" i="1"/>
  <c r="K374" i="1"/>
  <c r="K375" i="1"/>
  <c r="K380" i="1"/>
  <c r="K384" i="1"/>
  <c r="K385" i="1"/>
  <c r="K386" i="1"/>
  <c r="K392" i="1"/>
  <c r="K396" i="1"/>
  <c r="K397" i="1"/>
  <c r="K398" i="1"/>
  <c r="K404" i="1"/>
  <c r="K405" i="1"/>
  <c r="K408" i="1"/>
  <c r="K409" i="1"/>
  <c r="K410" i="1"/>
  <c r="K416" i="1"/>
  <c r="K420" i="1"/>
  <c r="K421" i="1"/>
  <c r="K422" i="1"/>
  <c r="K423" i="1"/>
  <c r="K428" i="1"/>
  <c r="K432" i="1"/>
  <c r="K433" i="1"/>
  <c r="K434" i="1"/>
  <c r="K435" i="1"/>
  <c r="K440" i="1"/>
  <c r="K444" i="1"/>
  <c r="K445" i="1"/>
  <c r="K446" i="1"/>
  <c r="K452" i="1"/>
  <c r="K456" i="1"/>
  <c r="K457" i="1"/>
  <c r="K458" i="1"/>
  <c r="K459" i="1"/>
  <c r="K464" i="1"/>
  <c r="K468" i="1"/>
  <c r="K469" i="1"/>
  <c r="K470" i="1"/>
  <c r="K476" i="1"/>
  <c r="K480" i="1"/>
  <c r="K481" i="1"/>
  <c r="K482" i="1"/>
  <c r="K488" i="1"/>
  <c r="K492" i="1"/>
  <c r="K493" i="1"/>
  <c r="K494" i="1"/>
  <c r="K495" i="1"/>
  <c r="K500" i="1"/>
  <c r="K504" i="1"/>
  <c r="K505" i="1"/>
  <c r="K506" i="1"/>
  <c r="K507" i="1"/>
  <c r="K512" i="1"/>
  <c r="K516" i="1"/>
  <c r="K517" i="1"/>
  <c r="K518" i="1"/>
  <c r="K524" i="1"/>
  <c r="K528" i="1"/>
  <c r="K529" i="1"/>
  <c r="K530" i="1"/>
  <c r="K531" i="1"/>
  <c r="K536" i="1"/>
  <c r="K540" i="1"/>
  <c r="K541" i="1"/>
  <c r="K542" i="1"/>
  <c r="K548" i="1"/>
  <c r="K549" i="1"/>
  <c r="K552" i="1"/>
  <c r="K553" i="1"/>
  <c r="K554" i="1"/>
  <c r="K560" i="1"/>
  <c r="K564" i="1"/>
  <c r="K565" i="1"/>
  <c r="K566" i="1"/>
  <c r="K567" i="1"/>
  <c r="K576" i="1"/>
  <c r="K577" i="1"/>
  <c r="K578" i="1"/>
  <c r="K579" i="1"/>
  <c r="K584" i="1"/>
  <c r="K588" i="1"/>
  <c r="K589" i="1"/>
  <c r="K590" i="1"/>
  <c r="K596" i="1"/>
  <c r="K600" i="1"/>
  <c r="K601" i="1"/>
  <c r="K602" i="1"/>
  <c r="K608" i="1"/>
  <c r="K609" i="1"/>
  <c r="K612" i="1"/>
  <c r="K613" i="1"/>
  <c r="K614" i="1"/>
  <c r="K620" i="1"/>
  <c r="K624" i="1"/>
  <c r="K625" i="1"/>
  <c r="K626" i="1"/>
  <c r="K636" i="1"/>
  <c r="K637" i="1"/>
  <c r="K638" i="1"/>
  <c r="K644" i="1"/>
  <c r="K648" i="1"/>
  <c r="K649" i="1"/>
  <c r="K650" i="1"/>
  <c r="K651" i="1"/>
  <c r="K656" i="1"/>
  <c r="K660" i="1"/>
  <c r="K661" i="1"/>
  <c r="K662" i="1"/>
  <c r="L3" i="1"/>
  <c r="L6" i="1"/>
  <c r="L8" i="1"/>
  <c r="L12" i="1"/>
  <c r="L13" i="1"/>
  <c r="L14" i="1"/>
  <c r="L15" i="1"/>
  <c r="L18" i="1"/>
  <c r="L20" i="1"/>
  <c r="L24" i="1"/>
  <c r="L25" i="1"/>
  <c r="L26" i="1"/>
  <c r="L27" i="1"/>
  <c r="L30" i="1"/>
  <c r="L32" i="1"/>
  <c r="L33" i="1"/>
  <c r="L36" i="1"/>
  <c r="L37" i="1"/>
  <c r="L38" i="1"/>
  <c r="L39" i="1"/>
  <c r="L42" i="1"/>
  <c r="L44" i="1"/>
  <c r="L48" i="1"/>
  <c r="L49" i="1"/>
  <c r="L50" i="1"/>
  <c r="L51" i="1"/>
  <c r="L53" i="1"/>
  <c r="L54" i="1"/>
  <c r="L56" i="1"/>
  <c r="L60" i="1"/>
  <c r="L61" i="1"/>
  <c r="L62" i="1"/>
  <c r="L63" i="1"/>
  <c r="L65" i="1"/>
  <c r="L66" i="1"/>
  <c r="L68" i="1"/>
  <c r="L69" i="1"/>
  <c r="L72" i="1"/>
  <c r="L73" i="1"/>
  <c r="L74" i="1"/>
  <c r="L75" i="1"/>
  <c r="L77" i="1"/>
  <c r="L78" i="1"/>
  <c r="L80" i="1"/>
  <c r="L84" i="1"/>
  <c r="L85" i="1"/>
  <c r="L86" i="1"/>
  <c r="L87" i="1"/>
  <c r="L89" i="1"/>
  <c r="L90" i="1"/>
  <c r="L92" i="1"/>
  <c r="L96" i="1"/>
  <c r="L97" i="1"/>
  <c r="L98" i="1"/>
  <c r="L99" i="1"/>
  <c r="L101" i="1"/>
  <c r="L102" i="1"/>
  <c r="L104" i="1"/>
  <c r="L105" i="1"/>
  <c r="L108" i="1"/>
  <c r="L109" i="1"/>
  <c r="L110" i="1"/>
  <c r="L111" i="1"/>
  <c r="L113" i="1"/>
  <c r="L114" i="1"/>
  <c r="L116" i="1"/>
  <c r="L120" i="1"/>
  <c r="L121" i="1"/>
  <c r="L122" i="1"/>
  <c r="L123" i="1"/>
  <c r="L125" i="1"/>
  <c r="L126" i="1"/>
  <c r="L128" i="1"/>
  <c r="L132" i="1"/>
  <c r="L133" i="1"/>
  <c r="L134" i="1"/>
  <c r="L135" i="1"/>
  <c r="L137" i="1"/>
  <c r="L138" i="1"/>
  <c r="L139" i="1"/>
  <c r="L140" i="1"/>
  <c r="L144" i="1"/>
  <c r="L145" i="1"/>
  <c r="L146" i="1"/>
  <c r="L147" i="1"/>
  <c r="L149" i="1"/>
  <c r="L150" i="1"/>
  <c r="L152" i="1"/>
  <c r="L156" i="1"/>
  <c r="L157" i="1"/>
  <c r="L158" i="1"/>
  <c r="L159" i="1"/>
  <c r="L161" i="1"/>
  <c r="L162" i="1"/>
  <c r="L164" i="1"/>
  <c r="L165" i="1"/>
  <c r="L168" i="1"/>
  <c r="L169" i="1"/>
  <c r="L170" i="1"/>
  <c r="L171" i="1"/>
  <c r="L173" i="1"/>
  <c r="L174" i="1"/>
  <c r="L176" i="1"/>
  <c r="L180" i="1"/>
  <c r="L181" i="1"/>
  <c r="L182" i="1"/>
  <c r="L183" i="1"/>
  <c r="L185" i="1"/>
  <c r="L186" i="1"/>
  <c r="L187" i="1"/>
  <c r="L188" i="1"/>
  <c r="L192" i="1"/>
  <c r="L193" i="1"/>
  <c r="L194" i="1"/>
  <c r="L195" i="1"/>
  <c r="L197" i="1"/>
  <c r="L198" i="1"/>
  <c r="L200" i="1"/>
  <c r="L204" i="1"/>
  <c r="L205" i="1"/>
  <c r="L206" i="1"/>
  <c r="L207" i="1"/>
  <c r="L209" i="1"/>
  <c r="L210" i="1"/>
  <c r="L211" i="1"/>
  <c r="L212" i="1"/>
  <c r="L213" i="1"/>
  <c r="L216" i="1"/>
  <c r="L217" i="1"/>
  <c r="L218" i="1"/>
  <c r="L219" i="1"/>
  <c r="L221" i="1"/>
  <c r="L222" i="1"/>
  <c r="L224" i="1"/>
  <c r="L228" i="1"/>
  <c r="L229" i="1"/>
  <c r="L230" i="1"/>
  <c r="L231" i="1"/>
  <c r="L233" i="1"/>
  <c r="L234" i="1"/>
  <c r="L236" i="1"/>
  <c r="L240" i="1"/>
  <c r="L241" i="1"/>
  <c r="L242" i="1"/>
  <c r="L243" i="1"/>
  <c r="L245" i="1"/>
  <c r="L246" i="1"/>
  <c r="L248" i="1"/>
  <c r="L252" i="1"/>
  <c r="L253" i="1"/>
  <c r="L254" i="1"/>
  <c r="L255" i="1"/>
  <c r="L257" i="1"/>
  <c r="L258" i="1"/>
  <c r="L259" i="1"/>
  <c r="L260" i="1"/>
  <c r="L264" i="1"/>
  <c r="L265" i="1"/>
  <c r="L266" i="1"/>
  <c r="L267" i="1"/>
  <c r="L269" i="1"/>
  <c r="L270" i="1"/>
  <c r="L272" i="1"/>
  <c r="L273" i="1"/>
  <c r="L276" i="1"/>
  <c r="L277" i="1"/>
  <c r="L278" i="1"/>
  <c r="L279" i="1"/>
  <c r="L281" i="1"/>
  <c r="L282" i="1"/>
  <c r="L283" i="1"/>
  <c r="L284" i="1"/>
  <c r="L288" i="1"/>
  <c r="L289" i="1"/>
  <c r="L290" i="1"/>
  <c r="L291" i="1"/>
  <c r="L293" i="1"/>
  <c r="L294" i="1"/>
  <c r="L295" i="1"/>
  <c r="L296" i="1"/>
  <c r="L300" i="1"/>
  <c r="L301" i="1"/>
  <c r="L302" i="1"/>
  <c r="L303" i="1"/>
  <c r="L305" i="1"/>
  <c r="L306" i="1"/>
  <c r="L308" i="1"/>
  <c r="L312" i="1"/>
  <c r="L313" i="1"/>
  <c r="L314" i="1"/>
  <c r="L315" i="1"/>
  <c r="L317" i="1"/>
  <c r="L318" i="1"/>
  <c r="L319" i="1"/>
  <c r="L320" i="1"/>
  <c r="L324" i="1"/>
  <c r="L325" i="1"/>
  <c r="L326" i="1"/>
  <c r="L327" i="1"/>
  <c r="L329" i="1"/>
  <c r="L330" i="1"/>
  <c r="L331" i="1"/>
  <c r="L332" i="1"/>
  <c r="L333" i="1"/>
  <c r="L335" i="1"/>
  <c r="L336" i="1"/>
  <c r="L337" i="1"/>
  <c r="L338" i="1"/>
  <c r="L339" i="1"/>
  <c r="L341" i="1"/>
  <c r="L342" i="1"/>
  <c r="L343" i="1"/>
  <c r="L344" i="1"/>
  <c r="L348" i="1"/>
  <c r="L349" i="1"/>
  <c r="L350" i="1"/>
  <c r="L351" i="1"/>
  <c r="L353" i="1"/>
  <c r="L354" i="1"/>
  <c r="L355" i="1"/>
  <c r="L356" i="1"/>
  <c r="L360" i="1"/>
  <c r="L361" i="1"/>
  <c r="L362" i="1"/>
  <c r="L363" i="1"/>
  <c r="L365" i="1"/>
  <c r="L366" i="1"/>
  <c r="L367" i="1"/>
  <c r="L368" i="1"/>
  <c r="L372" i="1"/>
  <c r="L373" i="1"/>
  <c r="L374" i="1"/>
  <c r="L375" i="1"/>
  <c r="L377" i="1"/>
  <c r="L378" i="1"/>
  <c r="L379" i="1"/>
  <c r="L380" i="1"/>
  <c r="L384" i="1"/>
  <c r="L385" i="1"/>
  <c r="L386" i="1"/>
  <c r="L387" i="1"/>
  <c r="L389" i="1"/>
  <c r="L390" i="1"/>
  <c r="L391" i="1"/>
  <c r="L392" i="1"/>
  <c r="L396" i="1"/>
  <c r="L397" i="1"/>
  <c r="L398" i="1"/>
  <c r="L399" i="1"/>
  <c r="L401" i="1"/>
  <c r="L402" i="1"/>
  <c r="L403" i="1"/>
  <c r="L404" i="1"/>
  <c r="L405" i="1"/>
  <c r="L407" i="1"/>
  <c r="L408" i="1"/>
  <c r="L409" i="1"/>
  <c r="L410" i="1"/>
  <c r="L411" i="1"/>
  <c r="L413" i="1"/>
  <c r="L414" i="1"/>
  <c r="L415" i="1"/>
  <c r="L416" i="1"/>
  <c r="L420" i="1"/>
  <c r="L421" i="1"/>
  <c r="L422" i="1"/>
  <c r="L423" i="1"/>
  <c r="L425" i="1"/>
  <c r="L426" i="1"/>
  <c r="L427" i="1"/>
  <c r="L428" i="1"/>
  <c r="L432" i="1"/>
  <c r="L433" i="1"/>
  <c r="L434" i="1"/>
  <c r="L435" i="1"/>
  <c r="L437" i="1"/>
  <c r="L438" i="1"/>
  <c r="L439" i="1"/>
  <c r="L440" i="1"/>
  <c r="L444" i="1"/>
  <c r="L445" i="1"/>
  <c r="L446" i="1"/>
  <c r="L447" i="1"/>
  <c r="L449" i="1"/>
  <c r="L450" i="1"/>
  <c r="L451" i="1"/>
  <c r="L452" i="1"/>
  <c r="L456" i="1"/>
  <c r="L457" i="1"/>
  <c r="L458" i="1"/>
  <c r="L459" i="1"/>
  <c r="L461" i="1"/>
  <c r="L462" i="1"/>
  <c r="L463" i="1"/>
  <c r="L464" i="1"/>
  <c r="L468" i="1"/>
  <c r="L469" i="1"/>
  <c r="L470" i="1"/>
  <c r="L471" i="1"/>
  <c r="L473" i="1"/>
  <c r="L474" i="1"/>
  <c r="L475" i="1"/>
  <c r="L476" i="1"/>
  <c r="L477" i="1"/>
  <c r="L479" i="1"/>
  <c r="L480" i="1"/>
  <c r="L481" i="1"/>
  <c r="L482" i="1"/>
  <c r="L483" i="1"/>
  <c r="L485" i="1"/>
  <c r="L486" i="1"/>
  <c r="L487" i="1"/>
  <c r="L488" i="1"/>
  <c r="L492" i="1"/>
  <c r="L493" i="1"/>
  <c r="L494" i="1"/>
  <c r="L495" i="1"/>
  <c r="L497" i="1"/>
  <c r="L498" i="1"/>
  <c r="L499" i="1"/>
  <c r="L500" i="1"/>
  <c r="L504" i="1"/>
  <c r="L505" i="1"/>
  <c r="L506" i="1"/>
  <c r="L507" i="1"/>
  <c r="L509" i="1"/>
  <c r="L510" i="1"/>
  <c r="L511" i="1"/>
  <c r="L512" i="1"/>
  <c r="L516" i="1"/>
  <c r="L517" i="1"/>
  <c r="L518" i="1"/>
  <c r="L519" i="1"/>
  <c r="L521" i="1"/>
  <c r="L522" i="1"/>
  <c r="L523" i="1"/>
  <c r="L524" i="1"/>
  <c r="L528" i="1"/>
  <c r="L529" i="1"/>
  <c r="L530" i="1"/>
  <c r="L531" i="1"/>
  <c r="L533" i="1"/>
  <c r="L534" i="1"/>
  <c r="L535" i="1"/>
  <c r="L536" i="1"/>
  <c r="L540" i="1"/>
  <c r="L541" i="1"/>
  <c r="L542" i="1"/>
  <c r="L543" i="1"/>
  <c r="L545" i="1"/>
  <c r="L546" i="1"/>
  <c r="L547" i="1"/>
  <c r="L548" i="1"/>
  <c r="L549" i="1"/>
  <c r="L551" i="1"/>
  <c r="L552" i="1"/>
  <c r="L553" i="1"/>
  <c r="L554" i="1"/>
  <c r="L555" i="1"/>
  <c r="L557" i="1"/>
  <c r="L558" i="1"/>
  <c r="L559" i="1"/>
  <c r="L560" i="1"/>
  <c r="L564" i="1"/>
  <c r="L565" i="1"/>
  <c r="L566" i="1"/>
  <c r="L567" i="1"/>
  <c r="L569" i="1"/>
  <c r="L570" i="1"/>
  <c r="L571" i="1"/>
  <c r="L572" i="1"/>
  <c r="L576" i="1"/>
  <c r="L577" i="1"/>
  <c r="L578" i="1"/>
  <c r="L579" i="1"/>
  <c r="L581" i="1"/>
  <c r="L582" i="1"/>
  <c r="L583" i="1"/>
  <c r="L584" i="1"/>
  <c r="L588" i="1"/>
  <c r="L589" i="1"/>
  <c r="L590" i="1"/>
  <c r="L591" i="1"/>
  <c r="L593" i="1"/>
  <c r="L594" i="1"/>
  <c r="L595" i="1"/>
  <c r="L596" i="1"/>
  <c r="L600" i="1"/>
  <c r="L601" i="1"/>
  <c r="L602" i="1"/>
  <c r="L603" i="1"/>
  <c r="L605" i="1"/>
  <c r="L606" i="1"/>
  <c r="L607" i="1"/>
  <c r="L608" i="1"/>
  <c r="L612" i="1"/>
  <c r="L613" i="1"/>
  <c r="L614" i="1"/>
  <c r="L615" i="1"/>
  <c r="L617" i="1"/>
  <c r="L618" i="1"/>
  <c r="L619" i="1"/>
  <c r="L620" i="1"/>
  <c r="L621" i="1"/>
  <c r="L623" i="1"/>
  <c r="L624" i="1"/>
  <c r="L625" i="1"/>
  <c r="L626" i="1"/>
  <c r="L627" i="1"/>
  <c r="L629" i="1"/>
  <c r="L630" i="1"/>
  <c r="L631" i="1"/>
  <c r="L632" i="1"/>
  <c r="L636" i="1"/>
  <c r="L637" i="1"/>
  <c r="L638" i="1"/>
  <c r="L639" i="1"/>
  <c r="L641" i="1"/>
  <c r="L642" i="1"/>
  <c r="L643" i="1"/>
  <c r="L644" i="1"/>
  <c r="L648" i="1"/>
  <c r="L649" i="1"/>
  <c r="L650" i="1"/>
  <c r="L651" i="1"/>
  <c r="L653" i="1"/>
  <c r="L654" i="1"/>
  <c r="L655" i="1"/>
  <c r="L656" i="1"/>
  <c r="L660" i="1"/>
  <c r="L661" i="1"/>
  <c r="L662" i="1"/>
  <c r="L663" i="1"/>
  <c r="L665" i="1"/>
  <c r="L666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N3" i="1"/>
  <c r="M5" i="5" s="1"/>
  <c r="N4" i="1"/>
  <c r="M7" i="5" s="1"/>
  <c r="N5" i="1"/>
  <c r="M8" i="5" s="1"/>
  <c r="N7" i="1"/>
  <c r="M25" i="5" s="1"/>
  <c r="N8" i="1"/>
  <c r="M28" i="5" s="1"/>
  <c r="N9" i="1"/>
  <c r="M41" i="5" s="1"/>
  <c r="N10" i="1"/>
  <c r="M47" i="5" s="1"/>
  <c r="N11" i="1"/>
  <c r="M51" i="5" s="1"/>
  <c r="N12" i="1"/>
  <c r="M53" i="5" s="1"/>
  <c r="N13" i="1"/>
  <c r="N15" i="1"/>
  <c r="M57" i="5" s="1"/>
  <c r="N16" i="1"/>
  <c r="M59" i="5" s="1"/>
  <c r="N17" i="1"/>
  <c r="M60" i="5" s="1"/>
  <c r="N19" i="1"/>
  <c r="M62" i="5" s="1"/>
  <c r="N20" i="1"/>
  <c r="M63" i="5" s="1"/>
  <c r="N21" i="1"/>
  <c r="N22" i="1"/>
  <c r="M65" i="5" s="1"/>
  <c r="N23" i="1"/>
  <c r="M66" i="5" s="1"/>
  <c r="N24" i="1"/>
  <c r="M68" i="5" s="1"/>
  <c r="N25" i="1"/>
  <c r="M69" i="5" s="1"/>
  <c r="N27" i="1"/>
  <c r="M71" i="5" s="1"/>
  <c r="N28" i="1"/>
  <c r="M72" i="5" s="1"/>
  <c r="N29" i="1"/>
  <c r="M77" i="5" s="1"/>
  <c r="N31" i="1"/>
  <c r="M81" i="5" s="1"/>
  <c r="N32" i="1"/>
  <c r="M83" i="5" s="1"/>
  <c r="N33" i="1"/>
  <c r="M87" i="5" s="1"/>
  <c r="N34" i="1"/>
  <c r="M90" i="5" s="1"/>
  <c r="N35" i="1"/>
  <c r="M101" i="5" s="1"/>
  <c r="N36" i="1"/>
  <c r="M110" i="5" s="1"/>
  <c r="N37" i="1"/>
  <c r="M111" i="5" s="1"/>
  <c r="N39" i="1"/>
  <c r="M113" i="5" s="1"/>
  <c r="N40" i="1"/>
  <c r="M114" i="5" s="1"/>
  <c r="N41" i="1"/>
  <c r="M115" i="5" s="1"/>
  <c r="N43" i="1"/>
  <c r="M117" i="5" s="1"/>
  <c r="N44" i="1"/>
  <c r="M118" i="5" s="1"/>
  <c r="N45" i="1"/>
  <c r="M119" i="5" s="1"/>
  <c r="N46" i="1"/>
  <c r="M120" i="5" s="1"/>
  <c r="N47" i="1"/>
  <c r="M121" i="5" s="1"/>
  <c r="N48" i="1"/>
  <c r="M122" i="5" s="1"/>
  <c r="N49" i="1"/>
  <c r="M123" i="5" s="1"/>
  <c r="N51" i="1"/>
  <c r="M125" i="5" s="1"/>
  <c r="N52" i="1"/>
  <c r="M126" i="5" s="1"/>
  <c r="N53" i="1"/>
  <c r="M127" i="5" s="1"/>
  <c r="N55" i="1"/>
  <c r="M138" i="5" s="1"/>
  <c r="N56" i="1"/>
  <c r="M140" i="5" s="1"/>
  <c r="N57" i="1"/>
  <c r="M147" i="5" s="1"/>
  <c r="N58" i="1"/>
  <c r="M148" i="5" s="1"/>
  <c r="N59" i="1"/>
  <c r="M149" i="5" s="1"/>
  <c r="N60" i="1"/>
  <c r="M151" i="5" s="1"/>
  <c r="N61" i="1"/>
  <c r="M152" i="5" s="1"/>
  <c r="N63" i="1"/>
  <c r="M154" i="5" s="1"/>
  <c r="N64" i="1"/>
  <c r="M155" i="5" s="1"/>
  <c r="N65" i="1"/>
  <c r="M156" i="5" s="1"/>
  <c r="N67" i="1"/>
  <c r="N68" i="1"/>
  <c r="M159" i="5" s="1"/>
  <c r="N69" i="1"/>
  <c r="M161" i="5" s="1"/>
  <c r="N70" i="1"/>
  <c r="M162" i="5" s="1"/>
  <c r="N71" i="1"/>
  <c r="M163" i="5" s="1"/>
  <c r="N72" i="1"/>
  <c r="M164" i="5" s="1"/>
  <c r="N73" i="1"/>
  <c r="N75" i="1"/>
  <c r="M167" i="5" s="1"/>
  <c r="N76" i="1"/>
  <c r="M168" i="5" s="1"/>
  <c r="N77" i="1"/>
  <c r="M169" i="5" s="1"/>
  <c r="N79" i="1"/>
  <c r="M171" i="5" s="1"/>
  <c r="N80" i="1"/>
  <c r="M172" i="5" s="1"/>
  <c r="N81" i="1"/>
  <c r="M173" i="5" s="1"/>
  <c r="N82" i="1"/>
  <c r="M174" i="5" s="1"/>
  <c r="N83" i="1"/>
  <c r="M175" i="5" s="1"/>
  <c r="N84" i="1"/>
  <c r="M176" i="5" s="1"/>
  <c r="N85" i="1"/>
  <c r="N87" i="1"/>
  <c r="M179" i="5" s="1"/>
  <c r="N88" i="1"/>
  <c r="N89" i="1"/>
  <c r="M181" i="5" s="1"/>
  <c r="N91" i="1"/>
  <c r="M183" i="5" s="1"/>
  <c r="N92" i="1"/>
  <c r="M184" i="5" s="1"/>
  <c r="N93" i="1"/>
  <c r="M185" i="5" s="1"/>
  <c r="N94" i="1"/>
  <c r="M186" i="5" s="1"/>
  <c r="N95" i="1"/>
  <c r="M187" i="5" s="1"/>
  <c r="N96" i="1"/>
  <c r="M188" i="5" s="1"/>
  <c r="N97" i="1"/>
  <c r="M190" i="5" s="1"/>
  <c r="N99" i="1"/>
  <c r="M192" i="5" s="1"/>
  <c r="N100" i="1"/>
  <c r="M193" i="5" s="1"/>
  <c r="N101" i="1"/>
  <c r="M194" i="5" s="1"/>
  <c r="N103" i="1"/>
  <c r="N104" i="1"/>
  <c r="N105" i="1"/>
  <c r="M198" i="5" s="1"/>
  <c r="N107" i="1"/>
  <c r="M200" i="5" s="1"/>
  <c r="N108" i="1"/>
  <c r="M201" i="5" s="1"/>
  <c r="N109" i="1"/>
  <c r="M202" i="5" s="1"/>
  <c r="N111" i="1"/>
  <c r="M204" i="5" s="1"/>
  <c r="N112" i="1"/>
  <c r="M205" i="5" s="1"/>
  <c r="N113" i="1"/>
  <c r="M206" i="5" s="1"/>
  <c r="N114" i="1"/>
  <c r="M207" i="5" s="1"/>
  <c r="N116" i="1"/>
  <c r="N117" i="1"/>
  <c r="M211" i="5" s="1"/>
  <c r="N119" i="1"/>
  <c r="N120" i="1"/>
  <c r="M216" i="5" s="1"/>
  <c r="N121" i="1"/>
  <c r="M217" i="5" s="1"/>
  <c r="N123" i="1"/>
  <c r="M219" i="5" s="1"/>
  <c r="N124" i="1"/>
  <c r="M220" i="5" s="1"/>
  <c r="N125" i="1"/>
  <c r="M221" i="5" s="1"/>
  <c r="N126" i="1"/>
  <c r="M222" i="5" s="1"/>
  <c r="N127" i="1"/>
  <c r="M223" i="5" s="1"/>
  <c r="N129" i="1"/>
  <c r="M225" i="5" s="1"/>
  <c r="N131" i="1"/>
  <c r="M227" i="5" s="1"/>
  <c r="N132" i="1"/>
  <c r="M229" i="5" s="1"/>
  <c r="N133" i="1"/>
  <c r="M230" i="5" s="1"/>
  <c r="N135" i="1"/>
  <c r="M232" i="5" s="1"/>
  <c r="N136" i="1"/>
  <c r="N137" i="1"/>
  <c r="M234" i="5" s="1"/>
  <c r="N138" i="1"/>
  <c r="M236" i="5" s="1"/>
  <c r="N139" i="1"/>
  <c r="M237" i="5" s="1"/>
  <c r="N140" i="1"/>
  <c r="M238" i="5" s="1"/>
  <c r="N143" i="1"/>
  <c r="M243" i="5" s="1"/>
  <c r="N144" i="1"/>
  <c r="M244" i="5" s="1"/>
  <c r="N145" i="1"/>
  <c r="M245" i="5" s="1"/>
  <c r="N146" i="1"/>
  <c r="M246" i="5" s="1"/>
  <c r="N147" i="1"/>
  <c r="M247" i="5" s="1"/>
  <c r="N148" i="1"/>
  <c r="M248" i="5" s="1"/>
  <c r="N149" i="1"/>
  <c r="M249" i="5" s="1"/>
  <c r="N150" i="1"/>
  <c r="M250" i="5" s="1"/>
  <c r="N151" i="1"/>
  <c r="M251" i="5" s="1"/>
  <c r="N152" i="1"/>
  <c r="M252" i="5" s="1"/>
  <c r="N153" i="1"/>
  <c r="M253" i="5" s="1"/>
  <c r="N156" i="1"/>
  <c r="M256" i="5" s="1"/>
  <c r="N157" i="1"/>
  <c r="N159" i="1"/>
  <c r="M259" i="5" s="1"/>
  <c r="N160" i="1"/>
  <c r="M260" i="5" s="1"/>
  <c r="N161" i="1"/>
  <c r="M261" i="5" s="1"/>
  <c r="N162" i="1"/>
  <c r="N163" i="1"/>
  <c r="M263" i="5" s="1"/>
  <c r="N164" i="1"/>
  <c r="M264" i="5" s="1"/>
  <c r="N165" i="1"/>
  <c r="M265" i="5" s="1"/>
  <c r="N167" i="1"/>
  <c r="M267" i="5" s="1"/>
  <c r="N169" i="1"/>
  <c r="M269" i="5" s="1"/>
  <c r="N171" i="1"/>
  <c r="N172" i="1"/>
  <c r="M272" i="5" s="1"/>
  <c r="N173" i="1"/>
  <c r="M273" i="5" s="1"/>
  <c r="N174" i="1"/>
  <c r="M274" i="5" s="1"/>
  <c r="N175" i="1"/>
  <c r="M275" i="5" s="1"/>
  <c r="N176" i="1"/>
  <c r="M276" i="5" s="1"/>
  <c r="N177" i="1"/>
  <c r="N179" i="1"/>
  <c r="M279" i="5" s="1"/>
  <c r="N180" i="1"/>
  <c r="M280" i="5" s="1"/>
  <c r="N183" i="1"/>
  <c r="M283" i="5" s="1"/>
  <c r="N184" i="1"/>
  <c r="M284" i="5" s="1"/>
  <c r="N185" i="1"/>
  <c r="M285" i="5" s="1"/>
  <c r="N186" i="1"/>
  <c r="M286" i="5" s="1"/>
  <c r="N187" i="1"/>
  <c r="M287" i="5" s="1"/>
  <c r="N188" i="1"/>
  <c r="N189" i="1"/>
  <c r="M289" i="5" s="1"/>
  <c r="N191" i="1"/>
  <c r="M291" i="5" s="1"/>
  <c r="N192" i="1"/>
  <c r="M292" i="5" s="1"/>
  <c r="N193" i="1"/>
  <c r="M294" i="5" s="1"/>
  <c r="N195" i="1"/>
  <c r="M296" i="5" s="1"/>
  <c r="N196" i="1"/>
  <c r="M297" i="5" s="1"/>
  <c r="N197" i="1"/>
  <c r="M298" i="5" s="1"/>
  <c r="N198" i="1"/>
  <c r="M299" i="5" s="1"/>
  <c r="N199" i="1"/>
  <c r="M300" i="5" s="1"/>
  <c r="N200" i="1"/>
  <c r="M302" i="5" s="1"/>
  <c r="N201" i="1"/>
  <c r="M303" i="5" s="1"/>
  <c r="N203" i="1"/>
  <c r="M306" i="5" s="1"/>
  <c r="N204" i="1"/>
  <c r="M307" i="5" s="1"/>
  <c r="N205" i="1"/>
  <c r="M308" i="5" s="1"/>
  <c r="N208" i="1"/>
  <c r="M311" i="5" s="1"/>
  <c r="N209" i="1"/>
  <c r="N210" i="1"/>
  <c r="M313" i="5" s="1"/>
  <c r="N211" i="1"/>
  <c r="N212" i="1"/>
  <c r="M315" i="5" s="1"/>
  <c r="N213" i="1"/>
  <c r="M316" i="5" s="1"/>
  <c r="N215" i="1"/>
  <c r="M318" i="5" s="1"/>
  <c r="N216" i="1"/>
  <c r="M319" i="5" s="1"/>
  <c r="N217" i="1"/>
  <c r="M320" i="5" s="1"/>
  <c r="N219" i="1"/>
  <c r="M322" i="5" s="1"/>
  <c r="N221" i="1"/>
  <c r="M324" i="5" s="1"/>
  <c r="N222" i="1"/>
  <c r="M325" i="5" s="1"/>
  <c r="N223" i="1"/>
  <c r="M326" i="5" s="1"/>
  <c r="N224" i="1"/>
  <c r="N225" i="1"/>
  <c r="M328" i="5" s="1"/>
  <c r="N227" i="1"/>
  <c r="M330" i="5" s="1"/>
  <c r="N228" i="1"/>
  <c r="M331" i="5" s="1"/>
  <c r="N229" i="1"/>
  <c r="M332" i="5" s="1"/>
  <c r="N231" i="1"/>
  <c r="M335" i="5" s="1"/>
  <c r="N232" i="1"/>
  <c r="M336" i="5" s="1"/>
  <c r="N234" i="1"/>
  <c r="M339" i="5" s="1"/>
  <c r="N235" i="1"/>
  <c r="N236" i="1"/>
  <c r="M343" i="5" s="1"/>
  <c r="N237" i="1"/>
  <c r="M344" i="5" s="1"/>
  <c r="N239" i="1"/>
  <c r="M346" i="5" s="1"/>
  <c r="N240" i="1"/>
  <c r="M347" i="5" s="1"/>
  <c r="N241" i="1"/>
  <c r="M348" i="5" s="1"/>
  <c r="N243" i="1"/>
  <c r="N244" i="1"/>
  <c r="M356" i="5" s="1"/>
  <c r="N245" i="1"/>
  <c r="N247" i="1"/>
  <c r="N248" i="1"/>
  <c r="M388" i="5" s="1"/>
  <c r="N249" i="1"/>
  <c r="N251" i="1"/>
  <c r="N252" i="1"/>
  <c r="M428" i="5" s="1"/>
  <c r="N253" i="1"/>
  <c r="M448" i="5" s="1"/>
  <c r="N255" i="1"/>
  <c r="N256" i="1"/>
  <c r="N257" i="1"/>
  <c r="N258" i="1"/>
  <c r="N260" i="1"/>
  <c r="M470" i="5" s="1"/>
  <c r="N261" i="1"/>
  <c r="N263" i="1"/>
  <c r="N264" i="1"/>
  <c r="M499" i="5" s="1"/>
  <c r="N265" i="1"/>
  <c r="M505" i="5" s="1"/>
  <c r="N267" i="1"/>
  <c r="N268" i="1"/>
  <c r="N269" i="1"/>
  <c r="N270" i="1"/>
  <c r="M554" i="5" s="1"/>
  <c r="N271" i="1"/>
  <c r="N273" i="1"/>
  <c r="N275" i="1"/>
  <c r="N276" i="1"/>
  <c r="N277" i="1"/>
  <c r="N279" i="1"/>
  <c r="N280" i="1"/>
  <c r="N281" i="1"/>
  <c r="N282" i="1"/>
  <c r="N283" i="1"/>
  <c r="N284" i="1"/>
  <c r="N287" i="1"/>
  <c r="N288" i="1"/>
  <c r="N289" i="1"/>
  <c r="N290" i="1"/>
  <c r="N291" i="1"/>
  <c r="M683" i="5" s="1"/>
  <c r="N292" i="1"/>
  <c r="N293" i="1"/>
  <c r="M686" i="5" s="1"/>
  <c r="N294" i="1"/>
  <c r="M687" i="5" s="1"/>
  <c r="N295" i="1"/>
  <c r="M688" i="5" s="1"/>
  <c r="N296" i="1"/>
  <c r="N297" i="1"/>
  <c r="M692" i="5" s="1"/>
  <c r="N300" i="1"/>
  <c r="N301" i="1"/>
  <c r="N303" i="1"/>
  <c r="N304" i="1"/>
  <c r="N305" i="1"/>
  <c r="N306" i="1"/>
  <c r="N307" i="1"/>
  <c r="N308" i="1"/>
  <c r="N309" i="1"/>
  <c r="M738" i="5" s="1"/>
  <c r="N311" i="1"/>
  <c r="N313" i="1"/>
  <c r="N315" i="1"/>
  <c r="N316" i="1"/>
  <c r="N317" i="1"/>
  <c r="M765" i="5" s="1"/>
  <c r="N318" i="1"/>
  <c r="M766" i="5" s="1"/>
  <c r="N319" i="1"/>
  <c r="N320" i="1"/>
  <c r="N321" i="1"/>
  <c r="M789" i="5" s="1"/>
  <c r="N323" i="1"/>
  <c r="N324" i="1"/>
  <c r="N327" i="1"/>
  <c r="M802" i="5" s="1"/>
  <c r="N328" i="1"/>
  <c r="N329" i="1"/>
  <c r="N330" i="1"/>
  <c r="N331" i="1"/>
  <c r="N332" i="1"/>
  <c r="M811" i="5" s="1"/>
  <c r="N333" i="1"/>
  <c r="N335" i="1"/>
  <c r="N336" i="1"/>
  <c r="N337" i="1"/>
  <c r="N339" i="1"/>
  <c r="N340" i="1"/>
  <c r="M837" i="5" s="1"/>
  <c r="N341" i="1"/>
  <c r="N342" i="1"/>
  <c r="N343" i="1"/>
  <c r="N344" i="1"/>
  <c r="N345" i="1"/>
  <c r="N347" i="1"/>
  <c r="N348" i="1"/>
  <c r="N349" i="1"/>
  <c r="N352" i="1"/>
  <c r="N353" i="1"/>
  <c r="N354" i="1"/>
  <c r="N355" i="1"/>
  <c r="N356" i="1"/>
  <c r="N357" i="1"/>
  <c r="N359" i="1"/>
  <c r="N360" i="1"/>
  <c r="N361" i="1"/>
  <c r="N363" i="1"/>
  <c r="N365" i="1"/>
  <c r="N366" i="1"/>
  <c r="N367" i="1"/>
  <c r="N368" i="1"/>
  <c r="N369" i="1"/>
  <c r="N371" i="1"/>
  <c r="N372" i="1"/>
  <c r="N373" i="1"/>
  <c r="N375" i="1"/>
  <c r="N376" i="1"/>
  <c r="N378" i="1"/>
  <c r="N379" i="1"/>
  <c r="N380" i="1"/>
  <c r="M1011" i="5" s="1"/>
  <c r="N381" i="1"/>
  <c r="M1012" i="5" s="1"/>
  <c r="N383" i="1"/>
  <c r="N384" i="1"/>
  <c r="N385" i="1"/>
  <c r="M1022" i="5" s="1"/>
  <c r="N387" i="1"/>
  <c r="N388" i="1"/>
  <c r="N389" i="1"/>
  <c r="N391" i="1"/>
  <c r="N392" i="1"/>
  <c r="N393" i="1"/>
  <c r="N395" i="1"/>
  <c r="N396" i="1"/>
  <c r="M1052" i="5" s="1"/>
  <c r="N397" i="1"/>
  <c r="N399" i="1"/>
  <c r="N400" i="1"/>
  <c r="N401" i="1"/>
  <c r="N402" i="1"/>
  <c r="N404" i="1"/>
  <c r="M1104" i="5" s="1"/>
  <c r="N405" i="1"/>
  <c r="N407" i="1"/>
  <c r="N408" i="1"/>
  <c r="N409" i="1"/>
  <c r="N411" i="1"/>
  <c r="N412" i="1"/>
  <c r="N413" i="1"/>
  <c r="N414" i="1"/>
  <c r="N415" i="1"/>
  <c r="N417" i="1"/>
  <c r="N419" i="1"/>
  <c r="N420" i="1"/>
  <c r="N421" i="1"/>
  <c r="N423" i="1"/>
  <c r="M1167" i="5" s="1"/>
  <c r="N424" i="1"/>
  <c r="N425" i="1"/>
  <c r="N426" i="1"/>
  <c r="M1175" i="5" s="1"/>
  <c r="N427" i="1"/>
  <c r="N428" i="1"/>
  <c r="M1178" i="5" s="1"/>
  <c r="N431" i="1"/>
  <c r="M1184" i="5" s="1"/>
  <c r="N432" i="1"/>
  <c r="N433" i="1"/>
  <c r="M1188" i="5" s="1"/>
  <c r="N434" i="1"/>
  <c r="N435" i="1"/>
  <c r="M1192" i="5" s="1"/>
  <c r="N436" i="1"/>
  <c r="N437" i="1"/>
  <c r="N438" i="1"/>
  <c r="M1200" i="5" s="1"/>
  <c r="N439" i="1"/>
  <c r="N440" i="1"/>
  <c r="N441" i="1"/>
  <c r="M1222" i="5" s="1"/>
  <c r="N444" i="1"/>
  <c r="M1226" i="5" s="1"/>
  <c r="N445" i="1"/>
  <c r="N447" i="1"/>
  <c r="N448" i="1"/>
  <c r="N449" i="1"/>
  <c r="N450" i="1"/>
  <c r="N451" i="1"/>
  <c r="M1265" i="5" s="1"/>
  <c r="N452" i="1"/>
  <c r="M1266" i="5" s="1"/>
  <c r="N453" i="1"/>
  <c r="N455" i="1"/>
  <c r="M1273" i="5" s="1"/>
  <c r="N457" i="1"/>
  <c r="N459" i="1"/>
  <c r="M1288" i="5" s="1"/>
  <c r="N460" i="1"/>
  <c r="N461" i="1"/>
  <c r="M1291" i="5" s="1"/>
  <c r="N462" i="1"/>
  <c r="N463" i="1"/>
  <c r="M1294" i="5" s="1"/>
  <c r="N464" i="1"/>
  <c r="M1295" i="5" s="1"/>
  <c r="N465" i="1"/>
  <c r="M1296" i="5" s="1"/>
  <c r="N467" i="1"/>
  <c r="M1298" i="5" s="1"/>
  <c r="N468" i="1"/>
  <c r="N471" i="1"/>
  <c r="N472" i="1"/>
  <c r="N473" i="1"/>
  <c r="N474" i="1"/>
  <c r="M1328" i="5" s="1"/>
  <c r="N475" i="1"/>
  <c r="N476" i="1"/>
  <c r="M1334" i="5" s="1"/>
  <c r="N477" i="1"/>
  <c r="M1335" i="5" s="1"/>
  <c r="N479" i="1"/>
  <c r="N480" i="1"/>
  <c r="M1344" i="5" s="1"/>
  <c r="N481" i="1"/>
  <c r="N483" i="1"/>
  <c r="M1366" i="5" s="1"/>
  <c r="N484" i="1"/>
  <c r="N485" i="1"/>
  <c r="M1381" i="5" s="1"/>
  <c r="N486" i="1"/>
  <c r="N487" i="1"/>
  <c r="M1389" i="5" s="1"/>
  <c r="N488" i="1"/>
  <c r="N489" i="1"/>
  <c r="N491" i="1"/>
  <c r="M1411" i="5" s="1"/>
  <c r="N492" i="1"/>
  <c r="N493" i="1"/>
  <c r="N496" i="1"/>
  <c r="N497" i="1"/>
  <c r="M1458" i="5" s="1"/>
  <c r="N498" i="1"/>
  <c r="N499" i="1"/>
  <c r="N500" i="1"/>
  <c r="N501" i="1"/>
  <c r="N503" i="1"/>
  <c r="N504" i="1"/>
  <c r="N505" i="1"/>
  <c r="M1483" i="5" s="1"/>
  <c r="N507" i="1"/>
  <c r="N509" i="1"/>
  <c r="M1504" i="5" s="1"/>
  <c r="N510" i="1"/>
  <c r="N511" i="1"/>
  <c r="M1507" i="5" s="1"/>
  <c r="N512" i="1"/>
  <c r="M1508" i="5" s="1"/>
  <c r="N513" i="1"/>
  <c r="N515" i="1"/>
  <c r="M1514" i="5" s="1"/>
  <c r="N516" i="1"/>
  <c r="M1515" i="5" s="1"/>
  <c r="N517" i="1"/>
  <c r="M1516" i="5" s="1"/>
  <c r="N519" i="1"/>
  <c r="N520" i="1"/>
  <c r="M1531" i="5" s="1"/>
  <c r="N522" i="1"/>
  <c r="N523" i="1"/>
  <c r="M1535" i="5" s="1"/>
  <c r="N524" i="1"/>
  <c r="M1536" i="5" s="1"/>
  <c r="N525" i="1"/>
  <c r="M1537" i="5" s="1"/>
  <c r="N527" i="1"/>
  <c r="M1539" i="5" s="1"/>
  <c r="N528" i="1"/>
  <c r="M1540" i="5" s="1"/>
  <c r="N529" i="1"/>
  <c r="M1541" i="5" s="1"/>
  <c r="N531" i="1"/>
  <c r="M1543" i="5" s="1"/>
  <c r="N532" i="1"/>
  <c r="N533" i="1"/>
  <c r="M1546" i="5" s="1"/>
  <c r="N535" i="1"/>
  <c r="M1548" i="5" s="1"/>
  <c r="N536" i="1"/>
  <c r="M1549" i="5" s="1"/>
  <c r="N537" i="1"/>
  <c r="N539" i="1"/>
  <c r="N540" i="1"/>
  <c r="N541" i="1"/>
  <c r="N543" i="1"/>
  <c r="N544" i="1"/>
  <c r="N545" i="1"/>
  <c r="N546" i="1"/>
  <c r="M1592" i="5" s="1"/>
  <c r="N548" i="1"/>
  <c r="N549" i="1"/>
  <c r="N551" i="1"/>
  <c r="N552" i="1"/>
  <c r="N553" i="1"/>
  <c r="M1619" i="5" s="1"/>
  <c r="N555" i="1"/>
  <c r="N556" i="1"/>
  <c r="N557" i="1"/>
  <c r="M1636" i="5" s="1"/>
  <c r="N558" i="1"/>
  <c r="N559" i="1"/>
  <c r="N561" i="1"/>
  <c r="N563" i="1"/>
  <c r="N564" i="1"/>
  <c r="N565" i="1"/>
  <c r="N567" i="1"/>
  <c r="N568" i="1"/>
  <c r="M1673" i="5" s="1"/>
  <c r="N569" i="1"/>
  <c r="N570" i="1"/>
  <c r="N571" i="1"/>
  <c r="N572" i="1"/>
  <c r="N575" i="1"/>
  <c r="N576" i="1"/>
  <c r="N577" i="1"/>
  <c r="N578" i="1"/>
  <c r="N579" i="1"/>
  <c r="N580" i="1"/>
  <c r="N581" i="1"/>
  <c r="N582" i="1"/>
  <c r="N583" i="1"/>
  <c r="N584" i="1"/>
  <c r="N585" i="1"/>
  <c r="N588" i="1"/>
  <c r="N589" i="1"/>
  <c r="N591" i="1"/>
  <c r="N592" i="1"/>
  <c r="N593" i="1"/>
  <c r="N594" i="1"/>
  <c r="N595" i="1"/>
  <c r="N596" i="1"/>
  <c r="N597" i="1"/>
  <c r="N599" i="1"/>
  <c r="M1783" i="5" s="1"/>
  <c r="N601" i="1"/>
  <c r="M1785" i="5" s="1"/>
  <c r="N603" i="1"/>
  <c r="N604" i="1"/>
  <c r="M1791" i="5" s="1"/>
  <c r="N605" i="1"/>
  <c r="N606" i="1"/>
  <c r="N607" i="1"/>
  <c r="N608" i="1"/>
  <c r="N609" i="1"/>
  <c r="N611" i="1"/>
  <c r="N612" i="1"/>
  <c r="N615" i="1"/>
  <c r="N616" i="1"/>
  <c r="N617" i="1"/>
  <c r="N618" i="1"/>
  <c r="N619" i="1"/>
  <c r="N620" i="1"/>
  <c r="M1864" i="5" s="1"/>
  <c r="N621" i="1"/>
  <c r="N623" i="1"/>
  <c r="N624" i="1"/>
  <c r="M1878" i="5" s="1"/>
  <c r="N625" i="1"/>
  <c r="M1879" i="5" s="1"/>
  <c r="N627" i="1"/>
  <c r="N628" i="1"/>
  <c r="N629" i="1"/>
  <c r="N630" i="1"/>
  <c r="N631" i="1"/>
  <c r="N632" i="1"/>
  <c r="N633" i="1"/>
  <c r="M1916" i="5" s="1"/>
  <c r="N635" i="1"/>
  <c r="M1919" i="5" s="1"/>
  <c r="N636" i="1"/>
  <c r="N637" i="1"/>
  <c r="N640" i="1"/>
  <c r="N641" i="1"/>
  <c r="N642" i="1"/>
  <c r="N643" i="1"/>
  <c r="M1936" i="5" s="1"/>
  <c r="N644" i="1"/>
  <c r="N645" i="1"/>
  <c r="N647" i="1"/>
  <c r="N648" i="1"/>
  <c r="N649" i="1"/>
  <c r="N651" i="1"/>
  <c r="N653" i="1"/>
  <c r="N654" i="1"/>
  <c r="N655" i="1"/>
  <c r="N656" i="1"/>
  <c r="N657" i="1"/>
  <c r="N659" i="1"/>
  <c r="M1973" i="5" s="1"/>
  <c r="N660" i="1"/>
  <c r="N661" i="1"/>
  <c r="N663" i="1"/>
  <c r="N664" i="1"/>
  <c r="M1986" i="5" s="1"/>
  <c r="N666" i="1"/>
  <c r="M1991" i="5" s="1"/>
  <c r="O3" i="1"/>
  <c r="O4" i="1"/>
  <c r="O5" i="1"/>
  <c r="O6" i="1"/>
  <c r="O7" i="1"/>
  <c r="O8" i="1"/>
  <c r="O9" i="1"/>
  <c r="O10" i="1"/>
  <c r="P10" i="1" s="1"/>
  <c r="O11" i="1"/>
  <c r="O12" i="1"/>
  <c r="O13" i="1"/>
  <c r="O14" i="1"/>
  <c r="O15" i="1"/>
  <c r="O16" i="1"/>
  <c r="O17" i="1"/>
  <c r="O18" i="1"/>
  <c r="O19" i="1"/>
  <c r="O20" i="1"/>
  <c r="O21" i="1"/>
  <c r="O22" i="1"/>
  <c r="P22" i="1" s="1"/>
  <c r="O23" i="1"/>
  <c r="O24" i="1"/>
  <c r="O25" i="1"/>
  <c r="O26" i="1"/>
  <c r="O27" i="1"/>
  <c r="O28" i="1"/>
  <c r="O29" i="1"/>
  <c r="O30" i="1"/>
  <c r="O31" i="1"/>
  <c r="O32" i="1"/>
  <c r="O33" i="1"/>
  <c r="O34" i="1"/>
  <c r="P34" i="1" s="1"/>
  <c r="O35" i="1"/>
  <c r="O36" i="1"/>
  <c r="O37" i="1"/>
  <c r="O38" i="1"/>
  <c r="O39" i="1"/>
  <c r="O40" i="1"/>
  <c r="O41" i="1"/>
  <c r="O42" i="1"/>
  <c r="O43" i="1"/>
  <c r="O44" i="1"/>
  <c r="O45" i="1"/>
  <c r="O46" i="1"/>
  <c r="P46" i="1" s="1"/>
  <c r="O47" i="1"/>
  <c r="O48" i="1"/>
  <c r="O49" i="1"/>
  <c r="O50" i="1"/>
  <c r="O51" i="1"/>
  <c r="O52" i="1"/>
  <c r="O53" i="1"/>
  <c r="O54" i="1"/>
  <c r="O55" i="1"/>
  <c r="O56" i="1"/>
  <c r="O57" i="1"/>
  <c r="O58" i="1"/>
  <c r="P58" i="1" s="1"/>
  <c r="O59" i="1"/>
  <c r="O60" i="1"/>
  <c r="O61" i="1"/>
  <c r="O62" i="1"/>
  <c r="O63" i="1"/>
  <c r="O64" i="1"/>
  <c r="O65" i="1"/>
  <c r="O66" i="1"/>
  <c r="O67" i="1"/>
  <c r="O68" i="1"/>
  <c r="O69" i="1"/>
  <c r="O70" i="1"/>
  <c r="P70" i="1" s="1"/>
  <c r="O71" i="1"/>
  <c r="O72" i="1"/>
  <c r="O73" i="1"/>
  <c r="O74" i="1"/>
  <c r="O75" i="1"/>
  <c r="O76" i="1"/>
  <c r="O77" i="1"/>
  <c r="O78" i="1"/>
  <c r="O79" i="1"/>
  <c r="O80" i="1"/>
  <c r="O81" i="1"/>
  <c r="O82" i="1"/>
  <c r="P82" i="1" s="1"/>
  <c r="O83" i="1"/>
  <c r="O84" i="1"/>
  <c r="O85" i="1"/>
  <c r="O86" i="1"/>
  <c r="O87" i="1"/>
  <c r="O88" i="1"/>
  <c r="O89" i="1"/>
  <c r="O90" i="1"/>
  <c r="O91" i="1"/>
  <c r="O92" i="1"/>
  <c r="O93" i="1"/>
  <c r="O94" i="1"/>
  <c r="P94" i="1" s="1"/>
  <c r="O95" i="1"/>
  <c r="O96" i="1"/>
  <c r="O97" i="1"/>
  <c r="O98" i="1"/>
  <c r="O99" i="1"/>
  <c r="O100" i="1"/>
  <c r="O101" i="1"/>
  <c r="O102" i="1"/>
  <c r="O103" i="1"/>
  <c r="O104" i="1"/>
  <c r="O105" i="1"/>
  <c r="O106" i="1"/>
  <c r="P106" i="1" s="1"/>
  <c r="O107" i="1"/>
  <c r="O108" i="1"/>
  <c r="O109" i="1"/>
  <c r="O110" i="1"/>
  <c r="O111" i="1"/>
  <c r="O112" i="1"/>
  <c r="O113" i="1"/>
  <c r="O114" i="1"/>
  <c r="O115" i="1"/>
  <c r="O116" i="1"/>
  <c r="O117" i="1"/>
  <c r="O118" i="1"/>
  <c r="P118" i="1" s="1"/>
  <c r="O119" i="1"/>
  <c r="O120" i="1"/>
  <c r="O121" i="1"/>
  <c r="O122" i="1"/>
  <c r="O123" i="1"/>
  <c r="O124" i="1"/>
  <c r="O125" i="1"/>
  <c r="O126" i="1"/>
  <c r="O127" i="1"/>
  <c r="O128" i="1"/>
  <c r="O129" i="1"/>
  <c r="O130" i="1"/>
  <c r="P130" i="1" s="1"/>
  <c r="O131" i="1"/>
  <c r="O132" i="1"/>
  <c r="O133" i="1"/>
  <c r="O134" i="1"/>
  <c r="O135" i="1"/>
  <c r="O136" i="1"/>
  <c r="O137" i="1"/>
  <c r="O138" i="1"/>
  <c r="O139" i="1"/>
  <c r="O140" i="1"/>
  <c r="O141" i="1"/>
  <c r="O142" i="1"/>
  <c r="P142" i="1" s="1"/>
  <c r="O143" i="1"/>
  <c r="O144" i="1"/>
  <c r="O145" i="1"/>
  <c r="O146" i="1"/>
  <c r="O147" i="1"/>
  <c r="O148" i="1"/>
  <c r="O149" i="1"/>
  <c r="O150" i="1"/>
  <c r="O151" i="1"/>
  <c r="O152" i="1"/>
  <c r="O153" i="1"/>
  <c r="O154" i="1"/>
  <c r="P154" i="1" s="1"/>
  <c r="O155" i="1"/>
  <c r="O156" i="1"/>
  <c r="O157" i="1"/>
  <c r="O158" i="1"/>
  <c r="O159" i="1"/>
  <c r="O160" i="1"/>
  <c r="O161" i="1"/>
  <c r="O162" i="1"/>
  <c r="O163" i="1"/>
  <c r="O164" i="1"/>
  <c r="O165" i="1"/>
  <c r="O166" i="1"/>
  <c r="P166" i="1" s="1"/>
  <c r="O167" i="1"/>
  <c r="O168" i="1"/>
  <c r="O169" i="1"/>
  <c r="O170" i="1"/>
  <c r="O171" i="1"/>
  <c r="O172" i="1"/>
  <c r="O173" i="1"/>
  <c r="O174" i="1"/>
  <c r="O175" i="1"/>
  <c r="O176" i="1"/>
  <c r="O177" i="1"/>
  <c r="O178" i="1"/>
  <c r="P178" i="1" s="1"/>
  <c r="O179" i="1"/>
  <c r="O180" i="1"/>
  <c r="O181" i="1"/>
  <c r="O182" i="1"/>
  <c r="O183" i="1"/>
  <c r="O184" i="1"/>
  <c r="O185" i="1"/>
  <c r="O186" i="1"/>
  <c r="O187" i="1"/>
  <c r="O188" i="1"/>
  <c r="O189" i="1"/>
  <c r="O190" i="1"/>
  <c r="P190" i="1" s="1"/>
  <c r="O191" i="1"/>
  <c r="O192" i="1"/>
  <c r="O193" i="1"/>
  <c r="O194" i="1"/>
  <c r="O195" i="1"/>
  <c r="O196" i="1"/>
  <c r="O197" i="1"/>
  <c r="O198" i="1"/>
  <c r="O199" i="1"/>
  <c r="O200" i="1"/>
  <c r="O201" i="1"/>
  <c r="O202" i="1"/>
  <c r="P202" i="1" s="1"/>
  <c r="O203" i="1"/>
  <c r="O204" i="1"/>
  <c r="O205" i="1"/>
  <c r="O206" i="1"/>
  <c r="O207" i="1"/>
  <c r="O208" i="1"/>
  <c r="O209" i="1"/>
  <c r="O210" i="1"/>
  <c r="O211" i="1"/>
  <c r="O212" i="1"/>
  <c r="O213" i="1"/>
  <c r="O214" i="1"/>
  <c r="P214" i="1" s="1"/>
  <c r="O215" i="1"/>
  <c r="O216" i="1"/>
  <c r="O217" i="1"/>
  <c r="O218" i="1"/>
  <c r="O219" i="1"/>
  <c r="O220" i="1"/>
  <c r="O221" i="1"/>
  <c r="O222" i="1"/>
  <c r="O223" i="1"/>
  <c r="O224" i="1"/>
  <c r="O225" i="1"/>
  <c r="O226" i="1"/>
  <c r="P226" i="1" s="1"/>
  <c r="O227" i="1"/>
  <c r="O228" i="1"/>
  <c r="O229" i="1"/>
  <c r="O230" i="1"/>
  <c r="O231" i="1"/>
  <c r="O232" i="1"/>
  <c r="O233" i="1"/>
  <c r="O234" i="1"/>
  <c r="O235" i="1"/>
  <c r="O236" i="1"/>
  <c r="O237" i="1"/>
  <c r="O238" i="1"/>
  <c r="P238" i="1" s="1"/>
  <c r="O239" i="1"/>
  <c r="O240" i="1"/>
  <c r="O241" i="1"/>
  <c r="O242" i="1"/>
  <c r="O243" i="1"/>
  <c r="O244" i="1"/>
  <c r="O245" i="1"/>
  <c r="O246" i="1"/>
  <c r="O247" i="1"/>
  <c r="O248" i="1"/>
  <c r="O249" i="1"/>
  <c r="O250" i="1"/>
  <c r="P250" i="1" s="1"/>
  <c r="O251" i="1"/>
  <c r="O252" i="1"/>
  <c r="O253" i="1"/>
  <c r="O254" i="1"/>
  <c r="O255" i="1"/>
  <c r="O256" i="1"/>
  <c r="O257" i="1"/>
  <c r="O258" i="1"/>
  <c r="O259" i="1"/>
  <c r="O260" i="1"/>
  <c r="O261" i="1"/>
  <c r="O262" i="1"/>
  <c r="P262" i="1" s="1"/>
  <c r="O263" i="1"/>
  <c r="O264" i="1"/>
  <c r="O265" i="1"/>
  <c r="O266" i="1"/>
  <c r="O267" i="1"/>
  <c r="O268" i="1"/>
  <c r="O269" i="1"/>
  <c r="O270" i="1"/>
  <c r="O271" i="1"/>
  <c r="O272" i="1"/>
  <c r="O273" i="1"/>
  <c r="O274" i="1"/>
  <c r="P274" i="1" s="1"/>
  <c r="O275" i="1"/>
  <c r="O276" i="1"/>
  <c r="O277" i="1"/>
  <c r="O278" i="1"/>
  <c r="O279" i="1"/>
  <c r="O280" i="1"/>
  <c r="O281" i="1"/>
  <c r="O282" i="1"/>
  <c r="O283" i="1"/>
  <c r="O284" i="1"/>
  <c r="O285" i="1"/>
  <c r="O286" i="1"/>
  <c r="P286" i="1" s="1"/>
  <c r="O287" i="1"/>
  <c r="O288" i="1"/>
  <c r="O289" i="1"/>
  <c r="O290" i="1"/>
  <c r="O291" i="1"/>
  <c r="O292" i="1"/>
  <c r="O293" i="1"/>
  <c r="O294" i="1"/>
  <c r="O295" i="1"/>
  <c r="O296" i="1"/>
  <c r="O297" i="1"/>
  <c r="O298" i="1"/>
  <c r="P298" i="1" s="1"/>
  <c r="O299" i="1"/>
  <c r="O300" i="1"/>
  <c r="O301" i="1"/>
  <c r="O302" i="1"/>
  <c r="O303" i="1"/>
  <c r="O304" i="1"/>
  <c r="O305" i="1"/>
  <c r="O306" i="1"/>
  <c r="O307" i="1"/>
  <c r="O308" i="1"/>
  <c r="O309" i="1"/>
  <c r="O310" i="1"/>
  <c r="P310" i="1" s="1"/>
  <c r="O311" i="1"/>
  <c r="O312" i="1"/>
  <c r="O313" i="1"/>
  <c r="O314" i="1"/>
  <c r="O315" i="1"/>
  <c r="O316" i="1"/>
  <c r="O317" i="1"/>
  <c r="O318" i="1"/>
  <c r="O319" i="1"/>
  <c r="O320" i="1"/>
  <c r="O321" i="1"/>
  <c r="O322" i="1"/>
  <c r="P322" i="1" s="1"/>
  <c r="O323" i="1"/>
  <c r="O324" i="1"/>
  <c r="O325" i="1"/>
  <c r="O326" i="1"/>
  <c r="O327" i="1"/>
  <c r="O328" i="1"/>
  <c r="O329" i="1"/>
  <c r="O330" i="1"/>
  <c r="O331" i="1"/>
  <c r="O332" i="1"/>
  <c r="O333" i="1"/>
  <c r="O334" i="1"/>
  <c r="P334" i="1" s="1"/>
  <c r="O335" i="1"/>
  <c r="O336" i="1"/>
  <c r="O337" i="1"/>
  <c r="O338" i="1"/>
  <c r="O339" i="1"/>
  <c r="O340" i="1"/>
  <c r="O341" i="1"/>
  <c r="O342" i="1"/>
  <c r="O343" i="1"/>
  <c r="O344" i="1"/>
  <c r="O345" i="1"/>
  <c r="O346" i="1"/>
  <c r="P346" i="1" s="1"/>
  <c r="O347" i="1"/>
  <c r="O348" i="1"/>
  <c r="O349" i="1"/>
  <c r="O350" i="1"/>
  <c r="O351" i="1"/>
  <c r="O352" i="1"/>
  <c r="O353" i="1"/>
  <c r="O354" i="1"/>
  <c r="O355" i="1"/>
  <c r="O356" i="1"/>
  <c r="O357" i="1"/>
  <c r="O358" i="1"/>
  <c r="P358" i="1" s="1"/>
  <c r="O359" i="1"/>
  <c r="O360" i="1"/>
  <c r="O361" i="1"/>
  <c r="O362" i="1"/>
  <c r="O363" i="1"/>
  <c r="O364" i="1"/>
  <c r="O365" i="1"/>
  <c r="O366" i="1"/>
  <c r="O367" i="1"/>
  <c r="O368" i="1"/>
  <c r="O369" i="1"/>
  <c r="O370" i="1"/>
  <c r="P370" i="1" s="1"/>
  <c r="O371" i="1"/>
  <c r="O372" i="1"/>
  <c r="O373" i="1"/>
  <c r="O374" i="1"/>
  <c r="O375" i="1"/>
  <c r="O376" i="1"/>
  <c r="O377" i="1"/>
  <c r="O378" i="1"/>
  <c r="O379" i="1"/>
  <c r="O380" i="1"/>
  <c r="O381" i="1"/>
  <c r="O382" i="1"/>
  <c r="P382" i="1" s="1"/>
  <c r="O383" i="1"/>
  <c r="O384" i="1"/>
  <c r="O385" i="1"/>
  <c r="O386" i="1"/>
  <c r="O387" i="1"/>
  <c r="O388" i="1"/>
  <c r="O389" i="1"/>
  <c r="O390" i="1"/>
  <c r="O391" i="1"/>
  <c r="O392" i="1"/>
  <c r="O393" i="1"/>
  <c r="O394" i="1"/>
  <c r="P394" i="1" s="1"/>
  <c r="O395" i="1"/>
  <c r="O396" i="1"/>
  <c r="O397" i="1"/>
  <c r="O398" i="1"/>
  <c r="O399" i="1"/>
  <c r="O400" i="1"/>
  <c r="O401" i="1"/>
  <c r="O402" i="1"/>
  <c r="O403" i="1"/>
  <c r="O404" i="1"/>
  <c r="O405" i="1"/>
  <c r="O406" i="1"/>
  <c r="P406" i="1" s="1"/>
  <c r="O407" i="1"/>
  <c r="O408" i="1"/>
  <c r="O409" i="1"/>
  <c r="O410" i="1"/>
  <c r="O411" i="1"/>
  <c r="O412" i="1"/>
  <c r="O413" i="1"/>
  <c r="O414" i="1"/>
  <c r="O415" i="1"/>
  <c r="O416" i="1"/>
  <c r="O417" i="1"/>
  <c r="O418" i="1"/>
  <c r="P418" i="1" s="1"/>
  <c r="O419" i="1"/>
  <c r="O420" i="1"/>
  <c r="O421" i="1"/>
  <c r="O422" i="1"/>
  <c r="O423" i="1"/>
  <c r="O424" i="1"/>
  <c r="O425" i="1"/>
  <c r="O426" i="1"/>
  <c r="O427" i="1"/>
  <c r="O428" i="1"/>
  <c r="O429" i="1"/>
  <c r="O430" i="1"/>
  <c r="P430" i="1" s="1"/>
  <c r="O431" i="1"/>
  <c r="O432" i="1"/>
  <c r="O433" i="1"/>
  <c r="O434" i="1"/>
  <c r="O435" i="1"/>
  <c r="O436" i="1"/>
  <c r="O437" i="1"/>
  <c r="O438" i="1"/>
  <c r="O439" i="1"/>
  <c r="O440" i="1"/>
  <c r="O441" i="1"/>
  <c r="O442" i="1"/>
  <c r="P442" i="1" s="1"/>
  <c r="O443" i="1"/>
  <c r="O444" i="1"/>
  <c r="O445" i="1"/>
  <c r="O446" i="1"/>
  <c r="O447" i="1"/>
  <c r="O448" i="1"/>
  <c r="O449" i="1"/>
  <c r="O450" i="1"/>
  <c r="O451" i="1"/>
  <c r="O452" i="1"/>
  <c r="O453" i="1"/>
  <c r="O454" i="1"/>
  <c r="P454" i="1" s="1"/>
  <c r="O455" i="1"/>
  <c r="O456" i="1"/>
  <c r="O457" i="1"/>
  <c r="O458" i="1"/>
  <c r="O459" i="1"/>
  <c r="O460" i="1"/>
  <c r="O461" i="1"/>
  <c r="O462" i="1"/>
  <c r="O463" i="1"/>
  <c r="O464" i="1"/>
  <c r="O465" i="1"/>
  <c r="O466" i="1"/>
  <c r="P466" i="1" s="1"/>
  <c r="O467" i="1"/>
  <c r="O468" i="1"/>
  <c r="O469" i="1"/>
  <c r="O470" i="1"/>
  <c r="O471" i="1"/>
  <c r="O472" i="1"/>
  <c r="O473" i="1"/>
  <c r="O474" i="1"/>
  <c r="O475" i="1"/>
  <c r="O476" i="1"/>
  <c r="O477" i="1"/>
  <c r="O478" i="1"/>
  <c r="P478" i="1" s="1"/>
  <c r="O479" i="1"/>
  <c r="O480" i="1"/>
  <c r="O481" i="1"/>
  <c r="O482" i="1"/>
  <c r="O483" i="1"/>
  <c r="O484" i="1"/>
  <c r="O485" i="1"/>
  <c r="O486" i="1"/>
  <c r="O487" i="1"/>
  <c r="O488" i="1"/>
  <c r="O489" i="1"/>
  <c r="O490" i="1"/>
  <c r="P490" i="1" s="1"/>
  <c r="O491" i="1"/>
  <c r="O492" i="1"/>
  <c r="O493" i="1"/>
  <c r="O494" i="1"/>
  <c r="O495" i="1"/>
  <c r="O496" i="1"/>
  <c r="O497" i="1"/>
  <c r="O498" i="1"/>
  <c r="O499" i="1"/>
  <c r="O500" i="1"/>
  <c r="O501" i="1"/>
  <c r="O502" i="1"/>
  <c r="P502" i="1" s="1"/>
  <c r="O503" i="1"/>
  <c r="O504" i="1"/>
  <c r="O505" i="1"/>
  <c r="O506" i="1"/>
  <c r="O507" i="1"/>
  <c r="O508" i="1"/>
  <c r="O509" i="1"/>
  <c r="O510" i="1"/>
  <c r="O511" i="1"/>
  <c r="O512" i="1"/>
  <c r="O513" i="1"/>
  <c r="O514" i="1"/>
  <c r="P514" i="1" s="1"/>
  <c r="O515" i="1"/>
  <c r="O516" i="1"/>
  <c r="O517" i="1"/>
  <c r="O518" i="1"/>
  <c r="O519" i="1"/>
  <c r="O520" i="1"/>
  <c r="O521" i="1"/>
  <c r="O522" i="1"/>
  <c r="O523" i="1"/>
  <c r="O524" i="1"/>
  <c r="O525" i="1"/>
  <c r="O526" i="1"/>
  <c r="P526" i="1" s="1"/>
  <c r="O527" i="1"/>
  <c r="O528" i="1"/>
  <c r="O529" i="1"/>
  <c r="O530" i="1"/>
  <c r="O531" i="1"/>
  <c r="O532" i="1"/>
  <c r="O533" i="1"/>
  <c r="O534" i="1"/>
  <c r="O535" i="1"/>
  <c r="O536" i="1"/>
  <c r="O537" i="1"/>
  <c r="O538" i="1"/>
  <c r="P538" i="1" s="1"/>
  <c r="O539" i="1"/>
  <c r="O540" i="1"/>
  <c r="O541" i="1"/>
  <c r="O542" i="1"/>
  <c r="O543" i="1"/>
  <c r="O544" i="1"/>
  <c r="O545" i="1"/>
  <c r="O546" i="1"/>
  <c r="O547" i="1"/>
  <c r="O548" i="1"/>
  <c r="O549" i="1"/>
  <c r="O550" i="1"/>
  <c r="P550" i="1" s="1"/>
  <c r="O551" i="1"/>
  <c r="O552" i="1"/>
  <c r="O553" i="1"/>
  <c r="O554" i="1"/>
  <c r="O555" i="1"/>
  <c r="O556" i="1"/>
  <c r="O557" i="1"/>
  <c r="O558" i="1"/>
  <c r="O559" i="1"/>
  <c r="O560" i="1"/>
  <c r="O561" i="1"/>
  <c r="O562" i="1"/>
  <c r="P562" i="1" s="1"/>
  <c r="O563" i="1"/>
  <c r="O564" i="1"/>
  <c r="O565" i="1"/>
  <c r="O566" i="1"/>
  <c r="O567" i="1"/>
  <c r="O568" i="1"/>
  <c r="O569" i="1"/>
  <c r="O570" i="1"/>
  <c r="O571" i="1"/>
  <c r="O572" i="1"/>
  <c r="O573" i="1"/>
  <c r="O574" i="1"/>
  <c r="P574" i="1" s="1"/>
  <c r="O575" i="1"/>
  <c r="O576" i="1"/>
  <c r="O577" i="1"/>
  <c r="O578" i="1"/>
  <c r="O579" i="1"/>
  <c r="O580" i="1"/>
  <c r="O581" i="1"/>
  <c r="O582" i="1"/>
  <c r="O583" i="1"/>
  <c r="O584" i="1"/>
  <c r="O585" i="1"/>
  <c r="O586" i="1"/>
  <c r="P586" i="1" s="1"/>
  <c r="O587" i="1"/>
  <c r="O588" i="1"/>
  <c r="O589" i="1"/>
  <c r="O590" i="1"/>
  <c r="O591" i="1"/>
  <c r="O592" i="1"/>
  <c r="O593" i="1"/>
  <c r="O594" i="1"/>
  <c r="O595" i="1"/>
  <c r="O596" i="1"/>
  <c r="O597" i="1"/>
  <c r="O598" i="1"/>
  <c r="P598" i="1" s="1"/>
  <c r="O599" i="1"/>
  <c r="O600" i="1"/>
  <c r="O601" i="1"/>
  <c r="O602" i="1"/>
  <c r="O603" i="1"/>
  <c r="O604" i="1"/>
  <c r="O605" i="1"/>
  <c r="O606" i="1"/>
  <c r="O607" i="1"/>
  <c r="O608" i="1"/>
  <c r="O609" i="1"/>
  <c r="O610" i="1"/>
  <c r="P610" i="1" s="1"/>
  <c r="O611" i="1"/>
  <c r="O612" i="1"/>
  <c r="O613" i="1"/>
  <c r="O614" i="1"/>
  <c r="O615" i="1"/>
  <c r="O616" i="1"/>
  <c r="O617" i="1"/>
  <c r="O618" i="1"/>
  <c r="O619" i="1"/>
  <c r="O620" i="1"/>
  <c r="O621" i="1"/>
  <c r="O622" i="1"/>
  <c r="P622" i="1" s="1"/>
  <c r="O623" i="1"/>
  <c r="O624" i="1"/>
  <c r="O625" i="1"/>
  <c r="O626" i="1"/>
  <c r="O627" i="1"/>
  <c r="O628" i="1"/>
  <c r="O629" i="1"/>
  <c r="O630" i="1"/>
  <c r="O631" i="1"/>
  <c r="O632" i="1"/>
  <c r="P632" i="1" s="1"/>
  <c r="O633" i="1"/>
  <c r="P633" i="1" s="1"/>
  <c r="O634" i="1"/>
  <c r="P634" i="1" s="1"/>
  <c r="O635" i="1"/>
  <c r="O636" i="1"/>
  <c r="O637" i="1"/>
  <c r="O638" i="1"/>
  <c r="O639" i="1"/>
  <c r="O640" i="1"/>
  <c r="O641" i="1"/>
  <c r="O642" i="1"/>
  <c r="O643" i="1"/>
  <c r="O644" i="1"/>
  <c r="P644" i="1" s="1"/>
  <c r="O645" i="1"/>
  <c r="P645" i="1" s="1"/>
  <c r="O646" i="1"/>
  <c r="P646" i="1" s="1"/>
  <c r="O647" i="1"/>
  <c r="O648" i="1"/>
  <c r="O649" i="1"/>
  <c r="O650" i="1"/>
  <c r="O651" i="1"/>
  <c r="O652" i="1"/>
  <c r="O653" i="1"/>
  <c r="O654" i="1"/>
  <c r="O655" i="1"/>
  <c r="O656" i="1"/>
  <c r="P656" i="1" s="1"/>
  <c r="O657" i="1"/>
  <c r="P657" i="1" s="1"/>
  <c r="O658" i="1"/>
  <c r="P658" i="1" s="1"/>
  <c r="O659" i="1"/>
  <c r="O660" i="1"/>
  <c r="O661" i="1"/>
  <c r="O662" i="1"/>
  <c r="O663" i="1"/>
  <c r="O664" i="1"/>
  <c r="O665" i="1"/>
  <c r="O666" i="1"/>
  <c r="P3" i="1"/>
  <c r="P4" i="1"/>
  <c r="P5" i="1"/>
  <c r="P6" i="1"/>
  <c r="P7" i="1"/>
  <c r="P8" i="1"/>
  <c r="P9" i="1"/>
  <c r="P11" i="1"/>
  <c r="P12" i="1"/>
  <c r="P13" i="1"/>
  <c r="P14" i="1"/>
  <c r="P15" i="1"/>
  <c r="P16" i="1"/>
  <c r="P17" i="1"/>
  <c r="P18" i="1"/>
  <c r="P19" i="1"/>
  <c r="P20" i="1"/>
  <c r="P21" i="1"/>
  <c r="P23" i="1"/>
  <c r="P24" i="1"/>
  <c r="P25" i="1"/>
  <c r="P26" i="1"/>
  <c r="P27" i="1"/>
  <c r="P28" i="1"/>
  <c r="P29" i="1"/>
  <c r="P30" i="1"/>
  <c r="P31" i="1"/>
  <c r="P32" i="1"/>
  <c r="P33" i="1"/>
  <c r="P35" i="1"/>
  <c r="P36" i="1"/>
  <c r="P37" i="1"/>
  <c r="P38" i="1"/>
  <c r="P39" i="1"/>
  <c r="P40" i="1"/>
  <c r="P41" i="1"/>
  <c r="P42" i="1"/>
  <c r="P43" i="1"/>
  <c r="P44" i="1"/>
  <c r="P45" i="1"/>
  <c r="P47" i="1"/>
  <c r="P48" i="1"/>
  <c r="P49" i="1"/>
  <c r="P50" i="1"/>
  <c r="P51" i="1"/>
  <c r="P52" i="1"/>
  <c r="P53" i="1"/>
  <c r="P54" i="1"/>
  <c r="P55" i="1"/>
  <c r="P56" i="1"/>
  <c r="P57" i="1"/>
  <c r="P59" i="1"/>
  <c r="P60" i="1"/>
  <c r="P61" i="1"/>
  <c r="P62" i="1"/>
  <c r="P63" i="1"/>
  <c r="P64" i="1"/>
  <c r="P65" i="1"/>
  <c r="P66" i="1"/>
  <c r="P67" i="1"/>
  <c r="P68" i="1"/>
  <c r="P69" i="1"/>
  <c r="P71" i="1"/>
  <c r="P72" i="1"/>
  <c r="P73" i="1"/>
  <c r="P74" i="1"/>
  <c r="P75" i="1"/>
  <c r="P76" i="1"/>
  <c r="P77" i="1"/>
  <c r="P78" i="1"/>
  <c r="P79" i="1"/>
  <c r="P80" i="1"/>
  <c r="P81" i="1"/>
  <c r="P83" i="1"/>
  <c r="P84" i="1"/>
  <c r="P85" i="1"/>
  <c r="P86" i="1"/>
  <c r="P87" i="1"/>
  <c r="P88" i="1"/>
  <c r="P89" i="1"/>
  <c r="P90" i="1"/>
  <c r="P91" i="1"/>
  <c r="P92" i="1"/>
  <c r="P93" i="1"/>
  <c r="P95" i="1"/>
  <c r="P96" i="1"/>
  <c r="P97" i="1"/>
  <c r="P98" i="1"/>
  <c r="P99" i="1"/>
  <c r="P100" i="1"/>
  <c r="P101" i="1"/>
  <c r="P102" i="1"/>
  <c r="P103" i="1"/>
  <c r="P104" i="1"/>
  <c r="P105" i="1"/>
  <c r="P107" i="1"/>
  <c r="P108" i="1"/>
  <c r="P109" i="1"/>
  <c r="P110" i="1"/>
  <c r="P111" i="1"/>
  <c r="P112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8" i="1"/>
  <c r="P129" i="1"/>
  <c r="P131" i="1"/>
  <c r="P132" i="1"/>
  <c r="P133" i="1"/>
  <c r="P134" i="1"/>
  <c r="P135" i="1"/>
  <c r="P136" i="1"/>
  <c r="P137" i="1"/>
  <c r="P138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8" i="1"/>
  <c r="P159" i="1"/>
  <c r="P160" i="1"/>
  <c r="P161" i="1"/>
  <c r="P162" i="1"/>
  <c r="P163" i="1"/>
  <c r="P164" i="1"/>
  <c r="P165" i="1"/>
  <c r="P167" i="1"/>
  <c r="P168" i="1"/>
  <c r="P169" i="1"/>
  <c r="P170" i="1"/>
  <c r="P171" i="1"/>
  <c r="P172" i="1"/>
  <c r="P173" i="1"/>
  <c r="P174" i="1"/>
  <c r="P175" i="1"/>
  <c r="P176" i="1"/>
  <c r="P177" i="1"/>
  <c r="P179" i="1"/>
  <c r="P180" i="1"/>
  <c r="P181" i="1"/>
  <c r="P182" i="1"/>
  <c r="P183" i="1"/>
  <c r="P184" i="1"/>
  <c r="P185" i="1"/>
  <c r="P186" i="1"/>
  <c r="P187" i="1"/>
  <c r="P188" i="1"/>
  <c r="P189" i="1"/>
  <c r="P191" i="1"/>
  <c r="P192" i="1"/>
  <c r="P193" i="1"/>
  <c r="P194" i="1"/>
  <c r="P195" i="1"/>
  <c r="P196" i="1"/>
  <c r="P197" i="1"/>
  <c r="P198" i="1"/>
  <c r="P199" i="1"/>
  <c r="P200" i="1"/>
  <c r="P201" i="1"/>
  <c r="P203" i="1"/>
  <c r="P204" i="1"/>
  <c r="P205" i="1"/>
  <c r="P206" i="1"/>
  <c r="P207" i="1"/>
  <c r="P208" i="1"/>
  <c r="P209" i="1"/>
  <c r="P210" i="1"/>
  <c r="P211" i="1"/>
  <c r="P212" i="1"/>
  <c r="P213" i="1"/>
  <c r="P215" i="1"/>
  <c r="P216" i="1"/>
  <c r="P217" i="1"/>
  <c r="P218" i="1"/>
  <c r="P219" i="1"/>
  <c r="P220" i="1"/>
  <c r="P221" i="1"/>
  <c r="P222" i="1"/>
  <c r="P223" i="1"/>
  <c r="P224" i="1"/>
  <c r="P225" i="1"/>
  <c r="P227" i="1"/>
  <c r="P228" i="1"/>
  <c r="P229" i="1"/>
  <c r="P230" i="1"/>
  <c r="P231" i="1"/>
  <c r="P232" i="1"/>
  <c r="P233" i="1"/>
  <c r="P234" i="1"/>
  <c r="P235" i="1"/>
  <c r="P236" i="1"/>
  <c r="P237" i="1"/>
  <c r="P239" i="1"/>
  <c r="P240" i="1"/>
  <c r="P241" i="1"/>
  <c r="P242" i="1"/>
  <c r="P243" i="1"/>
  <c r="P244" i="1"/>
  <c r="P245" i="1"/>
  <c r="P246" i="1"/>
  <c r="P247" i="1"/>
  <c r="P248" i="1"/>
  <c r="P249" i="1"/>
  <c r="P251" i="1"/>
  <c r="P252" i="1"/>
  <c r="P253" i="1"/>
  <c r="P254" i="1"/>
  <c r="P255" i="1"/>
  <c r="P256" i="1"/>
  <c r="P257" i="1"/>
  <c r="P258" i="1"/>
  <c r="P259" i="1"/>
  <c r="P260" i="1"/>
  <c r="P261" i="1"/>
  <c r="P263" i="1"/>
  <c r="P264" i="1"/>
  <c r="P265" i="1"/>
  <c r="P266" i="1"/>
  <c r="P267" i="1"/>
  <c r="P268" i="1"/>
  <c r="P269" i="1"/>
  <c r="P270" i="1"/>
  <c r="P271" i="1"/>
  <c r="P272" i="1"/>
  <c r="P273" i="1"/>
  <c r="P275" i="1"/>
  <c r="P276" i="1"/>
  <c r="P277" i="1"/>
  <c r="P278" i="1"/>
  <c r="P279" i="1"/>
  <c r="P280" i="1"/>
  <c r="P281" i="1"/>
  <c r="P282" i="1"/>
  <c r="P283" i="1"/>
  <c r="P284" i="1"/>
  <c r="P285" i="1"/>
  <c r="P287" i="1"/>
  <c r="P288" i="1"/>
  <c r="P289" i="1"/>
  <c r="P290" i="1"/>
  <c r="P291" i="1"/>
  <c r="P292" i="1"/>
  <c r="P293" i="1"/>
  <c r="P294" i="1"/>
  <c r="P295" i="1"/>
  <c r="P296" i="1"/>
  <c r="P297" i="1"/>
  <c r="P299" i="1"/>
  <c r="P300" i="1"/>
  <c r="P301" i="1"/>
  <c r="P302" i="1"/>
  <c r="P303" i="1"/>
  <c r="P304" i="1"/>
  <c r="P305" i="1"/>
  <c r="P306" i="1"/>
  <c r="P307" i="1"/>
  <c r="P308" i="1"/>
  <c r="P309" i="1"/>
  <c r="P311" i="1"/>
  <c r="P312" i="1"/>
  <c r="P313" i="1"/>
  <c r="P314" i="1"/>
  <c r="P315" i="1"/>
  <c r="P316" i="1"/>
  <c r="P317" i="1"/>
  <c r="P318" i="1"/>
  <c r="P319" i="1"/>
  <c r="P320" i="1"/>
  <c r="P321" i="1"/>
  <c r="P323" i="1"/>
  <c r="P324" i="1"/>
  <c r="P325" i="1"/>
  <c r="P326" i="1"/>
  <c r="P327" i="1"/>
  <c r="P328" i="1"/>
  <c r="P329" i="1"/>
  <c r="P330" i="1"/>
  <c r="P331" i="1"/>
  <c r="P332" i="1"/>
  <c r="P333" i="1"/>
  <c r="P335" i="1"/>
  <c r="P336" i="1"/>
  <c r="P337" i="1"/>
  <c r="P338" i="1"/>
  <c r="P339" i="1"/>
  <c r="P340" i="1"/>
  <c r="P341" i="1"/>
  <c r="P342" i="1"/>
  <c r="P343" i="1"/>
  <c r="P344" i="1"/>
  <c r="P345" i="1"/>
  <c r="P347" i="1"/>
  <c r="P348" i="1"/>
  <c r="P349" i="1"/>
  <c r="P350" i="1"/>
  <c r="P351" i="1"/>
  <c r="P352" i="1"/>
  <c r="P353" i="1"/>
  <c r="P354" i="1"/>
  <c r="P355" i="1"/>
  <c r="P356" i="1"/>
  <c r="P357" i="1"/>
  <c r="P359" i="1"/>
  <c r="P360" i="1"/>
  <c r="P361" i="1"/>
  <c r="P362" i="1"/>
  <c r="P363" i="1"/>
  <c r="P364" i="1"/>
  <c r="P365" i="1"/>
  <c r="P366" i="1"/>
  <c r="P367" i="1"/>
  <c r="P368" i="1"/>
  <c r="P369" i="1"/>
  <c r="P371" i="1"/>
  <c r="P372" i="1"/>
  <c r="P373" i="1"/>
  <c r="P374" i="1"/>
  <c r="P375" i="1"/>
  <c r="P376" i="1"/>
  <c r="P377" i="1"/>
  <c r="P378" i="1"/>
  <c r="P379" i="1"/>
  <c r="P380" i="1"/>
  <c r="P381" i="1"/>
  <c r="P383" i="1"/>
  <c r="P384" i="1"/>
  <c r="P385" i="1"/>
  <c r="P386" i="1"/>
  <c r="P387" i="1"/>
  <c r="P388" i="1"/>
  <c r="P389" i="1"/>
  <c r="P390" i="1"/>
  <c r="P391" i="1"/>
  <c r="P392" i="1"/>
  <c r="P393" i="1"/>
  <c r="P395" i="1"/>
  <c r="P396" i="1"/>
  <c r="P397" i="1"/>
  <c r="P398" i="1"/>
  <c r="P399" i="1"/>
  <c r="P400" i="1"/>
  <c r="P401" i="1"/>
  <c r="P402" i="1"/>
  <c r="P403" i="1"/>
  <c r="P404" i="1"/>
  <c r="P405" i="1"/>
  <c r="P407" i="1"/>
  <c r="P408" i="1"/>
  <c r="P409" i="1"/>
  <c r="P410" i="1"/>
  <c r="P411" i="1"/>
  <c r="P412" i="1"/>
  <c r="P413" i="1"/>
  <c r="P414" i="1"/>
  <c r="P415" i="1"/>
  <c r="P416" i="1"/>
  <c r="P417" i="1"/>
  <c r="P419" i="1"/>
  <c r="P420" i="1"/>
  <c r="P421" i="1"/>
  <c r="P422" i="1"/>
  <c r="P423" i="1"/>
  <c r="P424" i="1"/>
  <c r="P425" i="1"/>
  <c r="P426" i="1"/>
  <c r="P427" i="1"/>
  <c r="P428" i="1"/>
  <c r="P429" i="1"/>
  <c r="P431" i="1"/>
  <c r="P432" i="1"/>
  <c r="P433" i="1"/>
  <c r="P434" i="1"/>
  <c r="P435" i="1"/>
  <c r="P436" i="1"/>
  <c r="P437" i="1"/>
  <c r="P438" i="1"/>
  <c r="P439" i="1"/>
  <c r="P440" i="1"/>
  <c r="P441" i="1"/>
  <c r="P443" i="1"/>
  <c r="P444" i="1"/>
  <c r="P445" i="1"/>
  <c r="P446" i="1"/>
  <c r="P447" i="1"/>
  <c r="P448" i="1"/>
  <c r="P449" i="1"/>
  <c r="P450" i="1"/>
  <c r="P451" i="1"/>
  <c r="P452" i="1"/>
  <c r="P453" i="1"/>
  <c r="P455" i="1"/>
  <c r="P456" i="1"/>
  <c r="P457" i="1"/>
  <c r="P458" i="1"/>
  <c r="P459" i="1"/>
  <c r="P460" i="1"/>
  <c r="P461" i="1"/>
  <c r="P462" i="1"/>
  <c r="P463" i="1"/>
  <c r="P464" i="1"/>
  <c r="P465" i="1"/>
  <c r="P467" i="1"/>
  <c r="P468" i="1"/>
  <c r="P469" i="1"/>
  <c r="P470" i="1"/>
  <c r="P471" i="1"/>
  <c r="P472" i="1"/>
  <c r="P473" i="1"/>
  <c r="P474" i="1"/>
  <c r="P475" i="1"/>
  <c r="P476" i="1"/>
  <c r="P477" i="1"/>
  <c r="P479" i="1"/>
  <c r="P480" i="1"/>
  <c r="P481" i="1"/>
  <c r="P482" i="1"/>
  <c r="P483" i="1"/>
  <c r="P484" i="1"/>
  <c r="P485" i="1"/>
  <c r="P486" i="1"/>
  <c r="P487" i="1"/>
  <c r="P488" i="1"/>
  <c r="P489" i="1"/>
  <c r="P491" i="1"/>
  <c r="P492" i="1"/>
  <c r="P493" i="1"/>
  <c r="P494" i="1"/>
  <c r="P495" i="1"/>
  <c r="P496" i="1"/>
  <c r="P497" i="1"/>
  <c r="P498" i="1"/>
  <c r="P499" i="1"/>
  <c r="P500" i="1"/>
  <c r="P501" i="1"/>
  <c r="P503" i="1"/>
  <c r="P504" i="1"/>
  <c r="P505" i="1"/>
  <c r="P506" i="1"/>
  <c r="P507" i="1"/>
  <c r="P508" i="1"/>
  <c r="P509" i="1"/>
  <c r="P510" i="1"/>
  <c r="P511" i="1"/>
  <c r="P512" i="1"/>
  <c r="P513" i="1"/>
  <c r="P515" i="1"/>
  <c r="P516" i="1"/>
  <c r="P517" i="1"/>
  <c r="P518" i="1"/>
  <c r="P519" i="1"/>
  <c r="P520" i="1"/>
  <c r="P521" i="1"/>
  <c r="P522" i="1"/>
  <c r="P523" i="1"/>
  <c r="P524" i="1"/>
  <c r="P525" i="1"/>
  <c r="P527" i="1"/>
  <c r="P528" i="1"/>
  <c r="P529" i="1"/>
  <c r="P530" i="1"/>
  <c r="P531" i="1"/>
  <c r="P532" i="1"/>
  <c r="P533" i="1"/>
  <c r="P534" i="1"/>
  <c r="P535" i="1"/>
  <c r="P536" i="1"/>
  <c r="P537" i="1"/>
  <c r="P539" i="1"/>
  <c r="P540" i="1"/>
  <c r="P541" i="1"/>
  <c r="P542" i="1"/>
  <c r="P543" i="1"/>
  <c r="P544" i="1"/>
  <c r="P545" i="1"/>
  <c r="P546" i="1"/>
  <c r="P547" i="1"/>
  <c r="P548" i="1"/>
  <c r="P549" i="1"/>
  <c r="P551" i="1"/>
  <c r="P552" i="1"/>
  <c r="P553" i="1"/>
  <c r="P554" i="1"/>
  <c r="P555" i="1"/>
  <c r="P556" i="1"/>
  <c r="P557" i="1"/>
  <c r="P558" i="1"/>
  <c r="P559" i="1"/>
  <c r="P560" i="1"/>
  <c r="P561" i="1"/>
  <c r="P563" i="1"/>
  <c r="P564" i="1"/>
  <c r="P565" i="1"/>
  <c r="P566" i="1"/>
  <c r="P567" i="1"/>
  <c r="P568" i="1"/>
  <c r="P569" i="1"/>
  <c r="P570" i="1"/>
  <c r="P571" i="1"/>
  <c r="P572" i="1"/>
  <c r="P573" i="1"/>
  <c r="P575" i="1"/>
  <c r="P576" i="1"/>
  <c r="P577" i="1"/>
  <c r="P578" i="1"/>
  <c r="P579" i="1"/>
  <c r="P580" i="1"/>
  <c r="P581" i="1"/>
  <c r="P582" i="1"/>
  <c r="P583" i="1"/>
  <c r="P584" i="1"/>
  <c r="P585" i="1"/>
  <c r="P587" i="1"/>
  <c r="P588" i="1"/>
  <c r="P589" i="1"/>
  <c r="P590" i="1"/>
  <c r="P591" i="1"/>
  <c r="P592" i="1"/>
  <c r="P593" i="1"/>
  <c r="P594" i="1"/>
  <c r="P595" i="1"/>
  <c r="P596" i="1"/>
  <c r="P597" i="1"/>
  <c r="P599" i="1"/>
  <c r="P600" i="1"/>
  <c r="P601" i="1"/>
  <c r="P602" i="1"/>
  <c r="P603" i="1"/>
  <c r="P604" i="1"/>
  <c r="P605" i="1"/>
  <c r="P606" i="1"/>
  <c r="P607" i="1"/>
  <c r="P608" i="1"/>
  <c r="P609" i="1"/>
  <c r="P611" i="1"/>
  <c r="P612" i="1"/>
  <c r="P613" i="1"/>
  <c r="P614" i="1"/>
  <c r="P615" i="1"/>
  <c r="P616" i="1"/>
  <c r="P617" i="1"/>
  <c r="P618" i="1"/>
  <c r="P619" i="1"/>
  <c r="P620" i="1"/>
  <c r="P621" i="1"/>
  <c r="P623" i="1"/>
  <c r="P624" i="1"/>
  <c r="P625" i="1"/>
  <c r="P626" i="1"/>
  <c r="P627" i="1"/>
  <c r="P628" i="1"/>
  <c r="P629" i="1"/>
  <c r="P630" i="1"/>
  <c r="P631" i="1"/>
  <c r="P635" i="1"/>
  <c r="P636" i="1"/>
  <c r="P637" i="1"/>
  <c r="P638" i="1"/>
  <c r="P639" i="1"/>
  <c r="P640" i="1"/>
  <c r="P641" i="1"/>
  <c r="P642" i="1"/>
  <c r="P643" i="1"/>
  <c r="P647" i="1"/>
  <c r="P648" i="1"/>
  <c r="P649" i="1"/>
  <c r="P650" i="1"/>
  <c r="P651" i="1"/>
  <c r="P652" i="1"/>
  <c r="P653" i="1"/>
  <c r="P654" i="1"/>
  <c r="P655" i="1"/>
  <c r="P659" i="1"/>
  <c r="P660" i="1"/>
  <c r="P661" i="1"/>
  <c r="P662" i="1"/>
  <c r="P663" i="1"/>
  <c r="P664" i="1"/>
  <c r="P665" i="1"/>
  <c r="P666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J1993" i="5"/>
  <c r="K1993" i="5"/>
  <c r="L1993" i="5"/>
  <c r="N1993" i="5"/>
  <c r="O1993" i="5" s="1"/>
  <c r="J1992" i="5"/>
  <c r="K1992" i="5"/>
  <c r="L1992" i="5"/>
  <c r="N1992" i="5"/>
  <c r="O1992" i="5" s="1"/>
  <c r="J1991" i="5"/>
  <c r="K1991" i="5"/>
  <c r="L1991" i="5"/>
  <c r="N1991" i="5"/>
  <c r="O1991" i="5" s="1"/>
  <c r="J1990" i="5"/>
  <c r="K1990" i="5"/>
  <c r="L1990" i="5"/>
  <c r="N1990" i="5"/>
  <c r="O1990" i="5" s="1"/>
  <c r="J1989" i="5"/>
  <c r="K1989" i="5"/>
  <c r="L1989" i="5"/>
  <c r="N1989" i="5"/>
  <c r="O1989" i="5" s="1"/>
  <c r="J1988" i="5"/>
  <c r="K1988" i="5"/>
  <c r="L1988" i="5"/>
  <c r="N1988" i="5"/>
  <c r="O1988" i="5" s="1"/>
  <c r="J1987" i="5"/>
  <c r="K1987" i="5"/>
  <c r="L1987" i="5"/>
  <c r="N1987" i="5"/>
  <c r="O1987" i="5" s="1"/>
  <c r="J1986" i="5"/>
  <c r="K1986" i="5"/>
  <c r="L1986" i="5"/>
  <c r="N1986" i="5"/>
  <c r="O1986" i="5" s="1"/>
  <c r="J1985" i="5"/>
  <c r="K1985" i="5"/>
  <c r="L1985" i="5"/>
  <c r="N1985" i="5"/>
  <c r="O1985" i="5" s="1"/>
  <c r="J1984" i="5"/>
  <c r="K1984" i="5"/>
  <c r="L1984" i="5"/>
  <c r="N1984" i="5"/>
  <c r="O1984" i="5" s="1"/>
  <c r="J1983" i="5"/>
  <c r="K1983" i="5"/>
  <c r="L1983" i="5"/>
  <c r="N1983" i="5"/>
  <c r="O1983" i="5" s="1"/>
  <c r="J1982" i="5"/>
  <c r="K1982" i="5"/>
  <c r="L1982" i="5"/>
  <c r="N1982" i="5"/>
  <c r="O1982" i="5" s="1"/>
  <c r="J1981" i="5"/>
  <c r="K1981" i="5"/>
  <c r="L1981" i="5"/>
  <c r="N1981" i="5"/>
  <c r="O1981" i="5" s="1"/>
  <c r="J1980" i="5"/>
  <c r="K1980" i="5"/>
  <c r="L1980" i="5"/>
  <c r="N1980" i="5"/>
  <c r="O1980" i="5" s="1"/>
  <c r="J1979" i="5"/>
  <c r="K1979" i="5"/>
  <c r="L1979" i="5"/>
  <c r="N1979" i="5"/>
  <c r="O1979" i="5" s="1"/>
  <c r="J1978" i="5"/>
  <c r="K1978" i="5"/>
  <c r="L1978" i="5"/>
  <c r="N1978" i="5"/>
  <c r="O1978" i="5" s="1"/>
  <c r="J1977" i="5"/>
  <c r="K1977" i="5"/>
  <c r="L1977" i="5"/>
  <c r="N1977" i="5"/>
  <c r="O1977" i="5" s="1"/>
  <c r="J1976" i="5"/>
  <c r="K1976" i="5"/>
  <c r="L1976" i="5"/>
  <c r="N1976" i="5"/>
  <c r="O1976" i="5" s="1"/>
  <c r="J1975" i="5"/>
  <c r="K1975" i="5"/>
  <c r="L1975" i="5"/>
  <c r="N1975" i="5"/>
  <c r="O1975" i="5" s="1"/>
  <c r="J1974" i="5"/>
  <c r="K1974" i="5"/>
  <c r="L1974" i="5"/>
  <c r="N1974" i="5"/>
  <c r="O1974" i="5" s="1"/>
  <c r="J1973" i="5"/>
  <c r="K1973" i="5"/>
  <c r="L1973" i="5"/>
  <c r="N1973" i="5"/>
  <c r="O1973" i="5" s="1"/>
  <c r="J1972" i="5"/>
  <c r="K1972" i="5"/>
  <c r="L1972" i="5"/>
  <c r="N1972" i="5"/>
  <c r="O1972" i="5" s="1"/>
  <c r="J1971" i="5"/>
  <c r="K1971" i="5"/>
  <c r="L1971" i="5"/>
  <c r="N1971" i="5"/>
  <c r="O1971" i="5" s="1"/>
  <c r="J1970" i="5"/>
  <c r="K1970" i="5"/>
  <c r="L1970" i="5"/>
  <c r="N1970" i="5"/>
  <c r="O1970" i="5" s="1"/>
  <c r="J1969" i="5"/>
  <c r="K1969" i="5"/>
  <c r="L1969" i="5"/>
  <c r="N1969" i="5"/>
  <c r="O1969" i="5" s="1"/>
  <c r="J1968" i="5"/>
  <c r="K1968" i="5"/>
  <c r="L1968" i="5"/>
  <c r="N1968" i="5"/>
  <c r="O1968" i="5" s="1"/>
  <c r="J1967" i="5"/>
  <c r="K1967" i="5"/>
  <c r="L1967" i="5"/>
  <c r="N1967" i="5"/>
  <c r="O1967" i="5" s="1"/>
  <c r="J1966" i="5"/>
  <c r="K1966" i="5"/>
  <c r="L1966" i="5"/>
  <c r="N1966" i="5"/>
  <c r="O1966" i="5" s="1"/>
  <c r="J1965" i="5"/>
  <c r="K1965" i="5"/>
  <c r="L1965" i="5"/>
  <c r="N1965" i="5"/>
  <c r="O1965" i="5" s="1"/>
  <c r="J1964" i="5"/>
  <c r="K1964" i="5"/>
  <c r="L1964" i="5"/>
  <c r="N1964" i="5"/>
  <c r="O1964" i="5" s="1"/>
  <c r="J1963" i="5"/>
  <c r="K1963" i="5"/>
  <c r="L1963" i="5"/>
  <c r="N1963" i="5"/>
  <c r="O1963" i="5" s="1"/>
  <c r="J1962" i="5"/>
  <c r="K1962" i="5"/>
  <c r="L1962" i="5"/>
  <c r="N1962" i="5"/>
  <c r="O1962" i="5" s="1"/>
  <c r="J1961" i="5"/>
  <c r="K1961" i="5"/>
  <c r="L1961" i="5"/>
  <c r="N1961" i="5"/>
  <c r="O1961" i="5" s="1"/>
  <c r="J1960" i="5"/>
  <c r="K1960" i="5"/>
  <c r="L1960" i="5"/>
  <c r="N1960" i="5"/>
  <c r="O1960" i="5" s="1"/>
  <c r="J1959" i="5"/>
  <c r="K1959" i="5"/>
  <c r="L1959" i="5"/>
  <c r="N1959" i="5"/>
  <c r="O1959" i="5" s="1"/>
  <c r="J1958" i="5"/>
  <c r="K1958" i="5"/>
  <c r="L1958" i="5"/>
  <c r="N1958" i="5"/>
  <c r="O1958" i="5" s="1"/>
  <c r="J1957" i="5"/>
  <c r="K1957" i="5"/>
  <c r="L1957" i="5"/>
  <c r="N1957" i="5"/>
  <c r="O1957" i="5" s="1"/>
  <c r="J1956" i="5"/>
  <c r="K1956" i="5"/>
  <c r="L1956" i="5"/>
  <c r="N1956" i="5"/>
  <c r="O1956" i="5" s="1"/>
  <c r="J1955" i="5"/>
  <c r="K1955" i="5"/>
  <c r="L1955" i="5"/>
  <c r="N1955" i="5"/>
  <c r="O1955" i="5" s="1"/>
  <c r="J1954" i="5"/>
  <c r="K1954" i="5"/>
  <c r="L1954" i="5"/>
  <c r="N1954" i="5"/>
  <c r="O1954" i="5" s="1"/>
  <c r="J1953" i="5"/>
  <c r="K1953" i="5"/>
  <c r="L1953" i="5"/>
  <c r="N1953" i="5"/>
  <c r="O1953" i="5" s="1"/>
  <c r="J1952" i="5"/>
  <c r="K1952" i="5"/>
  <c r="L1952" i="5"/>
  <c r="N1952" i="5"/>
  <c r="O1952" i="5" s="1"/>
  <c r="J1951" i="5"/>
  <c r="K1951" i="5"/>
  <c r="L1951" i="5"/>
  <c r="N1951" i="5"/>
  <c r="O1951" i="5" s="1"/>
  <c r="J1950" i="5"/>
  <c r="K1950" i="5"/>
  <c r="L1950" i="5"/>
  <c r="N1950" i="5"/>
  <c r="O1950" i="5" s="1"/>
  <c r="J1949" i="5"/>
  <c r="K1949" i="5"/>
  <c r="L1949" i="5"/>
  <c r="N1949" i="5"/>
  <c r="O1949" i="5" s="1"/>
  <c r="J1948" i="5"/>
  <c r="K1948" i="5"/>
  <c r="L1948" i="5"/>
  <c r="N1948" i="5"/>
  <c r="O1948" i="5" s="1"/>
  <c r="J1947" i="5"/>
  <c r="K1947" i="5"/>
  <c r="L1947" i="5"/>
  <c r="N1947" i="5"/>
  <c r="O1947" i="5" s="1"/>
  <c r="J1946" i="5"/>
  <c r="K1946" i="5"/>
  <c r="L1946" i="5"/>
  <c r="N1946" i="5"/>
  <c r="O1946" i="5" s="1"/>
  <c r="J1945" i="5"/>
  <c r="K1945" i="5"/>
  <c r="L1945" i="5"/>
  <c r="N1945" i="5"/>
  <c r="O1945" i="5" s="1"/>
  <c r="J1944" i="5"/>
  <c r="K1944" i="5"/>
  <c r="L1944" i="5"/>
  <c r="N1944" i="5"/>
  <c r="O1944" i="5" s="1"/>
  <c r="J1943" i="5"/>
  <c r="K1943" i="5"/>
  <c r="L1943" i="5"/>
  <c r="N1943" i="5"/>
  <c r="O1943" i="5" s="1"/>
  <c r="J1942" i="5"/>
  <c r="K1942" i="5"/>
  <c r="L1942" i="5"/>
  <c r="N1942" i="5"/>
  <c r="O1942" i="5" s="1"/>
  <c r="J1941" i="5"/>
  <c r="K1941" i="5"/>
  <c r="L1941" i="5"/>
  <c r="N1941" i="5"/>
  <c r="O1941" i="5" s="1"/>
  <c r="J1940" i="5"/>
  <c r="K1940" i="5"/>
  <c r="L1940" i="5"/>
  <c r="N1940" i="5"/>
  <c r="O1940" i="5" s="1"/>
  <c r="J1939" i="5"/>
  <c r="K1939" i="5"/>
  <c r="L1939" i="5"/>
  <c r="N1939" i="5"/>
  <c r="O1939" i="5" s="1"/>
  <c r="J1938" i="5"/>
  <c r="K1938" i="5"/>
  <c r="L1938" i="5"/>
  <c r="N1938" i="5"/>
  <c r="O1938" i="5" s="1"/>
  <c r="J1937" i="5"/>
  <c r="K1937" i="5"/>
  <c r="L1937" i="5"/>
  <c r="N1937" i="5"/>
  <c r="O1937" i="5" s="1"/>
  <c r="J1936" i="5"/>
  <c r="K1936" i="5"/>
  <c r="L1936" i="5"/>
  <c r="N1936" i="5"/>
  <c r="O1936" i="5" s="1"/>
  <c r="J1935" i="5"/>
  <c r="K1935" i="5"/>
  <c r="L1935" i="5"/>
  <c r="N1935" i="5"/>
  <c r="O1935" i="5" s="1"/>
  <c r="J1934" i="5"/>
  <c r="K1934" i="5"/>
  <c r="L1934" i="5"/>
  <c r="N1934" i="5"/>
  <c r="O1934" i="5" s="1"/>
  <c r="J1933" i="5"/>
  <c r="K1933" i="5"/>
  <c r="L1933" i="5"/>
  <c r="N1933" i="5"/>
  <c r="O1933" i="5" s="1"/>
  <c r="J1932" i="5"/>
  <c r="K1932" i="5"/>
  <c r="L1932" i="5"/>
  <c r="N1932" i="5"/>
  <c r="O1932" i="5" s="1"/>
  <c r="J1931" i="5"/>
  <c r="K1931" i="5"/>
  <c r="L1931" i="5"/>
  <c r="N1931" i="5"/>
  <c r="O1931" i="5" s="1"/>
  <c r="J1930" i="5"/>
  <c r="K1930" i="5"/>
  <c r="L1930" i="5"/>
  <c r="N1930" i="5"/>
  <c r="O1930" i="5" s="1"/>
  <c r="J1929" i="5"/>
  <c r="K1929" i="5"/>
  <c r="L1929" i="5"/>
  <c r="N1929" i="5"/>
  <c r="O1929" i="5" s="1"/>
  <c r="J1928" i="5"/>
  <c r="K1928" i="5"/>
  <c r="L1928" i="5"/>
  <c r="N1928" i="5"/>
  <c r="O1928" i="5" s="1"/>
  <c r="J1927" i="5"/>
  <c r="K1927" i="5"/>
  <c r="L1927" i="5"/>
  <c r="N1927" i="5"/>
  <c r="O1927" i="5" s="1"/>
  <c r="J1926" i="5"/>
  <c r="K1926" i="5"/>
  <c r="L1926" i="5"/>
  <c r="N1926" i="5"/>
  <c r="O1926" i="5" s="1"/>
  <c r="J1925" i="5"/>
  <c r="K1925" i="5"/>
  <c r="L1925" i="5"/>
  <c r="N1925" i="5"/>
  <c r="O1925" i="5" s="1"/>
  <c r="J1924" i="5"/>
  <c r="K1924" i="5"/>
  <c r="L1924" i="5"/>
  <c r="N1924" i="5"/>
  <c r="O1924" i="5" s="1"/>
  <c r="J1923" i="5"/>
  <c r="K1923" i="5"/>
  <c r="L1923" i="5"/>
  <c r="N1923" i="5"/>
  <c r="O1923" i="5" s="1"/>
  <c r="J1922" i="5"/>
  <c r="K1922" i="5"/>
  <c r="L1922" i="5"/>
  <c r="N1922" i="5"/>
  <c r="O1922" i="5" s="1"/>
  <c r="J1921" i="5"/>
  <c r="K1921" i="5"/>
  <c r="L1921" i="5"/>
  <c r="N1921" i="5"/>
  <c r="O1921" i="5" s="1"/>
  <c r="J1920" i="5"/>
  <c r="K1920" i="5"/>
  <c r="L1920" i="5"/>
  <c r="N1920" i="5"/>
  <c r="O1920" i="5" s="1"/>
  <c r="J1919" i="5"/>
  <c r="K1919" i="5"/>
  <c r="L1919" i="5"/>
  <c r="N1919" i="5"/>
  <c r="O1919" i="5" s="1"/>
  <c r="J1918" i="5"/>
  <c r="K1918" i="5"/>
  <c r="L1918" i="5"/>
  <c r="N1918" i="5"/>
  <c r="O1918" i="5" s="1"/>
  <c r="J1917" i="5"/>
  <c r="K1917" i="5"/>
  <c r="L1917" i="5"/>
  <c r="N1917" i="5"/>
  <c r="O1917" i="5" s="1"/>
  <c r="J1916" i="5"/>
  <c r="K1916" i="5"/>
  <c r="L1916" i="5"/>
  <c r="N1916" i="5"/>
  <c r="O1916" i="5" s="1"/>
  <c r="J1915" i="5"/>
  <c r="K1915" i="5"/>
  <c r="L1915" i="5"/>
  <c r="N1915" i="5"/>
  <c r="O1915" i="5" s="1"/>
  <c r="J1914" i="5"/>
  <c r="K1914" i="5"/>
  <c r="L1914" i="5"/>
  <c r="N1914" i="5"/>
  <c r="O1914" i="5" s="1"/>
  <c r="J1913" i="5"/>
  <c r="K1913" i="5"/>
  <c r="L1913" i="5"/>
  <c r="N1913" i="5"/>
  <c r="O1913" i="5" s="1"/>
  <c r="J1912" i="5"/>
  <c r="K1912" i="5"/>
  <c r="L1912" i="5"/>
  <c r="N1912" i="5"/>
  <c r="O1912" i="5" s="1"/>
  <c r="J1911" i="5"/>
  <c r="K1911" i="5"/>
  <c r="L1911" i="5"/>
  <c r="N1911" i="5"/>
  <c r="O1911" i="5" s="1"/>
  <c r="J1910" i="5"/>
  <c r="K1910" i="5"/>
  <c r="L1910" i="5"/>
  <c r="N1910" i="5"/>
  <c r="O1910" i="5" s="1"/>
  <c r="J1909" i="5"/>
  <c r="K1909" i="5"/>
  <c r="L1909" i="5"/>
  <c r="N1909" i="5"/>
  <c r="O1909" i="5" s="1"/>
  <c r="J1908" i="5"/>
  <c r="K1908" i="5"/>
  <c r="L1908" i="5"/>
  <c r="N1908" i="5"/>
  <c r="O1908" i="5" s="1"/>
  <c r="J1907" i="5"/>
  <c r="K1907" i="5"/>
  <c r="L1907" i="5"/>
  <c r="N1907" i="5"/>
  <c r="O1907" i="5" s="1"/>
  <c r="J1906" i="5"/>
  <c r="K1906" i="5"/>
  <c r="L1906" i="5"/>
  <c r="N1906" i="5"/>
  <c r="O1906" i="5" s="1"/>
  <c r="J1905" i="5"/>
  <c r="K1905" i="5"/>
  <c r="L1905" i="5"/>
  <c r="N1905" i="5"/>
  <c r="O1905" i="5" s="1"/>
  <c r="J1904" i="5"/>
  <c r="K1904" i="5"/>
  <c r="L1904" i="5"/>
  <c r="N1904" i="5"/>
  <c r="O1904" i="5" s="1"/>
  <c r="J1903" i="5"/>
  <c r="K1903" i="5"/>
  <c r="L1903" i="5"/>
  <c r="N1903" i="5"/>
  <c r="O1903" i="5" s="1"/>
  <c r="J1902" i="5"/>
  <c r="K1902" i="5"/>
  <c r="L1902" i="5"/>
  <c r="N1902" i="5"/>
  <c r="O1902" i="5" s="1"/>
  <c r="J1901" i="5"/>
  <c r="K1901" i="5"/>
  <c r="L1901" i="5"/>
  <c r="N1901" i="5"/>
  <c r="O1901" i="5" s="1"/>
  <c r="J1900" i="5"/>
  <c r="K1900" i="5"/>
  <c r="L1900" i="5"/>
  <c r="N1900" i="5"/>
  <c r="O1900" i="5" s="1"/>
  <c r="J1899" i="5"/>
  <c r="K1899" i="5"/>
  <c r="L1899" i="5"/>
  <c r="N1899" i="5"/>
  <c r="O1899" i="5" s="1"/>
  <c r="J1898" i="5"/>
  <c r="K1898" i="5"/>
  <c r="L1898" i="5"/>
  <c r="N1898" i="5"/>
  <c r="O1898" i="5" s="1"/>
  <c r="J1897" i="5"/>
  <c r="K1897" i="5"/>
  <c r="L1897" i="5"/>
  <c r="N1897" i="5"/>
  <c r="O1897" i="5" s="1"/>
  <c r="J1896" i="5"/>
  <c r="K1896" i="5"/>
  <c r="L1896" i="5"/>
  <c r="N1896" i="5"/>
  <c r="O1896" i="5" s="1"/>
  <c r="J1895" i="5"/>
  <c r="K1895" i="5"/>
  <c r="L1895" i="5"/>
  <c r="N1895" i="5"/>
  <c r="O1895" i="5" s="1"/>
  <c r="J1894" i="5"/>
  <c r="K1894" i="5"/>
  <c r="L1894" i="5"/>
  <c r="N1894" i="5"/>
  <c r="O1894" i="5" s="1"/>
  <c r="J1893" i="5"/>
  <c r="K1893" i="5"/>
  <c r="L1893" i="5"/>
  <c r="N1893" i="5"/>
  <c r="O1893" i="5" s="1"/>
  <c r="J1892" i="5"/>
  <c r="K1892" i="5"/>
  <c r="L1892" i="5"/>
  <c r="N1892" i="5"/>
  <c r="O1892" i="5" s="1"/>
  <c r="J1891" i="5"/>
  <c r="K1891" i="5"/>
  <c r="L1891" i="5"/>
  <c r="N1891" i="5"/>
  <c r="O1891" i="5" s="1"/>
  <c r="J1890" i="5"/>
  <c r="K1890" i="5"/>
  <c r="L1890" i="5"/>
  <c r="N1890" i="5"/>
  <c r="O1890" i="5" s="1"/>
  <c r="J1889" i="5"/>
  <c r="K1889" i="5"/>
  <c r="L1889" i="5"/>
  <c r="N1889" i="5"/>
  <c r="O1889" i="5" s="1"/>
  <c r="J1888" i="5"/>
  <c r="K1888" i="5"/>
  <c r="L1888" i="5"/>
  <c r="N1888" i="5"/>
  <c r="O1888" i="5" s="1"/>
  <c r="J1887" i="5"/>
  <c r="K1887" i="5"/>
  <c r="L1887" i="5"/>
  <c r="N1887" i="5"/>
  <c r="O1887" i="5" s="1"/>
  <c r="J1886" i="5"/>
  <c r="K1886" i="5"/>
  <c r="L1886" i="5"/>
  <c r="N1886" i="5"/>
  <c r="O1886" i="5" s="1"/>
  <c r="J1885" i="5"/>
  <c r="K1885" i="5"/>
  <c r="L1885" i="5"/>
  <c r="N1885" i="5"/>
  <c r="O1885" i="5" s="1"/>
  <c r="J1884" i="5"/>
  <c r="K1884" i="5"/>
  <c r="L1884" i="5"/>
  <c r="N1884" i="5"/>
  <c r="O1884" i="5" s="1"/>
  <c r="J1883" i="5"/>
  <c r="K1883" i="5"/>
  <c r="L1883" i="5"/>
  <c r="N1883" i="5"/>
  <c r="O1883" i="5" s="1"/>
  <c r="J1882" i="5"/>
  <c r="K1882" i="5"/>
  <c r="L1882" i="5"/>
  <c r="N1882" i="5"/>
  <c r="O1882" i="5" s="1"/>
  <c r="J1881" i="5"/>
  <c r="K1881" i="5"/>
  <c r="L1881" i="5"/>
  <c r="N1881" i="5"/>
  <c r="O1881" i="5" s="1"/>
  <c r="J1880" i="5"/>
  <c r="K1880" i="5"/>
  <c r="L1880" i="5"/>
  <c r="N1880" i="5"/>
  <c r="O1880" i="5" s="1"/>
  <c r="J1879" i="5"/>
  <c r="K1879" i="5"/>
  <c r="L1879" i="5"/>
  <c r="N1879" i="5"/>
  <c r="O1879" i="5" s="1"/>
  <c r="J1878" i="5"/>
  <c r="K1878" i="5"/>
  <c r="L1878" i="5"/>
  <c r="N1878" i="5"/>
  <c r="O1878" i="5" s="1"/>
  <c r="J1877" i="5"/>
  <c r="K1877" i="5"/>
  <c r="L1877" i="5"/>
  <c r="N1877" i="5"/>
  <c r="O1877" i="5" s="1"/>
  <c r="J1876" i="5"/>
  <c r="K1876" i="5"/>
  <c r="L1876" i="5"/>
  <c r="N1876" i="5"/>
  <c r="O1876" i="5" s="1"/>
  <c r="J1875" i="5"/>
  <c r="K1875" i="5"/>
  <c r="L1875" i="5"/>
  <c r="N1875" i="5"/>
  <c r="O1875" i="5" s="1"/>
  <c r="J1874" i="5"/>
  <c r="K1874" i="5"/>
  <c r="L1874" i="5"/>
  <c r="N1874" i="5"/>
  <c r="O1874" i="5" s="1"/>
  <c r="J1873" i="5"/>
  <c r="K1873" i="5"/>
  <c r="L1873" i="5"/>
  <c r="N1873" i="5"/>
  <c r="O1873" i="5" s="1"/>
  <c r="J1872" i="5"/>
  <c r="K1872" i="5"/>
  <c r="L1872" i="5"/>
  <c r="N1872" i="5"/>
  <c r="O1872" i="5" s="1"/>
  <c r="J1871" i="5"/>
  <c r="K1871" i="5"/>
  <c r="L1871" i="5"/>
  <c r="N1871" i="5"/>
  <c r="O1871" i="5" s="1"/>
  <c r="J1870" i="5"/>
  <c r="K1870" i="5"/>
  <c r="L1870" i="5"/>
  <c r="N1870" i="5"/>
  <c r="O1870" i="5" s="1"/>
  <c r="J1869" i="5"/>
  <c r="K1869" i="5"/>
  <c r="L1869" i="5"/>
  <c r="N1869" i="5"/>
  <c r="O1869" i="5" s="1"/>
  <c r="J1868" i="5"/>
  <c r="K1868" i="5"/>
  <c r="L1868" i="5"/>
  <c r="N1868" i="5"/>
  <c r="O1868" i="5" s="1"/>
  <c r="J1867" i="5"/>
  <c r="K1867" i="5"/>
  <c r="L1867" i="5"/>
  <c r="N1867" i="5"/>
  <c r="O1867" i="5" s="1"/>
  <c r="J1866" i="5"/>
  <c r="K1866" i="5"/>
  <c r="L1866" i="5"/>
  <c r="N1866" i="5"/>
  <c r="O1866" i="5" s="1"/>
  <c r="J1865" i="5"/>
  <c r="K1865" i="5"/>
  <c r="L1865" i="5"/>
  <c r="N1865" i="5"/>
  <c r="O1865" i="5" s="1"/>
  <c r="J1864" i="5"/>
  <c r="K1864" i="5"/>
  <c r="L1864" i="5"/>
  <c r="N1864" i="5"/>
  <c r="O1864" i="5" s="1"/>
  <c r="J1863" i="5"/>
  <c r="K1863" i="5"/>
  <c r="L1863" i="5"/>
  <c r="N1863" i="5"/>
  <c r="O1863" i="5" s="1"/>
  <c r="J1862" i="5"/>
  <c r="K1862" i="5"/>
  <c r="L1862" i="5"/>
  <c r="N1862" i="5"/>
  <c r="O1862" i="5" s="1"/>
  <c r="J1861" i="5"/>
  <c r="K1861" i="5"/>
  <c r="L1861" i="5"/>
  <c r="N1861" i="5"/>
  <c r="O1861" i="5" s="1"/>
  <c r="J1860" i="5"/>
  <c r="K1860" i="5"/>
  <c r="L1860" i="5"/>
  <c r="N1860" i="5"/>
  <c r="O1860" i="5" s="1"/>
  <c r="J1859" i="5"/>
  <c r="K1859" i="5"/>
  <c r="L1859" i="5"/>
  <c r="N1859" i="5"/>
  <c r="O1859" i="5" s="1"/>
  <c r="J1858" i="5"/>
  <c r="K1858" i="5"/>
  <c r="L1858" i="5"/>
  <c r="N1858" i="5"/>
  <c r="O1858" i="5" s="1"/>
  <c r="J1857" i="5"/>
  <c r="K1857" i="5"/>
  <c r="L1857" i="5"/>
  <c r="N1857" i="5"/>
  <c r="O1857" i="5" s="1"/>
  <c r="J1856" i="5"/>
  <c r="K1856" i="5"/>
  <c r="L1856" i="5"/>
  <c r="N1856" i="5"/>
  <c r="O1856" i="5" s="1"/>
  <c r="J1855" i="5"/>
  <c r="K1855" i="5"/>
  <c r="L1855" i="5"/>
  <c r="N1855" i="5"/>
  <c r="O1855" i="5" s="1"/>
  <c r="J1854" i="5"/>
  <c r="K1854" i="5"/>
  <c r="L1854" i="5"/>
  <c r="N1854" i="5"/>
  <c r="O1854" i="5" s="1"/>
  <c r="J1853" i="5"/>
  <c r="K1853" i="5"/>
  <c r="L1853" i="5"/>
  <c r="N1853" i="5"/>
  <c r="O1853" i="5" s="1"/>
  <c r="J1852" i="5"/>
  <c r="K1852" i="5"/>
  <c r="L1852" i="5"/>
  <c r="N1852" i="5"/>
  <c r="O1852" i="5" s="1"/>
  <c r="J1851" i="5"/>
  <c r="K1851" i="5"/>
  <c r="L1851" i="5"/>
  <c r="N1851" i="5"/>
  <c r="O1851" i="5" s="1"/>
  <c r="J1850" i="5"/>
  <c r="K1850" i="5"/>
  <c r="L1850" i="5"/>
  <c r="N1850" i="5"/>
  <c r="O1850" i="5" s="1"/>
  <c r="J1849" i="5"/>
  <c r="K1849" i="5"/>
  <c r="L1849" i="5"/>
  <c r="N1849" i="5"/>
  <c r="O1849" i="5" s="1"/>
  <c r="J1848" i="5"/>
  <c r="K1848" i="5"/>
  <c r="L1848" i="5"/>
  <c r="N1848" i="5"/>
  <c r="O1848" i="5" s="1"/>
  <c r="J1847" i="5"/>
  <c r="K1847" i="5"/>
  <c r="L1847" i="5"/>
  <c r="N1847" i="5"/>
  <c r="O1847" i="5" s="1"/>
  <c r="J1846" i="5"/>
  <c r="K1846" i="5"/>
  <c r="L1846" i="5"/>
  <c r="N1846" i="5"/>
  <c r="O1846" i="5" s="1"/>
  <c r="J1845" i="5"/>
  <c r="K1845" i="5"/>
  <c r="L1845" i="5"/>
  <c r="N1845" i="5"/>
  <c r="O1845" i="5" s="1"/>
  <c r="J1844" i="5"/>
  <c r="K1844" i="5"/>
  <c r="L1844" i="5"/>
  <c r="N1844" i="5"/>
  <c r="O1844" i="5" s="1"/>
  <c r="J1843" i="5"/>
  <c r="K1843" i="5"/>
  <c r="L1843" i="5"/>
  <c r="N1843" i="5"/>
  <c r="O1843" i="5" s="1"/>
  <c r="J1842" i="5"/>
  <c r="K1842" i="5"/>
  <c r="L1842" i="5"/>
  <c r="N1842" i="5"/>
  <c r="O1842" i="5"/>
  <c r="J1841" i="5"/>
  <c r="K1841" i="5"/>
  <c r="L1841" i="5"/>
  <c r="N1841" i="5"/>
  <c r="O1841" i="5" s="1"/>
  <c r="J1840" i="5"/>
  <c r="K1840" i="5"/>
  <c r="L1840" i="5"/>
  <c r="N1840" i="5"/>
  <c r="O1840" i="5" s="1"/>
  <c r="J1839" i="5"/>
  <c r="K1839" i="5"/>
  <c r="L1839" i="5"/>
  <c r="N1839" i="5"/>
  <c r="O1839" i="5" s="1"/>
  <c r="J1838" i="5"/>
  <c r="K1838" i="5"/>
  <c r="L1838" i="5"/>
  <c r="N1838" i="5"/>
  <c r="O1838" i="5" s="1"/>
  <c r="J1837" i="5"/>
  <c r="K1837" i="5"/>
  <c r="L1837" i="5"/>
  <c r="N1837" i="5"/>
  <c r="O1837" i="5" s="1"/>
  <c r="J1836" i="5"/>
  <c r="K1836" i="5"/>
  <c r="L1836" i="5"/>
  <c r="N1836" i="5"/>
  <c r="O1836" i="5" s="1"/>
  <c r="J1835" i="5"/>
  <c r="K1835" i="5"/>
  <c r="L1835" i="5"/>
  <c r="N1835" i="5"/>
  <c r="O1835" i="5" s="1"/>
  <c r="J1834" i="5"/>
  <c r="K1834" i="5"/>
  <c r="L1834" i="5"/>
  <c r="N1834" i="5"/>
  <c r="O1834" i="5" s="1"/>
  <c r="J1833" i="5"/>
  <c r="K1833" i="5"/>
  <c r="L1833" i="5"/>
  <c r="N1833" i="5"/>
  <c r="O1833" i="5" s="1"/>
  <c r="J1832" i="5"/>
  <c r="K1832" i="5"/>
  <c r="L1832" i="5"/>
  <c r="N1832" i="5"/>
  <c r="O1832" i="5"/>
  <c r="J1831" i="5"/>
  <c r="K1831" i="5"/>
  <c r="L1831" i="5"/>
  <c r="N1831" i="5"/>
  <c r="O1831" i="5" s="1"/>
  <c r="J1830" i="5"/>
  <c r="K1830" i="5"/>
  <c r="L1830" i="5"/>
  <c r="N1830" i="5"/>
  <c r="O1830" i="5" s="1"/>
  <c r="J1829" i="5"/>
  <c r="K1829" i="5"/>
  <c r="L1829" i="5"/>
  <c r="N1829" i="5"/>
  <c r="O1829" i="5" s="1"/>
  <c r="J1828" i="5"/>
  <c r="K1828" i="5"/>
  <c r="L1828" i="5"/>
  <c r="N1828" i="5"/>
  <c r="O1828" i="5"/>
  <c r="J1827" i="5"/>
  <c r="K1827" i="5"/>
  <c r="L1827" i="5"/>
  <c r="N1827" i="5"/>
  <c r="O1827" i="5" s="1"/>
  <c r="J1826" i="5"/>
  <c r="K1826" i="5"/>
  <c r="L1826" i="5"/>
  <c r="N1826" i="5"/>
  <c r="O1826" i="5" s="1"/>
  <c r="J1825" i="5"/>
  <c r="K1825" i="5"/>
  <c r="L1825" i="5"/>
  <c r="N1825" i="5"/>
  <c r="O1825" i="5" s="1"/>
  <c r="J1824" i="5"/>
  <c r="K1824" i="5"/>
  <c r="L1824" i="5"/>
  <c r="N1824" i="5"/>
  <c r="O1824" i="5" s="1"/>
  <c r="J1823" i="5"/>
  <c r="K1823" i="5"/>
  <c r="L1823" i="5"/>
  <c r="N1823" i="5"/>
  <c r="O1823" i="5" s="1"/>
  <c r="J1822" i="5"/>
  <c r="K1822" i="5"/>
  <c r="L1822" i="5"/>
  <c r="N1822" i="5"/>
  <c r="O1822" i="5" s="1"/>
  <c r="J1821" i="5"/>
  <c r="K1821" i="5"/>
  <c r="L1821" i="5"/>
  <c r="N1821" i="5"/>
  <c r="O1821" i="5" s="1"/>
  <c r="J1820" i="5"/>
  <c r="K1820" i="5"/>
  <c r="L1820" i="5"/>
  <c r="N1820" i="5"/>
  <c r="O1820" i="5" s="1"/>
  <c r="J1819" i="5"/>
  <c r="K1819" i="5"/>
  <c r="L1819" i="5"/>
  <c r="N1819" i="5"/>
  <c r="O1819" i="5" s="1"/>
  <c r="J1818" i="5"/>
  <c r="K1818" i="5"/>
  <c r="L1818" i="5"/>
  <c r="N1818" i="5"/>
  <c r="O1818" i="5" s="1"/>
  <c r="J1817" i="5"/>
  <c r="K1817" i="5"/>
  <c r="L1817" i="5"/>
  <c r="N1817" i="5"/>
  <c r="O1817" i="5" s="1"/>
  <c r="J1816" i="5"/>
  <c r="K1816" i="5"/>
  <c r="L1816" i="5"/>
  <c r="N1816" i="5"/>
  <c r="O1816" i="5" s="1"/>
  <c r="J1815" i="5"/>
  <c r="K1815" i="5"/>
  <c r="L1815" i="5"/>
  <c r="N1815" i="5"/>
  <c r="O1815" i="5" s="1"/>
  <c r="J1814" i="5"/>
  <c r="K1814" i="5"/>
  <c r="L1814" i="5"/>
  <c r="N1814" i="5"/>
  <c r="O1814" i="5" s="1"/>
  <c r="J1813" i="5"/>
  <c r="K1813" i="5"/>
  <c r="L1813" i="5"/>
  <c r="N1813" i="5"/>
  <c r="O1813" i="5" s="1"/>
  <c r="J1812" i="5"/>
  <c r="K1812" i="5"/>
  <c r="L1812" i="5"/>
  <c r="N1812" i="5"/>
  <c r="O1812" i="5" s="1"/>
  <c r="J1811" i="5"/>
  <c r="K1811" i="5"/>
  <c r="L1811" i="5"/>
  <c r="N1811" i="5"/>
  <c r="O1811" i="5" s="1"/>
  <c r="J1810" i="5"/>
  <c r="K1810" i="5"/>
  <c r="L1810" i="5"/>
  <c r="N1810" i="5"/>
  <c r="O1810" i="5" s="1"/>
  <c r="J1809" i="5"/>
  <c r="K1809" i="5"/>
  <c r="L1809" i="5"/>
  <c r="N1809" i="5"/>
  <c r="O1809" i="5" s="1"/>
  <c r="J1808" i="5"/>
  <c r="K1808" i="5"/>
  <c r="L1808" i="5"/>
  <c r="N1808" i="5"/>
  <c r="O1808" i="5" s="1"/>
  <c r="J1807" i="5"/>
  <c r="K1807" i="5"/>
  <c r="L1807" i="5"/>
  <c r="N1807" i="5"/>
  <c r="O1807" i="5" s="1"/>
  <c r="J1806" i="5"/>
  <c r="K1806" i="5"/>
  <c r="L1806" i="5"/>
  <c r="N1806" i="5"/>
  <c r="O1806" i="5" s="1"/>
  <c r="J1805" i="5"/>
  <c r="K1805" i="5"/>
  <c r="L1805" i="5"/>
  <c r="N1805" i="5"/>
  <c r="O1805" i="5" s="1"/>
  <c r="J1804" i="5"/>
  <c r="K1804" i="5"/>
  <c r="L1804" i="5"/>
  <c r="N1804" i="5"/>
  <c r="O1804" i="5" s="1"/>
  <c r="J1803" i="5"/>
  <c r="K1803" i="5"/>
  <c r="L1803" i="5"/>
  <c r="N1803" i="5"/>
  <c r="O1803" i="5" s="1"/>
  <c r="J1802" i="5"/>
  <c r="K1802" i="5"/>
  <c r="L1802" i="5"/>
  <c r="N1802" i="5"/>
  <c r="O1802" i="5" s="1"/>
  <c r="J1801" i="5"/>
  <c r="K1801" i="5"/>
  <c r="L1801" i="5"/>
  <c r="N1801" i="5"/>
  <c r="O1801" i="5" s="1"/>
  <c r="J1800" i="5"/>
  <c r="K1800" i="5"/>
  <c r="L1800" i="5"/>
  <c r="N1800" i="5"/>
  <c r="O1800" i="5" s="1"/>
  <c r="J1799" i="5"/>
  <c r="K1799" i="5"/>
  <c r="L1799" i="5"/>
  <c r="N1799" i="5"/>
  <c r="O1799" i="5" s="1"/>
  <c r="J1798" i="5"/>
  <c r="K1798" i="5"/>
  <c r="L1798" i="5"/>
  <c r="N1798" i="5"/>
  <c r="O1798" i="5" s="1"/>
  <c r="J1797" i="5"/>
  <c r="K1797" i="5"/>
  <c r="L1797" i="5"/>
  <c r="N1797" i="5"/>
  <c r="O1797" i="5" s="1"/>
  <c r="J1796" i="5"/>
  <c r="K1796" i="5"/>
  <c r="L1796" i="5"/>
  <c r="N1796" i="5"/>
  <c r="O1796" i="5" s="1"/>
  <c r="J1795" i="5"/>
  <c r="K1795" i="5"/>
  <c r="L1795" i="5"/>
  <c r="N1795" i="5"/>
  <c r="O1795" i="5" s="1"/>
  <c r="J1794" i="5"/>
  <c r="K1794" i="5"/>
  <c r="L1794" i="5"/>
  <c r="N1794" i="5"/>
  <c r="O1794" i="5" s="1"/>
  <c r="J1793" i="5"/>
  <c r="K1793" i="5"/>
  <c r="L1793" i="5"/>
  <c r="N1793" i="5"/>
  <c r="O1793" i="5" s="1"/>
  <c r="J1792" i="5"/>
  <c r="K1792" i="5"/>
  <c r="L1792" i="5"/>
  <c r="N1792" i="5"/>
  <c r="O1792" i="5" s="1"/>
  <c r="J1791" i="5"/>
  <c r="K1791" i="5"/>
  <c r="L1791" i="5"/>
  <c r="N1791" i="5"/>
  <c r="O1791" i="5" s="1"/>
  <c r="J1790" i="5"/>
  <c r="K1790" i="5"/>
  <c r="L1790" i="5"/>
  <c r="N1790" i="5"/>
  <c r="O1790" i="5" s="1"/>
  <c r="J1789" i="5"/>
  <c r="K1789" i="5"/>
  <c r="L1789" i="5"/>
  <c r="N1789" i="5"/>
  <c r="O1789" i="5" s="1"/>
  <c r="J1788" i="5"/>
  <c r="K1788" i="5"/>
  <c r="L1788" i="5"/>
  <c r="N1788" i="5"/>
  <c r="O1788" i="5" s="1"/>
  <c r="J1787" i="5"/>
  <c r="K1787" i="5"/>
  <c r="L1787" i="5"/>
  <c r="N1787" i="5"/>
  <c r="O1787" i="5" s="1"/>
  <c r="J1786" i="5"/>
  <c r="K1786" i="5"/>
  <c r="L1786" i="5"/>
  <c r="N1786" i="5"/>
  <c r="O1786" i="5" s="1"/>
  <c r="J1785" i="5"/>
  <c r="K1785" i="5"/>
  <c r="L1785" i="5"/>
  <c r="N1785" i="5"/>
  <c r="O1785" i="5" s="1"/>
  <c r="J1784" i="5"/>
  <c r="K1784" i="5"/>
  <c r="L1784" i="5"/>
  <c r="N1784" i="5"/>
  <c r="O1784" i="5" s="1"/>
  <c r="J1783" i="5"/>
  <c r="K1783" i="5"/>
  <c r="L1783" i="5"/>
  <c r="N1783" i="5"/>
  <c r="O1783" i="5" s="1"/>
  <c r="J1782" i="5"/>
  <c r="K1782" i="5"/>
  <c r="L1782" i="5"/>
  <c r="N1782" i="5"/>
  <c r="O1782" i="5" s="1"/>
  <c r="J1781" i="5"/>
  <c r="K1781" i="5"/>
  <c r="L1781" i="5"/>
  <c r="N1781" i="5"/>
  <c r="O1781" i="5" s="1"/>
  <c r="J1780" i="5"/>
  <c r="K1780" i="5"/>
  <c r="L1780" i="5"/>
  <c r="N1780" i="5"/>
  <c r="O1780" i="5" s="1"/>
  <c r="J1779" i="5"/>
  <c r="K1779" i="5"/>
  <c r="L1779" i="5"/>
  <c r="N1779" i="5"/>
  <c r="O1779" i="5" s="1"/>
  <c r="J1778" i="5"/>
  <c r="K1778" i="5"/>
  <c r="L1778" i="5"/>
  <c r="N1778" i="5"/>
  <c r="O1778" i="5" s="1"/>
  <c r="J1777" i="5"/>
  <c r="K1777" i="5"/>
  <c r="L1777" i="5"/>
  <c r="N1777" i="5"/>
  <c r="O1777" i="5" s="1"/>
  <c r="J1776" i="5"/>
  <c r="K1776" i="5"/>
  <c r="L1776" i="5"/>
  <c r="N1776" i="5"/>
  <c r="O1776" i="5" s="1"/>
  <c r="J1775" i="5"/>
  <c r="K1775" i="5"/>
  <c r="L1775" i="5"/>
  <c r="N1775" i="5"/>
  <c r="O1775" i="5" s="1"/>
  <c r="J1774" i="5"/>
  <c r="K1774" i="5"/>
  <c r="L1774" i="5"/>
  <c r="N1774" i="5"/>
  <c r="O1774" i="5" s="1"/>
  <c r="J1773" i="5"/>
  <c r="K1773" i="5"/>
  <c r="L1773" i="5"/>
  <c r="N1773" i="5"/>
  <c r="O1773" i="5" s="1"/>
  <c r="J1772" i="5"/>
  <c r="K1772" i="5"/>
  <c r="L1772" i="5"/>
  <c r="N1772" i="5"/>
  <c r="O1772" i="5" s="1"/>
  <c r="J1771" i="5"/>
  <c r="K1771" i="5"/>
  <c r="L1771" i="5"/>
  <c r="N1771" i="5"/>
  <c r="O1771" i="5" s="1"/>
  <c r="J1770" i="5"/>
  <c r="K1770" i="5"/>
  <c r="L1770" i="5"/>
  <c r="N1770" i="5"/>
  <c r="O1770" i="5" s="1"/>
  <c r="J1769" i="5"/>
  <c r="K1769" i="5"/>
  <c r="L1769" i="5"/>
  <c r="N1769" i="5"/>
  <c r="O1769" i="5" s="1"/>
  <c r="J1768" i="5"/>
  <c r="K1768" i="5"/>
  <c r="L1768" i="5"/>
  <c r="N1768" i="5"/>
  <c r="O1768" i="5" s="1"/>
  <c r="J1767" i="5"/>
  <c r="K1767" i="5"/>
  <c r="L1767" i="5"/>
  <c r="N1767" i="5"/>
  <c r="O1767" i="5" s="1"/>
  <c r="J1766" i="5"/>
  <c r="K1766" i="5"/>
  <c r="L1766" i="5"/>
  <c r="N1766" i="5"/>
  <c r="O1766" i="5" s="1"/>
  <c r="J1765" i="5"/>
  <c r="K1765" i="5"/>
  <c r="L1765" i="5"/>
  <c r="N1765" i="5"/>
  <c r="O1765" i="5" s="1"/>
  <c r="J1764" i="5"/>
  <c r="K1764" i="5"/>
  <c r="L1764" i="5"/>
  <c r="N1764" i="5"/>
  <c r="O1764" i="5" s="1"/>
  <c r="J1763" i="5"/>
  <c r="K1763" i="5"/>
  <c r="L1763" i="5"/>
  <c r="N1763" i="5"/>
  <c r="O1763" i="5" s="1"/>
  <c r="J1762" i="5"/>
  <c r="K1762" i="5"/>
  <c r="L1762" i="5"/>
  <c r="N1762" i="5"/>
  <c r="O1762" i="5" s="1"/>
  <c r="J1761" i="5"/>
  <c r="K1761" i="5"/>
  <c r="L1761" i="5"/>
  <c r="N1761" i="5"/>
  <c r="O1761" i="5" s="1"/>
  <c r="J1760" i="5"/>
  <c r="K1760" i="5"/>
  <c r="L1760" i="5"/>
  <c r="N1760" i="5"/>
  <c r="O1760" i="5" s="1"/>
  <c r="J1759" i="5"/>
  <c r="K1759" i="5"/>
  <c r="L1759" i="5"/>
  <c r="N1759" i="5"/>
  <c r="O1759" i="5" s="1"/>
  <c r="J1758" i="5"/>
  <c r="K1758" i="5"/>
  <c r="L1758" i="5"/>
  <c r="N1758" i="5"/>
  <c r="O1758" i="5" s="1"/>
  <c r="J1757" i="5"/>
  <c r="K1757" i="5"/>
  <c r="L1757" i="5"/>
  <c r="N1757" i="5"/>
  <c r="O1757" i="5" s="1"/>
  <c r="J1756" i="5"/>
  <c r="K1756" i="5"/>
  <c r="L1756" i="5"/>
  <c r="N1756" i="5"/>
  <c r="O1756" i="5" s="1"/>
  <c r="J1755" i="5"/>
  <c r="K1755" i="5"/>
  <c r="L1755" i="5"/>
  <c r="N1755" i="5"/>
  <c r="O1755" i="5" s="1"/>
  <c r="J1754" i="5"/>
  <c r="K1754" i="5"/>
  <c r="L1754" i="5"/>
  <c r="N1754" i="5"/>
  <c r="O1754" i="5" s="1"/>
  <c r="J1753" i="5"/>
  <c r="K1753" i="5"/>
  <c r="L1753" i="5"/>
  <c r="N1753" i="5"/>
  <c r="O1753" i="5" s="1"/>
  <c r="J1752" i="5"/>
  <c r="K1752" i="5"/>
  <c r="L1752" i="5"/>
  <c r="N1752" i="5"/>
  <c r="O1752" i="5" s="1"/>
  <c r="J1751" i="5"/>
  <c r="K1751" i="5"/>
  <c r="L1751" i="5"/>
  <c r="N1751" i="5"/>
  <c r="O1751" i="5" s="1"/>
  <c r="J1750" i="5"/>
  <c r="K1750" i="5"/>
  <c r="L1750" i="5"/>
  <c r="N1750" i="5"/>
  <c r="O1750" i="5" s="1"/>
  <c r="J1749" i="5"/>
  <c r="K1749" i="5"/>
  <c r="L1749" i="5"/>
  <c r="N1749" i="5"/>
  <c r="O1749" i="5" s="1"/>
  <c r="J1748" i="5"/>
  <c r="K1748" i="5"/>
  <c r="L1748" i="5"/>
  <c r="N1748" i="5"/>
  <c r="O1748" i="5" s="1"/>
  <c r="J1747" i="5"/>
  <c r="K1747" i="5"/>
  <c r="L1747" i="5"/>
  <c r="N1747" i="5"/>
  <c r="O1747" i="5" s="1"/>
  <c r="J1746" i="5"/>
  <c r="K1746" i="5"/>
  <c r="L1746" i="5"/>
  <c r="N1746" i="5"/>
  <c r="O1746" i="5" s="1"/>
  <c r="J1745" i="5"/>
  <c r="K1745" i="5"/>
  <c r="L1745" i="5"/>
  <c r="N1745" i="5"/>
  <c r="O1745" i="5" s="1"/>
  <c r="J1744" i="5"/>
  <c r="K1744" i="5"/>
  <c r="L1744" i="5"/>
  <c r="N1744" i="5"/>
  <c r="O1744" i="5" s="1"/>
  <c r="J1743" i="5"/>
  <c r="K1743" i="5"/>
  <c r="L1743" i="5"/>
  <c r="N1743" i="5"/>
  <c r="O1743" i="5" s="1"/>
  <c r="J1742" i="5"/>
  <c r="K1742" i="5"/>
  <c r="L1742" i="5"/>
  <c r="N1742" i="5"/>
  <c r="O1742" i="5" s="1"/>
  <c r="J1741" i="5"/>
  <c r="K1741" i="5"/>
  <c r="L1741" i="5"/>
  <c r="N1741" i="5"/>
  <c r="O1741" i="5" s="1"/>
  <c r="J1740" i="5"/>
  <c r="K1740" i="5"/>
  <c r="L1740" i="5"/>
  <c r="N1740" i="5"/>
  <c r="O1740" i="5" s="1"/>
  <c r="J1739" i="5"/>
  <c r="K1739" i="5"/>
  <c r="L1739" i="5"/>
  <c r="N1739" i="5"/>
  <c r="O1739" i="5" s="1"/>
  <c r="J1738" i="5"/>
  <c r="K1738" i="5"/>
  <c r="L1738" i="5"/>
  <c r="N1738" i="5"/>
  <c r="O1738" i="5" s="1"/>
  <c r="J1737" i="5"/>
  <c r="K1737" i="5"/>
  <c r="L1737" i="5"/>
  <c r="N1737" i="5"/>
  <c r="O1737" i="5" s="1"/>
  <c r="J1736" i="5"/>
  <c r="K1736" i="5"/>
  <c r="L1736" i="5"/>
  <c r="N1736" i="5"/>
  <c r="O1736" i="5" s="1"/>
  <c r="J1735" i="5"/>
  <c r="K1735" i="5"/>
  <c r="L1735" i="5"/>
  <c r="N1735" i="5"/>
  <c r="O1735" i="5" s="1"/>
  <c r="J1734" i="5"/>
  <c r="K1734" i="5"/>
  <c r="L1734" i="5"/>
  <c r="N1734" i="5"/>
  <c r="O1734" i="5" s="1"/>
  <c r="J1733" i="5"/>
  <c r="K1733" i="5"/>
  <c r="L1733" i="5"/>
  <c r="N1733" i="5"/>
  <c r="O1733" i="5" s="1"/>
  <c r="J1732" i="5"/>
  <c r="K1732" i="5"/>
  <c r="L1732" i="5"/>
  <c r="N1732" i="5"/>
  <c r="O1732" i="5" s="1"/>
  <c r="J1731" i="5"/>
  <c r="K1731" i="5"/>
  <c r="L1731" i="5"/>
  <c r="N1731" i="5"/>
  <c r="O1731" i="5" s="1"/>
  <c r="J1730" i="5"/>
  <c r="K1730" i="5"/>
  <c r="L1730" i="5"/>
  <c r="N1730" i="5"/>
  <c r="O1730" i="5" s="1"/>
  <c r="J1729" i="5"/>
  <c r="K1729" i="5"/>
  <c r="L1729" i="5"/>
  <c r="N1729" i="5"/>
  <c r="O1729" i="5" s="1"/>
  <c r="J1728" i="5"/>
  <c r="K1728" i="5"/>
  <c r="L1728" i="5"/>
  <c r="N1728" i="5"/>
  <c r="O1728" i="5" s="1"/>
  <c r="J1727" i="5"/>
  <c r="K1727" i="5"/>
  <c r="L1727" i="5"/>
  <c r="N1727" i="5"/>
  <c r="O1727" i="5" s="1"/>
  <c r="J1726" i="5"/>
  <c r="K1726" i="5"/>
  <c r="L1726" i="5"/>
  <c r="N1726" i="5"/>
  <c r="O1726" i="5" s="1"/>
  <c r="J1725" i="5"/>
  <c r="K1725" i="5"/>
  <c r="L1725" i="5"/>
  <c r="N1725" i="5"/>
  <c r="O1725" i="5" s="1"/>
  <c r="J1724" i="5"/>
  <c r="K1724" i="5"/>
  <c r="L1724" i="5"/>
  <c r="N1724" i="5"/>
  <c r="O1724" i="5" s="1"/>
  <c r="J1723" i="5"/>
  <c r="K1723" i="5"/>
  <c r="L1723" i="5"/>
  <c r="N1723" i="5"/>
  <c r="O1723" i="5" s="1"/>
  <c r="J1722" i="5"/>
  <c r="K1722" i="5"/>
  <c r="L1722" i="5"/>
  <c r="N1722" i="5"/>
  <c r="O1722" i="5" s="1"/>
  <c r="J1721" i="5"/>
  <c r="K1721" i="5"/>
  <c r="L1721" i="5"/>
  <c r="N1721" i="5"/>
  <c r="O1721" i="5" s="1"/>
  <c r="J1720" i="5"/>
  <c r="K1720" i="5"/>
  <c r="L1720" i="5"/>
  <c r="N1720" i="5"/>
  <c r="O1720" i="5" s="1"/>
  <c r="J1719" i="5"/>
  <c r="K1719" i="5"/>
  <c r="L1719" i="5"/>
  <c r="N1719" i="5"/>
  <c r="O1719" i="5" s="1"/>
  <c r="J1718" i="5"/>
  <c r="K1718" i="5"/>
  <c r="L1718" i="5"/>
  <c r="N1718" i="5"/>
  <c r="O1718" i="5" s="1"/>
  <c r="J1717" i="5"/>
  <c r="K1717" i="5"/>
  <c r="L1717" i="5"/>
  <c r="N1717" i="5"/>
  <c r="O1717" i="5" s="1"/>
  <c r="J1716" i="5"/>
  <c r="K1716" i="5"/>
  <c r="L1716" i="5"/>
  <c r="N1716" i="5"/>
  <c r="O1716" i="5" s="1"/>
  <c r="J1715" i="5"/>
  <c r="K1715" i="5"/>
  <c r="L1715" i="5"/>
  <c r="N1715" i="5"/>
  <c r="O1715" i="5" s="1"/>
  <c r="J1714" i="5"/>
  <c r="K1714" i="5"/>
  <c r="L1714" i="5"/>
  <c r="N1714" i="5"/>
  <c r="O1714" i="5" s="1"/>
  <c r="J1713" i="5"/>
  <c r="K1713" i="5"/>
  <c r="L1713" i="5"/>
  <c r="N1713" i="5"/>
  <c r="O1713" i="5" s="1"/>
  <c r="J1712" i="5"/>
  <c r="K1712" i="5"/>
  <c r="L1712" i="5"/>
  <c r="N1712" i="5"/>
  <c r="O1712" i="5" s="1"/>
  <c r="J1711" i="5"/>
  <c r="K1711" i="5"/>
  <c r="L1711" i="5"/>
  <c r="N1711" i="5"/>
  <c r="O1711" i="5"/>
  <c r="J1710" i="5"/>
  <c r="K1710" i="5"/>
  <c r="L1710" i="5"/>
  <c r="N1710" i="5"/>
  <c r="O1710" i="5" s="1"/>
  <c r="J1709" i="5"/>
  <c r="K1709" i="5"/>
  <c r="L1709" i="5"/>
  <c r="N1709" i="5"/>
  <c r="O1709" i="5" s="1"/>
  <c r="J1708" i="5"/>
  <c r="K1708" i="5"/>
  <c r="L1708" i="5"/>
  <c r="N1708" i="5"/>
  <c r="O1708" i="5" s="1"/>
  <c r="J1707" i="5"/>
  <c r="K1707" i="5"/>
  <c r="L1707" i="5"/>
  <c r="N1707" i="5"/>
  <c r="O1707" i="5" s="1"/>
  <c r="J1706" i="5"/>
  <c r="K1706" i="5"/>
  <c r="L1706" i="5"/>
  <c r="N1706" i="5"/>
  <c r="O1706" i="5" s="1"/>
  <c r="J1705" i="5"/>
  <c r="K1705" i="5"/>
  <c r="L1705" i="5"/>
  <c r="N1705" i="5"/>
  <c r="O1705" i="5"/>
  <c r="J1704" i="5"/>
  <c r="K1704" i="5"/>
  <c r="L1704" i="5"/>
  <c r="N1704" i="5"/>
  <c r="O1704" i="5" s="1"/>
  <c r="J1703" i="5"/>
  <c r="K1703" i="5"/>
  <c r="L1703" i="5"/>
  <c r="N1703" i="5"/>
  <c r="O1703" i="5" s="1"/>
  <c r="J1702" i="5"/>
  <c r="K1702" i="5"/>
  <c r="L1702" i="5"/>
  <c r="N1702" i="5"/>
  <c r="O1702" i="5" s="1"/>
  <c r="J1701" i="5"/>
  <c r="K1701" i="5"/>
  <c r="L1701" i="5"/>
  <c r="N1701" i="5"/>
  <c r="O1701" i="5"/>
  <c r="J1700" i="5"/>
  <c r="K1700" i="5"/>
  <c r="L1700" i="5"/>
  <c r="N1700" i="5"/>
  <c r="O1700" i="5" s="1"/>
  <c r="J1699" i="5"/>
  <c r="K1699" i="5"/>
  <c r="L1699" i="5"/>
  <c r="N1699" i="5"/>
  <c r="O1699" i="5" s="1"/>
  <c r="J1698" i="5"/>
  <c r="K1698" i="5"/>
  <c r="L1698" i="5"/>
  <c r="N1698" i="5"/>
  <c r="O1698" i="5" s="1"/>
  <c r="J1697" i="5"/>
  <c r="K1697" i="5"/>
  <c r="L1697" i="5"/>
  <c r="N1697" i="5"/>
  <c r="O1697" i="5"/>
  <c r="J1696" i="5"/>
  <c r="K1696" i="5"/>
  <c r="L1696" i="5"/>
  <c r="N1696" i="5"/>
  <c r="O1696" i="5" s="1"/>
  <c r="J1695" i="5"/>
  <c r="K1695" i="5"/>
  <c r="L1695" i="5"/>
  <c r="N1695" i="5"/>
  <c r="O1695" i="5" s="1"/>
  <c r="J1694" i="5"/>
  <c r="K1694" i="5"/>
  <c r="L1694" i="5"/>
  <c r="N1694" i="5"/>
  <c r="O1694" i="5" s="1"/>
  <c r="J1693" i="5"/>
  <c r="K1693" i="5"/>
  <c r="L1693" i="5"/>
  <c r="N1693" i="5"/>
  <c r="O1693" i="5" s="1"/>
  <c r="J1692" i="5"/>
  <c r="K1692" i="5"/>
  <c r="L1692" i="5"/>
  <c r="N1692" i="5"/>
  <c r="O1692" i="5" s="1"/>
  <c r="J1691" i="5"/>
  <c r="K1691" i="5"/>
  <c r="L1691" i="5"/>
  <c r="N1691" i="5"/>
  <c r="O1691" i="5" s="1"/>
  <c r="J1690" i="5"/>
  <c r="K1690" i="5"/>
  <c r="L1690" i="5"/>
  <c r="N1690" i="5"/>
  <c r="O1690" i="5" s="1"/>
  <c r="J1689" i="5"/>
  <c r="K1689" i="5"/>
  <c r="L1689" i="5"/>
  <c r="N1689" i="5"/>
  <c r="O1689" i="5" s="1"/>
  <c r="J1688" i="5"/>
  <c r="K1688" i="5"/>
  <c r="L1688" i="5"/>
  <c r="N1688" i="5"/>
  <c r="O1688" i="5" s="1"/>
  <c r="J1687" i="5"/>
  <c r="K1687" i="5"/>
  <c r="L1687" i="5"/>
  <c r="N1687" i="5"/>
  <c r="O1687" i="5"/>
  <c r="J1686" i="5"/>
  <c r="K1686" i="5"/>
  <c r="L1686" i="5"/>
  <c r="N1686" i="5"/>
  <c r="O1686" i="5" s="1"/>
  <c r="J1685" i="5"/>
  <c r="K1685" i="5"/>
  <c r="L1685" i="5"/>
  <c r="N1685" i="5"/>
  <c r="O1685" i="5" s="1"/>
  <c r="J1684" i="5"/>
  <c r="K1684" i="5"/>
  <c r="L1684" i="5"/>
  <c r="N1684" i="5"/>
  <c r="O1684" i="5" s="1"/>
  <c r="J1683" i="5"/>
  <c r="K1683" i="5"/>
  <c r="L1683" i="5"/>
  <c r="N1683" i="5"/>
  <c r="O1683" i="5" s="1"/>
  <c r="J1682" i="5"/>
  <c r="K1682" i="5"/>
  <c r="L1682" i="5"/>
  <c r="N1682" i="5"/>
  <c r="O1682" i="5" s="1"/>
  <c r="J1681" i="5"/>
  <c r="K1681" i="5"/>
  <c r="L1681" i="5"/>
  <c r="N1681" i="5"/>
  <c r="O1681" i="5" s="1"/>
  <c r="J1680" i="5"/>
  <c r="K1680" i="5"/>
  <c r="L1680" i="5"/>
  <c r="N1680" i="5"/>
  <c r="O1680" i="5" s="1"/>
  <c r="J1679" i="5"/>
  <c r="K1679" i="5"/>
  <c r="L1679" i="5"/>
  <c r="N1679" i="5"/>
  <c r="O1679" i="5" s="1"/>
  <c r="J1678" i="5"/>
  <c r="K1678" i="5"/>
  <c r="L1678" i="5"/>
  <c r="N1678" i="5"/>
  <c r="O1678" i="5" s="1"/>
  <c r="J1677" i="5"/>
  <c r="K1677" i="5"/>
  <c r="L1677" i="5"/>
  <c r="N1677" i="5"/>
  <c r="O1677" i="5" s="1"/>
  <c r="J1676" i="5"/>
  <c r="K1676" i="5"/>
  <c r="L1676" i="5"/>
  <c r="N1676" i="5"/>
  <c r="O1676" i="5" s="1"/>
  <c r="J1675" i="5"/>
  <c r="K1675" i="5"/>
  <c r="L1675" i="5"/>
  <c r="N1675" i="5"/>
  <c r="O1675" i="5" s="1"/>
  <c r="J1674" i="5"/>
  <c r="K1674" i="5"/>
  <c r="L1674" i="5"/>
  <c r="N1674" i="5"/>
  <c r="O1674" i="5" s="1"/>
  <c r="J1673" i="5"/>
  <c r="K1673" i="5"/>
  <c r="L1673" i="5"/>
  <c r="N1673" i="5"/>
  <c r="O1673" i="5" s="1"/>
  <c r="J1672" i="5"/>
  <c r="K1672" i="5"/>
  <c r="L1672" i="5"/>
  <c r="N1672" i="5"/>
  <c r="O1672" i="5" s="1"/>
  <c r="J1671" i="5"/>
  <c r="K1671" i="5"/>
  <c r="L1671" i="5"/>
  <c r="N1671" i="5"/>
  <c r="O1671" i="5" s="1"/>
  <c r="J1670" i="5"/>
  <c r="K1670" i="5"/>
  <c r="L1670" i="5"/>
  <c r="N1670" i="5"/>
  <c r="O1670" i="5" s="1"/>
  <c r="J1669" i="5"/>
  <c r="K1669" i="5"/>
  <c r="L1669" i="5"/>
  <c r="N1669" i="5"/>
  <c r="O1669" i="5" s="1"/>
  <c r="J1668" i="5"/>
  <c r="K1668" i="5"/>
  <c r="L1668" i="5"/>
  <c r="N1668" i="5"/>
  <c r="O1668" i="5" s="1"/>
  <c r="J1667" i="5"/>
  <c r="K1667" i="5"/>
  <c r="L1667" i="5"/>
  <c r="N1667" i="5"/>
  <c r="O1667" i="5" s="1"/>
  <c r="J1666" i="5"/>
  <c r="K1666" i="5"/>
  <c r="L1666" i="5"/>
  <c r="N1666" i="5"/>
  <c r="O1666" i="5" s="1"/>
  <c r="J1665" i="5"/>
  <c r="K1665" i="5"/>
  <c r="L1665" i="5"/>
  <c r="N1665" i="5"/>
  <c r="O1665" i="5" s="1"/>
  <c r="J1664" i="5"/>
  <c r="K1664" i="5"/>
  <c r="L1664" i="5"/>
  <c r="N1664" i="5"/>
  <c r="O1664" i="5" s="1"/>
  <c r="J1663" i="5"/>
  <c r="K1663" i="5"/>
  <c r="L1663" i="5"/>
  <c r="N1663" i="5"/>
  <c r="O1663" i="5" s="1"/>
  <c r="J1662" i="5"/>
  <c r="K1662" i="5"/>
  <c r="L1662" i="5"/>
  <c r="N1662" i="5"/>
  <c r="O1662" i="5" s="1"/>
  <c r="J1661" i="5"/>
  <c r="K1661" i="5"/>
  <c r="L1661" i="5"/>
  <c r="N1661" i="5"/>
  <c r="O1661" i="5" s="1"/>
  <c r="J1660" i="5"/>
  <c r="K1660" i="5"/>
  <c r="L1660" i="5"/>
  <c r="N1660" i="5"/>
  <c r="O1660" i="5" s="1"/>
  <c r="J1659" i="5"/>
  <c r="K1659" i="5"/>
  <c r="L1659" i="5"/>
  <c r="N1659" i="5"/>
  <c r="O1659" i="5" s="1"/>
  <c r="J1658" i="5"/>
  <c r="K1658" i="5"/>
  <c r="L1658" i="5"/>
  <c r="N1658" i="5"/>
  <c r="O1658" i="5" s="1"/>
  <c r="J1657" i="5"/>
  <c r="K1657" i="5"/>
  <c r="L1657" i="5"/>
  <c r="N1657" i="5"/>
  <c r="O1657" i="5" s="1"/>
  <c r="J1656" i="5"/>
  <c r="K1656" i="5"/>
  <c r="L1656" i="5"/>
  <c r="N1656" i="5"/>
  <c r="O1656" i="5" s="1"/>
  <c r="J1655" i="5"/>
  <c r="K1655" i="5"/>
  <c r="L1655" i="5"/>
  <c r="N1655" i="5"/>
  <c r="O1655" i="5" s="1"/>
  <c r="J1654" i="5"/>
  <c r="K1654" i="5"/>
  <c r="L1654" i="5"/>
  <c r="N1654" i="5"/>
  <c r="O1654" i="5" s="1"/>
  <c r="J1653" i="5"/>
  <c r="K1653" i="5"/>
  <c r="L1653" i="5"/>
  <c r="N1653" i="5"/>
  <c r="O1653" i="5" s="1"/>
  <c r="J1652" i="5"/>
  <c r="K1652" i="5"/>
  <c r="L1652" i="5"/>
  <c r="N1652" i="5"/>
  <c r="O1652" i="5" s="1"/>
  <c r="J1651" i="5"/>
  <c r="K1651" i="5"/>
  <c r="L1651" i="5"/>
  <c r="N1651" i="5"/>
  <c r="O1651" i="5" s="1"/>
  <c r="J1650" i="5"/>
  <c r="K1650" i="5"/>
  <c r="L1650" i="5"/>
  <c r="N1650" i="5"/>
  <c r="O1650" i="5" s="1"/>
  <c r="J1649" i="5"/>
  <c r="K1649" i="5"/>
  <c r="L1649" i="5"/>
  <c r="N1649" i="5"/>
  <c r="O1649" i="5" s="1"/>
  <c r="J1648" i="5"/>
  <c r="K1648" i="5"/>
  <c r="L1648" i="5"/>
  <c r="N1648" i="5"/>
  <c r="O1648" i="5" s="1"/>
  <c r="J1647" i="5"/>
  <c r="K1647" i="5"/>
  <c r="L1647" i="5"/>
  <c r="N1647" i="5"/>
  <c r="O1647" i="5" s="1"/>
  <c r="J1646" i="5"/>
  <c r="K1646" i="5"/>
  <c r="L1646" i="5"/>
  <c r="N1646" i="5"/>
  <c r="O1646" i="5" s="1"/>
  <c r="J1645" i="5"/>
  <c r="K1645" i="5"/>
  <c r="L1645" i="5"/>
  <c r="N1645" i="5"/>
  <c r="O1645" i="5" s="1"/>
  <c r="J1644" i="5"/>
  <c r="K1644" i="5"/>
  <c r="L1644" i="5"/>
  <c r="N1644" i="5"/>
  <c r="O1644" i="5" s="1"/>
  <c r="J1643" i="5"/>
  <c r="K1643" i="5"/>
  <c r="L1643" i="5"/>
  <c r="N1643" i="5"/>
  <c r="O1643" i="5" s="1"/>
  <c r="J1642" i="5"/>
  <c r="K1642" i="5"/>
  <c r="L1642" i="5"/>
  <c r="N1642" i="5"/>
  <c r="O1642" i="5" s="1"/>
  <c r="J1641" i="5"/>
  <c r="K1641" i="5"/>
  <c r="L1641" i="5"/>
  <c r="N1641" i="5"/>
  <c r="O1641" i="5" s="1"/>
  <c r="J1640" i="5"/>
  <c r="K1640" i="5"/>
  <c r="L1640" i="5"/>
  <c r="N1640" i="5"/>
  <c r="O1640" i="5" s="1"/>
  <c r="J1639" i="5"/>
  <c r="K1639" i="5"/>
  <c r="L1639" i="5"/>
  <c r="N1639" i="5"/>
  <c r="O1639" i="5" s="1"/>
  <c r="J1638" i="5"/>
  <c r="K1638" i="5"/>
  <c r="L1638" i="5"/>
  <c r="N1638" i="5"/>
  <c r="O1638" i="5" s="1"/>
  <c r="J1637" i="5"/>
  <c r="K1637" i="5"/>
  <c r="L1637" i="5"/>
  <c r="N1637" i="5"/>
  <c r="O1637" i="5" s="1"/>
  <c r="J1636" i="5"/>
  <c r="K1636" i="5"/>
  <c r="L1636" i="5"/>
  <c r="N1636" i="5"/>
  <c r="O1636" i="5" s="1"/>
  <c r="J1635" i="5"/>
  <c r="K1635" i="5"/>
  <c r="L1635" i="5"/>
  <c r="N1635" i="5"/>
  <c r="O1635" i="5" s="1"/>
  <c r="J1634" i="5"/>
  <c r="K1634" i="5"/>
  <c r="L1634" i="5"/>
  <c r="N1634" i="5"/>
  <c r="O1634" i="5" s="1"/>
  <c r="J1633" i="5"/>
  <c r="K1633" i="5"/>
  <c r="L1633" i="5"/>
  <c r="N1633" i="5"/>
  <c r="O1633" i="5" s="1"/>
  <c r="J1632" i="5"/>
  <c r="K1632" i="5"/>
  <c r="L1632" i="5"/>
  <c r="N1632" i="5"/>
  <c r="O1632" i="5" s="1"/>
  <c r="J1631" i="5"/>
  <c r="K1631" i="5"/>
  <c r="L1631" i="5"/>
  <c r="N1631" i="5"/>
  <c r="O1631" i="5" s="1"/>
  <c r="J1630" i="5"/>
  <c r="K1630" i="5"/>
  <c r="L1630" i="5"/>
  <c r="N1630" i="5"/>
  <c r="O1630" i="5" s="1"/>
  <c r="J1629" i="5"/>
  <c r="K1629" i="5"/>
  <c r="L1629" i="5"/>
  <c r="N1629" i="5"/>
  <c r="O1629" i="5" s="1"/>
  <c r="J1628" i="5"/>
  <c r="K1628" i="5"/>
  <c r="L1628" i="5"/>
  <c r="N1628" i="5"/>
  <c r="O1628" i="5" s="1"/>
  <c r="J1627" i="5"/>
  <c r="K1627" i="5"/>
  <c r="L1627" i="5"/>
  <c r="N1627" i="5"/>
  <c r="O1627" i="5" s="1"/>
  <c r="J1626" i="5"/>
  <c r="K1626" i="5"/>
  <c r="L1626" i="5"/>
  <c r="N1626" i="5"/>
  <c r="O1626" i="5" s="1"/>
  <c r="J1625" i="5"/>
  <c r="K1625" i="5"/>
  <c r="L1625" i="5"/>
  <c r="N1625" i="5"/>
  <c r="O1625" i="5" s="1"/>
  <c r="J1624" i="5"/>
  <c r="K1624" i="5"/>
  <c r="L1624" i="5"/>
  <c r="N1624" i="5"/>
  <c r="O1624" i="5" s="1"/>
  <c r="J1623" i="5"/>
  <c r="K1623" i="5"/>
  <c r="L1623" i="5"/>
  <c r="N1623" i="5"/>
  <c r="O1623" i="5" s="1"/>
  <c r="J1622" i="5"/>
  <c r="K1622" i="5"/>
  <c r="L1622" i="5"/>
  <c r="N1622" i="5"/>
  <c r="O1622" i="5" s="1"/>
  <c r="J1621" i="5"/>
  <c r="K1621" i="5"/>
  <c r="L1621" i="5"/>
  <c r="N1621" i="5"/>
  <c r="O1621" i="5" s="1"/>
  <c r="J1620" i="5"/>
  <c r="K1620" i="5"/>
  <c r="L1620" i="5"/>
  <c r="N1620" i="5"/>
  <c r="O1620" i="5" s="1"/>
  <c r="J1619" i="5"/>
  <c r="K1619" i="5"/>
  <c r="L1619" i="5"/>
  <c r="N1619" i="5"/>
  <c r="O1619" i="5" s="1"/>
  <c r="J1618" i="5"/>
  <c r="K1618" i="5"/>
  <c r="L1618" i="5"/>
  <c r="N1618" i="5"/>
  <c r="O1618" i="5" s="1"/>
  <c r="J1617" i="5"/>
  <c r="K1617" i="5"/>
  <c r="L1617" i="5"/>
  <c r="N1617" i="5"/>
  <c r="O1617" i="5" s="1"/>
  <c r="J1616" i="5"/>
  <c r="K1616" i="5"/>
  <c r="L1616" i="5"/>
  <c r="N1616" i="5"/>
  <c r="O1616" i="5" s="1"/>
  <c r="J1615" i="5"/>
  <c r="K1615" i="5"/>
  <c r="L1615" i="5"/>
  <c r="N1615" i="5"/>
  <c r="O1615" i="5" s="1"/>
  <c r="J1614" i="5"/>
  <c r="K1614" i="5"/>
  <c r="L1614" i="5"/>
  <c r="N1614" i="5"/>
  <c r="O1614" i="5" s="1"/>
  <c r="J1613" i="5"/>
  <c r="K1613" i="5"/>
  <c r="L1613" i="5"/>
  <c r="N1613" i="5"/>
  <c r="O1613" i="5" s="1"/>
  <c r="J1612" i="5"/>
  <c r="K1612" i="5"/>
  <c r="L1612" i="5"/>
  <c r="N1612" i="5"/>
  <c r="O1612" i="5" s="1"/>
  <c r="J1611" i="5"/>
  <c r="K1611" i="5"/>
  <c r="L1611" i="5"/>
  <c r="N1611" i="5"/>
  <c r="O1611" i="5" s="1"/>
  <c r="J1610" i="5"/>
  <c r="K1610" i="5"/>
  <c r="L1610" i="5"/>
  <c r="N1610" i="5"/>
  <c r="O1610" i="5" s="1"/>
  <c r="J1609" i="5"/>
  <c r="K1609" i="5"/>
  <c r="L1609" i="5"/>
  <c r="N1609" i="5"/>
  <c r="O1609" i="5" s="1"/>
  <c r="J1608" i="5"/>
  <c r="K1608" i="5"/>
  <c r="L1608" i="5"/>
  <c r="N1608" i="5"/>
  <c r="O1608" i="5" s="1"/>
  <c r="J1607" i="5"/>
  <c r="K1607" i="5"/>
  <c r="L1607" i="5"/>
  <c r="N1607" i="5"/>
  <c r="O1607" i="5" s="1"/>
  <c r="J1606" i="5"/>
  <c r="K1606" i="5"/>
  <c r="L1606" i="5"/>
  <c r="N1606" i="5"/>
  <c r="O1606" i="5" s="1"/>
  <c r="J1605" i="5"/>
  <c r="K1605" i="5"/>
  <c r="L1605" i="5"/>
  <c r="N1605" i="5"/>
  <c r="O1605" i="5" s="1"/>
  <c r="J1604" i="5"/>
  <c r="K1604" i="5"/>
  <c r="L1604" i="5"/>
  <c r="N1604" i="5"/>
  <c r="O1604" i="5" s="1"/>
  <c r="J1603" i="5"/>
  <c r="K1603" i="5"/>
  <c r="L1603" i="5"/>
  <c r="N1603" i="5"/>
  <c r="O1603" i="5" s="1"/>
  <c r="J1602" i="5"/>
  <c r="K1602" i="5"/>
  <c r="L1602" i="5"/>
  <c r="N1602" i="5"/>
  <c r="O1602" i="5" s="1"/>
  <c r="J1601" i="5"/>
  <c r="K1601" i="5"/>
  <c r="L1601" i="5"/>
  <c r="N1601" i="5"/>
  <c r="O1601" i="5" s="1"/>
  <c r="J1600" i="5"/>
  <c r="K1600" i="5"/>
  <c r="L1600" i="5"/>
  <c r="N1600" i="5"/>
  <c r="O1600" i="5" s="1"/>
  <c r="J1599" i="5"/>
  <c r="K1599" i="5"/>
  <c r="L1599" i="5"/>
  <c r="N1599" i="5"/>
  <c r="O1599" i="5" s="1"/>
  <c r="J1598" i="5"/>
  <c r="K1598" i="5"/>
  <c r="L1598" i="5"/>
  <c r="N1598" i="5"/>
  <c r="O1598" i="5" s="1"/>
  <c r="J1597" i="5"/>
  <c r="K1597" i="5"/>
  <c r="L1597" i="5"/>
  <c r="N1597" i="5"/>
  <c r="O1597" i="5" s="1"/>
  <c r="J1596" i="5"/>
  <c r="K1596" i="5"/>
  <c r="L1596" i="5"/>
  <c r="N1596" i="5"/>
  <c r="O1596" i="5" s="1"/>
  <c r="J1595" i="5"/>
  <c r="K1595" i="5"/>
  <c r="L1595" i="5"/>
  <c r="N1595" i="5"/>
  <c r="O1595" i="5" s="1"/>
  <c r="J1594" i="5"/>
  <c r="K1594" i="5"/>
  <c r="L1594" i="5"/>
  <c r="N1594" i="5"/>
  <c r="O1594" i="5" s="1"/>
  <c r="J1593" i="5"/>
  <c r="K1593" i="5"/>
  <c r="L1593" i="5"/>
  <c r="N1593" i="5"/>
  <c r="O1593" i="5" s="1"/>
  <c r="J1592" i="5"/>
  <c r="K1592" i="5"/>
  <c r="L1592" i="5"/>
  <c r="N1592" i="5"/>
  <c r="O1592" i="5" s="1"/>
  <c r="J1591" i="5"/>
  <c r="K1591" i="5"/>
  <c r="L1591" i="5"/>
  <c r="N1591" i="5"/>
  <c r="O1591" i="5" s="1"/>
  <c r="J1590" i="5"/>
  <c r="K1590" i="5"/>
  <c r="L1590" i="5"/>
  <c r="N1590" i="5"/>
  <c r="O1590" i="5" s="1"/>
  <c r="J1589" i="5"/>
  <c r="K1589" i="5"/>
  <c r="L1589" i="5"/>
  <c r="N1589" i="5"/>
  <c r="O1589" i="5" s="1"/>
  <c r="J1588" i="5"/>
  <c r="K1588" i="5"/>
  <c r="L1588" i="5"/>
  <c r="N1588" i="5"/>
  <c r="O1588" i="5" s="1"/>
  <c r="J1587" i="5"/>
  <c r="K1587" i="5"/>
  <c r="L1587" i="5"/>
  <c r="N1587" i="5"/>
  <c r="O1587" i="5" s="1"/>
  <c r="J1586" i="5"/>
  <c r="K1586" i="5"/>
  <c r="L1586" i="5"/>
  <c r="N1586" i="5"/>
  <c r="O1586" i="5" s="1"/>
  <c r="J1585" i="5"/>
  <c r="K1585" i="5"/>
  <c r="L1585" i="5"/>
  <c r="N1585" i="5"/>
  <c r="O1585" i="5" s="1"/>
  <c r="J1584" i="5"/>
  <c r="K1584" i="5"/>
  <c r="L1584" i="5"/>
  <c r="N1584" i="5"/>
  <c r="O1584" i="5" s="1"/>
  <c r="J1583" i="5"/>
  <c r="K1583" i="5"/>
  <c r="L1583" i="5"/>
  <c r="N1583" i="5"/>
  <c r="O1583" i="5" s="1"/>
  <c r="J1582" i="5"/>
  <c r="K1582" i="5"/>
  <c r="L1582" i="5"/>
  <c r="N1582" i="5"/>
  <c r="O1582" i="5" s="1"/>
  <c r="J1581" i="5"/>
  <c r="K1581" i="5"/>
  <c r="L1581" i="5"/>
  <c r="N1581" i="5"/>
  <c r="O1581" i="5" s="1"/>
  <c r="J1580" i="5"/>
  <c r="K1580" i="5"/>
  <c r="L1580" i="5"/>
  <c r="N1580" i="5"/>
  <c r="O1580" i="5" s="1"/>
  <c r="J1579" i="5"/>
  <c r="K1579" i="5"/>
  <c r="L1579" i="5"/>
  <c r="N1579" i="5"/>
  <c r="O1579" i="5" s="1"/>
  <c r="J1578" i="5"/>
  <c r="K1578" i="5"/>
  <c r="L1578" i="5"/>
  <c r="N1578" i="5"/>
  <c r="O1578" i="5" s="1"/>
  <c r="J1577" i="5"/>
  <c r="K1577" i="5"/>
  <c r="L1577" i="5"/>
  <c r="N1577" i="5"/>
  <c r="O1577" i="5" s="1"/>
  <c r="J1576" i="5"/>
  <c r="K1576" i="5"/>
  <c r="L1576" i="5"/>
  <c r="N1576" i="5"/>
  <c r="O1576" i="5" s="1"/>
  <c r="J1575" i="5"/>
  <c r="K1575" i="5"/>
  <c r="L1575" i="5"/>
  <c r="N1575" i="5"/>
  <c r="O1575" i="5" s="1"/>
  <c r="J1574" i="5"/>
  <c r="K1574" i="5"/>
  <c r="L1574" i="5"/>
  <c r="N1574" i="5"/>
  <c r="O1574" i="5" s="1"/>
  <c r="J1573" i="5"/>
  <c r="K1573" i="5"/>
  <c r="L1573" i="5"/>
  <c r="N1573" i="5"/>
  <c r="O1573" i="5" s="1"/>
  <c r="J1572" i="5"/>
  <c r="K1572" i="5"/>
  <c r="L1572" i="5"/>
  <c r="N1572" i="5"/>
  <c r="O1572" i="5" s="1"/>
  <c r="J1571" i="5"/>
  <c r="K1571" i="5"/>
  <c r="L1571" i="5"/>
  <c r="N1571" i="5"/>
  <c r="O1571" i="5" s="1"/>
  <c r="J1570" i="5"/>
  <c r="K1570" i="5"/>
  <c r="L1570" i="5"/>
  <c r="N1570" i="5"/>
  <c r="O1570" i="5" s="1"/>
  <c r="J1569" i="5"/>
  <c r="K1569" i="5"/>
  <c r="L1569" i="5"/>
  <c r="N1569" i="5"/>
  <c r="O1569" i="5" s="1"/>
  <c r="J1568" i="5"/>
  <c r="K1568" i="5"/>
  <c r="L1568" i="5"/>
  <c r="N1568" i="5"/>
  <c r="O1568" i="5" s="1"/>
  <c r="J1567" i="5"/>
  <c r="K1567" i="5"/>
  <c r="L1567" i="5"/>
  <c r="N1567" i="5"/>
  <c r="O1567" i="5" s="1"/>
  <c r="J1566" i="5"/>
  <c r="K1566" i="5"/>
  <c r="L1566" i="5"/>
  <c r="N1566" i="5"/>
  <c r="O1566" i="5" s="1"/>
  <c r="J1565" i="5"/>
  <c r="K1565" i="5"/>
  <c r="L1565" i="5"/>
  <c r="N1565" i="5"/>
  <c r="O1565" i="5" s="1"/>
  <c r="J1564" i="5"/>
  <c r="K1564" i="5"/>
  <c r="L1564" i="5"/>
  <c r="N1564" i="5"/>
  <c r="O1564" i="5" s="1"/>
  <c r="J1563" i="5"/>
  <c r="K1563" i="5"/>
  <c r="L1563" i="5"/>
  <c r="N1563" i="5"/>
  <c r="O1563" i="5" s="1"/>
  <c r="J1562" i="5"/>
  <c r="K1562" i="5"/>
  <c r="L1562" i="5"/>
  <c r="N1562" i="5"/>
  <c r="O1562" i="5" s="1"/>
  <c r="J1561" i="5"/>
  <c r="K1561" i="5"/>
  <c r="L1561" i="5"/>
  <c r="N1561" i="5"/>
  <c r="O1561" i="5" s="1"/>
  <c r="J1560" i="5"/>
  <c r="K1560" i="5"/>
  <c r="L1560" i="5"/>
  <c r="N1560" i="5"/>
  <c r="O1560" i="5" s="1"/>
  <c r="J1559" i="5"/>
  <c r="K1559" i="5"/>
  <c r="L1559" i="5"/>
  <c r="N1559" i="5"/>
  <c r="O1559" i="5" s="1"/>
  <c r="J1558" i="5"/>
  <c r="K1558" i="5"/>
  <c r="L1558" i="5"/>
  <c r="N1558" i="5"/>
  <c r="O1558" i="5" s="1"/>
  <c r="J1557" i="5"/>
  <c r="K1557" i="5"/>
  <c r="L1557" i="5"/>
  <c r="N1557" i="5"/>
  <c r="O1557" i="5" s="1"/>
  <c r="J1556" i="5"/>
  <c r="K1556" i="5"/>
  <c r="L1556" i="5"/>
  <c r="N1556" i="5"/>
  <c r="O1556" i="5" s="1"/>
  <c r="J1555" i="5"/>
  <c r="K1555" i="5"/>
  <c r="L1555" i="5"/>
  <c r="N1555" i="5"/>
  <c r="O1555" i="5" s="1"/>
  <c r="J1554" i="5"/>
  <c r="K1554" i="5"/>
  <c r="L1554" i="5"/>
  <c r="N1554" i="5"/>
  <c r="O1554" i="5" s="1"/>
  <c r="J1553" i="5"/>
  <c r="K1553" i="5"/>
  <c r="L1553" i="5"/>
  <c r="N1553" i="5"/>
  <c r="O1553" i="5" s="1"/>
  <c r="J1552" i="5"/>
  <c r="K1552" i="5"/>
  <c r="L1552" i="5"/>
  <c r="N1552" i="5"/>
  <c r="O1552" i="5" s="1"/>
  <c r="J1551" i="5"/>
  <c r="K1551" i="5"/>
  <c r="L1551" i="5"/>
  <c r="N1551" i="5"/>
  <c r="O1551" i="5" s="1"/>
  <c r="J1550" i="5"/>
  <c r="K1550" i="5"/>
  <c r="L1550" i="5"/>
  <c r="N1550" i="5"/>
  <c r="O1550" i="5" s="1"/>
  <c r="J1549" i="5"/>
  <c r="K1549" i="5"/>
  <c r="L1549" i="5"/>
  <c r="N1549" i="5"/>
  <c r="O1549" i="5" s="1"/>
  <c r="J1548" i="5"/>
  <c r="K1548" i="5"/>
  <c r="L1548" i="5"/>
  <c r="N1548" i="5"/>
  <c r="O1548" i="5" s="1"/>
  <c r="J1547" i="5"/>
  <c r="K1547" i="5"/>
  <c r="L1547" i="5"/>
  <c r="N1547" i="5"/>
  <c r="O1547" i="5" s="1"/>
  <c r="J1546" i="5"/>
  <c r="K1546" i="5"/>
  <c r="L1546" i="5"/>
  <c r="N1546" i="5"/>
  <c r="O1546" i="5" s="1"/>
  <c r="J1545" i="5"/>
  <c r="K1545" i="5"/>
  <c r="L1545" i="5"/>
  <c r="N1545" i="5"/>
  <c r="O1545" i="5" s="1"/>
  <c r="J1544" i="5"/>
  <c r="K1544" i="5"/>
  <c r="L1544" i="5"/>
  <c r="N1544" i="5"/>
  <c r="O1544" i="5" s="1"/>
  <c r="J1543" i="5"/>
  <c r="K1543" i="5"/>
  <c r="L1543" i="5"/>
  <c r="N1543" i="5"/>
  <c r="O1543" i="5" s="1"/>
  <c r="J1542" i="5"/>
  <c r="K1542" i="5"/>
  <c r="L1542" i="5"/>
  <c r="N1542" i="5"/>
  <c r="O1542" i="5" s="1"/>
  <c r="J1541" i="5"/>
  <c r="K1541" i="5"/>
  <c r="L1541" i="5"/>
  <c r="N1541" i="5"/>
  <c r="O1541" i="5" s="1"/>
  <c r="J1540" i="5"/>
  <c r="K1540" i="5"/>
  <c r="L1540" i="5"/>
  <c r="N1540" i="5"/>
  <c r="O1540" i="5" s="1"/>
  <c r="J1539" i="5"/>
  <c r="K1539" i="5"/>
  <c r="L1539" i="5"/>
  <c r="N1539" i="5"/>
  <c r="O1539" i="5" s="1"/>
  <c r="J1538" i="5"/>
  <c r="K1538" i="5"/>
  <c r="L1538" i="5"/>
  <c r="N1538" i="5"/>
  <c r="O1538" i="5"/>
  <c r="J1537" i="5"/>
  <c r="K1537" i="5"/>
  <c r="L1537" i="5"/>
  <c r="N1537" i="5"/>
  <c r="O1537" i="5"/>
  <c r="J1536" i="5"/>
  <c r="K1536" i="5"/>
  <c r="L1536" i="5"/>
  <c r="N1536" i="5"/>
  <c r="O1536" i="5"/>
  <c r="J1535" i="5"/>
  <c r="K1535" i="5"/>
  <c r="L1535" i="5"/>
  <c r="N1535" i="5"/>
  <c r="O1535" i="5"/>
  <c r="J1534" i="5"/>
  <c r="K1534" i="5"/>
  <c r="L1534" i="5"/>
  <c r="N1534" i="5"/>
  <c r="O1534" i="5"/>
  <c r="J1533" i="5"/>
  <c r="K1533" i="5"/>
  <c r="L1533" i="5"/>
  <c r="N1533" i="5"/>
  <c r="O1533" i="5"/>
  <c r="J1532" i="5"/>
  <c r="K1532" i="5"/>
  <c r="L1532" i="5"/>
  <c r="N1532" i="5"/>
  <c r="O1532" i="5"/>
  <c r="J1531" i="5"/>
  <c r="K1531" i="5"/>
  <c r="L1531" i="5"/>
  <c r="N1531" i="5"/>
  <c r="O1531" i="5"/>
  <c r="J1530" i="5"/>
  <c r="K1530" i="5"/>
  <c r="L1530" i="5"/>
  <c r="N1530" i="5"/>
  <c r="O1530" i="5"/>
  <c r="J1529" i="5"/>
  <c r="K1529" i="5"/>
  <c r="L1529" i="5"/>
  <c r="N1529" i="5"/>
  <c r="O1529" i="5"/>
  <c r="J1528" i="5"/>
  <c r="K1528" i="5"/>
  <c r="L1528" i="5"/>
  <c r="N1528" i="5"/>
  <c r="O1528" i="5"/>
  <c r="J1527" i="5"/>
  <c r="K1527" i="5"/>
  <c r="L1527" i="5"/>
  <c r="N1527" i="5"/>
  <c r="O1527" i="5"/>
  <c r="J1526" i="5"/>
  <c r="K1526" i="5"/>
  <c r="L1526" i="5"/>
  <c r="N1526" i="5"/>
  <c r="O1526" i="5"/>
  <c r="J1525" i="5"/>
  <c r="K1525" i="5"/>
  <c r="L1525" i="5"/>
  <c r="N1525" i="5"/>
  <c r="O1525" i="5"/>
  <c r="J1524" i="5"/>
  <c r="K1524" i="5"/>
  <c r="L1524" i="5"/>
  <c r="N1524" i="5"/>
  <c r="O1524" i="5"/>
  <c r="J1523" i="5"/>
  <c r="K1523" i="5"/>
  <c r="L1523" i="5"/>
  <c r="N1523" i="5"/>
  <c r="O1523" i="5"/>
  <c r="J1522" i="5"/>
  <c r="K1522" i="5"/>
  <c r="L1522" i="5"/>
  <c r="N1522" i="5"/>
  <c r="O1522" i="5"/>
  <c r="J1521" i="5"/>
  <c r="K1521" i="5"/>
  <c r="L1521" i="5"/>
  <c r="N1521" i="5"/>
  <c r="O1521" i="5"/>
  <c r="J1520" i="5"/>
  <c r="K1520" i="5"/>
  <c r="L1520" i="5"/>
  <c r="N1520" i="5"/>
  <c r="O1520" i="5"/>
  <c r="J1519" i="5"/>
  <c r="K1519" i="5"/>
  <c r="L1519" i="5"/>
  <c r="N1519" i="5"/>
  <c r="O1519" i="5"/>
  <c r="J1518" i="5"/>
  <c r="K1518" i="5"/>
  <c r="L1518" i="5"/>
  <c r="N1518" i="5"/>
  <c r="O1518" i="5"/>
  <c r="J1517" i="5"/>
  <c r="K1517" i="5"/>
  <c r="L1517" i="5"/>
  <c r="N1517" i="5"/>
  <c r="O1517" i="5"/>
  <c r="J1516" i="5"/>
  <c r="K1516" i="5"/>
  <c r="L1516" i="5"/>
  <c r="N1516" i="5"/>
  <c r="O1516" i="5"/>
  <c r="J1515" i="5"/>
  <c r="K1515" i="5"/>
  <c r="L1515" i="5"/>
  <c r="N1515" i="5"/>
  <c r="O1515" i="5"/>
  <c r="J1514" i="5"/>
  <c r="K1514" i="5"/>
  <c r="L1514" i="5"/>
  <c r="N1514" i="5"/>
  <c r="O1514" i="5"/>
  <c r="J1513" i="5"/>
  <c r="K1513" i="5"/>
  <c r="L1513" i="5"/>
  <c r="N1513" i="5"/>
  <c r="O1513" i="5"/>
  <c r="J1512" i="5"/>
  <c r="K1512" i="5"/>
  <c r="L1512" i="5"/>
  <c r="N1512" i="5"/>
  <c r="O1512" i="5"/>
  <c r="J1511" i="5"/>
  <c r="K1511" i="5"/>
  <c r="L1511" i="5"/>
  <c r="N1511" i="5"/>
  <c r="O1511" i="5"/>
  <c r="J1510" i="5"/>
  <c r="K1510" i="5"/>
  <c r="L1510" i="5"/>
  <c r="N1510" i="5"/>
  <c r="O1510" i="5"/>
  <c r="J1509" i="5"/>
  <c r="K1509" i="5"/>
  <c r="L1509" i="5"/>
  <c r="N1509" i="5"/>
  <c r="O1509" i="5"/>
  <c r="J1508" i="5"/>
  <c r="K1508" i="5"/>
  <c r="L1508" i="5"/>
  <c r="N1508" i="5"/>
  <c r="O1508" i="5"/>
  <c r="J1507" i="5"/>
  <c r="K1507" i="5"/>
  <c r="L1507" i="5"/>
  <c r="N1507" i="5"/>
  <c r="O1507" i="5"/>
  <c r="J1506" i="5"/>
  <c r="K1506" i="5"/>
  <c r="L1506" i="5"/>
  <c r="N1506" i="5"/>
  <c r="O1506" i="5"/>
  <c r="J1505" i="5"/>
  <c r="K1505" i="5"/>
  <c r="L1505" i="5"/>
  <c r="N1505" i="5"/>
  <c r="O1505" i="5"/>
  <c r="J1504" i="5"/>
  <c r="K1504" i="5"/>
  <c r="L1504" i="5"/>
  <c r="N1504" i="5"/>
  <c r="O1504" i="5"/>
  <c r="J1503" i="5"/>
  <c r="K1503" i="5"/>
  <c r="L1503" i="5"/>
  <c r="N1503" i="5"/>
  <c r="O1503" i="5"/>
  <c r="J1502" i="5"/>
  <c r="K1502" i="5"/>
  <c r="L1502" i="5"/>
  <c r="N1502" i="5"/>
  <c r="O1502" i="5"/>
  <c r="J1501" i="5"/>
  <c r="K1501" i="5"/>
  <c r="L1501" i="5"/>
  <c r="N1501" i="5"/>
  <c r="O1501" i="5"/>
  <c r="J1500" i="5"/>
  <c r="K1500" i="5"/>
  <c r="L1500" i="5"/>
  <c r="N1500" i="5"/>
  <c r="O1500" i="5"/>
  <c r="J1499" i="5"/>
  <c r="K1499" i="5"/>
  <c r="L1499" i="5"/>
  <c r="N1499" i="5"/>
  <c r="O1499" i="5"/>
  <c r="J1498" i="5"/>
  <c r="K1498" i="5"/>
  <c r="L1498" i="5"/>
  <c r="N1498" i="5"/>
  <c r="O1498" i="5"/>
  <c r="J1497" i="5"/>
  <c r="K1497" i="5"/>
  <c r="L1497" i="5"/>
  <c r="N1497" i="5"/>
  <c r="O1497" i="5"/>
  <c r="J1496" i="5"/>
  <c r="K1496" i="5"/>
  <c r="L1496" i="5"/>
  <c r="N1496" i="5"/>
  <c r="O1496" i="5"/>
  <c r="J1495" i="5"/>
  <c r="K1495" i="5"/>
  <c r="L1495" i="5"/>
  <c r="N1495" i="5"/>
  <c r="O1495" i="5" s="1"/>
  <c r="J1494" i="5"/>
  <c r="K1494" i="5"/>
  <c r="L1494" i="5"/>
  <c r="N1494" i="5"/>
  <c r="O1494" i="5"/>
  <c r="J1493" i="5"/>
  <c r="K1493" i="5"/>
  <c r="L1493" i="5"/>
  <c r="N1493" i="5"/>
  <c r="O1493" i="5" s="1"/>
  <c r="J1492" i="5"/>
  <c r="K1492" i="5"/>
  <c r="L1492" i="5"/>
  <c r="N1492" i="5"/>
  <c r="O1492" i="5"/>
  <c r="J1491" i="5"/>
  <c r="K1491" i="5"/>
  <c r="L1491" i="5"/>
  <c r="N1491" i="5"/>
  <c r="O1491" i="5" s="1"/>
  <c r="J1490" i="5"/>
  <c r="K1490" i="5"/>
  <c r="L1490" i="5"/>
  <c r="N1490" i="5"/>
  <c r="O1490" i="5"/>
  <c r="J1489" i="5"/>
  <c r="K1489" i="5"/>
  <c r="L1489" i="5"/>
  <c r="N1489" i="5"/>
  <c r="O1489" i="5" s="1"/>
  <c r="J1488" i="5"/>
  <c r="K1488" i="5"/>
  <c r="L1488" i="5"/>
  <c r="N1488" i="5"/>
  <c r="O1488" i="5"/>
  <c r="J1487" i="5"/>
  <c r="K1487" i="5"/>
  <c r="L1487" i="5"/>
  <c r="N1487" i="5"/>
  <c r="O1487" i="5" s="1"/>
  <c r="J1486" i="5"/>
  <c r="K1486" i="5"/>
  <c r="L1486" i="5"/>
  <c r="N1486" i="5"/>
  <c r="O1486" i="5"/>
  <c r="J1485" i="5"/>
  <c r="K1485" i="5"/>
  <c r="L1485" i="5"/>
  <c r="N1485" i="5"/>
  <c r="O1485" i="5" s="1"/>
  <c r="J1484" i="5"/>
  <c r="K1484" i="5"/>
  <c r="L1484" i="5"/>
  <c r="N1484" i="5"/>
  <c r="O1484" i="5"/>
  <c r="J1483" i="5"/>
  <c r="K1483" i="5"/>
  <c r="L1483" i="5"/>
  <c r="N1483" i="5"/>
  <c r="O1483" i="5" s="1"/>
  <c r="J1482" i="5"/>
  <c r="K1482" i="5"/>
  <c r="L1482" i="5"/>
  <c r="N1482" i="5"/>
  <c r="O1482" i="5"/>
  <c r="J1481" i="5"/>
  <c r="K1481" i="5"/>
  <c r="L1481" i="5"/>
  <c r="N1481" i="5"/>
  <c r="O1481" i="5" s="1"/>
  <c r="J1480" i="5"/>
  <c r="K1480" i="5"/>
  <c r="L1480" i="5"/>
  <c r="N1480" i="5"/>
  <c r="O1480" i="5"/>
  <c r="J1479" i="5"/>
  <c r="K1479" i="5"/>
  <c r="L1479" i="5"/>
  <c r="N1479" i="5"/>
  <c r="O1479" i="5" s="1"/>
  <c r="J1478" i="5"/>
  <c r="K1478" i="5"/>
  <c r="L1478" i="5"/>
  <c r="N1478" i="5"/>
  <c r="O1478" i="5"/>
  <c r="J1477" i="5"/>
  <c r="K1477" i="5"/>
  <c r="L1477" i="5"/>
  <c r="N1477" i="5"/>
  <c r="O1477" i="5" s="1"/>
  <c r="J1476" i="5"/>
  <c r="K1476" i="5"/>
  <c r="L1476" i="5"/>
  <c r="N1476" i="5"/>
  <c r="O1476" i="5"/>
  <c r="J1475" i="5"/>
  <c r="K1475" i="5"/>
  <c r="L1475" i="5"/>
  <c r="N1475" i="5"/>
  <c r="O1475" i="5" s="1"/>
  <c r="J1474" i="5"/>
  <c r="K1474" i="5"/>
  <c r="L1474" i="5"/>
  <c r="N1474" i="5"/>
  <c r="O1474" i="5"/>
  <c r="J1473" i="5"/>
  <c r="K1473" i="5"/>
  <c r="L1473" i="5"/>
  <c r="N1473" i="5"/>
  <c r="O1473" i="5" s="1"/>
  <c r="J1472" i="5"/>
  <c r="K1472" i="5"/>
  <c r="L1472" i="5"/>
  <c r="N1472" i="5"/>
  <c r="O1472" i="5"/>
  <c r="J1471" i="5"/>
  <c r="K1471" i="5"/>
  <c r="L1471" i="5"/>
  <c r="N1471" i="5"/>
  <c r="O1471" i="5" s="1"/>
  <c r="J1470" i="5"/>
  <c r="K1470" i="5"/>
  <c r="L1470" i="5"/>
  <c r="N1470" i="5"/>
  <c r="O1470" i="5"/>
  <c r="J1469" i="5"/>
  <c r="K1469" i="5"/>
  <c r="L1469" i="5"/>
  <c r="N1469" i="5"/>
  <c r="O1469" i="5" s="1"/>
  <c r="J1468" i="5"/>
  <c r="K1468" i="5"/>
  <c r="L1468" i="5"/>
  <c r="N1468" i="5"/>
  <c r="O1468" i="5"/>
  <c r="J1467" i="5"/>
  <c r="K1467" i="5"/>
  <c r="L1467" i="5"/>
  <c r="N1467" i="5"/>
  <c r="O1467" i="5" s="1"/>
  <c r="J1466" i="5"/>
  <c r="K1466" i="5"/>
  <c r="L1466" i="5"/>
  <c r="N1466" i="5"/>
  <c r="O1466" i="5"/>
  <c r="J1465" i="5"/>
  <c r="K1465" i="5"/>
  <c r="L1465" i="5"/>
  <c r="N1465" i="5"/>
  <c r="O1465" i="5" s="1"/>
  <c r="J1464" i="5"/>
  <c r="K1464" i="5"/>
  <c r="L1464" i="5"/>
  <c r="N1464" i="5"/>
  <c r="O1464" i="5"/>
  <c r="J1463" i="5"/>
  <c r="K1463" i="5"/>
  <c r="L1463" i="5"/>
  <c r="N1463" i="5"/>
  <c r="O1463" i="5" s="1"/>
  <c r="J1462" i="5"/>
  <c r="K1462" i="5"/>
  <c r="L1462" i="5"/>
  <c r="N1462" i="5"/>
  <c r="O1462" i="5"/>
  <c r="J1461" i="5"/>
  <c r="K1461" i="5"/>
  <c r="L1461" i="5"/>
  <c r="N1461" i="5"/>
  <c r="O1461" i="5" s="1"/>
  <c r="J1460" i="5"/>
  <c r="K1460" i="5"/>
  <c r="L1460" i="5"/>
  <c r="N1460" i="5"/>
  <c r="O1460" i="5"/>
  <c r="J1459" i="5"/>
  <c r="K1459" i="5"/>
  <c r="L1459" i="5"/>
  <c r="N1459" i="5"/>
  <c r="O1459" i="5" s="1"/>
  <c r="J1458" i="5"/>
  <c r="K1458" i="5"/>
  <c r="L1458" i="5"/>
  <c r="N1458" i="5"/>
  <c r="O1458" i="5"/>
  <c r="J1457" i="5"/>
  <c r="K1457" i="5"/>
  <c r="L1457" i="5"/>
  <c r="N1457" i="5"/>
  <c r="O1457" i="5" s="1"/>
  <c r="J1456" i="5"/>
  <c r="K1456" i="5"/>
  <c r="L1456" i="5"/>
  <c r="N1456" i="5"/>
  <c r="O1456" i="5"/>
  <c r="J1455" i="5"/>
  <c r="K1455" i="5"/>
  <c r="L1455" i="5"/>
  <c r="N1455" i="5"/>
  <c r="O1455" i="5" s="1"/>
  <c r="J1454" i="5"/>
  <c r="K1454" i="5"/>
  <c r="L1454" i="5"/>
  <c r="N1454" i="5"/>
  <c r="O1454" i="5"/>
  <c r="J1453" i="5"/>
  <c r="K1453" i="5"/>
  <c r="L1453" i="5"/>
  <c r="N1453" i="5"/>
  <c r="O1453" i="5" s="1"/>
  <c r="J1452" i="5"/>
  <c r="K1452" i="5"/>
  <c r="L1452" i="5"/>
  <c r="N1452" i="5"/>
  <c r="O1452" i="5"/>
  <c r="J1451" i="5"/>
  <c r="K1451" i="5"/>
  <c r="L1451" i="5"/>
  <c r="N1451" i="5"/>
  <c r="O1451" i="5" s="1"/>
  <c r="J1450" i="5"/>
  <c r="K1450" i="5"/>
  <c r="L1450" i="5"/>
  <c r="N1450" i="5"/>
  <c r="O1450" i="5"/>
  <c r="J1449" i="5"/>
  <c r="K1449" i="5"/>
  <c r="L1449" i="5"/>
  <c r="N1449" i="5"/>
  <c r="O1449" i="5" s="1"/>
  <c r="J1448" i="5"/>
  <c r="K1448" i="5"/>
  <c r="L1448" i="5"/>
  <c r="N1448" i="5"/>
  <c r="O1448" i="5"/>
  <c r="J1447" i="5"/>
  <c r="K1447" i="5"/>
  <c r="L1447" i="5"/>
  <c r="N1447" i="5"/>
  <c r="O1447" i="5" s="1"/>
  <c r="J1446" i="5"/>
  <c r="K1446" i="5"/>
  <c r="L1446" i="5"/>
  <c r="N1446" i="5"/>
  <c r="O1446" i="5"/>
  <c r="J1445" i="5"/>
  <c r="K1445" i="5"/>
  <c r="L1445" i="5"/>
  <c r="N1445" i="5"/>
  <c r="O1445" i="5" s="1"/>
  <c r="J1444" i="5"/>
  <c r="K1444" i="5"/>
  <c r="L1444" i="5"/>
  <c r="N1444" i="5"/>
  <c r="O1444" i="5"/>
  <c r="J1443" i="5"/>
  <c r="K1443" i="5"/>
  <c r="L1443" i="5"/>
  <c r="N1443" i="5"/>
  <c r="O1443" i="5" s="1"/>
  <c r="J1442" i="5"/>
  <c r="K1442" i="5"/>
  <c r="L1442" i="5"/>
  <c r="N1442" i="5"/>
  <c r="O1442" i="5"/>
  <c r="J1441" i="5"/>
  <c r="K1441" i="5"/>
  <c r="L1441" i="5"/>
  <c r="N1441" i="5"/>
  <c r="O1441" i="5" s="1"/>
  <c r="J1440" i="5"/>
  <c r="K1440" i="5"/>
  <c r="L1440" i="5"/>
  <c r="N1440" i="5"/>
  <c r="O1440" i="5"/>
  <c r="J1439" i="5"/>
  <c r="K1439" i="5"/>
  <c r="L1439" i="5"/>
  <c r="N1439" i="5"/>
  <c r="O1439" i="5" s="1"/>
  <c r="J1438" i="5"/>
  <c r="K1438" i="5"/>
  <c r="L1438" i="5"/>
  <c r="N1438" i="5"/>
  <c r="O1438" i="5"/>
  <c r="J1437" i="5"/>
  <c r="K1437" i="5"/>
  <c r="L1437" i="5"/>
  <c r="N1437" i="5"/>
  <c r="O1437" i="5" s="1"/>
  <c r="J1436" i="5"/>
  <c r="K1436" i="5"/>
  <c r="L1436" i="5"/>
  <c r="N1436" i="5"/>
  <c r="O1436" i="5"/>
  <c r="J1435" i="5"/>
  <c r="K1435" i="5"/>
  <c r="L1435" i="5"/>
  <c r="N1435" i="5"/>
  <c r="O1435" i="5" s="1"/>
  <c r="J1434" i="5"/>
  <c r="K1434" i="5"/>
  <c r="L1434" i="5"/>
  <c r="N1434" i="5"/>
  <c r="O1434" i="5"/>
  <c r="J1433" i="5"/>
  <c r="K1433" i="5"/>
  <c r="L1433" i="5"/>
  <c r="N1433" i="5"/>
  <c r="O1433" i="5" s="1"/>
  <c r="J1432" i="5"/>
  <c r="K1432" i="5"/>
  <c r="L1432" i="5"/>
  <c r="N1432" i="5"/>
  <c r="O1432" i="5"/>
  <c r="J1431" i="5"/>
  <c r="K1431" i="5"/>
  <c r="L1431" i="5"/>
  <c r="N1431" i="5"/>
  <c r="O1431" i="5" s="1"/>
  <c r="J1430" i="5"/>
  <c r="K1430" i="5"/>
  <c r="L1430" i="5"/>
  <c r="N1430" i="5"/>
  <c r="O1430" i="5"/>
  <c r="J1429" i="5"/>
  <c r="K1429" i="5"/>
  <c r="L1429" i="5"/>
  <c r="N1429" i="5"/>
  <c r="O1429" i="5" s="1"/>
  <c r="J1428" i="5"/>
  <c r="K1428" i="5"/>
  <c r="L1428" i="5"/>
  <c r="N1428" i="5"/>
  <c r="O1428" i="5" s="1"/>
  <c r="J1427" i="5"/>
  <c r="K1427" i="5"/>
  <c r="L1427" i="5"/>
  <c r="N1427" i="5"/>
  <c r="O1427" i="5" s="1"/>
  <c r="J1426" i="5"/>
  <c r="K1426" i="5"/>
  <c r="L1426" i="5"/>
  <c r="N1426" i="5"/>
  <c r="O1426" i="5"/>
  <c r="J1425" i="5"/>
  <c r="K1425" i="5"/>
  <c r="L1425" i="5"/>
  <c r="N1425" i="5"/>
  <c r="O1425" i="5" s="1"/>
  <c r="J1424" i="5"/>
  <c r="K1424" i="5"/>
  <c r="L1424" i="5"/>
  <c r="N1424" i="5"/>
  <c r="O1424" i="5" s="1"/>
  <c r="J1423" i="5"/>
  <c r="K1423" i="5"/>
  <c r="L1423" i="5"/>
  <c r="N1423" i="5"/>
  <c r="O1423" i="5" s="1"/>
  <c r="J1422" i="5"/>
  <c r="K1422" i="5"/>
  <c r="L1422" i="5"/>
  <c r="N1422" i="5"/>
  <c r="O1422" i="5" s="1"/>
  <c r="J1421" i="5"/>
  <c r="K1421" i="5"/>
  <c r="L1421" i="5"/>
  <c r="N1421" i="5"/>
  <c r="O1421" i="5" s="1"/>
  <c r="J1420" i="5"/>
  <c r="K1420" i="5"/>
  <c r="L1420" i="5"/>
  <c r="N1420" i="5"/>
  <c r="O1420" i="5" s="1"/>
  <c r="J1419" i="5"/>
  <c r="K1419" i="5"/>
  <c r="L1419" i="5"/>
  <c r="N1419" i="5"/>
  <c r="O1419" i="5" s="1"/>
  <c r="J1418" i="5"/>
  <c r="K1418" i="5"/>
  <c r="L1418" i="5"/>
  <c r="N1418" i="5"/>
  <c r="O1418" i="5"/>
  <c r="J1417" i="5"/>
  <c r="K1417" i="5"/>
  <c r="L1417" i="5"/>
  <c r="N1417" i="5"/>
  <c r="O1417" i="5" s="1"/>
  <c r="J1416" i="5"/>
  <c r="K1416" i="5"/>
  <c r="L1416" i="5"/>
  <c r="N1416" i="5"/>
  <c r="O1416" i="5" s="1"/>
  <c r="J1415" i="5"/>
  <c r="K1415" i="5"/>
  <c r="L1415" i="5"/>
  <c r="N1415" i="5"/>
  <c r="O1415" i="5" s="1"/>
  <c r="J1414" i="5"/>
  <c r="K1414" i="5"/>
  <c r="L1414" i="5"/>
  <c r="N1414" i="5"/>
  <c r="O1414" i="5"/>
  <c r="J1413" i="5"/>
  <c r="K1413" i="5"/>
  <c r="L1413" i="5"/>
  <c r="N1413" i="5"/>
  <c r="O1413" i="5" s="1"/>
  <c r="J1412" i="5"/>
  <c r="K1412" i="5"/>
  <c r="L1412" i="5"/>
  <c r="N1412" i="5"/>
  <c r="O1412" i="5"/>
  <c r="J1411" i="5"/>
  <c r="K1411" i="5"/>
  <c r="L1411" i="5"/>
  <c r="N1411" i="5"/>
  <c r="O1411" i="5" s="1"/>
  <c r="J1410" i="5"/>
  <c r="K1410" i="5"/>
  <c r="L1410" i="5"/>
  <c r="N1410" i="5"/>
  <c r="O1410" i="5" s="1"/>
  <c r="J1409" i="5"/>
  <c r="K1409" i="5"/>
  <c r="L1409" i="5"/>
  <c r="N1409" i="5"/>
  <c r="O1409" i="5" s="1"/>
  <c r="J1408" i="5"/>
  <c r="K1408" i="5"/>
  <c r="L1408" i="5"/>
  <c r="N1408" i="5"/>
  <c r="O1408" i="5"/>
  <c r="J1407" i="5"/>
  <c r="K1407" i="5"/>
  <c r="L1407" i="5"/>
  <c r="N1407" i="5"/>
  <c r="O1407" i="5" s="1"/>
  <c r="J1406" i="5"/>
  <c r="K1406" i="5"/>
  <c r="L1406" i="5"/>
  <c r="N1406" i="5"/>
  <c r="O1406" i="5"/>
  <c r="J1405" i="5"/>
  <c r="K1405" i="5"/>
  <c r="L1405" i="5"/>
  <c r="N1405" i="5"/>
  <c r="O1405" i="5" s="1"/>
  <c r="J1404" i="5"/>
  <c r="K1404" i="5"/>
  <c r="L1404" i="5"/>
  <c r="N1404" i="5"/>
  <c r="O1404" i="5" s="1"/>
  <c r="J1403" i="5"/>
  <c r="K1403" i="5"/>
  <c r="L1403" i="5"/>
  <c r="N1403" i="5"/>
  <c r="O1403" i="5" s="1"/>
  <c r="J1402" i="5"/>
  <c r="K1402" i="5"/>
  <c r="L1402" i="5"/>
  <c r="N1402" i="5"/>
  <c r="O1402" i="5" s="1"/>
  <c r="J1401" i="5"/>
  <c r="K1401" i="5"/>
  <c r="L1401" i="5"/>
  <c r="N1401" i="5"/>
  <c r="O1401" i="5" s="1"/>
  <c r="J1400" i="5"/>
  <c r="K1400" i="5"/>
  <c r="L1400" i="5"/>
  <c r="N1400" i="5"/>
  <c r="O1400" i="5"/>
  <c r="J1399" i="5"/>
  <c r="K1399" i="5"/>
  <c r="L1399" i="5"/>
  <c r="N1399" i="5"/>
  <c r="O1399" i="5" s="1"/>
  <c r="J1398" i="5"/>
  <c r="K1398" i="5"/>
  <c r="L1398" i="5"/>
  <c r="N1398" i="5"/>
  <c r="O1398" i="5" s="1"/>
  <c r="J1397" i="5"/>
  <c r="K1397" i="5"/>
  <c r="L1397" i="5"/>
  <c r="N1397" i="5"/>
  <c r="O1397" i="5" s="1"/>
  <c r="J1396" i="5"/>
  <c r="K1396" i="5"/>
  <c r="L1396" i="5"/>
  <c r="N1396" i="5"/>
  <c r="O1396" i="5" s="1"/>
  <c r="J1395" i="5"/>
  <c r="K1395" i="5"/>
  <c r="L1395" i="5"/>
  <c r="N1395" i="5"/>
  <c r="O1395" i="5" s="1"/>
  <c r="J1394" i="5"/>
  <c r="K1394" i="5"/>
  <c r="L1394" i="5"/>
  <c r="N1394" i="5"/>
  <c r="O1394" i="5"/>
  <c r="J1393" i="5"/>
  <c r="K1393" i="5"/>
  <c r="L1393" i="5"/>
  <c r="N1393" i="5"/>
  <c r="O1393" i="5" s="1"/>
  <c r="J1392" i="5"/>
  <c r="K1392" i="5"/>
  <c r="L1392" i="5"/>
  <c r="N1392" i="5"/>
  <c r="O1392" i="5" s="1"/>
  <c r="J1391" i="5"/>
  <c r="K1391" i="5"/>
  <c r="L1391" i="5"/>
  <c r="N1391" i="5"/>
  <c r="O1391" i="5" s="1"/>
  <c r="J1390" i="5"/>
  <c r="K1390" i="5"/>
  <c r="L1390" i="5"/>
  <c r="N1390" i="5"/>
  <c r="O1390" i="5"/>
  <c r="J1389" i="5"/>
  <c r="K1389" i="5"/>
  <c r="L1389" i="5"/>
  <c r="N1389" i="5"/>
  <c r="O1389" i="5" s="1"/>
  <c r="J1388" i="5"/>
  <c r="K1388" i="5"/>
  <c r="L1388" i="5"/>
  <c r="N1388" i="5"/>
  <c r="O1388" i="5"/>
  <c r="J1387" i="5"/>
  <c r="K1387" i="5"/>
  <c r="L1387" i="5"/>
  <c r="N1387" i="5"/>
  <c r="O1387" i="5" s="1"/>
  <c r="J1386" i="5"/>
  <c r="K1386" i="5"/>
  <c r="L1386" i="5"/>
  <c r="N1386" i="5"/>
  <c r="O1386" i="5" s="1"/>
  <c r="J1385" i="5"/>
  <c r="K1385" i="5"/>
  <c r="L1385" i="5"/>
  <c r="N1385" i="5"/>
  <c r="O1385" i="5" s="1"/>
  <c r="J1384" i="5"/>
  <c r="K1384" i="5"/>
  <c r="L1384" i="5"/>
  <c r="N1384" i="5"/>
  <c r="O1384" i="5"/>
  <c r="J1383" i="5"/>
  <c r="K1383" i="5"/>
  <c r="L1383" i="5"/>
  <c r="N1383" i="5"/>
  <c r="O1383" i="5" s="1"/>
  <c r="J1382" i="5"/>
  <c r="K1382" i="5"/>
  <c r="L1382" i="5"/>
  <c r="N1382" i="5"/>
  <c r="O1382" i="5"/>
  <c r="J1381" i="5"/>
  <c r="K1381" i="5"/>
  <c r="L1381" i="5"/>
  <c r="N1381" i="5"/>
  <c r="O1381" i="5" s="1"/>
  <c r="J1380" i="5"/>
  <c r="K1380" i="5"/>
  <c r="L1380" i="5"/>
  <c r="N1380" i="5"/>
  <c r="O1380" i="5" s="1"/>
  <c r="J1379" i="5"/>
  <c r="K1379" i="5"/>
  <c r="L1379" i="5"/>
  <c r="N1379" i="5"/>
  <c r="O1379" i="5" s="1"/>
  <c r="J1378" i="5"/>
  <c r="K1378" i="5"/>
  <c r="L1378" i="5"/>
  <c r="N1378" i="5"/>
  <c r="O1378" i="5" s="1"/>
  <c r="J1377" i="5"/>
  <c r="K1377" i="5"/>
  <c r="L1377" i="5"/>
  <c r="N1377" i="5"/>
  <c r="O1377" i="5" s="1"/>
  <c r="J1376" i="5"/>
  <c r="K1376" i="5"/>
  <c r="L1376" i="5"/>
  <c r="N1376" i="5"/>
  <c r="O1376" i="5"/>
  <c r="J1375" i="5"/>
  <c r="K1375" i="5"/>
  <c r="L1375" i="5"/>
  <c r="N1375" i="5"/>
  <c r="O1375" i="5" s="1"/>
  <c r="J1374" i="5"/>
  <c r="K1374" i="5"/>
  <c r="L1374" i="5"/>
  <c r="N1374" i="5"/>
  <c r="O1374" i="5" s="1"/>
  <c r="J1373" i="5"/>
  <c r="K1373" i="5"/>
  <c r="L1373" i="5"/>
  <c r="N1373" i="5"/>
  <c r="O1373" i="5" s="1"/>
  <c r="J1372" i="5"/>
  <c r="K1372" i="5"/>
  <c r="L1372" i="5"/>
  <c r="N1372" i="5"/>
  <c r="O1372" i="5" s="1"/>
  <c r="J1371" i="5"/>
  <c r="K1371" i="5"/>
  <c r="L1371" i="5"/>
  <c r="N1371" i="5"/>
  <c r="O1371" i="5" s="1"/>
  <c r="J1370" i="5"/>
  <c r="K1370" i="5"/>
  <c r="L1370" i="5"/>
  <c r="N1370" i="5"/>
  <c r="O1370" i="5"/>
  <c r="J1369" i="5"/>
  <c r="K1369" i="5"/>
  <c r="L1369" i="5"/>
  <c r="N1369" i="5"/>
  <c r="O1369" i="5" s="1"/>
  <c r="J1368" i="5"/>
  <c r="K1368" i="5"/>
  <c r="L1368" i="5"/>
  <c r="N1368" i="5"/>
  <c r="O1368" i="5" s="1"/>
  <c r="J1367" i="5"/>
  <c r="K1367" i="5"/>
  <c r="L1367" i="5"/>
  <c r="N1367" i="5"/>
  <c r="O1367" i="5" s="1"/>
  <c r="J1366" i="5"/>
  <c r="K1366" i="5"/>
  <c r="L1366" i="5"/>
  <c r="N1366" i="5"/>
  <c r="O1366" i="5" s="1"/>
  <c r="J1365" i="5"/>
  <c r="K1365" i="5"/>
  <c r="L1365" i="5"/>
  <c r="N1365" i="5"/>
  <c r="O1365" i="5" s="1"/>
  <c r="J1364" i="5"/>
  <c r="K1364" i="5"/>
  <c r="L1364" i="5"/>
  <c r="N1364" i="5"/>
  <c r="O1364" i="5" s="1"/>
  <c r="J1363" i="5"/>
  <c r="K1363" i="5"/>
  <c r="L1363" i="5"/>
  <c r="N1363" i="5"/>
  <c r="O1363" i="5" s="1"/>
  <c r="J1362" i="5"/>
  <c r="K1362" i="5"/>
  <c r="L1362" i="5"/>
  <c r="N1362" i="5"/>
  <c r="O1362" i="5" s="1"/>
  <c r="J1361" i="5"/>
  <c r="K1361" i="5"/>
  <c r="L1361" i="5"/>
  <c r="N1361" i="5"/>
  <c r="O1361" i="5" s="1"/>
  <c r="J1360" i="5"/>
  <c r="K1360" i="5"/>
  <c r="L1360" i="5"/>
  <c r="N1360" i="5"/>
  <c r="O1360" i="5" s="1"/>
  <c r="J1359" i="5"/>
  <c r="K1359" i="5"/>
  <c r="L1359" i="5"/>
  <c r="N1359" i="5"/>
  <c r="O1359" i="5" s="1"/>
  <c r="J1358" i="5"/>
  <c r="K1358" i="5"/>
  <c r="L1358" i="5"/>
  <c r="N1358" i="5"/>
  <c r="O1358" i="5" s="1"/>
  <c r="J1357" i="5"/>
  <c r="K1357" i="5"/>
  <c r="L1357" i="5"/>
  <c r="N1357" i="5"/>
  <c r="O1357" i="5" s="1"/>
  <c r="J1356" i="5"/>
  <c r="K1356" i="5"/>
  <c r="L1356" i="5"/>
  <c r="N1356" i="5"/>
  <c r="O1356" i="5" s="1"/>
  <c r="J1355" i="5"/>
  <c r="K1355" i="5"/>
  <c r="L1355" i="5"/>
  <c r="N1355" i="5"/>
  <c r="O1355" i="5" s="1"/>
  <c r="J1354" i="5"/>
  <c r="K1354" i="5"/>
  <c r="L1354" i="5"/>
  <c r="N1354" i="5"/>
  <c r="O1354" i="5" s="1"/>
  <c r="J1353" i="5"/>
  <c r="K1353" i="5"/>
  <c r="L1353" i="5"/>
  <c r="N1353" i="5"/>
  <c r="O1353" i="5" s="1"/>
  <c r="J1352" i="5"/>
  <c r="K1352" i="5"/>
  <c r="L1352" i="5"/>
  <c r="N1352" i="5"/>
  <c r="O1352" i="5" s="1"/>
  <c r="J1351" i="5"/>
  <c r="K1351" i="5"/>
  <c r="L1351" i="5"/>
  <c r="N1351" i="5"/>
  <c r="O1351" i="5" s="1"/>
  <c r="J1350" i="5"/>
  <c r="K1350" i="5"/>
  <c r="L1350" i="5"/>
  <c r="N1350" i="5"/>
  <c r="O1350" i="5" s="1"/>
  <c r="J1349" i="5"/>
  <c r="K1349" i="5"/>
  <c r="L1349" i="5"/>
  <c r="N1349" i="5"/>
  <c r="O1349" i="5" s="1"/>
  <c r="J1348" i="5"/>
  <c r="K1348" i="5"/>
  <c r="L1348" i="5"/>
  <c r="N1348" i="5"/>
  <c r="O1348" i="5" s="1"/>
  <c r="J1347" i="5"/>
  <c r="K1347" i="5"/>
  <c r="L1347" i="5"/>
  <c r="N1347" i="5"/>
  <c r="O1347" i="5" s="1"/>
  <c r="J1346" i="5"/>
  <c r="K1346" i="5"/>
  <c r="L1346" i="5"/>
  <c r="N1346" i="5"/>
  <c r="O1346" i="5" s="1"/>
  <c r="J1345" i="5"/>
  <c r="K1345" i="5"/>
  <c r="L1345" i="5"/>
  <c r="N1345" i="5"/>
  <c r="O1345" i="5" s="1"/>
  <c r="J1344" i="5"/>
  <c r="K1344" i="5"/>
  <c r="L1344" i="5"/>
  <c r="N1344" i="5"/>
  <c r="O1344" i="5" s="1"/>
  <c r="J1343" i="5"/>
  <c r="K1343" i="5"/>
  <c r="L1343" i="5"/>
  <c r="N1343" i="5"/>
  <c r="O1343" i="5" s="1"/>
  <c r="J1342" i="5"/>
  <c r="K1342" i="5"/>
  <c r="L1342" i="5"/>
  <c r="N1342" i="5"/>
  <c r="O1342" i="5" s="1"/>
  <c r="J1341" i="5"/>
  <c r="K1341" i="5"/>
  <c r="L1341" i="5"/>
  <c r="N1341" i="5"/>
  <c r="O1341" i="5" s="1"/>
  <c r="J1340" i="5"/>
  <c r="K1340" i="5"/>
  <c r="L1340" i="5"/>
  <c r="N1340" i="5"/>
  <c r="O1340" i="5" s="1"/>
  <c r="J1339" i="5"/>
  <c r="K1339" i="5"/>
  <c r="L1339" i="5"/>
  <c r="N1339" i="5"/>
  <c r="O1339" i="5" s="1"/>
  <c r="J1338" i="5"/>
  <c r="K1338" i="5"/>
  <c r="L1338" i="5"/>
  <c r="N1338" i="5"/>
  <c r="O1338" i="5" s="1"/>
  <c r="J1337" i="5"/>
  <c r="K1337" i="5"/>
  <c r="L1337" i="5"/>
  <c r="N1337" i="5"/>
  <c r="O1337" i="5" s="1"/>
  <c r="J1336" i="5"/>
  <c r="K1336" i="5"/>
  <c r="L1336" i="5"/>
  <c r="N1336" i="5"/>
  <c r="O1336" i="5" s="1"/>
  <c r="J1335" i="5"/>
  <c r="K1335" i="5"/>
  <c r="L1335" i="5"/>
  <c r="N1335" i="5"/>
  <c r="O1335" i="5" s="1"/>
  <c r="J1334" i="5"/>
  <c r="K1334" i="5"/>
  <c r="L1334" i="5"/>
  <c r="N1334" i="5"/>
  <c r="O1334" i="5" s="1"/>
  <c r="J1333" i="5"/>
  <c r="K1333" i="5"/>
  <c r="L1333" i="5"/>
  <c r="N1333" i="5"/>
  <c r="O1333" i="5" s="1"/>
  <c r="J1332" i="5"/>
  <c r="K1332" i="5"/>
  <c r="L1332" i="5"/>
  <c r="N1332" i="5"/>
  <c r="O1332" i="5" s="1"/>
  <c r="J1331" i="5"/>
  <c r="K1331" i="5"/>
  <c r="L1331" i="5"/>
  <c r="N1331" i="5"/>
  <c r="O1331" i="5" s="1"/>
  <c r="J1330" i="5"/>
  <c r="K1330" i="5"/>
  <c r="L1330" i="5"/>
  <c r="N1330" i="5"/>
  <c r="O1330" i="5" s="1"/>
  <c r="J1329" i="5"/>
  <c r="K1329" i="5"/>
  <c r="L1329" i="5"/>
  <c r="N1329" i="5"/>
  <c r="O1329" i="5" s="1"/>
  <c r="J1328" i="5"/>
  <c r="K1328" i="5"/>
  <c r="L1328" i="5"/>
  <c r="N1328" i="5"/>
  <c r="O1328" i="5" s="1"/>
  <c r="J1327" i="5"/>
  <c r="K1327" i="5"/>
  <c r="L1327" i="5"/>
  <c r="N1327" i="5"/>
  <c r="O1327" i="5" s="1"/>
  <c r="J1326" i="5"/>
  <c r="K1326" i="5"/>
  <c r="L1326" i="5"/>
  <c r="N1326" i="5"/>
  <c r="O1326" i="5" s="1"/>
  <c r="J1325" i="5"/>
  <c r="K1325" i="5"/>
  <c r="L1325" i="5"/>
  <c r="N1325" i="5"/>
  <c r="O1325" i="5" s="1"/>
  <c r="J1324" i="5"/>
  <c r="K1324" i="5"/>
  <c r="L1324" i="5"/>
  <c r="N1324" i="5"/>
  <c r="O1324" i="5" s="1"/>
  <c r="J1323" i="5"/>
  <c r="K1323" i="5"/>
  <c r="L1323" i="5"/>
  <c r="N1323" i="5"/>
  <c r="O1323" i="5" s="1"/>
  <c r="J1322" i="5"/>
  <c r="K1322" i="5"/>
  <c r="L1322" i="5"/>
  <c r="N1322" i="5"/>
  <c r="O1322" i="5" s="1"/>
  <c r="J1321" i="5"/>
  <c r="K1321" i="5"/>
  <c r="L1321" i="5"/>
  <c r="N1321" i="5"/>
  <c r="O1321" i="5" s="1"/>
  <c r="J1320" i="5"/>
  <c r="K1320" i="5"/>
  <c r="L1320" i="5"/>
  <c r="N1320" i="5"/>
  <c r="O1320" i="5" s="1"/>
  <c r="J1319" i="5"/>
  <c r="K1319" i="5"/>
  <c r="L1319" i="5"/>
  <c r="N1319" i="5"/>
  <c r="O1319" i="5" s="1"/>
  <c r="J1318" i="5"/>
  <c r="K1318" i="5"/>
  <c r="L1318" i="5"/>
  <c r="N1318" i="5"/>
  <c r="O1318" i="5" s="1"/>
  <c r="J1317" i="5"/>
  <c r="K1317" i="5"/>
  <c r="L1317" i="5"/>
  <c r="N1317" i="5"/>
  <c r="O1317" i="5" s="1"/>
  <c r="J1316" i="5"/>
  <c r="K1316" i="5"/>
  <c r="L1316" i="5"/>
  <c r="N1316" i="5"/>
  <c r="O1316" i="5" s="1"/>
  <c r="J1315" i="5"/>
  <c r="K1315" i="5"/>
  <c r="L1315" i="5"/>
  <c r="N1315" i="5"/>
  <c r="O1315" i="5" s="1"/>
  <c r="J1314" i="5"/>
  <c r="K1314" i="5"/>
  <c r="L1314" i="5"/>
  <c r="N1314" i="5"/>
  <c r="O1314" i="5" s="1"/>
  <c r="J1313" i="5"/>
  <c r="K1313" i="5"/>
  <c r="L1313" i="5"/>
  <c r="N1313" i="5"/>
  <c r="O1313" i="5" s="1"/>
  <c r="J1312" i="5"/>
  <c r="K1312" i="5"/>
  <c r="L1312" i="5"/>
  <c r="N1312" i="5"/>
  <c r="O1312" i="5" s="1"/>
  <c r="J1311" i="5"/>
  <c r="K1311" i="5"/>
  <c r="L1311" i="5"/>
  <c r="N1311" i="5"/>
  <c r="O1311" i="5" s="1"/>
  <c r="J1310" i="5"/>
  <c r="K1310" i="5"/>
  <c r="L1310" i="5"/>
  <c r="N1310" i="5"/>
  <c r="O1310" i="5" s="1"/>
  <c r="J1309" i="5"/>
  <c r="K1309" i="5"/>
  <c r="L1309" i="5"/>
  <c r="N1309" i="5"/>
  <c r="O1309" i="5" s="1"/>
  <c r="J1308" i="5"/>
  <c r="K1308" i="5"/>
  <c r="L1308" i="5"/>
  <c r="N1308" i="5"/>
  <c r="O1308" i="5" s="1"/>
  <c r="J1307" i="5"/>
  <c r="K1307" i="5"/>
  <c r="L1307" i="5"/>
  <c r="N1307" i="5"/>
  <c r="O1307" i="5" s="1"/>
  <c r="J1306" i="5"/>
  <c r="K1306" i="5"/>
  <c r="L1306" i="5"/>
  <c r="N1306" i="5"/>
  <c r="O1306" i="5" s="1"/>
  <c r="J1305" i="5"/>
  <c r="K1305" i="5"/>
  <c r="L1305" i="5"/>
  <c r="N1305" i="5"/>
  <c r="O1305" i="5" s="1"/>
  <c r="J1304" i="5"/>
  <c r="K1304" i="5"/>
  <c r="L1304" i="5"/>
  <c r="N1304" i="5"/>
  <c r="O1304" i="5" s="1"/>
  <c r="J1303" i="5"/>
  <c r="K1303" i="5"/>
  <c r="L1303" i="5"/>
  <c r="N1303" i="5"/>
  <c r="O1303" i="5" s="1"/>
  <c r="J1302" i="5"/>
  <c r="K1302" i="5"/>
  <c r="L1302" i="5"/>
  <c r="N1302" i="5"/>
  <c r="O1302" i="5" s="1"/>
  <c r="J1301" i="5"/>
  <c r="K1301" i="5"/>
  <c r="L1301" i="5"/>
  <c r="N1301" i="5"/>
  <c r="O1301" i="5" s="1"/>
  <c r="J1300" i="5"/>
  <c r="K1300" i="5"/>
  <c r="L1300" i="5"/>
  <c r="N1300" i="5"/>
  <c r="O1300" i="5" s="1"/>
  <c r="J1299" i="5"/>
  <c r="K1299" i="5"/>
  <c r="L1299" i="5"/>
  <c r="N1299" i="5"/>
  <c r="O1299" i="5" s="1"/>
  <c r="J1298" i="5"/>
  <c r="K1298" i="5"/>
  <c r="L1298" i="5"/>
  <c r="N1298" i="5"/>
  <c r="O1298" i="5" s="1"/>
  <c r="J1297" i="5"/>
  <c r="K1297" i="5"/>
  <c r="L1297" i="5"/>
  <c r="N1297" i="5"/>
  <c r="O1297" i="5" s="1"/>
  <c r="J1296" i="5"/>
  <c r="K1296" i="5"/>
  <c r="L1296" i="5"/>
  <c r="N1296" i="5"/>
  <c r="O1296" i="5" s="1"/>
  <c r="J1295" i="5"/>
  <c r="K1295" i="5"/>
  <c r="L1295" i="5"/>
  <c r="N1295" i="5"/>
  <c r="O1295" i="5" s="1"/>
  <c r="J1294" i="5"/>
  <c r="K1294" i="5"/>
  <c r="L1294" i="5"/>
  <c r="N1294" i="5"/>
  <c r="O1294" i="5" s="1"/>
  <c r="J1293" i="5"/>
  <c r="K1293" i="5"/>
  <c r="L1293" i="5"/>
  <c r="N1293" i="5"/>
  <c r="O1293" i="5" s="1"/>
  <c r="J1292" i="5"/>
  <c r="K1292" i="5"/>
  <c r="L1292" i="5"/>
  <c r="N1292" i="5"/>
  <c r="O1292" i="5" s="1"/>
  <c r="J1291" i="5"/>
  <c r="K1291" i="5"/>
  <c r="L1291" i="5"/>
  <c r="N1291" i="5"/>
  <c r="O1291" i="5" s="1"/>
  <c r="J1290" i="5"/>
  <c r="K1290" i="5"/>
  <c r="L1290" i="5"/>
  <c r="N1290" i="5"/>
  <c r="O1290" i="5" s="1"/>
  <c r="J1289" i="5"/>
  <c r="K1289" i="5"/>
  <c r="L1289" i="5"/>
  <c r="N1289" i="5"/>
  <c r="O1289" i="5" s="1"/>
  <c r="J1288" i="5"/>
  <c r="K1288" i="5"/>
  <c r="L1288" i="5"/>
  <c r="N1288" i="5"/>
  <c r="O1288" i="5" s="1"/>
  <c r="J1287" i="5"/>
  <c r="K1287" i="5"/>
  <c r="L1287" i="5"/>
  <c r="N1287" i="5"/>
  <c r="O1287" i="5" s="1"/>
  <c r="J1286" i="5"/>
  <c r="K1286" i="5"/>
  <c r="L1286" i="5"/>
  <c r="N1286" i="5"/>
  <c r="O1286" i="5" s="1"/>
  <c r="J1285" i="5"/>
  <c r="K1285" i="5"/>
  <c r="L1285" i="5"/>
  <c r="N1285" i="5"/>
  <c r="O1285" i="5" s="1"/>
  <c r="J1284" i="5"/>
  <c r="K1284" i="5"/>
  <c r="L1284" i="5"/>
  <c r="N1284" i="5"/>
  <c r="O1284" i="5" s="1"/>
  <c r="J1283" i="5"/>
  <c r="K1283" i="5"/>
  <c r="L1283" i="5"/>
  <c r="N1283" i="5"/>
  <c r="O1283" i="5" s="1"/>
  <c r="J1282" i="5"/>
  <c r="K1282" i="5"/>
  <c r="L1282" i="5"/>
  <c r="N1282" i="5"/>
  <c r="O1282" i="5" s="1"/>
  <c r="J1281" i="5"/>
  <c r="K1281" i="5"/>
  <c r="L1281" i="5"/>
  <c r="N1281" i="5"/>
  <c r="O1281" i="5" s="1"/>
  <c r="J1280" i="5"/>
  <c r="K1280" i="5"/>
  <c r="L1280" i="5"/>
  <c r="N1280" i="5"/>
  <c r="O1280" i="5" s="1"/>
  <c r="J1279" i="5"/>
  <c r="K1279" i="5"/>
  <c r="L1279" i="5"/>
  <c r="N1279" i="5"/>
  <c r="O1279" i="5" s="1"/>
  <c r="J1278" i="5"/>
  <c r="K1278" i="5"/>
  <c r="L1278" i="5"/>
  <c r="N1278" i="5"/>
  <c r="O1278" i="5" s="1"/>
  <c r="J1277" i="5"/>
  <c r="K1277" i="5"/>
  <c r="L1277" i="5"/>
  <c r="N1277" i="5"/>
  <c r="O1277" i="5" s="1"/>
  <c r="J1276" i="5"/>
  <c r="K1276" i="5"/>
  <c r="L1276" i="5"/>
  <c r="N1276" i="5"/>
  <c r="O1276" i="5" s="1"/>
  <c r="J1275" i="5"/>
  <c r="K1275" i="5"/>
  <c r="L1275" i="5"/>
  <c r="N1275" i="5"/>
  <c r="O1275" i="5" s="1"/>
  <c r="J1274" i="5"/>
  <c r="K1274" i="5"/>
  <c r="L1274" i="5"/>
  <c r="N1274" i="5"/>
  <c r="O1274" i="5" s="1"/>
  <c r="J1273" i="5"/>
  <c r="K1273" i="5"/>
  <c r="L1273" i="5"/>
  <c r="N1273" i="5"/>
  <c r="O1273" i="5" s="1"/>
  <c r="J1272" i="5"/>
  <c r="K1272" i="5"/>
  <c r="L1272" i="5"/>
  <c r="N1272" i="5"/>
  <c r="O1272" i="5" s="1"/>
  <c r="J1271" i="5"/>
  <c r="K1271" i="5"/>
  <c r="L1271" i="5"/>
  <c r="N1271" i="5"/>
  <c r="O1271" i="5" s="1"/>
  <c r="J1270" i="5"/>
  <c r="K1270" i="5"/>
  <c r="L1270" i="5"/>
  <c r="N1270" i="5"/>
  <c r="O1270" i="5" s="1"/>
  <c r="J1269" i="5"/>
  <c r="K1269" i="5"/>
  <c r="L1269" i="5"/>
  <c r="N1269" i="5"/>
  <c r="O1269" i="5" s="1"/>
  <c r="J1268" i="5"/>
  <c r="K1268" i="5"/>
  <c r="L1268" i="5"/>
  <c r="N1268" i="5"/>
  <c r="O1268" i="5" s="1"/>
  <c r="J1267" i="5"/>
  <c r="K1267" i="5"/>
  <c r="L1267" i="5"/>
  <c r="N1267" i="5"/>
  <c r="O1267" i="5" s="1"/>
  <c r="J1266" i="5"/>
  <c r="K1266" i="5"/>
  <c r="L1266" i="5"/>
  <c r="N1266" i="5"/>
  <c r="O1266" i="5" s="1"/>
  <c r="J1265" i="5"/>
  <c r="K1265" i="5"/>
  <c r="L1265" i="5"/>
  <c r="N1265" i="5"/>
  <c r="O1265" i="5" s="1"/>
  <c r="J1264" i="5"/>
  <c r="K1264" i="5"/>
  <c r="L1264" i="5"/>
  <c r="N1264" i="5"/>
  <c r="O1264" i="5" s="1"/>
  <c r="J1263" i="5"/>
  <c r="K1263" i="5"/>
  <c r="L1263" i="5"/>
  <c r="N1263" i="5"/>
  <c r="O1263" i="5" s="1"/>
  <c r="J1262" i="5"/>
  <c r="K1262" i="5"/>
  <c r="L1262" i="5"/>
  <c r="N1262" i="5"/>
  <c r="O1262" i="5" s="1"/>
  <c r="J1261" i="5"/>
  <c r="K1261" i="5"/>
  <c r="L1261" i="5"/>
  <c r="N1261" i="5"/>
  <c r="O1261" i="5" s="1"/>
  <c r="J1260" i="5"/>
  <c r="K1260" i="5"/>
  <c r="L1260" i="5"/>
  <c r="N1260" i="5"/>
  <c r="O1260" i="5" s="1"/>
  <c r="J1259" i="5"/>
  <c r="K1259" i="5"/>
  <c r="L1259" i="5"/>
  <c r="N1259" i="5"/>
  <c r="O1259" i="5" s="1"/>
  <c r="J1258" i="5"/>
  <c r="K1258" i="5"/>
  <c r="L1258" i="5"/>
  <c r="N1258" i="5"/>
  <c r="O1258" i="5" s="1"/>
  <c r="J1257" i="5"/>
  <c r="K1257" i="5"/>
  <c r="L1257" i="5"/>
  <c r="N1257" i="5"/>
  <c r="O1257" i="5" s="1"/>
  <c r="J1256" i="5"/>
  <c r="K1256" i="5"/>
  <c r="L1256" i="5"/>
  <c r="N1256" i="5"/>
  <c r="O1256" i="5" s="1"/>
  <c r="J1255" i="5"/>
  <c r="K1255" i="5"/>
  <c r="L1255" i="5"/>
  <c r="N1255" i="5"/>
  <c r="O1255" i="5" s="1"/>
  <c r="J1254" i="5"/>
  <c r="K1254" i="5"/>
  <c r="L1254" i="5"/>
  <c r="N1254" i="5"/>
  <c r="O1254" i="5" s="1"/>
  <c r="J1253" i="5"/>
  <c r="K1253" i="5"/>
  <c r="L1253" i="5"/>
  <c r="N1253" i="5"/>
  <c r="O1253" i="5" s="1"/>
  <c r="J1252" i="5"/>
  <c r="K1252" i="5"/>
  <c r="L1252" i="5"/>
  <c r="N1252" i="5"/>
  <c r="O1252" i="5" s="1"/>
  <c r="J1251" i="5"/>
  <c r="K1251" i="5"/>
  <c r="L1251" i="5"/>
  <c r="N1251" i="5"/>
  <c r="O1251" i="5" s="1"/>
  <c r="J1250" i="5"/>
  <c r="K1250" i="5"/>
  <c r="L1250" i="5"/>
  <c r="N1250" i="5"/>
  <c r="O1250" i="5" s="1"/>
  <c r="J1249" i="5"/>
  <c r="K1249" i="5"/>
  <c r="L1249" i="5"/>
  <c r="N1249" i="5"/>
  <c r="O1249" i="5" s="1"/>
  <c r="J1248" i="5"/>
  <c r="K1248" i="5"/>
  <c r="L1248" i="5"/>
  <c r="N1248" i="5"/>
  <c r="O1248" i="5" s="1"/>
  <c r="J1247" i="5"/>
  <c r="K1247" i="5"/>
  <c r="L1247" i="5"/>
  <c r="N1247" i="5"/>
  <c r="O1247" i="5" s="1"/>
  <c r="J1246" i="5"/>
  <c r="K1246" i="5"/>
  <c r="L1246" i="5"/>
  <c r="N1246" i="5"/>
  <c r="O1246" i="5" s="1"/>
  <c r="J1245" i="5"/>
  <c r="K1245" i="5"/>
  <c r="L1245" i="5"/>
  <c r="N1245" i="5"/>
  <c r="O1245" i="5" s="1"/>
  <c r="J1244" i="5"/>
  <c r="K1244" i="5"/>
  <c r="L1244" i="5"/>
  <c r="N1244" i="5"/>
  <c r="O1244" i="5" s="1"/>
  <c r="J1243" i="5"/>
  <c r="K1243" i="5"/>
  <c r="L1243" i="5"/>
  <c r="N1243" i="5"/>
  <c r="O1243" i="5" s="1"/>
  <c r="J1242" i="5"/>
  <c r="K1242" i="5"/>
  <c r="L1242" i="5"/>
  <c r="N1242" i="5"/>
  <c r="O1242" i="5" s="1"/>
  <c r="J1241" i="5"/>
  <c r="K1241" i="5"/>
  <c r="L1241" i="5"/>
  <c r="N1241" i="5"/>
  <c r="O1241" i="5" s="1"/>
  <c r="J1240" i="5"/>
  <c r="K1240" i="5"/>
  <c r="L1240" i="5"/>
  <c r="N1240" i="5"/>
  <c r="O1240" i="5" s="1"/>
  <c r="J1239" i="5"/>
  <c r="K1239" i="5"/>
  <c r="L1239" i="5"/>
  <c r="N1239" i="5"/>
  <c r="O1239" i="5" s="1"/>
  <c r="J1238" i="5"/>
  <c r="K1238" i="5"/>
  <c r="L1238" i="5"/>
  <c r="N1238" i="5"/>
  <c r="O1238" i="5" s="1"/>
  <c r="J1237" i="5"/>
  <c r="K1237" i="5"/>
  <c r="L1237" i="5"/>
  <c r="N1237" i="5"/>
  <c r="O1237" i="5" s="1"/>
  <c r="J1236" i="5"/>
  <c r="K1236" i="5"/>
  <c r="L1236" i="5"/>
  <c r="N1236" i="5"/>
  <c r="O1236" i="5" s="1"/>
  <c r="J1235" i="5"/>
  <c r="K1235" i="5"/>
  <c r="L1235" i="5"/>
  <c r="N1235" i="5"/>
  <c r="O1235" i="5" s="1"/>
  <c r="J1234" i="5"/>
  <c r="K1234" i="5"/>
  <c r="L1234" i="5"/>
  <c r="N1234" i="5"/>
  <c r="O1234" i="5" s="1"/>
  <c r="J1233" i="5"/>
  <c r="K1233" i="5"/>
  <c r="L1233" i="5"/>
  <c r="N1233" i="5"/>
  <c r="O1233" i="5" s="1"/>
  <c r="J1232" i="5"/>
  <c r="K1232" i="5"/>
  <c r="L1232" i="5"/>
  <c r="N1232" i="5"/>
  <c r="O1232" i="5" s="1"/>
  <c r="J1231" i="5"/>
  <c r="K1231" i="5"/>
  <c r="L1231" i="5"/>
  <c r="N1231" i="5"/>
  <c r="O1231" i="5" s="1"/>
  <c r="J1230" i="5"/>
  <c r="K1230" i="5"/>
  <c r="L1230" i="5"/>
  <c r="N1230" i="5"/>
  <c r="O1230" i="5" s="1"/>
  <c r="J1229" i="5"/>
  <c r="K1229" i="5"/>
  <c r="L1229" i="5"/>
  <c r="N1229" i="5"/>
  <c r="O1229" i="5" s="1"/>
  <c r="J1228" i="5"/>
  <c r="K1228" i="5"/>
  <c r="L1228" i="5"/>
  <c r="N1228" i="5"/>
  <c r="O1228" i="5" s="1"/>
  <c r="J1227" i="5"/>
  <c r="K1227" i="5"/>
  <c r="L1227" i="5"/>
  <c r="N1227" i="5"/>
  <c r="O1227" i="5" s="1"/>
  <c r="J1226" i="5"/>
  <c r="K1226" i="5"/>
  <c r="L1226" i="5"/>
  <c r="N1226" i="5"/>
  <c r="O1226" i="5" s="1"/>
  <c r="J1225" i="5"/>
  <c r="K1225" i="5"/>
  <c r="L1225" i="5"/>
  <c r="N1225" i="5"/>
  <c r="O1225" i="5" s="1"/>
  <c r="J1224" i="5"/>
  <c r="K1224" i="5"/>
  <c r="L1224" i="5"/>
  <c r="N1224" i="5"/>
  <c r="O1224" i="5" s="1"/>
  <c r="J1223" i="5"/>
  <c r="K1223" i="5"/>
  <c r="L1223" i="5"/>
  <c r="N1223" i="5"/>
  <c r="O1223" i="5" s="1"/>
  <c r="J1222" i="5"/>
  <c r="K1222" i="5"/>
  <c r="L1222" i="5"/>
  <c r="N1222" i="5"/>
  <c r="O1222" i="5" s="1"/>
  <c r="J1221" i="5"/>
  <c r="K1221" i="5"/>
  <c r="L1221" i="5"/>
  <c r="N1221" i="5"/>
  <c r="O1221" i="5" s="1"/>
  <c r="J1220" i="5"/>
  <c r="K1220" i="5"/>
  <c r="L1220" i="5"/>
  <c r="N1220" i="5"/>
  <c r="O1220" i="5" s="1"/>
  <c r="J1219" i="5"/>
  <c r="K1219" i="5"/>
  <c r="L1219" i="5"/>
  <c r="N1219" i="5"/>
  <c r="O1219" i="5" s="1"/>
  <c r="J1218" i="5"/>
  <c r="K1218" i="5"/>
  <c r="L1218" i="5"/>
  <c r="N1218" i="5"/>
  <c r="O1218" i="5" s="1"/>
  <c r="J1217" i="5"/>
  <c r="K1217" i="5"/>
  <c r="L1217" i="5"/>
  <c r="N1217" i="5"/>
  <c r="O1217" i="5"/>
  <c r="J1216" i="5"/>
  <c r="K1216" i="5"/>
  <c r="L1216" i="5"/>
  <c r="N1216" i="5"/>
  <c r="O1216" i="5" s="1"/>
  <c r="J1215" i="5"/>
  <c r="K1215" i="5"/>
  <c r="L1215" i="5"/>
  <c r="N1215" i="5"/>
  <c r="O1215" i="5" s="1"/>
  <c r="J1214" i="5"/>
  <c r="K1214" i="5"/>
  <c r="L1214" i="5"/>
  <c r="N1214" i="5"/>
  <c r="O1214" i="5"/>
  <c r="J1213" i="5"/>
  <c r="K1213" i="5"/>
  <c r="L1213" i="5"/>
  <c r="N1213" i="5"/>
  <c r="O1213" i="5" s="1"/>
  <c r="J1212" i="5"/>
  <c r="K1212" i="5"/>
  <c r="L1212" i="5"/>
  <c r="N1212" i="5"/>
  <c r="O1212" i="5"/>
  <c r="J1211" i="5"/>
  <c r="K1211" i="5"/>
  <c r="L1211" i="5"/>
  <c r="N1211" i="5"/>
  <c r="O1211" i="5" s="1"/>
  <c r="J1210" i="5"/>
  <c r="K1210" i="5"/>
  <c r="L1210" i="5"/>
  <c r="N1210" i="5"/>
  <c r="O1210" i="5"/>
  <c r="J1209" i="5"/>
  <c r="K1209" i="5"/>
  <c r="L1209" i="5"/>
  <c r="N1209" i="5"/>
  <c r="O1209" i="5" s="1"/>
  <c r="J1208" i="5"/>
  <c r="K1208" i="5"/>
  <c r="L1208" i="5"/>
  <c r="N1208" i="5"/>
  <c r="O1208" i="5"/>
  <c r="J1207" i="5"/>
  <c r="K1207" i="5"/>
  <c r="L1207" i="5"/>
  <c r="N1207" i="5"/>
  <c r="O1207" i="5" s="1"/>
  <c r="J1206" i="5"/>
  <c r="K1206" i="5"/>
  <c r="L1206" i="5"/>
  <c r="N1206" i="5"/>
  <c r="O1206" i="5"/>
  <c r="J1205" i="5"/>
  <c r="K1205" i="5"/>
  <c r="L1205" i="5"/>
  <c r="N1205" i="5"/>
  <c r="O1205" i="5" s="1"/>
  <c r="J1204" i="5"/>
  <c r="K1204" i="5"/>
  <c r="L1204" i="5"/>
  <c r="N1204" i="5"/>
  <c r="O1204" i="5"/>
  <c r="J1203" i="5"/>
  <c r="K1203" i="5"/>
  <c r="L1203" i="5"/>
  <c r="N1203" i="5"/>
  <c r="O1203" i="5" s="1"/>
  <c r="J1202" i="5"/>
  <c r="K1202" i="5"/>
  <c r="L1202" i="5"/>
  <c r="N1202" i="5"/>
  <c r="O1202" i="5"/>
  <c r="J1201" i="5"/>
  <c r="K1201" i="5"/>
  <c r="L1201" i="5"/>
  <c r="N1201" i="5"/>
  <c r="O1201" i="5" s="1"/>
  <c r="J1200" i="5"/>
  <c r="K1200" i="5"/>
  <c r="L1200" i="5"/>
  <c r="N1200" i="5"/>
  <c r="O1200" i="5"/>
  <c r="J1199" i="5"/>
  <c r="K1199" i="5"/>
  <c r="L1199" i="5"/>
  <c r="N1199" i="5"/>
  <c r="O1199" i="5" s="1"/>
  <c r="J1198" i="5"/>
  <c r="K1198" i="5"/>
  <c r="L1198" i="5"/>
  <c r="N1198" i="5"/>
  <c r="O1198" i="5"/>
  <c r="J1197" i="5"/>
  <c r="K1197" i="5"/>
  <c r="L1197" i="5"/>
  <c r="N1197" i="5"/>
  <c r="O1197" i="5" s="1"/>
  <c r="J1196" i="5"/>
  <c r="K1196" i="5"/>
  <c r="L1196" i="5"/>
  <c r="N1196" i="5"/>
  <c r="O1196" i="5"/>
  <c r="J1195" i="5"/>
  <c r="K1195" i="5"/>
  <c r="L1195" i="5"/>
  <c r="N1195" i="5"/>
  <c r="O1195" i="5" s="1"/>
  <c r="J1194" i="5"/>
  <c r="K1194" i="5"/>
  <c r="L1194" i="5"/>
  <c r="N1194" i="5"/>
  <c r="O1194" i="5"/>
  <c r="J1193" i="5"/>
  <c r="K1193" i="5"/>
  <c r="L1193" i="5"/>
  <c r="N1193" i="5"/>
  <c r="O1193" i="5" s="1"/>
  <c r="J1192" i="5"/>
  <c r="K1192" i="5"/>
  <c r="L1192" i="5"/>
  <c r="N1192" i="5"/>
  <c r="O1192" i="5"/>
  <c r="J1191" i="5"/>
  <c r="K1191" i="5"/>
  <c r="L1191" i="5"/>
  <c r="N1191" i="5"/>
  <c r="O1191" i="5" s="1"/>
  <c r="J1190" i="5"/>
  <c r="K1190" i="5"/>
  <c r="L1190" i="5"/>
  <c r="N1190" i="5"/>
  <c r="O1190" i="5"/>
  <c r="J1189" i="5"/>
  <c r="K1189" i="5"/>
  <c r="L1189" i="5"/>
  <c r="N1189" i="5"/>
  <c r="O1189" i="5" s="1"/>
  <c r="J1188" i="5"/>
  <c r="K1188" i="5"/>
  <c r="L1188" i="5"/>
  <c r="N1188" i="5"/>
  <c r="O1188" i="5"/>
  <c r="J1187" i="5"/>
  <c r="K1187" i="5"/>
  <c r="L1187" i="5"/>
  <c r="N1187" i="5"/>
  <c r="O1187" i="5" s="1"/>
  <c r="J1186" i="5"/>
  <c r="K1186" i="5"/>
  <c r="L1186" i="5"/>
  <c r="N1186" i="5"/>
  <c r="O1186" i="5"/>
  <c r="J1185" i="5"/>
  <c r="K1185" i="5"/>
  <c r="L1185" i="5"/>
  <c r="N1185" i="5"/>
  <c r="O1185" i="5" s="1"/>
  <c r="J1184" i="5"/>
  <c r="K1184" i="5"/>
  <c r="L1184" i="5"/>
  <c r="N1184" i="5"/>
  <c r="O1184" i="5"/>
  <c r="J1183" i="5"/>
  <c r="K1183" i="5"/>
  <c r="L1183" i="5"/>
  <c r="N1183" i="5"/>
  <c r="O1183" i="5" s="1"/>
  <c r="J1182" i="5"/>
  <c r="K1182" i="5"/>
  <c r="L1182" i="5"/>
  <c r="N1182" i="5"/>
  <c r="O1182" i="5"/>
  <c r="J1181" i="5"/>
  <c r="K1181" i="5"/>
  <c r="L1181" i="5"/>
  <c r="N1181" i="5"/>
  <c r="O1181" i="5" s="1"/>
  <c r="J1180" i="5"/>
  <c r="K1180" i="5"/>
  <c r="L1180" i="5"/>
  <c r="N1180" i="5"/>
  <c r="O1180" i="5"/>
  <c r="J1179" i="5"/>
  <c r="K1179" i="5"/>
  <c r="L1179" i="5"/>
  <c r="N1179" i="5"/>
  <c r="O1179" i="5" s="1"/>
  <c r="J1178" i="5"/>
  <c r="K1178" i="5"/>
  <c r="L1178" i="5"/>
  <c r="N1178" i="5"/>
  <c r="O1178" i="5"/>
  <c r="J1177" i="5"/>
  <c r="K1177" i="5"/>
  <c r="L1177" i="5"/>
  <c r="N1177" i="5"/>
  <c r="O1177" i="5" s="1"/>
  <c r="J1176" i="5"/>
  <c r="K1176" i="5"/>
  <c r="L1176" i="5"/>
  <c r="N1176" i="5"/>
  <c r="O1176" i="5"/>
  <c r="J1175" i="5"/>
  <c r="K1175" i="5"/>
  <c r="L1175" i="5"/>
  <c r="N1175" i="5"/>
  <c r="O1175" i="5" s="1"/>
  <c r="J1174" i="5"/>
  <c r="K1174" i="5"/>
  <c r="L1174" i="5"/>
  <c r="N1174" i="5"/>
  <c r="O1174" i="5"/>
  <c r="J1173" i="5"/>
  <c r="K1173" i="5"/>
  <c r="L1173" i="5"/>
  <c r="N1173" i="5"/>
  <c r="O1173" i="5" s="1"/>
  <c r="J1172" i="5"/>
  <c r="K1172" i="5"/>
  <c r="L1172" i="5"/>
  <c r="N1172" i="5"/>
  <c r="O1172" i="5"/>
  <c r="J1171" i="5"/>
  <c r="K1171" i="5"/>
  <c r="L1171" i="5"/>
  <c r="N1171" i="5"/>
  <c r="O1171" i="5" s="1"/>
  <c r="J1170" i="5"/>
  <c r="K1170" i="5"/>
  <c r="L1170" i="5"/>
  <c r="N1170" i="5"/>
  <c r="O1170" i="5"/>
  <c r="J1169" i="5"/>
  <c r="K1169" i="5"/>
  <c r="L1169" i="5"/>
  <c r="N1169" i="5"/>
  <c r="O1169" i="5" s="1"/>
  <c r="J1168" i="5"/>
  <c r="K1168" i="5"/>
  <c r="L1168" i="5"/>
  <c r="N1168" i="5"/>
  <c r="O1168" i="5"/>
  <c r="J1167" i="5"/>
  <c r="K1167" i="5"/>
  <c r="L1167" i="5"/>
  <c r="N1167" i="5"/>
  <c r="O1167" i="5" s="1"/>
  <c r="J1166" i="5"/>
  <c r="K1166" i="5"/>
  <c r="L1166" i="5"/>
  <c r="N1166" i="5"/>
  <c r="O1166" i="5"/>
  <c r="J1165" i="5"/>
  <c r="K1165" i="5"/>
  <c r="L1165" i="5"/>
  <c r="N1165" i="5"/>
  <c r="O1165" i="5" s="1"/>
  <c r="J1164" i="5"/>
  <c r="K1164" i="5"/>
  <c r="L1164" i="5"/>
  <c r="N1164" i="5"/>
  <c r="O1164" i="5"/>
  <c r="J1163" i="5"/>
  <c r="K1163" i="5"/>
  <c r="L1163" i="5"/>
  <c r="N1163" i="5"/>
  <c r="O1163" i="5" s="1"/>
  <c r="J1162" i="5"/>
  <c r="K1162" i="5"/>
  <c r="L1162" i="5"/>
  <c r="N1162" i="5"/>
  <c r="O1162" i="5"/>
  <c r="J1161" i="5"/>
  <c r="K1161" i="5"/>
  <c r="L1161" i="5"/>
  <c r="N1161" i="5"/>
  <c r="O1161" i="5" s="1"/>
  <c r="J1160" i="5"/>
  <c r="K1160" i="5"/>
  <c r="L1160" i="5"/>
  <c r="N1160" i="5"/>
  <c r="O1160" i="5"/>
  <c r="J1159" i="5"/>
  <c r="K1159" i="5"/>
  <c r="L1159" i="5"/>
  <c r="N1159" i="5"/>
  <c r="O1159" i="5" s="1"/>
  <c r="J1158" i="5"/>
  <c r="K1158" i="5"/>
  <c r="L1158" i="5"/>
  <c r="N1158" i="5"/>
  <c r="O1158" i="5"/>
  <c r="J1157" i="5"/>
  <c r="K1157" i="5"/>
  <c r="L1157" i="5"/>
  <c r="N1157" i="5"/>
  <c r="O1157" i="5" s="1"/>
  <c r="J1156" i="5"/>
  <c r="K1156" i="5"/>
  <c r="L1156" i="5"/>
  <c r="N1156" i="5"/>
  <c r="O1156" i="5"/>
  <c r="J1155" i="5"/>
  <c r="K1155" i="5"/>
  <c r="L1155" i="5"/>
  <c r="N1155" i="5"/>
  <c r="O1155" i="5" s="1"/>
  <c r="J1154" i="5"/>
  <c r="K1154" i="5"/>
  <c r="L1154" i="5"/>
  <c r="N1154" i="5"/>
  <c r="O1154" i="5"/>
  <c r="J1153" i="5"/>
  <c r="K1153" i="5"/>
  <c r="L1153" i="5"/>
  <c r="N1153" i="5"/>
  <c r="O1153" i="5" s="1"/>
  <c r="J1152" i="5"/>
  <c r="K1152" i="5"/>
  <c r="L1152" i="5"/>
  <c r="N1152" i="5"/>
  <c r="O1152" i="5"/>
  <c r="J1151" i="5"/>
  <c r="K1151" i="5"/>
  <c r="L1151" i="5"/>
  <c r="N1151" i="5"/>
  <c r="O1151" i="5" s="1"/>
  <c r="J1150" i="5"/>
  <c r="K1150" i="5"/>
  <c r="L1150" i="5"/>
  <c r="N1150" i="5"/>
  <c r="O1150" i="5"/>
  <c r="J1149" i="5"/>
  <c r="K1149" i="5"/>
  <c r="L1149" i="5"/>
  <c r="N1149" i="5"/>
  <c r="O1149" i="5" s="1"/>
  <c r="J1148" i="5"/>
  <c r="K1148" i="5"/>
  <c r="L1148" i="5"/>
  <c r="N1148" i="5"/>
  <c r="O1148" i="5"/>
  <c r="J1147" i="5"/>
  <c r="K1147" i="5"/>
  <c r="L1147" i="5"/>
  <c r="N1147" i="5"/>
  <c r="O1147" i="5" s="1"/>
  <c r="J1146" i="5"/>
  <c r="K1146" i="5"/>
  <c r="L1146" i="5"/>
  <c r="N1146" i="5"/>
  <c r="O1146" i="5"/>
  <c r="J1145" i="5"/>
  <c r="K1145" i="5"/>
  <c r="L1145" i="5"/>
  <c r="N1145" i="5"/>
  <c r="O1145" i="5" s="1"/>
  <c r="J1144" i="5"/>
  <c r="K1144" i="5"/>
  <c r="L1144" i="5"/>
  <c r="N1144" i="5"/>
  <c r="O1144" i="5" s="1"/>
  <c r="J1143" i="5"/>
  <c r="K1143" i="5"/>
  <c r="L1143" i="5"/>
  <c r="N1143" i="5"/>
  <c r="O1143" i="5" s="1"/>
  <c r="J1142" i="5"/>
  <c r="K1142" i="5"/>
  <c r="L1142" i="5"/>
  <c r="N1142" i="5"/>
  <c r="O1142" i="5" s="1"/>
  <c r="J1141" i="5"/>
  <c r="K1141" i="5"/>
  <c r="L1141" i="5"/>
  <c r="N1141" i="5"/>
  <c r="O1141" i="5" s="1"/>
  <c r="J1140" i="5"/>
  <c r="K1140" i="5"/>
  <c r="L1140" i="5"/>
  <c r="N1140" i="5"/>
  <c r="O1140" i="5" s="1"/>
  <c r="J1139" i="5"/>
  <c r="K1139" i="5"/>
  <c r="L1139" i="5"/>
  <c r="N1139" i="5"/>
  <c r="O1139" i="5" s="1"/>
  <c r="J1138" i="5"/>
  <c r="K1138" i="5"/>
  <c r="L1138" i="5"/>
  <c r="N1138" i="5"/>
  <c r="O1138" i="5" s="1"/>
  <c r="J1137" i="5"/>
  <c r="K1137" i="5"/>
  <c r="L1137" i="5"/>
  <c r="N1137" i="5"/>
  <c r="O1137" i="5" s="1"/>
  <c r="J1136" i="5"/>
  <c r="K1136" i="5"/>
  <c r="L1136" i="5"/>
  <c r="N1136" i="5"/>
  <c r="O1136" i="5" s="1"/>
  <c r="J1135" i="5"/>
  <c r="K1135" i="5"/>
  <c r="L1135" i="5"/>
  <c r="N1135" i="5"/>
  <c r="O1135" i="5" s="1"/>
  <c r="J1134" i="5"/>
  <c r="K1134" i="5"/>
  <c r="L1134" i="5"/>
  <c r="N1134" i="5"/>
  <c r="O1134" i="5" s="1"/>
  <c r="J1133" i="5"/>
  <c r="K1133" i="5"/>
  <c r="L1133" i="5"/>
  <c r="N1133" i="5"/>
  <c r="O1133" i="5" s="1"/>
  <c r="J1132" i="5"/>
  <c r="K1132" i="5"/>
  <c r="L1132" i="5"/>
  <c r="N1132" i="5"/>
  <c r="O1132" i="5" s="1"/>
  <c r="J1131" i="5"/>
  <c r="K1131" i="5"/>
  <c r="L1131" i="5"/>
  <c r="N1131" i="5"/>
  <c r="O1131" i="5" s="1"/>
  <c r="J1130" i="5"/>
  <c r="K1130" i="5"/>
  <c r="L1130" i="5"/>
  <c r="N1130" i="5"/>
  <c r="O1130" i="5" s="1"/>
  <c r="J1129" i="5"/>
  <c r="K1129" i="5"/>
  <c r="L1129" i="5"/>
  <c r="N1129" i="5"/>
  <c r="O1129" i="5" s="1"/>
  <c r="J1128" i="5"/>
  <c r="K1128" i="5"/>
  <c r="L1128" i="5"/>
  <c r="N1128" i="5"/>
  <c r="O1128" i="5" s="1"/>
  <c r="J1127" i="5"/>
  <c r="K1127" i="5"/>
  <c r="L1127" i="5"/>
  <c r="N1127" i="5"/>
  <c r="O1127" i="5" s="1"/>
  <c r="J1126" i="5"/>
  <c r="K1126" i="5"/>
  <c r="L1126" i="5"/>
  <c r="N1126" i="5"/>
  <c r="O1126" i="5" s="1"/>
  <c r="J1125" i="5"/>
  <c r="K1125" i="5"/>
  <c r="L1125" i="5"/>
  <c r="N1125" i="5"/>
  <c r="O1125" i="5" s="1"/>
  <c r="J1124" i="5"/>
  <c r="K1124" i="5"/>
  <c r="L1124" i="5"/>
  <c r="N1124" i="5"/>
  <c r="O1124" i="5" s="1"/>
  <c r="J1123" i="5"/>
  <c r="K1123" i="5"/>
  <c r="L1123" i="5"/>
  <c r="N1123" i="5"/>
  <c r="O1123" i="5" s="1"/>
  <c r="J1122" i="5"/>
  <c r="K1122" i="5"/>
  <c r="L1122" i="5"/>
  <c r="N1122" i="5"/>
  <c r="O1122" i="5" s="1"/>
  <c r="J1121" i="5"/>
  <c r="K1121" i="5"/>
  <c r="L1121" i="5"/>
  <c r="N1121" i="5"/>
  <c r="O1121" i="5" s="1"/>
  <c r="J1120" i="5"/>
  <c r="K1120" i="5"/>
  <c r="L1120" i="5"/>
  <c r="N1120" i="5"/>
  <c r="O1120" i="5" s="1"/>
  <c r="J1119" i="5"/>
  <c r="K1119" i="5"/>
  <c r="L1119" i="5"/>
  <c r="N1119" i="5"/>
  <c r="O1119" i="5" s="1"/>
  <c r="J1118" i="5"/>
  <c r="K1118" i="5"/>
  <c r="L1118" i="5"/>
  <c r="N1118" i="5"/>
  <c r="O1118" i="5" s="1"/>
  <c r="J1117" i="5"/>
  <c r="K1117" i="5"/>
  <c r="L1117" i="5"/>
  <c r="N1117" i="5"/>
  <c r="O1117" i="5" s="1"/>
  <c r="J1116" i="5"/>
  <c r="K1116" i="5"/>
  <c r="L1116" i="5"/>
  <c r="N1116" i="5"/>
  <c r="O1116" i="5"/>
  <c r="J1115" i="5"/>
  <c r="K1115" i="5"/>
  <c r="L1115" i="5"/>
  <c r="N1115" i="5"/>
  <c r="O1115" i="5" s="1"/>
  <c r="J1114" i="5"/>
  <c r="K1114" i="5"/>
  <c r="L1114" i="5"/>
  <c r="N1114" i="5"/>
  <c r="O1114" i="5" s="1"/>
  <c r="J1113" i="5"/>
  <c r="K1113" i="5"/>
  <c r="L1113" i="5"/>
  <c r="N1113" i="5"/>
  <c r="O1113" i="5" s="1"/>
  <c r="J1112" i="5"/>
  <c r="K1112" i="5"/>
  <c r="L1112" i="5"/>
  <c r="N1112" i="5"/>
  <c r="O1112" i="5" s="1"/>
  <c r="J1111" i="5"/>
  <c r="K1111" i="5"/>
  <c r="L1111" i="5"/>
  <c r="N1111" i="5"/>
  <c r="O1111" i="5" s="1"/>
  <c r="J1110" i="5"/>
  <c r="K1110" i="5"/>
  <c r="L1110" i="5"/>
  <c r="N1110" i="5"/>
  <c r="O1110" i="5"/>
  <c r="J1109" i="5"/>
  <c r="K1109" i="5"/>
  <c r="L1109" i="5"/>
  <c r="N1109" i="5"/>
  <c r="O1109" i="5" s="1"/>
  <c r="J1108" i="5"/>
  <c r="K1108" i="5"/>
  <c r="L1108" i="5"/>
  <c r="N1108" i="5"/>
  <c r="O1108" i="5" s="1"/>
  <c r="J1107" i="5"/>
  <c r="K1107" i="5"/>
  <c r="L1107" i="5"/>
  <c r="N1107" i="5"/>
  <c r="O1107" i="5" s="1"/>
  <c r="J1106" i="5"/>
  <c r="K1106" i="5"/>
  <c r="L1106" i="5"/>
  <c r="N1106" i="5"/>
  <c r="O1106" i="5" s="1"/>
  <c r="J1105" i="5"/>
  <c r="K1105" i="5"/>
  <c r="L1105" i="5"/>
  <c r="N1105" i="5"/>
  <c r="O1105" i="5" s="1"/>
  <c r="J1104" i="5"/>
  <c r="K1104" i="5"/>
  <c r="L1104" i="5"/>
  <c r="N1104" i="5"/>
  <c r="O1104" i="5"/>
  <c r="J1103" i="5"/>
  <c r="K1103" i="5"/>
  <c r="L1103" i="5"/>
  <c r="N1103" i="5"/>
  <c r="O1103" i="5" s="1"/>
  <c r="J1102" i="5"/>
  <c r="K1102" i="5"/>
  <c r="L1102" i="5"/>
  <c r="N1102" i="5"/>
  <c r="O1102" i="5" s="1"/>
  <c r="J1101" i="5"/>
  <c r="K1101" i="5"/>
  <c r="L1101" i="5"/>
  <c r="N1101" i="5"/>
  <c r="O1101" i="5" s="1"/>
  <c r="J1100" i="5"/>
  <c r="K1100" i="5"/>
  <c r="L1100" i="5"/>
  <c r="N1100" i="5"/>
  <c r="O1100" i="5" s="1"/>
  <c r="J1099" i="5"/>
  <c r="K1099" i="5"/>
  <c r="L1099" i="5"/>
  <c r="N1099" i="5"/>
  <c r="O1099" i="5" s="1"/>
  <c r="J1098" i="5"/>
  <c r="K1098" i="5"/>
  <c r="L1098" i="5"/>
  <c r="N1098" i="5"/>
  <c r="O1098" i="5"/>
  <c r="J1097" i="5"/>
  <c r="K1097" i="5"/>
  <c r="L1097" i="5"/>
  <c r="N1097" i="5"/>
  <c r="O1097" i="5" s="1"/>
  <c r="J1096" i="5"/>
  <c r="K1096" i="5"/>
  <c r="L1096" i="5"/>
  <c r="N1096" i="5"/>
  <c r="O1096" i="5" s="1"/>
  <c r="J1095" i="5"/>
  <c r="K1095" i="5"/>
  <c r="L1095" i="5"/>
  <c r="N1095" i="5"/>
  <c r="O1095" i="5" s="1"/>
  <c r="J1094" i="5"/>
  <c r="K1094" i="5"/>
  <c r="L1094" i="5"/>
  <c r="N1094" i="5"/>
  <c r="O1094" i="5" s="1"/>
  <c r="J1093" i="5"/>
  <c r="K1093" i="5"/>
  <c r="L1093" i="5"/>
  <c r="N1093" i="5"/>
  <c r="O1093" i="5" s="1"/>
  <c r="J1092" i="5"/>
  <c r="K1092" i="5"/>
  <c r="L1092" i="5"/>
  <c r="N1092" i="5"/>
  <c r="O1092" i="5"/>
  <c r="J1091" i="5"/>
  <c r="K1091" i="5"/>
  <c r="L1091" i="5"/>
  <c r="N1091" i="5"/>
  <c r="O1091" i="5" s="1"/>
  <c r="J1090" i="5"/>
  <c r="K1090" i="5"/>
  <c r="L1090" i="5"/>
  <c r="N1090" i="5"/>
  <c r="O1090" i="5" s="1"/>
  <c r="J1089" i="5"/>
  <c r="K1089" i="5"/>
  <c r="L1089" i="5"/>
  <c r="N1089" i="5"/>
  <c r="O1089" i="5" s="1"/>
  <c r="J1088" i="5"/>
  <c r="K1088" i="5"/>
  <c r="L1088" i="5"/>
  <c r="N1088" i="5"/>
  <c r="O1088" i="5" s="1"/>
  <c r="J1087" i="5"/>
  <c r="K1087" i="5"/>
  <c r="L1087" i="5"/>
  <c r="N1087" i="5"/>
  <c r="O1087" i="5" s="1"/>
  <c r="J1086" i="5"/>
  <c r="K1086" i="5"/>
  <c r="L1086" i="5"/>
  <c r="N1086" i="5"/>
  <c r="O1086" i="5"/>
  <c r="J1085" i="5"/>
  <c r="K1085" i="5"/>
  <c r="L1085" i="5"/>
  <c r="N1085" i="5"/>
  <c r="O1085" i="5" s="1"/>
  <c r="J1084" i="5"/>
  <c r="K1084" i="5"/>
  <c r="L1084" i="5"/>
  <c r="N1084" i="5"/>
  <c r="O1084" i="5" s="1"/>
  <c r="J1083" i="5"/>
  <c r="K1083" i="5"/>
  <c r="L1083" i="5"/>
  <c r="N1083" i="5"/>
  <c r="O1083" i="5" s="1"/>
  <c r="J1082" i="5"/>
  <c r="K1082" i="5"/>
  <c r="L1082" i="5"/>
  <c r="N1082" i="5"/>
  <c r="O1082" i="5" s="1"/>
  <c r="J1081" i="5"/>
  <c r="K1081" i="5"/>
  <c r="L1081" i="5"/>
  <c r="N1081" i="5"/>
  <c r="O1081" i="5" s="1"/>
  <c r="J1080" i="5"/>
  <c r="K1080" i="5"/>
  <c r="L1080" i="5"/>
  <c r="N1080" i="5"/>
  <c r="O1080" i="5"/>
  <c r="J1079" i="5"/>
  <c r="K1079" i="5"/>
  <c r="L1079" i="5"/>
  <c r="N1079" i="5"/>
  <c r="O1079" i="5" s="1"/>
  <c r="J1078" i="5"/>
  <c r="K1078" i="5"/>
  <c r="L1078" i="5"/>
  <c r="N1078" i="5"/>
  <c r="O1078" i="5" s="1"/>
  <c r="J1077" i="5"/>
  <c r="K1077" i="5"/>
  <c r="L1077" i="5"/>
  <c r="N1077" i="5"/>
  <c r="O1077" i="5" s="1"/>
  <c r="J1076" i="5"/>
  <c r="K1076" i="5"/>
  <c r="L1076" i="5"/>
  <c r="N1076" i="5"/>
  <c r="O1076" i="5" s="1"/>
  <c r="J1075" i="5"/>
  <c r="K1075" i="5"/>
  <c r="L1075" i="5"/>
  <c r="N1075" i="5"/>
  <c r="O1075" i="5" s="1"/>
  <c r="J1074" i="5"/>
  <c r="K1074" i="5"/>
  <c r="L1074" i="5"/>
  <c r="N1074" i="5"/>
  <c r="O1074" i="5"/>
  <c r="J1073" i="5"/>
  <c r="K1073" i="5"/>
  <c r="L1073" i="5"/>
  <c r="N1073" i="5"/>
  <c r="O1073" i="5" s="1"/>
  <c r="J1072" i="5"/>
  <c r="K1072" i="5"/>
  <c r="L1072" i="5"/>
  <c r="N1072" i="5"/>
  <c r="O1072" i="5" s="1"/>
  <c r="J1071" i="5"/>
  <c r="K1071" i="5"/>
  <c r="L1071" i="5"/>
  <c r="N1071" i="5"/>
  <c r="O1071" i="5" s="1"/>
  <c r="J1070" i="5"/>
  <c r="K1070" i="5"/>
  <c r="L1070" i="5"/>
  <c r="N1070" i="5"/>
  <c r="O1070" i="5" s="1"/>
  <c r="J1069" i="5"/>
  <c r="K1069" i="5"/>
  <c r="L1069" i="5"/>
  <c r="N1069" i="5"/>
  <c r="O1069" i="5" s="1"/>
  <c r="J1068" i="5"/>
  <c r="K1068" i="5"/>
  <c r="L1068" i="5"/>
  <c r="N1068" i="5"/>
  <c r="O1068" i="5"/>
  <c r="J1067" i="5"/>
  <c r="K1067" i="5"/>
  <c r="L1067" i="5"/>
  <c r="N1067" i="5"/>
  <c r="O1067" i="5" s="1"/>
  <c r="J1066" i="5"/>
  <c r="K1066" i="5"/>
  <c r="L1066" i="5"/>
  <c r="N1066" i="5"/>
  <c r="O1066" i="5" s="1"/>
  <c r="J1065" i="5"/>
  <c r="K1065" i="5"/>
  <c r="L1065" i="5"/>
  <c r="N1065" i="5"/>
  <c r="O1065" i="5" s="1"/>
  <c r="J1064" i="5"/>
  <c r="K1064" i="5"/>
  <c r="L1064" i="5"/>
  <c r="N1064" i="5"/>
  <c r="O1064" i="5" s="1"/>
  <c r="J1063" i="5"/>
  <c r="K1063" i="5"/>
  <c r="L1063" i="5"/>
  <c r="N1063" i="5"/>
  <c r="O1063" i="5" s="1"/>
  <c r="J1062" i="5"/>
  <c r="K1062" i="5"/>
  <c r="L1062" i="5"/>
  <c r="N1062" i="5"/>
  <c r="O1062" i="5"/>
  <c r="J1061" i="5"/>
  <c r="K1061" i="5"/>
  <c r="L1061" i="5"/>
  <c r="N1061" i="5"/>
  <c r="O1061" i="5" s="1"/>
  <c r="J1060" i="5"/>
  <c r="K1060" i="5"/>
  <c r="L1060" i="5"/>
  <c r="N1060" i="5"/>
  <c r="O1060" i="5" s="1"/>
  <c r="J1059" i="5"/>
  <c r="K1059" i="5"/>
  <c r="L1059" i="5"/>
  <c r="N1059" i="5"/>
  <c r="O1059" i="5" s="1"/>
  <c r="J1058" i="5"/>
  <c r="K1058" i="5"/>
  <c r="L1058" i="5"/>
  <c r="N1058" i="5"/>
  <c r="O1058" i="5" s="1"/>
  <c r="J1057" i="5"/>
  <c r="K1057" i="5"/>
  <c r="L1057" i="5"/>
  <c r="N1057" i="5"/>
  <c r="O1057" i="5" s="1"/>
  <c r="J1056" i="5"/>
  <c r="K1056" i="5"/>
  <c r="L1056" i="5"/>
  <c r="N1056" i="5"/>
  <c r="O1056" i="5"/>
  <c r="J1055" i="5"/>
  <c r="K1055" i="5"/>
  <c r="L1055" i="5"/>
  <c r="N1055" i="5"/>
  <c r="O1055" i="5" s="1"/>
  <c r="J1054" i="5"/>
  <c r="K1054" i="5"/>
  <c r="L1054" i="5"/>
  <c r="N1054" i="5"/>
  <c r="O1054" i="5" s="1"/>
  <c r="J1053" i="5"/>
  <c r="K1053" i="5"/>
  <c r="L1053" i="5"/>
  <c r="N1053" i="5"/>
  <c r="O1053" i="5" s="1"/>
  <c r="J1052" i="5"/>
  <c r="K1052" i="5"/>
  <c r="L1052" i="5"/>
  <c r="N1052" i="5"/>
  <c r="O1052" i="5" s="1"/>
  <c r="J1051" i="5"/>
  <c r="K1051" i="5"/>
  <c r="L1051" i="5"/>
  <c r="N1051" i="5"/>
  <c r="O1051" i="5" s="1"/>
  <c r="J1050" i="5"/>
  <c r="K1050" i="5"/>
  <c r="L1050" i="5"/>
  <c r="N1050" i="5"/>
  <c r="O1050" i="5"/>
  <c r="J1049" i="5"/>
  <c r="K1049" i="5"/>
  <c r="L1049" i="5"/>
  <c r="N1049" i="5"/>
  <c r="O1049" i="5" s="1"/>
  <c r="J1048" i="5"/>
  <c r="K1048" i="5"/>
  <c r="L1048" i="5"/>
  <c r="N1048" i="5"/>
  <c r="O1048" i="5" s="1"/>
  <c r="J1047" i="5"/>
  <c r="K1047" i="5"/>
  <c r="L1047" i="5"/>
  <c r="N1047" i="5"/>
  <c r="O1047" i="5" s="1"/>
  <c r="J1046" i="5"/>
  <c r="K1046" i="5"/>
  <c r="L1046" i="5"/>
  <c r="N1046" i="5"/>
  <c r="O1046" i="5" s="1"/>
  <c r="J1045" i="5"/>
  <c r="K1045" i="5"/>
  <c r="L1045" i="5"/>
  <c r="N1045" i="5"/>
  <c r="O1045" i="5" s="1"/>
  <c r="J1044" i="5"/>
  <c r="K1044" i="5"/>
  <c r="L1044" i="5"/>
  <c r="N1044" i="5"/>
  <c r="O1044" i="5"/>
  <c r="J1043" i="5"/>
  <c r="K1043" i="5"/>
  <c r="L1043" i="5"/>
  <c r="N1043" i="5"/>
  <c r="O1043" i="5" s="1"/>
  <c r="J1042" i="5"/>
  <c r="K1042" i="5"/>
  <c r="L1042" i="5"/>
  <c r="N1042" i="5"/>
  <c r="O1042" i="5" s="1"/>
  <c r="J1041" i="5"/>
  <c r="K1041" i="5"/>
  <c r="L1041" i="5"/>
  <c r="N1041" i="5"/>
  <c r="O1041" i="5" s="1"/>
  <c r="J1040" i="5"/>
  <c r="K1040" i="5"/>
  <c r="L1040" i="5"/>
  <c r="N1040" i="5"/>
  <c r="O1040" i="5"/>
  <c r="J1039" i="5"/>
  <c r="K1039" i="5"/>
  <c r="L1039" i="5"/>
  <c r="N1039" i="5"/>
  <c r="O1039" i="5" s="1"/>
  <c r="J1038" i="5"/>
  <c r="K1038" i="5"/>
  <c r="L1038" i="5"/>
  <c r="N1038" i="5"/>
  <c r="O1038" i="5"/>
  <c r="J1037" i="5"/>
  <c r="K1037" i="5"/>
  <c r="L1037" i="5"/>
  <c r="N1037" i="5"/>
  <c r="O1037" i="5" s="1"/>
  <c r="J1036" i="5"/>
  <c r="K1036" i="5"/>
  <c r="L1036" i="5"/>
  <c r="N1036" i="5"/>
  <c r="O1036" i="5" s="1"/>
  <c r="J1035" i="5"/>
  <c r="K1035" i="5"/>
  <c r="L1035" i="5"/>
  <c r="N1035" i="5"/>
  <c r="O1035" i="5" s="1"/>
  <c r="J1034" i="5"/>
  <c r="K1034" i="5"/>
  <c r="L1034" i="5"/>
  <c r="N1034" i="5"/>
  <c r="O1034" i="5" s="1"/>
  <c r="J1033" i="5"/>
  <c r="K1033" i="5"/>
  <c r="L1033" i="5"/>
  <c r="N1033" i="5"/>
  <c r="O1033" i="5" s="1"/>
  <c r="J1032" i="5"/>
  <c r="K1032" i="5"/>
  <c r="L1032" i="5"/>
  <c r="N1032" i="5"/>
  <c r="O1032" i="5"/>
  <c r="J1031" i="5"/>
  <c r="K1031" i="5"/>
  <c r="L1031" i="5"/>
  <c r="N1031" i="5"/>
  <c r="O1031" i="5" s="1"/>
  <c r="J1030" i="5"/>
  <c r="K1030" i="5"/>
  <c r="L1030" i="5"/>
  <c r="N1030" i="5"/>
  <c r="O1030" i="5" s="1"/>
  <c r="J1029" i="5"/>
  <c r="K1029" i="5"/>
  <c r="L1029" i="5"/>
  <c r="N1029" i="5"/>
  <c r="O1029" i="5" s="1"/>
  <c r="J1028" i="5"/>
  <c r="K1028" i="5"/>
  <c r="L1028" i="5"/>
  <c r="N1028" i="5"/>
  <c r="O1028" i="5" s="1"/>
  <c r="J1027" i="5"/>
  <c r="K1027" i="5"/>
  <c r="L1027" i="5"/>
  <c r="N1027" i="5"/>
  <c r="O1027" i="5" s="1"/>
  <c r="J1026" i="5"/>
  <c r="K1026" i="5"/>
  <c r="L1026" i="5"/>
  <c r="N1026" i="5"/>
  <c r="O1026" i="5"/>
  <c r="J1025" i="5"/>
  <c r="K1025" i="5"/>
  <c r="L1025" i="5"/>
  <c r="N1025" i="5"/>
  <c r="O1025" i="5" s="1"/>
  <c r="J1024" i="5"/>
  <c r="K1024" i="5"/>
  <c r="L1024" i="5"/>
  <c r="N1024" i="5"/>
  <c r="O1024" i="5" s="1"/>
  <c r="J1023" i="5"/>
  <c r="K1023" i="5"/>
  <c r="L1023" i="5"/>
  <c r="N1023" i="5"/>
  <c r="O1023" i="5" s="1"/>
  <c r="J1022" i="5"/>
  <c r="K1022" i="5"/>
  <c r="L1022" i="5"/>
  <c r="N1022" i="5"/>
  <c r="O1022" i="5" s="1"/>
  <c r="J1021" i="5"/>
  <c r="K1021" i="5"/>
  <c r="L1021" i="5"/>
  <c r="N1021" i="5"/>
  <c r="O1021" i="5" s="1"/>
  <c r="J1020" i="5"/>
  <c r="K1020" i="5"/>
  <c r="L1020" i="5"/>
  <c r="N1020" i="5"/>
  <c r="O1020" i="5"/>
  <c r="J1019" i="5"/>
  <c r="K1019" i="5"/>
  <c r="L1019" i="5"/>
  <c r="N1019" i="5"/>
  <c r="O1019" i="5" s="1"/>
  <c r="J1018" i="5"/>
  <c r="K1018" i="5"/>
  <c r="L1018" i="5"/>
  <c r="N1018" i="5"/>
  <c r="O1018" i="5" s="1"/>
  <c r="J1017" i="5"/>
  <c r="K1017" i="5"/>
  <c r="L1017" i="5"/>
  <c r="N1017" i="5"/>
  <c r="O1017" i="5" s="1"/>
  <c r="J1016" i="5"/>
  <c r="K1016" i="5"/>
  <c r="L1016" i="5"/>
  <c r="N1016" i="5"/>
  <c r="O1016" i="5"/>
  <c r="J1015" i="5"/>
  <c r="K1015" i="5"/>
  <c r="L1015" i="5"/>
  <c r="N1015" i="5"/>
  <c r="O1015" i="5" s="1"/>
  <c r="J1014" i="5"/>
  <c r="K1014" i="5"/>
  <c r="L1014" i="5"/>
  <c r="N1014" i="5"/>
  <c r="O1014" i="5"/>
  <c r="J1013" i="5"/>
  <c r="K1013" i="5"/>
  <c r="L1013" i="5"/>
  <c r="N1013" i="5"/>
  <c r="O1013" i="5" s="1"/>
  <c r="J1012" i="5"/>
  <c r="K1012" i="5"/>
  <c r="L1012" i="5"/>
  <c r="N1012" i="5"/>
  <c r="O1012" i="5" s="1"/>
  <c r="J1011" i="5"/>
  <c r="K1011" i="5"/>
  <c r="L1011" i="5"/>
  <c r="N1011" i="5"/>
  <c r="O1011" i="5" s="1"/>
  <c r="J1010" i="5"/>
  <c r="K1010" i="5"/>
  <c r="L1010" i="5"/>
  <c r="N1010" i="5"/>
  <c r="O1010" i="5" s="1"/>
  <c r="J1009" i="5"/>
  <c r="K1009" i="5"/>
  <c r="L1009" i="5"/>
  <c r="N1009" i="5"/>
  <c r="O1009" i="5" s="1"/>
  <c r="J1008" i="5"/>
  <c r="K1008" i="5"/>
  <c r="L1008" i="5"/>
  <c r="N1008" i="5"/>
  <c r="O1008" i="5"/>
  <c r="J1007" i="5"/>
  <c r="K1007" i="5"/>
  <c r="L1007" i="5"/>
  <c r="N1007" i="5"/>
  <c r="O1007" i="5" s="1"/>
  <c r="J1006" i="5"/>
  <c r="K1006" i="5"/>
  <c r="L1006" i="5"/>
  <c r="N1006" i="5"/>
  <c r="O1006" i="5" s="1"/>
  <c r="J1005" i="5"/>
  <c r="K1005" i="5"/>
  <c r="L1005" i="5"/>
  <c r="N1005" i="5"/>
  <c r="O1005" i="5" s="1"/>
  <c r="J1004" i="5"/>
  <c r="K1004" i="5"/>
  <c r="L1004" i="5"/>
  <c r="N1004" i="5"/>
  <c r="O1004" i="5" s="1"/>
  <c r="J1003" i="5"/>
  <c r="K1003" i="5"/>
  <c r="L1003" i="5"/>
  <c r="N1003" i="5"/>
  <c r="O1003" i="5" s="1"/>
  <c r="J1002" i="5"/>
  <c r="K1002" i="5"/>
  <c r="L1002" i="5"/>
  <c r="N1002" i="5"/>
  <c r="O1002" i="5"/>
  <c r="J1001" i="5"/>
  <c r="K1001" i="5"/>
  <c r="L1001" i="5"/>
  <c r="N1001" i="5"/>
  <c r="O1001" i="5" s="1"/>
  <c r="J1000" i="5"/>
  <c r="K1000" i="5"/>
  <c r="L1000" i="5"/>
  <c r="N1000" i="5"/>
  <c r="O1000" i="5" s="1"/>
  <c r="J999" i="5"/>
  <c r="K999" i="5"/>
  <c r="L999" i="5"/>
  <c r="N999" i="5"/>
  <c r="O999" i="5" s="1"/>
  <c r="J998" i="5"/>
  <c r="K998" i="5"/>
  <c r="L998" i="5"/>
  <c r="N998" i="5"/>
  <c r="O998" i="5" s="1"/>
  <c r="J997" i="5"/>
  <c r="K997" i="5"/>
  <c r="L997" i="5"/>
  <c r="N997" i="5"/>
  <c r="O997" i="5" s="1"/>
  <c r="J996" i="5"/>
  <c r="K996" i="5"/>
  <c r="L996" i="5"/>
  <c r="N996" i="5"/>
  <c r="O996" i="5"/>
  <c r="J995" i="5"/>
  <c r="K995" i="5"/>
  <c r="L995" i="5"/>
  <c r="N995" i="5"/>
  <c r="O995" i="5" s="1"/>
  <c r="J994" i="5"/>
  <c r="K994" i="5"/>
  <c r="L994" i="5"/>
  <c r="N994" i="5"/>
  <c r="O994" i="5" s="1"/>
  <c r="J993" i="5"/>
  <c r="K993" i="5"/>
  <c r="L993" i="5"/>
  <c r="N993" i="5"/>
  <c r="O993" i="5" s="1"/>
  <c r="J992" i="5"/>
  <c r="K992" i="5"/>
  <c r="L992" i="5"/>
  <c r="N992" i="5"/>
  <c r="O992" i="5"/>
  <c r="J991" i="5"/>
  <c r="K991" i="5"/>
  <c r="L991" i="5"/>
  <c r="N991" i="5"/>
  <c r="O991" i="5" s="1"/>
  <c r="J990" i="5"/>
  <c r="K990" i="5"/>
  <c r="L990" i="5"/>
  <c r="N990" i="5"/>
  <c r="O990" i="5"/>
  <c r="J989" i="5"/>
  <c r="K989" i="5"/>
  <c r="L989" i="5"/>
  <c r="N989" i="5"/>
  <c r="O989" i="5" s="1"/>
  <c r="J988" i="5"/>
  <c r="K988" i="5"/>
  <c r="L988" i="5"/>
  <c r="N988" i="5"/>
  <c r="O988" i="5" s="1"/>
  <c r="J987" i="5"/>
  <c r="K987" i="5"/>
  <c r="L987" i="5"/>
  <c r="N987" i="5"/>
  <c r="O987" i="5" s="1"/>
  <c r="J986" i="5"/>
  <c r="K986" i="5"/>
  <c r="L986" i="5"/>
  <c r="N986" i="5"/>
  <c r="O986" i="5" s="1"/>
  <c r="J985" i="5"/>
  <c r="K985" i="5"/>
  <c r="L985" i="5"/>
  <c r="N985" i="5"/>
  <c r="O985" i="5" s="1"/>
  <c r="J984" i="5"/>
  <c r="K984" i="5"/>
  <c r="L984" i="5"/>
  <c r="N984" i="5"/>
  <c r="O984" i="5"/>
  <c r="J983" i="5"/>
  <c r="K983" i="5"/>
  <c r="L983" i="5"/>
  <c r="N983" i="5"/>
  <c r="O983" i="5" s="1"/>
  <c r="J982" i="5"/>
  <c r="K982" i="5"/>
  <c r="L982" i="5"/>
  <c r="N982" i="5"/>
  <c r="O982" i="5" s="1"/>
  <c r="J981" i="5"/>
  <c r="K981" i="5"/>
  <c r="L981" i="5"/>
  <c r="N981" i="5"/>
  <c r="O981" i="5" s="1"/>
  <c r="J980" i="5"/>
  <c r="K980" i="5"/>
  <c r="L980" i="5"/>
  <c r="N980" i="5"/>
  <c r="O980" i="5" s="1"/>
  <c r="J979" i="5"/>
  <c r="K979" i="5"/>
  <c r="L979" i="5"/>
  <c r="N979" i="5"/>
  <c r="O979" i="5" s="1"/>
  <c r="J978" i="5"/>
  <c r="K978" i="5"/>
  <c r="L978" i="5"/>
  <c r="N978" i="5"/>
  <c r="O978" i="5"/>
  <c r="J977" i="5"/>
  <c r="K977" i="5"/>
  <c r="L977" i="5"/>
  <c r="N977" i="5"/>
  <c r="O977" i="5" s="1"/>
  <c r="J976" i="5"/>
  <c r="K976" i="5"/>
  <c r="L976" i="5"/>
  <c r="N976" i="5"/>
  <c r="O976" i="5"/>
  <c r="J975" i="5"/>
  <c r="K975" i="5"/>
  <c r="L975" i="5"/>
  <c r="N975" i="5"/>
  <c r="O975" i="5" s="1"/>
  <c r="J974" i="5"/>
  <c r="K974" i="5"/>
  <c r="L974" i="5"/>
  <c r="N974" i="5"/>
  <c r="O974" i="5" s="1"/>
  <c r="J973" i="5"/>
  <c r="K973" i="5"/>
  <c r="L973" i="5"/>
  <c r="N973" i="5"/>
  <c r="O973" i="5" s="1"/>
  <c r="J972" i="5"/>
  <c r="K972" i="5"/>
  <c r="L972" i="5"/>
  <c r="N972" i="5"/>
  <c r="O972" i="5"/>
  <c r="J971" i="5"/>
  <c r="K971" i="5"/>
  <c r="L971" i="5"/>
  <c r="N971" i="5"/>
  <c r="O971" i="5" s="1"/>
  <c r="J970" i="5"/>
  <c r="K970" i="5"/>
  <c r="L970" i="5"/>
  <c r="N970" i="5"/>
  <c r="O970" i="5" s="1"/>
  <c r="J969" i="5"/>
  <c r="K969" i="5"/>
  <c r="L969" i="5"/>
  <c r="N969" i="5"/>
  <c r="O969" i="5" s="1"/>
  <c r="J968" i="5"/>
  <c r="K968" i="5"/>
  <c r="L968" i="5"/>
  <c r="N968" i="5"/>
  <c r="O968" i="5"/>
  <c r="J967" i="5"/>
  <c r="K967" i="5"/>
  <c r="L967" i="5"/>
  <c r="N967" i="5"/>
  <c r="O967" i="5" s="1"/>
  <c r="J966" i="5"/>
  <c r="K966" i="5"/>
  <c r="L966" i="5"/>
  <c r="N966" i="5"/>
  <c r="O966" i="5"/>
  <c r="J965" i="5"/>
  <c r="K965" i="5"/>
  <c r="L965" i="5"/>
  <c r="N965" i="5"/>
  <c r="O965" i="5" s="1"/>
  <c r="J964" i="5"/>
  <c r="K964" i="5"/>
  <c r="L964" i="5"/>
  <c r="N964" i="5"/>
  <c r="O964" i="5" s="1"/>
  <c r="J963" i="5"/>
  <c r="K963" i="5"/>
  <c r="L963" i="5"/>
  <c r="N963" i="5"/>
  <c r="O963" i="5" s="1"/>
  <c r="J962" i="5"/>
  <c r="K962" i="5"/>
  <c r="L962" i="5"/>
  <c r="N962" i="5"/>
  <c r="O962" i="5" s="1"/>
  <c r="J961" i="5"/>
  <c r="K961" i="5"/>
  <c r="L961" i="5"/>
  <c r="N961" i="5"/>
  <c r="O961" i="5" s="1"/>
  <c r="J960" i="5"/>
  <c r="K960" i="5"/>
  <c r="L960" i="5"/>
  <c r="N960" i="5"/>
  <c r="O960" i="5"/>
  <c r="J959" i="5"/>
  <c r="K959" i="5"/>
  <c r="L959" i="5"/>
  <c r="N959" i="5"/>
  <c r="O959" i="5" s="1"/>
  <c r="J958" i="5"/>
  <c r="K958" i="5"/>
  <c r="L958" i="5"/>
  <c r="N958" i="5"/>
  <c r="O958" i="5" s="1"/>
  <c r="J957" i="5"/>
  <c r="K957" i="5"/>
  <c r="L957" i="5"/>
  <c r="N957" i="5"/>
  <c r="O957" i="5" s="1"/>
  <c r="J956" i="5"/>
  <c r="K956" i="5"/>
  <c r="L956" i="5"/>
  <c r="N956" i="5"/>
  <c r="O956" i="5" s="1"/>
  <c r="J955" i="5"/>
  <c r="K955" i="5"/>
  <c r="L955" i="5"/>
  <c r="N955" i="5"/>
  <c r="O955" i="5" s="1"/>
  <c r="J954" i="5"/>
  <c r="K954" i="5"/>
  <c r="L954" i="5"/>
  <c r="N954" i="5"/>
  <c r="O954" i="5"/>
  <c r="J953" i="5"/>
  <c r="K953" i="5"/>
  <c r="L953" i="5"/>
  <c r="N953" i="5"/>
  <c r="O953" i="5" s="1"/>
  <c r="J952" i="5"/>
  <c r="K952" i="5"/>
  <c r="L952" i="5"/>
  <c r="N952" i="5"/>
  <c r="O952" i="5"/>
  <c r="J951" i="5"/>
  <c r="K951" i="5"/>
  <c r="L951" i="5"/>
  <c r="N951" i="5"/>
  <c r="O951" i="5" s="1"/>
  <c r="J950" i="5"/>
  <c r="K950" i="5"/>
  <c r="L950" i="5"/>
  <c r="N950" i="5"/>
  <c r="O950" i="5" s="1"/>
  <c r="J949" i="5"/>
  <c r="K949" i="5"/>
  <c r="L949" i="5"/>
  <c r="N949" i="5"/>
  <c r="O949" i="5" s="1"/>
  <c r="J948" i="5"/>
  <c r="K948" i="5"/>
  <c r="L948" i="5"/>
  <c r="N948" i="5"/>
  <c r="O948" i="5"/>
  <c r="J947" i="5"/>
  <c r="K947" i="5"/>
  <c r="L947" i="5"/>
  <c r="N947" i="5"/>
  <c r="O947" i="5" s="1"/>
  <c r="J946" i="5"/>
  <c r="K946" i="5"/>
  <c r="L946" i="5"/>
  <c r="N946" i="5"/>
  <c r="O946" i="5" s="1"/>
  <c r="J945" i="5"/>
  <c r="K945" i="5"/>
  <c r="L945" i="5"/>
  <c r="N945" i="5"/>
  <c r="O945" i="5" s="1"/>
  <c r="J944" i="5"/>
  <c r="K944" i="5"/>
  <c r="L944" i="5"/>
  <c r="N944" i="5"/>
  <c r="O944" i="5"/>
  <c r="J943" i="5"/>
  <c r="K943" i="5"/>
  <c r="L943" i="5"/>
  <c r="N943" i="5"/>
  <c r="O943" i="5" s="1"/>
  <c r="J942" i="5"/>
  <c r="K942" i="5"/>
  <c r="L942" i="5"/>
  <c r="N942" i="5"/>
  <c r="O942" i="5"/>
  <c r="J941" i="5"/>
  <c r="K941" i="5"/>
  <c r="L941" i="5"/>
  <c r="N941" i="5"/>
  <c r="O941" i="5" s="1"/>
  <c r="J940" i="5"/>
  <c r="K940" i="5"/>
  <c r="L940" i="5"/>
  <c r="N940" i="5"/>
  <c r="O940" i="5" s="1"/>
  <c r="J939" i="5"/>
  <c r="K939" i="5"/>
  <c r="L939" i="5"/>
  <c r="N939" i="5"/>
  <c r="O939" i="5" s="1"/>
  <c r="J938" i="5"/>
  <c r="K938" i="5"/>
  <c r="L938" i="5"/>
  <c r="N938" i="5"/>
  <c r="O938" i="5" s="1"/>
  <c r="J937" i="5"/>
  <c r="K937" i="5"/>
  <c r="L937" i="5"/>
  <c r="N937" i="5"/>
  <c r="O937" i="5" s="1"/>
  <c r="J936" i="5"/>
  <c r="K936" i="5"/>
  <c r="L936" i="5"/>
  <c r="N936" i="5"/>
  <c r="O936" i="5"/>
  <c r="J935" i="5"/>
  <c r="K935" i="5"/>
  <c r="L935" i="5"/>
  <c r="N935" i="5"/>
  <c r="O935" i="5" s="1"/>
  <c r="J934" i="5"/>
  <c r="K934" i="5"/>
  <c r="L934" i="5"/>
  <c r="N934" i="5"/>
  <c r="O934" i="5" s="1"/>
  <c r="J933" i="5"/>
  <c r="K933" i="5"/>
  <c r="L933" i="5"/>
  <c r="N933" i="5"/>
  <c r="O933" i="5" s="1"/>
  <c r="J932" i="5"/>
  <c r="K932" i="5"/>
  <c r="L932" i="5"/>
  <c r="N932" i="5"/>
  <c r="O932" i="5" s="1"/>
  <c r="J931" i="5"/>
  <c r="K931" i="5"/>
  <c r="L931" i="5"/>
  <c r="N931" i="5"/>
  <c r="O931" i="5" s="1"/>
  <c r="J930" i="5"/>
  <c r="K930" i="5"/>
  <c r="L930" i="5"/>
  <c r="N930" i="5"/>
  <c r="O930" i="5"/>
  <c r="J929" i="5"/>
  <c r="K929" i="5"/>
  <c r="L929" i="5"/>
  <c r="N929" i="5"/>
  <c r="O929" i="5" s="1"/>
  <c r="J928" i="5"/>
  <c r="K928" i="5"/>
  <c r="L928" i="5"/>
  <c r="N928" i="5"/>
  <c r="O928" i="5"/>
  <c r="J927" i="5"/>
  <c r="K927" i="5"/>
  <c r="L927" i="5"/>
  <c r="N927" i="5"/>
  <c r="O927" i="5" s="1"/>
  <c r="J926" i="5"/>
  <c r="K926" i="5"/>
  <c r="L926" i="5"/>
  <c r="N926" i="5"/>
  <c r="O926" i="5" s="1"/>
  <c r="J925" i="5"/>
  <c r="K925" i="5"/>
  <c r="L925" i="5"/>
  <c r="N925" i="5"/>
  <c r="O925" i="5" s="1"/>
  <c r="J924" i="5"/>
  <c r="K924" i="5"/>
  <c r="L924" i="5"/>
  <c r="N924" i="5"/>
  <c r="O924" i="5"/>
  <c r="J923" i="5"/>
  <c r="K923" i="5"/>
  <c r="L923" i="5"/>
  <c r="N923" i="5"/>
  <c r="O923" i="5" s="1"/>
  <c r="J922" i="5"/>
  <c r="K922" i="5"/>
  <c r="L922" i="5"/>
  <c r="N922" i="5"/>
  <c r="O922" i="5" s="1"/>
  <c r="J921" i="5"/>
  <c r="K921" i="5"/>
  <c r="L921" i="5"/>
  <c r="N921" i="5"/>
  <c r="O921" i="5" s="1"/>
  <c r="J920" i="5"/>
  <c r="K920" i="5"/>
  <c r="L920" i="5"/>
  <c r="N920" i="5"/>
  <c r="O920" i="5"/>
  <c r="J919" i="5"/>
  <c r="K919" i="5"/>
  <c r="L919" i="5"/>
  <c r="N919" i="5"/>
  <c r="O919" i="5" s="1"/>
  <c r="J918" i="5"/>
  <c r="K918" i="5"/>
  <c r="L918" i="5"/>
  <c r="N918" i="5"/>
  <c r="O918" i="5"/>
  <c r="J917" i="5"/>
  <c r="K917" i="5"/>
  <c r="L917" i="5"/>
  <c r="N917" i="5"/>
  <c r="O917" i="5" s="1"/>
  <c r="J916" i="5"/>
  <c r="K916" i="5"/>
  <c r="L916" i="5"/>
  <c r="N916" i="5"/>
  <c r="O916" i="5" s="1"/>
  <c r="J915" i="5"/>
  <c r="K915" i="5"/>
  <c r="L915" i="5"/>
  <c r="N915" i="5"/>
  <c r="O915" i="5" s="1"/>
  <c r="J914" i="5"/>
  <c r="K914" i="5"/>
  <c r="L914" i="5"/>
  <c r="N914" i="5"/>
  <c r="O914" i="5" s="1"/>
  <c r="J913" i="5"/>
  <c r="K913" i="5"/>
  <c r="L913" i="5"/>
  <c r="N913" i="5"/>
  <c r="O913" i="5" s="1"/>
  <c r="J912" i="5"/>
  <c r="K912" i="5"/>
  <c r="L912" i="5"/>
  <c r="N912" i="5"/>
  <c r="O912" i="5"/>
  <c r="J911" i="5"/>
  <c r="K911" i="5"/>
  <c r="L911" i="5"/>
  <c r="N911" i="5"/>
  <c r="O911" i="5" s="1"/>
  <c r="J910" i="5"/>
  <c r="K910" i="5"/>
  <c r="L910" i="5"/>
  <c r="N910" i="5"/>
  <c r="O910" i="5" s="1"/>
  <c r="J909" i="5"/>
  <c r="K909" i="5"/>
  <c r="L909" i="5"/>
  <c r="N909" i="5"/>
  <c r="O909" i="5" s="1"/>
  <c r="J908" i="5"/>
  <c r="K908" i="5"/>
  <c r="L908" i="5"/>
  <c r="N908" i="5"/>
  <c r="O908" i="5" s="1"/>
  <c r="J907" i="5"/>
  <c r="K907" i="5"/>
  <c r="L907" i="5"/>
  <c r="N907" i="5"/>
  <c r="O907" i="5" s="1"/>
  <c r="J906" i="5"/>
  <c r="K906" i="5"/>
  <c r="L906" i="5"/>
  <c r="N906" i="5"/>
  <c r="O906" i="5"/>
  <c r="J905" i="5"/>
  <c r="K905" i="5"/>
  <c r="L905" i="5"/>
  <c r="N905" i="5"/>
  <c r="O905" i="5" s="1"/>
  <c r="J904" i="5"/>
  <c r="K904" i="5"/>
  <c r="L904" i="5"/>
  <c r="N904" i="5"/>
  <c r="O904" i="5"/>
  <c r="J903" i="5"/>
  <c r="K903" i="5"/>
  <c r="L903" i="5"/>
  <c r="N903" i="5"/>
  <c r="O903" i="5" s="1"/>
  <c r="J902" i="5"/>
  <c r="K902" i="5"/>
  <c r="L902" i="5"/>
  <c r="N902" i="5"/>
  <c r="O902" i="5" s="1"/>
  <c r="J901" i="5"/>
  <c r="K901" i="5"/>
  <c r="L901" i="5"/>
  <c r="N901" i="5"/>
  <c r="O901" i="5" s="1"/>
  <c r="J900" i="5"/>
  <c r="K900" i="5"/>
  <c r="L900" i="5"/>
  <c r="N900" i="5"/>
  <c r="O900" i="5" s="1"/>
  <c r="J899" i="5"/>
  <c r="K899" i="5"/>
  <c r="L899" i="5"/>
  <c r="N899" i="5"/>
  <c r="O899" i="5" s="1"/>
  <c r="J898" i="5"/>
  <c r="K898" i="5"/>
  <c r="L898" i="5"/>
  <c r="N898" i="5"/>
  <c r="O898" i="5" s="1"/>
  <c r="J897" i="5"/>
  <c r="K897" i="5"/>
  <c r="L897" i="5"/>
  <c r="N897" i="5"/>
  <c r="O897" i="5" s="1"/>
  <c r="J896" i="5"/>
  <c r="K896" i="5"/>
  <c r="L896" i="5"/>
  <c r="N896" i="5"/>
  <c r="O896" i="5" s="1"/>
  <c r="J895" i="5"/>
  <c r="K895" i="5"/>
  <c r="L895" i="5"/>
  <c r="N895" i="5"/>
  <c r="O895" i="5" s="1"/>
  <c r="J894" i="5"/>
  <c r="K894" i="5"/>
  <c r="L894" i="5"/>
  <c r="N894" i="5"/>
  <c r="O894" i="5" s="1"/>
  <c r="J893" i="5"/>
  <c r="K893" i="5"/>
  <c r="L893" i="5"/>
  <c r="N893" i="5"/>
  <c r="O893" i="5" s="1"/>
  <c r="J892" i="5"/>
  <c r="K892" i="5"/>
  <c r="L892" i="5"/>
  <c r="N892" i="5"/>
  <c r="O892" i="5" s="1"/>
  <c r="J891" i="5"/>
  <c r="K891" i="5"/>
  <c r="L891" i="5"/>
  <c r="N891" i="5"/>
  <c r="O891" i="5" s="1"/>
  <c r="J890" i="5"/>
  <c r="K890" i="5"/>
  <c r="L890" i="5"/>
  <c r="N890" i="5"/>
  <c r="O890" i="5" s="1"/>
  <c r="J889" i="5"/>
  <c r="K889" i="5"/>
  <c r="L889" i="5"/>
  <c r="N889" i="5"/>
  <c r="O889" i="5" s="1"/>
  <c r="J888" i="5"/>
  <c r="K888" i="5"/>
  <c r="L888" i="5"/>
  <c r="N888" i="5"/>
  <c r="O888" i="5" s="1"/>
  <c r="J887" i="5"/>
  <c r="K887" i="5"/>
  <c r="L887" i="5"/>
  <c r="N887" i="5"/>
  <c r="O887" i="5" s="1"/>
  <c r="J886" i="5"/>
  <c r="K886" i="5"/>
  <c r="L886" i="5"/>
  <c r="N886" i="5"/>
  <c r="O886" i="5" s="1"/>
  <c r="J885" i="5"/>
  <c r="K885" i="5"/>
  <c r="L885" i="5"/>
  <c r="N885" i="5"/>
  <c r="O885" i="5" s="1"/>
  <c r="J884" i="5"/>
  <c r="K884" i="5"/>
  <c r="L884" i="5"/>
  <c r="N884" i="5"/>
  <c r="O884" i="5" s="1"/>
  <c r="J883" i="5"/>
  <c r="K883" i="5"/>
  <c r="L883" i="5"/>
  <c r="N883" i="5"/>
  <c r="O883" i="5" s="1"/>
  <c r="J882" i="5"/>
  <c r="K882" i="5"/>
  <c r="L882" i="5"/>
  <c r="N882" i="5"/>
  <c r="O882" i="5" s="1"/>
  <c r="J881" i="5"/>
  <c r="K881" i="5"/>
  <c r="L881" i="5"/>
  <c r="N881" i="5"/>
  <c r="O881" i="5" s="1"/>
  <c r="J880" i="5"/>
  <c r="K880" i="5"/>
  <c r="L880" i="5"/>
  <c r="N880" i="5"/>
  <c r="O880" i="5" s="1"/>
  <c r="J879" i="5"/>
  <c r="K879" i="5"/>
  <c r="L879" i="5"/>
  <c r="N879" i="5"/>
  <c r="O879" i="5" s="1"/>
  <c r="J878" i="5"/>
  <c r="K878" i="5"/>
  <c r="L878" i="5"/>
  <c r="N878" i="5"/>
  <c r="O878" i="5" s="1"/>
  <c r="J877" i="5"/>
  <c r="K877" i="5"/>
  <c r="L877" i="5"/>
  <c r="N877" i="5"/>
  <c r="O877" i="5" s="1"/>
  <c r="J876" i="5"/>
  <c r="K876" i="5"/>
  <c r="L876" i="5"/>
  <c r="N876" i="5"/>
  <c r="O876" i="5" s="1"/>
  <c r="J875" i="5"/>
  <c r="K875" i="5"/>
  <c r="L875" i="5"/>
  <c r="N875" i="5"/>
  <c r="O875" i="5" s="1"/>
  <c r="J874" i="5"/>
  <c r="K874" i="5"/>
  <c r="L874" i="5"/>
  <c r="N874" i="5"/>
  <c r="O874" i="5" s="1"/>
  <c r="J873" i="5"/>
  <c r="K873" i="5"/>
  <c r="L873" i="5"/>
  <c r="N873" i="5"/>
  <c r="O873" i="5" s="1"/>
  <c r="J872" i="5"/>
  <c r="K872" i="5"/>
  <c r="L872" i="5"/>
  <c r="N872" i="5"/>
  <c r="O872" i="5" s="1"/>
  <c r="J871" i="5"/>
  <c r="K871" i="5"/>
  <c r="L871" i="5"/>
  <c r="N871" i="5"/>
  <c r="O871" i="5" s="1"/>
  <c r="J870" i="5"/>
  <c r="K870" i="5"/>
  <c r="L870" i="5"/>
  <c r="N870" i="5"/>
  <c r="O870" i="5" s="1"/>
  <c r="J869" i="5"/>
  <c r="K869" i="5"/>
  <c r="L869" i="5"/>
  <c r="N869" i="5"/>
  <c r="O869" i="5" s="1"/>
  <c r="J868" i="5"/>
  <c r="K868" i="5"/>
  <c r="L868" i="5"/>
  <c r="N868" i="5"/>
  <c r="O868" i="5" s="1"/>
  <c r="J867" i="5"/>
  <c r="K867" i="5"/>
  <c r="L867" i="5"/>
  <c r="N867" i="5"/>
  <c r="O867" i="5" s="1"/>
  <c r="J866" i="5"/>
  <c r="K866" i="5"/>
  <c r="L866" i="5"/>
  <c r="N866" i="5"/>
  <c r="O866" i="5" s="1"/>
  <c r="J865" i="5"/>
  <c r="K865" i="5"/>
  <c r="L865" i="5"/>
  <c r="N865" i="5"/>
  <c r="O865" i="5" s="1"/>
  <c r="J864" i="5"/>
  <c r="K864" i="5"/>
  <c r="L864" i="5"/>
  <c r="N864" i="5"/>
  <c r="O864" i="5" s="1"/>
  <c r="J863" i="5"/>
  <c r="K863" i="5"/>
  <c r="L863" i="5"/>
  <c r="N863" i="5"/>
  <c r="O863" i="5" s="1"/>
  <c r="J862" i="5"/>
  <c r="K862" i="5"/>
  <c r="L862" i="5"/>
  <c r="N862" i="5"/>
  <c r="O862" i="5" s="1"/>
  <c r="J861" i="5"/>
  <c r="K861" i="5"/>
  <c r="L861" i="5"/>
  <c r="N861" i="5"/>
  <c r="O861" i="5" s="1"/>
  <c r="J860" i="5"/>
  <c r="K860" i="5"/>
  <c r="L860" i="5"/>
  <c r="N860" i="5"/>
  <c r="O860" i="5" s="1"/>
  <c r="J859" i="5"/>
  <c r="K859" i="5"/>
  <c r="L859" i="5"/>
  <c r="N859" i="5"/>
  <c r="O859" i="5" s="1"/>
  <c r="J858" i="5"/>
  <c r="K858" i="5"/>
  <c r="L858" i="5"/>
  <c r="N858" i="5"/>
  <c r="O858" i="5" s="1"/>
  <c r="J857" i="5"/>
  <c r="K857" i="5"/>
  <c r="L857" i="5"/>
  <c r="N857" i="5"/>
  <c r="O857" i="5" s="1"/>
  <c r="J856" i="5"/>
  <c r="K856" i="5"/>
  <c r="L856" i="5"/>
  <c r="N856" i="5"/>
  <c r="O856" i="5" s="1"/>
  <c r="J855" i="5"/>
  <c r="K855" i="5"/>
  <c r="L855" i="5"/>
  <c r="N855" i="5"/>
  <c r="O855" i="5" s="1"/>
  <c r="J854" i="5"/>
  <c r="K854" i="5"/>
  <c r="L854" i="5"/>
  <c r="N854" i="5"/>
  <c r="O854" i="5" s="1"/>
  <c r="J853" i="5"/>
  <c r="K853" i="5"/>
  <c r="L853" i="5"/>
  <c r="N853" i="5"/>
  <c r="O853" i="5" s="1"/>
  <c r="J852" i="5"/>
  <c r="K852" i="5"/>
  <c r="L852" i="5"/>
  <c r="N852" i="5"/>
  <c r="O852" i="5" s="1"/>
  <c r="J851" i="5"/>
  <c r="K851" i="5"/>
  <c r="L851" i="5"/>
  <c r="N851" i="5"/>
  <c r="O851" i="5" s="1"/>
  <c r="J850" i="5"/>
  <c r="K850" i="5"/>
  <c r="L850" i="5"/>
  <c r="N850" i="5"/>
  <c r="O850" i="5" s="1"/>
  <c r="J849" i="5"/>
  <c r="K849" i="5"/>
  <c r="L849" i="5"/>
  <c r="N849" i="5"/>
  <c r="O849" i="5" s="1"/>
  <c r="J848" i="5"/>
  <c r="K848" i="5"/>
  <c r="L848" i="5"/>
  <c r="N848" i="5"/>
  <c r="O848" i="5" s="1"/>
  <c r="J847" i="5"/>
  <c r="K847" i="5"/>
  <c r="L847" i="5"/>
  <c r="N847" i="5"/>
  <c r="O847" i="5" s="1"/>
  <c r="J846" i="5"/>
  <c r="K846" i="5"/>
  <c r="L846" i="5"/>
  <c r="N846" i="5"/>
  <c r="O846" i="5" s="1"/>
  <c r="J845" i="5"/>
  <c r="K845" i="5"/>
  <c r="L845" i="5"/>
  <c r="N845" i="5"/>
  <c r="O845" i="5" s="1"/>
  <c r="J844" i="5"/>
  <c r="K844" i="5"/>
  <c r="L844" i="5"/>
  <c r="N844" i="5"/>
  <c r="O844" i="5" s="1"/>
  <c r="J843" i="5"/>
  <c r="K843" i="5"/>
  <c r="L843" i="5"/>
  <c r="N843" i="5"/>
  <c r="O843" i="5" s="1"/>
  <c r="J842" i="5"/>
  <c r="K842" i="5"/>
  <c r="L842" i="5"/>
  <c r="N842" i="5"/>
  <c r="O842" i="5" s="1"/>
  <c r="J841" i="5"/>
  <c r="K841" i="5"/>
  <c r="L841" i="5"/>
  <c r="N841" i="5"/>
  <c r="O841" i="5" s="1"/>
  <c r="J840" i="5"/>
  <c r="K840" i="5"/>
  <c r="L840" i="5"/>
  <c r="N840" i="5"/>
  <c r="O840" i="5" s="1"/>
  <c r="J839" i="5"/>
  <c r="K839" i="5"/>
  <c r="L839" i="5"/>
  <c r="N839" i="5"/>
  <c r="O839" i="5" s="1"/>
  <c r="J838" i="5"/>
  <c r="K838" i="5"/>
  <c r="L838" i="5"/>
  <c r="N838" i="5"/>
  <c r="O838" i="5" s="1"/>
  <c r="J837" i="5"/>
  <c r="K837" i="5"/>
  <c r="L837" i="5"/>
  <c r="N837" i="5"/>
  <c r="O837" i="5" s="1"/>
  <c r="J836" i="5"/>
  <c r="K836" i="5"/>
  <c r="L836" i="5"/>
  <c r="N836" i="5"/>
  <c r="O836" i="5" s="1"/>
  <c r="J835" i="5"/>
  <c r="K835" i="5"/>
  <c r="L835" i="5"/>
  <c r="N835" i="5"/>
  <c r="O835" i="5" s="1"/>
  <c r="J834" i="5"/>
  <c r="K834" i="5"/>
  <c r="L834" i="5"/>
  <c r="N834" i="5"/>
  <c r="O834" i="5" s="1"/>
  <c r="J833" i="5"/>
  <c r="K833" i="5"/>
  <c r="L833" i="5"/>
  <c r="N833" i="5"/>
  <c r="O833" i="5" s="1"/>
  <c r="J832" i="5"/>
  <c r="K832" i="5"/>
  <c r="L832" i="5"/>
  <c r="N832" i="5"/>
  <c r="O832" i="5" s="1"/>
  <c r="J831" i="5"/>
  <c r="K831" i="5"/>
  <c r="L831" i="5"/>
  <c r="N831" i="5"/>
  <c r="O831" i="5" s="1"/>
  <c r="J830" i="5"/>
  <c r="K830" i="5"/>
  <c r="L830" i="5"/>
  <c r="N830" i="5"/>
  <c r="O830" i="5" s="1"/>
  <c r="J829" i="5"/>
  <c r="K829" i="5"/>
  <c r="L829" i="5"/>
  <c r="N829" i="5"/>
  <c r="O829" i="5" s="1"/>
  <c r="J828" i="5"/>
  <c r="K828" i="5"/>
  <c r="L828" i="5"/>
  <c r="N828" i="5"/>
  <c r="O828" i="5" s="1"/>
  <c r="J827" i="5"/>
  <c r="K827" i="5"/>
  <c r="L827" i="5"/>
  <c r="N827" i="5"/>
  <c r="O827" i="5" s="1"/>
  <c r="J826" i="5"/>
  <c r="K826" i="5"/>
  <c r="L826" i="5"/>
  <c r="N826" i="5"/>
  <c r="O826" i="5" s="1"/>
  <c r="J825" i="5"/>
  <c r="K825" i="5"/>
  <c r="L825" i="5"/>
  <c r="N825" i="5"/>
  <c r="O825" i="5" s="1"/>
  <c r="J824" i="5"/>
  <c r="K824" i="5"/>
  <c r="L824" i="5"/>
  <c r="N824" i="5"/>
  <c r="O824" i="5" s="1"/>
  <c r="J823" i="5"/>
  <c r="K823" i="5"/>
  <c r="L823" i="5"/>
  <c r="N823" i="5"/>
  <c r="O823" i="5" s="1"/>
  <c r="J822" i="5"/>
  <c r="K822" i="5"/>
  <c r="L822" i="5"/>
  <c r="N822" i="5"/>
  <c r="O822" i="5" s="1"/>
  <c r="J821" i="5"/>
  <c r="K821" i="5"/>
  <c r="L821" i="5"/>
  <c r="N821" i="5"/>
  <c r="O821" i="5" s="1"/>
  <c r="J820" i="5"/>
  <c r="K820" i="5"/>
  <c r="L820" i="5"/>
  <c r="N820" i="5"/>
  <c r="O820" i="5" s="1"/>
  <c r="J819" i="5"/>
  <c r="K819" i="5"/>
  <c r="L819" i="5"/>
  <c r="N819" i="5"/>
  <c r="O819" i="5" s="1"/>
  <c r="J818" i="5"/>
  <c r="K818" i="5"/>
  <c r="L818" i="5"/>
  <c r="N818" i="5"/>
  <c r="O818" i="5" s="1"/>
  <c r="J817" i="5"/>
  <c r="K817" i="5"/>
  <c r="L817" i="5"/>
  <c r="N817" i="5"/>
  <c r="O817" i="5" s="1"/>
  <c r="J816" i="5"/>
  <c r="K816" i="5"/>
  <c r="L816" i="5"/>
  <c r="N816" i="5"/>
  <c r="O816" i="5" s="1"/>
  <c r="J815" i="5"/>
  <c r="K815" i="5"/>
  <c r="L815" i="5"/>
  <c r="N815" i="5"/>
  <c r="O815" i="5" s="1"/>
  <c r="J814" i="5"/>
  <c r="K814" i="5"/>
  <c r="L814" i="5"/>
  <c r="N814" i="5"/>
  <c r="O814" i="5" s="1"/>
  <c r="J813" i="5"/>
  <c r="K813" i="5"/>
  <c r="L813" i="5"/>
  <c r="N813" i="5"/>
  <c r="O813" i="5" s="1"/>
  <c r="J812" i="5"/>
  <c r="K812" i="5"/>
  <c r="L812" i="5"/>
  <c r="N812" i="5"/>
  <c r="O812" i="5" s="1"/>
  <c r="J811" i="5"/>
  <c r="K811" i="5"/>
  <c r="L811" i="5"/>
  <c r="N811" i="5"/>
  <c r="O811" i="5" s="1"/>
  <c r="J810" i="5"/>
  <c r="K810" i="5"/>
  <c r="L810" i="5"/>
  <c r="N810" i="5"/>
  <c r="O810" i="5" s="1"/>
  <c r="J809" i="5"/>
  <c r="K809" i="5"/>
  <c r="L809" i="5"/>
  <c r="N809" i="5"/>
  <c r="O809" i="5" s="1"/>
  <c r="J808" i="5"/>
  <c r="K808" i="5"/>
  <c r="L808" i="5"/>
  <c r="N808" i="5"/>
  <c r="O808" i="5" s="1"/>
  <c r="J807" i="5"/>
  <c r="K807" i="5"/>
  <c r="L807" i="5"/>
  <c r="N807" i="5"/>
  <c r="O807" i="5" s="1"/>
  <c r="J806" i="5"/>
  <c r="K806" i="5"/>
  <c r="L806" i="5"/>
  <c r="N806" i="5"/>
  <c r="O806" i="5" s="1"/>
  <c r="J805" i="5"/>
  <c r="K805" i="5"/>
  <c r="L805" i="5"/>
  <c r="N805" i="5"/>
  <c r="O805" i="5" s="1"/>
  <c r="J804" i="5"/>
  <c r="K804" i="5"/>
  <c r="L804" i="5"/>
  <c r="N804" i="5"/>
  <c r="O804" i="5" s="1"/>
  <c r="J803" i="5"/>
  <c r="K803" i="5"/>
  <c r="L803" i="5"/>
  <c r="N803" i="5"/>
  <c r="O803" i="5" s="1"/>
  <c r="J802" i="5"/>
  <c r="K802" i="5"/>
  <c r="L802" i="5"/>
  <c r="N802" i="5"/>
  <c r="O802" i="5" s="1"/>
  <c r="J801" i="5"/>
  <c r="K801" i="5"/>
  <c r="L801" i="5"/>
  <c r="N801" i="5"/>
  <c r="O801" i="5" s="1"/>
  <c r="J800" i="5"/>
  <c r="K800" i="5"/>
  <c r="L800" i="5"/>
  <c r="N800" i="5"/>
  <c r="O800" i="5" s="1"/>
  <c r="J799" i="5"/>
  <c r="K799" i="5"/>
  <c r="L799" i="5"/>
  <c r="N799" i="5"/>
  <c r="O799" i="5" s="1"/>
  <c r="J798" i="5"/>
  <c r="K798" i="5"/>
  <c r="L798" i="5"/>
  <c r="N798" i="5"/>
  <c r="O798" i="5" s="1"/>
  <c r="J797" i="5"/>
  <c r="K797" i="5"/>
  <c r="L797" i="5"/>
  <c r="N797" i="5"/>
  <c r="O797" i="5" s="1"/>
  <c r="J796" i="5"/>
  <c r="K796" i="5"/>
  <c r="L796" i="5"/>
  <c r="N796" i="5"/>
  <c r="O796" i="5" s="1"/>
  <c r="J795" i="5"/>
  <c r="K795" i="5"/>
  <c r="L795" i="5"/>
  <c r="N795" i="5"/>
  <c r="O795" i="5" s="1"/>
  <c r="J794" i="5"/>
  <c r="K794" i="5"/>
  <c r="L794" i="5"/>
  <c r="N794" i="5"/>
  <c r="O794" i="5" s="1"/>
  <c r="J793" i="5"/>
  <c r="K793" i="5"/>
  <c r="L793" i="5"/>
  <c r="N793" i="5"/>
  <c r="O793" i="5" s="1"/>
  <c r="J792" i="5"/>
  <c r="K792" i="5"/>
  <c r="L792" i="5"/>
  <c r="N792" i="5"/>
  <c r="O792" i="5" s="1"/>
  <c r="J791" i="5"/>
  <c r="K791" i="5"/>
  <c r="L791" i="5"/>
  <c r="N791" i="5"/>
  <c r="O791" i="5" s="1"/>
  <c r="J790" i="5"/>
  <c r="K790" i="5"/>
  <c r="L790" i="5"/>
  <c r="N790" i="5"/>
  <c r="O790" i="5" s="1"/>
  <c r="J789" i="5"/>
  <c r="K789" i="5"/>
  <c r="L789" i="5"/>
  <c r="N789" i="5"/>
  <c r="O789" i="5" s="1"/>
  <c r="J788" i="5"/>
  <c r="K788" i="5"/>
  <c r="L788" i="5"/>
  <c r="N788" i="5"/>
  <c r="O788" i="5" s="1"/>
  <c r="J787" i="5"/>
  <c r="K787" i="5"/>
  <c r="L787" i="5"/>
  <c r="N787" i="5"/>
  <c r="O787" i="5" s="1"/>
  <c r="J786" i="5"/>
  <c r="K786" i="5"/>
  <c r="L786" i="5"/>
  <c r="N786" i="5"/>
  <c r="O786" i="5" s="1"/>
  <c r="J785" i="5"/>
  <c r="K785" i="5"/>
  <c r="L785" i="5"/>
  <c r="N785" i="5"/>
  <c r="O785" i="5" s="1"/>
  <c r="J784" i="5"/>
  <c r="K784" i="5"/>
  <c r="L784" i="5"/>
  <c r="N784" i="5"/>
  <c r="O784" i="5" s="1"/>
  <c r="J783" i="5"/>
  <c r="K783" i="5"/>
  <c r="L783" i="5"/>
  <c r="N783" i="5"/>
  <c r="O783" i="5" s="1"/>
  <c r="J782" i="5"/>
  <c r="K782" i="5"/>
  <c r="L782" i="5"/>
  <c r="N782" i="5"/>
  <c r="O782" i="5" s="1"/>
  <c r="J781" i="5"/>
  <c r="K781" i="5"/>
  <c r="L781" i="5"/>
  <c r="N781" i="5"/>
  <c r="O781" i="5" s="1"/>
  <c r="J780" i="5"/>
  <c r="K780" i="5"/>
  <c r="L780" i="5"/>
  <c r="N780" i="5"/>
  <c r="O780" i="5" s="1"/>
  <c r="J779" i="5"/>
  <c r="K779" i="5"/>
  <c r="L779" i="5"/>
  <c r="N779" i="5"/>
  <c r="O779" i="5" s="1"/>
  <c r="J778" i="5"/>
  <c r="K778" i="5"/>
  <c r="L778" i="5"/>
  <c r="N778" i="5"/>
  <c r="O778" i="5" s="1"/>
  <c r="J777" i="5"/>
  <c r="K777" i="5"/>
  <c r="L777" i="5"/>
  <c r="N777" i="5"/>
  <c r="O777" i="5" s="1"/>
  <c r="J776" i="5"/>
  <c r="K776" i="5"/>
  <c r="L776" i="5"/>
  <c r="N776" i="5"/>
  <c r="O776" i="5" s="1"/>
  <c r="J775" i="5"/>
  <c r="K775" i="5"/>
  <c r="L775" i="5"/>
  <c r="N775" i="5"/>
  <c r="O775" i="5" s="1"/>
  <c r="J774" i="5"/>
  <c r="K774" i="5"/>
  <c r="L774" i="5"/>
  <c r="N774" i="5"/>
  <c r="O774" i="5" s="1"/>
  <c r="J773" i="5"/>
  <c r="K773" i="5"/>
  <c r="L773" i="5"/>
  <c r="N773" i="5"/>
  <c r="O773" i="5" s="1"/>
  <c r="J772" i="5"/>
  <c r="K772" i="5"/>
  <c r="L772" i="5"/>
  <c r="N772" i="5"/>
  <c r="O772" i="5" s="1"/>
  <c r="J771" i="5"/>
  <c r="K771" i="5"/>
  <c r="L771" i="5"/>
  <c r="N771" i="5"/>
  <c r="O771" i="5" s="1"/>
  <c r="J770" i="5"/>
  <c r="K770" i="5"/>
  <c r="L770" i="5"/>
  <c r="N770" i="5"/>
  <c r="O770" i="5" s="1"/>
  <c r="J769" i="5"/>
  <c r="K769" i="5"/>
  <c r="L769" i="5"/>
  <c r="N769" i="5"/>
  <c r="O769" i="5" s="1"/>
  <c r="J768" i="5"/>
  <c r="K768" i="5"/>
  <c r="L768" i="5"/>
  <c r="N768" i="5"/>
  <c r="O768" i="5" s="1"/>
  <c r="J767" i="5"/>
  <c r="K767" i="5"/>
  <c r="L767" i="5"/>
  <c r="N767" i="5"/>
  <c r="O767" i="5" s="1"/>
  <c r="J766" i="5"/>
  <c r="K766" i="5"/>
  <c r="L766" i="5"/>
  <c r="N766" i="5"/>
  <c r="O766" i="5" s="1"/>
  <c r="J765" i="5"/>
  <c r="K765" i="5"/>
  <c r="L765" i="5"/>
  <c r="N765" i="5"/>
  <c r="O765" i="5" s="1"/>
  <c r="J764" i="5"/>
  <c r="K764" i="5"/>
  <c r="L764" i="5"/>
  <c r="N764" i="5"/>
  <c r="O764" i="5" s="1"/>
  <c r="J763" i="5"/>
  <c r="K763" i="5"/>
  <c r="L763" i="5"/>
  <c r="N763" i="5"/>
  <c r="O763" i="5" s="1"/>
  <c r="J762" i="5"/>
  <c r="K762" i="5"/>
  <c r="L762" i="5"/>
  <c r="N762" i="5"/>
  <c r="O762" i="5" s="1"/>
  <c r="J761" i="5"/>
  <c r="K761" i="5"/>
  <c r="L761" i="5"/>
  <c r="N761" i="5"/>
  <c r="O761" i="5" s="1"/>
  <c r="J760" i="5"/>
  <c r="K760" i="5"/>
  <c r="L760" i="5"/>
  <c r="N760" i="5"/>
  <c r="O760" i="5" s="1"/>
  <c r="J759" i="5"/>
  <c r="K759" i="5"/>
  <c r="L759" i="5"/>
  <c r="N759" i="5"/>
  <c r="O759" i="5" s="1"/>
  <c r="J758" i="5"/>
  <c r="K758" i="5"/>
  <c r="L758" i="5"/>
  <c r="N758" i="5"/>
  <c r="O758" i="5" s="1"/>
  <c r="J757" i="5"/>
  <c r="K757" i="5"/>
  <c r="L757" i="5"/>
  <c r="N757" i="5"/>
  <c r="O757" i="5" s="1"/>
  <c r="J756" i="5"/>
  <c r="K756" i="5"/>
  <c r="L756" i="5"/>
  <c r="N756" i="5"/>
  <c r="O756" i="5" s="1"/>
  <c r="J755" i="5"/>
  <c r="K755" i="5"/>
  <c r="L755" i="5"/>
  <c r="N755" i="5"/>
  <c r="O755" i="5" s="1"/>
  <c r="J754" i="5"/>
  <c r="K754" i="5"/>
  <c r="L754" i="5"/>
  <c r="N754" i="5"/>
  <c r="O754" i="5" s="1"/>
  <c r="J753" i="5"/>
  <c r="K753" i="5"/>
  <c r="L753" i="5"/>
  <c r="N753" i="5"/>
  <c r="O753" i="5" s="1"/>
  <c r="J752" i="5"/>
  <c r="K752" i="5"/>
  <c r="L752" i="5"/>
  <c r="N752" i="5"/>
  <c r="O752" i="5" s="1"/>
  <c r="J751" i="5"/>
  <c r="K751" i="5"/>
  <c r="L751" i="5"/>
  <c r="N751" i="5"/>
  <c r="O751" i="5" s="1"/>
  <c r="J750" i="5"/>
  <c r="K750" i="5"/>
  <c r="L750" i="5"/>
  <c r="N750" i="5"/>
  <c r="O750" i="5" s="1"/>
  <c r="J749" i="5"/>
  <c r="K749" i="5"/>
  <c r="L749" i="5"/>
  <c r="N749" i="5"/>
  <c r="O749" i="5" s="1"/>
  <c r="J748" i="5"/>
  <c r="K748" i="5"/>
  <c r="L748" i="5"/>
  <c r="N748" i="5"/>
  <c r="O748" i="5" s="1"/>
  <c r="J747" i="5"/>
  <c r="K747" i="5"/>
  <c r="L747" i="5"/>
  <c r="N747" i="5"/>
  <c r="O747" i="5" s="1"/>
  <c r="J746" i="5"/>
  <c r="K746" i="5"/>
  <c r="L746" i="5"/>
  <c r="N746" i="5"/>
  <c r="O746" i="5" s="1"/>
  <c r="J745" i="5"/>
  <c r="K745" i="5"/>
  <c r="L745" i="5"/>
  <c r="N745" i="5"/>
  <c r="O745" i="5" s="1"/>
  <c r="J744" i="5"/>
  <c r="K744" i="5"/>
  <c r="L744" i="5"/>
  <c r="N744" i="5"/>
  <c r="O744" i="5" s="1"/>
  <c r="J743" i="5"/>
  <c r="K743" i="5"/>
  <c r="L743" i="5"/>
  <c r="N743" i="5"/>
  <c r="O743" i="5" s="1"/>
  <c r="J742" i="5"/>
  <c r="K742" i="5"/>
  <c r="L742" i="5"/>
  <c r="N742" i="5"/>
  <c r="O742" i="5" s="1"/>
  <c r="J741" i="5"/>
  <c r="K741" i="5"/>
  <c r="L741" i="5"/>
  <c r="N741" i="5"/>
  <c r="O741" i="5" s="1"/>
  <c r="J740" i="5"/>
  <c r="K740" i="5"/>
  <c r="L740" i="5"/>
  <c r="N740" i="5"/>
  <c r="O740" i="5" s="1"/>
  <c r="J739" i="5"/>
  <c r="K739" i="5"/>
  <c r="L739" i="5"/>
  <c r="N739" i="5"/>
  <c r="O739" i="5" s="1"/>
  <c r="J738" i="5"/>
  <c r="K738" i="5"/>
  <c r="L738" i="5"/>
  <c r="N738" i="5"/>
  <c r="O738" i="5" s="1"/>
  <c r="J737" i="5"/>
  <c r="K737" i="5"/>
  <c r="L737" i="5"/>
  <c r="N737" i="5"/>
  <c r="O737" i="5" s="1"/>
  <c r="J736" i="5"/>
  <c r="K736" i="5"/>
  <c r="L736" i="5"/>
  <c r="N736" i="5"/>
  <c r="O736" i="5" s="1"/>
  <c r="J735" i="5"/>
  <c r="K735" i="5"/>
  <c r="L735" i="5"/>
  <c r="N735" i="5"/>
  <c r="O735" i="5" s="1"/>
  <c r="J734" i="5"/>
  <c r="K734" i="5"/>
  <c r="L734" i="5"/>
  <c r="N734" i="5"/>
  <c r="O734" i="5" s="1"/>
  <c r="J733" i="5"/>
  <c r="K733" i="5"/>
  <c r="L733" i="5"/>
  <c r="N733" i="5"/>
  <c r="O733" i="5" s="1"/>
  <c r="J732" i="5"/>
  <c r="K732" i="5"/>
  <c r="L732" i="5"/>
  <c r="N732" i="5"/>
  <c r="O732" i="5" s="1"/>
  <c r="J731" i="5"/>
  <c r="K731" i="5"/>
  <c r="L731" i="5"/>
  <c r="N731" i="5"/>
  <c r="O731" i="5" s="1"/>
  <c r="J730" i="5"/>
  <c r="K730" i="5"/>
  <c r="L730" i="5"/>
  <c r="N730" i="5"/>
  <c r="O730" i="5" s="1"/>
  <c r="J729" i="5"/>
  <c r="K729" i="5"/>
  <c r="L729" i="5"/>
  <c r="N729" i="5"/>
  <c r="O729" i="5" s="1"/>
  <c r="J728" i="5"/>
  <c r="K728" i="5"/>
  <c r="L728" i="5"/>
  <c r="N728" i="5"/>
  <c r="O728" i="5" s="1"/>
  <c r="J727" i="5"/>
  <c r="K727" i="5"/>
  <c r="L727" i="5"/>
  <c r="N727" i="5"/>
  <c r="O727" i="5" s="1"/>
  <c r="J726" i="5"/>
  <c r="K726" i="5"/>
  <c r="L726" i="5"/>
  <c r="N726" i="5"/>
  <c r="O726" i="5" s="1"/>
  <c r="J725" i="5"/>
  <c r="K725" i="5"/>
  <c r="L725" i="5"/>
  <c r="N725" i="5"/>
  <c r="O725" i="5" s="1"/>
  <c r="J724" i="5"/>
  <c r="K724" i="5"/>
  <c r="L724" i="5"/>
  <c r="N724" i="5"/>
  <c r="O724" i="5" s="1"/>
  <c r="J723" i="5"/>
  <c r="K723" i="5"/>
  <c r="L723" i="5"/>
  <c r="N723" i="5"/>
  <c r="O723" i="5" s="1"/>
  <c r="J722" i="5"/>
  <c r="K722" i="5"/>
  <c r="L722" i="5"/>
  <c r="N722" i="5"/>
  <c r="O722" i="5" s="1"/>
  <c r="J721" i="5"/>
  <c r="K721" i="5"/>
  <c r="L721" i="5"/>
  <c r="N721" i="5"/>
  <c r="O721" i="5" s="1"/>
  <c r="J720" i="5"/>
  <c r="K720" i="5"/>
  <c r="L720" i="5"/>
  <c r="N720" i="5"/>
  <c r="O720" i="5" s="1"/>
  <c r="J719" i="5"/>
  <c r="K719" i="5"/>
  <c r="L719" i="5"/>
  <c r="N719" i="5"/>
  <c r="O719" i="5" s="1"/>
  <c r="J718" i="5"/>
  <c r="K718" i="5"/>
  <c r="L718" i="5"/>
  <c r="N718" i="5"/>
  <c r="O718" i="5" s="1"/>
  <c r="J717" i="5"/>
  <c r="K717" i="5"/>
  <c r="L717" i="5"/>
  <c r="N717" i="5"/>
  <c r="O717" i="5" s="1"/>
  <c r="J716" i="5"/>
  <c r="K716" i="5"/>
  <c r="L716" i="5"/>
  <c r="N716" i="5"/>
  <c r="O716" i="5" s="1"/>
  <c r="J715" i="5"/>
  <c r="K715" i="5"/>
  <c r="L715" i="5"/>
  <c r="N715" i="5"/>
  <c r="O715" i="5" s="1"/>
  <c r="J714" i="5"/>
  <c r="K714" i="5"/>
  <c r="L714" i="5"/>
  <c r="N714" i="5"/>
  <c r="O714" i="5" s="1"/>
  <c r="J713" i="5"/>
  <c r="K713" i="5"/>
  <c r="L713" i="5"/>
  <c r="N713" i="5"/>
  <c r="O713" i="5" s="1"/>
  <c r="J712" i="5"/>
  <c r="K712" i="5"/>
  <c r="L712" i="5"/>
  <c r="N712" i="5"/>
  <c r="O712" i="5" s="1"/>
  <c r="J711" i="5"/>
  <c r="K711" i="5"/>
  <c r="L711" i="5"/>
  <c r="N711" i="5"/>
  <c r="O711" i="5" s="1"/>
  <c r="J710" i="5"/>
  <c r="K710" i="5"/>
  <c r="L710" i="5"/>
  <c r="N710" i="5"/>
  <c r="O710" i="5" s="1"/>
  <c r="J709" i="5"/>
  <c r="K709" i="5"/>
  <c r="L709" i="5"/>
  <c r="N709" i="5"/>
  <c r="O709" i="5" s="1"/>
  <c r="J708" i="5"/>
  <c r="K708" i="5"/>
  <c r="L708" i="5"/>
  <c r="N708" i="5"/>
  <c r="O708" i="5"/>
  <c r="J707" i="5"/>
  <c r="K707" i="5"/>
  <c r="L707" i="5"/>
  <c r="N707" i="5"/>
  <c r="O707" i="5" s="1"/>
  <c r="J706" i="5"/>
  <c r="K706" i="5"/>
  <c r="L706" i="5"/>
  <c r="N706" i="5"/>
  <c r="O706" i="5" s="1"/>
  <c r="J705" i="5"/>
  <c r="K705" i="5"/>
  <c r="L705" i="5"/>
  <c r="N705" i="5"/>
  <c r="O705" i="5" s="1"/>
  <c r="J704" i="5"/>
  <c r="K704" i="5"/>
  <c r="L704" i="5"/>
  <c r="N704" i="5"/>
  <c r="O704" i="5"/>
  <c r="J703" i="5"/>
  <c r="K703" i="5"/>
  <c r="L703" i="5"/>
  <c r="N703" i="5"/>
  <c r="O703" i="5" s="1"/>
  <c r="J702" i="5"/>
  <c r="K702" i="5"/>
  <c r="L702" i="5"/>
  <c r="N702" i="5"/>
  <c r="O702" i="5" s="1"/>
  <c r="J701" i="5"/>
  <c r="K701" i="5"/>
  <c r="L701" i="5"/>
  <c r="N701" i="5"/>
  <c r="O701" i="5" s="1"/>
  <c r="J700" i="5"/>
  <c r="K700" i="5"/>
  <c r="L700" i="5"/>
  <c r="N700" i="5"/>
  <c r="O700" i="5"/>
  <c r="J699" i="5"/>
  <c r="K699" i="5"/>
  <c r="L699" i="5"/>
  <c r="N699" i="5"/>
  <c r="O699" i="5" s="1"/>
  <c r="J698" i="5"/>
  <c r="K698" i="5"/>
  <c r="L698" i="5"/>
  <c r="N698" i="5"/>
  <c r="O698" i="5" s="1"/>
  <c r="J697" i="5"/>
  <c r="K697" i="5"/>
  <c r="L697" i="5"/>
  <c r="N697" i="5"/>
  <c r="O697" i="5" s="1"/>
  <c r="J696" i="5"/>
  <c r="K696" i="5"/>
  <c r="L696" i="5"/>
  <c r="N696" i="5"/>
  <c r="O696" i="5"/>
  <c r="J695" i="5"/>
  <c r="K695" i="5"/>
  <c r="L695" i="5"/>
  <c r="N695" i="5"/>
  <c r="O695" i="5" s="1"/>
  <c r="J694" i="5"/>
  <c r="K694" i="5"/>
  <c r="L694" i="5"/>
  <c r="N694" i="5"/>
  <c r="O694" i="5" s="1"/>
  <c r="J693" i="5"/>
  <c r="K693" i="5"/>
  <c r="L693" i="5"/>
  <c r="N693" i="5"/>
  <c r="O693" i="5" s="1"/>
  <c r="J692" i="5"/>
  <c r="K692" i="5"/>
  <c r="L692" i="5"/>
  <c r="N692" i="5"/>
  <c r="O692" i="5"/>
  <c r="J691" i="5"/>
  <c r="K691" i="5"/>
  <c r="L691" i="5"/>
  <c r="N691" i="5"/>
  <c r="O691" i="5" s="1"/>
  <c r="J690" i="5"/>
  <c r="K690" i="5"/>
  <c r="L690" i="5"/>
  <c r="N690" i="5"/>
  <c r="O690" i="5" s="1"/>
  <c r="J689" i="5"/>
  <c r="K689" i="5"/>
  <c r="L689" i="5"/>
  <c r="N689" i="5"/>
  <c r="O689" i="5" s="1"/>
  <c r="J688" i="5"/>
  <c r="K688" i="5"/>
  <c r="L688" i="5"/>
  <c r="N688" i="5"/>
  <c r="O688" i="5"/>
  <c r="J687" i="5"/>
  <c r="K687" i="5"/>
  <c r="L687" i="5"/>
  <c r="N687" i="5"/>
  <c r="O687" i="5" s="1"/>
  <c r="J686" i="5"/>
  <c r="K686" i="5"/>
  <c r="L686" i="5"/>
  <c r="N686" i="5"/>
  <c r="O686" i="5" s="1"/>
  <c r="J685" i="5"/>
  <c r="K685" i="5"/>
  <c r="L685" i="5"/>
  <c r="N685" i="5"/>
  <c r="O685" i="5" s="1"/>
  <c r="J684" i="5"/>
  <c r="K684" i="5"/>
  <c r="L684" i="5"/>
  <c r="N684" i="5"/>
  <c r="O684" i="5"/>
  <c r="J683" i="5"/>
  <c r="K683" i="5"/>
  <c r="L683" i="5"/>
  <c r="N683" i="5"/>
  <c r="O683" i="5" s="1"/>
  <c r="J682" i="5"/>
  <c r="K682" i="5"/>
  <c r="L682" i="5"/>
  <c r="N682" i="5"/>
  <c r="O682" i="5" s="1"/>
  <c r="J681" i="5"/>
  <c r="K681" i="5"/>
  <c r="L681" i="5"/>
  <c r="N681" i="5"/>
  <c r="O681" i="5" s="1"/>
  <c r="J680" i="5"/>
  <c r="K680" i="5"/>
  <c r="L680" i="5"/>
  <c r="N680" i="5"/>
  <c r="O680" i="5"/>
  <c r="J679" i="5"/>
  <c r="K679" i="5"/>
  <c r="L679" i="5"/>
  <c r="N679" i="5"/>
  <c r="O679" i="5" s="1"/>
  <c r="J678" i="5"/>
  <c r="K678" i="5"/>
  <c r="L678" i="5"/>
  <c r="N678" i="5"/>
  <c r="O678" i="5" s="1"/>
  <c r="J677" i="5"/>
  <c r="K677" i="5"/>
  <c r="L677" i="5"/>
  <c r="N677" i="5"/>
  <c r="O677" i="5" s="1"/>
  <c r="J676" i="5"/>
  <c r="K676" i="5"/>
  <c r="L676" i="5"/>
  <c r="N676" i="5"/>
  <c r="O676" i="5"/>
  <c r="J675" i="5"/>
  <c r="K675" i="5"/>
  <c r="L675" i="5"/>
  <c r="N675" i="5"/>
  <c r="O675" i="5" s="1"/>
  <c r="J674" i="5"/>
  <c r="K674" i="5"/>
  <c r="L674" i="5"/>
  <c r="N674" i="5"/>
  <c r="O674" i="5" s="1"/>
  <c r="J673" i="5"/>
  <c r="K673" i="5"/>
  <c r="L673" i="5"/>
  <c r="N673" i="5"/>
  <c r="O673" i="5" s="1"/>
  <c r="J672" i="5"/>
  <c r="K672" i="5"/>
  <c r="L672" i="5"/>
  <c r="N672" i="5"/>
  <c r="O672" i="5"/>
  <c r="J671" i="5"/>
  <c r="K671" i="5"/>
  <c r="L671" i="5"/>
  <c r="N671" i="5"/>
  <c r="O671" i="5" s="1"/>
  <c r="J670" i="5"/>
  <c r="K670" i="5"/>
  <c r="L670" i="5"/>
  <c r="N670" i="5"/>
  <c r="O670" i="5" s="1"/>
  <c r="J669" i="5"/>
  <c r="K669" i="5"/>
  <c r="L669" i="5"/>
  <c r="N669" i="5"/>
  <c r="O669" i="5" s="1"/>
  <c r="J668" i="5"/>
  <c r="K668" i="5"/>
  <c r="L668" i="5"/>
  <c r="N668" i="5"/>
  <c r="O668" i="5"/>
  <c r="J667" i="5"/>
  <c r="K667" i="5"/>
  <c r="L667" i="5"/>
  <c r="N667" i="5"/>
  <c r="O667" i="5" s="1"/>
  <c r="J666" i="5"/>
  <c r="K666" i="5"/>
  <c r="L666" i="5"/>
  <c r="N666" i="5"/>
  <c r="O666" i="5" s="1"/>
  <c r="J665" i="5"/>
  <c r="K665" i="5"/>
  <c r="L665" i="5"/>
  <c r="N665" i="5"/>
  <c r="O665" i="5" s="1"/>
  <c r="J664" i="5"/>
  <c r="K664" i="5"/>
  <c r="L664" i="5"/>
  <c r="N664" i="5"/>
  <c r="O664" i="5"/>
  <c r="J663" i="5"/>
  <c r="K663" i="5"/>
  <c r="L663" i="5"/>
  <c r="N663" i="5"/>
  <c r="O663" i="5" s="1"/>
  <c r="J662" i="5"/>
  <c r="K662" i="5"/>
  <c r="L662" i="5"/>
  <c r="N662" i="5"/>
  <c r="O662" i="5" s="1"/>
  <c r="J661" i="5"/>
  <c r="K661" i="5"/>
  <c r="L661" i="5"/>
  <c r="N661" i="5"/>
  <c r="O661" i="5" s="1"/>
  <c r="J660" i="5"/>
  <c r="K660" i="5"/>
  <c r="L660" i="5"/>
  <c r="N660" i="5"/>
  <c r="O660" i="5"/>
  <c r="J659" i="5"/>
  <c r="K659" i="5"/>
  <c r="L659" i="5"/>
  <c r="N659" i="5"/>
  <c r="O659" i="5" s="1"/>
  <c r="J658" i="5"/>
  <c r="K658" i="5"/>
  <c r="L658" i="5"/>
  <c r="N658" i="5"/>
  <c r="O658" i="5" s="1"/>
  <c r="J657" i="5"/>
  <c r="K657" i="5"/>
  <c r="L657" i="5"/>
  <c r="N657" i="5"/>
  <c r="O657" i="5" s="1"/>
  <c r="J656" i="5"/>
  <c r="K656" i="5"/>
  <c r="L656" i="5"/>
  <c r="N656" i="5"/>
  <c r="O656" i="5"/>
  <c r="J655" i="5"/>
  <c r="K655" i="5"/>
  <c r="L655" i="5"/>
  <c r="N655" i="5"/>
  <c r="O655" i="5" s="1"/>
  <c r="J654" i="5"/>
  <c r="K654" i="5"/>
  <c r="L654" i="5"/>
  <c r="N654" i="5"/>
  <c r="O654" i="5" s="1"/>
  <c r="J653" i="5"/>
  <c r="K653" i="5"/>
  <c r="L653" i="5"/>
  <c r="N653" i="5"/>
  <c r="O653" i="5" s="1"/>
  <c r="J652" i="5"/>
  <c r="K652" i="5"/>
  <c r="L652" i="5"/>
  <c r="N652" i="5"/>
  <c r="O652" i="5"/>
  <c r="J651" i="5"/>
  <c r="K651" i="5"/>
  <c r="L651" i="5"/>
  <c r="N651" i="5"/>
  <c r="O651" i="5" s="1"/>
  <c r="J650" i="5"/>
  <c r="K650" i="5"/>
  <c r="L650" i="5"/>
  <c r="N650" i="5"/>
  <c r="O650" i="5" s="1"/>
  <c r="J649" i="5"/>
  <c r="K649" i="5"/>
  <c r="L649" i="5"/>
  <c r="N649" i="5"/>
  <c r="O649" i="5" s="1"/>
  <c r="J648" i="5"/>
  <c r="K648" i="5"/>
  <c r="L648" i="5"/>
  <c r="N648" i="5"/>
  <c r="O648" i="5"/>
  <c r="J647" i="5"/>
  <c r="K647" i="5"/>
  <c r="L647" i="5"/>
  <c r="N647" i="5"/>
  <c r="O647" i="5" s="1"/>
  <c r="J646" i="5"/>
  <c r="K646" i="5"/>
  <c r="L646" i="5"/>
  <c r="N646" i="5"/>
  <c r="O646" i="5" s="1"/>
  <c r="J645" i="5"/>
  <c r="K645" i="5"/>
  <c r="L645" i="5"/>
  <c r="N645" i="5"/>
  <c r="O645" i="5" s="1"/>
  <c r="J644" i="5"/>
  <c r="K644" i="5"/>
  <c r="L644" i="5"/>
  <c r="N644" i="5"/>
  <c r="O644" i="5"/>
  <c r="J643" i="5"/>
  <c r="K643" i="5"/>
  <c r="L643" i="5"/>
  <c r="N643" i="5"/>
  <c r="O643" i="5" s="1"/>
  <c r="J642" i="5"/>
  <c r="K642" i="5"/>
  <c r="L642" i="5"/>
  <c r="N642" i="5"/>
  <c r="O642" i="5" s="1"/>
  <c r="J641" i="5"/>
  <c r="K641" i="5"/>
  <c r="L641" i="5"/>
  <c r="N641" i="5"/>
  <c r="O641" i="5" s="1"/>
  <c r="J640" i="5"/>
  <c r="K640" i="5"/>
  <c r="L640" i="5"/>
  <c r="N640" i="5"/>
  <c r="O640" i="5"/>
  <c r="J639" i="5"/>
  <c r="K639" i="5"/>
  <c r="L639" i="5"/>
  <c r="N639" i="5"/>
  <c r="O639" i="5" s="1"/>
  <c r="J638" i="5"/>
  <c r="K638" i="5"/>
  <c r="L638" i="5"/>
  <c r="N638" i="5"/>
  <c r="O638" i="5" s="1"/>
  <c r="J637" i="5"/>
  <c r="K637" i="5"/>
  <c r="L637" i="5"/>
  <c r="N637" i="5"/>
  <c r="O637" i="5" s="1"/>
  <c r="J636" i="5"/>
  <c r="K636" i="5"/>
  <c r="L636" i="5"/>
  <c r="N636" i="5"/>
  <c r="O636" i="5"/>
  <c r="J635" i="5"/>
  <c r="K635" i="5"/>
  <c r="L635" i="5"/>
  <c r="N635" i="5"/>
  <c r="O635" i="5" s="1"/>
  <c r="J634" i="5"/>
  <c r="K634" i="5"/>
  <c r="L634" i="5"/>
  <c r="N634" i="5"/>
  <c r="O634" i="5" s="1"/>
  <c r="J633" i="5"/>
  <c r="K633" i="5"/>
  <c r="L633" i="5"/>
  <c r="N633" i="5"/>
  <c r="O633" i="5" s="1"/>
  <c r="J632" i="5"/>
  <c r="K632" i="5"/>
  <c r="L632" i="5"/>
  <c r="N632" i="5"/>
  <c r="O632" i="5"/>
  <c r="J631" i="5"/>
  <c r="K631" i="5"/>
  <c r="L631" i="5"/>
  <c r="N631" i="5"/>
  <c r="O631" i="5" s="1"/>
  <c r="J630" i="5"/>
  <c r="K630" i="5"/>
  <c r="L630" i="5"/>
  <c r="N630" i="5"/>
  <c r="O630" i="5" s="1"/>
  <c r="J629" i="5"/>
  <c r="K629" i="5"/>
  <c r="L629" i="5"/>
  <c r="N629" i="5"/>
  <c r="O629" i="5" s="1"/>
  <c r="J628" i="5"/>
  <c r="K628" i="5"/>
  <c r="L628" i="5"/>
  <c r="N628" i="5"/>
  <c r="O628" i="5"/>
  <c r="J627" i="5"/>
  <c r="K627" i="5"/>
  <c r="L627" i="5"/>
  <c r="N627" i="5"/>
  <c r="O627" i="5" s="1"/>
  <c r="J626" i="5"/>
  <c r="K626" i="5"/>
  <c r="L626" i="5"/>
  <c r="N626" i="5"/>
  <c r="O626" i="5" s="1"/>
  <c r="J625" i="5"/>
  <c r="K625" i="5"/>
  <c r="L625" i="5"/>
  <c r="N625" i="5"/>
  <c r="O625" i="5" s="1"/>
  <c r="J624" i="5"/>
  <c r="K624" i="5"/>
  <c r="L624" i="5"/>
  <c r="N624" i="5"/>
  <c r="O624" i="5"/>
  <c r="J623" i="5"/>
  <c r="K623" i="5"/>
  <c r="L623" i="5"/>
  <c r="N623" i="5"/>
  <c r="O623" i="5" s="1"/>
  <c r="J622" i="5"/>
  <c r="K622" i="5"/>
  <c r="L622" i="5"/>
  <c r="N622" i="5"/>
  <c r="O622" i="5" s="1"/>
  <c r="J621" i="5"/>
  <c r="K621" i="5"/>
  <c r="L621" i="5"/>
  <c r="N621" i="5"/>
  <c r="O621" i="5" s="1"/>
  <c r="J620" i="5"/>
  <c r="K620" i="5"/>
  <c r="L620" i="5"/>
  <c r="N620" i="5"/>
  <c r="O620" i="5"/>
  <c r="J619" i="5"/>
  <c r="K619" i="5"/>
  <c r="L619" i="5"/>
  <c r="N619" i="5"/>
  <c r="O619" i="5" s="1"/>
  <c r="J618" i="5"/>
  <c r="K618" i="5"/>
  <c r="L618" i="5"/>
  <c r="N618" i="5"/>
  <c r="O618" i="5" s="1"/>
  <c r="J617" i="5"/>
  <c r="K617" i="5"/>
  <c r="L617" i="5"/>
  <c r="N617" i="5"/>
  <c r="O617" i="5" s="1"/>
  <c r="J616" i="5"/>
  <c r="K616" i="5"/>
  <c r="L616" i="5"/>
  <c r="N616" i="5"/>
  <c r="O616" i="5" s="1"/>
  <c r="J615" i="5"/>
  <c r="K615" i="5"/>
  <c r="L615" i="5"/>
  <c r="N615" i="5"/>
  <c r="O615" i="5" s="1"/>
  <c r="J614" i="5"/>
  <c r="K614" i="5"/>
  <c r="L614" i="5"/>
  <c r="N614" i="5"/>
  <c r="O614" i="5" s="1"/>
  <c r="J613" i="5"/>
  <c r="K613" i="5"/>
  <c r="L613" i="5"/>
  <c r="N613" i="5"/>
  <c r="O613" i="5" s="1"/>
  <c r="J612" i="5"/>
  <c r="K612" i="5"/>
  <c r="L612" i="5"/>
  <c r="N612" i="5"/>
  <c r="O612" i="5" s="1"/>
  <c r="J611" i="5"/>
  <c r="K611" i="5"/>
  <c r="L611" i="5"/>
  <c r="N611" i="5"/>
  <c r="O611" i="5" s="1"/>
  <c r="J610" i="5"/>
  <c r="K610" i="5"/>
  <c r="L610" i="5"/>
  <c r="N610" i="5"/>
  <c r="O610" i="5" s="1"/>
  <c r="J609" i="5"/>
  <c r="K609" i="5"/>
  <c r="L609" i="5"/>
  <c r="N609" i="5"/>
  <c r="O609" i="5" s="1"/>
  <c r="J608" i="5"/>
  <c r="K608" i="5"/>
  <c r="L608" i="5"/>
  <c r="N608" i="5"/>
  <c r="O608" i="5" s="1"/>
  <c r="J607" i="5"/>
  <c r="K607" i="5"/>
  <c r="L607" i="5"/>
  <c r="N607" i="5"/>
  <c r="O607" i="5" s="1"/>
  <c r="J606" i="5"/>
  <c r="K606" i="5"/>
  <c r="L606" i="5"/>
  <c r="N606" i="5"/>
  <c r="O606" i="5" s="1"/>
  <c r="J605" i="5"/>
  <c r="K605" i="5"/>
  <c r="L605" i="5"/>
  <c r="N605" i="5"/>
  <c r="O605" i="5" s="1"/>
  <c r="J604" i="5"/>
  <c r="K604" i="5"/>
  <c r="L604" i="5"/>
  <c r="N604" i="5"/>
  <c r="O604" i="5" s="1"/>
  <c r="J603" i="5"/>
  <c r="K603" i="5"/>
  <c r="L603" i="5"/>
  <c r="N603" i="5"/>
  <c r="O603" i="5" s="1"/>
  <c r="J602" i="5"/>
  <c r="K602" i="5"/>
  <c r="L602" i="5"/>
  <c r="N602" i="5"/>
  <c r="O602" i="5" s="1"/>
  <c r="J601" i="5"/>
  <c r="K601" i="5"/>
  <c r="L601" i="5"/>
  <c r="N601" i="5"/>
  <c r="O601" i="5" s="1"/>
  <c r="J600" i="5"/>
  <c r="K600" i="5"/>
  <c r="L600" i="5"/>
  <c r="N600" i="5"/>
  <c r="O600" i="5" s="1"/>
  <c r="J599" i="5"/>
  <c r="K599" i="5"/>
  <c r="L599" i="5"/>
  <c r="N599" i="5"/>
  <c r="O599" i="5" s="1"/>
  <c r="J598" i="5"/>
  <c r="K598" i="5"/>
  <c r="L598" i="5"/>
  <c r="N598" i="5"/>
  <c r="O598" i="5" s="1"/>
  <c r="J597" i="5"/>
  <c r="K597" i="5"/>
  <c r="L597" i="5"/>
  <c r="N597" i="5"/>
  <c r="O597" i="5" s="1"/>
  <c r="J596" i="5"/>
  <c r="K596" i="5"/>
  <c r="L596" i="5"/>
  <c r="N596" i="5"/>
  <c r="O596" i="5" s="1"/>
  <c r="J595" i="5"/>
  <c r="K595" i="5"/>
  <c r="L595" i="5"/>
  <c r="N595" i="5"/>
  <c r="O595" i="5" s="1"/>
  <c r="J594" i="5"/>
  <c r="K594" i="5"/>
  <c r="L594" i="5"/>
  <c r="N594" i="5"/>
  <c r="O594" i="5" s="1"/>
  <c r="J593" i="5"/>
  <c r="K593" i="5"/>
  <c r="L593" i="5"/>
  <c r="N593" i="5"/>
  <c r="O593" i="5" s="1"/>
  <c r="J592" i="5"/>
  <c r="K592" i="5"/>
  <c r="L592" i="5"/>
  <c r="N592" i="5"/>
  <c r="O592" i="5" s="1"/>
  <c r="J591" i="5"/>
  <c r="K591" i="5"/>
  <c r="L591" i="5"/>
  <c r="N591" i="5"/>
  <c r="O591" i="5" s="1"/>
  <c r="J590" i="5"/>
  <c r="K590" i="5"/>
  <c r="L590" i="5"/>
  <c r="N590" i="5"/>
  <c r="O590" i="5" s="1"/>
  <c r="J589" i="5"/>
  <c r="K589" i="5"/>
  <c r="L589" i="5"/>
  <c r="N589" i="5"/>
  <c r="O589" i="5" s="1"/>
  <c r="J588" i="5"/>
  <c r="K588" i="5"/>
  <c r="L588" i="5"/>
  <c r="N588" i="5"/>
  <c r="O588" i="5" s="1"/>
  <c r="J587" i="5"/>
  <c r="K587" i="5"/>
  <c r="L587" i="5"/>
  <c r="N587" i="5"/>
  <c r="O587" i="5" s="1"/>
  <c r="J586" i="5"/>
  <c r="K586" i="5"/>
  <c r="L586" i="5"/>
  <c r="N586" i="5"/>
  <c r="O586" i="5" s="1"/>
  <c r="J585" i="5"/>
  <c r="K585" i="5"/>
  <c r="L585" i="5"/>
  <c r="N585" i="5"/>
  <c r="O585" i="5" s="1"/>
  <c r="J584" i="5"/>
  <c r="K584" i="5"/>
  <c r="L584" i="5"/>
  <c r="N584" i="5"/>
  <c r="O584" i="5" s="1"/>
  <c r="J583" i="5"/>
  <c r="K583" i="5"/>
  <c r="L583" i="5"/>
  <c r="N583" i="5"/>
  <c r="O583" i="5" s="1"/>
  <c r="J582" i="5"/>
  <c r="K582" i="5"/>
  <c r="L582" i="5"/>
  <c r="N582" i="5"/>
  <c r="O582" i="5" s="1"/>
  <c r="J581" i="5"/>
  <c r="K581" i="5"/>
  <c r="L581" i="5"/>
  <c r="N581" i="5"/>
  <c r="O581" i="5" s="1"/>
  <c r="J580" i="5"/>
  <c r="K580" i="5"/>
  <c r="L580" i="5"/>
  <c r="N580" i="5"/>
  <c r="O580" i="5" s="1"/>
  <c r="J579" i="5"/>
  <c r="K579" i="5"/>
  <c r="L579" i="5"/>
  <c r="N579" i="5"/>
  <c r="O579" i="5" s="1"/>
  <c r="J578" i="5"/>
  <c r="K578" i="5"/>
  <c r="L578" i="5"/>
  <c r="N578" i="5"/>
  <c r="O578" i="5" s="1"/>
  <c r="J577" i="5"/>
  <c r="K577" i="5"/>
  <c r="L577" i="5"/>
  <c r="N577" i="5"/>
  <c r="O577" i="5" s="1"/>
  <c r="J576" i="5"/>
  <c r="K576" i="5"/>
  <c r="L576" i="5"/>
  <c r="N576" i="5"/>
  <c r="O576" i="5" s="1"/>
  <c r="J575" i="5"/>
  <c r="K575" i="5"/>
  <c r="L575" i="5"/>
  <c r="N575" i="5"/>
  <c r="O575" i="5" s="1"/>
  <c r="J574" i="5"/>
  <c r="K574" i="5"/>
  <c r="L574" i="5"/>
  <c r="N574" i="5"/>
  <c r="O574" i="5" s="1"/>
  <c r="J573" i="5"/>
  <c r="K573" i="5"/>
  <c r="L573" i="5"/>
  <c r="N573" i="5"/>
  <c r="O573" i="5" s="1"/>
  <c r="J572" i="5"/>
  <c r="K572" i="5"/>
  <c r="L572" i="5"/>
  <c r="N572" i="5"/>
  <c r="O572" i="5" s="1"/>
  <c r="J571" i="5"/>
  <c r="K571" i="5"/>
  <c r="L571" i="5"/>
  <c r="N571" i="5"/>
  <c r="O571" i="5" s="1"/>
  <c r="J570" i="5"/>
  <c r="K570" i="5"/>
  <c r="L570" i="5"/>
  <c r="N570" i="5"/>
  <c r="O570" i="5" s="1"/>
  <c r="J569" i="5"/>
  <c r="K569" i="5"/>
  <c r="L569" i="5"/>
  <c r="N569" i="5"/>
  <c r="O569" i="5" s="1"/>
  <c r="J568" i="5"/>
  <c r="K568" i="5"/>
  <c r="L568" i="5"/>
  <c r="N568" i="5"/>
  <c r="O568" i="5" s="1"/>
  <c r="J567" i="5"/>
  <c r="K567" i="5"/>
  <c r="L567" i="5"/>
  <c r="N567" i="5"/>
  <c r="O567" i="5" s="1"/>
  <c r="J566" i="5"/>
  <c r="K566" i="5"/>
  <c r="L566" i="5"/>
  <c r="N566" i="5"/>
  <c r="O566" i="5" s="1"/>
  <c r="J565" i="5"/>
  <c r="K565" i="5"/>
  <c r="L565" i="5"/>
  <c r="N565" i="5"/>
  <c r="O565" i="5" s="1"/>
  <c r="J564" i="5"/>
  <c r="K564" i="5"/>
  <c r="L564" i="5"/>
  <c r="N564" i="5"/>
  <c r="O564" i="5" s="1"/>
  <c r="J563" i="5"/>
  <c r="K563" i="5"/>
  <c r="L563" i="5"/>
  <c r="N563" i="5"/>
  <c r="O563" i="5" s="1"/>
  <c r="J562" i="5"/>
  <c r="K562" i="5"/>
  <c r="L562" i="5"/>
  <c r="N562" i="5"/>
  <c r="O562" i="5" s="1"/>
  <c r="J561" i="5"/>
  <c r="K561" i="5"/>
  <c r="L561" i="5"/>
  <c r="N561" i="5"/>
  <c r="O561" i="5" s="1"/>
  <c r="J560" i="5"/>
  <c r="K560" i="5"/>
  <c r="L560" i="5"/>
  <c r="N560" i="5"/>
  <c r="O560" i="5" s="1"/>
  <c r="J559" i="5"/>
  <c r="K559" i="5"/>
  <c r="L559" i="5"/>
  <c r="N559" i="5"/>
  <c r="O559" i="5" s="1"/>
  <c r="J558" i="5"/>
  <c r="K558" i="5"/>
  <c r="L558" i="5"/>
  <c r="N558" i="5"/>
  <c r="O558" i="5" s="1"/>
  <c r="J557" i="5"/>
  <c r="K557" i="5"/>
  <c r="L557" i="5"/>
  <c r="N557" i="5"/>
  <c r="O557" i="5" s="1"/>
  <c r="J556" i="5"/>
  <c r="K556" i="5"/>
  <c r="L556" i="5"/>
  <c r="N556" i="5"/>
  <c r="O556" i="5" s="1"/>
  <c r="J555" i="5"/>
  <c r="K555" i="5"/>
  <c r="L555" i="5"/>
  <c r="N555" i="5"/>
  <c r="O555" i="5" s="1"/>
  <c r="J554" i="5"/>
  <c r="K554" i="5"/>
  <c r="L554" i="5"/>
  <c r="N554" i="5"/>
  <c r="O554" i="5" s="1"/>
  <c r="J553" i="5"/>
  <c r="K553" i="5"/>
  <c r="L553" i="5"/>
  <c r="N553" i="5"/>
  <c r="O553" i="5" s="1"/>
  <c r="J552" i="5"/>
  <c r="K552" i="5"/>
  <c r="L552" i="5"/>
  <c r="N552" i="5"/>
  <c r="O552" i="5" s="1"/>
  <c r="J551" i="5"/>
  <c r="K551" i="5"/>
  <c r="L551" i="5"/>
  <c r="N551" i="5"/>
  <c r="O551" i="5" s="1"/>
  <c r="J550" i="5"/>
  <c r="K550" i="5"/>
  <c r="L550" i="5"/>
  <c r="N550" i="5"/>
  <c r="O550" i="5" s="1"/>
  <c r="J549" i="5"/>
  <c r="K549" i="5"/>
  <c r="L549" i="5"/>
  <c r="N549" i="5"/>
  <c r="O549" i="5" s="1"/>
  <c r="J548" i="5"/>
  <c r="K548" i="5"/>
  <c r="L548" i="5"/>
  <c r="N548" i="5"/>
  <c r="O548" i="5"/>
  <c r="J547" i="5"/>
  <c r="K547" i="5"/>
  <c r="L547" i="5"/>
  <c r="N547" i="5"/>
  <c r="O547" i="5" s="1"/>
  <c r="J546" i="5"/>
  <c r="K546" i="5"/>
  <c r="L546" i="5"/>
  <c r="N546" i="5"/>
  <c r="O546" i="5" s="1"/>
  <c r="J545" i="5"/>
  <c r="K545" i="5"/>
  <c r="L545" i="5"/>
  <c r="N545" i="5"/>
  <c r="O545" i="5" s="1"/>
  <c r="J544" i="5"/>
  <c r="K544" i="5"/>
  <c r="L544" i="5"/>
  <c r="N544" i="5"/>
  <c r="O544" i="5" s="1"/>
  <c r="J543" i="5"/>
  <c r="K543" i="5"/>
  <c r="L543" i="5"/>
  <c r="N543" i="5"/>
  <c r="O543" i="5" s="1"/>
  <c r="J542" i="5"/>
  <c r="K542" i="5"/>
  <c r="L542" i="5"/>
  <c r="N542" i="5"/>
  <c r="O542" i="5"/>
  <c r="J541" i="5"/>
  <c r="K541" i="5"/>
  <c r="L541" i="5"/>
  <c r="N541" i="5"/>
  <c r="O541" i="5" s="1"/>
  <c r="J540" i="5"/>
  <c r="K540" i="5"/>
  <c r="L540" i="5"/>
  <c r="N540" i="5"/>
  <c r="O540" i="5"/>
  <c r="J539" i="5"/>
  <c r="K539" i="5"/>
  <c r="L539" i="5"/>
  <c r="N539" i="5"/>
  <c r="O539" i="5" s="1"/>
  <c r="J538" i="5"/>
  <c r="K538" i="5"/>
  <c r="L538" i="5"/>
  <c r="N538" i="5"/>
  <c r="O538" i="5" s="1"/>
  <c r="J537" i="5"/>
  <c r="K537" i="5"/>
  <c r="L537" i="5"/>
  <c r="N537" i="5"/>
  <c r="O537" i="5" s="1"/>
  <c r="J536" i="5"/>
  <c r="K536" i="5"/>
  <c r="L536" i="5"/>
  <c r="N536" i="5"/>
  <c r="O536" i="5" s="1"/>
  <c r="J535" i="5"/>
  <c r="K535" i="5"/>
  <c r="L535" i="5"/>
  <c r="N535" i="5"/>
  <c r="O535" i="5" s="1"/>
  <c r="J534" i="5"/>
  <c r="K534" i="5"/>
  <c r="L534" i="5"/>
  <c r="N534" i="5"/>
  <c r="O534" i="5"/>
  <c r="J533" i="5"/>
  <c r="K533" i="5"/>
  <c r="L533" i="5"/>
  <c r="N533" i="5"/>
  <c r="O533" i="5" s="1"/>
  <c r="J532" i="5"/>
  <c r="K532" i="5"/>
  <c r="L532" i="5"/>
  <c r="N532" i="5"/>
  <c r="O532" i="5"/>
  <c r="J531" i="5"/>
  <c r="K531" i="5"/>
  <c r="L531" i="5"/>
  <c r="N531" i="5"/>
  <c r="O531" i="5" s="1"/>
  <c r="J530" i="5"/>
  <c r="K530" i="5"/>
  <c r="L530" i="5"/>
  <c r="N530" i="5"/>
  <c r="O530" i="5" s="1"/>
  <c r="J529" i="5"/>
  <c r="K529" i="5"/>
  <c r="L529" i="5"/>
  <c r="N529" i="5"/>
  <c r="O529" i="5" s="1"/>
  <c r="J528" i="5"/>
  <c r="K528" i="5"/>
  <c r="L528" i="5"/>
  <c r="N528" i="5"/>
  <c r="O528" i="5" s="1"/>
  <c r="J527" i="5"/>
  <c r="K527" i="5"/>
  <c r="L527" i="5"/>
  <c r="N527" i="5"/>
  <c r="O527" i="5" s="1"/>
  <c r="J526" i="5"/>
  <c r="K526" i="5"/>
  <c r="L526" i="5"/>
  <c r="N526" i="5"/>
  <c r="O526" i="5"/>
  <c r="J525" i="5"/>
  <c r="K525" i="5"/>
  <c r="L525" i="5"/>
  <c r="N525" i="5"/>
  <c r="O525" i="5" s="1"/>
  <c r="J524" i="5"/>
  <c r="K524" i="5"/>
  <c r="L524" i="5"/>
  <c r="N524" i="5"/>
  <c r="O524" i="5"/>
  <c r="J523" i="5"/>
  <c r="K523" i="5"/>
  <c r="L523" i="5"/>
  <c r="N523" i="5"/>
  <c r="O523" i="5" s="1"/>
  <c r="J522" i="5"/>
  <c r="K522" i="5"/>
  <c r="L522" i="5"/>
  <c r="N522" i="5"/>
  <c r="O522" i="5" s="1"/>
  <c r="J521" i="5"/>
  <c r="K521" i="5"/>
  <c r="L521" i="5"/>
  <c r="N521" i="5"/>
  <c r="O521" i="5" s="1"/>
  <c r="J520" i="5"/>
  <c r="K520" i="5"/>
  <c r="L520" i="5"/>
  <c r="N520" i="5"/>
  <c r="O520" i="5" s="1"/>
  <c r="J519" i="5"/>
  <c r="K519" i="5"/>
  <c r="L519" i="5"/>
  <c r="N519" i="5"/>
  <c r="O519" i="5" s="1"/>
  <c r="J518" i="5"/>
  <c r="K518" i="5"/>
  <c r="L518" i="5"/>
  <c r="N518" i="5"/>
  <c r="O518" i="5"/>
  <c r="J517" i="5"/>
  <c r="K517" i="5"/>
  <c r="L517" i="5"/>
  <c r="N517" i="5"/>
  <c r="O517" i="5" s="1"/>
  <c r="J516" i="5"/>
  <c r="K516" i="5"/>
  <c r="L516" i="5"/>
  <c r="N516" i="5"/>
  <c r="O516" i="5"/>
  <c r="J515" i="5"/>
  <c r="K515" i="5"/>
  <c r="L515" i="5"/>
  <c r="N515" i="5"/>
  <c r="O515" i="5" s="1"/>
  <c r="J514" i="5"/>
  <c r="K514" i="5"/>
  <c r="L514" i="5"/>
  <c r="N514" i="5"/>
  <c r="O514" i="5" s="1"/>
  <c r="J513" i="5"/>
  <c r="K513" i="5"/>
  <c r="L513" i="5"/>
  <c r="N513" i="5"/>
  <c r="O513" i="5" s="1"/>
  <c r="J512" i="5"/>
  <c r="K512" i="5"/>
  <c r="L512" i="5"/>
  <c r="N512" i="5"/>
  <c r="O512" i="5" s="1"/>
  <c r="J511" i="5"/>
  <c r="K511" i="5"/>
  <c r="L511" i="5"/>
  <c r="N511" i="5"/>
  <c r="O511" i="5" s="1"/>
  <c r="J510" i="5"/>
  <c r="K510" i="5"/>
  <c r="L510" i="5"/>
  <c r="N510" i="5"/>
  <c r="O510" i="5"/>
  <c r="J509" i="5"/>
  <c r="K509" i="5"/>
  <c r="L509" i="5"/>
  <c r="N509" i="5"/>
  <c r="O509" i="5" s="1"/>
  <c r="J508" i="5"/>
  <c r="K508" i="5"/>
  <c r="L508" i="5"/>
  <c r="N508" i="5"/>
  <c r="O508" i="5"/>
  <c r="J507" i="5"/>
  <c r="K507" i="5"/>
  <c r="L507" i="5"/>
  <c r="N507" i="5"/>
  <c r="O507" i="5" s="1"/>
  <c r="J506" i="5"/>
  <c r="K506" i="5"/>
  <c r="L506" i="5"/>
  <c r="N506" i="5"/>
  <c r="O506" i="5" s="1"/>
  <c r="J505" i="5"/>
  <c r="K505" i="5"/>
  <c r="L505" i="5"/>
  <c r="N505" i="5"/>
  <c r="O505" i="5" s="1"/>
  <c r="J504" i="5"/>
  <c r="K504" i="5"/>
  <c r="L504" i="5"/>
  <c r="N504" i="5"/>
  <c r="O504" i="5" s="1"/>
  <c r="J503" i="5"/>
  <c r="K503" i="5"/>
  <c r="L503" i="5"/>
  <c r="N503" i="5"/>
  <c r="O503" i="5" s="1"/>
  <c r="J502" i="5"/>
  <c r="K502" i="5"/>
  <c r="L502" i="5"/>
  <c r="N502" i="5"/>
  <c r="O502" i="5"/>
  <c r="J501" i="5"/>
  <c r="K501" i="5"/>
  <c r="L501" i="5"/>
  <c r="N501" i="5"/>
  <c r="O501" i="5" s="1"/>
  <c r="J500" i="5"/>
  <c r="K500" i="5"/>
  <c r="L500" i="5"/>
  <c r="N500" i="5"/>
  <c r="O500" i="5"/>
  <c r="J499" i="5"/>
  <c r="K499" i="5"/>
  <c r="L499" i="5"/>
  <c r="N499" i="5"/>
  <c r="O499" i="5" s="1"/>
  <c r="J498" i="5"/>
  <c r="K498" i="5"/>
  <c r="L498" i="5"/>
  <c r="N498" i="5"/>
  <c r="O498" i="5" s="1"/>
  <c r="J497" i="5"/>
  <c r="K497" i="5"/>
  <c r="L497" i="5"/>
  <c r="N497" i="5"/>
  <c r="O497" i="5" s="1"/>
  <c r="J496" i="5"/>
  <c r="K496" i="5"/>
  <c r="L496" i="5"/>
  <c r="N496" i="5"/>
  <c r="O496" i="5" s="1"/>
  <c r="J495" i="5"/>
  <c r="K495" i="5"/>
  <c r="L495" i="5"/>
  <c r="N495" i="5"/>
  <c r="O495" i="5" s="1"/>
  <c r="J494" i="5"/>
  <c r="K494" i="5"/>
  <c r="L494" i="5"/>
  <c r="N494" i="5"/>
  <c r="O494" i="5"/>
  <c r="J493" i="5"/>
  <c r="K493" i="5"/>
  <c r="L493" i="5"/>
  <c r="N493" i="5"/>
  <c r="O493" i="5" s="1"/>
  <c r="J492" i="5"/>
  <c r="K492" i="5"/>
  <c r="L492" i="5"/>
  <c r="N492" i="5"/>
  <c r="O492" i="5"/>
  <c r="J491" i="5"/>
  <c r="K491" i="5"/>
  <c r="L491" i="5"/>
  <c r="N491" i="5"/>
  <c r="O491" i="5" s="1"/>
  <c r="J490" i="5"/>
  <c r="K490" i="5"/>
  <c r="L490" i="5"/>
  <c r="N490" i="5"/>
  <c r="O490" i="5"/>
  <c r="J489" i="5"/>
  <c r="K489" i="5"/>
  <c r="L489" i="5"/>
  <c r="N489" i="5"/>
  <c r="O489" i="5" s="1"/>
  <c r="J488" i="5"/>
  <c r="K488" i="5"/>
  <c r="L488" i="5"/>
  <c r="N488" i="5"/>
  <c r="O488" i="5"/>
  <c r="J487" i="5"/>
  <c r="K487" i="5"/>
  <c r="L487" i="5"/>
  <c r="N487" i="5"/>
  <c r="O487" i="5" s="1"/>
  <c r="J486" i="5"/>
  <c r="K486" i="5"/>
  <c r="L486" i="5"/>
  <c r="N486" i="5"/>
  <c r="O486" i="5"/>
  <c r="J485" i="5"/>
  <c r="K485" i="5"/>
  <c r="L485" i="5"/>
  <c r="N485" i="5"/>
  <c r="O485" i="5" s="1"/>
  <c r="J484" i="5"/>
  <c r="K484" i="5"/>
  <c r="L484" i="5"/>
  <c r="N484" i="5"/>
  <c r="O484" i="5"/>
  <c r="J483" i="5"/>
  <c r="K483" i="5"/>
  <c r="L483" i="5"/>
  <c r="N483" i="5"/>
  <c r="O483" i="5" s="1"/>
  <c r="J482" i="5"/>
  <c r="K482" i="5"/>
  <c r="L482" i="5"/>
  <c r="N482" i="5"/>
  <c r="O482" i="5"/>
  <c r="J481" i="5"/>
  <c r="K481" i="5"/>
  <c r="L481" i="5"/>
  <c r="N481" i="5"/>
  <c r="O481" i="5" s="1"/>
  <c r="J480" i="5"/>
  <c r="K480" i="5"/>
  <c r="L480" i="5"/>
  <c r="N480" i="5"/>
  <c r="O480" i="5"/>
  <c r="J479" i="5"/>
  <c r="K479" i="5"/>
  <c r="L479" i="5"/>
  <c r="N479" i="5"/>
  <c r="O479" i="5" s="1"/>
  <c r="J478" i="5"/>
  <c r="K478" i="5"/>
  <c r="L478" i="5"/>
  <c r="N478" i="5"/>
  <c r="O478" i="5"/>
  <c r="J477" i="5"/>
  <c r="K477" i="5"/>
  <c r="L477" i="5"/>
  <c r="N477" i="5"/>
  <c r="O477" i="5" s="1"/>
  <c r="J476" i="5"/>
  <c r="K476" i="5"/>
  <c r="L476" i="5"/>
  <c r="N476" i="5"/>
  <c r="O476" i="5"/>
  <c r="J475" i="5"/>
  <c r="K475" i="5"/>
  <c r="L475" i="5"/>
  <c r="N475" i="5"/>
  <c r="O475" i="5" s="1"/>
  <c r="J474" i="5"/>
  <c r="K474" i="5"/>
  <c r="L474" i="5"/>
  <c r="N474" i="5"/>
  <c r="O474" i="5"/>
  <c r="J473" i="5"/>
  <c r="K473" i="5"/>
  <c r="L473" i="5"/>
  <c r="N473" i="5"/>
  <c r="O473" i="5" s="1"/>
  <c r="J472" i="5"/>
  <c r="K472" i="5"/>
  <c r="L472" i="5"/>
  <c r="N472" i="5"/>
  <c r="O472" i="5"/>
  <c r="J471" i="5"/>
  <c r="K471" i="5"/>
  <c r="L471" i="5"/>
  <c r="N471" i="5"/>
  <c r="O471" i="5" s="1"/>
  <c r="J470" i="5"/>
  <c r="K470" i="5"/>
  <c r="L470" i="5"/>
  <c r="N470" i="5"/>
  <c r="O470" i="5"/>
  <c r="J469" i="5"/>
  <c r="K469" i="5"/>
  <c r="L469" i="5"/>
  <c r="N469" i="5"/>
  <c r="O469" i="5" s="1"/>
  <c r="J468" i="5"/>
  <c r="K468" i="5"/>
  <c r="L468" i="5"/>
  <c r="N468" i="5"/>
  <c r="O468" i="5"/>
  <c r="J467" i="5"/>
  <c r="K467" i="5"/>
  <c r="L467" i="5"/>
  <c r="N467" i="5"/>
  <c r="O467" i="5" s="1"/>
  <c r="J466" i="5"/>
  <c r="K466" i="5"/>
  <c r="L466" i="5"/>
  <c r="N466" i="5"/>
  <c r="O466" i="5"/>
  <c r="J465" i="5"/>
  <c r="K465" i="5"/>
  <c r="L465" i="5"/>
  <c r="N465" i="5"/>
  <c r="O465" i="5" s="1"/>
  <c r="J464" i="5"/>
  <c r="K464" i="5"/>
  <c r="L464" i="5"/>
  <c r="N464" i="5"/>
  <c r="O464" i="5"/>
  <c r="J463" i="5"/>
  <c r="K463" i="5"/>
  <c r="L463" i="5"/>
  <c r="N463" i="5"/>
  <c r="O463" i="5" s="1"/>
  <c r="J462" i="5"/>
  <c r="K462" i="5"/>
  <c r="L462" i="5"/>
  <c r="N462" i="5"/>
  <c r="O462" i="5"/>
  <c r="J461" i="5"/>
  <c r="K461" i="5"/>
  <c r="L461" i="5"/>
  <c r="N461" i="5"/>
  <c r="O461" i="5" s="1"/>
  <c r="J460" i="5"/>
  <c r="K460" i="5"/>
  <c r="L460" i="5"/>
  <c r="N460" i="5"/>
  <c r="O460" i="5"/>
  <c r="J459" i="5"/>
  <c r="K459" i="5"/>
  <c r="L459" i="5"/>
  <c r="N459" i="5"/>
  <c r="O459" i="5" s="1"/>
  <c r="J458" i="5"/>
  <c r="K458" i="5"/>
  <c r="L458" i="5"/>
  <c r="N458" i="5"/>
  <c r="O458" i="5"/>
  <c r="J457" i="5"/>
  <c r="K457" i="5"/>
  <c r="L457" i="5"/>
  <c r="N457" i="5"/>
  <c r="O457" i="5" s="1"/>
  <c r="J456" i="5"/>
  <c r="K456" i="5"/>
  <c r="L456" i="5"/>
  <c r="N456" i="5"/>
  <c r="O456" i="5"/>
  <c r="J455" i="5"/>
  <c r="K455" i="5"/>
  <c r="L455" i="5"/>
  <c r="N455" i="5"/>
  <c r="O455" i="5" s="1"/>
  <c r="J454" i="5"/>
  <c r="K454" i="5"/>
  <c r="L454" i="5"/>
  <c r="N454" i="5"/>
  <c r="O454" i="5" s="1"/>
  <c r="J453" i="5"/>
  <c r="K453" i="5"/>
  <c r="L453" i="5"/>
  <c r="N453" i="5"/>
  <c r="O453" i="5" s="1"/>
  <c r="J452" i="5"/>
  <c r="K452" i="5"/>
  <c r="L452" i="5"/>
  <c r="N452" i="5"/>
  <c r="O452" i="5" s="1"/>
  <c r="J451" i="5"/>
  <c r="K451" i="5"/>
  <c r="L451" i="5"/>
  <c r="N451" i="5"/>
  <c r="O451" i="5" s="1"/>
  <c r="J450" i="5"/>
  <c r="K450" i="5"/>
  <c r="L450" i="5"/>
  <c r="N450" i="5"/>
  <c r="O450" i="5" s="1"/>
  <c r="J449" i="5"/>
  <c r="K449" i="5"/>
  <c r="L449" i="5"/>
  <c r="N449" i="5"/>
  <c r="O449" i="5" s="1"/>
  <c r="J448" i="5"/>
  <c r="K448" i="5"/>
  <c r="L448" i="5"/>
  <c r="N448" i="5"/>
  <c r="O448" i="5" s="1"/>
  <c r="J447" i="5"/>
  <c r="K447" i="5"/>
  <c r="L447" i="5"/>
  <c r="N447" i="5"/>
  <c r="O447" i="5" s="1"/>
  <c r="J446" i="5"/>
  <c r="K446" i="5"/>
  <c r="L446" i="5"/>
  <c r="N446" i="5"/>
  <c r="O446" i="5" s="1"/>
  <c r="J445" i="5"/>
  <c r="K445" i="5"/>
  <c r="L445" i="5"/>
  <c r="N445" i="5"/>
  <c r="O445" i="5" s="1"/>
  <c r="J444" i="5"/>
  <c r="K444" i="5"/>
  <c r="L444" i="5"/>
  <c r="N444" i="5"/>
  <c r="O444" i="5" s="1"/>
  <c r="J443" i="5"/>
  <c r="K443" i="5"/>
  <c r="L443" i="5"/>
  <c r="N443" i="5"/>
  <c r="O443" i="5" s="1"/>
  <c r="J442" i="5"/>
  <c r="K442" i="5"/>
  <c r="L442" i="5"/>
  <c r="N442" i="5"/>
  <c r="O442" i="5" s="1"/>
  <c r="J441" i="5"/>
  <c r="K441" i="5"/>
  <c r="L441" i="5"/>
  <c r="N441" i="5"/>
  <c r="O441" i="5" s="1"/>
  <c r="J440" i="5"/>
  <c r="K440" i="5"/>
  <c r="L440" i="5"/>
  <c r="N440" i="5"/>
  <c r="O440" i="5" s="1"/>
  <c r="J439" i="5"/>
  <c r="K439" i="5"/>
  <c r="L439" i="5"/>
  <c r="N439" i="5"/>
  <c r="O439" i="5" s="1"/>
  <c r="J438" i="5"/>
  <c r="K438" i="5"/>
  <c r="L438" i="5"/>
  <c r="N438" i="5"/>
  <c r="O438" i="5" s="1"/>
  <c r="J437" i="5"/>
  <c r="K437" i="5"/>
  <c r="L437" i="5"/>
  <c r="N437" i="5"/>
  <c r="O437" i="5" s="1"/>
  <c r="J436" i="5"/>
  <c r="K436" i="5"/>
  <c r="L436" i="5"/>
  <c r="N436" i="5"/>
  <c r="O436" i="5" s="1"/>
  <c r="J435" i="5"/>
  <c r="K435" i="5"/>
  <c r="L435" i="5"/>
  <c r="N435" i="5"/>
  <c r="O435" i="5" s="1"/>
  <c r="J434" i="5"/>
  <c r="K434" i="5"/>
  <c r="L434" i="5"/>
  <c r="N434" i="5"/>
  <c r="O434" i="5" s="1"/>
  <c r="J433" i="5"/>
  <c r="K433" i="5"/>
  <c r="L433" i="5"/>
  <c r="N433" i="5"/>
  <c r="O433" i="5" s="1"/>
  <c r="J432" i="5"/>
  <c r="K432" i="5"/>
  <c r="L432" i="5"/>
  <c r="N432" i="5"/>
  <c r="O432" i="5" s="1"/>
  <c r="J431" i="5"/>
  <c r="K431" i="5"/>
  <c r="L431" i="5"/>
  <c r="N431" i="5"/>
  <c r="O431" i="5" s="1"/>
  <c r="J430" i="5"/>
  <c r="K430" i="5"/>
  <c r="L430" i="5"/>
  <c r="N430" i="5"/>
  <c r="O430" i="5" s="1"/>
  <c r="J429" i="5"/>
  <c r="K429" i="5"/>
  <c r="L429" i="5"/>
  <c r="N429" i="5"/>
  <c r="O429" i="5" s="1"/>
  <c r="J428" i="5"/>
  <c r="K428" i="5"/>
  <c r="L428" i="5"/>
  <c r="N428" i="5"/>
  <c r="O428" i="5" s="1"/>
  <c r="J427" i="5"/>
  <c r="K427" i="5"/>
  <c r="L427" i="5"/>
  <c r="N427" i="5"/>
  <c r="O427" i="5" s="1"/>
  <c r="J426" i="5"/>
  <c r="K426" i="5"/>
  <c r="L426" i="5"/>
  <c r="N426" i="5"/>
  <c r="O426" i="5" s="1"/>
  <c r="J425" i="5"/>
  <c r="K425" i="5"/>
  <c r="L425" i="5"/>
  <c r="N425" i="5"/>
  <c r="O425" i="5" s="1"/>
  <c r="J424" i="5"/>
  <c r="K424" i="5"/>
  <c r="L424" i="5"/>
  <c r="N424" i="5"/>
  <c r="O424" i="5" s="1"/>
  <c r="J423" i="5"/>
  <c r="K423" i="5"/>
  <c r="L423" i="5"/>
  <c r="N423" i="5"/>
  <c r="O423" i="5" s="1"/>
  <c r="J422" i="5"/>
  <c r="K422" i="5"/>
  <c r="L422" i="5"/>
  <c r="N422" i="5"/>
  <c r="O422" i="5" s="1"/>
  <c r="J421" i="5"/>
  <c r="K421" i="5"/>
  <c r="L421" i="5"/>
  <c r="N421" i="5"/>
  <c r="O421" i="5" s="1"/>
  <c r="J420" i="5"/>
  <c r="K420" i="5"/>
  <c r="L420" i="5"/>
  <c r="N420" i="5"/>
  <c r="O420" i="5" s="1"/>
  <c r="J419" i="5"/>
  <c r="K419" i="5"/>
  <c r="L419" i="5"/>
  <c r="N419" i="5"/>
  <c r="O419" i="5" s="1"/>
  <c r="J418" i="5"/>
  <c r="K418" i="5"/>
  <c r="L418" i="5"/>
  <c r="N418" i="5"/>
  <c r="O418" i="5" s="1"/>
  <c r="J417" i="5"/>
  <c r="K417" i="5"/>
  <c r="L417" i="5"/>
  <c r="N417" i="5"/>
  <c r="O417" i="5" s="1"/>
  <c r="J416" i="5"/>
  <c r="K416" i="5"/>
  <c r="L416" i="5"/>
  <c r="N416" i="5"/>
  <c r="O416" i="5" s="1"/>
  <c r="J415" i="5"/>
  <c r="K415" i="5"/>
  <c r="L415" i="5"/>
  <c r="N415" i="5"/>
  <c r="O415" i="5" s="1"/>
  <c r="J414" i="5"/>
  <c r="K414" i="5"/>
  <c r="L414" i="5"/>
  <c r="N414" i="5"/>
  <c r="O414" i="5" s="1"/>
  <c r="J413" i="5"/>
  <c r="K413" i="5"/>
  <c r="L413" i="5"/>
  <c r="N413" i="5"/>
  <c r="O413" i="5" s="1"/>
  <c r="J412" i="5"/>
  <c r="K412" i="5"/>
  <c r="L412" i="5"/>
  <c r="N412" i="5"/>
  <c r="O412" i="5" s="1"/>
  <c r="J411" i="5"/>
  <c r="K411" i="5"/>
  <c r="L411" i="5"/>
  <c r="N411" i="5"/>
  <c r="O411" i="5" s="1"/>
  <c r="J410" i="5"/>
  <c r="K410" i="5"/>
  <c r="L410" i="5"/>
  <c r="N410" i="5"/>
  <c r="O410" i="5" s="1"/>
  <c r="J409" i="5"/>
  <c r="K409" i="5"/>
  <c r="L409" i="5"/>
  <c r="N409" i="5"/>
  <c r="O409" i="5" s="1"/>
  <c r="J408" i="5"/>
  <c r="K408" i="5"/>
  <c r="L408" i="5"/>
  <c r="N408" i="5"/>
  <c r="O408" i="5" s="1"/>
  <c r="J407" i="5"/>
  <c r="K407" i="5"/>
  <c r="L407" i="5"/>
  <c r="N407" i="5"/>
  <c r="O407" i="5" s="1"/>
  <c r="J406" i="5"/>
  <c r="K406" i="5"/>
  <c r="L406" i="5"/>
  <c r="N406" i="5"/>
  <c r="O406" i="5" s="1"/>
  <c r="J405" i="5"/>
  <c r="K405" i="5"/>
  <c r="L405" i="5"/>
  <c r="N405" i="5"/>
  <c r="O405" i="5" s="1"/>
  <c r="J404" i="5"/>
  <c r="K404" i="5"/>
  <c r="L404" i="5"/>
  <c r="N404" i="5"/>
  <c r="O404" i="5" s="1"/>
  <c r="J403" i="5"/>
  <c r="K403" i="5"/>
  <c r="L403" i="5"/>
  <c r="N403" i="5"/>
  <c r="O403" i="5" s="1"/>
  <c r="J402" i="5"/>
  <c r="K402" i="5"/>
  <c r="L402" i="5"/>
  <c r="N402" i="5"/>
  <c r="O402" i="5" s="1"/>
  <c r="J401" i="5"/>
  <c r="K401" i="5"/>
  <c r="L401" i="5"/>
  <c r="N401" i="5"/>
  <c r="O401" i="5" s="1"/>
  <c r="J400" i="5"/>
  <c r="K400" i="5"/>
  <c r="L400" i="5"/>
  <c r="N400" i="5"/>
  <c r="O400" i="5" s="1"/>
  <c r="J399" i="5"/>
  <c r="K399" i="5"/>
  <c r="L399" i="5"/>
  <c r="N399" i="5"/>
  <c r="O399" i="5" s="1"/>
  <c r="J398" i="5"/>
  <c r="K398" i="5"/>
  <c r="L398" i="5"/>
  <c r="N398" i="5"/>
  <c r="O398" i="5" s="1"/>
  <c r="J397" i="5"/>
  <c r="K397" i="5"/>
  <c r="L397" i="5"/>
  <c r="N397" i="5"/>
  <c r="O397" i="5" s="1"/>
  <c r="J396" i="5"/>
  <c r="K396" i="5"/>
  <c r="L396" i="5"/>
  <c r="N396" i="5"/>
  <c r="O396" i="5" s="1"/>
  <c r="J395" i="5"/>
  <c r="K395" i="5"/>
  <c r="L395" i="5"/>
  <c r="N395" i="5"/>
  <c r="O395" i="5" s="1"/>
  <c r="J394" i="5"/>
  <c r="K394" i="5"/>
  <c r="L394" i="5"/>
  <c r="N394" i="5"/>
  <c r="O394" i="5" s="1"/>
  <c r="J393" i="5"/>
  <c r="K393" i="5"/>
  <c r="L393" i="5"/>
  <c r="N393" i="5"/>
  <c r="O393" i="5" s="1"/>
  <c r="J392" i="5"/>
  <c r="K392" i="5"/>
  <c r="L392" i="5"/>
  <c r="N392" i="5"/>
  <c r="O392" i="5" s="1"/>
  <c r="J391" i="5"/>
  <c r="K391" i="5"/>
  <c r="L391" i="5"/>
  <c r="N391" i="5"/>
  <c r="O391" i="5" s="1"/>
  <c r="J390" i="5"/>
  <c r="K390" i="5"/>
  <c r="L390" i="5"/>
  <c r="N390" i="5"/>
  <c r="O390" i="5" s="1"/>
  <c r="J389" i="5"/>
  <c r="K389" i="5"/>
  <c r="L389" i="5"/>
  <c r="N389" i="5"/>
  <c r="O389" i="5" s="1"/>
  <c r="J388" i="5"/>
  <c r="K388" i="5"/>
  <c r="L388" i="5"/>
  <c r="N388" i="5"/>
  <c r="O388" i="5" s="1"/>
  <c r="J387" i="5"/>
  <c r="K387" i="5"/>
  <c r="L387" i="5"/>
  <c r="N387" i="5"/>
  <c r="O387" i="5" s="1"/>
  <c r="J386" i="5"/>
  <c r="K386" i="5"/>
  <c r="L386" i="5"/>
  <c r="N386" i="5"/>
  <c r="O386" i="5" s="1"/>
  <c r="J385" i="5"/>
  <c r="K385" i="5"/>
  <c r="L385" i="5"/>
  <c r="N385" i="5"/>
  <c r="O385" i="5" s="1"/>
  <c r="J384" i="5"/>
  <c r="K384" i="5"/>
  <c r="L384" i="5"/>
  <c r="N384" i="5"/>
  <c r="O384" i="5" s="1"/>
  <c r="J383" i="5"/>
  <c r="K383" i="5"/>
  <c r="L383" i="5"/>
  <c r="N383" i="5"/>
  <c r="O383" i="5" s="1"/>
  <c r="J382" i="5"/>
  <c r="K382" i="5"/>
  <c r="L382" i="5"/>
  <c r="N382" i="5"/>
  <c r="O382" i="5" s="1"/>
  <c r="J381" i="5"/>
  <c r="K381" i="5"/>
  <c r="L381" i="5"/>
  <c r="N381" i="5"/>
  <c r="O381" i="5" s="1"/>
  <c r="J380" i="5"/>
  <c r="K380" i="5"/>
  <c r="L380" i="5"/>
  <c r="N380" i="5"/>
  <c r="O380" i="5" s="1"/>
  <c r="J379" i="5"/>
  <c r="K379" i="5"/>
  <c r="L379" i="5"/>
  <c r="N379" i="5"/>
  <c r="O379" i="5" s="1"/>
  <c r="J378" i="5"/>
  <c r="K378" i="5"/>
  <c r="L378" i="5"/>
  <c r="N378" i="5"/>
  <c r="O378" i="5" s="1"/>
  <c r="J377" i="5"/>
  <c r="K377" i="5"/>
  <c r="L377" i="5"/>
  <c r="N377" i="5"/>
  <c r="O377" i="5" s="1"/>
  <c r="J376" i="5"/>
  <c r="K376" i="5"/>
  <c r="L376" i="5"/>
  <c r="N376" i="5"/>
  <c r="O376" i="5" s="1"/>
  <c r="J375" i="5"/>
  <c r="K375" i="5"/>
  <c r="L375" i="5"/>
  <c r="N375" i="5"/>
  <c r="O375" i="5" s="1"/>
  <c r="J374" i="5"/>
  <c r="K374" i="5"/>
  <c r="L374" i="5"/>
  <c r="N374" i="5"/>
  <c r="O374" i="5" s="1"/>
  <c r="J373" i="5"/>
  <c r="K373" i="5"/>
  <c r="L373" i="5"/>
  <c r="N373" i="5"/>
  <c r="O373" i="5" s="1"/>
  <c r="J372" i="5"/>
  <c r="K372" i="5"/>
  <c r="L372" i="5"/>
  <c r="N372" i="5"/>
  <c r="O372" i="5" s="1"/>
  <c r="J371" i="5"/>
  <c r="K371" i="5"/>
  <c r="L371" i="5"/>
  <c r="N371" i="5"/>
  <c r="O371" i="5" s="1"/>
  <c r="J370" i="5"/>
  <c r="K370" i="5"/>
  <c r="L370" i="5"/>
  <c r="N370" i="5"/>
  <c r="O370" i="5" s="1"/>
  <c r="J369" i="5"/>
  <c r="K369" i="5"/>
  <c r="L369" i="5"/>
  <c r="N369" i="5"/>
  <c r="O369" i="5" s="1"/>
  <c r="J368" i="5"/>
  <c r="K368" i="5"/>
  <c r="L368" i="5"/>
  <c r="N368" i="5"/>
  <c r="O368" i="5" s="1"/>
  <c r="J367" i="5"/>
  <c r="K367" i="5"/>
  <c r="L367" i="5"/>
  <c r="N367" i="5"/>
  <c r="O367" i="5" s="1"/>
  <c r="J366" i="5"/>
  <c r="K366" i="5"/>
  <c r="L366" i="5"/>
  <c r="N366" i="5"/>
  <c r="O366" i="5" s="1"/>
  <c r="J365" i="5"/>
  <c r="K365" i="5"/>
  <c r="L365" i="5"/>
  <c r="N365" i="5"/>
  <c r="O365" i="5" s="1"/>
  <c r="J364" i="5"/>
  <c r="K364" i="5"/>
  <c r="L364" i="5"/>
  <c r="N364" i="5"/>
  <c r="O364" i="5" s="1"/>
  <c r="J363" i="5"/>
  <c r="K363" i="5"/>
  <c r="L363" i="5"/>
  <c r="N363" i="5"/>
  <c r="O363" i="5" s="1"/>
  <c r="J362" i="5"/>
  <c r="K362" i="5"/>
  <c r="L362" i="5"/>
  <c r="N362" i="5"/>
  <c r="O362" i="5" s="1"/>
  <c r="J361" i="5"/>
  <c r="K361" i="5"/>
  <c r="L361" i="5"/>
  <c r="N361" i="5"/>
  <c r="O361" i="5" s="1"/>
  <c r="J360" i="5"/>
  <c r="K360" i="5"/>
  <c r="L360" i="5"/>
  <c r="N360" i="5"/>
  <c r="O360" i="5" s="1"/>
  <c r="J359" i="5"/>
  <c r="K359" i="5"/>
  <c r="L359" i="5"/>
  <c r="N359" i="5"/>
  <c r="O359" i="5" s="1"/>
  <c r="J358" i="5"/>
  <c r="K358" i="5"/>
  <c r="L358" i="5"/>
  <c r="N358" i="5"/>
  <c r="O358" i="5" s="1"/>
  <c r="J357" i="5"/>
  <c r="K357" i="5"/>
  <c r="L357" i="5"/>
  <c r="N357" i="5"/>
  <c r="O357" i="5" s="1"/>
  <c r="J356" i="5"/>
  <c r="K356" i="5"/>
  <c r="L356" i="5"/>
  <c r="N356" i="5"/>
  <c r="O356" i="5" s="1"/>
  <c r="J355" i="5"/>
  <c r="K355" i="5"/>
  <c r="L355" i="5"/>
  <c r="N355" i="5"/>
  <c r="O355" i="5" s="1"/>
  <c r="J354" i="5"/>
  <c r="K354" i="5"/>
  <c r="L354" i="5"/>
  <c r="N354" i="5"/>
  <c r="O354" i="5" s="1"/>
  <c r="J353" i="5"/>
  <c r="K353" i="5"/>
  <c r="L353" i="5"/>
  <c r="N353" i="5"/>
  <c r="O353" i="5" s="1"/>
  <c r="J352" i="5"/>
  <c r="K352" i="5"/>
  <c r="L352" i="5"/>
  <c r="N352" i="5"/>
  <c r="O352" i="5" s="1"/>
  <c r="J351" i="5"/>
  <c r="K351" i="5"/>
  <c r="L351" i="5"/>
  <c r="N351" i="5"/>
  <c r="O351" i="5" s="1"/>
  <c r="J350" i="5"/>
  <c r="K350" i="5"/>
  <c r="L350" i="5"/>
  <c r="N350" i="5"/>
  <c r="O350" i="5" s="1"/>
  <c r="J349" i="5"/>
  <c r="K349" i="5"/>
  <c r="L349" i="5"/>
  <c r="N349" i="5"/>
  <c r="O349" i="5" s="1"/>
  <c r="J348" i="5"/>
  <c r="K348" i="5"/>
  <c r="L348" i="5"/>
  <c r="N348" i="5"/>
  <c r="O348" i="5" s="1"/>
  <c r="J347" i="5"/>
  <c r="K347" i="5"/>
  <c r="L347" i="5"/>
  <c r="N347" i="5"/>
  <c r="O347" i="5" s="1"/>
  <c r="J346" i="5"/>
  <c r="K346" i="5"/>
  <c r="L346" i="5"/>
  <c r="N346" i="5"/>
  <c r="O346" i="5" s="1"/>
  <c r="J345" i="5"/>
  <c r="K345" i="5"/>
  <c r="L345" i="5"/>
  <c r="N345" i="5"/>
  <c r="O345" i="5" s="1"/>
  <c r="J344" i="5"/>
  <c r="K344" i="5"/>
  <c r="L344" i="5"/>
  <c r="N344" i="5"/>
  <c r="O344" i="5" s="1"/>
  <c r="J343" i="5"/>
  <c r="K343" i="5"/>
  <c r="L343" i="5"/>
  <c r="N343" i="5"/>
  <c r="O343" i="5" s="1"/>
  <c r="J342" i="5"/>
  <c r="K342" i="5"/>
  <c r="L342" i="5"/>
  <c r="N342" i="5"/>
  <c r="O342" i="5" s="1"/>
  <c r="J341" i="5"/>
  <c r="K341" i="5"/>
  <c r="L341" i="5"/>
  <c r="N341" i="5"/>
  <c r="O341" i="5" s="1"/>
  <c r="J340" i="5"/>
  <c r="K340" i="5"/>
  <c r="L340" i="5"/>
  <c r="N340" i="5"/>
  <c r="O340" i="5" s="1"/>
  <c r="J339" i="5"/>
  <c r="K339" i="5"/>
  <c r="L339" i="5"/>
  <c r="N339" i="5"/>
  <c r="O339" i="5" s="1"/>
  <c r="J338" i="5"/>
  <c r="K338" i="5"/>
  <c r="L338" i="5"/>
  <c r="N338" i="5"/>
  <c r="O338" i="5" s="1"/>
  <c r="J337" i="5"/>
  <c r="K337" i="5"/>
  <c r="L337" i="5"/>
  <c r="N337" i="5"/>
  <c r="O337" i="5" s="1"/>
  <c r="J336" i="5"/>
  <c r="K336" i="5"/>
  <c r="L336" i="5"/>
  <c r="N336" i="5"/>
  <c r="O336" i="5" s="1"/>
  <c r="J335" i="5"/>
  <c r="K335" i="5"/>
  <c r="L335" i="5"/>
  <c r="N335" i="5"/>
  <c r="O335" i="5" s="1"/>
  <c r="J334" i="5"/>
  <c r="K334" i="5"/>
  <c r="L334" i="5"/>
  <c r="N334" i="5"/>
  <c r="O334" i="5" s="1"/>
  <c r="J333" i="5"/>
  <c r="K333" i="5"/>
  <c r="L333" i="5"/>
  <c r="N333" i="5"/>
  <c r="O333" i="5" s="1"/>
  <c r="J332" i="5"/>
  <c r="K332" i="5"/>
  <c r="L332" i="5"/>
  <c r="N332" i="5"/>
  <c r="O332" i="5" s="1"/>
  <c r="J331" i="5"/>
  <c r="K331" i="5"/>
  <c r="L331" i="5"/>
  <c r="N331" i="5"/>
  <c r="O331" i="5" s="1"/>
  <c r="J330" i="5"/>
  <c r="K330" i="5"/>
  <c r="L330" i="5"/>
  <c r="N330" i="5"/>
  <c r="O330" i="5" s="1"/>
  <c r="J329" i="5"/>
  <c r="K329" i="5"/>
  <c r="L329" i="5"/>
  <c r="N329" i="5"/>
  <c r="O329" i="5" s="1"/>
  <c r="J328" i="5"/>
  <c r="K328" i="5"/>
  <c r="L328" i="5"/>
  <c r="N328" i="5"/>
  <c r="O328" i="5" s="1"/>
  <c r="J327" i="5"/>
  <c r="K327" i="5"/>
  <c r="L327" i="5"/>
  <c r="N327" i="5"/>
  <c r="O327" i="5" s="1"/>
  <c r="J326" i="5"/>
  <c r="K326" i="5"/>
  <c r="L326" i="5"/>
  <c r="N326" i="5"/>
  <c r="O326" i="5" s="1"/>
  <c r="J325" i="5"/>
  <c r="K325" i="5"/>
  <c r="L325" i="5"/>
  <c r="N325" i="5"/>
  <c r="O325" i="5" s="1"/>
  <c r="J324" i="5"/>
  <c r="K324" i="5"/>
  <c r="L324" i="5"/>
  <c r="N324" i="5"/>
  <c r="O324" i="5" s="1"/>
  <c r="J323" i="5"/>
  <c r="K323" i="5"/>
  <c r="L323" i="5"/>
  <c r="N323" i="5"/>
  <c r="O323" i="5" s="1"/>
  <c r="J322" i="5"/>
  <c r="K322" i="5"/>
  <c r="L322" i="5"/>
  <c r="N322" i="5"/>
  <c r="O322" i="5" s="1"/>
  <c r="J321" i="5"/>
  <c r="K321" i="5"/>
  <c r="L321" i="5"/>
  <c r="N321" i="5"/>
  <c r="O321" i="5" s="1"/>
  <c r="J320" i="5"/>
  <c r="K320" i="5"/>
  <c r="L320" i="5"/>
  <c r="N320" i="5"/>
  <c r="O320" i="5" s="1"/>
  <c r="J319" i="5"/>
  <c r="K319" i="5"/>
  <c r="L319" i="5"/>
  <c r="N319" i="5"/>
  <c r="O319" i="5" s="1"/>
  <c r="J318" i="5"/>
  <c r="K318" i="5"/>
  <c r="L318" i="5"/>
  <c r="N318" i="5"/>
  <c r="O318" i="5" s="1"/>
  <c r="J317" i="5"/>
  <c r="K317" i="5"/>
  <c r="L317" i="5"/>
  <c r="N317" i="5"/>
  <c r="O317" i="5" s="1"/>
  <c r="J316" i="5"/>
  <c r="K316" i="5"/>
  <c r="L316" i="5"/>
  <c r="N316" i="5"/>
  <c r="O316" i="5" s="1"/>
  <c r="J315" i="5"/>
  <c r="K315" i="5"/>
  <c r="L315" i="5"/>
  <c r="N315" i="5"/>
  <c r="O315" i="5" s="1"/>
  <c r="J314" i="5"/>
  <c r="K314" i="5"/>
  <c r="L314" i="5"/>
  <c r="N314" i="5"/>
  <c r="O314" i="5" s="1"/>
  <c r="J313" i="5"/>
  <c r="K313" i="5"/>
  <c r="L313" i="5"/>
  <c r="N313" i="5"/>
  <c r="O313" i="5" s="1"/>
  <c r="J312" i="5"/>
  <c r="K312" i="5"/>
  <c r="L312" i="5"/>
  <c r="N312" i="5"/>
  <c r="O312" i="5" s="1"/>
  <c r="J311" i="5"/>
  <c r="K311" i="5"/>
  <c r="L311" i="5"/>
  <c r="N311" i="5"/>
  <c r="O311" i="5" s="1"/>
  <c r="J310" i="5"/>
  <c r="K310" i="5"/>
  <c r="L310" i="5"/>
  <c r="N310" i="5"/>
  <c r="O310" i="5" s="1"/>
  <c r="J309" i="5"/>
  <c r="K309" i="5"/>
  <c r="L309" i="5"/>
  <c r="N309" i="5"/>
  <c r="O309" i="5" s="1"/>
  <c r="J308" i="5"/>
  <c r="K308" i="5"/>
  <c r="L308" i="5"/>
  <c r="N308" i="5"/>
  <c r="O308" i="5" s="1"/>
  <c r="J307" i="5"/>
  <c r="K307" i="5"/>
  <c r="L307" i="5"/>
  <c r="N307" i="5"/>
  <c r="O307" i="5" s="1"/>
  <c r="J306" i="5"/>
  <c r="K306" i="5"/>
  <c r="L306" i="5"/>
  <c r="N306" i="5"/>
  <c r="O306" i="5" s="1"/>
  <c r="J305" i="5"/>
  <c r="K305" i="5"/>
  <c r="L305" i="5"/>
  <c r="N305" i="5"/>
  <c r="O305" i="5" s="1"/>
  <c r="J304" i="5"/>
  <c r="K304" i="5"/>
  <c r="L304" i="5"/>
  <c r="N304" i="5"/>
  <c r="O304" i="5" s="1"/>
  <c r="J303" i="5"/>
  <c r="K303" i="5"/>
  <c r="L303" i="5"/>
  <c r="N303" i="5"/>
  <c r="O303" i="5" s="1"/>
  <c r="J302" i="5"/>
  <c r="K302" i="5"/>
  <c r="L302" i="5"/>
  <c r="N302" i="5"/>
  <c r="O302" i="5" s="1"/>
  <c r="J301" i="5"/>
  <c r="K301" i="5"/>
  <c r="L301" i="5"/>
  <c r="N301" i="5"/>
  <c r="O301" i="5" s="1"/>
  <c r="J300" i="5"/>
  <c r="K300" i="5"/>
  <c r="L300" i="5"/>
  <c r="N300" i="5"/>
  <c r="O300" i="5" s="1"/>
  <c r="J299" i="5"/>
  <c r="K299" i="5"/>
  <c r="L299" i="5"/>
  <c r="N299" i="5"/>
  <c r="O299" i="5" s="1"/>
  <c r="J298" i="5"/>
  <c r="K298" i="5"/>
  <c r="L298" i="5"/>
  <c r="N298" i="5"/>
  <c r="O298" i="5" s="1"/>
  <c r="J297" i="5"/>
  <c r="K297" i="5"/>
  <c r="L297" i="5"/>
  <c r="N297" i="5"/>
  <c r="O297" i="5" s="1"/>
  <c r="J296" i="5"/>
  <c r="K296" i="5"/>
  <c r="L296" i="5"/>
  <c r="N296" i="5"/>
  <c r="O296" i="5" s="1"/>
  <c r="J295" i="5"/>
  <c r="K295" i="5"/>
  <c r="L295" i="5"/>
  <c r="N295" i="5"/>
  <c r="O295" i="5" s="1"/>
  <c r="J294" i="5"/>
  <c r="K294" i="5"/>
  <c r="L294" i="5"/>
  <c r="N294" i="5"/>
  <c r="O294" i="5" s="1"/>
  <c r="J293" i="5"/>
  <c r="K293" i="5"/>
  <c r="L293" i="5"/>
  <c r="N293" i="5"/>
  <c r="O293" i="5" s="1"/>
  <c r="J292" i="5"/>
  <c r="K292" i="5"/>
  <c r="L292" i="5"/>
  <c r="N292" i="5"/>
  <c r="O292" i="5" s="1"/>
  <c r="J291" i="5"/>
  <c r="K291" i="5"/>
  <c r="L291" i="5"/>
  <c r="N291" i="5"/>
  <c r="O291" i="5" s="1"/>
  <c r="J290" i="5"/>
  <c r="K290" i="5"/>
  <c r="L290" i="5"/>
  <c r="N290" i="5"/>
  <c r="O290" i="5" s="1"/>
  <c r="J289" i="5"/>
  <c r="K289" i="5"/>
  <c r="L289" i="5"/>
  <c r="N289" i="5"/>
  <c r="O289" i="5" s="1"/>
  <c r="J288" i="5"/>
  <c r="K288" i="5"/>
  <c r="L288" i="5"/>
  <c r="N288" i="5"/>
  <c r="O288" i="5" s="1"/>
  <c r="J287" i="5"/>
  <c r="K287" i="5"/>
  <c r="L287" i="5"/>
  <c r="N287" i="5"/>
  <c r="O287" i="5" s="1"/>
  <c r="J286" i="5"/>
  <c r="K286" i="5"/>
  <c r="L286" i="5"/>
  <c r="N286" i="5"/>
  <c r="O286" i="5" s="1"/>
  <c r="J285" i="5"/>
  <c r="K285" i="5"/>
  <c r="L285" i="5"/>
  <c r="N285" i="5"/>
  <c r="O285" i="5" s="1"/>
  <c r="J284" i="5"/>
  <c r="K284" i="5"/>
  <c r="L284" i="5"/>
  <c r="N284" i="5"/>
  <c r="O284" i="5" s="1"/>
  <c r="J283" i="5"/>
  <c r="K283" i="5"/>
  <c r="L283" i="5"/>
  <c r="N283" i="5"/>
  <c r="O283" i="5" s="1"/>
  <c r="J282" i="5"/>
  <c r="K282" i="5"/>
  <c r="L282" i="5"/>
  <c r="N282" i="5"/>
  <c r="O282" i="5" s="1"/>
  <c r="J281" i="5"/>
  <c r="K281" i="5"/>
  <c r="L281" i="5"/>
  <c r="N281" i="5"/>
  <c r="O281" i="5" s="1"/>
  <c r="J280" i="5"/>
  <c r="K280" i="5"/>
  <c r="L280" i="5"/>
  <c r="N280" i="5"/>
  <c r="O280" i="5" s="1"/>
  <c r="J279" i="5"/>
  <c r="K279" i="5"/>
  <c r="L279" i="5"/>
  <c r="N279" i="5"/>
  <c r="O279" i="5" s="1"/>
  <c r="J278" i="5"/>
  <c r="K278" i="5"/>
  <c r="L278" i="5"/>
  <c r="N278" i="5"/>
  <c r="O278" i="5" s="1"/>
  <c r="J277" i="5"/>
  <c r="K277" i="5"/>
  <c r="L277" i="5"/>
  <c r="N277" i="5"/>
  <c r="O277" i="5" s="1"/>
  <c r="J276" i="5"/>
  <c r="K276" i="5"/>
  <c r="L276" i="5"/>
  <c r="N276" i="5"/>
  <c r="O276" i="5" s="1"/>
  <c r="J275" i="5"/>
  <c r="K275" i="5"/>
  <c r="L275" i="5"/>
  <c r="N275" i="5"/>
  <c r="O275" i="5" s="1"/>
  <c r="J274" i="5"/>
  <c r="K274" i="5"/>
  <c r="L274" i="5"/>
  <c r="N274" i="5"/>
  <c r="O274" i="5" s="1"/>
  <c r="J273" i="5"/>
  <c r="K273" i="5"/>
  <c r="L273" i="5"/>
  <c r="N273" i="5"/>
  <c r="O273" i="5" s="1"/>
  <c r="J272" i="5"/>
  <c r="K272" i="5"/>
  <c r="L272" i="5"/>
  <c r="N272" i="5"/>
  <c r="O272" i="5" s="1"/>
  <c r="J271" i="5"/>
  <c r="K271" i="5"/>
  <c r="L271" i="5"/>
  <c r="N271" i="5"/>
  <c r="O271" i="5" s="1"/>
  <c r="J270" i="5"/>
  <c r="K270" i="5"/>
  <c r="L270" i="5"/>
  <c r="N270" i="5"/>
  <c r="O270" i="5" s="1"/>
  <c r="J269" i="5"/>
  <c r="K269" i="5"/>
  <c r="L269" i="5"/>
  <c r="N269" i="5"/>
  <c r="O269" i="5" s="1"/>
  <c r="J268" i="5"/>
  <c r="K268" i="5"/>
  <c r="L268" i="5"/>
  <c r="N268" i="5"/>
  <c r="O268" i="5" s="1"/>
  <c r="J267" i="5"/>
  <c r="K267" i="5"/>
  <c r="L267" i="5"/>
  <c r="N267" i="5"/>
  <c r="O267" i="5" s="1"/>
  <c r="J266" i="5"/>
  <c r="K266" i="5"/>
  <c r="L266" i="5"/>
  <c r="N266" i="5"/>
  <c r="O266" i="5" s="1"/>
  <c r="J265" i="5"/>
  <c r="K265" i="5"/>
  <c r="L265" i="5"/>
  <c r="N265" i="5"/>
  <c r="O265" i="5" s="1"/>
  <c r="J264" i="5"/>
  <c r="K264" i="5"/>
  <c r="L264" i="5"/>
  <c r="N264" i="5"/>
  <c r="O264" i="5" s="1"/>
  <c r="J263" i="5"/>
  <c r="K263" i="5"/>
  <c r="L263" i="5"/>
  <c r="N263" i="5"/>
  <c r="O263" i="5" s="1"/>
  <c r="J262" i="5"/>
  <c r="K262" i="5"/>
  <c r="L262" i="5"/>
  <c r="N262" i="5"/>
  <c r="O262" i="5" s="1"/>
  <c r="J261" i="5"/>
  <c r="K261" i="5"/>
  <c r="L261" i="5"/>
  <c r="N261" i="5"/>
  <c r="O261" i="5" s="1"/>
  <c r="J260" i="5"/>
  <c r="K260" i="5"/>
  <c r="L260" i="5"/>
  <c r="N260" i="5"/>
  <c r="O260" i="5" s="1"/>
  <c r="J259" i="5"/>
  <c r="K259" i="5"/>
  <c r="L259" i="5"/>
  <c r="N259" i="5"/>
  <c r="O259" i="5" s="1"/>
  <c r="J258" i="5"/>
  <c r="K258" i="5"/>
  <c r="L258" i="5"/>
  <c r="N258" i="5"/>
  <c r="O258" i="5" s="1"/>
  <c r="J257" i="5"/>
  <c r="K257" i="5"/>
  <c r="L257" i="5"/>
  <c r="N257" i="5"/>
  <c r="O257" i="5" s="1"/>
  <c r="J256" i="5"/>
  <c r="K256" i="5"/>
  <c r="L256" i="5"/>
  <c r="N256" i="5"/>
  <c r="O256" i="5" s="1"/>
  <c r="J255" i="5"/>
  <c r="K255" i="5"/>
  <c r="L255" i="5"/>
  <c r="N255" i="5"/>
  <c r="O255" i="5" s="1"/>
  <c r="J254" i="5"/>
  <c r="K254" i="5"/>
  <c r="L254" i="5"/>
  <c r="N254" i="5"/>
  <c r="O254" i="5" s="1"/>
  <c r="J253" i="5"/>
  <c r="K253" i="5"/>
  <c r="L253" i="5"/>
  <c r="N253" i="5"/>
  <c r="O253" i="5" s="1"/>
  <c r="J252" i="5"/>
  <c r="K252" i="5"/>
  <c r="L252" i="5"/>
  <c r="N252" i="5"/>
  <c r="O252" i="5" s="1"/>
  <c r="J251" i="5"/>
  <c r="K251" i="5"/>
  <c r="L251" i="5"/>
  <c r="N251" i="5"/>
  <c r="O251" i="5" s="1"/>
  <c r="J250" i="5"/>
  <c r="K250" i="5"/>
  <c r="L250" i="5"/>
  <c r="N250" i="5"/>
  <c r="O250" i="5" s="1"/>
  <c r="J249" i="5"/>
  <c r="K249" i="5"/>
  <c r="L249" i="5"/>
  <c r="N249" i="5"/>
  <c r="O249" i="5" s="1"/>
  <c r="J248" i="5"/>
  <c r="K248" i="5"/>
  <c r="L248" i="5"/>
  <c r="N248" i="5"/>
  <c r="O248" i="5" s="1"/>
  <c r="J247" i="5"/>
  <c r="K247" i="5"/>
  <c r="L247" i="5"/>
  <c r="N247" i="5"/>
  <c r="O247" i="5" s="1"/>
  <c r="J246" i="5"/>
  <c r="K246" i="5"/>
  <c r="L246" i="5"/>
  <c r="N246" i="5"/>
  <c r="O246" i="5" s="1"/>
  <c r="J245" i="5"/>
  <c r="K245" i="5"/>
  <c r="L245" i="5"/>
  <c r="N245" i="5"/>
  <c r="O245" i="5" s="1"/>
  <c r="J244" i="5"/>
  <c r="K244" i="5"/>
  <c r="L244" i="5"/>
  <c r="N244" i="5"/>
  <c r="O244" i="5" s="1"/>
  <c r="J243" i="5"/>
  <c r="K243" i="5"/>
  <c r="L243" i="5"/>
  <c r="N243" i="5"/>
  <c r="O243" i="5" s="1"/>
  <c r="J242" i="5"/>
  <c r="K242" i="5"/>
  <c r="L242" i="5"/>
  <c r="N242" i="5"/>
  <c r="O242" i="5" s="1"/>
  <c r="J241" i="5"/>
  <c r="K241" i="5"/>
  <c r="L241" i="5"/>
  <c r="N241" i="5"/>
  <c r="O241" i="5" s="1"/>
  <c r="J240" i="5"/>
  <c r="K240" i="5"/>
  <c r="L240" i="5"/>
  <c r="N240" i="5"/>
  <c r="O240" i="5" s="1"/>
  <c r="J239" i="5"/>
  <c r="K239" i="5"/>
  <c r="L239" i="5"/>
  <c r="N239" i="5"/>
  <c r="O239" i="5" s="1"/>
  <c r="J238" i="5"/>
  <c r="K238" i="5"/>
  <c r="L238" i="5"/>
  <c r="N238" i="5"/>
  <c r="O238" i="5" s="1"/>
  <c r="J237" i="5"/>
  <c r="K237" i="5"/>
  <c r="L237" i="5"/>
  <c r="N237" i="5"/>
  <c r="O237" i="5" s="1"/>
  <c r="J236" i="5"/>
  <c r="K236" i="5"/>
  <c r="L236" i="5"/>
  <c r="N236" i="5"/>
  <c r="O236" i="5" s="1"/>
  <c r="J235" i="5"/>
  <c r="K235" i="5"/>
  <c r="L235" i="5"/>
  <c r="N235" i="5"/>
  <c r="O235" i="5" s="1"/>
  <c r="J234" i="5"/>
  <c r="K234" i="5"/>
  <c r="L234" i="5"/>
  <c r="N234" i="5"/>
  <c r="O234" i="5" s="1"/>
  <c r="J233" i="5"/>
  <c r="K233" i="5"/>
  <c r="L233" i="5"/>
  <c r="N233" i="5"/>
  <c r="O233" i="5" s="1"/>
  <c r="J232" i="5"/>
  <c r="K232" i="5"/>
  <c r="L232" i="5"/>
  <c r="N232" i="5"/>
  <c r="O232" i="5" s="1"/>
  <c r="J231" i="5"/>
  <c r="K231" i="5"/>
  <c r="L231" i="5"/>
  <c r="N231" i="5"/>
  <c r="O231" i="5" s="1"/>
  <c r="J230" i="5"/>
  <c r="K230" i="5"/>
  <c r="L230" i="5"/>
  <c r="N230" i="5"/>
  <c r="O230" i="5" s="1"/>
  <c r="J229" i="5"/>
  <c r="K229" i="5"/>
  <c r="L229" i="5"/>
  <c r="N229" i="5"/>
  <c r="O229" i="5" s="1"/>
  <c r="J228" i="5"/>
  <c r="K228" i="5"/>
  <c r="N228" i="5"/>
  <c r="O228" i="5" s="1"/>
  <c r="J227" i="5"/>
  <c r="K227" i="5"/>
  <c r="N227" i="5"/>
  <c r="O227" i="5" s="1"/>
  <c r="J226" i="5"/>
  <c r="K226" i="5"/>
  <c r="L226" i="5"/>
  <c r="N226" i="5"/>
  <c r="O226" i="5" s="1"/>
  <c r="J225" i="5"/>
  <c r="K225" i="5"/>
  <c r="L225" i="5"/>
  <c r="N225" i="5"/>
  <c r="O225" i="5" s="1"/>
  <c r="J224" i="5"/>
  <c r="K224" i="5"/>
  <c r="L224" i="5"/>
  <c r="N224" i="5"/>
  <c r="O224" i="5" s="1"/>
  <c r="J223" i="5"/>
  <c r="K223" i="5"/>
  <c r="L223" i="5"/>
  <c r="N223" i="5"/>
  <c r="O223" i="5" s="1"/>
  <c r="J222" i="5"/>
  <c r="K222" i="5"/>
  <c r="L222" i="5"/>
  <c r="N222" i="5"/>
  <c r="O222" i="5" s="1"/>
  <c r="J221" i="5"/>
  <c r="K221" i="5"/>
  <c r="L221" i="5"/>
  <c r="N221" i="5"/>
  <c r="O221" i="5" s="1"/>
  <c r="J220" i="5"/>
  <c r="K220" i="5"/>
  <c r="L220" i="5"/>
  <c r="N220" i="5"/>
  <c r="O220" i="5" s="1"/>
  <c r="J219" i="5"/>
  <c r="K219" i="5"/>
  <c r="L219" i="5"/>
  <c r="N219" i="5"/>
  <c r="O219" i="5" s="1"/>
  <c r="J218" i="5"/>
  <c r="K218" i="5"/>
  <c r="L218" i="5"/>
  <c r="N218" i="5"/>
  <c r="O218" i="5" s="1"/>
  <c r="J217" i="5"/>
  <c r="K217" i="5"/>
  <c r="L217" i="5"/>
  <c r="N217" i="5"/>
  <c r="O217" i="5" s="1"/>
  <c r="J216" i="5"/>
  <c r="K216" i="5"/>
  <c r="L216" i="5"/>
  <c r="N216" i="5"/>
  <c r="O216" i="5" s="1"/>
  <c r="J215" i="5"/>
  <c r="K215" i="5"/>
  <c r="L215" i="5"/>
  <c r="N215" i="5"/>
  <c r="O215" i="5" s="1"/>
  <c r="J214" i="5"/>
  <c r="K214" i="5"/>
  <c r="L214" i="5"/>
  <c r="N214" i="5"/>
  <c r="O214" i="5" s="1"/>
  <c r="J213" i="5"/>
  <c r="K213" i="5"/>
  <c r="L213" i="5"/>
  <c r="N213" i="5"/>
  <c r="O213" i="5" s="1"/>
  <c r="J212" i="5"/>
  <c r="K212" i="5"/>
  <c r="L212" i="5"/>
  <c r="N212" i="5"/>
  <c r="O212" i="5" s="1"/>
  <c r="J211" i="5"/>
  <c r="K211" i="5"/>
  <c r="L211" i="5"/>
  <c r="N211" i="5"/>
  <c r="O211" i="5" s="1"/>
  <c r="J210" i="5"/>
  <c r="K210" i="5"/>
  <c r="L210" i="5"/>
  <c r="N210" i="5"/>
  <c r="O210" i="5" s="1"/>
  <c r="J209" i="5"/>
  <c r="K209" i="5"/>
  <c r="L209" i="5"/>
  <c r="N209" i="5"/>
  <c r="O209" i="5" s="1"/>
  <c r="J208" i="5"/>
  <c r="K208" i="5"/>
  <c r="L208" i="5"/>
  <c r="N208" i="5"/>
  <c r="O208" i="5" s="1"/>
  <c r="J207" i="5"/>
  <c r="K207" i="5"/>
  <c r="L207" i="5"/>
  <c r="N207" i="5"/>
  <c r="O207" i="5" s="1"/>
  <c r="J206" i="5"/>
  <c r="K206" i="5"/>
  <c r="L206" i="5"/>
  <c r="N206" i="5"/>
  <c r="O206" i="5" s="1"/>
  <c r="J205" i="5"/>
  <c r="K205" i="5"/>
  <c r="L205" i="5"/>
  <c r="N205" i="5"/>
  <c r="O205" i="5" s="1"/>
  <c r="J204" i="5"/>
  <c r="K204" i="5"/>
  <c r="L204" i="5"/>
  <c r="N204" i="5"/>
  <c r="O204" i="5"/>
  <c r="J203" i="5"/>
  <c r="K203" i="5"/>
  <c r="L203" i="5"/>
  <c r="N203" i="5"/>
  <c r="O203" i="5" s="1"/>
  <c r="J202" i="5"/>
  <c r="K202" i="5"/>
  <c r="L202" i="5"/>
  <c r="N202" i="5"/>
  <c r="O202" i="5" s="1"/>
  <c r="J201" i="5"/>
  <c r="K201" i="5"/>
  <c r="L201" i="5"/>
  <c r="N201" i="5"/>
  <c r="O201" i="5" s="1"/>
  <c r="J200" i="5"/>
  <c r="K200" i="5"/>
  <c r="L200" i="5"/>
  <c r="N200" i="5"/>
  <c r="O200" i="5" s="1"/>
  <c r="J199" i="5"/>
  <c r="K199" i="5"/>
  <c r="L199" i="5"/>
  <c r="N199" i="5"/>
  <c r="O199" i="5" s="1"/>
  <c r="J198" i="5"/>
  <c r="K198" i="5"/>
  <c r="L198" i="5"/>
  <c r="N198" i="5"/>
  <c r="O198" i="5" s="1"/>
  <c r="J197" i="5"/>
  <c r="K197" i="5"/>
  <c r="L197" i="5"/>
  <c r="N197" i="5"/>
  <c r="O197" i="5" s="1"/>
  <c r="J196" i="5"/>
  <c r="K196" i="5"/>
  <c r="L196" i="5"/>
  <c r="N196" i="5"/>
  <c r="O196" i="5" s="1"/>
  <c r="J195" i="5"/>
  <c r="K195" i="5"/>
  <c r="L195" i="5"/>
  <c r="N195" i="5"/>
  <c r="O195" i="5" s="1"/>
  <c r="J194" i="5"/>
  <c r="K194" i="5"/>
  <c r="L194" i="5"/>
  <c r="N194" i="5"/>
  <c r="O194" i="5" s="1"/>
  <c r="J193" i="5"/>
  <c r="K193" i="5"/>
  <c r="L193" i="5"/>
  <c r="N193" i="5"/>
  <c r="O193" i="5" s="1"/>
  <c r="J192" i="5"/>
  <c r="K192" i="5"/>
  <c r="L192" i="5"/>
  <c r="N192" i="5"/>
  <c r="O192" i="5" s="1"/>
  <c r="J191" i="5"/>
  <c r="K191" i="5"/>
  <c r="L191" i="5"/>
  <c r="N191" i="5"/>
  <c r="O191" i="5" s="1"/>
  <c r="J190" i="5"/>
  <c r="K190" i="5"/>
  <c r="L190" i="5"/>
  <c r="N190" i="5"/>
  <c r="O190" i="5" s="1"/>
  <c r="J189" i="5"/>
  <c r="K189" i="5"/>
  <c r="L189" i="5"/>
  <c r="N189" i="5"/>
  <c r="O189" i="5" s="1"/>
  <c r="J188" i="5"/>
  <c r="K188" i="5"/>
  <c r="L188" i="5"/>
  <c r="N188" i="5"/>
  <c r="O188" i="5" s="1"/>
  <c r="J187" i="5"/>
  <c r="K187" i="5"/>
  <c r="L187" i="5"/>
  <c r="N187" i="5"/>
  <c r="O187" i="5" s="1"/>
  <c r="J186" i="5"/>
  <c r="K186" i="5"/>
  <c r="L186" i="5"/>
  <c r="N186" i="5"/>
  <c r="O186" i="5" s="1"/>
  <c r="J185" i="5"/>
  <c r="K185" i="5"/>
  <c r="L185" i="5"/>
  <c r="N185" i="5"/>
  <c r="O185" i="5" s="1"/>
  <c r="J184" i="5"/>
  <c r="K184" i="5"/>
  <c r="L184" i="5"/>
  <c r="N184" i="5"/>
  <c r="O184" i="5"/>
  <c r="J183" i="5"/>
  <c r="K183" i="5"/>
  <c r="L183" i="5"/>
  <c r="N183" i="5"/>
  <c r="O183" i="5" s="1"/>
  <c r="J182" i="5"/>
  <c r="K182" i="5"/>
  <c r="L182" i="5"/>
  <c r="N182" i="5"/>
  <c r="O182" i="5" s="1"/>
  <c r="J181" i="5"/>
  <c r="K181" i="5"/>
  <c r="L181" i="5"/>
  <c r="N181" i="5"/>
  <c r="O181" i="5" s="1"/>
  <c r="J180" i="5"/>
  <c r="K180" i="5"/>
  <c r="L180" i="5"/>
  <c r="N180" i="5"/>
  <c r="O180" i="5" s="1"/>
  <c r="J179" i="5"/>
  <c r="K179" i="5"/>
  <c r="L179" i="5"/>
  <c r="N179" i="5"/>
  <c r="O179" i="5" s="1"/>
  <c r="J178" i="5"/>
  <c r="K178" i="5"/>
  <c r="L178" i="5"/>
  <c r="N178" i="5"/>
  <c r="O178" i="5" s="1"/>
  <c r="J177" i="5"/>
  <c r="K177" i="5"/>
  <c r="L177" i="5"/>
  <c r="N177" i="5"/>
  <c r="O177" i="5" s="1"/>
  <c r="J176" i="5"/>
  <c r="K176" i="5"/>
  <c r="L176" i="5"/>
  <c r="N176" i="5"/>
  <c r="O176" i="5"/>
  <c r="J175" i="5"/>
  <c r="K175" i="5"/>
  <c r="L175" i="5"/>
  <c r="N175" i="5"/>
  <c r="O175" i="5" s="1"/>
  <c r="J174" i="5"/>
  <c r="K174" i="5"/>
  <c r="L174" i="5"/>
  <c r="N174" i="5"/>
  <c r="O174" i="5" s="1"/>
  <c r="J173" i="5"/>
  <c r="K173" i="5"/>
  <c r="L173" i="5"/>
  <c r="N173" i="5"/>
  <c r="O173" i="5" s="1"/>
  <c r="J172" i="5"/>
  <c r="K172" i="5"/>
  <c r="L172" i="5"/>
  <c r="N172" i="5"/>
  <c r="O172" i="5" s="1"/>
  <c r="J171" i="5"/>
  <c r="K171" i="5"/>
  <c r="L171" i="5"/>
  <c r="N171" i="5"/>
  <c r="O171" i="5" s="1"/>
  <c r="J170" i="5"/>
  <c r="K170" i="5"/>
  <c r="L170" i="5"/>
  <c r="N170" i="5"/>
  <c r="O170" i="5" s="1"/>
  <c r="J169" i="5"/>
  <c r="K169" i="5"/>
  <c r="L169" i="5"/>
  <c r="N169" i="5"/>
  <c r="O169" i="5" s="1"/>
  <c r="J168" i="5"/>
  <c r="K168" i="5"/>
  <c r="L168" i="5"/>
  <c r="N168" i="5"/>
  <c r="O168" i="5" s="1"/>
  <c r="J167" i="5"/>
  <c r="K167" i="5"/>
  <c r="L167" i="5"/>
  <c r="N167" i="5"/>
  <c r="O167" i="5" s="1"/>
  <c r="J166" i="5"/>
  <c r="K166" i="5"/>
  <c r="L166" i="5"/>
  <c r="N166" i="5"/>
  <c r="O166" i="5" s="1"/>
  <c r="J165" i="5"/>
  <c r="K165" i="5"/>
  <c r="L165" i="5"/>
  <c r="N165" i="5"/>
  <c r="O165" i="5" s="1"/>
  <c r="J164" i="5"/>
  <c r="K164" i="5"/>
  <c r="L164" i="5"/>
  <c r="N164" i="5"/>
  <c r="O164" i="5" s="1"/>
  <c r="J163" i="5"/>
  <c r="K163" i="5"/>
  <c r="L163" i="5"/>
  <c r="N163" i="5"/>
  <c r="O163" i="5" s="1"/>
  <c r="J162" i="5"/>
  <c r="K162" i="5"/>
  <c r="L162" i="5"/>
  <c r="N162" i="5"/>
  <c r="O162" i="5" s="1"/>
  <c r="J161" i="5"/>
  <c r="K161" i="5"/>
  <c r="L161" i="5"/>
  <c r="N161" i="5"/>
  <c r="O161" i="5" s="1"/>
  <c r="J160" i="5"/>
  <c r="K160" i="5"/>
  <c r="L160" i="5"/>
  <c r="N160" i="5"/>
  <c r="O160" i="5" s="1"/>
  <c r="J159" i="5"/>
  <c r="K159" i="5"/>
  <c r="L159" i="5"/>
  <c r="N159" i="5"/>
  <c r="O159" i="5" s="1"/>
  <c r="J158" i="5"/>
  <c r="K158" i="5"/>
  <c r="L158" i="5"/>
  <c r="N158" i="5"/>
  <c r="O158" i="5" s="1"/>
  <c r="J157" i="5"/>
  <c r="K157" i="5"/>
  <c r="L157" i="5"/>
  <c r="N157" i="5"/>
  <c r="O157" i="5" s="1"/>
  <c r="J156" i="5"/>
  <c r="K156" i="5"/>
  <c r="L156" i="5"/>
  <c r="N156" i="5"/>
  <c r="O156" i="5" s="1"/>
  <c r="J155" i="5"/>
  <c r="K155" i="5"/>
  <c r="L155" i="5"/>
  <c r="N155" i="5"/>
  <c r="O155" i="5" s="1"/>
  <c r="J154" i="5"/>
  <c r="K154" i="5"/>
  <c r="L154" i="5"/>
  <c r="N154" i="5"/>
  <c r="O154" i="5" s="1"/>
  <c r="J153" i="5"/>
  <c r="K153" i="5"/>
  <c r="L153" i="5"/>
  <c r="N153" i="5"/>
  <c r="O153" i="5" s="1"/>
  <c r="J152" i="5"/>
  <c r="K152" i="5"/>
  <c r="L152" i="5"/>
  <c r="N152" i="5"/>
  <c r="O152" i="5" s="1"/>
  <c r="J151" i="5"/>
  <c r="K151" i="5"/>
  <c r="L151" i="5"/>
  <c r="N151" i="5"/>
  <c r="O151" i="5" s="1"/>
  <c r="J150" i="5"/>
  <c r="K150" i="5"/>
  <c r="L150" i="5"/>
  <c r="N150" i="5"/>
  <c r="O150" i="5" s="1"/>
  <c r="J149" i="5"/>
  <c r="K149" i="5"/>
  <c r="L149" i="5"/>
  <c r="N149" i="5"/>
  <c r="O149" i="5" s="1"/>
  <c r="J148" i="5"/>
  <c r="K148" i="5"/>
  <c r="L148" i="5"/>
  <c r="N148" i="5"/>
  <c r="O148" i="5" s="1"/>
  <c r="J147" i="5"/>
  <c r="K147" i="5"/>
  <c r="L147" i="5"/>
  <c r="N147" i="5"/>
  <c r="O147" i="5" s="1"/>
  <c r="J146" i="5"/>
  <c r="K146" i="5"/>
  <c r="L146" i="5"/>
  <c r="N146" i="5"/>
  <c r="O146" i="5" s="1"/>
  <c r="J145" i="5"/>
  <c r="K145" i="5"/>
  <c r="L145" i="5"/>
  <c r="N145" i="5"/>
  <c r="O145" i="5" s="1"/>
  <c r="J144" i="5"/>
  <c r="K144" i="5"/>
  <c r="L144" i="5"/>
  <c r="N144" i="5"/>
  <c r="O144" i="5" s="1"/>
  <c r="J143" i="5"/>
  <c r="K143" i="5"/>
  <c r="L143" i="5"/>
  <c r="N143" i="5"/>
  <c r="O143" i="5" s="1"/>
  <c r="J142" i="5"/>
  <c r="K142" i="5"/>
  <c r="L142" i="5"/>
  <c r="N142" i="5"/>
  <c r="O142" i="5" s="1"/>
  <c r="J141" i="5"/>
  <c r="K141" i="5"/>
  <c r="L141" i="5"/>
  <c r="N141" i="5"/>
  <c r="O141" i="5" s="1"/>
  <c r="J140" i="5"/>
  <c r="K140" i="5"/>
  <c r="L140" i="5"/>
  <c r="N140" i="5"/>
  <c r="O140" i="5" s="1"/>
  <c r="J139" i="5"/>
  <c r="K139" i="5"/>
  <c r="L139" i="5"/>
  <c r="N139" i="5"/>
  <c r="O139" i="5" s="1"/>
  <c r="J138" i="5"/>
  <c r="K138" i="5"/>
  <c r="L138" i="5"/>
  <c r="N138" i="5"/>
  <c r="O138" i="5" s="1"/>
  <c r="J137" i="5"/>
  <c r="K137" i="5"/>
  <c r="L137" i="5"/>
  <c r="N137" i="5"/>
  <c r="O137" i="5" s="1"/>
  <c r="J136" i="5"/>
  <c r="K136" i="5"/>
  <c r="L136" i="5"/>
  <c r="N136" i="5"/>
  <c r="O136" i="5" s="1"/>
  <c r="J135" i="5"/>
  <c r="K135" i="5"/>
  <c r="L135" i="5"/>
  <c r="N135" i="5"/>
  <c r="O135" i="5" s="1"/>
  <c r="J134" i="5"/>
  <c r="K134" i="5"/>
  <c r="L134" i="5"/>
  <c r="N134" i="5"/>
  <c r="O134" i="5" s="1"/>
  <c r="J133" i="5"/>
  <c r="K133" i="5"/>
  <c r="L133" i="5"/>
  <c r="N133" i="5"/>
  <c r="O133" i="5" s="1"/>
  <c r="J132" i="5"/>
  <c r="K132" i="5"/>
  <c r="L132" i="5"/>
  <c r="N132" i="5"/>
  <c r="O132" i="5" s="1"/>
  <c r="J131" i="5"/>
  <c r="K131" i="5"/>
  <c r="L131" i="5"/>
  <c r="N131" i="5"/>
  <c r="O131" i="5" s="1"/>
  <c r="J130" i="5"/>
  <c r="K130" i="5"/>
  <c r="L130" i="5"/>
  <c r="N130" i="5"/>
  <c r="O130" i="5" s="1"/>
  <c r="J129" i="5"/>
  <c r="K129" i="5"/>
  <c r="L129" i="5"/>
  <c r="N129" i="5"/>
  <c r="O129" i="5" s="1"/>
  <c r="J128" i="5"/>
  <c r="K128" i="5"/>
  <c r="L128" i="5"/>
  <c r="N128" i="5"/>
  <c r="O128" i="5" s="1"/>
  <c r="J127" i="5"/>
  <c r="K127" i="5"/>
  <c r="L127" i="5"/>
  <c r="N127" i="5"/>
  <c r="O127" i="5" s="1"/>
  <c r="J126" i="5"/>
  <c r="K126" i="5"/>
  <c r="L126" i="5"/>
  <c r="N126" i="5"/>
  <c r="O126" i="5" s="1"/>
  <c r="J125" i="5"/>
  <c r="K125" i="5"/>
  <c r="L125" i="5"/>
  <c r="N125" i="5"/>
  <c r="O125" i="5" s="1"/>
  <c r="J124" i="5"/>
  <c r="K124" i="5"/>
  <c r="L124" i="5"/>
  <c r="N124" i="5"/>
  <c r="O124" i="5" s="1"/>
  <c r="J123" i="5"/>
  <c r="K123" i="5"/>
  <c r="L123" i="5"/>
  <c r="N123" i="5"/>
  <c r="O123" i="5" s="1"/>
  <c r="J122" i="5"/>
  <c r="K122" i="5"/>
  <c r="L122" i="5"/>
  <c r="N122" i="5"/>
  <c r="O122" i="5" s="1"/>
  <c r="J121" i="5"/>
  <c r="K121" i="5"/>
  <c r="L121" i="5"/>
  <c r="N121" i="5"/>
  <c r="O121" i="5" s="1"/>
  <c r="J120" i="5"/>
  <c r="K120" i="5"/>
  <c r="L120" i="5"/>
  <c r="N120" i="5"/>
  <c r="O120" i="5" s="1"/>
  <c r="J119" i="5"/>
  <c r="K119" i="5"/>
  <c r="L119" i="5"/>
  <c r="N119" i="5"/>
  <c r="O119" i="5" s="1"/>
  <c r="J118" i="5"/>
  <c r="K118" i="5"/>
  <c r="L118" i="5"/>
  <c r="N118" i="5"/>
  <c r="O118" i="5" s="1"/>
  <c r="J117" i="5"/>
  <c r="K117" i="5"/>
  <c r="L117" i="5"/>
  <c r="N117" i="5"/>
  <c r="O117" i="5" s="1"/>
  <c r="J116" i="5"/>
  <c r="K116" i="5"/>
  <c r="L116" i="5"/>
  <c r="N116" i="5"/>
  <c r="O116" i="5" s="1"/>
  <c r="J115" i="5"/>
  <c r="K115" i="5"/>
  <c r="L115" i="5"/>
  <c r="N115" i="5"/>
  <c r="O115" i="5" s="1"/>
  <c r="J114" i="5"/>
  <c r="K114" i="5"/>
  <c r="L114" i="5"/>
  <c r="N114" i="5"/>
  <c r="O114" i="5" s="1"/>
  <c r="J113" i="5"/>
  <c r="K113" i="5"/>
  <c r="L113" i="5"/>
  <c r="N113" i="5"/>
  <c r="O113" i="5" s="1"/>
  <c r="J112" i="5"/>
  <c r="K112" i="5"/>
  <c r="L112" i="5"/>
  <c r="N112" i="5"/>
  <c r="O112" i="5" s="1"/>
  <c r="J111" i="5"/>
  <c r="K111" i="5"/>
  <c r="L111" i="5"/>
  <c r="N111" i="5"/>
  <c r="O111" i="5" s="1"/>
  <c r="J110" i="5"/>
  <c r="K110" i="5"/>
  <c r="L110" i="5"/>
  <c r="N110" i="5"/>
  <c r="O110" i="5" s="1"/>
  <c r="J109" i="5"/>
  <c r="K109" i="5"/>
  <c r="L109" i="5"/>
  <c r="N109" i="5"/>
  <c r="O109" i="5" s="1"/>
  <c r="J108" i="5"/>
  <c r="K108" i="5"/>
  <c r="L108" i="5"/>
  <c r="N108" i="5"/>
  <c r="O108" i="5" s="1"/>
  <c r="J107" i="5"/>
  <c r="K107" i="5"/>
  <c r="L107" i="5"/>
  <c r="N107" i="5"/>
  <c r="O107" i="5" s="1"/>
  <c r="J106" i="5"/>
  <c r="K106" i="5"/>
  <c r="L106" i="5"/>
  <c r="N106" i="5"/>
  <c r="O106" i="5" s="1"/>
  <c r="J105" i="5"/>
  <c r="K105" i="5"/>
  <c r="L105" i="5"/>
  <c r="N105" i="5"/>
  <c r="O105" i="5" s="1"/>
  <c r="J104" i="5"/>
  <c r="K104" i="5"/>
  <c r="L104" i="5"/>
  <c r="N104" i="5"/>
  <c r="O104" i="5" s="1"/>
  <c r="J103" i="5"/>
  <c r="K103" i="5"/>
  <c r="L103" i="5"/>
  <c r="N103" i="5"/>
  <c r="O103" i="5" s="1"/>
  <c r="J102" i="5"/>
  <c r="K102" i="5"/>
  <c r="L102" i="5"/>
  <c r="N102" i="5"/>
  <c r="O102" i="5" s="1"/>
  <c r="J101" i="5"/>
  <c r="K101" i="5"/>
  <c r="L101" i="5"/>
  <c r="N101" i="5"/>
  <c r="O101" i="5" s="1"/>
  <c r="J100" i="5"/>
  <c r="K100" i="5"/>
  <c r="L100" i="5"/>
  <c r="N100" i="5"/>
  <c r="O100" i="5" s="1"/>
  <c r="J99" i="5"/>
  <c r="K99" i="5"/>
  <c r="L99" i="5"/>
  <c r="N99" i="5"/>
  <c r="O99" i="5" s="1"/>
  <c r="J98" i="5"/>
  <c r="K98" i="5"/>
  <c r="L98" i="5"/>
  <c r="N98" i="5"/>
  <c r="O98" i="5" s="1"/>
  <c r="J97" i="5"/>
  <c r="K97" i="5"/>
  <c r="L97" i="5"/>
  <c r="N97" i="5"/>
  <c r="O97" i="5" s="1"/>
  <c r="J96" i="5"/>
  <c r="K96" i="5"/>
  <c r="L96" i="5"/>
  <c r="N96" i="5"/>
  <c r="O96" i="5" s="1"/>
  <c r="J95" i="5"/>
  <c r="K95" i="5"/>
  <c r="L95" i="5"/>
  <c r="N95" i="5"/>
  <c r="O95" i="5" s="1"/>
  <c r="J94" i="5"/>
  <c r="K94" i="5"/>
  <c r="L94" i="5"/>
  <c r="N94" i="5"/>
  <c r="O94" i="5" s="1"/>
  <c r="J93" i="5"/>
  <c r="K93" i="5"/>
  <c r="L93" i="5"/>
  <c r="N93" i="5"/>
  <c r="O93" i="5" s="1"/>
  <c r="J92" i="5"/>
  <c r="K92" i="5"/>
  <c r="L92" i="5"/>
  <c r="N92" i="5"/>
  <c r="O92" i="5" s="1"/>
  <c r="J91" i="5"/>
  <c r="K91" i="5"/>
  <c r="L91" i="5"/>
  <c r="N91" i="5"/>
  <c r="O91" i="5" s="1"/>
  <c r="J90" i="5"/>
  <c r="K90" i="5"/>
  <c r="L90" i="5"/>
  <c r="N90" i="5"/>
  <c r="O90" i="5" s="1"/>
  <c r="J89" i="5"/>
  <c r="K89" i="5"/>
  <c r="L89" i="5"/>
  <c r="N89" i="5"/>
  <c r="O89" i="5" s="1"/>
  <c r="J88" i="5"/>
  <c r="K88" i="5"/>
  <c r="L88" i="5"/>
  <c r="N88" i="5"/>
  <c r="O88" i="5" s="1"/>
  <c r="J87" i="5"/>
  <c r="K87" i="5"/>
  <c r="L87" i="5"/>
  <c r="N87" i="5"/>
  <c r="O87" i="5" s="1"/>
  <c r="J86" i="5"/>
  <c r="K86" i="5"/>
  <c r="L86" i="5"/>
  <c r="N86" i="5"/>
  <c r="O86" i="5" s="1"/>
  <c r="J85" i="5"/>
  <c r="K85" i="5"/>
  <c r="L85" i="5"/>
  <c r="N85" i="5"/>
  <c r="O85" i="5" s="1"/>
  <c r="J84" i="5"/>
  <c r="K84" i="5"/>
  <c r="L84" i="5"/>
  <c r="N84" i="5"/>
  <c r="O84" i="5" s="1"/>
  <c r="J83" i="5"/>
  <c r="K83" i="5"/>
  <c r="L83" i="5"/>
  <c r="N83" i="5"/>
  <c r="O83" i="5" s="1"/>
  <c r="J82" i="5"/>
  <c r="K82" i="5"/>
  <c r="L82" i="5"/>
  <c r="N82" i="5"/>
  <c r="O82" i="5" s="1"/>
  <c r="J81" i="5"/>
  <c r="K81" i="5"/>
  <c r="L81" i="5"/>
  <c r="N81" i="5"/>
  <c r="O81" i="5" s="1"/>
  <c r="J80" i="5"/>
  <c r="K80" i="5"/>
  <c r="L80" i="5"/>
  <c r="N80" i="5"/>
  <c r="O80" i="5" s="1"/>
  <c r="J79" i="5"/>
  <c r="K79" i="5"/>
  <c r="L79" i="5"/>
  <c r="N79" i="5"/>
  <c r="O79" i="5" s="1"/>
  <c r="J78" i="5"/>
  <c r="K78" i="5"/>
  <c r="L78" i="5"/>
  <c r="N78" i="5"/>
  <c r="O78" i="5" s="1"/>
  <c r="J77" i="5"/>
  <c r="K77" i="5"/>
  <c r="L77" i="5"/>
  <c r="N77" i="5"/>
  <c r="O77" i="5" s="1"/>
  <c r="J76" i="5"/>
  <c r="K76" i="5"/>
  <c r="L76" i="5"/>
  <c r="N76" i="5"/>
  <c r="O76" i="5" s="1"/>
  <c r="J75" i="5"/>
  <c r="K75" i="5"/>
  <c r="L75" i="5"/>
  <c r="N75" i="5"/>
  <c r="O75" i="5" s="1"/>
  <c r="J74" i="5"/>
  <c r="K74" i="5"/>
  <c r="L74" i="5"/>
  <c r="N74" i="5"/>
  <c r="O74" i="5" s="1"/>
  <c r="J73" i="5"/>
  <c r="K73" i="5"/>
  <c r="L73" i="5"/>
  <c r="N73" i="5"/>
  <c r="O73" i="5" s="1"/>
  <c r="J72" i="5"/>
  <c r="K72" i="5"/>
  <c r="L72" i="5"/>
  <c r="N72" i="5"/>
  <c r="O72" i="5" s="1"/>
  <c r="J71" i="5"/>
  <c r="K71" i="5"/>
  <c r="L71" i="5"/>
  <c r="N71" i="5"/>
  <c r="O71" i="5" s="1"/>
  <c r="J70" i="5"/>
  <c r="K70" i="5"/>
  <c r="L70" i="5"/>
  <c r="N70" i="5"/>
  <c r="O70" i="5" s="1"/>
  <c r="J69" i="5"/>
  <c r="K69" i="5"/>
  <c r="L69" i="5"/>
  <c r="N69" i="5"/>
  <c r="O69" i="5" s="1"/>
  <c r="J68" i="5"/>
  <c r="K68" i="5"/>
  <c r="L68" i="5"/>
  <c r="N68" i="5"/>
  <c r="O68" i="5" s="1"/>
  <c r="J67" i="5"/>
  <c r="K67" i="5"/>
  <c r="L67" i="5"/>
  <c r="N67" i="5"/>
  <c r="O67" i="5" s="1"/>
  <c r="J66" i="5"/>
  <c r="K66" i="5"/>
  <c r="L66" i="5"/>
  <c r="N66" i="5"/>
  <c r="O66" i="5" s="1"/>
  <c r="J65" i="5"/>
  <c r="K65" i="5"/>
  <c r="L65" i="5"/>
  <c r="N65" i="5"/>
  <c r="O65" i="5" s="1"/>
  <c r="J64" i="5"/>
  <c r="K64" i="5"/>
  <c r="L64" i="5"/>
  <c r="N64" i="5"/>
  <c r="O64" i="5" s="1"/>
  <c r="J63" i="5"/>
  <c r="K63" i="5"/>
  <c r="L63" i="5"/>
  <c r="N63" i="5"/>
  <c r="O63" i="5" s="1"/>
  <c r="J62" i="5"/>
  <c r="K62" i="5"/>
  <c r="L62" i="5"/>
  <c r="N62" i="5"/>
  <c r="O62" i="5" s="1"/>
  <c r="J61" i="5"/>
  <c r="K61" i="5"/>
  <c r="L61" i="5"/>
  <c r="N61" i="5"/>
  <c r="O61" i="5" s="1"/>
  <c r="J60" i="5"/>
  <c r="K60" i="5"/>
  <c r="L60" i="5"/>
  <c r="N60" i="5"/>
  <c r="O60" i="5" s="1"/>
  <c r="J59" i="5"/>
  <c r="K59" i="5"/>
  <c r="L59" i="5"/>
  <c r="N59" i="5"/>
  <c r="O59" i="5" s="1"/>
  <c r="J58" i="5"/>
  <c r="K58" i="5"/>
  <c r="L58" i="5"/>
  <c r="N58" i="5"/>
  <c r="O58" i="5" s="1"/>
  <c r="J57" i="5"/>
  <c r="K57" i="5"/>
  <c r="L57" i="5"/>
  <c r="N57" i="5"/>
  <c r="O57" i="5" s="1"/>
  <c r="J56" i="5"/>
  <c r="K56" i="5"/>
  <c r="L56" i="5"/>
  <c r="N56" i="5"/>
  <c r="O56" i="5" s="1"/>
  <c r="J55" i="5"/>
  <c r="K55" i="5"/>
  <c r="L55" i="5"/>
  <c r="N55" i="5"/>
  <c r="O55" i="5" s="1"/>
  <c r="J54" i="5"/>
  <c r="K54" i="5"/>
  <c r="L54" i="5"/>
  <c r="N54" i="5"/>
  <c r="O54" i="5" s="1"/>
  <c r="J53" i="5"/>
  <c r="K53" i="5"/>
  <c r="L53" i="5"/>
  <c r="N53" i="5"/>
  <c r="O53" i="5" s="1"/>
  <c r="J52" i="5"/>
  <c r="K52" i="5"/>
  <c r="L52" i="5"/>
  <c r="N52" i="5"/>
  <c r="O52" i="5" s="1"/>
  <c r="J51" i="5"/>
  <c r="K51" i="5"/>
  <c r="L51" i="5"/>
  <c r="N51" i="5"/>
  <c r="O51" i="5" s="1"/>
  <c r="J50" i="5"/>
  <c r="K50" i="5"/>
  <c r="L50" i="5"/>
  <c r="N50" i="5"/>
  <c r="O50" i="5" s="1"/>
  <c r="J49" i="5"/>
  <c r="K49" i="5"/>
  <c r="L49" i="5"/>
  <c r="N49" i="5"/>
  <c r="O49" i="5" s="1"/>
  <c r="J48" i="5"/>
  <c r="K48" i="5"/>
  <c r="L48" i="5"/>
  <c r="N48" i="5"/>
  <c r="O48" i="5" s="1"/>
  <c r="J47" i="5"/>
  <c r="K47" i="5"/>
  <c r="L47" i="5"/>
  <c r="N47" i="5"/>
  <c r="O47" i="5" s="1"/>
  <c r="J46" i="5"/>
  <c r="K46" i="5"/>
  <c r="L46" i="5"/>
  <c r="N46" i="5"/>
  <c r="O46" i="5" s="1"/>
  <c r="J45" i="5"/>
  <c r="K45" i="5"/>
  <c r="L45" i="5"/>
  <c r="N45" i="5"/>
  <c r="O45" i="5" s="1"/>
  <c r="J44" i="5"/>
  <c r="K44" i="5"/>
  <c r="L44" i="5"/>
  <c r="N44" i="5"/>
  <c r="O44" i="5" s="1"/>
  <c r="J43" i="5"/>
  <c r="K43" i="5"/>
  <c r="L43" i="5"/>
  <c r="N43" i="5"/>
  <c r="O43" i="5" s="1"/>
  <c r="J42" i="5"/>
  <c r="K42" i="5"/>
  <c r="L42" i="5"/>
  <c r="N42" i="5"/>
  <c r="O42" i="5" s="1"/>
  <c r="J41" i="5"/>
  <c r="K41" i="5"/>
  <c r="L41" i="5"/>
  <c r="N41" i="5"/>
  <c r="O41" i="5" s="1"/>
  <c r="J40" i="5"/>
  <c r="K40" i="5"/>
  <c r="L40" i="5"/>
  <c r="N40" i="5"/>
  <c r="O40" i="5" s="1"/>
  <c r="J39" i="5"/>
  <c r="K39" i="5"/>
  <c r="L39" i="5"/>
  <c r="N39" i="5"/>
  <c r="O39" i="5" s="1"/>
  <c r="J38" i="5"/>
  <c r="K38" i="5"/>
  <c r="L38" i="5"/>
  <c r="N38" i="5"/>
  <c r="O38" i="5" s="1"/>
  <c r="J37" i="5"/>
  <c r="K37" i="5"/>
  <c r="L37" i="5"/>
  <c r="N37" i="5"/>
  <c r="O37" i="5" s="1"/>
  <c r="J36" i="5"/>
  <c r="K36" i="5"/>
  <c r="L36" i="5"/>
  <c r="N36" i="5"/>
  <c r="O36" i="5" s="1"/>
  <c r="J35" i="5"/>
  <c r="K35" i="5"/>
  <c r="L35" i="5"/>
  <c r="N35" i="5"/>
  <c r="O35" i="5" s="1"/>
  <c r="J34" i="5"/>
  <c r="K34" i="5"/>
  <c r="L34" i="5"/>
  <c r="N34" i="5"/>
  <c r="O34" i="5" s="1"/>
  <c r="J33" i="5"/>
  <c r="K33" i="5"/>
  <c r="L33" i="5"/>
  <c r="N33" i="5"/>
  <c r="O33" i="5" s="1"/>
  <c r="J32" i="5"/>
  <c r="K32" i="5"/>
  <c r="L32" i="5"/>
  <c r="N32" i="5"/>
  <c r="O32" i="5" s="1"/>
  <c r="J31" i="5"/>
  <c r="K31" i="5"/>
  <c r="L31" i="5"/>
  <c r="N31" i="5"/>
  <c r="O31" i="5" s="1"/>
  <c r="J30" i="5"/>
  <c r="K30" i="5"/>
  <c r="L30" i="5"/>
  <c r="N30" i="5"/>
  <c r="O30" i="5" s="1"/>
  <c r="J29" i="5"/>
  <c r="K29" i="5"/>
  <c r="L29" i="5"/>
  <c r="N29" i="5"/>
  <c r="O29" i="5" s="1"/>
  <c r="J28" i="5"/>
  <c r="K28" i="5"/>
  <c r="L28" i="5"/>
  <c r="N28" i="5"/>
  <c r="O28" i="5" s="1"/>
  <c r="J27" i="5"/>
  <c r="K27" i="5"/>
  <c r="L27" i="5"/>
  <c r="N27" i="5"/>
  <c r="O27" i="5" s="1"/>
  <c r="J26" i="5"/>
  <c r="K26" i="5"/>
  <c r="L26" i="5"/>
  <c r="N26" i="5"/>
  <c r="O26" i="5" s="1"/>
  <c r="J25" i="5"/>
  <c r="K25" i="5"/>
  <c r="L25" i="5"/>
  <c r="N25" i="5"/>
  <c r="O25" i="5" s="1"/>
  <c r="J24" i="5"/>
  <c r="K24" i="5"/>
  <c r="L24" i="5"/>
  <c r="N24" i="5"/>
  <c r="O24" i="5" s="1"/>
  <c r="J23" i="5"/>
  <c r="K23" i="5"/>
  <c r="L23" i="5"/>
  <c r="N23" i="5"/>
  <c r="O23" i="5" s="1"/>
  <c r="J22" i="5"/>
  <c r="K22" i="5"/>
  <c r="L22" i="5"/>
  <c r="N22" i="5"/>
  <c r="O22" i="5" s="1"/>
  <c r="J21" i="5"/>
  <c r="K21" i="5"/>
  <c r="L21" i="5"/>
  <c r="N21" i="5"/>
  <c r="O21" i="5" s="1"/>
  <c r="J20" i="5"/>
  <c r="K20" i="5"/>
  <c r="L20" i="5"/>
  <c r="N20" i="5"/>
  <c r="O20" i="5" s="1"/>
  <c r="J19" i="5"/>
  <c r="K19" i="5"/>
  <c r="L19" i="5"/>
  <c r="N19" i="5"/>
  <c r="O19" i="5" s="1"/>
  <c r="J18" i="5"/>
  <c r="K18" i="5"/>
  <c r="L18" i="5"/>
  <c r="N18" i="5"/>
  <c r="O18" i="5" s="1"/>
  <c r="J17" i="5"/>
  <c r="K17" i="5"/>
  <c r="L17" i="5"/>
  <c r="N17" i="5"/>
  <c r="O17" i="5" s="1"/>
  <c r="J16" i="5"/>
  <c r="K16" i="5"/>
  <c r="L16" i="5"/>
  <c r="N16" i="5"/>
  <c r="O16" i="5" s="1"/>
  <c r="J15" i="5"/>
  <c r="K15" i="5"/>
  <c r="L15" i="5"/>
  <c r="N15" i="5"/>
  <c r="O15" i="5" s="1"/>
  <c r="J14" i="5"/>
  <c r="K14" i="5"/>
  <c r="L14" i="5"/>
  <c r="N14" i="5"/>
  <c r="O14" i="5" s="1"/>
  <c r="J13" i="5"/>
  <c r="K13" i="5"/>
  <c r="L13" i="5"/>
  <c r="N13" i="5"/>
  <c r="O13" i="5" s="1"/>
  <c r="J12" i="5"/>
  <c r="K12" i="5"/>
  <c r="L12" i="5"/>
  <c r="N12" i="5"/>
  <c r="O12" i="5" s="1"/>
  <c r="J11" i="5"/>
  <c r="K11" i="5"/>
  <c r="L11" i="5"/>
  <c r="N11" i="5"/>
  <c r="O11" i="5" s="1"/>
  <c r="J10" i="5"/>
  <c r="K10" i="5"/>
  <c r="L10" i="5"/>
  <c r="N10" i="5"/>
  <c r="O10" i="5" s="1"/>
  <c r="J9" i="5"/>
  <c r="K9" i="5"/>
  <c r="L9" i="5"/>
  <c r="N9" i="5"/>
  <c r="O9" i="5" s="1"/>
  <c r="J8" i="5"/>
  <c r="K8" i="5"/>
  <c r="L8" i="5"/>
  <c r="N8" i="5"/>
  <c r="O8" i="5" s="1"/>
  <c r="J7" i="5"/>
  <c r="K7" i="5"/>
  <c r="L7" i="5"/>
  <c r="N7" i="5"/>
  <c r="O7" i="5" s="1"/>
  <c r="J6" i="5"/>
  <c r="K6" i="5"/>
  <c r="L6" i="5"/>
  <c r="N6" i="5"/>
  <c r="O6" i="5" s="1"/>
  <c r="J5" i="5"/>
  <c r="K5" i="5"/>
  <c r="L5" i="5"/>
  <c r="N5" i="5"/>
  <c r="O5" i="5" s="1"/>
  <c r="J4" i="5"/>
  <c r="K4" i="5"/>
  <c r="L4" i="5"/>
  <c r="N4" i="5"/>
  <c r="O4" i="5" s="1"/>
  <c r="J3" i="5"/>
  <c r="K3" i="5"/>
  <c r="L3" i="5"/>
  <c r="N3" i="5"/>
  <c r="O3" i="5" s="1"/>
  <c r="M180" i="5"/>
  <c r="M55" i="5"/>
  <c r="M64" i="5"/>
  <c r="M158" i="5"/>
  <c r="M165" i="5"/>
  <c r="M177" i="5"/>
  <c r="M196" i="5"/>
  <c r="M197" i="5"/>
  <c r="M210" i="5"/>
  <c r="M233" i="5"/>
  <c r="M254" i="5"/>
  <c r="M257" i="5"/>
  <c r="M262" i="5"/>
  <c r="M271" i="5"/>
  <c r="M277" i="5"/>
  <c r="M288" i="5"/>
  <c r="M312" i="5"/>
  <c r="M314" i="5"/>
  <c r="M327" i="5"/>
  <c r="M341" i="5"/>
  <c r="M1145" i="5"/>
  <c r="M1513" i="5"/>
  <c r="M1732" i="5"/>
  <c r="L635" i="1" l="1"/>
  <c r="L491" i="1"/>
  <c r="L227" i="1"/>
  <c r="L633" i="1"/>
  <c r="L561" i="1"/>
  <c r="L489" i="1"/>
  <c r="L417" i="1"/>
  <c r="L345" i="1"/>
  <c r="L287" i="1"/>
  <c r="L225" i="1"/>
  <c r="L117" i="1"/>
  <c r="K513" i="1"/>
  <c r="K297" i="1"/>
  <c r="L647" i="1"/>
  <c r="L575" i="1"/>
  <c r="L503" i="1"/>
  <c r="L431" i="1"/>
  <c r="L359" i="1"/>
  <c r="L285" i="1"/>
  <c r="L179" i="1"/>
  <c r="L347" i="1"/>
  <c r="L645" i="1"/>
  <c r="L573" i="1"/>
  <c r="L501" i="1"/>
  <c r="L429" i="1"/>
  <c r="L357" i="1"/>
  <c r="L299" i="1"/>
  <c r="L239" i="1"/>
  <c r="L177" i="1"/>
  <c r="L131" i="1"/>
  <c r="L83" i="1"/>
  <c r="K537" i="1"/>
  <c r="K21" i="1"/>
  <c r="L119" i="1"/>
  <c r="L659" i="1"/>
  <c r="L587" i="1"/>
  <c r="L515" i="1"/>
  <c r="L443" i="1"/>
  <c r="L371" i="1"/>
  <c r="L237" i="1"/>
  <c r="L191" i="1"/>
  <c r="L129" i="1"/>
  <c r="L81" i="1"/>
  <c r="L45" i="1"/>
  <c r="L167" i="1"/>
  <c r="L657" i="1"/>
  <c r="L585" i="1"/>
  <c r="L441" i="1"/>
  <c r="L189" i="1"/>
  <c r="L143" i="1"/>
  <c r="L563" i="1"/>
  <c r="L419" i="1"/>
  <c r="L599" i="1"/>
  <c r="L527" i="1"/>
  <c r="L455" i="1"/>
  <c r="L383" i="1"/>
  <c r="L311" i="1"/>
  <c r="L251" i="1"/>
  <c r="L141" i="1"/>
  <c r="L95" i="1"/>
  <c r="L597" i="1"/>
  <c r="L525" i="1"/>
  <c r="L453" i="1"/>
  <c r="L381" i="1"/>
  <c r="L309" i="1"/>
  <c r="L249" i="1"/>
  <c r="L203" i="1"/>
  <c r="L93" i="1"/>
  <c r="L611" i="1"/>
  <c r="L539" i="1"/>
  <c r="L467" i="1"/>
  <c r="L395" i="1"/>
  <c r="L323" i="1"/>
  <c r="L263" i="1"/>
  <c r="L201" i="1"/>
  <c r="L155" i="1"/>
  <c r="L57" i="1"/>
  <c r="K261" i="1"/>
  <c r="L275" i="1"/>
  <c r="L465" i="1"/>
  <c r="L393" i="1"/>
  <c r="L321" i="1"/>
  <c r="L215" i="1"/>
  <c r="L153" i="1"/>
  <c r="L107" i="1"/>
  <c r="L271" i="1"/>
  <c r="L199" i="1"/>
  <c r="L127" i="1"/>
  <c r="L67" i="1"/>
  <c r="L223" i="1"/>
  <c r="L151" i="1"/>
  <c r="L79" i="1"/>
  <c r="L307" i="1"/>
  <c r="L235" i="1"/>
  <c r="L163" i="1"/>
  <c r="L91" i="1"/>
  <c r="L247" i="1"/>
  <c r="L175" i="1"/>
  <c r="L103" i="1"/>
  <c r="L115" i="1"/>
  <c r="L310" i="1"/>
  <c r="L166" i="1"/>
  <c r="K478" i="1"/>
  <c r="K82" i="1"/>
  <c r="L71" i="1"/>
  <c r="L55" i="1"/>
  <c r="L598" i="1"/>
  <c r="L454" i="1"/>
  <c r="K550" i="1"/>
  <c r="K406" i="1"/>
  <c r="L59" i="1"/>
  <c r="L43" i="1"/>
  <c r="K298" i="1"/>
  <c r="L610" i="1"/>
  <c r="L466" i="1"/>
  <c r="L322" i="1"/>
  <c r="L178" i="1"/>
  <c r="L46" i="1"/>
  <c r="L31" i="1"/>
  <c r="K574" i="1"/>
  <c r="K526" i="1"/>
  <c r="K502" i="1"/>
  <c r="K430" i="1"/>
  <c r="K358" i="1"/>
  <c r="K238" i="1"/>
  <c r="L622" i="1"/>
  <c r="L334" i="1"/>
  <c r="L190" i="1"/>
  <c r="K118" i="1"/>
  <c r="K22" i="1"/>
  <c r="L634" i="1"/>
  <c r="L490" i="1"/>
  <c r="L346" i="1"/>
  <c r="L202" i="1"/>
  <c r="L58" i="1"/>
  <c r="L10" i="1"/>
  <c r="K274" i="1"/>
  <c r="K214" i="1"/>
  <c r="L646" i="1"/>
  <c r="L70" i="1"/>
  <c r="K154" i="1"/>
  <c r="L658" i="1"/>
  <c r="L514" i="1"/>
  <c r="L370" i="1"/>
  <c r="L226" i="1"/>
  <c r="K94" i="1"/>
  <c r="L382" i="1"/>
  <c r="K538" i="1"/>
  <c r="K442" i="1"/>
  <c r="K394" i="1"/>
  <c r="K250" i="1"/>
  <c r="K130" i="1"/>
  <c r="L106" i="1"/>
  <c r="K586" i="1"/>
  <c r="K562" i="1"/>
  <c r="K418" i="1"/>
  <c r="K34" i="1"/>
  <c r="L262" i="1"/>
  <c r="K286" i="1"/>
  <c r="L142" i="1"/>
  <c r="L47" i="1"/>
  <c r="K23" i="1"/>
  <c r="L35" i="1"/>
  <c r="L7" i="1"/>
  <c r="L11" i="1"/>
  <c r="K41" i="1"/>
  <c r="M1992" i="5"/>
  <c r="L5" i="1"/>
  <c r="L17" i="1"/>
  <c r="L29" i="1"/>
  <c r="M1987" i="5"/>
  <c r="K568" i="1"/>
  <c r="K424" i="1"/>
  <c r="M1990" i="5"/>
  <c r="M1988" i="5"/>
  <c r="M1993" i="5"/>
  <c r="K580" i="1"/>
  <c r="K436" i="1"/>
  <c r="K592" i="1"/>
  <c r="K448" i="1"/>
  <c r="K604" i="1"/>
  <c r="K460" i="1"/>
  <c r="K616" i="1"/>
  <c r="K472" i="1"/>
  <c r="L664" i="1"/>
  <c r="L652" i="1"/>
  <c r="L640" i="1"/>
  <c r="L628" i="1"/>
  <c r="L556" i="1"/>
  <c r="L544" i="1"/>
  <c r="L532" i="1"/>
  <c r="L520" i="1"/>
  <c r="L508" i="1"/>
  <c r="L496" i="1"/>
  <c r="L484" i="1"/>
  <c r="L412" i="1"/>
  <c r="L400" i="1"/>
  <c r="L388" i="1"/>
  <c r="L376" i="1"/>
  <c r="L364" i="1"/>
  <c r="L352" i="1"/>
  <c r="L340" i="1"/>
  <c r="L328" i="1"/>
  <c r="L316" i="1"/>
  <c r="L304" i="1"/>
  <c r="L292" i="1"/>
  <c r="L280" i="1"/>
  <c r="L268" i="1"/>
  <c r="L256" i="1"/>
  <c r="L244" i="1"/>
  <c r="L232" i="1"/>
  <c r="L220" i="1"/>
  <c r="L208" i="1"/>
  <c r="L196" i="1"/>
  <c r="L184" i="1"/>
  <c r="L172" i="1"/>
  <c r="L160" i="1"/>
  <c r="L148" i="1"/>
  <c r="L136" i="1"/>
  <c r="L124" i="1"/>
  <c r="L112" i="1"/>
  <c r="L100" i="1"/>
  <c r="L88" i="1"/>
  <c r="L76" i="1"/>
  <c r="L64" i="1"/>
  <c r="L52" i="1"/>
  <c r="L40" i="1"/>
  <c r="L28" i="1"/>
  <c r="L16" i="1"/>
  <c r="L4" i="1"/>
  <c r="M1926" i="5"/>
  <c r="M1927" i="5"/>
  <c r="M1152" i="5"/>
  <c r="M1153" i="5"/>
  <c r="M1740" i="5"/>
  <c r="M1739" i="5"/>
  <c r="M1318" i="5"/>
  <c r="M1316" i="5"/>
  <c r="M1314" i="5"/>
  <c r="M1312" i="5"/>
  <c r="M1310" i="5"/>
  <c r="M1308" i="5"/>
  <c r="M1306" i="5"/>
  <c r="M1313" i="5"/>
  <c r="M1305" i="5"/>
  <c r="M1315" i="5"/>
  <c r="M1307" i="5"/>
  <c r="M1317" i="5"/>
  <c r="M1309" i="5"/>
  <c r="M1311" i="5"/>
  <c r="M1183" i="5"/>
  <c r="M1181" i="5"/>
  <c r="M1182" i="5"/>
  <c r="M876" i="5"/>
  <c r="M874" i="5"/>
  <c r="M875" i="5"/>
  <c r="M1042" i="5"/>
  <c r="M1041" i="5"/>
  <c r="M1040" i="5"/>
  <c r="M712" i="5"/>
  <c r="M711" i="5"/>
  <c r="M713" i="5"/>
  <c r="M1924" i="5"/>
  <c r="M1925" i="5"/>
  <c r="M1827" i="5"/>
  <c r="M1829" i="5"/>
  <c r="M1828" i="5"/>
  <c r="M1603" i="5"/>
  <c r="M1598" i="5"/>
  <c r="M1593" i="5"/>
  <c r="M1600" i="5"/>
  <c r="M1595" i="5"/>
  <c r="M1602" i="5"/>
  <c r="M1597" i="5"/>
  <c r="M1599" i="5"/>
  <c r="M1594" i="5"/>
  <c r="M1601" i="5"/>
  <c r="M1596" i="5"/>
  <c r="M1365" i="5"/>
  <c r="M1364" i="5"/>
  <c r="M1150" i="5"/>
  <c r="M1149" i="5"/>
  <c r="M1151" i="5"/>
  <c r="M998" i="5"/>
  <c r="M997" i="5"/>
  <c r="M800" i="5"/>
  <c r="M799" i="5"/>
  <c r="M801" i="5"/>
  <c r="M709" i="5"/>
  <c r="M708" i="5"/>
  <c r="M710" i="5"/>
  <c r="M486" i="5"/>
  <c r="M484" i="5"/>
  <c r="M482" i="5"/>
  <c r="M480" i="5"/>
  <c r="M478" i="5"/>
  <c r="M476" i="5"/>
  <c r="M474" i="5"/>
  <c r="M485" i="5"/>
  <c r="M483" i="5"/>
  <c r="M481" i="5"/>
  <c r="M479" i="5"/>
  <c r="M477" i="5"/>
  <c r="M475" i="5"/>
  <c r="M1780" i="5"/>
  <c r="M1781" i="5"/>
  <c r="M1782" i="5"/>
  <c r="M1438" i="5"/>
  <c r="M1436" i="5"/>
  <c r="M1434" i="5"/>
  <c r="M1432" i="5"/>
  <c r="M1437" i="5"/>
  <c r="M1435" i="5"/>
  <c r="M1433" i="5"/>
  <c r="M1431" i="5"/>
  <c r="M1179" i="5"/>
  <c r="M1180" i="5"/>
  <c r="M911" i="5"/>
  <c r="M910" i="5"/>
  <c r="M912" i="5"/>
  <c r="M827" i="5"/>
  <c r="M829" i="5"/>
  <c r="M831" i="5"/>
  <c r="M826" i="5"/>
  <c r="M828" i="5"/>
  <c r="M830" i="5"/>
  <c r="M745" i="5"/>
  <c r="M744" i="5"/>
  <c r="M746" i="5"/>
  <c r="M666" i="5"/>
  <c r="M668" i="5"/>
  <c r="M665" i="5"/>
  <c r="M667" i="5"/>
  <c r="M590" i="5"/>
  <c r="M588" i="5"/>
  <c r="M586" i="5"/>
  <c r="M589" i="5"/>
  <c r="M585" i="5"/>
  <c r="M587" i="5"/>
  <c r="M418" i="5"/>
  <c r="M416" i="5"/>
  <c r="M414" i="5"/>
  <c r="M412" i="5"/>
  <c r="M410" i="5"/>
  <c r="M408" i="5"/>
  <c r="M406" i="5"/>
  <c r="M404" i="5"/>
  <c r="M402" i="5"/>
  <c r="M400" i="5"/>
  <c r="M398" i="5"/>
  <c r="M396" i="5"/>
  <c r="M394" i="5"/>
  <c r="M392" i="5"/>
  <c r="M390" i="5"/>
  <c r="M419" i="5"/>
  <c r="M417" i="5"/>
  <c r="M415" i="5"/>
  <c r="M413" i="5"/>
  <c r="M411" i="5"/>
  <c r="M409" i="5"/>
  <c r="M407" i="5"/>
  <c r="M405" i="5"/>
  <c r="M403" i="5"/>
  <c r="M401" i="5"/>
  <c r="M399" i="5"/>
  <c r="M397" i="5"/>
  <c r="M395" i="5"/>
  <c r="M393" i="5"/>
  <c r="M391" i="5"/>
  <c r="M389" i="5"/>
  <c r="M1831" i="5"/>
  <c r="M1833" i="5"/>
  <c r="M1830" i="5"/>
  <c r="M1832" i="5"/>
  <c r="M880" i="5"/>
  <c r="M878" i="5"/>
  <c r="M881" i="5"/>
  <c r="M879" i="5"/>
  <c r="M877" i="5"/>
  <c r="M674" i="5"/>
  <c r="M675" i="5"/>
  <c r="M1955" i="5"/>
  <c r="M1957" i="5"/>
  <c r="M1956" i="5"/>
  <c r="M1737" i="5"/>
  <c r="M1738" i="5"/>
  <c r="M1736" i="5"/>
  <c r="M1643" i="5"/>
  <c r="M1642" i="5"/>
  <c r="M1039" i="5"/>
  <c r="M1038" i="5"/>
  <c r="M913" i="5"/>
  <c r="M915" i="5"/>
  <c r="M914" i="5"/>
  <c r="M836" i="5"/>
  <c r="M834" i="5"/>
  <c r="M835" i="5"/>
  <c r="M832" i="5"/>
  <c r="M833" i="5"/>
  <c r="M748" i="5"/>
  <c r="M747" i="5"/>
  <c r="M749" i="5"/>
  <c r="M670" i="5"/>
  <c r="M672" i="5"/>
  <c r="M669" i="5"/>
  <c r="M671" i="5"/>
  <c r="M673" i="5"/>
  <c r="M594" i="5"/>
  <c r="M592" i="5"/>
  <c r="M595" i="5"/>
  <c r="M593" i="5"/>
  <c r="M591" i="5"/>
  <c r="M422" i="5"/>
  <c r="M420" i="5"/>
  <c r="M421" i="5"/>
  <c r="M1984" i="5"/>
  <c r="M1981" i="5"/>
  <c r="M1983" i="5"/>
  <c r="M1985" i="5"/>
  <c r="M1982" i="5"/>
  <c r="M1952" i="5"/>
  <c r="M1954" i="5"/>
  <c r="M1953" i="5"/>
  <c r="M1923" i="5"/>
  <c r="M1922" i="5"/>
  <c r="M1825" i="5"/>
  <c r="M1824" i="5"/>
  <c r="M1822" i="5"/>
  <c r="M1826" i="5"/>
  <c r="M1823" i="5"/>
  <c r="M1733" i="5"/>
  <c r="M1735" i="5"/>
  <c r="M1734" i="5"/>
  <c r="M1689" i="5"/>
  <c r="M1691" i="5"/>
  <c r="M1688" i="5"/>
  <c r="M1690" i="5"/>
  <c r="M1692" i="5"/>
  <c r="M1641" i="5"/>
  <c r="M1640" i="5"/>
  <c r="M1502" i="5"/>
  <c r="M1500" i="5"/>
  <c r="M1498" i="5"/>
  <c r="M1501" i="5"/>
  <c r="M1499" i="5"/>
  <c r="M1363" i="5"/>
  <c r="M1361" i="5"/>
  <c r="M1359" i="5"/>
  <c r="M1357" i="5"/>
  <c r="M1355" i="5"/>
  <c r="M1353" i="5"/>
  <c r="M1351" i="5"/>
  <c r="M1349" i="5"/>
  <c r="M1347" i="5"/>
  <c r="M1362" i="5"/>
  <c r="M1360" i="5"/>
  <c r="M1358" i="5"/>
  <c r="M1356" i="5"/>
  <c r="M1354" i="5"/>
  <c r="M1352" i="5"/>
  <c r="M1350" i="5"/>
  <c r="M1348" i="5"/>
  <c r="M1346" i="5"/>
  <c r="M1345" i="5"/>
  <c r="M1302" i="5"/>
  <c r="M1300" i="5"/>
  <c r="M1299" i="5"/>
  <c r="M1301" i="5"/>
  <c r="M1303" i="5"/>
  <c r="M1223" i="5"/>
  <c r="M1224" i="5"/>
  <c r="M1102" i="5"/>
  <c r="M1101" i="5"/>
  <c r="M1103" i="5"/>
  <c r="M994" i="5"/>
  <c r="M996" i="5"/>
  <c r="M993" i="5"/>
  <c r="M995" i="5"/>
  <c r="M992" i="5"/>
  <c r="M872" i="5"/>
  <c r="M873" i="5"/>
  <c r="M871" i="5"/>
  <c r="M798" i="5"/>
  <c r="M797" i="5"/>
  <c r="M701" i="5"/>
  <c r="M703" i="5"/>
  <c r="M705" i="5"/>
  <c r="M694" i="5"/>
  <c r="M707" i="5"/>
  <c r="M696" i="5"/>
  <c r="M698" i="5"/>
  <c r="M700" i="5"/>
  <c r="M702" i="5"/>
  <c r="M704" i="5"/>
  <c r="M706" i="5"/>
  <c r="M695" i="5"/>
  <c r="M697" i="5"/>
  <c r="M699" i="5"/>
  <c r="M472" i="5"/>
  <c r="M473" i="5"/>
  <c r="M471" i="5"/>
  <c r="M1950" i="5"/>
  <c r="M1949" i="5"/>
  <c r="M1951" i="5"/>
  <c r="M1921" i="5"/>
  <c r="M1920" i="5"/>
  <c r="M1876" i="5"/>
  <c r="M1873" i="5"/>
  <c r="M1875" i="5"/>
  <c r="M1877" i="5"/>
  <c r="M1872" i="5"/>
  <c r="M1874" i="5"/>
  <c r="M1820" i="5"/>
  <c r="M1821" i="5"/>
  <c r="M1817" i="5"/>
  <c r="M1819" i="5"/>
  <c r="M1818" i="5"/>
  <c r="M1773" i="5"/>
  <c r="M1779" i="5"/>
  <c r="M1778" i="5"/>
  <c r="M1775" i="5"/>
  <c r="M1777" i="5"/>
  <c r="M1772" i="5"/>
  <c r="M1774" i="5"/>
  <c r="M1776" i="5"/>
  <c r="M1771" i="5"/>
  <c r="M1687" i="5"/>
  <c r="M1686" i="5"/>
  <c r="M1684" i="5"/>
  <c r="M1683" i="5"/>
  <c r="M1685" i="5"/>
  <c r="M1639" i="5"/>
  <c r="M1638" i="5"/>
  <c r="M1637" i="5"/>
  <c r="M1591" i="5"/>
  <c r="M1586" i="5"/>
  <c r="M1588" i="5"/>
  <c r="M1583" i="5"/>
  <c r="M1590" i="5"/>
  <c r="M1585" i="5"/>
  <c r="M1587" i="5"/>
  <c r="M1589" i="5"/>
  <c r="M1584" i="5"/>
  <c r="M1545" i="5"/>
  <c r="M1544" i="5"/>
  <c r="M1530" i="5"/>
  <c r="M1529" i="5"/>
  <c r="M1496" i="5"/>
  <c r="M1494" i="5"/>
  <c r="M1492" i="5"/>
  <c r="M1490" i="5"/>
  <c r="M1488" i="5"/>
  <c r="M1486" i="5"/>
  <c r="M1484" i="5"/>
  <c r="M1497" i="5"/>
  <c r="M1495" i="5"/>
  <c r="M1493" i="5"/>
  <c r="M1491" i="5"/>
  <c r="M1489" i="5"/>
  <c r="M1487" i="5"/>
  <c r="M1485" i="5"/>
  <c r="M1959" i="5"/>
  <c r="M1958" i="5"/>
  <c r="M1605" i="5"/>
  <c r="M1604" i="5"/>
  <c r="M1945" i="5"/>
  <c r="M1946" i="5"/>
  <c r="M1761" i="5"/>
  <c r="M1763" i="5"/>
  <c r="M1760" i="5"/>
  <c r="M1762" i="5"/>
  <c r="M1764" i="5"/>
  <c r="M1574" i="5"/>
  <c r="M1576" i="5"/>
  <c r="M1575" i="5"/>
  <c r="M1577" i="5"/>
  <c r="M1427" i="5"/>
  <c r="M1425" i="5"/>
  <c r="M1423" i="5"/>
  <c r="M1418" i="5"/>
  <c r="M1420" i="5"/>
  <c r="M1422" i="5"/>
  <c r="M1424" i="5"/>
  <c r="M1413" i="5"/>
  <c r="M1415" i="5"/>
  <c r="M1426" i="5"/>
  <c r="M1417" i="5"/>
  <c r="M1419" i="5"/>
  <c r="M1421" i="5"/>
  <c r="M1412" i="5"/>
  <c r="M1414" i="5"/>
  <c r="M1416" i="5"/>
  <c r="M1029" i="5"/>
  <c r="M1028" i="5"/>
  <c r="M1030" i="5"/>
  <c r="M1027" i="5"/>
  <c r="M906" i="5"/>
  <c r="M905" i="5"/>
  <c r="M907" i="5"/>
  <c r="M866" i="5"/>
  <c r="M864" i="5"/>
  <c r="M865" i="5"/>
  <c r="M820" i="5"/>
  <c r="M822" i="5"/>
  <c r="M821" i="5"/>
  <c r="M584" i="5"/>
  <c r="M582" i="5"/>
  <c r="M580" i="5"/>
  <c r="M578" i="5"/>
  <c r="M576" i="5"/>
  <c r="M574" i="5"/>
  <c r="M581" i="5"/>
  <c r="M573" i="5"/>
  <c r="M568" i="5"/>
  <c r="M583" i="5"/>
  <c r="M575" i="5"/>
  <c r="M570" i="5"/>
  <c r="M572" i="5"/>
  <c r="M577" i="5"/>
  <c r="M567" i="5"/>
  <c r="M569" i="5"/>
  <c r="M579" i="5"/>
  <c r="M571" i="5"/>
  <c r="M1880" i="5"/>
  <c r="M1881" i="5"/>
  <c r="M1456" i="5"/>
  <c r="M1454" i="5"/>
  <c r="M1452" i="5"/>
  <c r="M1450" i="5"/>
  <c r="M1448" i="5"/>
  <c r="M1446" i="5"/>
  <c r="M1444" i="5"/>
  <c r="M1442" i="5"/>
  <c r="M1440" i="5"/>
  <c r="M1457" i="5"/>
  <c r="M1455" i="5"/>
  <c r="M1453" i="5"/>
  <c r="M1451" i="5"/>
  <c r="M1449" i="5"/>
  <c r="M1447" i="5"/>
  <c r="M1445" i="5"/>
  <c r="M1443" i="5"/>
  <c r="M1441" i="5"/>
  <c r="M1866" i="5"/>
  <c r="M1865" i="5"/>
  <c r="M1867" i="5"/>
  <c r="M1342" i="5"/>
  <c r="M1343" i="5"/>
  <c r="M1220" i="5"/>
  <c r="M1221" i="5"/>
  <c r="M1177" i="5"/>
  <c r="M1176" i="5"/>
  <c r="M1077" i="5"/>
  <c r="M1066" i="5"/>
  <c r="M1079" i="5"/>
  <c r="M1068" i="5"/>
  <c r="M1081" i="5"/>
  <c r="M1070" i="5"/>
  <c r="M1072" i="5"/>
  <c r="M1074" i="5"/>
  <c r="M1076" i="5"/>
  <c r="M1078" i="5"/>
  <c r="M1080" i="5"/>
  <c r="M1067" i="5"/>
  <c r="M1069" i="5"/>
  <c r="M1071" i="5"/>
  <c r="M1073" i="5"/>
  <c r="M1075" i="5"/>
  <c r="M987" i="5"/>
  <c r="M986" i="5"/>
  <c r="M988" i="5"/>
  <c r="M384" i="5"/>
  <c r="M382" i="5"/>
  <c r="M385" i="5"/>
  <c r="M383" i="5"/>
  <c r="M1758" i="5"/>
  <c r="M1759" i="5"/>
  <c r="M1725" i="5"/>
  <c r="M1724" i="5"/>
  <c r="M1726" i="5"/>
  <c r="M1627" i="5"/>
  <c r="M1622" i="5"/>
  <c r="M1629" i="5"/>
  <c r="M1624" i="5"/>
  <c r="M1626" i="5"/>
  <c r="M1628" i="5"/>
  <c r="M1623" i="5"/>
  <c r="M1625" i="5"/>
  <c r="M1569" i="5"/>
  <c r="M1571" i="5"/>
  <c r="M1573" i="5"/>
  <c r="M1568" i="5"/>
  <c r="M1570" i="5"/>
  <c r="M1572" i="5"/>
  <c r="M1478" i="5"/>
  <c r="M1479" i="5"/>
  <c r="M1477" i="5"/>
  <c r="M1405" i="5"/>
  <c r="M1407" i="5"/>
  <c r="M1409" i="5"/>
  <c r="M1406" i="5"/>
  <c r="M1408" i="5"/>
  <c r="M1410" i="5"/>
  <c r="M1173" i="5"/>
  <c r="M1174" i="5"/>
  <c r="M1142" i="5"/>
  <c r="M1140" i="5"/>
  <c r="M1141" i="5"/>
  <c r="M1059" i="5"/>
  <c r="M1061" i="5"/>
  <c r="M1063" i="5"/>
  <c r="M1060" i="5"/>
  <c r="M1062" i="5"/>
  <c r="M1026" i="5"/>
  <c r="M1025" i="5"/>
  <c r="M981" i="5"/>
  <c r="M970" i="5"/>
  <c r="M983" i="5"/>
  <c r="M972" i="5"/>
  <c r="M985" i="5"/>
  <c r="M974" i="5"/>
  <c r="M961" i="5"/>
  <c r="M976" i="5"/>
  <c r="M963" i="5"/>
  <c r="M978" i="5"/>
  <c r="M965" i="5"/>
  <c r="M980" i="5"/>
  <c r="M967" i="5"/>
  <c r="M982" i="5"/>
  <c r="M969" i="5"/>
  <c r="M984" i="5"/>
  <c r="M971" i="5"/>
  <c r="M960" i="5"/>
  <c r="M973" i="5"/>
  <c r="M962" i="5"/>
  <c r="M975" i="5"/>
  <c r="M964" i="5"/>
  <c r="M977" i="5"/>
  <c r="M966" i="5"/>
  <c r="M979" i="5"/>
  <c r="M968" i="5"/>
  <c r="M904" i="5"/>
  <c r="M903" i="5"/>
  <c r="M862" i="5"/>
  <c r="M863" i="5"/>
  <c r="M861" i="5"/>
  <c r="M817" i="5"/>
  <c r="M819" i="5"/>
  <c r="M818" i="5"/>
  <c r="M690" i="5"/>
  <c r="M689" i="5"/>
  <c r="M691" i="5"/>
  <c r="M659" i="5"/>
  <c r="M660" i="5"/>
  <c r="M566" i="5"/>
  <c r="M563" i="5"/>
  <c r="M565" i="5"/>
  <c r="M562" i="5"/>
  <c r="M564" i="5"/>
  <c r="M464" i="5"/>
  <c r="M462" i="5"/>
  <c r="M465" i="5"/>
  <c r="M463" i="5"/>
  <c r="M461" i="5"/>
  <c r="M380" i="5"/>
  <c r="M381" i="5"/>
  <c r="M1972" i="5"/>
  <c r="M1971" i="5"/>
  <c r="M1940" i="5"/>
  <c r="M1942" i="5"/>
  <c r="M1941" i="5"/>
  <c r="M1914" i="5"/>
  <c r="M1915" i="5"/>
  <c r="M1859" i="5"/>
  <c r="M1861" i="5"/>
  <c r="M1863" i="5"/>
  <c r="M1858" i="5"/>
  <c r="M1860" i="5"/>
  <c r="M1862" i="5"/>
  <c r="M1857" i="5"/>
  <c r="M1797" i="5"/>
  <c r="M1796" i="5"/>
  <c r="M1798" i="5"/>
  <c r="M1756" i="5"/>
  <c r="M1755" i="5"/>
  <c r="M1757" i="5"/>
  <c r="M1720" i="5"/>
  <c r="M1719" i="5"/>
  <c r="M1722" i="5"/>
  <c r="M1721" i="5"/>
  <c r="M1718" i="5"/>
  <c r="M1723" i="5"/>
  <c r="M1670" i="5"/>
  <c r="M1672" i="5"/>
  <c r="M1671" i="5"/>
  <c r="M1621" i="5"/>
  <c r="M1620" i="5"/>
  <c r="M1567" i="5"/>
  <c r="M1564" i="5"/>
  <c r="M1566" i="5"/>
  <c r="M1565" i="5"/>
  <c r="M1476" i="5"/>
  <c r="M1475" i="5"/>
  <c r="M1404" i="5"/>
  <c r="M1403" i="5"/>
  <c r="M1259" i="5"/>
  <c r="M1247" i="5"/>
  <c r="M1254" i="5"/>
  <c r="M1242" i="5"/>
  <c r="M1261" i="5"/>
  <c r="M1249" i="5"/>
  <c r="M1256" i="5"/>
  <c r="M1244" i="5"/>
  <c r="M1263" i="5"/>
  <c r="M1251" i="5"/>
  <c r="M1258" i="5"/>
  <c r="M1246" i="5"/>
  <c r="M1253" i="5"/>
  <c r="M1241" i="5"/>
  <c r="M1260" i="5"/>
  <c r="M1248" i="5"/>
  <c r="M1255" i="5"/>
  <c r="M1243" i="5"/>
  <c r="M1262" i="5"/>
  <c r="M1250" i="5"/>
  <c r="M1257" i="5"/>
  <c r="M1245" i="5"/>
  <c r="M1264" i="5"/>
  <c r="M1252" i="5"/>
  <c r="M1240" i="5"/>
  <c r="M1199" i="5"/>
  <c r="M1197" i="5"/>
  <c r="M1195" i="5"/>
  <c r="M1198" i="5"/>
  <c r="M1196" i="5"/>
  <c r="M1171" i="5"/>
  <c r="M1169" i="5"/>
  <c r="M1172" i="5"/>
  <c r="M1170" i="5"/>
  <c r="M1168" i="5"/>
  <c r="M1138" i="5"/>
  <c r="M1136" i="5"/>
  <c r="M1137" i="5"/>
  <c r="M1139" i="5"/>
  <c r="M1057" i="5"/>
  <c r="M1056" i="5"/>
  <c r="M1058" i="5"/>
  <c r="M954" i="5"/>
  <c r="M956" i="5"/>
  <c r="M955" i="5"/>
  <c r="M896" i="5"/>
  <c r="M897" i="5"/>
  <c r="M895" i="5"/>
  <c r="M856" i="5"/>
  <c r="M854" i="5"/>
  <c r="M855" i="5"/>
  <c r="M812" i="5"/>
  <c r="M813" i="5"/>
  <c r="M784" i="5"/>
  <c r="M772" i="5"/>
  <c r="M779" i="5"/>
  <c r="M786" i="5"/>
  <c r="M774" i="5"/>
  <c r="M781" i="5"/>
  <c r="M769" i="5"/>
  <c r="M788" i="5"/>
  <c r="M776" i="5"/>
  <c r="M783" i="5"/>
  <c r="M771" i="5"/>
  <c r="M778" i="5"/>
  <c r="M785" i="5"/>
  <c r="M773" i="5"/>
  <c r="M780" i="5"/>
  <c r="M787" i="5"/>
  <c r="M775" i="5"/>
  <c r="M782" i="5"/>
  <c r="M770" i="5"/>
  <c r="M777" i="5"/>
  <c r="M733" i="5"/>
  <c r="M732" i="5"/>
  <c r="M734" i="5"/>
  <c r="M653" i="5"/>
  <c r="M655" i="5"/>
  <c r="M654" i="5"/>
  <c r="M656" i="5"/>
  <c r="M536" i="5"/>
  <c r="M533" i="5"/>
  <c r="M535" i="5"/>
  <c r="M532" i="5"/>
  <c r="M534" i="5"/>
  <c r="M460" i="5"/>
  <c r="M458" i="5"/>
  <c r="M459" i="5"/>
  <c r="M378" i="5"/>
  <c r="M376" i="5"/>
  <c r="M374" i="5"/>
  <c r="M372" i="5"/>
  <c r="M370" i="5"/>
  <c r="M368" i="5"/>
  <c r="M366" i="5"/>
  <c r="M364" i="5"/>
  <c r="M362" i="5"/>
  <c r="M360" i="5"/>
  <c r="M358" i="5"/>
  <c r="M379" i="5"/>
  <c r="M377" i="5"/>
  <c r="M375" i="5"/>
  <c r="M373" i="5"/>
  <c r="M371" i="5"/>
  <c r="M369" i="5"/>
  <c r="M367" i="5"/>
  <c r="M365" i="5"/>
  <c r="M363" i="5"/>
  <c r="M361" i="5"/>
  <c r="M359" i="5"/>
  <c r="M1651" i="5"/>
  <c r="M1646" i="5"/>
  <c r="M1648" i="5"/>
  <c r="M1650" i="5"/>
  <c r="M1645" i="5"/>
  <c r="M1652" i="5"/>
  <c r="M1647" i="5"/>
  <c r="M1649" i="5"/>
  <c r="M1644" i="5"/>
  <c r="M1268" i="5"/>
  <c r="M1270" i="5"/>
  <c r="M1267" i="5"/>
  <c r="M1269" i="5"/>
  <c r="M1969" i="5"/>
  <c r="M1970" i="5"/>
  <c r="M1332" i="5"/>
  <c r="M1330" i="5"/>
  <c r="M1329" i="5"/>
  <c r="M1331" i="5"/>
  <c r="M1333" i="5"/>
  <c r="M490" i="5"/>
  <c r="M488" i="5"/>
  <c r="M491" i="5"/>
  <c r="M489" i="5"/>
  <c r="M487" i="5"/>
  <c r="M1727" i="5"/>
  <c r="M1729" i="5"/>
  <c r="M1728" i="5"/>
  <c r="M791" i="5"/>
  <c r="M793" i="5"/>
  <c r="M792" i="5"/>
  <c r="M1792" i="5"/>
  <c r="M1793" i="5"/>
  <c r="M1795" i="5"/>
  <c r="M1794" i="5"/>
  <c r="M952" i="5"/>
  <c r="M953" i="5"/>
  <c r="M456" i="5"/>
  <c r="M457" i="5"/>
  <c r="M455" i="5"/>
  <c r="M1165" i="5"/>
  <c r="M1166" i="5"/>
  <c r="M454" i="5"/>
  <c r="M452" i="5"/>
  <c r="M453" i="5"/>
  <c r="M917" i="5"/>
  <c r="M916" i="5"/>
  <c r="M918" i="5"/>
  <c r="M610" i="5"/>
  <c r="M608" i="5"/>
  <c r="M606" i="5"/>
  <c r="M604" i="5"/>
  <c r="M602" i="5"/>
  <c r="M600" i="5"/>
  <c r="M598" i="5"/>
  <c r="M596" i="5"/>
  <c r="M609" i="5"/>
  <c r="M607" i="5"/>
  <c r="M605" i="5"/>
  <c r="M603" i="5"/>
  <c r="M601" i="5"/>
  <c r="M599" i="5"/>
  <c r="M597" i="5"/>
  <c r="M1918" i="5"/>
  <c r="M1917" i="5"/>
  <c r="M1943" i="5"/>
  <c r="M1944" i="5"/>
  <c r="M1938" i="5"/>
  <c r="M1937" i="5"/>
  <c r="M1939" i="5"/>
  <c r="M1394" i="5"/>
  <c r="M1396" i="5"/>
  <c r="M1398" i="5"/>
  <c r="M1400" i="5"/>
  <c r="M1402" i="5"/>
  <c r="M1391" i="5"/>
  <c r="M1393" i="5"/>
  <c r="M1395" i="5"/>
  <c r="M1397" i="5"/>
  <c r="M1399" i="5"/>
  <c r="M1401" i="5"/>
  <c r="M1390" i="5"/>
  <c r="M1392" i="5"/>
  <c r="M1967" i="5"/>
  <c r="M1968" i="5"/>
  <c r="M1849" i="5"/>
  <c r="M1848" i="5"/>
  <c r="M1850" i="5"/>
  <c r="M1711" i="5"/>
  <c r="M1713" i="5"/>
  <c r="M1712" i="5"/>
  <c r="M1557" i="5"/>
  <c r="M1559" i="5"/>
  <c r="M1556" i="5"/>
  <c r="M1558" i="5"/>
  <c r="M850" i="5"/>
  <c r="M848" i="5"/>
  <c r="M846" i="5"/>
  <c r="M849" i="5"/>
  <c r="M847" i="5"/>
  <c r="M685" i="5"/>
  <c r="M684" i="5"/>
  <c r="M1534" i="5"/>
  <c r="M1533" i="5"/>
  <c r="M1283" i="5"/>
  <c r="M1278" i="5"/>
  <c r="M1285" i="5"/>
  <c r="M1280" i="5"/>
  <c r="M1275" i="5"/>
  <c r="M1282" i="5"/>
  <c r="M1277" i="5"/>
  <c r="M1284" i="5"/>
  <c r="M1279" i="5"/>
  <c r="M1286" i="5"/>
  <c r="M1281" i="5"/>
  <c r="M1276" i="5"/>
  <c r="M1005" i="5"/>
  <c r="M1007" i="5"/>
  <c r="M1009" i="5"/>
  <c r="M1000" i="5"/>
  <c r="M1002" i="5"/>
  <c r="M1004" i="5"/>
  <c r="M1006" i="5"/>
  <c r="M1008" i="5"/>
  <c r="M1010" i="5"/>
  <c r="M999" i="5"/>
  <c r="M1001" i="5"/>
  <c r="M1003" i="5"/>
  <c r="M750" i="5"/>
  <c r="M752" i="5"/>
  <c r="M751" i="5"/>
  <c r="M753" i="5"/>
  <c r="M426" i="5"/>
  <c r="M424" i="5"/>
  <c r="M425" i="5"/>
  <c r="M423" i="5"/>
  <c r="M1805" i="5"/>
  <c r="M1807" i="5"/>
  <c r="M1802" i="5"/>
  <c r="M1804" i="5"/>
  <c r="M1806" i="5"/>
  <c r="M1808" i="5"/>
  <c r="M1803" i="5"/>
  <c r="M1634" i="5"/>
  <c r="M1631" i="5"/>
  <c r="M1633" i="5"/>
  <c r="M1635" i="5"/>
  <c r="M1630" i="5"/>
  <c r="M1632" i="5"/>
  <c r="M1528" i="5"/>
  <c r="M1526" i="5"/>
  <c r="M1524" i="5"/>
  <c r="M1522" i="5"/>
  <c r="M1520" i="5"/>
  <c r="M1518" i="5"/>
  <c r="M1527" i="5"/>
  <c r="M1525" i="5"/>
  <c r="M1523" i="5"/>
  <c r="M1521" i="5"/>
  <c r="M1519" i="5"/>
  <c r="M1517" i="5"/>
  <c r="M661" i="5"/>
  <c r="M663" i="5"/>
  <c r="M662" i="5"/>
  <c r="M1801" i="5"/>
  <c r="M1800" i="5"/>
  <c r="M1799" i="5"/>
  <c r="M1912" i="5"/>
  <c r="M1913" i="5"/>
  <c r="M1715" i="5"/>
  <c r="M1717" i="5"/>
  <c r="M1714" i="5"/>
  <c r="M1716" i="5"/>
  <c r="M1292" i="5"/>
  <c r="M1293" i="5"/>
  <c r="M1193" i="5"/>
  <c r="M1194" i="5"/>
  <c r="M1053" i="5"/>
  <c r="M1055" i="5"/>
  <c r="M1054" i="5"/>
  <c r="M894" i="5"/>
  <c r="M892" i="5"/>
  <c r="M893" i="5"/>
  <c r="M891" i="5"/>
  <c r="M767" i="5"/>
  <c r="M768" i="5"/>
  <c r="M527" i="5"/>
  <c r="M529" i="5"/>
  <c r="M531" i="5"/>
  <c r="M528" i="5"/>
  <c r="M530" i="5"/>
  <c r="M1911" i="5"/>
  <c r="M1910" i="5"/>
  <c r="M1749" i="5"/>
  <c r="M1750" i="5"/>
  <c r="M1751" i="5"/>
  <c r="M1663" i="5"/>
  <c r="M1662" i="5"/>
  <c r="M1664" i="5"/>
  <c r="M1661" i="5"/>
  <c r="M1512" i="5"/>
  <c r="M1510" i="5"/>
  <c r="M1511" i="5"/>
  <c r="M1509" i="5"/>
  <c r="M1235" i="5"/>
  <c r="M1237" i="5"/>
  <c r="M1232" i="5"/>
  <c r="M1234" i="5"/>
  <c r="M1236" i="5"/>
  <c r="M1233" i="5"/>
  <c r="M1116" i="5"/>
  <c r="M1115" i="5"/>
  <c r="M950" i="5"/>
  <c r="M951" i="5"/>
  <c r="M810" i="5"/>
  <c r="M809" i="5"/>
  <c r="M646" i="5"/>
  <c r="M648" i="5"/>
  <c r="M647" i="5"/>
  <c r="M1106" i="5"/>
  <c r="M1105" i="5"/>
  <c r="M1974" i="5"/>
  <c r="M1976" i="5"/>
  <c r="M1975" i="5"/>
  <c r="M1675" i="5"/>
  <c r="M1677" i="5"/>
  <c r="M1674" i="5"/>
  <c r="M1676" i="5"/>
  <c r="M740" i="5"/>
  <c r="M739" i="5"/>
  <c r="M1852" i="5"/>
  <c r="M1854" i="5"/>
  <c r="M1856" i="5"/>
  <c r="M1851" i="5"/>
  <c r="M1853" i="5"/>
  <c r="M1855" i="5"/>
  <c r="M1753" i="5"/>
  <c r="M1752" i="5"/>
  <c r="M1754" i="5"/>
  <c r="M1665" i="5"/>
  <c r="M1667" i="5"/>
  <c r="M1669" i="5"/>
  <c r="M1666" i="5"/>
  <c r="M1668" i="5"/>
  <c r="M1562" i="5"/>
  <c r="M1561" i="5"/>
  <c r="M1563" i="5"/>
  <c r="M1560" i="5"/>
  <c r="M1474" i="5"/>
  <c r="M1473" i="5"/>
  <c r="M1239" i="5"/>
  <c r="M1238" i="5"/>
  <c r="M1134" i="5"/>
  <c r="M1132" i="5"/>
  <c r="M1130" i="5"/>
  <c r="M1128" i="5"/>
  <c r="M1126" i="5"/>
  <c r="M1124" i="5"/>
  <c r="M1122" i="5"/>
  <c r="M1120" i="5"/>
  <c r="M1118" i="5"/>
  <c r="M1117" i="5"/>
  <c r="M1135" i="5"/>
  <c r="M1127" i="5"/>
  <c r="M1119" i="5"/>
  <c r="M1129" i="5"/>
  <c r="M1121" i="5"/>
  <c r="M1131" i="5"/>
  <c r="M1123" i="5"/>
  <c r="M1133" i="5"/>
  <c r="M1125" i="5"/>
  <c r="M1020" i="5"/>
  <c r="M1021" i="5"/>
  <c r="M852" i="5"/>
  <c r="M853" i="5"/>
  <c r="M851" i="5"/>
  <c r="M731" i="5"/>
  <c r="M728" i="5"/>
  <c r="M730" i="5"/>
  <c r="M729" i="5"/>
  <c r="M650" i="5"/>
  <c r="M652" i="5"/>
  <c r="M649" i="5"/>
  <c r="M651" i="5"/>
  <c r="M354" i="5"/>
  <c r="M355" i="5"/>
  <c r="M353" i="5"/>
  <c r="M1615" i="5"/>
  <c r="M1617" i="5"/>
  <c r="M1616" i="5"/>
  <c r="M1618" i="5"/>
  <c r="M1472" i="5"/>
  <c r="M1470" i="5"/>
  <c r="M1471" i="5"/>
  <c r="M1469" i="5"/>
  <c r="M1018" i="5"/>
  <c r="M1017" i="5"/>
  <c r="M1019" i="5"/>
  <c r="M1016" i="5"/>
  <c r="M890" i="5"/>
  <c r="M889" i="5"/>
  <c r="M726" i="5"/>
  <c r="M725" i="5"/>
  <c r="M727" i="5"/>
  <c r="M523" i="5"/>
  <c r="M525" i="5"/>
  <c r="M522" i="5"/>
  <c r="M524" i="5"/>
  <c r="M526" i="5"/>
  <c r="M521" i="5"/>
  <c r="M352" i="5"/>
  <c r="M350" i="5"/>
  <c r="M351" i="5"/>
  <c r="M349" i="5"/>
  <c r="M1960" i="5"/>
  <c r="M1961" i="5"/>
  <c r="M1928" i="5"/>
  <c r="M1930" i="5"/>
  <c r="M1929" i="5"/>
  <c r="M1883" i="5"/>
  <c r="M1885" i="5"/>
  <c r="M1882" i="5"/>
  <c r="M1884" i="5"/>
  <c r="M1835" i="5"/>
  <c r="M1837" i="5"/>
  <c r="M1834" i="5"/>
  <c r="M1836" i="5"/>
  <c r="M1742" i="5"/>
  <c r="M1741" i="5"/>
  <c r="M1698" i="5"/>
  <c r="M1700" i="5"/>
  <c r="M1699" i="5"/>
  <c r="M1701" i="5"/>
  <c r="M1696" i="5"/>
  <c r="M1695" i="5"/>
  <c r="M1697" i="5"/>
  <c r="M1653" i="5"/>
  <c r="M1655" i="5"/>
  <c r="M1654" i="5"/>
  <c r="M1607" i="5"/>
  <c r="M1606" i="5"/>
  <c r="M1608" i="5"/>
  <c r="M1506" i="5"/>
  <c r="M1505" i="5"/>
  <c r="M1370" i="5"/>
  <c r="M1372" i="5"/>
  <c r="M1374" i="5"/>
  <c r="M1376" i="5"/>
  <c r="M1378" i="5"/>
  <c r="M1380" i="5"/>
  <c r="M1367" i="5"/>
  <c r="M1369" i="5"/>
  <c r="M1371" i="5"/>
  <c r="M1373" i="5"/>
  <c r="M1375" i="5"/>
  <c r="M1377" i="5"/>
  <c r="M1379" i="5"/>
  <c r="M1368" i="5"/>
  <c r="M1320" i="5"/>
  <c r="M1319" i="5"/>
  <c r="M1227" i="5"/>
  <c r="M1228" i="5"/>
  <c r="M1187" i="5"/>
  <c r="M1185" i="5"/>
  <c r="M1186" i="5"/>
  <c r="M1156" i="5"/>
  <c r="M1154" i="5"/>
  <c r="M1155" i="5"/>
  <c r="M1157" i="5"/>
  <c r="M497" i="5"/>
  <c r="M510" i="5"/>
  <c r="M545" i="5"/>
  <c r="M559" i="5"/>
  <c r="M495" i="5"/>
  <c r="M508" i="5"/>
  <c r="M519" i="5"/>
  <c r="M543" i="5"/>
  <c r="M552" i="5"/>
  <c r="M493" i="5"/>
  <c r="M506" i="5"/>
  <c r="M517" i="5"/>
  <c r="M541" i="5"/>
  <c r="M557" i="5"/>
  <c r="M1964" i="5"/>
  <c r="M1966" i="5"/>
  <c r="M1965" i="5"/>
  <c r="M1935" i="5"/>
  <c r="M1934" i="5"/>
  <c r="M1907" i="5"/>
  <c r="M1909" i="5"/>
  <c r="M1904" i="5"/>
  <c r="M1906" i="5"/>
  <c r="M1908" i="5"/>
  <c r="M1903" i="5"/>
  <c r="M1905" i="5"/>
  <c r="M1847" i="5"/>
  <c r="M1842" i="5"/>
  <c r="M1844" i="5"/>
  <c r="M1846" i="5"/>
  <c r="M1843" i="5"/>
  <c r="M1845" i="5"/>
  <c r="M1788" i="5"/>
  <c r="M1790" i="5"/>
  <c r="M1789" i="5"/>
  <c r="M1748" i="5"/>
  <c r="M1747" i="5"/>
  <c r="M1746" i="5"/>
  <c r="M1710" i="5"/>
  <c r="M1708" i="5"/>
  <c r="M1709" i="5"/>
  <c r="M1658" i="5"/>
  <c r="M1660" i="5"/>
  <c r="M1659" i="5"/>
  <c r="M1555" i="5"/>
  <c r="M1554" i="5"/>
  <c r="M1553" i="5"/>
  <c r="M1468" i="5"/>
  <c r="M1467" i="5"/>
  <c r="M1383" i="5"/>
  <c r="M1385" i="5"/>
  <c r="M1387" i="5"/>
  <c r="M1382" i="5"/>
  <c r="M1384" i="5"/>
  <c r="M1386" i="5"/>
  <c r="M1388" i="5"/>
  <c r="M1326" i="5"/>
  <c r="M1325" i="5"/>
  <c r="M1327" i="5"/>
  <c r="M1290" i="5"/>
  <c r="M1289" i="5"/>
  <c r="M1230" i="5"/>
  <c r="M1231" i="5"/>
  <c r="M1191" i="5"/>
  <c r="M1189" i="5"/>
  <c r="M1190" i="5"/>
  <c r="M1163" i="5"/>
  <c r="M1164" i="5"/>
  <c r="M1114" i="5"/>
  <c r="M1112" i="5"/>
  <c r="M1113" i="5"/>
  <c r="M1050" i="5"/>
  <c r="M1049" i="5"/>
  <c r="M1051" i="5"/>
  <c r="M1013" i="5"/>
  <c r="M1015" i="5"/>
  <c r="M1014" i="5"/>
  <c r="M946" i="5"/>
  <c r="M933" i="5"/>
  <c r="M948" i="5"/>
  <c r="M935" i="5"/>
  <c r="M937" i="5"/>
  <c r="M926" i="5"/>
  <c r="M939" i="5"/>
  <c r="M928" i="5"/>
  <c r="M941" i="5"/>
  <c r="M930" i="5"/>
  <c r="M943" i="5"/>
  <c r="M932" i="5"/>
  <c r="M945" i="5"/>
  <c r="M934" i="5"/>
  <c r="M947" i="5"/>
  <c r="M936" i="5"/>
  <c r="M949" i="5"/>
  <c r="M938" i="5"/>
  <c r="M940" i="5"/>
  <c r="M927" i="5"/>
  <c r="M942" i="5"/>
  <c r="M929" i="5"/>
  <c r="M944" i="5"/>
  <c r="M931" i="5"/>
  <c r="M888" i="5"/>
  <c r="M887" i="5"/>
  <c r="M844" i="5"/>
  <c r="M845" i="5"/>
  <c r="M808" i="5"/>
  <c r="M807" i="5"/>
  <c r="M724" i="5"/>
  <c r="M721" i="5"/>
  <c r="M723" i="5"/>
  <c r="M720" i="5"/>
  <c r="M722" i="5"/>
  <c r="M642" i="5"/>
  <c r="M644" i="5"/>
  <c r="M643" i="5"/>
  <c r="M645" i="5"/>
  <c r="M357" i="5"/>
  <c r="M387" i="5"/>
  <c r="M427" i="5"/>
  <c r="M429" i="5"/>
  <c r="M431" i="5"/>
  <c r="M433" i="5"/>
  <c r="M435" i="5"/>
  <c r="M437" i="5"/>
  <c r="M439" i="5"/>
  <c r="M441" i="5"/>
  <c r="M443" i="5"/>
  <c r="M445" i="5"/>
  <c r="M447" i="5"/>
  <c r="M449" i="5"/>
  <c r="M451" i="5"/>
  <c r="M467" i="5"/>
  <c r="M469" i="5"/>
  <c r="M504" i="5"/>
  <c r="M515" i="5"/>
  <c r="M539" i="5"/>
  <c r="M550" i="5"/>
  <c r="M1612" i="5"/>
  <c r="M1614" i="5"/>
  <c r="M1611" i="5"/>
  <c r="M1613" i="5"/>
  <c r="M1962" i="5"/>
  <c r="M1963" i="5"/>
  <c r="M1931" i="5"/>
  <c r="M1933" i="5"/>
  <c r="M1932" i="5"/>
  <c r="M1900" i="5"/>
  <c r="M1888" i="5"/>
  <c r="M1895" i="5"/>
  <c r="M1902" i="5"/>
  <c r="M1890" i="5"/>
  <c r="M1897" i="5"/>
  <c r="M1892" i="5"/>
  <c r="M1899" i="5"/>
  <c r="M1887" i="5"/>
  <c r="M1894" i="5"/>
  <c r="M1901" i="5"/>
  <c r="M1889" i="5"/>
  <c r="M1896" i="5"/>
  <c r="M1891" i="5"/>
  <c r="M1898" i="5"/>
  <c r="M1886" i="5"/>
  <c r="M1893" i="5"/>
  <c r="M1838" i="5"/>
  <c r="M1840" i="5"/>
  <c r="M1839" i="5"/>
  <c r="M1841" i="5"/>
  <c r="M1786" i="5"/>
  <c r="M1787" i="5"/>
  <c r="M1744" i="5"/>
  <c r="M1743" i="5"/>
  <c r="M1745" i="5"/>
  <c r="M1703" i="5"/>
  <c r="M1705" i="5"/>
  <c r="M1707" i="5"/>
  <c r="M1702" i="5"/>
  <c r="M1704" i="5"/>
  <c r="M1706" i="5"/>
  <c r="M1657" i="5"/>
  <c r="M1656" i="5"/>
  <c r="M1610" i="5"/>
  <c r="M1609" i="5"/>
  <c r="M1550" i="5"/>
  <c r="M1552" i="5"/>
  <c r="M1551" i="5"/>
  <c r="M1466" i="5"/>
  <c r="M1464" i="5"/>
  <c r="M1462" i="5"/>
  <c r="M1460" i="5"/>
  <c r="M1465" i="5"/>
  <c r="M1463" i="5"/>
  <c r="M1461" i="5"/>
  <c r="M1459" i="5"/>
  <c r="M1324" i="5"/>
  <c r="M1322" i="5"/>
  <c r="M1321" i="5"/>
  <c r="M1323" i="5"/>
  <c r="M1162" i="5"/>
  <c r="M1160" i="5"/>
  <c r="M1158" i="5"/>
  <c r="M1159" i="5"/>
  <c r="M1161" i="5"/>
  <c r="M1110" i="5"/>
  <c r="M1111" i="5"/>
  <c r="M1048" i="5"/>
  <c r="M1047" i="5"/>
  <c r="M922" i="5"/>
  <c r="M924" i="5"/>
  <c r="M923" i="5"/>
  <c r="M925" i="5"/>
  <c r="M886" i="5"/>
  <c r="M884" i="5"/>
  <c r="M885" i="5"/>
  <c r="M842" i="5"/>
  <c r="M843" i="5"/>
  <c r="M841" i="5"/>
  <c r="M805" i="5"/>
  <c r="M806" i="5"/>
  <c r="M760" i="5"/>
  <c r="M762" i="5"/>
  <c r="M764" i="5"/>
  <c r="M761" i="5"/>
  <c r="M763" i="5"/>
  <c r="M719" i="5"/>
  <c r="M718" i="5"/>
  <c r="M679" i="5"/>
  <c r="M681" i="5"/>
  <c r="M680" i="5"/>
  <c r="M682" i="5"/>
  <c r="M629" i="5"/>
  <c r="M618" i="5"/>
  <c r="M616" i="5"/>
  <c r="M631" i="5"/>
  <c r="M620" i="5"/>
  <c r="M633" i="5"/>
  <c r="M622" i="5"/>
  <c r="M635" i="5"/>
  <c r="M637" i="5"/>
  <c r="M626" i="5"/>
  <c r="M639" i="5"/>
  <c r="M628" i="5"/>
  <c r="M641" i="5"/>
  <c r="M630" i="5"/>
  <c r="M617" i="5"/>
  <c r="M615" i="5"/>
  <c r="M634" i="5"/>
  <c r="M621" i="5"/>
  <c r="M636" i="5"/>
  <c r="M623" i="5"/>
  <c r="M638" i="5"/>
  <c r="M625" i="5"/>
  <c r="M640" i="5"/>
  <c r="M627" i="5"/>
  <c r="M502" i="5"/>
  <c r="M513" i="5"/>
  <c r="M537" i="5"/>
  <c r="M555" i="5"/>
  <c r="M1108" i="5"/>
  <c r="M1107" i="5"/>
  <c r="M1109" i="5"/>
  <c r="M1044" i="5"/>
  <c r="M1046" i="5"/>
  <c r="M1043" i="5"/>
  <c r="M1045" i="5"/>
  <c r="M919" i="5"/>
  <c r="M921" i="5"/>
  <c r="M920" i="5"/>
  <c r="M882" i="5"/>
  <c r="M883" i="5"/>
  <c r="M840" i="5"/>
  <c r="M838" i="5"/>
  <c r="M839" i="5"/>
  <c r="M803" i="5"/>
  <c r="M804" i="5"/>
  <c r="M755" i="5"/>
  <c r="M757" i="5"/>
  <c r="M759" i="5"/>
  <c r="M754" i="5"/>
  <c r="M756" i="5"/>
  <c r="M758" i="5"/>
  <c r="M714" i="5"/>
  <c r="M716" i="5"/>
  <c r="M715" i="5"/>
  <c r="M717" i="5"/>
  <c r="M677" i="5"/>
  <c r="M676" i="5"/>
  <c r="M678" i="5"/>
  <c r="M614" i="5"/>
  <c r="M612" i="5"/>
  <c r="M613" i="5"/>
  <c r="M611" i="5"/>
  <c r="M500" i="5"/>
  <c r="M511" i="5"/>
  <c r="M548" i="5"/>
  <c r="M560" i="5"/>
  <c r="M498" i="5"/>
  <c r="M509" i="5"/>
  <c r="M546" i="5"/>
  <c r="M553" i="5"/>
  <c r="M496" i="5"/>
  <c r="M507" i="5"/>
  <c r="M520" i="5"/>
  <c r="M544" i="5"/>
  <c r="M558" i="5"/>
  <c r="M494" i="5"/>
  <c r="M518" i="5"/>
  <c r="M542" i="5"/>
  <c r="M551" i="5"/>
  <c r="M1429" i="5"/>
  <c r="M1428" i="5"/>
  <c r="M1430" i="5"/>
  <c r="M1271" i="5"/>
  <c r="M1272" i="5"/>
  <c r="M1146" i="5"/>
  <c r="M1147" i="5"/>
  <c r="M1100" i="5"/>
  <c r="M1098" i="5"/>
  <c r="M1096" i="5"/>
  <c r="M1094" i="5"/>
  <c r="M1092" i="5"/>
  <c r="M1090" i="5"/>
  <c r="M1088" i="5"/>
  <c r="M1086" i="5"/>
  <c r="M1093" i="5"/>
  <c r="M1095" i="5"/>
  <c r="M1083" i="5"/>
  <c r="M1097" i="5"/>
  <c r="M1085" i="5"/>
  <c r="M1099" i="5"/>
  <c r="M1087" i="5"/>
  <c r="M1089" i="5"/>
  <c r="M1082" i="5"/>
  <c r="M1084" i="5"/>
  <c r="M1091" i="5"/>
  <c r="M1031" i="5"/>
  <c r="M1033" i="5"/>
  <c r="M1035" i="5"/>
  <c r="M1032" i="5"/>
  <c r="M1034" i="5"/>
  <c r="M1036" i="5"/>
  <c r="M989" i="5"/>
  <c r="M991" i="5"/>
  <c r="M990" i="5"/>
  <c r="M909" i="5"/>
  <c r="M908" i="5"/>
  <c r="M870" i="5"/>
  <c r="M868" i="5"/>
  <c r="M869" i="5"/>
  <c r="M867" i="5"/>
  <c r="M824" i="5"/>
  <c r="M823" i="5"/>
  <c r="M825" i="5"/>
  <c r="M796" i="5"/>
  <c r="M795" i="5"/>
  <c r="M794" i="5"/>
  <c r="M743" i="5"/>
  <c r="M742" i="5"/>
  <c r="M741" i="5"/>
  <c r="M386" i="5"/>
  <c r="M430" i="5"/>
  <c r="M432" i="5"/>
  <c r="M434" i="5"/>
  <c r="M436" i="5"/>
  <c r="M438" i="5"/>
  <c r="M440" i="5"/>
  <c r="M442" i="5"/>
  <c r="M444" i="5"/>
  <c r="M446" i="5"/>
  <c r="M468" i="5"/>
  <c r="M492" i="5"/>
  <c r="M503" i="5"/>
  <c r="M516" i="5"/>
  <c r="M540" i="5"/>
  <c r="M556" i="5"/>
  <c r="M632" i="5"/>
  <c r="M1979" i="5"/>
  <c r="M1978" i="5"/>
  <c r="M1977" i="5"/>
  <c r="M1948" i="5"/>
  <c r="M1947" i="5"/>
  <c r="M1871" i="5"/>
  <c r="M1868" i="5"/>
  <c r="M1870" i="5"/>
  <c r="M1869" i="5"/>
  <c r="M1812" i="5"/>
  <c r="M1814" i="5"/>
  <c r="M1809" i="5"/>
  <c r="M1816" i="5"/>
  <c r="M1811" i="5"/>
  <c r="M1813" i="5"/>
  <c r="M1815" i="5"/>
  <c r="M1810" i="5"/>
  <c r="M1768" i="5"/>
  <c r="M1767" i="5"/>
  <c r="M1765" i="5"/>
  <c r="M1770" i="5"/>
  <c r="M1769" i="5"/>
  <c r="M1766" i="5"/>
  <c r="M1731" i="5"/>
  <c r="M1730" i="5"/>
  <c r="M1682" i="5"/>
  <c r="M1679" i="5"/>
  <c r="M1681" i="5"/>
  <c r="M1678" i="5"/>
  <c r="M1680" i="5"/>
  <c r="M1579" i="5"/>
  <c r="M1581" i="5"/>
  <c r="M1578" i="5"/>
  <c r="M1580" i="5"/>
  <c r="M1582" i="5"/>
  <c r="M1482" i="5"/>
  <c r="M1480" i="5"/>
  <c r="M1481" i="5"/>
  <c r="M1340" i="5"/>
  <c r="M1338" i="5"/>
  <c r="M1336" i="5"/>
  <c r="M1337" i="5"/>
  <c r="M1339" i="5"/>
  <c r="M1341" i="5"/>
  <c r="M1216" i="5"/>
  <c r="M1218" i="5"/>
  <c r="M1215" i="5"/>
  <c r="M1213" i="5"/>
  <c r="M1211" i="5"/>
  <c r="M1209" i="5"/>
  <c r="M1207" i="5"/>
  <c r="M1205" i="5"/>
  <c r="M1203" i="5"/>
  <c r="M1201" i="5"/>
  <c r="M1217" i="5"/>
  <c r="M1219" i="5"/>
  <c r="M1214" i="5"/>
  <c r="M1212" i="5"/>
  <c r="M1210" i="5"/>
  <c r="M1208" i="5"/>
  <c r="M1206" i="5"/>
  <c r="M1204" i="5"/>
  <c r="M1202" i="5"/>
  <c r="M1144" i="5"/>
  <c r="M1143" i="5"/>
  <c r="M1065" i="5"/>
  <c r="M1064" i="5"/>
  <c r="M1024" i="5"/>
  <c r="M1023" i="5"/>
  <c r="M957" i="5"/>
  <c r="M959" i="5"/>
  <c r="M958" i="5"/>
  <c r="M902" i="5"/>
  <c r="M900" i="5"/>
  <c r="M898" i="5"/>
  <c r="M901" i="5"/>
  <c r="M899" i="5"/>
  <c r="M860" i="5"/>
  <c r="M858" i="5"/>
  <c r="M859" i="5"/>
  <c r="M857" i="5"/>
  <c r="M815" i="5"/>
  <c r="M814" i="5"/>
  <c r="M816" i="5"/>
  <c r="M736" i="5"/>
  <c r="M735" i="5"/>
  <c r="M737" i="5"/>
  <c r="M657" i="5"/>
  <c r="M658" i="5"/>
  <c r="M501" i="5"/>
  <c r="M514" i="5"/>
  <c r="M538" i="5"/>
  <c r="M549" i="5"/>
  <c r="M561" i="5"/>
  <c r="M624" i="5"/>
  <c r="M547" i="5"/>
  <c r="M619" i="5"/>
  <c r="M334" i="5"/>
  <c r="M338" i="5"/>
  <c r="M340" i="5"/>
  <c r="M342" i="5"/>
  <c r="M235" i="5"/>
  <c r="M239" i="5"/>
  <c r="M241" i="5"/>
  <c r="M293" i="5"/>
  <c r="M301" i="5"/>
  <c r="M305" i="5"/>
  <c r="M33" i="5"/>
  <c r="M26" i="5"/>
  <c r="M31" i="5"/>
  <c r="M228" i="5"/>
  <c r="M29" i="5"/>
  <c r="M27" i="5"/>
  <c r="M32" i="5"/>
  <c r="M30" i="5"/>
  <c r="M75" i="5"/>
  <c r="M88" i="5"/>
  <c r="M99" i="5"/>
  <c r="M136" i="5"/>
  <c r="M160" i="5"/>
  <c r="M208" i="5"/>
  <c r="M215" i="5"/>
  <c r="M214" i="5"/>
  <c r="M73" i="5"/>
  <c r="M86" i="5"/>
  <c r="M97" i="5"/>
  <c r="M134" i="5"/>
  <c r="M145" i="5"/>
  <c r="M84" i="5"/>
  <c r="M95" i="5"/>
  <c r="M108" i="5"/>
  <c r="M132" i="5"/>
  <c r="M143" i="5"/>
  <c r="M4" i="5"/>
  <c r="M6" i="5"/>
  <c r="M10" i="5"/>
  <c r="M12" i="5"/>
  <c r="M14" i="5"/>
  <c r="M16" i="5"/>
  <c r="M18" i="5"/>
  <c r="M20" i="5"/>
  <c r="M22" i="5"/>
  <c r="M24" i="5"/>
  <c r="M34" i="5"/>
  <c r="M36" i="5"/>
  <c r="M38" i="5"/>
  <c r="M40" i="5"/>
  <c r="M42" i="5"/>
  <c r="M44" i="5"/>
  <c r="M46" i="5"/>
  <c r="M48" i="5"/>
  <c r="M50" i="5"/>
  <c r="M52" i="5"/>
  <c r="M54" i="5"/>
  <c r="M58" i="5"/>
  <c r="M82" i="5"/>
  <c r="M93" i="5"/>
  <c r="M106" i="5"/>
  <c r="M130" i="5"/>
  <c r="M141" i="5"/>
  <c r="M189" i="5"/>
  <c r="M213" i="5"/>
  <c r="M67" i="5"/>
  <c r="M80" i="5"/>
  <c r="M91" i="5"/>
  <c r="M104" i="5"/>
  <c r="M139" i="5"/>
  <c r="M78" i="5"/>
  <c r="M89" i="5"/>
  <c r="M102" i="5"/>
  <c r="M137" i="5"/>
  <c r="M150" i="5"/>
  <c r="M76" i="5"/>
  <c r="M100" i="5"/>
  <c r="M135" i="5"/>
  <c r="M74" i="5"/>
  <c r="M85" i="5"/>
  <c r="M98" i="5"/>
  <c r="M109" i="5"/>
  <c r="M133" i="5"/>
  <c r="M146" i="5"/>
  <c r="M96" i="5"/>
  <c r="M107" i="5"/>
  <c r="M131" i="5"/>
  <c r="M144" i="5"/>
  <c r="M9" i="5"/>
  <c r="M11" i="5"/>
  <c r="M13" i="5"/>
  <c r="M17" i="5"/>
  <c r="M19" i="5"/>
  <c r="M21" i="5"/>
  <c r="M23" i="5"/>
  <c r="M35" i="5"/>
  <c r="M37" i="5"/>
  <c r="M39" i="5"/>
  <c r="M43" i="5"/>
  <c r="M45" i="5"/>
  <c r="M49" i="5"/>
  <c r="M94" i="5"/>
  <c r="M105" i="5"/>
  <c r="M129" i="5"/>
  <c r="M142" i="5"/>
  <c r="M92" i="5"/>
  <c r="M103" i="5"/>
  <c r="J2" i="8" l="1"/>
  <c r="N4" i="17" l="1"/>
  <c r="N3" i="17"/>
  <c r="J2" i="5" l="1"/>
  <c r="N2" i="5"/>
  <c r="O2" i="5" s="1"/>
  <c r="AQ96" i="17"/>
  <c r="AJ96" i="17"/>
  <c r="AE96" i="17"/>
  <c r="AD96" i="17"/>
  <c r="AD77" i="17"/>
  <c r="AD76" i="17"/>
  <c r="AD75" i="17"/>
  <c r="D57" i="17"/>
  <c r="C57" i="17"/>
  <c r="B57" i="17"/>
  <c r="D56" i="17"/>
  <c r="C56" i="17"/>
  <c r="B56" i="17"/>
  <c r="D55" i="17"/>
  <c r="C55" i="17"/>
  <c r="B55" i="17"/>
  <c r="D54" i="17"/>
  <c r="C54" i="17"/>
  <c r="B54" i="17"/>
  <c r="AE51" i="17"/>
  <c r="AD51" i="17"/>
  <c r="AE50" i="17"/>
  <c r="AD50" i="17"/>
  <c r="AE49" i="17"/>
  <c r="AD49" i="17"/>
  <c r="AE48" i="17"/>
  <c r="AD48" i="17"/>
  <c r="AE47" i="17"/>
  <c r="AD47" i="17"/>
  <c r="AE46" i="17"/>
  <c r="AD46" i="17"/>
  <c r="AE45" i="17"/>
  <c r="AD45" i="17"/>
  <c r="AE44" i="17"/>
  <c r="AD44" i="17"/>
  <c r="AE43" i="17"/>
  <c r="AD43" i="17"/>
  <c r="AE42" i="17"/>
  <c r="AD42" i="17"/>
  <c r="AE41" i="17"/>
  <c r="AD41" i="17"/>
  <c r="O16" i="17"/>
  <c r="O17" i="17" s="1"/>
  <c r="N16" i="17"/>
  <c r="N17" i="17" s="1"/>
  <c r="AE15" i="17"/>
  <c r="AD15" i="17"/>
  <c r="AE14" i="17"/>
  <c r="AD14" i="17"/>
  <c r="AE13" i="17"/>
  <c r="AD13" i="17"/>
  <c r="O13" i="17"/>
  <c r="N13" i="17"/>
  <c r="AD6" i="17"/>
  <c r="AO5" i="17"/>
  <c r="AP5" i="17" s="1"/>
  <c r="AD5" i="17"/>
  <c r="O5" i="17"/>
  <c r="AO4" i="17"/>
  <c r="AD4" i="17"/>
  <c r="O12" i="17"/>
  <c r="O14" i="17" s="1"/>
  <c r="AO3" i="17"/>
  <c r="Q3" i="17"/>
  <c r="R3" i="17" l="1"/>
  <c r="AP4" i="17"/>
  <c r="AP3" i="17"/>
  <c r="S4" i="17"/>
  <c r="N5" i="17"/>
  <c r="S3" i="17"/>
  <c r="P4" i="17"/>
  <c r="P3" i="17"/>
  <c r="Q4" i="17"/>
  <c r="N12" i="17"/>
  <c r="N14" i="17" s="1"/>
  <c r="R4" i="17"/>
  <c r="Q5" i="17" l="1"/>
  <c r="P5" i="17"/>
  <c r="S5" i="17"/>
  <c r="R5" i="17"/>
  <c r="U2" i="4" l="1"/>
  <c r="H131" i="1" l="1"/>
  <c r="M131" i="1" s="1"/>
  <c r="L228" i="5"/>
  <c r="L227" i="5"/>
  <c r="L2" i="5"/>
  <c r="H2" i="1"/>
  <c r="M2" i="1" s="1"/>
  <c r="E2" i="1"/>
  <c r="J2" i="1" s="1"/>
  <c r="K2" i="1" s="1"/>
  <c r="F2" i="1"/>
  <c r="G2" i="1" s="1"/>
  <c r="O2" i="1"/>
  <c r="P2" i="1" s="1"/>
  <c r="Q2" i="1"/>
  <c r="I2" i="1" l="1"/>
  <c r="N2" i="1" s="1"/>
  <c r="M3" i="5" s="1"/>
  <c r="L2" i="1"/>
  <c r="M2" i="5" l="1"/>
  <c r="I2" i="8"/>
  <c r="K2" i="8"/>
  <c r="K2" i="5" l="1"/>
  <c r="H2" i="8" l="1"/>
</calcChain>
</file>

<file path=xl/sharedStrings.xml><?xml version="1.0" encoding="utf-8"?>
<sst xmlns="http://schemas.openxmlformats.org/spreadsheetml/2006/main" count="17334" uniqueCount="554">
  <si>
    <t>Reserva</t>
  </si>
  <si>
    <t>Cen.</t>
  </si>
  <si>
    <t>Dep.</t>
  </si>
  <si>
    <t>Data base</t>
  </si>
  <si>
    <t>Data Reserva - Feriado e Fds</t>
  </si>
  <si>
    <t>Hora Int WMS</t>
  </si>
  <si>
    <t>Dias para atendimento</t>
  </si>
  <si>
    <t>WMS</t>
  </si>
  <si>
    <t>Previsão de Faturamento</t>
  </si>
  <si>
    <t>SLA2</t>
  </si>
  <si>
    <t>Empresa + SLA dias</t>
  </si>
  <si>
    <t>Itens abertos na reserva</t>
  </si>
  <si>
    <t>Laboratório</t>
  </si>
  <si>
    <t>Situação</t>
  </si>
  <si>
    <t>Empresa</t>
  </si>
  <si>
    <t>Operação</t>
  </si>
  <si>
    <t>Canal Vermelho</t>
  </si>
  <si>
    <t>11EU</t>
  </si>
  <si>
    <t>N193</t>
  </si>
  <si>
    <t>USAD</t>
  </si>
  <si>
    <t>11XD</t>
  </si>
  <si>
    <t>N190</t>
  </si>
  <si>
    <t>Dt.lçto.</t>
  </si>
  <si>
    <t>Hora</t>
  </si>
  <si>
    <t>Referência</t>
  </si>
  <si>
    <t>TMv</t>
  </si>
  <si>
    <t>Periodo</t>
  </si>
  <si>
    <t>Centro</t>
  </si>
  <si>
    <t>Evolução por hora</t>
  </si>
  <si>
    <t>Material</t>
  </si>
  <si>
    <t>Texto breve material</t>
  </si>
  <si>
    <t>UMB</t>
  </si>
  <si>
    <t>Qtd.</t>
  </si>
  <si>
    <t>Aux Item</t>
  </si>
  <si>
    <t>Tipo Material</t>
  </si>
  <si>
    <t>Status WMS</t>
  </si>
  <si>
    <t>EMPRESA</t>
  </si>
  <si>
    <t>OPERAÇÃO</t>
  </si>
  <si>
    <t>UN</t>
  </si>
  <si>
    <t>Seq.Integ.</t>
  </si>
  <si>
    <t>Depósito</t>
  </si>
  <si>
    <t>Codigo</t>
  </si>
  <si>
    <t>Descrição do status</t>
  </si>
  <si>
    <t>Data</t>
  </si>
  <si>
    <t>Dt Integra</t>
  </si>
  <si>
    <t>Hr integra</t>
  </si>
  <si>
    <t>Usuário</t>
  </si>
  <si>
    <t>Nº NF-e</t>
  </si>
  <si>
    <t>Séries</t>
  </si>
  <si>
    <t>Nº doc.</t>
  </si>
  <si>
    <t>Doc.mat.</t>
  </si>
  <si>
    <t>Ano DocMat</t>
  </si>
  <si>
    <t>Usuário2</t>
  </si>
  <si>
    <t>Canal ver.</t>
  </si>
  <si>
    <t>Dt.Sol.Ent</t>
  </si>
  <si>
    <t>Hr.Sol.Ent</t>
  </si>
  <si>
    <t>Condição para Faturamento</t>
  </si>
  <si>
    <t>AGUARDANDO EXPEDIÇÃO</t>
  </si>
  <si>
    <t>tpc</t>
  </si>
  <si>
    <t>EM CONFERENCIA</t>
  </si>
  <si>
    <t>EM SEPARAÇÃO</t>
  </si>
  <si>
    <t>AGUARDANDO SEPARAÇÃO</t>
  </si>
  <si>
    <t>IMPORTADO COM SUCESSO</t>
  </si>
  <si>
    <t>PEDIDO EM LABORATORIO</t>
  </si>
  <si>
    <t>EM RESSUPRIMENTO</t>
  </si>
  <si>
    <t>Feriado</t>
  </si>
  <si>
    <t>Medida</t>
  </si>
  <si>
    <t>Significado SAP</t>
  </si>
  <si>
    <t>Significado deduzido</t>
  </si>
  <si>
    <t>Exemplo de materiais</t>
  </si>
  <si>
    <t>CHAVE</t>
  </si>
  <si>
    <t>Ano novo</t>
  </si>
  <si>
    <t>EMBRATEL</t>
  </si>
  <si>
    <t>Unidade</t>
  </si>
  <si>
    <t>Peças</t>
  </si>
  <si>
    <t>Materiais Geral</t>
  </si>
  <si>
    <t>UM-UND-CJ</t>
  </si>
  <si>
    <t>Carnaval</t>
  </si>
  <si>
    <t>NET PROJETOS</t>
  </si>
  <si>
    <t>ROL</t>
  </si>
  <si>
    <t>Rolo</t>
  </si>
  <si>
    <t>Miscelânea</t>
  </si>
  <si>
    <t>Fio espin, fita Inox, Fita Isolante, Fita plastica dielet ...</t>
  </si>
  <si>
    <t>ROL-UA-RL-PAC-CDA-PCT</t>
  </si>
  <si>
    <t>Sexta-feira Santa</t>
  </si>
  <si>
    <t>TELMEX</t>
  </si>
  <si>
    <t>M</t>
  </si>
  <si>
    <t>Metro</t>
  </si>
  <si>
    <t>Cabos</t>
  </si>
  <si>
    <t>Cabo Optc drop, Cabo fibra Optica, Cordoalha, Fio Rigido</t>
  </si>
  <si>
    <t>M-MT-BAR-BB</t>
  </si>
  <si>
    <t>Tiradentes</t>
  </si>
  <si>
    <t>11AB</t>
  </si>
  <si>
    <t>CLARO AB</t>
  </si>
  <si>
    <t>UA</t>
  </si>
  <si>
    <t>Unidade de atividade</t>
  </si>
  <si>
    <t>Transceivers, SFP</t>
  </si>
  <si>
    <t>Dia do trabalho</t>
  </si>
  <si>
    <t>OMR</t>
  </si>
  <si>
    <t>RL</t>
  </si>
  <si>
    <t>Fita adesiva PVC</t>
  </si>
  <si>
    <t>Corpus Christi</t>
  </si>
  <si>
    <t>11K1</t>
  </si>
  <si>
    <t>NEXTEL</t>
  </si>
  <si>
    <t>MT</t>
  </si>
  <si>
    <t>Metros</t>
  </si>
  <si>
    <t>Cabo drop 1FO</t>
  </si>
  <si>
    <t>Dia da Independência do Brasil</t>
  </si>
  <si>
    <t>NET MASSIVO</t>
  </si>
  <si>
    <t>UND</t>
  </si>
  <si>
    <t>UNIDADE</t>
  </si>
  <si>
    <t>Roteador, Radios, Módulo, Placa, Modem | Com exceção de transceivers</t>
  </si>
  <si>
    <t>Dia de Nossa Senhora</t>
  </si>
  <si>
    <t>CJ</t>
  </si>
  <si>
    <t>Conjunto</t>
  </si>
  <si>
    <t>Conj Mat Instal, Kit's conectores</t>
  </si>
  <si>
    <t>Dia de Finados</t>
  </si>
  <si>
    <t>BAR</t>
  </si>
  <si>
    <t>Bar</t>
  </si>
  <si>
    <t>Eletrodutos</t>
  </si>
  <si>
    <t>Proclamação da República</t>
  </si>
  <si>
    <t>PAC</t>
  </si>
  <si>
    <t>Pacote</t>
  </si>
  <si>
    <t>Kit Montagem M5</t>
  </si>
  <si>
    <t>Natal</t>
  </si>
  <si>
    <t>CDA</t>
  </si>
  <si>
    <t>Cada</t>
  </si>
  <si>
    <t>Cartão SPA</t>
  </si>
  <si>
    <t>PCT</t>
  </si>
  <si>
    <t>Abraçadeira Plastica, Etiqueta fita adesiva, Conjunto de acessórios</t>
  </si>
  <si>
    <t>BB</t>
  </si>
  <si>
    <t>Bobina</t>
  </si>
  <si>
    <t>CFOA-SM-AS80</t>
  </si>
  <si>
    <t>Corte</t>
  </si>
  <si>
    <t>Realizado</t>
  </si>
  <si>
    <t>Meta</t>
  </si>
  <si>
    <t>%</t>
  </si>
  <si>
    <t>Cond.Aux</t>
  </si>
  <si>
    <t>Excedentes</t>
  </si>
  <si>
    <t>Pendentes</t>
  </si>
  <si>
    <t>Itens</t>
  </si>
  <si>
    <t>Rótulos de Linha</t>
  </si>
  <si>
    <t>EMPRESARIAL</t>
  </si>
  <si>
    <t>Contagem de Reserva</t>
  </si>
  <si>
    <t>EBT</t>
  </si>
  <si>
    <t>Soma de Aux Item</t>
  </si>
  <si>
    <t>NET</t>
  </si>
  <si>
    <t>LAB|TELMEX</t>
  </si>
  <si>
    <t>LAB|EMBRATEL</t>
  </si>
  <si>
    <t>COMPILADO</t>
  </si>
  <si>
    <t>Total Geral</t>
  </si>
  <si>
    <t>LAB|DEMAIS CENTROS</t>
  </si>
  <si>
    <t>Nivel 1</t>
  </si>
  <si>
    <t>Total</t>
  </si>
  <si>
    <t>PLANO DO DIA</t>
  </si>
  <si>
    <t>Marcador</t>
  </si>
  <si>
    <t>RESERVAS PENDENTES</t>
  </si>
  <si>
    <t>Complemento</t>
  </si>
  <si>
    <t>RESERVAS EM ATRASO</t>
  </si>
  <si>
    <t>EM FATURAMENTO</t>
  </si>
  <si>
    <t>Soma de Qtd.</t>
  </si>
  <si>
    <t>CANCELAMENTO DE PEDIDO</t>
  </si>
  <si>
    <t>IMPORTADO</t>
  </si>
  <si>
    <t>Aux</t>
  </si>
  <si>
    <t>MADRUGADA</t>
  </si>
  <si>
    <t>MANHÃ</t>
  </si>
  <si>
    <t>TARDE</t>
  </si>
  <si>
    <t>NOITE</t>
  </si>
  <si>
    <t>Qtde</t>
  </si>
  <si>
    <t>CONVENCIONAL</t>
  </si>
  <si>
    <t>Contagem de Reserva2</t>
  </si>
  <si>
    <t>PEDIDO</t>
  </si>
  <si>
    <t>ONDA</t>
  </si>
  <si>
    <t>ORDEM_COLETA</t>
  </si>
  <si>
    <t>OPERADOR</t>
  </si>
  <si>
    <t>NOME OPERADOR</t>
  </si>
  <si>
    <t>INICIO COLETA</t>
  </si>
  <si>
    <t>FIM COLETA</t>
  </si>
  <si>
    <t>CLASKU</t>
  </si>
  <si>
    <t>CLASKU NOME</t>
  </si>
  <si>
    <t>QT ITENS</t>
  </si>
  <si>
    <t>QT PECAS</t>
  </si>
  <si>
    <t>UDEI</t>
  </si>
  <si>
    <t>08 h</t>
  </si>
  <si>
    <t>X41</t>
  </si>
  <si>
    <t>X43</t>
  </si>
  <si>
    <t>CTRL REMOTO DIG. DCR7121 PACE</t>
  </si>
  <si>
    <t>PILHA MANGANES AAA 1,5 V</t>
  </si>
  <si>
    <t>SMART CARD AVULSO SIM CARD</t>
  </si>
  <si>
    <t>SMART CARD AVULSO PRETO NOVO</t>
  </si>
  <si>
    <t>FONTE DE ALIMENTACAO 12V ONT TCG2232 ADS</t>
  </si>
  <si>
    <t>TERMINAL GPON WIFI TCG2232</t>
  </si>
  <si>
    <t>X51</t>
  </si>
  <si>
    <t>DECODER CARDLESS 4K UHD S4KCW3 CABO E IP</t>
  </si>
  <si>
    <t>CABO UTP CAT5E ETHERNET NET</t>
  </si>
  <si>
    <t>CABO COAXIAL RG6 TRISH COM MENSAG PRETO</t>
  </si>
  <si>
    <t>MARCADOR CASA PRETO NR 4</t>
  </si>
  <si>
    <t>MARCADOR CASA PRETO NR 7</t>
  </si>
  <si>
    <t>VASELINA SOLIDA POTE 410G</t>
  </si>
  <si>
    <t>FIXADOR FIO BR RG6 CIRCUL 7MM</t>
  </si>
  <si>
    <t>CONEC_RI COMPRESSAO F-6</t>
  </si>
  <si>
    <t>DIV_RI 2S 1GHZ H SOLDADO</t>
  </si>
  <si>
    <t>DIV_RI 3S 1GHZ H SOLD DESB 488</t>
  </si>
  <si>
    <t>FITA ACO INOX 1/2 POLEGADA ROLO 25MT</t>
  </si>
  <si>
    <t>FITA ISOLANTE 3M 33+</t>
  </si>
  <si>
    <t>DC_RI 1S 09DB 1GHZ H SOLDADO</t>
  </si>
  <si>
    <t>SUPORTE GALVANIZADO U SPAN CLAMP</t>
  </si>
  <si>
    <t>FITA ISOLANTE AUTOFUSAO 3M SCOTCH23 10MT</t>
  </si>
  <si>
    <t>PITAO COM FLANGE E BUCHA S10</t>
  </si>
  <si>
    <t>MARCADOR CASA PTO NR 5</t>
  </si>
  <si>
    <t>MARCADOR CASA PRETO NR 0</t>
  </si>
  <si>
    <t>MARCADOR APTO NUM 0 TIPO HO85 AMARELO</t>
  </si>
  <si>
    <t>MARCADOR APTO NUM 3 TIPO HO85 AMARELO</t>
  </si>
  <si>
    <t>MARCADOR APTO NUM 1 TIPO HO85 AMARELO</t>
  </si>
  <si>
    <t>PITAO GANCHO COM BUCHA S8</t>
  </si>
  <si>
    <t>BUCHA ACABAMENTO CABO RG6-59 BRANCA</t>
  </si>
  <si>
    <t>CABO DROP 1FO LOW F FIG8 LOW CINZA</t>
  </si>
  <si>
    <t>FIXA FIO CABO DROP FO CHATO</t>
  </si>
  <si>
    <t>FIXA FIO CABO LOW FRICT CHATO</t>
  </si>
  <si>
    <t>ABRACADEIRA NYLON T50R 20CM PRETA</t>
  </si>
  <si>
    <t>ANEL VEDACAO PLASTICA P PORTA F</t>
  </si>
  <si>
    <t>CABO COAXIAL RG6 TRISH SEM MENSAG BRANCO</t>
  </si>
  <si>
    <t>CABO DROP FO LOW F FIG0 BRANCO</t>
  </si>
  <si>
    <t>FIXADOR FIO PT RG6</t>
  </si>
  <si>
    <t>ESTICADOR CUNHA PARA DROP OPTICO SRDO</t>
  </si>
  <si>
    <t>MINI PONTO GPON SC ROSETA APCDPR OT8420</t>
  </si>
  <si>
    <t>CONECTOR UTP RJ45 M CAT 5 24AWG</t>
  </si>
  <si>
    <t>CONECTOR FO CAMPO CPO SC APC FRKW</t>
  </si>
  <si>
    <t>MARCADOR CASA PRETO NR 1</t>
  </si>
  <si>
    <t>SUPORTE ROLDANA FO DROP SDA-1</t>
  </si>
  <si>
    <t>MARCADOR APTO NUM 2 TIPO HO85 AMARELO</t>
  </si>
  <si>
    <t>DC_RI 1S 06DB 1GHZ H SOLDADO</t>
  </si>
  <si>
    <t>CONEC_ RI EMENDA G-F81F FEMEA</t>
  </si>
  <si>
    <t>CONECTOR TERMINACAO 75 OHMS</t>
  </si>
  <si>
    <t>MARCADOR CASA PTO NR 1</t>
  </si>
  <si>
    <t>MARCADOR CASA PTO NR 2</t>
  </si>
  <si>
    <t>MINI ISOLADOR CPE P/CM DECODER</t>
  </si>
  <si>
    <t>ISOLADOR COAXIAL QUADRADO - CISP-HR</t>
  </si>
  <si>
    <t>FONTE DE ALIMENTACAO 12V CG3000 MSA C3</t>
  </si>
  <si>
    <t>TERMINAL GPON ONT WIFI6 F6600P</t>
  </si>
  <si>
    <t>MODEM VOIP EMTA WIFI 3.1 CG3000</t>
  </si>
  <si>
    <t>FONTE CX DIG HD DCR74X1 LITEON</t>
  </si>
  <si>
    <t>FECHO DE ACO INOX DENTADO 3/4</t>
  </si>
  <si>
    <t>MARCADOR CASA PTO NR 9</t>
  </si>
  <si>
    <t>PROTETOR P/MINI ISOLADOR - ACRE1568</t>
  </si>
  <si>
    <t>MARCADOR CASA PRETO NR 2</t>
  </si>
  <si>
    <t>EMTA WIFI 3.0 FST3486 16X4</t>
  </si>
  <si>
    <t>CTRL REMOTO DIG. CR2FU UNIVERS</t>
  </si>
  <si>
    <t>EMTA WIFI 3.0 TC7337NET 16X4</t>
  </si>
  <si>
    <t>CABO DROP PRECON HW DOMEX 100M</t>
  </si>
  <si>
    <t>CABO DROP PRECON HW DOMEX 120M</t>
  </si>
  <si>
    <t>MARCADOR CASA PRETO NR 8</t>
  </si>
  <si>
    <t>DECODER 4K ULTRA HD DGCI362</t>
  </si>
  <si>
    <t>CONECTOR FO CAMPO FAST SC/APC</t>
  </si>
  <si>
    <t>CONEC_RI COMPRESSAO F-11</t>
  </si>
  <si>
    <t>MARCADOR CASA PTO NR 3</t>
  </si>
  <si>
    <t>FONTE DE ALIMENTACAO AP5541 F18L1</t>
  </si>
  <si>
    <t>DECODER HD THDC4 NET</t>
  </si>
  <si>
    <t>TERMINAL EXTENSOR WIFI MESH AP5541</t>
  </si>
  <si>
    <t>DECODER CARDLESS 4K UHD S4KCW4S CABO IP</t>
  </si>
  <si>
    <t>MARCADOR APTO NUM 4 TIPO HO85 AMARELO</t>
  </si>
  <si>
    <t>DIV_RI 3S 1GHZ H SOLD BAL 777</t>
  </si>
  <si>
    <t>SUPORTE PARA ISOLADOR VERTICAL</t>
  </si>
  <si>
    <t>FIO ESPINAR ISOLADO SAE1020 FEI-125</t>
  </si>
  <si>
    <t>ISOLADOR ROLDANA PORCELANA 72 X 72</t>
  </si>
  <si>
    <t>ABRACADEIRA AJUSTAVEL BAP3 COM PARAFUSO</t>
  </si>
  <si>
    <t>ALCA PREFORMADA 3/16 ACO GALVANIZADO</t>
  </si>
  <si>
    <t>PRENSA FIO ESPINAR 3/16 ALUMINIO</t>
  </si>
  <si>
    <t>CAIXA EMENDA AZUL FOSC100 BM 24F 4SAIDAS</t>
  </si>
  <si>
    <t>CORDAO OPTICO SM SPLX SC APC LC PC 2M</t>
  </si>
  <si>
    <t>MODEM OPTICO GPON HG8140H5</t>
  </si>
  <si>
    <t>SUPORTE TAP BRACKET 1/4 E 3/16</t>
  </si>
  <si>
    <t>LACO PRE FORMADO 1/4</t>
  </si>
  <si>
    <t>REFIL P/MACARICO PORTATIL ARJ</t>
  </si>
  <si>
    <t>FITA ISOLANTE 33</t>
  </si>
  <si>
    <t>ALCA PREFORMADA FO AS PLP 1020 9,0 A 10</t>
  </si>
  <si>
    <t>CABO COAXIAL RE P3 .500 S/M PT</t>
  </si>
  <si>
    <t>CABO COAXIAL RG11 TRI C/M PT</t>
  </si>
  <si>
    <t>TAP 1.2 GHZ 08S 23DB RW20DB</t>
  </si>
  <si>
    <t>ALCA PREFORMADA FO AS PLP 1041 6,8 A 7,4</t>
  </si>
  <si>
    <t>BANDEJA EMENDA OPTICA FOSC BM E B8 24FO</t>
  </si>
  <si>
    <t>PROTETOR FO TERMOCONTR 62MM</t>
  </si>
  <si>
    <t>HASTE ATER COBR HTC10 5/8 S ROSCA 2,4M</t>
  </si>
  <si>
    <t>LACO PRE FORMADO 3/16</t>
  </si>
  <si>
    <t>PLACA SINALIZACAO CABO COAXIAL CLARO</t>
  </si>
  <si>
    <t>FITA ACO INOX 3/4 POLEGADA ROLO 25MT</t>
  </si>
  <si>
    <t>ALCA PREFORMADA FO AS PLP 1024 10,0A10,8</t>
  </si>
  <si>
    <t>BANDEJA CAIXA EMND MINIFOSC 24F 82298888</t>
  </si>
  <si>
    <t>CORDOALHA DIELETRICA 1/4 6,4MM</t>
  </si>
  <si>
    <t>CAIXA NAP CTO CORDOALHA 08 SAIDAS SEM K7</t>
  </si>
  <si>
    <t>FONTE ENERGIA MSA C2500IC12.0 30W</t>
  </si>
  <si>
    <t>FONTE ALIM 12V 3A ADS 36FKJ 12 12036EPBR</t>
  </si>
  <si>
    <t>DECODER 4K ULTRA HD DGCI363 COM IG</t>
  </si>
  <si>
    <t>FONTE DE ALIMENTACAO 12V FAST3895 NBS4</t>
  </si>
  <si>
    <t>FONTE ALIM 12V 3.5A MSGH3500WR120042A0BR</t>
  </si>
  <si>
    <t>TERMINAL DOCSIS 3.1 EMTA WIFI6 TC3106</t>
  </si>
  <si>
    <t>FONTE DE ALIMENTACAO 12V EMTA TG3442 N</t>
  </si>
  <si>
    <t>TERMINAL DOCSIS 3.1 32X8 EMTA WIF TG3442</t>
  </si>
  <si>
    <t>CONTROLE REMOTO UNIFICADO RC4194202 01B</t>
  </si>
  <si>
    <t>PATCH CORD ETHERNET LAN 2MT</t>
  </si>
  <si>
    <t>CONJ TUBO DERIVACAO FOSC 100 31MM</t>
  </si>
  <si>
    <t>CAIXA EMENDA OPTICA DM 144 FO</t>
  </si>
  <si>
    <t>SUPORTE CORDOALHA FOSC BM E B8</t>
  </si>
  <si>
    <t>CABO COAXIAL RE QR 540 SM PT</t>
  </si>
  <si>
    <t>TRANSCEIVER SFP 80KM 10G HWEI</t>
  </si>
  <si>
    <t>03.06.2024</t>
  </si>
  <si>
    <t>11EU | D+1</t>
  </si>
  <si>
    <t>N190 | D+1</t>
  </si>
  <si>
    <t>X33</t>
  </si>
  <si>
    <t>USOB</t>
  </si>
  <si>
    <t>CORDAO OPTICO FANOUT MPO 4 LC 8FO 30M</t>
  </si>
  <si>
    <t>HPE MSR954 1GBE SFP 2GE-WAN 4GE-L JH296A</t>
  </si>
  <si>
    <t>ROTEADOR ALIGERA - AG561</t>
  </si>
  <si>
    <t>RESERVA FO FIBERLOOP NYLON</t>
  </si>
  <si>
    <t>PROD</t>
  </si>
  <si>
    <t>ROTEADOR VELOCLOUD EDGE 510 - VC-EDG-510</t>
  </si>
  <si>
    <t>TAMPA ARTIC. R2 FERRO NODULAR</t>
  </si>
  <si>
    <t>FONTE DE ENERGIA PA11807UD2</t>
  </si>
  <si>
    <t>DECODER HD HHDC2</t>
  </si>
  <si>
    <t>DECODER 4K UHD IP S4KW3 LINUX VAS COM</t>
  </si>
  <si>
    <t>TERMINAL DOCSIS 3.1 WIFI HI3120</t>
  </si>
  <si>
    <t>FECHO DE ACO INOX DENTADO 1/2</t>
  </si>
  <si>
    <t>CABO HDMI 2MTS BASICO SEM ETHE</t>
  </si>
  <si>
    <t>CONTROLE REMOTO VOZ C GBX RC3394201</t>
  </si>
  <si>
    <t>MARCADOR CASA PTO NR 6</t>
  </si>
  <si>
    <t>ISOLADOR CASA SURGE PROTEC LOW COST</t>
  </si>
  <si>
    <t>KIT ENTRADA DROP ECAM S7BR P/NAP 3M</t>
  </si>
  <si>
    <t>MARCADOR CASA PTO NR 0</t>
  </si>
  <si>
    <t>MARCADOR CASA PRETO NR 3</t>
  </si>
  <si>
    <t>ABRACADEIRA NYLON T18R 10CM PRETA</t>
  </si>
  <si>
    <t>CABO DROP PRECON HW DOMEX 150M</t>
  </si>
  <si>
    <t>MARCADOR APTO NUM 6 TIPO HO85 AMARELO</t>
  </si>
  <si>
    <t>FIXADOR FIO TELEF BR</t>
  </si>
  <si>
    <t>MARCADOR APTO LETRA C TIPO HO85 AMARELO</t>
  </si>
  <si>
    <t>MARCADOR APTO NUM 5 TIPO HO85 AMARELO</t>
  </si>
  <si>
    <t>MARCADOR APTO NUM 8 TIPO HO85 AMARELO</t>
  </si>
  <si>
    <t>TERMINAL DOCSIS 3.1 EMTA WIFI6 F@ST3896</t>
  </si>
  <si>
    <t>MARCADOR CASA PRETO LETRA A</t>
  </si>
  <si>
    <t>CAMERA IV ADC522 ALARM COM INT</t>
  </si>
  <si>
    <t>BUCHA ACABAMENTO CABO RG6-59 PRETA</t>
  </si>
  <si>
    <t>CONEC_TEL RJ11 6 X 4</t>
  </si>
  <si>
    <t>FILTRO PASSA ALTA 54MHZ-1GHZ</t>
  </si>
  <si>
    <t>04.06.2024</t>
  </si>
  <si>
    <t>1196 | D+1</t>
  </si>
  <si>
    <t>11XD | D+1</t>
  </si>
  <si>
    <t>N190 | D+2</t>
  </si>
  <si>
    <t>CONECTOR 5/8 CP110</t>
  </si>
  <si>
    <t>MODULO DIGITAL 3G DUW30</t>
  </si>
  <si>
    <t>IAD XIP-220 PLUS 16R ANLGC - 8010184029</t>
  </si>
  <si>
    <t>CAIXA NAP CTO CORDOALHA 16 SAIDAS SEM K7</t>
  </si>
  <si>
    <t>FONTE CX DIG HD DCR74X1 PACE</t>
  </si>
  <si>
    <t>DECODER HD HNB100 2T</t>
  </si>
  <si>
    <t>FONTE EMTA WIFI 3.0 TG1692A 16</t>
  </si>
  <si>
    <t>EMTA WIFI 3.0 HGB10R-02 16X4</t>
  </si>
  <si>
    <t>TERMINAL EXTENSOR WIFI5 MESH AR2180T</t>
  </si>
  <si>
    <t>FONTE ALIM AC/DC 12V 1,5A</t>
  </si>
  <si>
    <t>DECODER HD DCI738 2T</t>
  </si>
  <si>
    <t>CONTROLE REMOTO VOZ LINUX UEI AVULSO</t>
  </si>
  <si>
    <t>MARCADOR CASA PTO LETRA A</t>
  </si>
  <si>
    <t>MARCADOR APTO NUM 9 TIPO HO85 AMARELO</t>
  </si>
  <si>
    <t>DIV_RI 4S 1GHZ H SOLDADO</t>
  </si>
  <si>
    <t>MARCADOR CASA PTO NR 8</t>
  </si>
  <si>
    <t>MARCADOR CASA PTO LETRA C</t>
  </si>
  <si>
    <t>ABRACADEIRA NYLON T18R 10CM BRANCA</t>
  </si>
  <si>
    <t>CORDAO OPTICO SM BLI SC APC 1,5M</t>
  </si>
  <si>
    <t>MARCADOR CASA PTO LETRA E</t>
  </si>
  <si>
    <t>MARCADOR APTO LETRA A TIPO HO85 AMARELO</t>
  </si>
  <si>
    <t>MARCADOR APTO LETRA B TIPO HO85 AMARELO</t>
  </si>
  <si>
    <t>MARCADOR APTO NUM 7 TIPO HO85 AMARELO</t>
  </si>
  <si>
    <t>DISTRIBUIDOR T P/TEL RJ11</t>
  </si>
  <si>
    <t>MARCADOR CASA PTO LETRA B</t>
  </si>
  <si>
    <t>ROTEADOR ZTE WIFI5 ZXHN H196A MESH BCO</t>
  </si>
  <si>
    <t>CONECTOR SEGURANCA GTP</t>
  </si>
  <si>
    <t>DIV_RI 8S 1GHZ H SOLDADO</t>
  </si>
  <si>
    <t>ADAPTDR BNC-F/BNC-F 1250-1287 INV</t>
  </si>
  <si>
    <t>PROTETOR_FO TERMOCONTR. 45MM</t>
  </si>
  <si>
    <t>MANTA OVAL SEM ZIPER FOSC BM B8 E DM</t>
  </si>
  <si>
    <t>MANTA OVAL COM ZIPER FOSC BM B8 E DM</t>
  </si>
  <si>
    <t>SUPORTE DE CABO FO SCO 1</t>
  </si>
  <si>
    <t>MANTA DERIVACAO SEM ZIPER FOSC BM E DM</t>
  </si>
  <si>
    <t>CAIXA NAP 08 FO SC APC</t>
  </si>
  <si>
    <t>05.06.2024</t>
  </si>
  <si>
    <t>N190 | D+3</t>
  </si>
  <si>
    <t>IP PHONE YEALINK - SIP-T23G</t>
  </si>
  <si>
    <t>ROTEADOR C921 4P</t>
  </si>
  <si>
    <t>FIREWALL FORTIGATE 40F</t>
  </si>
  <si>
    <t>GATEWAY AG1602 2E1</t>
  </si>
  <si>
    <t>HPE MSR3012 AC ROUTER CHASSIS - JG409B</t>
  </si>
  <si>
    <t>ROTEADOR GIGAETHERNET C1111 4P</t>
  </si>
  <si>
    <t>CHASSI 800M C841M 4X K9 BR 004</t>
  </si>
  <si>
    <t>TERMNC OPTC ASSNNT 12F 16473101-DMX</t>
  </si>
  <si>
    <t>ABRAC. AJUST. BAP3 C/PARAFUSO</t>
  </si>
  <si>
    <t>ALCA PREFORMADA ACO 3/16</t>
  </si>
  <si>
    <t>PONTO DE ACESSO INDOOR MERAKI MR36</t>
  </si>
  <si>
    <t>INJETOR POE MERAKI POE 802.3AT MA INJ</t>
  </si>
  <si>
    <t>AC POWER CORD FOR MX AND MS (BRAZIL PLUG</t>
  </si>
  <si>
    <t>SUPORTE CEO DM COM ABRACADEIRAS</t>
  </si>
  <si>
    <t>SOBN</t>
  </si>
  <si>
    <t>CABO TELEFONICO CCI50 2P 200MT</t>
  </si>
  <si>
    <t>MARCADOR CASA PTO LETRA D</t>
  </si>
  <si>
    <t>MARCADOR CASA PRETO NR 6</t>
  </si>
  <si>
    <t>MARCADOR CASA PRETO NR 9</t>
  </si>
  <si>
    <t>CABO DROP PRECON HW DOMEX 50M</t>
  </si>
  <si>
    <t>MODEM VOIP EMTA WIFI 3.1 HGJ310</t>
  </si>
  <si>
    <t>CONECTOR ATENUADOR 06DB</t>
  </si>
  <si>
    <t>EMENDA CABO TELEFONE 101-E GEL</t>
  </si>
  <si>
    <t>UNIDADE DE ENERGIA</t>
  </si>
  <si>
    <t>RADIO FULL OUTDOOR IP-20C-6H-340A-1W4-H</t>
  </si>
  <si>
    <t>RADIO FULL OUTDOOR IP20C-E-18-L-L</t>
  </si>
  <si>
    <t>FILTRO/COMBINADOR CDU 900MHZ</t>
  </si>
  <si>
    <t>MODEM OUT RTN320</t>
  </si>
  <si>
    <t>RADIO FULL OUTDOOR IP-20C-6H-340A-1W4-L</t>
  </si>
  <si>
    <t>USAN</t>
  </si>
  <si>
    <t>UNIDADE INDOOR IP-20G M2</t>
  </si>
  <si>
    <t>06.06.2024</t>
  </si>
  <si>
    <t>ROTEADOR VELOCLOUD EDGE 3400</t>
  </si>
  <si>
    <t>SFP 1000BASE-LX/LH 1310 10KM- GLC-LH-SM</t>
  </si>
  <si>
    <t>ROTEADOR EDGE 620</t>
  </si>
  <si>
    <t>NOBREAK LITE 1200BI 115 6T</t>
  </si>
  <si>
    <t>UPRO</t>
  </si>
  <si>
    <t>MERAKI MX64 - FIREWALL UTM</t>
  </si>
  <si>
    <t>ROTEADOR CISCO ISR4321BR/K9 CHASSIS</t>
  </si>
  <si>
    <t>UNIDADE CONTROLE DIGITAL WCDMA DUW31</t>
  </si>
  <si>
    <t>CARTAO INTERFACE SERIAL WAN 1P</t>
  </si>
  <si>
    <t>FONTE ALIMENTACAO PSU 400 AC-B 100-240VA</t>
  </si>
  <si>
    <t>CHASSI 800M C841M 4X K9 BR 001</t>
  </si>
  <si>
    <t>ROTEADOR AG1608 8E1</t>
  </si>
  <si>
    <t>FIREWALL FORTIGATE 600E</t>
  </si>
  <si>
    <t>TELEFONE IP GXP1610</t>
  </si>
  <si>
    <t>FLATPACK2 48/3000 HE G2</t>
  </si>
  <si>
    <t>RETIFICADOR FLATPACK2 48/3000W</t>
  </si>
  <si>
    <t>CHAVDR DLINK GERNCVL 8P DES-3010G</t>
  </si>
  <si>
    <t>PONTO DE ACESSO R550</t>
  </si>
  <si>
    <t>DGO 19PG P/BAST 36FO C/ 12FBR SC-APC</t>
  </si>
  <si>
    <t>TRANSCEIVER SFP 20KM 1G BIDI T14R13 CSCO</t>
  </si>
  <si>
    <t>TAP 02S 20DB 1 G FFT2-20P-R TR</t>
  </si>
  <si>
    <t>FILTRO GORE CF541237</t>
  </si>
  <si>
    <t>RADIO FULL OUTDOOR IP20C-HP-8-311A-5W8-L</t>
  </si>
  <si>
    <t>TRANSCEIVER SFP 40KM 10G CSCO</t>
  </si>
  <si>
    <t>RADIO FULL OUTDOOR IP 50E DX0H L ESSQ</t>
  </si>
  <si>
    <t>RADIO FULL OUTDOOR IP-20C-F-23-H</t>
  </si>
  <si>
    <t>RADIO FULL OUT IP 20C E 13 266 1W4 L ESS</t>
  </si>
  <si>
    <t>MODULO TRANSCEPTOR 2217 700MHZ</t>
  </si>
  <si>
    <t>N193 | D+3</t>
  </si>
  <si>
    <t>ALIMENTADOR EXTERNO 20W 1GBPS</t>
  </si>
  <si>
    <t>RADIO ACCESS POINT ARUBA AP303</t>
  </si>
  <si>
    <t>FONTE DE ALIMENTACAO AP POE AFGE</t>
  </si>
  <si>
    <t>SUPORTE PAREDE AP220 MNT W1W</t>
  </si>
  <si>
    <t>TRANSCEIVER SFP 20KM 1G BIDI T13R14 CSCO</t>
  </si>
  <si>
    <t>CABO DE ENER. P/ FONTE DE ALIMEN.</t>
  </si>
  <si>
    <t>TILT BRACKET ASSEMBLY - N000045L002A</t>
  </si>
  <si>
    <t>GIGABIT SURGE SUPPRESSOR (56V)</t>
  </si>
  <si>
    <t>HP X260 E1 RJ45/2BNC 75OHM 3M CBL JH294A</t>
  </si>
  <si>
    <t>HP MSR10-02-4 AC ROUTER CHASSIS - JG875A</t>
  </si>
  <si>
    <t>HP MSR 1P E1 VOICE SIC MODULE - JH240A</t>
  </si>
  <si>
    <t>CORDOALHA ACO 7FIOS 3/16</t>
  </si>
  <si>
    <t>PLACA SINAL FIBRA OPTIC NET TR</t>
  </si>
  <si>
    <t>CABO DE FORCA PWR CORD</t>
  </si>
  <si>
    <t>CAMERA MERAKI MV2 INDOOR FLEX</t>
  </si>
  <si>
    <t>CABO REDE MERAKI ETHERNET ADAPTER MV2</t>
  </si>
  <si>
    <t>CAMERA MERAKI MV12</t>
  </si>
  <si>
    <t>CABO EXTENSOR ALARME MVD IFLEET</t>
  </si>
  <si>
    <t>RADIO 4443 1800 2100MHZ KRC161753 1</t>
  </si>
  <si>
    <t>RADIO FULL OUTDOOR IP-20C-6H-340A-5W8-H</t>
  </si>
  <si>
    <t>CABO FORCA 250V 2.5A 2MT</t>
  </si>
  <si>
    <t>FONTE DE ALIMENTACAO 12V HGJ310 ADS 48</t>
  </si>
  <si>
    <t>DECODER HD DXC5000 2T</t>
  </si>
  <si>
    <t>FONTE ALIMENT 12V 3.5A F42L1 120350SPAE</t>
  </si>
  <si>
    <t>EMTA WIFI 3.0 TG1692A 16X4</t>
  </si>
  <si>
    <t>MODEM VOIP EMTA WIFI 3.1 CH8568</t>
  </si>
  <si>
    <t>FONTE ALIMEN 12V 4A ADS 48PI 12N 212048E</t>
  </si>
  <si>
    <t>FONTE DE ALIMENTACAO 12V EMTA TG3442</t>
  </si>
  <si>
    <t>DECODER IP 4K ULTRA HD ZAPPER S4KW2 DDR3</t>
  </si>
  <si>
    <t>MODEM VOIPEMTA WIFI 3.1 CGA4233CLB</t>
  </si>
  <si>
    <t>CABO HDMI 4K ETH 30V 1.8M KFH120081302</t>
  </si>
  <si>
    <t>FONTE DE ALIMENTACAO 12V FAST3895 MSG</t>
  </si>
  <si>
    <t>TAP 4S 23DB 1.2GHZ RMT2124</t>
  </si>
  <si>
    <t>07.06.2024</t>
  </si>
  <si>
    <t>000091133-806</t>
  </si>
  <si>
    <t>000091131-806</t>
  </si>
  <si>
    <t>000091132-806</t>
  </si>
  <si>
    <t>000091130-806</t>
  </si>
  <si>
    <t>sexta-feira, 07 de junho, 2024</t>
  </si>
  <si>
    <t>1196 | D+2</t>
  </si>
  <si>
    <t>11EU | D+2</t>
  </si>
  <si>
    <t>11XD | D+2</t>
  </si>
  <si>
    <t>N190 | D+4</t>
  </si>
  <si>
    <t>N193 | D+1</t>
  </si>
  <si>
    <t>N193 | D+4</t>
  </si>
  <si>
    <t>07 h</t>
  </si>
  <si>
    <t>USUS</t>
  </si>
  <si>
    <t>000091134-806</t>
  </si>
  <si>
    <t>000091138-806</t>
  </si>
  <si>
    <t>000091139-806</t>
  </si>
  <si>
    <t>000091140-806</t>
  </si>
  <si>
    <t>09 h</t>
  </si>
  <si>
    <t>11SP</t>
  </si>
  <si>
    <t>SUPORTE AEREO CE FOSC 100-DM</t>
  </si>
  <si>
    <t>RADIO FULL OUTDOOR IP-20S-15-420-1W8-H</t>
  </si>
  <si>
    <t>-</t>
  </si>
  <si>
    <t>48EL</t>
  </si>
  <si>
    <t>UTRA</t>
  </si>
  <si>
    <t>000001605-448</t>
  </si>
  <si>
    <t>000030646-412</t>
  </si>
  <si>
    <t>000067725-626</t>
  </si>
  <si>
    <t>000067726-626</t>
  </si>
  <si>
    <t>000067727-626</t>
  </si>
  <si>
    <t>000067728-626</t>
  </si>
  <si>
    <t>000067729-626</t>
  </si>
  <si>
    <t>000067730-626</t>
  </si>
  <si>
    <t>000067731-626</t>
  </si>
  <si>
    <t>000067732-626</t>
  </si>
  <si>
    <t>000067733-626</t>
  </si>
  <si>
    <t>000067734-626</t>
  </si>
  <si>
    <t>000067735-626</t>
  </si>
  <si>
    <t>000067736-626</t>
  </si>
  <si>
    <t>000067737-626</t>
  </si>
  <si>
    <t>000067738-626</t>
  </si>
  <si>
    <t>000067739-626</t>
  </si>
  <si>
    <t>000067740-626</t>
  </si>
  <si>
    <t>000067741-626</t>
  </si>
  <si>
    <t>000067742-626</t>
  </si>
  <si>
    <t>000067743-626</t>
  </si>
  <si>
    <t>000067744-626</t>
  </si>
  <si>
    <t>N491</t>
  </si>
  <si>
    <t>000081785-702</t>
  </si>
  <si>
    <t>000091141-806</t>
  </si>
  <si>
    <t>000091142-806</t>
  </si>
  <si>
    <t>000091143-806</t>
  </si>
  <si>
    <t>000091144-806</t>
  </si>
  <si>
    <t>000091145-806</t>
  </si>
  <si>
    <t>000091148-806</t>
  </si>
  <si>
    <t>000091152-806</t>
  </si>
  <si>
    <t>000091153-806</t>
  </si>
  <si>
    <t>000091154-806</t>
  </si>
  <si>
    <t>000091156-806</t>
  </si>
  <si>
    <t>11XD | D+0</t>
  </si>
  <si>
    <t>N193 | D+0</t>
  </si>
  <si>
    <t>10 h</t>
  </si>
  <si>
    <t>PLACA FAN C320 GPON</t>
  </si>
  <si>
    <t>Z71</t>
  </si>
  <si>
    <t>UNRP</t>
  </si>
  <si>
    <t>MODULO TRANS RET SG4000 0DB TR</t>
  </si>
  <si>
    <t>MODULO RECEPTOR_FO SG4000 1GHZ</t>
  </si>
  <si>
    <t>MOD 1G/85MHZ RF SG4000 N GAN</t>
  </si>
  <si>
    <t>MODULO INVERSOR XM2 SERIES TR</t>
  </si>
  <si>
    <t>MODULO 1G/42MHZ HGBT GM</t>
  </si>
  <si>
    <t>MODULO 1G/42MHZ HGD GM</t>
  </si>
  <si>
    <t>AMP 1G/85MHZ HGD RF GM</t>
  </si>
  <si>
    <t>AMP 1G/85MHZ HGBT RF GM</t>
  </si>
  <si>
    <t>Z412634</t>
  </si>
  <si>
    <t>às 11:00hrs</t>
  </si>
  <si>
    <t>11EU | D+0</t>
  </si>
  <si>
    <t>N190 | D+0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</si>
</sst>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0_);_(* \(#,##0.00\);_(* &quot;-&quot;??_);_(@_)"/>
    <numFmt numFmtId="165" formatCode="[$-F400]h:mm:ss\ AM/PM"/>
    <numFmt numFmtId="166" formatCode="#,##0_ ;\-#,##0\ "/>
    <numFmt numFmtId="167" formatCode="0.0%"/>
    <numFmt numFmtId="168" formatCode="m/d/yyyy"/>
    <numFmt numFmtId="169" formatCode="dd/mm/yyyy"/>
    <numFmt numFmtId="170" formatCode="hh:mm:ss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MS Sans Serif"/>
      <family val="2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Bahnschrift Condensed"/>
      <family val="2"/>
    </font>
    <font>
      <b/>
      <sz val="10"/>
      <color theme="0"/>
      <name val="Bahnschrift SemiLight"/>
      <family val="2"/>
    </font>
    <font>
      <sz val="9"/>
      <color theme="1"/>
      <name val="Calibri"/>
      <family val="2"/>
      <scheme val="minor"/>
    </font>
    <font>
      <sz val="9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14" fontId="1" fillId="0" borderId="0" xfId="0" applyNumberFormat="1" applyFont="1"/>
    <xf numFmtId="0" fontId="2" fillId="2" borderId="0" xfId="0" applyFont="1" applyFill="1" applyAlignment="1">
      <alignment horizontal="center"/>
    </xf>
    <xf numFmtId="1" fontId="4" fillId="0" borderId="0" xfId="1" applyNumberFormat="1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pivotButton="1" applyFont="1"/>
    <xf numFmtId="0" fontId="1" fillId="0" borderId="0" xfId="0" applyFont="1" applyAlignment="1">
      <alignment horizontal="left"/>
    </xf>
    <xf numFmtId="9" fontId="1" fillId="0" borderId="0" xfId="2" applyFont="1"/>
    <xf numFmtId="21" fontId="0" fillId="0" borderId="0" xfId="0" applyNumberFormat="1"/>
    <xf numFmtId="3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9" fontId="7" fillId="0" borderId="0" xfId="2" applyFont="1" applyAlignment="1">
      <alignment horizontal="center"/>
    </xf>
    <xf numFmtId="166" fontId="0" fillId="0" borderId="0" xfId="3" applyNumberFormat="1" applyFont="1"/>
    <xf numFmtId="167" fontId="0" fillId="0" borderId="0" xfId="2" applyNumberFormat="1" applyFont="1"/>
    <xf numFmtId="9" fontId="1" fillId="0" borderId="0" xfId="2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9" fillId="0" borderId="0" xfId="0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9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/>
    </xf>
    <xf numFmtId="168" fontId="10" fillId="0" borderId="0" xfId="0" applyNumberFormat="1" applyFont="1" applyFill="1" applyAlignment="1">
      <alignment horizontal="center" vertical="center"/>
    </xf>
    <xf numFmtId="165" fontId="10" fillId="0" borderId="0" xfId="0" applyNumberFormat="1" applyFont="1" applyFill="1" applyAlignment="1">
      <alignment horizontal="center" vertical="center"/>
    </xf>
    <xf numFmtId="0" fontId="10" fillId="0" borderId="0" xfId="0" applyNumberFormat="1" applyFont="1" applyFill="1" applyAlignment="1">
      <alignment horizontal="center" vertical="center"/>
    </xf>
    <xf numFmtId="169" fontId="0" fillId="0" borderId="0" xfId="0" applyNumberFormat="1"/>
    <xf numFmtId="170" fontId="0" fillId="0" borderId="0" xfId="0" applyNumberFormat="1"/>
    <xf numFmtId="0" fontId="0" fillId="0" borderId="0" xfId="0" applyNumberFormat="1"/>
    <xf numFmtId="170" fontId="9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0" fontId="1" fillId="0" borderId="0" xfId="0" applyNumberFormat="1" applyFont="1"/>
  </cellXfs>
  <cellStyles count="4">
    <cellStyle name="Normal" xfId="0" builtinId="0"/>
    <cellStyle name="Normal_Plan1" xfId="1" xr:uid="{00000000-0005-0000-0000-000001000000}"/>
    <cellStyle name="Porcentagem" xfId="2" builtinId="5"/>
    <cellStyle name="Vírgula" xfId="3" builtinId="3"/>
  </cellStyles>
  <dxfs count="136">
    <dxf>
      <numFmt numFmtId="170" formatCode="hh:mm:ss"/>
    </dxf>
    <dxf>
      <numFmt numFmtId="169" formatCode="dd/mm/yyyy"/>
    </dxf>
    <dxf>
      <numFmt numFmtId="170" formatCode="hh:mm:ss"/>
    </dxf>
    <dxf>
      <numFmt numFmtId="169" formatCode="dd/mm/yyyy"/>
    </dxf>
    <dxf>
      <font>
        <b/>
        <i val="0"/>
        <color rgb="FF00FF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FF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alignment horizontal="center" vertical="bottom" textRotation="0" wrapText="0" indent="0" justifyLastLine="0" shrinkToFit="0" readingOrder="0"/>
    </dxf>
    <dxf>
      <numFmt numFmtId="170" formatCode="hh:mm:ss"/>
    </dxf>
    <dxf>
      <numFmt numFmtId="169" formatCode="dd/mm/yyyy"/>
    </dxf>
    <dxf>
      <numFmt numFmtId="170" formatCode="hh:mm:ss"/>
    </dxf>
    <dxf>
      <numFmt numFmtId="169" formatCode="dd/mm/yyyy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alignment horizontal="center" vertical="bottom" textRotation="0" wrapText="0" indent="0" justifyLastLine="0" shrinkToFit="0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  <numFmt numFmtId="168" formatCode="m/d/yyyy"/>
    </dxf>
    <dxf>
      <font>
        <strike val="0"/>
        <outline val="0"/>
        <shadow val="0"/>
        <u val="none"/>
        <vertAlign val="baseline"/>
        <sz val="10"/>
        <name val="Calibri"/>
      </font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sz val="8"/>
        <color rgb="FF1B1B1B"/>
        <name val="Montserrat Light"/>
        <scheme val="none"/>
      </font>
    </dxf>
    <dxf>
      <font>
        <sz val="9"/>
        <color theme="0"/>
        <name val="Calibri"/>
        <scheme val="minor"/>
      </font>
      <fill>
        <patternFill patternType="solid">
          <fgColor indexed="64"/>
          <bgColor rgb="FF1D1D1D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0"/>
        <name val="Montserrat Light"/>
        <scheme val="none"/>
      </font>
    </dxf>
    <dxf>
      <font>
        <sz val="9"/>
        <color theme="0"/>
        <name val="Calibri"/>
        <scheme val="minor"/>
      </font>
      <fill>
        <patternFill patternType="solid">
          <fgColor indexed="64"/>
          <bgColor rgb="FF1D1D1D"/>
        </patternFill>
      </fill>
      <border>
        <left/>
        <right/>
        <top/>
        <bottom/>
      </border>
    </dxf>
  </dxfs>
  <tableStyles count="2" defaultTableStyle="TableStyleMedium2" defaultPivotStyle="PivotStyleLight16">
    <tableStyle name="Estilo de Segmentação de Dados 1" pivot="0" table="0" count="3" xr9:uid="{00000000-0011-0000-FFFF-FFFF00000000}">
      <tableStyleElement type="wholeTable" dxfId="135"/>
      <tableStyleElement type="headerRow" dxfId="134"/>
    </tableStyle>
    <tableStyle name="Estilo de Segmentação de Dados 1 2" pivot="0" table="0" count="3" xr9:uid="{00000000-0011-0000-FFFF-FFFF01000000}">
      <tableStyleElement type="wholeTable" dxfId="133"/>
      <tableStyleElement type="headerRow" dxfId="132"/>
    </tableStyle>
  </tableStyles>
  <colors>
    <mruColors>
      <color rgb="FFFFBB60"/>
      <color rgb="FF002060"/>
      <color rgb="FF22B000"/>
      <color rgb="FF0038A8"/>
      <color rgb="FF0449E2"/>
      <color rgb="FF111111"/>
      <color rgb="FFCC3300"/>
      <color rgb="FF1D1D1D"/>
      <color rgb="FF6185F2"/>
      <color rgb="FF8C5FED"/>
    </mruColors>
  </colors>
  <extLst>
    <ext xmlns:x14="http://schemas.microsoft.com/office/spreadsheetml/2009/9/main" uri="{46F421CA-312F-682f-3DD2-61675219B42D}">
      <x14:dxfs count="2">
        <dxf>
          <font>
            <sz val="8"/>
            <color theme="0"/>
            <name val="Calibri"/>
            <scheme val="none"/>
          </font>
          <fill>
            <patternFill>
              <bgColor theme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name val="Calibri"/>
            <scheme val="none"/>
          </font>
          <fill>
            <patternFill>
              <bgColor rgb="FF104AF7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</x14:slicerStyleElements>
        </x14:slicerStyle>
        <x14:slicerStyle name="Estilo de Segmentação de Dados 1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Tab_!$N$2</c:f>
              <c:strCache>
                <c:ptCount val="1"/>
                <c:pt idx="0">
                  <c:v>Realizado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F-4A44-8541-6BD7AB3F3AEE}"/>
              </c:ext>
            </c:extLst>
          </c:dPt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Tab_!$N$4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9DA-8550-33B07F4FC483}"/>
            </c:ext>
          </c:extLst>
        </c:ser>
        <c:ser>
          <c:idx val="2"/>
          <c:order val="2"/>
          <c:tx>
            <c:strRef>
              <c:f>Tab_!$Q$2</c:f>
              <c:strCache>
                <c:ptCount val="1"/>
                <c:pt idx="0">
                  <c:v>Cond.Aux</c:v>
                </c:pt>
              </c:strCache>
            </c:strRef>
          </c:tx>
          <c:invertIfNegative val="0"/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Tab_!$Q$4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89213376"/>
        <c:axId val="189212992"/>
      </c:barChart>
      <c:lineChart>
        <c:grouping val="stacked"/>
        <c:varyColors val="0"/>
        <c:ser>
          <c:idx val="1"/>
          <c:order val="1"/>
          <c:tx>
            <c:strRef>
              <c:f>Tab_!$O$2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</c:marker>
          <c:cat>
            <c:strRef>
              <c:f>Tab_!$M$4</c:f>
              <c:strCache>
                <c:ptCount val="1"/>
                <c:pt idx="0">
                  <c:v>NET</c:v>
                </c:pt>
              </c:strCache>
            </c:strRef>
          </c:cat>
          <c:val>
            <c:numRef>
              <c:f>Tab_!$O$4</c:f>
              <c:numCache>
                <c:formatCode>General</c:formatCode>
                <c:ptCount val="1"/>
                <c:pt idx="0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36024"/>
        <c:axId val="172736408"/>
      </c:lineChart>
      <c:catAx>
        <c:axId val="17273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72736408"/>
        <c:crosses val="autoZero"/>
        <c:auto val="1"/>
        <c:lblAlgn val="ctr"/>
        <c:lblOffset val="100"/>
        <c:noMultiLvlLbl val="0"/>
      </c:catAx>
      <c:valAx>
        <c:axId val="172736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2736024"/>
        <c:crosses val="autoZero"/>
        <c:crossBetween val="between"/>
      </c:valAx>
      <c:valAx>
        <c:axId val="1892129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213376"/>
        <c:crosses val="max"/>
        <c:crossBetween val="between"/>
      </c:valAx>
      <c:catAx>
        <c:axId val="1892133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212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Tab_!$N$2</c:f>
              <c:strCache>
                <c:ptCount val="1"/>
                <c:pt idx="0">
                  <c:v>Realizado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AD-454E-8D88-D424A5A71B57}"/>
              </c:ext>
            </c:extLst>
          </c:dPt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Tab_!$N$3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9DA-8550-33B07F4FC483}"/>
            </c:ext>
          </c:extLst>
        </c:ser>
        <c:ser>
          <c:idx val="2"/>
          <c:order val="2"/>
          <c:tx>
            <c:strRef>
              <c:f>Tab_!$Q$2</c:f>
              <c:strCache>
                <c:ptCount val="1"/>
                <c:pt idx="0">
                  <c:v>Cond.Aux</c:v>
                </c:pt>
              </c:strCache>
            </c:strRef>
          </c:tx>
          <c:invertIfNegative val="0"/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Tab_!$Q$3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189266600"/>
        <c:axId val="189266216"/>
      </c:barChart>
      <c:lineChart>
        <c:grouping val="stacked"/>
        <c:varyColors val="0"/>
        <c:ser>
          <c:idx val="1"/>
          <c:order val="1"/>
          <c:tx>
            <c:strRef>
              <c:f>Tab_!$O$2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picture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0"/>
            <c:marker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CAD-454E-8D88-D424A5A71B57}"/>
              </c:ext>
            </c:extLst>
          </c:dPt>
          <c:cat>
            <c:strRef>
              <c:f>Tab_!$M$3</c:f>
              <c:strCache>
                <c:ptCount val="1"/>
                <c:pt idx="0">
                  <c:v>EMPRESARIAL</c:v>
                </c:pt>
              </c:strCache>
            </c:strRef>
          </c:cat>
          <c:val>
            <c:numRef>
              <c:f>Tab_!$O$3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1-49DA-8550-33B07F4FC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17672"/>
        <c:axId val="189265832"/>
      </c:lineChart>
      <c:catAx>
        <c:axId val="18831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89265832"/>
        <c:crosses val="autoZero"/>
        <c:auto val="1"/>
        <c:lblAlgn val="ctr"/>
        <c:lblOffset val="100"/>
        <c:noMultiLvlLbl val="0"/>
      </c:catAx>
      <c:valAx>
        <c:axId val="189265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8317672"/>
        <c:crosses val="autoZero"/>
        <c:crossBetween val="between"/>
      </c:valAx>
      <c:valAx>
        <c:axId val="1892662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266600"/>
        <c:crosses val="max"/>
        <c:crossBetween val="between"/>
      </c:valAx>
      <c:catAx>
        <c:axId val="189266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266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595050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499800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595050</xdr:colOff>
      <xdr:row>0</xdr:row>
      <xdr:rowOff>400050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0"/>
          <a:ext cx="1976175" cy="400050"/>
          <a:chOff x="0" y="0"/>
          <a:chExt cx="1976175" cy="400050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>
            <a:spLocks noChangeAspect="1"/>
          </xdr:cNvSpPr>
        </xdr:nvSpPr>
        <xdr:spPr>
          <a:xfrm>
            <a:off x="0" y="0"/>
            <a:ext cx="1790700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pt-BR" sz="2000" b="1">
                <a:solidFill>
                  <a:schemeClr val="bg1">
                    <a:lumMod val="6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MENU</a:t>
            </a: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0175" y="41625"/>
            <a:ext cx="576000" cy="3168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234</xdr:row>
      <xdr:rowOff>115594</xdr:rowOff>
    </xdr:from>
    <xdr:to>
      <xdr:col>7</xdr:col>
      <xdr:colOff>47099</xdr:colOff>
      <xdr:row>245</xdr:row>
      <xdr:rowOff>125560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147300</xdr:colOff>
      <xdr:row>234</xdr:row>
      <xdr:rowOff>66917</xdr:rowOff>
    </xdr:from>
    <xdr:to>
      <xdr:col>9</xdr:col>
      <xdr:colOff>531864</xdr:colOff>
      <xdr:row>245</xdr:row>
      <xdr:rowOff>87460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6304166667" createdVersion="5" refreshedVersion="8" minRefreshableVersion="3" recordCount="47" xr:uid="{00000000-000A-0000-FFFF-FFFF15000000}">
  <cacheSource type="worksheet">
    <worksheetSource name="Faturamento"/>
  </cacheSource>
  <cacheFields count="11">
    <cacheField name="Reserva" numFmtId="0">
      <sharedItems containsSemiMixedTypes="0" containsString="0" containsNumber="1" containsInteger="1" minValue="4379582" maxValue="4384035"/>
    </cacheField>
    <cacheField name="Cen." numFmtId="0">
      <sharedItems containsMixedTypes="1" containsNumber="1" containsInteger="1" minValue="1196" maxValue="1196"/>
    </cacheField>
    <cacheField name="Dep." numFmtId="0">
      <sharedItems/>
    </cacheField>
    <cacheField name="Dt.lçto." numFmtId="169">
      <sharedItems/>
    </cacheField>
    <cacheField name="Hora" numFmtId="170">
      <sharedItems containsSemiMixedTypes="0" containsNonDate="0" containsDate="1" containsString="0" minDate="1899-12-30T07:50:52" maxDate="1899-12-30T10:07:05"/>
    </cacheField>
    <cacheField name="Referência" numFmtId="0">
      <sharedItems/>
    </cacheField>
    <cacheField name="TMv" numFmtId="0">
      <sharedItems containsMixedTypes="1" containsNumber="1" containsInteger="1" minValue="221" maxValue="541"/>
    </cacheField>
    <cacheField name="Periodo" numFmtId="0">
      <sharedItems count="4">
        <s v="MANHÃ"/>
        <s v="NOITE" u="1"/>
        <s v="TARDE" u="1"/>
        <s v="MADRUGADA" u="1"/>
      </sharedItems>
    </cacheField>
    <cacheField name="Centro" numFmtId="0">
      <sharedItems/>
    </cacheField>
    <cacheField name="Operação" numFmtId="0">
      <sharedItems count="2">
        <s v="EMPRESARIAL"/>
        <s v="NET"/>
      </sharedItems>
    </cacheField>
    <cacheField name="Evolução por hora" numFmtId="0">
      <sharedItems count="24">
        <s v="10 h"/>
        <s v="09 h"/>
        <s v="07 h"/>
        <s v="08 h"/>
        <s v="19 h" u="1"/>
        <s v="17 h" u="1"/>
        <s v="16 h" u="1"/>
        <s v="20 h" u="1"/>
        <s v="11 h" u="1"/>
        <s v="18 h" u="1"/>
        <s v="15 h" u="1"/>
        <s v="13 h" u="1"/>
        <s v="14 h" u="1"/>
        <s v="12 h" u="1"/>
        <s v="21 h" u="1"/>
        <s v="22 h" u="1"/>
        <s v="23 h" u="1"/>
        <s v="06 h" u="1"/>
        <s v="00 h" u="1"/>
        <s v="01 h" u="1"/>
        <s v="02 h" u="1"/>
        <s v="04 h" u="1"/>
        <s v="03 h" u="1"/>
        <s v="05 h" u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63041898147" createdVersion="5" refreshedVersion="8" minRefreshableVersion="3" recordCount="665" xr:uid="{00000000-000A-0000-FFFF-FFFF10000000}">
  <cacheSource type="worksheet">
    <worksheetSource name="RES_AB"/>
  </cacheSource>
  <cacheFields count="17">
    <cacheField name="Reserva" numFmtId="0">
      <sharedItems containsSemiMixedTypes="0" containsString="0" containsNumber="1" containsInteger="1" minValue="4378021" maxValue="4384322"/>
    </cacheField>
    <cacheField name="Cen." numFmtId="0">
      <sharedItems containsMixedTypes="1" containsNumber="1" containsInteger="1" minValue="1196" maxValue="1196"/>
    </cacheField>
    <cacheField name="Dep." numFmtId="0">
      <sharedItems/>
    </cacheField>
    <cacheField name="Data base" numFmtId="0">
      <sharedItems containsSemiMixedTypes="0" containsNonDate="0" containsDate="1" containsString="0" minDate="2024-06-03T00:00:00" maxDate="2024-06-08T00:00:00"/>
    </cacheField>
    <cacheField name="Data Reserva - Feriado e Fds" numFmtId="0">
      <sharedItems containsSemiMixedTypes="0" containsNonDate="0" containsDate="1" containsString="0" minDate="2024-06-03T00:00:00" maxDate="2024-06-08T00:00:00"/>
    </cacheField>
    <cacheField name="Hora Int WMS" numFmtId="165">
      <sharedItems containsSemiMixedTypes="0" containsNonDate="0" containsDate="1" containsString="0" minDate="1899-12-30T08:00:00" maxDate="1899-12-30T22:38:00"/>
    </cacheField>
    <cacheField name="Dias para atendimento" numFmtId="0">
      <sharedItems containsSemiMixedTypes="0" containsString="0" containsNumber="1" containsInteger="1" minValue="2" maxValue="2"/>
    </cacheField>
    <cacheField name="WMS" numFmtId="0">
      <sharedItems count="12">
        <s v="EM FATURAMENTO"/>
        <s v="EM CONFERENCIA"/>
        <s v="PEDIDO EM LABORATORIO"/>
        <s v="EM SEPARAÇÃO"/>
        <s v="EM RESSUPRIMENTO"/>
        <s v="AGUARDANDO SEPARAÇÃO"/>
        <s v="IMPORTADO"/>
        <s v="IMPORTADO COM SUCESSO"/>
        <s v="CANCELAMENTO DE PEDIDO"/>
        <s v="AGUARDANDO EXPEDIÇÃO" u="1"/>
        <s v="EXPEDIDO" u="1"/>
        <s v="Reserva modificada CN Vermelho, mas não enviada. Email enviado pcp.netcpq@grupotpc.com" u="1"/>
      </sharedItems>
    </cacheField>
    <cacheField name="Previsão de Faturamento" numFmtId="0">
      <sharedItems containsSemiMixedTypes="0" containsNonDate="0" containsDate="1" containsString="0" minDate="2024-06-05T00:00:00" maxDate="2024-06-12T00:00:00"/>
    </cacheField>
    <cacheField name="SLA2" numFmtId="0">
      <sharedItems/>
    </cacheField>
    <cacheField name="Empresa + SLA dias" numFmtId="0">
      <sharedItems count="92">
        <s v="11EU | D+2"/>
        <s v="11EU | D+1"/>
        <s v="11EU | D+0"/>
        <s v="N193 | D+4"/>
        <s v="N193 | D+3"/>
        <s v="N193 | D+1"/>
        <s v="N193 | D+0"/>
        <s v="11XD | D+2"/>
        <s v="11XD | D+1"/>
        <s v="11XD | D+0"/>
        <s v="1196 | D+2"/>
        <s v="1196 | D+1"/>
        <s v="N190 | D+4"/>
        <s v="N190 | D+3"/>
        <s v="N190 | D+2"/>
        <s v="N190 | D+1"/>
        <s v="N190 | D+0"/>
        <s v="N193 | D+2" u="1"/>
        <s v="1196 | D+0" u="1"/>
        <s v="N190 | D+5" u="1"/>
        <s v="11XD | D+3" u="1"/>
        <s v="11XD | D+5" u="1"/>
        <s v="11XD | D+4" u="1"/>
        <s v="11AB | D+2" u="1"/>
        <s v="11AB | D+0" u="1"/>
        <s v="11EU | D+3" u="1"/>
        <s v="1196 | D+3" u="1"/>
        <s v="N190 | D+6" u="1"/>
        <s v="11XD | D+8" u="1"/>
        <s v="11XD | D+7" u="1"/>
        <s v="11XD | D+6" u="1"/>
        <s v="11EU | D+5" u="1"/>
        <s v="11EU | D+4" u="1"/>
        <s v="1196 | D+9" u="1"/>
        <s v="1196 | D+7" u="1"/>
        <s v="1196 | D+6" u="1"/>
        <s v="1196 | D+5" u="1"/>
        <s v="1196 | D+4" u="1"/>
        <s v="N193 | D+6" u="1"/>
        <s v="N193 | D+5" u="1"/>
        <s v="11K1 | D+2" u="1"/>
        <s v="11K1 | D+1" u="1"/>
        <s v="11K1 | D+0" u="1"/>
        <s v="11XD | D+19" u="1"/>
        <s v="11XD | D+18" u="1"/>
        <s v="11XD | D+17" u="1"/>
        <s v="11XD | D+16" u="1"/>
        <s v="11XD | D+15" u="1"/>
        <s v="11XD | D+14" u="1"/>
        <s v="11XD | D+13" u="1"/>
        <s v="11XD | D+12" u="1"/>
        <s v="11XD | D+11" u="1"/>
        <s v="11AB | D+3" u="1"/>
        <s v="11K1 | D+4" u="1"/>
        <s v="11K1 | D+3" u="1"/>
        <s v="11AB | D+1" u="1"/>
        <s v="11EU | D+6" u="1"/>
        <s v="11XD | D+30" u="1"/>
        <s v="11XD | D+31" u="1"/>
        <s v="11XD | D+32" u="1"/>
        <s v="11XD | D+33" u="1"/>
        <s v="11XD | D+34" u="1"/>
        <s v="11XD | D+35" u="1"/>
        <s v="11XD | D+36" u="1"/>
        <s v="11XD | D+37" u="1"/>
        <s v="11XD | D+38" u="1"/>
        <s v="11EU | D+9" u="1"/>
        <s v="11XD | D+39" u="1"/>
        <s v="11XD | D+10" u="1"/>
        <s v="N190 | D+13" u="1"/>
        <s v="11XD | D+9" u="1"/>
        <s v="11EU | D+7" u="1"/>
        <s v="11XD | D+40" u="1"/>
        <s v="11XD | D+41" u="1"/>
        <s v="11XD | D+42" u="1"/>
        <s v="11XD | D+43" u="1"/>
        <s v="11XD | D+44" u="1"/>
        <s v="11XD | D+45" u="1"/>
        <s v="11XD | D+46" u="1"/>
        <s v="11XD | D+47" u="1"/>
        <s v="11XD | D+48" u="1"/>
        <s v="N190 | D+7" u="1"/>
        <s v="11XD | D+49" u="1"/>
        <s v="11XD | D+20" u="1"/>
        <s v="11XD | D+21" u="1"/>
        <s v="11XD | D+22" u="1"/>
        <s v="11EU | D+8" u="1"/>
        <s v="11XD | D+29" u="1"/>
        <s v="11XD | D+50" u="1"/>
        <s v="11XD | D+51" u="1"/>
        <s v="11XD | D+52" u="1"/>
        <s v="11XD | D+53" u="1"/>
      </sharedItems>
    </cacheField>
    <cacheField name="Itens abertos na reserva" numFmtId="0">
      <sharedItems containsSemiMixedTypes="0" containsString="0" containsNumber="1" containsInteger="1" minValue="1" maxValue="31"/>
    </cacheField>
    <cacheField name="Laboratório" numFmtId="0">
      <sharedItems count="4">
        <s v="-"/>
        <s v="LAB|EMBRATEL"/>
        <s v="LAB|TELMEX"/>
        <s v="LAB|DEMAIS CENTROS"/>
      </sharedItems>
    </cacheField>
    <cacheField name="Situação" numFmtId="0">
      <sharedItems count="3">
        <s v="PLANO DO DIA"/>
        <s v="RESERVAS PENDENTES"/>
        <s v="RESERVAS EM ATRASO"/>
      </sharedItems>
    </cacheField>
    <cacheField name="Empresa" numFmtId="0">
      <sharedItems/>
    </cacheField>
    <cacheField name="Operação" numFmtId="0">
      <sharedItems count="2">
        <s v="EMPRESARIAL"/>
        <s v="NET"/>
      </sharedItems>
    </cacheField>
    <cacheField name="Canal Vermelho" numFmtId="0">
      <sharedItems count="1">
        <s v="CONVENCIONAL"/>
      </sharedItems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RODOLFO GALVAO DOS SANTOS" refreshedDate="45450.463042476855" createdVersion="5" refreshedVersion="8" minRefreshableVersion="3" recordCount="1992" xr:uid="{00000000-000A-0000-FFFF-FFFF08000000}">
  <cacheSource type="worksheet">
    <worksheetSource name="MB25_VOLUMETRIA"/>
  </cacheSource>
  <cacheFields count="15">
    <cacheField name="Reserva" numFmtId="0">
      <sharedItems containsSemiMixedTypes="0" containsString="0" containsNumber="1" containsInteger="1" minValue="4330862" maxValue="4384322" count="8000">
        <n v="4380794"/>
        <n v="4380796"/>
        <n v="4380797"/>
        <n v="4381016"/>
        <n v="4381020"/>
        <n v="4381187"/>
        <n v="4381191"/>
        <n v="4381193"/>
        <n v="4381194"/>
        <n v="4381304"/>
        <n v="4381383"/>
        <n v="4381574"/>
        <n v="4381575"/>
        <n v="4381704"/>
        <n v="4381706"/>
        <n v="4381707"/>
        <n v="4381710"/>
        <n v="4381712"/>
        <n v="4381717"/>
        <n v="4381718"/>
        <n v="4381719"/>
        <n v="4381724"/>
        <n v="4381729"/>
        <n v="4381733"/>
        <n v="4381738"/>
        <n v="4381751"/>
        <n v="4381752"/>
        <n v="4381754"/>
        <n v="4381930"/>
        <n v="4381935"/>
        <n v="4382004"/>
        <n v="4382012"/>
        <n v="4382161"/>
        <n v="4382162"/>
        <n v="4382163"/>
        <n v="4382164"/>
        <n v="4382165"/>
        <n v="4382166"/>
        <n v="4382167"/>
        <n v="4382168"/>
        <n v="4382169"/>
        <n v="4382170"/>
        <n v="4382171"/>
        <n v="4382172"/>
        <n v="4382285"/>
        <n v="4382701"/>
        <n v="4382702"/>
        <n v="4382703"/>
        <n v="4382704"/>
        <n v="4382705"/>
        <n v="4382717"/>
        <n v="4382729"/>
        <n v="4382730"/>
        <n v="4382763"/>
        <n v="4382773"/>
        <n v="4382796"/>
        <n v="4382798"/>
        <n v="4382799"/>
        <n v="4382800"/>
        <n v="4382813"/>
        <n v="4382814"/>
        <n v="4382816"/>
        <n v="4382817"/>
        <n v="4382818"/>
        <n v="4382819"/>
        <n v="4382820"/>
        <n v="4382821"/>
        <n v="4382869"/>
        <n v="4382961"/>
        <n v="4382962"/>
        <n v="4382963"/>
        <n v="4382964"/>
        <n v="4382965"/>
        <n v="4382966"/>
        <n v="4382967"/>
        <n v="4382968"/>
        <n v="4382969"/>
        <n v="4382970"/>
        <n v="4382971"/>
        <n v="4382972"/>
        <n v="4382973"/>
        <n v="4382974"/>
        <n v="4382975"/>
        <n v="4382976"/>
        <n v="4382977"/>
        <n v="4382978"/>
        <n v="4382979"/>
        <n v="4382980"/>
        <n v="4382981"/>
        <n v="4382982"/>
        <n v="4382983"/>
        <n v="4382984"/>
        <n v="4382985"/>
        <n v="4382986"/>
        <n v="4382987"/>
        <n v="4382988"/>
        <n v="4382989"/>
        <n v="4382990"/>
        <n v="4383065"/>
        <n v="4383066"/>
        <n v="4383067"/>
        <n v="4383068"/>
        <n v="4383069"/>
        <n v="4383070"/>
        <n v="4383071"/>
        <n v="4383072"/>
        <n v="4383073"/>
        <n v="4383074"/>
        <n v="4383075"/>
        <n v="4383076"/>
        <n v="4383077"/>
        <n v="4383081"/>
        <n v="4383083"/>
        <n v="4383217"/>
        <n v="4383218"/>
        <n v="4383219"/>
        <n v="4383220"/>
        <n v="4383248"/>
        <n v="4383282"/>
        <n v="4383287"/>
        <n v="4383305"/>
        <n v="4383306"/>
        <n v="4383307"/>
        <n v="4383324"/>
        <n v="4383570"/>
        <n v="4383571"/>
        <n v="4383572"/>
        <n v="4383573"/>
        <n v="4384157"/>
        <n v="4378021"/>
        <n v="4379569"/>
        <n v="4382809"/>
        <n v="4382895"/>
        <n v="4383240"/>
        <n v="4379075"/>
        <n v="4379076"/>
        <n v="4381634"/>
        <n v="4381635"/>
        <n v="4381636"/>
        <n v="4381637"/>
        <n v="4381638"/>
        <n v="4381639"/>
        <n v="4381912"/>
        <n v="4381913"/>
        <n v="4382286"/>
        <n v="4382287"/>
        <n v="4382288"/>
        <n v="4382289"/>
        <n v="4382290"/>
        <n v="4382291"/>
        <n v="4382292"/>
        <n v="4382293"/>
        <n v="4382294"/>
        <n v="4382295"/>
        <n v="4382296"/>
        <n v="4382297"/>
        <n v="4382298"/>
        <n v="4382299"/>
        <n v="4382300"/>
        <n v="4382706"/>
        <n v="4382707"/>
        <n v="4382708"/>
        <n v="4382709"/>
        <n v="4382710"/>
        <n v="4382711"/>
        <n v="4382712"/>
        <n v="4382713"/>
        <n v="4382714"/>
        <n v="4382715"/>
        <n v="4382716"/>
        <n v="4382718"/>
        <n v="4382719"/>
        <n v="4382720"/>
        <n v="4382721"/>
        <n v="4382722"/>
        <n v="4382723"/>
        <n v="4382724"/>
        <n v="4382725"/>
        <n v="4382726"/>
        <n v="4382727"/>
        <n v="4382728"/>
        <n v="4382731"/>
        <n v="4382732"/>
        <n v="4382733"/>
        <n v="4382734"/>
        <n v="4382735"/>
        <n v="4382736"/>
        <n v="4382737"/>
        <n v="4382738"/>
        <n v="4382739"/>
        <n v="4382812"/>
        <n v="4382865"/>
        <n v="4383021"/>
        <n v="4383022"/>
        <n v="4383023"/>
        <n v="4383024"/>
        <n v="4383025"/>
        <n v="4383026"/>
        <n v="4383027"/>
        <n v="4383028"/>
        <n v="4383029"/>
        <n v="4383030"/>
        <n v="4383031"/>
        <n v="4383032"/>
        <n v="4383033"/>
        <n v="4383034"/>
        <n v="4383040"/>
        <n v="4384161"/>
        <n v="4384162"/>
        <n v="4384163"/>
        <n v="4384164"/>
        <n v="4384165"/>
        <n v="4384166"/>
        <n v="4382495"/>
        <n v="4382519"/>
        <n v="4382520"/>
        <n v="4382528"/>
        <n v="4382530"/>
        <n v="4382531"/>
        <n v="4382544"/>
        <n v="4382557"/>
        <n v="4382565"/>
        <n v="4382566"/>
        <n v="4382020"/>
        <n v="4382314"/>
        <n v="4382315"/>
        <n v="4382316"/>
        <n v="4382761"/>
        <n v="4382762"/>
        <n v="4382764"/>
        <n v="4382765"/>
        <n v="4382771"/>
        <n v="4383049"/>
        <n v="4383113"/>
        <n v="4383120"/>
        <n v="4383136"/>
        <n v="4383162"/>
        <n v="4383164"/>
        <n v="4383567"/>
        <n v="4383568"/>
        <n v="4378638"/>
        <n v="4379585"/>
        <n v="4379590"/>
        <n v="4379594"/>
        <n v="4379595"/>
        <n v="4379599"/>
        <n v="4379600"/>
        <n v="4379609"/>
        <n v="4379610"/>
        <n v="4379613"/>
        <n v="4379614"/>
        <n v="4379617"/>
        <n v="4379619"/>
        <n v="4379621"/>
        <n v="4379623"/>
        <n v="4379628"/>
        <n v="4379630"/>
        <n v="4379632"/>
        <n v="4379635"/>
        <n v="4379636"/>
        <n v="4379650"/>
        <n v="4379651"/>
        <n v="4379654"/>
        <n v="4379656"/>
        <n v="4379660"/>
        <n v="4379661"/>
        <n v="4379668"/>
        <n v="4379670"/>
        <n v="4379671"/>
        <n v="4379672"/>
        <n v="4379673"/>
        <n v="4379677"/>
        <n v="4379678"/>
        <n v="4379681"/>
        <n v="4379682"/>
        <n v="4379683"/>
        <n v="4379684"/>
        <n v="4379686"/>
        <n v="4379688"/>
        <n v="4379690"/>
        <n v="4379692"/>
        <n v="4379694"/>
        <n v="4379701"/>
        <n v="4379712"/>
        <n v="4379718"/>
        <n v="4379723"/>
        <n v="4379728"/>
        <n v="4379729"/>
        <n v="4379733"/>
        <n v="4379753"/>
        <n v="4379836"/>
        <n v="4380056"/>
        <n v="4380117"/>
        <n v="4380372"/>
        <n v="4380495"/>
        <n v="4380563"/>
        <n v="4380564"/>
        <n v="4380769"/>
        <n v="4380770"/>
        <n v="4380771"/>
        <n v="4380772"/>
        <n v="4380773"/>
        <n v="4380774"/>
        <n v="4380775"/>
        <n v="4380776"/>
        <n v="4380779"/>
        <n v="4380780"/>
        <n v="4381062"/>
        <n v="4381063"/>
        <n v="4381064"/>
        <n v="4381065"/>
        <n v="4381066"/>
        <n v="4381067"/>
        <n v="4381068"/>
        <n v="4381069"/>
        <n v="4381071"/>
        <n v="4381072"/>
        <n v="4381073"/>
        <n v="4381074"/>
        <n v="4381075"/>
        <n v="4381076"/>
        <n v="4381077"/>
        <n v="4381078"/>
        <n v="4381080"/>
        <n v="4381081"/>
        <n v="4381082"/>
        <n v="4381083"/>
        <n v="4381084"/>
        <n v="4381085"/>
        <n v="4381086"/>
        <n v="4381087"/>
        <n v="4381088"/>
        <n v="4381089"/>
        <n v="4381090"/>
        <n v="4381091"/>
        <n v="4381092"/>
        <n v="4381094"/>
        <n v="4381095"/>
        <n v="4381100"/>
        <n v="4381101"/>
        <n v="4381102"/>
        <n v="4381103"/>
        <n v="4381104"/>
        <n v="4381106"/>
        <n v="4381107"/>
        <n v="4381109"/>
        <n v="4381110"/>
        <n v="4381111"/>
        <n v="4381112"/>
        <n v="4381113"/>
        <n v="4381116"/>
        <n v="4381117"/>
        <n v="4381118"/>
        <n v="4381120"/>
        <n v="4381121"/>
        <n v="4381123"/>
        <n v="4381124"/>
        <n v="4381125"/>
        <n v="4381126"/>
        <n v="4381127"/>
        <n v="4381128"/>
        <n v="4381129"/>
        <n v="4381130"/>
        <n v="4381133"/>
        <n v="4381134"/>
        <n v="4381135"/>
        <n v="4381136"/>
        <n v="4381137"/>
        <n v="4381138"/>
        <n v="4381139"/>
        <n v="4381140"/>
        <n v="4381141"/>
        <n v="4381142"/>
        <n v="4381143"/>
        <n v="4381144"/>
        <n v="4381145"/>
        <n v="4381146"/>
        <n v="4381147"/>
        <n v="4381148"/>
        <n v="4381149"/>
        <n v="4381150"/>
        <n v="4381151"/>
        <n v="4381152"/>
        <n v="4381153"/>
        <n v="4381154"/>
        <n v="4381155"/>
        <n v="4381156"/>
        <n v="4381157"/>
        <n v="4381158"/>
        <n v="4381159"/>
        <n v="4381160"/>
        <n v="4381161"/>
        <n v="4381162"/>
        <n v="4381163"/>
        <n v="4381164"/>
        <n v="4381165"/>
        <n v="4381166"/>
        <n v="4381167"/>
        <n v="4381168"/>
        <n v="4381169"/>
        <n v="4381170"/>
        <n v="4381171"/>
        <n v="4381172"/>
        <n v="4381173"/>
        <n v="4381174"/>
        <n v="4381175"/>
        <n v="4381176"/>
        <n v="4381177"/>
        <n v="4381178"/>
        <n v="4381179"/>
        <n v="4381180"/>
        <n v="4381181"/>
        <n v="4381182"/>
        <n v="4381183"/>
        <n v="4381005"/>
        <n v="4381012"/>
        <n v="4381015"/>
        <n v="4381019"/>
        <n v="4381188"/>
        <n v="4381190"/>
        <n v="4381192"/>
        <n v="4381195"/>
        <n v="4381303"/>
        <n v="4381370"/>
        <n v="4381697"/>
        <n v="4381698"/>
        <n v="4381699"/>
        <n v="4381700"/>
        <n v="4382381"/>
        <n v="4382382"/>
        <n v="4382383"/>
        <n v="4382386"/>
        <n v="4382387"/>
        <n v="4382388"/>
        <n v="4382391"/>
        <n v="4382392"/>
        <n v="4382393"/>
        <n v="4382394"/>
        <n v="4382395"/>
        <n v="4382396"/>
        <n v="4382397"/>
        <n v="4382399"/>
        <n v="4382400"/>
        <n v="4382401"/>
        <n v="4382403"/>
        <n v="4382404"/>
        <n v="4382405"/>
        <n v="4382406"/>
        <n v="4382407"/>
        <n v="4382408"/>
        <n v="4382409"/>
        <n v="4382410"/>
        <n v="4382411"/>
        <n v="4382412"/>
        <n v="4382413"/>
        <n v="4382414"/>
        <n v="4382415"/>
        <n v="4382416"/>
        <n v="4382417"/>
        <n v="4382419"/>
        <n v="4382420"/>
        <n v="4382421"/>
        <n v="4382422"/>
        <n v="4382423"/>
        <n v="4382424"/>
        <n v="4382426"/>
        <n v="4382427"/>
        <n v="4382428"/>
        <n v="4382429"/>
        <n v="4382430"/>
        <n v="4382431"/>
        <n v="4382432"/>
        <n v="4382433"/>
        <n v="4382434"/>
        <n v="4382435"/>
        <n v="4382436"/>
        <n v="4382437"/>
        <n v="4382438"/>
        <n v="4382439"/>
        <n v="4382440"/>
        <n v="4382441"/>
        <n v="4382442"/>
        <n v="4382443"/>
        <n v="4382444"/>
        <n v="4382445"/>
        <n v="4382446"/>
        <n v="4382447"/>
        <n v="4382448"/>
        <n v="4382449"/>
        <n v="4382450"/>
        <n v="4382451"/>
        <n v="4382452"/>
        <n v="4382453"/>
        <n v="4382454"/>
        <n v="4382455"/>
        <n v="4382456"/>
        <n v="4382457"/>
        <n v="4382458"/>
        <n v="4382459"/>
        <n v="4382460"/>
        <n v="4382461"/>
        <n v="4382462"/>
        <n v="4382463"/>
        <n v="4382464"/>
        <n v="4382465"/>
        <n v="4382466"/>
        <n v="4382467"/>
        <n v="4382468"/>
        <n v="4382469"/>
        <n v="4382470"/>
        <n v="4382471"/>
        <n v="4382472"/>
        <n v="4382473"/>
        <n v="4382474"/>
        <n v="4382475"/>
        <n v="4382476"/>
        <n v="4382477"/>
        <n v="4382478"/>
        <n v="4382479"/>
        <n v="4382480"/>
        <n v="4382481"/>
        <n v="4382482"/>
        <n v="4382483"/>
        <n v="4382484"/>
        <n v="4382485"/>
        <n v="4382486"/>
        <n v="4382487"/>
        <n v="4382488"/>
        <n v="4382489"/>
        <n v="4382490"/>
        <n v="4382491"/>
        <n v="4382492"/>
        <n v="4382772"/>
        <n v="4382811"/>
        <n v="4383406"/>
        <n v="4383638"/>
        <n v="4383639"/>
        <n v="4383640"/>
        <n v="4383901"/>
        <n v="4383902"/>
        <n v="4383903"/>
        <n v="4383905"/>
        <n v="4383906"/>
        <n v="4383907"/>
        <n v="4383908"/>
        <n v="4383909"/>
        <n v="4383910"/>
        <n v="4383911"/>
        <n v="4383912"/>
        <n v="4383913"/>
        <n v="4383914"/>
        <n v="4383915"/>
        <n v="4383916"/>
        <n v="4383918"/>
        <n v="4383919"/>
        <n v="4383920"/>
        <n v="4383921"/>
        <n v="4383922"/>
        <n v="4383923"/>
        <n v="4383924"/>
        <n v="4383925"/>
        <n v="4383926"/>
        <n v="4383927"/>
        <n v="4383928"/>
        <n v="4383929"/>
        <n v="4383931"/>
        <n v="4383932"/>
        <n v="4383933"/>
        <n v="4383934"/>
        <n v="4383935"/>
        <n v="4383936"/>
        <n v="4383937"/>
        <n v="4383938"/>
        <n v="4383939"/>
        <n v="4383940"/>
        <n v="4383941"/>
        <n v="4383942"/>
        <n v="4383943"/>
        <n v="4383944"/>
        <n v="4383945"/>
        <n v="4383946"/>
        <n v="4383948"/>
        <n v="4383949"/>
        <n v="4383951"/>
        <n v="4383952"/>
        <n v="4383953"/>
        <n v="4383954"/>
        <n v="4383955"/>
        <n v="4383956"/>
        <n v="4383957"/>
        <n v="4383958"/>
        <n v="4383959"/>
        <n v="4383960"/>
        <n v="4383961"/>
        <n v="4383962"/>
        <n v="4383963"/>
        <n v="4383964"/>
        <n v="4383965"/>
        <n v="4383966"/>
        <n v="4383968"/>
        <n v="4383969"/>
        <n v="4383970"/>
        <n v="4383971"/>
        <n v="4383972"/>
        <n v="4383973"/>
        <n v="4383974"/>
        <n v="4383975"/>
        <n v="4383976"/>
        <n v="4383977"/>
        <n v="4383978"/>
        <n v="4383979"/>
        <n v="4383980"/>
        <n v="4383981"/>
        <n v="4383982"/>
        <n v="4383983"/>
        <n v="4383984"/>
        <n v="4383985"/>
        <n v="4383986"/>
        <n v="4383987"/>
        <n v="4383988"/>
        <n v="4383989"/>
        <n v="4383990"/>
        <n v="4383991"/>
        <n v="4383992"/>
        <n v="4383993"/>
        <n v="4383994"/>
        <n v="4383995"/>
        <n v="4383996"/>
        <n v="4383997"/>
        <n v="4383998"/>
        <n v="4383999"/>
        <n v="4384000"/>
        <n v="4384001"/>
        <n v="4384002"/>
        <n v="4384003"/>
        <n v="4384004"/>
        <n v="4384005"/>
        <n v="4384006"/>
        <n v="4384007"/>
        <n v="4384008"/>
        <n v="4384009"/>
        <n v="4384010"/>
        <n v="4384011"/>
        <n v="4384012"/>
        <n v="4384013"/>
        <n v="4384014"/>
        <n v="4384015"/>
        <n v="4384016"/>
        <n v="4384017"/>
        <n v="4384018"/>
        <n v="4384019"/>
        <n v="4384020"/>
        <n v="4384021"/>
        <n v="4384022"/>
        <n v="4384023"/>
        <n v="4384024"/>
        <n v="4384025"/>
        <n v="4384026"/>
        <n v="4384027"/>
        <n v="4384028"/>
        <n v="4384029"/>
        <n v="4384030"/>
        <n v="4384123"/>
        <n v="4384124"/>
        <n v="4384322"/>
        <n v="4381544" u="1"/>
        <n v="4381702" u="1"/>
        <n v="4381703" u="1"/>
        <n v="4381705" u="1"/>
        <n v="4381708" u="1"/>
        <n v="4381714" u="1"/>
        <n v="4381715" u="1"/>
        <n v="4381720" u="1"/>
        <n v="4381721" u="1"/>
        <n v="4381722" u="1"/>
        <n v="4381723" u="1"/>
        <n v="4381726" u="1"/>
        <n v="4381730" u="1"/>
        <n v="4381734" u="1"/>
        <n v="4381736" u="1"/>
        <n v="4381737" u="1"/>
        <n v="4381739" u="1"/>
        <n v="4381742" u="1"/>
        <n v="4381744" u="1"/>
        <n v="4381745" u="1"/>
        <n v="4381746" u="1"/>
        <n v="4381748" u="1"/>
        <n v="4381750" u="1"/>
        <n v="4381753" u="1"/>
        <n v="4381922" u="1"/>
        <n v="4381923" u="1"/>
        <n v="4381925" u="1"/>
        <n v="4382181" u="1"/>
        <n v="4379629" u="1"/>
        <n v="4379674" u="1"/>
        <n v="4381701" u="1"/>
        <n v="4381709" u="1"/>
        <n v="4381711" u="1"/>
        <n v="4381713" u="1"/>
        <n v="4381716" u="1"/>
        <n v="4381725" u="1"/>
        <n v="4381727" u="1"/>
        <n v="4381728" u="1"/>
        <n v="4381731" u="1"/>
        <n v="4381732" u="1"/>
        <n v="4381735" u="1"/>
        <n v="4381740" u="1"/>
        <n v="4381741" u="1"/>
        <n v="4381743" u="1"/>
        <n v="4381747" u="1"/>
        <n v="4381749" u="1"/>
        <n v="4382263" u="1"/>
        <n v="4382268" u="1"/>
        <n v="4382273" u="1"/>
        <n v="4382277" u="1"/>
        <n v="4379582" u="1"/>
        <n v="4379596" u="1"/>
        <n v="4379638" u="1"/>
        <n v="4379667" u="1"/>
        <n v="4379703" u="1"/>
        <n v="4379714" u="1"/>
        <n v="4379720" u="1"/>
        <n v="4379721" u="1"/>
        <n v="4379731" u="1"/>
        <n v="4379736" u="1"/>
        <n v="4383196" u="1"/>
        <n v="4379584" u="1"/>
        <n v="4379597" u="1"/>
        <n v="4379695" u="1"/>
        <n v="4379696" u="1"/>
        <n v="4379707" u="1"/>
        <n v="4379735" u="1"/>
        <n v="4379607" u="1"/>
        <n v="4379611" u="1"/>
        <n v="4379722" u="1"/>
        <n v="4382757" u="1"/>
        <n v="4378424" u="1"/>
        <n v="4379598" u="1"/>
        <n v="4379625" u="1"/>
        <n v="4379719" u="1"/>
        <n v="4379726" u="1"/>
        <n v="4379732" u="1"/>
        <n v="4379835" u="1"/>
        <n v="4380060" u="1"/>
        <n v="4377036" u="1"/>
        <n v="4377746" u="1"/>
        <n v="4379593" u="1"/>
        <n v="4379622" u="1"/>
        <n v="4379627" u="1"/>
        <n v="4379639" u="1"/>
        <n v="4379643" u="1"/>
        <n v="4379647" u="1"/>
        <n v="4379653" u="1"/>
        <n v="4379657" u="1"/>
        <n v="4379658" u="1"/>
        <n v="4379659" u="1"/>
        <n v="4379685" u="1"/>
        <n v="4379693" u="1"/>
        <n v="4379734" u="1"/>
        <n v="4381119" u="1"/>
        <n v="4381122" u="1"/>
        <n v="4380494" u="1"/>
        <n v="4377033" u="1"/>
        <n v="4377631" u="1"/>
        <n v="4379640" u="1"/>
        <n v="4379646" u="1"/>
        <n v="4379655" u="1"/>
        <n v="4379717" u="1"/>
        <n v="4379725" u="1"/>
        <n v="4379727" u="1"/>
        <n v="4379730" u="1"/>
        <n v="4379738" u="1"/>
        <n v="4381098" u="1"/>
        <n v="4381105" u="1"/>
        <n v="4381108" u="1"/>
        <n v="4381115" u="1"/>
        <n v="4381132" u="1"/>
        <n v="4380785" u="1"/>
        <n v="4380786" u="1"/>
        <n v="4381438" u="1"/>
        <n v="4381440" u="1"/>
        <n v="4378612" u="1"/>
        <n v="4379604" u="1"/>
        <n v="4379605" u="1"/>
        <n v="4379620" u="1"/>
        <n v="4379631" u="1"/>
        <n v="4379666" u="1"/>
        <n v="4379724" u="1"/>
        <n v="4379744" u="1"/>
        <n v="4381114" u="1"/>
        <n v="4381131" u="1"/>
        <n v="4381376" u="1"/>
        <n v="4379917" u="1"/>
        <n v="4381439" u="1"/>
        <n v="4378229" u="1"/>
        <n v="4378230" u="1"/>
        <n v="4378171" u="1"/>
        <n v="4378640" u="1"/>
        <n v="4379645" u="1"/>
        <n v="4379679" u="1"/>
        <n v="4379687" u="1"/>
        <n v="4380369" u="1"/>
        <n v="4378228" u="1"/>
        <n v="4379746" u="1"/>
        <n v="4381097" u="1"/>
        <n v="4380054" u="1"/>
        <n v="4380069" u="1"/>
        <n v="4380305" u="1"/>
        <n v="4380326" u="1"/>
        <n v="4380498" u="1"/>
        <n v="4380993" u="1"/>
        <n v="4378639" u="1"/>
        <n v="4379173" u="1"/>
        <n v="4379618" u="1"/>
        <n v="4379644" u="1"/>
        <n v="4379652" u="1"/>
        <n v="4379675" u="1"/>
        <n v="4381317" u="1"/>
        <n v="4379571" u="1"/>
        <n v="4379578" u="1"/>
        <n v="4377628" u="1"/>
        <n v="4379649" u="1"/>
        <n v="4379697" u="1"/>
        <n v="4379698" u="1"/>
        <n v="4379699" u="1"/>
        <n v="4379700" u="1"/>
        <n v="4379702" u="1"/>
        <n v="4379704" u="1"/>
        <n v="4379705" u="1"/>
        <n v="4379706" u="1"/>
        <n v="4379708" u="1"/>
        <n v="4379713" u="1"/>
        <n v="4379745" u="1"/>
        <n v="4379747" u="1"/>
        <n v="4380309" u="1"/>
        <n v="4380454" u="1"/>
        <n v="4380987" u="1"/>
        <n v="4379575" u="1"/>
        <n v="4379577" u="1"/>
        <n v="4379977" u="1"/>
        <n v="4380087" u="1"/>
        <n v="4380088" u="1"/>
        <n v="4380331" u="1"/>
        <n v="4380352" u="1"/>
        <n v="4380358" u="1"/>
        <n v="4381186" u="1"/>
        <n v="4382064" u="1"/>
        <n v="4379608" u="1"/>
        <n v="4379710" u="1"/>
        <n v="4379711" u="1"/>
        <n v="4381924" u="1"/>
        <n v="4379896" u="1"/>
        <n v="4379916" u="1"/>
        <n v="4379918" u="1"/>
        <n v="4379919" u="1"/>
        <n v="4379920" u="1"/>
        <n v="4379981" u="1"/>
        <n v="4379982" u="1"/>
        <n v="4379983" u="1"/>
        <n v="4380009" u="1"/>
        <n v="4380012" u="1"/>
        <n v="4380230" u="1"/>
        <n v="4380231" u="1"/>
        <n v="4380276" u="1"/>
        <n v="4380285" u="1"/>
        <n v="4380286" u="1"/>
        <n v="4380081" u="1"/>
        <n v="4380101" u="1"/>
        <n v="4382063" u="1"/>
        <n v="4378110" u="1"/>
        <n v="4378919" u="1"/>
        <n v="4378920" u="1"/>
        <n v="4379052" u="1"/>
        <n v="4379360" u="1"/>
        <n v="4379581" u="1"/>
        <n v="4379583" u="1"/>
        <n v="4379587" u="1"/>
        <n v="4379589" u="1"/>
        <n v="4379603" u="1"/>
        <n v="4379606" u="1"/>
        <n v="4379612" u="1"/>
        <n v="4379624" u="1"/>
        <n v="4379648" u="1"/>
        <n v="4379662" u="1"/>
        <n v="4379665" u="1"/>
        <n v="4379669" u="1"/>
        <n v="4379689" u="1"/>
        <n v="4379709" u="1"/>
        <n v="4379715" u="1"/>
        <n v="4379716" u="1"/>
        <n v="4379737" u="1"/>
        <n v="4380525" u="1"/>
        <n v="4377031" u="1"/>
        <n v="4377035" u="1"/>
        <n v="4377039" u="1"/>
        <n v="4377322" u="1"/>
        <n v="4377364" u="1"/>
        <n v="4377373" u="1"/>
        <n v="4377621" u="1"/>
        <n v="4377622" u="1"/>
        <n v="4377623" u="1"/>
        <n v="4377627" u="1"/>
        <n v="4377635" u="1"/>
        <n v="4377637" u="1"/>
        <n v="4377646" u="1"/>
        <n v="4377742" u="1"/>
        <n v="4377743" u="1"/>
        <n v="4377323" u="1"/>
        <n v="4377444" u="1"/>
        <n v="4378084" u="1"/>
        <n v="4378086" u="1"/>
        <n v="4378133" u="1"/>
        <n v="4378614" u="1"/>
        <n v="4378624" u="1"/>
        <n v="4378627" u="1"/>
        <n v="4379784" u="1"/>
        <n v="4377332" u="1"/>
        <n v="4377443" u="1"/>
        <n v="4377462" u="1"/>
        <n v="4377625" u="1"/>
        <n v="4377741" u="1"/>
        <n v="4379691" u="1"/>
        <n v="4378800" u="1"/>
        <n v="4380999" u="1"/>
        <n v="4381000" u="1"/>
        <n v="4380083" u="1"/>
        <n v="4381893" u="1"/>
        <n v="4377363" u="1"/>
        <n v="4377375" u="1"/>
        <n v="4377387" u="1"/>
        <n v="4377390" u="1"/>
        <n v="4377399" u="1"/>
        <n v="4377401" u="1"/>
        <n v="4377411" u="1"/>
        <n v="4377440" u="1"/>
        <n v="4377447" u="1"/>
        <n v="4377453" u="1"/>
        <n v="4377458" u="1"/>
        <n v="4377460" u="1"/>
        <n v="4377471" u="1"/>
        <n v="4377744" u="1"/>
        <n v="4378427" u="1"/>
        <n v="4378550" u="1"/>
        <n v="4378783" u="1"/>
        <n v="4378873" u="1"/>
        <n v="4378874" u="1"/>
        <n v="4379536" u="1"/>
        <n v="4379547" u="1"/>
        <n v="4379552" u="1"/>
        <n v="4379555" u="1"/>
        <n v="4379556" u="1"/>
        <n v="4379564" u="1"/>
        <n v="4379767" u="1"/>
        <n v="4379771" u="1"/>
        <n v="4379773" u="1"/>
        <n v="4379777" u="1"/>
        <n v="4379783" u="1"/>
        <n v="4380994" u="1"/>
        <n v="4381001" u="1"/>
        <n v="4377442" u="1"/>
        <n v="4377454" u="1"/>
        <n v="4377455" u="1"/>
        <n v="4377459" u="1"/>
        <n v="4377638" u="1"/>
        <n v="4378543" u="1"/>
        <n v="4378544" u="1"/>
        <n v="4378547" u="1"/>
        <n v="4378561" u="1"/>
        <n v="4378571" u="1"/>
        <n v="4378578" u="1"/>
        <n v="4378812" u="1"/>
        <n v="4378813" u="1"/>
        <n v="4379185" u="1"/>
        <n v="4379186" u="1"/>
        <n v="4379197" u="1"/>
        <n v="4379198" u="1"/>
        <n v="4379199" u="1"/>
        <n v="4379200" u="1"/>
        <n v="4379545" u="1"/>
        <n v="4379557" u="1"/>
        <n v="4379558" u="1"/>
        <n v="4379562" u="1"/>
        <n v="4379567" u="1"/>
        <n v="4379762" u="1"/>
        <n v="4379763" u="1"/>
        <n v="4379768" u="1"/>
        <n v="4379772" u="1"/>
        <n v="4379774" u="1"/>
        <n v="4379776" u="1"/>
        <n v="4379780" u="1"/>
        <n v="4379785" u="1"/>
        <n v="4379787" u="1"/>
        <n v="4379541" u="1"/>
        <n v="4374982" u="1"/>
        <n v="4377329" u="1"/>
        <n v="4377370" u="1"/>
        <n v="4377426" u="1"/>
        <n v="4377427" u="1"/>
        <n v="4377445" u="1"/>
        <n v="4377448" u="1"/>
        <n v="4377451" u="1"/>
        <n v="4377452" u="1"/>
        <n v="4377461" u="1"/>
        <n v="4379676" u="1"/>
        <n v="4380499" u="1"/>
        <n v="4380985" u="1"/>
        <n v="4380992" u="1"/>
        <n v="4378541" u="1"/>
        <n v="4378556" u="1"/>
        <n v="4378562" u="1"/>
        <n v="4378593" u="1"/>
        <n v="4378806" u="1"/>
        <n v="4380201" u="1"/>
        <n v="4380222" u="1"/>
        <n v="4380223" u="1"/>
        <n v="4380224" u="1"/>
        <n v="4380226" u="1"/>
        <n v="4380227" u="1"/>
        <n v="4380228" u="1"/>
        <n v="4380229" u="1"/>
        <n v="4380275" u="1"/>
        <n v="4377338" u="1"/>
        <n v="4377466" u="1"/>
        <n v="4379680" u="1"/>
        <n v="4378548" u="1"/>
        <n v="4378549" u="1"/>
        <n v="4378565" u="1"/>
        <n v="4378585" u="1"/>
        <n v="4378589" u="1"/>
        <n v="4378608" u="1"/>
        <n v="4378807" u="1"/>
        <n v="4378853" u="1"/>
        <n v="4379546" u="1"/>
        <n v="4379549" u="1"/>
        <n v="4379775" u="1"/>
        <n v="4379786" u="1"/>
        <n v="4378414" u="1"/>
        <n v="4378416" u="1"/>
        <n v="4378420" u="1"/>
        <n v="4378601" u="1"/>
        <n v="4380011" u="1"/>
        <n v="4378134" u="1"/>
        <n v="4378551" u="1"/>
        <n v="4378552" u="1"/>
        <n v="4378553" u="1"/>
        <n v="4378554" u="1"/>
        <n v="4378582" u="1"/>
        <n v="4378594" u="1"/>
        <n v="4379559" u="1"/>
        <n v="4377388" u="1"/>
        <n v="4377456" u="1"/>
        <n v="4377467" u="1"/>
        <n v="4377474" u="1"/>
        <n v="4378380" u="1"/>
        <n v="4378542" u="1"/>
        <n v="4378555" u="1"/>
        <n v="4378558" u="1"/>
        <n v="4378563" u="1"/>
        <n v="4378564" u="1"/>
        <n v="4378568" u="1"/>
        <n v="4378573" u="1"/>
        <n v="4378575" u="1"/>
        <n v="4379193" u="1"/>
        <n v="4379194" u="1"/>
        <n v="4379195" u="1"/>
        <n v="4379196" u="1"/>
        <n v="4379542" u="1"/>
        <n v="4379543" u="1"/>
        <n v="4379544" u="1"/>
        <n v="4379551" u="1"/>
        <n v="4379553" u="1"/>
        <n v="4379554" u="1"/>
        <n v="4379566" u="1"/>
        <n v="4379788" u="1"/>
        <n v="4380211" u="1"/>
        <n v="4380212" u="1"/>
        <n v="4380213" u="1"/>
        <n v="4380214" u="1"/>
        <n v="4380215" u="1"/>
        <n v="4380216" u="1"/>
        <n v="4380217" u="1"/>
        <n v="4380218" u="1"/>
        <n v="4380219" u="1"/>
        <n v="4380220" u="1"/>
        <n v="4380221" u="1"/>
        <n v="4380225" u="1"/>
        <n v="4380283" u="1"/>
        <n v="4380284" u="1"/>
        <n v="4380287" u="1"/>
        <n v="4378418" u="1"/>
        <n v="4378419" u="1"/>
        <n v="4378636" u="1"/>
        <n v="4379791" u="1"/>
        <n v="4380007" u="1"/>
        <n v="4377384" u="1"/>
        <n v="4377463" u="1"/>
        <n v="4377484" u="1"/>
        <n v="4378546" u="1"/>
        <n v="4378560" u="1"/>
        <n v="4378570" u="1"/>
        <n v="4378572" u="1"/>
        <n v="4378574" u="1"/>
        <n v="4378576" u="1"/>
        <n v="4378581" u="1"/>
        <n v="4378590" u="1"/>
        <n v="4378592" u="1"/>
        <n v="4378130" u="1"/>
        <n v="4378131" u="1"/>
        <n v="4378172" u="1"/>
        <n v="4378194" u="1"/>
        <n v="4378545" u="1"/>
        <n v="4378557" u="1"/>
        <n v="4378559" u="1"/>
        <n v="4378566" u="1"/>
        <n v="4378567" u="1"/>
        <n v="4378569" u="1"/>
        <n v="4378577" u="1"/>
        <n v="4378579" u="1"/>
        <n v="4378580" u="1"/>
        <n v="4378583" u="1"/>
        <n v="4378584" u="1"/>
        <n v="4378586" u="1"/>
        <n v="4378587" u="1"/>
        <n v="4378588" u="1"/>
        <n v="4378591" u="1"/>
        <n v="4379560" u="1"/>
        <n v="4379561" u="1"/>
        <n v="4379563" u="1"/>
        <n v="4378022" u="1"/>
        <n v="4380202" u="1"/>
        <n v="4380203" u="1"/>
        <n v="4380204" u="1"/>
        <n v="4380205" u="1"/>
        <n v="4380206" u="1"/>
        <n v="4380207" u="1"/>
        <n v="4380208" u="1"/>
        <n v="4380209" u="1"/>
        <n v="4380210" u="1"/>
        <n v="4379187" u="1"/>
        <n v="4377376" u="1"/>
        <n v="4377385" u="1"/>
        <n v="4377386" u="1"/>
        <n v="4377402" u="1"/>
        <n v="4377404" u="1"/>
        <n v="4377425" u="1"/>
        <n v="4377434" u="1"/>
        <n v="4377435" u="1"/>
        <n v="4377478" u="1"/>
        <n v="4376956" u="1"/>
        <n v="4376958" u="1"/>
        <n v="4377333" u="1"/>
        <n v="4377365" u="1"/>
        <n v="4377366" u="1"/>
        <n v="4377371" u="1"/>
        <n v="4377380" u="1"/>
        <n v="4377391" u="1"/>
        <n v="4377406" u="1"/>
        <n v="4377408" u="1"/>
        <n v="4377413" u="1"/>
        <n v="4377414" u="1"/>
        <n v="4377415" u="1"/>
        <n v="4377416" u="1"/>
        <n v="4377421" u="1"/>
        <n v="4377428" u="1"/>
        <n v="4377431" u="1"/>
        <n v="4377432" u="1"/>
        <n v="4377433" u="1"/>
        <n v="4377436" u="1"/>
        <n v="4377437" u="1"/>
        <n v="4377438" u="1"/>
        <n v="4377446" u="1"/>
        <n v="4377465" u="1"/>
        <n v="4377469" u="1"/>
        <n v="4377470" u="1"/>
        <n v="4377472" u="1"/>
        <n v="4377632" u="1"/>
        <n v="4377816" u="1"/>
        <n v="4377817" u="1"/>
        <n v="4378023" u="1"/>
        <n v="4378174" u="1"/>
        <n v="4378999" u="1"/>
        <n v="4379000" u="1"/>
        <n v="4379001" u="1"/>
        <n v="4379002" u="1"/>
        <n v="4379003" u="1"/>
        <n v="4376280" u="1"/>
        <n v="4377037" u="1"/>
        <n v="4377382" u="1"/>
        <n v="4377424" u="1"/>
        <n v="4377449" u="1"/>
        <n v="4377038" u="1"/>
        <n v="4377586" u="1"/>
        <n v="4377640" u="1"/>
        <n v="4378127" u="1"/>
        <n v="4378128" u="1"/>
        <n v="4378135" u="1"/>
        <n v="4378136" u="1"/>
        <n v="4378137" u="1"/>
        <n v="4376182" u="1"/>
        <n v="4376191" u="1"/>
        <n v="4376219" u="1"/>
        <n v="4377368" u="1"/>
        <n v="4377394" u="1"/>
        <n v="4377395" u="1"/>
        <n v="4377397" u="1"/>
        <n v="4377398" u="1"/>
        <n v="4377400" u="1"/>
        <n v="4377405" u="1"/>
        <n v="4377410" u="1"/>
        <n v="4377419" u="1"/>
        <n v="4377422" u="1"/>
        <n v="4377430" u="1"/>
        <n v="4377439" u="1"/>
        <n v="4377480" u="1"/>
        <n v="4380090" u="1"/>
        <n v="4380091" u="1"/>
        <n v="4376780" u="1"/>
        <n v="4377032" u="1"/>
        <n v="4377581" u="1"/>
        <n v="4377582" u="1"/>
        <n v="4377583" u="1"/>
        <n v="4377584" u="1"/>
        <n v="4377585" u="1"/>
        <n v="4377598" u="1"/>
        <n v="4377602" u="1"/>
        <n v="4377624" u="1"/>
        <n v="4377630" u="1"/>
        <n v="4377795" u="1"/>
        <n v="4375779" u="1"/>
        <n v="4376190" u="1"/>
        <n v="4376209" u="1"/>
        <n v="4376233" u="1"/>
        <n v="4376945" u="1"/>
        <n v="4376950" u="1"/>
        <n v="4376954" u="1"/>
        <n v="4377325" u="1"/>
        <n v="4377326" u="1"/>
        <n v="4377327" u="1"/>
        <n v="4377328" u="1"/>
        <n v="4377337" u="1"/>
        <n v="4377340" u="1"/>
        <n v="4377369" u="1"/>
        <n v="4377378" u="1"/>
        <n v="4377381" u="1"/>
        <n v="4377412" u="1"/>
        <n v="4377420" u="1"/>
        <n v="4377441" u="1"/>
        <n v="4377457" u="1"/>
        <n v="4377477" u="1"/>
        <n v="4377603" u="1"/>
        <n v="4377605" u="1"/>
        <n v="4379915" u="1"/>
        <n v="4376213" u="1"/>
        <n v="4376284" u="1"/>
        <n v="4377335" u="1"/>
        <n v="4377379" u="1"/>
        <n v="4377383" u="1"/>
        <n v="4377403" u="1"/>
        <n v="4377407" u="1"/>
        <n v="4377409" u="1"/>
        <n v="4377417" u="1"/>
        <n v="4377464" u="1"/>
        <n v="4377473" u="1"/>
        <n v="4377475" u="1"/>
        <n v="4377479" u="1"/>
        <n v="4377481" u="1"/>
        <n v="4377482" u="1"/>
        <n v="4377483" u="1"/>
        <n v="4377590" u="1"/>
        <n v="4377591" u="1"/>
        <n v="4377592" u="1"/>
        <n v="4377594" u="1"/>
        <n v="4377595" u="1"/>
        <n v="4377610" u="1"/>
        <n v="4377617" u="1"/>
        <n v="4378407" u="1"/>
        <n v="4375760" u="1"/>
        <n v="4376198" u="1"/>
        <n v="4376234" u="1"/>
        <n v="4376241" u="1"/>
        <n v="4376248" u="1"/>
        <n v="4376261" u="1"/>
        <n v="4376279" u="1"/>
        <n v="4376281" u="1"/>
        <n v="4376283" u="1"/>
        <n v="4376948" u="1"/>
        <n v="4377324" u="1"/>
        <n v="4377336" u="1"/>
        <n v="4377339" u="1"/>
        <n v="4377372" u="1"/>
        <n v="4377377" u="1"/>
        <n v="4377418" u="1"/>
        <n v="4377423" u="1"/>
        <n v="4377429" u="1"/>
        <n v="4377450" u="1"/>
        <n v="4377468" u="1"/>
        <n v="4377476" u="1"/>
        <n v="4377601" u="1"/>
        <n v="4377606" u="1"/>
        <n v="4377612" u="1"/>
        <n v="4377613" u="1"/>
        <n v="4377764" u="1"/>
        <n v="4377771" u="1"/>
        <n v="4377773" u="1"/>
        <n v="4377777" u="1"/>
        <n v="4377781" u="1"/>
        <n v="4377787" u="1"/>
        <n v="4377804" u="1"/>
        <n v="4378129" u="1"/>
        <n v="4376193" u="1"/>
        <n v="4376207" u="1"/>
        <n v="4376225" u="1"/>
        <n v="4376242" u="1"/>
        <n v="4376246" u="1"/>
        <n v="4376264" u="1"/>
        <n v="4376270" u="1"/>
        <n v="4376272" u="1"/>
        <n v="4376274" u="1"/>
        <n v="4376275" u="1"/>
        <n v="4376226" u="1"/>
        <n v="4376232" u="1"/>
        <n v="4376254" u="1"/>
        <n v="4376257" u="1"/>
        <n v="4376259" u="1"/>
        <n v="4376282" u="1"/>
        <n v="4376285" u="1"/>
        <n v="4377587" u="1"/>
        <n v="4377596" u="1"/>
        <n v="4377599" u="1"/>
        <n v="4377600" u="1"/>
        <n v="4377604" u="1"/>
        <n v="4377766" u="1"/>
        <n v="4377793" u="1"/>
        <n v="4376238" u="1"/>
        <n v="4376247" u="1"/>
        <n v="4376249" u="1"/>
        <n v="4376258" u="1"/>
        <n v="4376262" u="1"/>
        <n v="4376266" u="1"/>
        <n v="4376271" u="1"/>
        <n v="4379162" u="1"/>
        <n v="4379865" u="1"/>
        <n v="4377634" u="1"/>
        <n v="4375295" u="1"/>
        <n v="4375296" u="1"/>
        <n v="4376187" u="1"/>
        <n v="4376194" u="1"/>
        <n v="4376204" u="1"/>
        <n v="4376210" u="1"/>
        <n v="4376218" u="1"/>
        <n v="4376221" u="1"/>
        <n v="4376227" u="1"/>
        <n v="4376228" u="1"/>
        <n v="4376229" u="1"/>
        <n v="4376230" u="1"/>
        <n v="4376235" u="1"/>
        <n v="4376237" u="1"/>
        <n v="4376251" u="1"/>
        <n v="4376260" u="1"/>
        <n v="4376268" u="1"/>
        <n v="4376415" u="1"/>
        <n v="4377029" u="1"/>
        <n v="4374673" u="1"/>
        <n v="4374769" u="1"/>
        <n v="4374789" u="1"/>
        <n v="4374799" u="1"/>
        <n v="4374809" u="1"/>
        <n v="4375780" u="1"/>
        <n v="4376183" u="1"/>
        <n v="4376186" u="1"/>
        <n v="4376189" u="1"/>
        <n v="4376192" u="1"/>
        <n v="4376197" u="1"/>
        <n v="4376199" u="1"/>
        <n v="4376200" u="1"/>
        <n v="4376201" u="1"/>
        <n v="4376202" u="1"/>
        <n v="4376206" u="1"/>
        <n v="4376208" u="1"/>
        <n v="4376212" u="1"/>
        <n v="4376214" u="1"/>
        <n v="4376215" u="1"/>
        <n v="4376216" u="1"/>
        <n v="4376222" u="1"/>
        <n v="4376224" u="1"/>
        <n v="4376236" u="1"/>
        <n v="4376239" u="1"/>
        <n v="4376240" u="1"/>
        <n v="4376252" u="1"/>
        <n v="4376255" u="1"/>
        <n v="4376263" u="1"/>
        <n v="4376265" u="1"/>
        <n v="4376267" u="1"/>
        <n v="4376269" u="1"/>
        <n v="4376273" u="1"/>
        <n v="4376276" u="1"/>
        <n v="4376277" u="1"/>
        <n v="4376278" u="1"/>
        <n v="4374670" u="1"/>
        <n v="4374781" u="1"/>
        <n v="4374788" u="1"/>
        <n v="4376181" u="1"/>
        <n v="4376203" u="1"/>
        <n v="4376211" u="1"/>
        <n v="4376223" u="1"/>
        <n v="4376231" u="1"/>
        <n v="4376243" u="1"/>
        <n v="4376256" u="1"/>
        <n v="4377293" u="1"/>
        <n v="4377300" u="1"/>
        <n v="4377797" u="1"/>
        <n v="4378132" u="1"/>
        <n v="4374814" u="1"/>
        <n v="4374817" u="1"/>
        <n v="4374888" u="1"/>
        <n v="4375012" u="1"/>
        <n v="4375015" u="1"/>
        <n v="4375702" u="1"/>
        <n v="4376523" u="1"/>
        <n v="4376524" u="1"/>
        <n v="4376525" u="1"/>
        <n v="4376526" u="1"/>
        <n v="4376527" u="1"/>
        <n v="4376528" u="1"/>
        <n v="4376543" u="1"/>
        <n v="4376544" u="1"/>
        <n v="4376545" u="1"/>
        <n v="4376546" u="1"/>
        <n v="4378634" u="1"/>
        <n v="4374440" u="1"/>
        <n v="4374644" u="1"/>
        <n v="4374674" u="1"/>
        <n v="4374676" u="1"/>
        <n v="4374718" u="1"/>
        <n v="4374720" u="1"/>
        <n v="4374725" u="1"/>
        <n v="4374727" u="1"/>
        <n v="4374730" u="1"/>
        <n v="4374774" u="1"/>
        <n v="4374790" u="1"/>
        <n v="4374793" u="1"/>
        <n v="4374796" u="1"/>
        <n v="4374801" u="1"/>
        <n v="4374806" u="1"/>
        <n v="4376245" u="1"/>
        <n v="4376250" u="1"/>
        <n v="4376253" u="1"/>
        <n v="4377597" u="1"/>
        <n v="4374889" u="1"/>
        <n v="4374890" u="1"/>
        <n v="4374962" u="1"/>
        <n v="4374966" u="1"/>
        <n v="4375011" u="1"/>
        <n v="4375013" u="1"/>
        <n v="4375014" u="1"/>
        <n v="4376547" u="1"/>
        <n v="4376548" u="1"/>
        <n v="4375931" u="1"/>
        <n v="4378214" u="1"/>
        <n v="4378215" u="1"/>
        <n v="4378216" u="1"/>
        <n v="4378217" u="1"/>
        <n v="4374438" u="1"/>
        <n v="4374658" u="1"/>
        <n v="4374702" u="1"/>
        <n v="4374707" u="1"/>
        <n v="4374715" u="1"/>
        <n v="4374728" u="1"/>
        <n v="4377593" u="1"/>
        <n v="4377802" u="1"/>
        <n v="4375113" u="1"/>
        <n v="4378165" u="1"/>
        <n v="4378167" u="1"/>
        <n v="4378168" u="1"/>
        <n v="4378169" u="1"/>
        <n v="4378170" u="1"/>
        <n v="4374682" u="1"/>
        <n v="4374683" u="1"/>
        <n v="4374719" u="1"/>
        <n v="4374735" u="1"/>
        <n v="4374776" u="1"/>
        <n v="4374784" u="1"/>
        <n v="4374786" u="1"/>
        <n v="4374800" u="1"/>
        <n v="4374803" u="1"/>
        <n v="4377633" u="1"/>
        <n v="4377636" u="1"/>
        <n v="4377639" u="1"/>
        <n v="4377745" u="1"/>
        <n v="4377747" u="1"/>
        <n v="4377779" u="1"/>
        <n v="4377789" u="1"/>
        <n v="4376517" u="1"/>
        <n v="4376518" u="1"/>
        <n v="4376520" u="1"/>
        <n v="4376521" u="1"/>
        <n v="4376522" u="1"/>
        <n v="4376609" u="1"/>
        <n v="4374645" u="1"/>
        <n v="4374651" u="1"/>
        <n v="4374656" u="1"/>
        <n v="4374690" u="1"/>
        <n v="4374693" u="1"/>
        <n v="4374805" u="1"/>
        <n v="4378219" u="1"/>
        <n v="4377040" u="1"/>
        <n v="4377626" u="1"/>
        <n v="4377629" u="1"/>
        <n v="4377783" u="1"/>
        <n v="4376519" u="1"/>
        <n v="4376534" u="1"/>
        <n v="4376535" u="1"/>
        <n v="4376536" u="1"/>
        <n v="4376537" u="1"/>
        <n v="4376538" u="1"/>
        <n v="4376539" u="1"/>
        <n v="4376540" u="1"/>
        <n v="4376541" u="1"/>
        <n v="4376542" u="1"/>
        <n v="4376610" u="1"/>
        <n v="4377298" u="1"/>
        <n v="4377769" u="1"/>
        <n v="4377775" u="1"/>
        <n v="4374736" u="1"/>
        <n v="4374782" u="1"/>
        <n v="4374798" u="1"/>
        <n v="4374807" u="1"/>
        <n v="4376244" u="1"/>
        <n v="4377296" u="1"/>
        <n v="4377762" u="1"/>
        <n v="4374689" u="1"/>
        <n v="4374767" u="1"/>
        <n v="4374891" u="1"/>
        <n v="4374892" u="1"/>
        <n v="4375007" u="1"/>
        <n v="4375008" u="1"/>
        <n v="4375009" u="1"/>
        <n v="4375010" u="1"/>
        <n v="4376529" u="1"/>
        <n v="4376530" u="1"/>
        <n v="4376532" u="1"/>
        <n v="4376533" u="1"/>
        <n v="4376550" u="1"/>
        <n v="4376551" u="1"/>
        <n v="4376639" u="1"/>
        <n v="4376640" u="1"/>
        <n v="4376682" u="1"/>
        <n v="4374659" u="1"/>
        <n v="4374660" u="1"/>
        <n v="4374704" u="1"/>
        <n v="4374708" u="1"/>
        <n v="4374709" u="1"/>
        <n v="4374710" u="1"/>
        <n v="4374778" u="1"/>
        <n v="4374780" u="1"/>
        <n v="4377818" u="1"/>
        <n v="4377819" u="1"/>
        <n v="4377820" u="1"/>
        <n v="4371133" u="1"/>
        <n v="4374759" u="1"/>
        <n v="4374761" u="1"/>
        <n v="4374777" u="1"/>
        <n v="4376782" u="1"/>
        <n v="4376877" u="1"/>
        <n v="4376880" u="1"/>
        <n v="4374650" u="1"/>
        <n v="4374677" u="1"/>
        <n v="4374686" u="1"/>
        <n v="4374734" u="1"/>
        <n v="4374743" u="1"/>
        <n v="4374745" u="1"/>
        <n v="4374747" u="1"/>
        <n v="4374750" u="1"/>
        <n v="4374751" u="1"/>
        <n v="4374794" u="1"/>
        <n v="4374795" u="1"/>
        <n v="4374802" u="1"/>
        <n v="4374678" u="1"/>
        <n v="4374694" u="1"/>
        <n v="4373624" u="1"/>
        <n v="4374641" u="1"/>
        <n v="4374669" u="1"/>
        <n v="4374672" u="1"/>
        <n v="4374684" u="1"/>
        <n v="4374717" u="1"/>
        <n v="4374726" u="1"/>
        <n v="4374729" u="1"/>
        <n v="4374732" u="1"/>
        <n v="4374755" u="1"/>
        <n v="4374756" u="1"/>
        <n v="4374757" u="1"/>
        <n v="4374760" u="1"/>
        <n v="4374772" u="1"/>
        <n v="4374785" u="1"/>
        <n v="4374804" u="1"/>
        <n v="4374810" u="1"/>
        <n v="4372972" u="1"/>
        <n v="4374679" u="1"/>
        <n v="4374703" u="1"/>
        <n v="4374722" u="1"/>
        <n v="4374768" u="1"/>
        <n v="4374797" u="1"/>
        <n v="4372478" u="1"/>
        <n v="4372479" u="1"/>
        <n v="4372480" u="1"/>
        <n v="4375380" u="1"/>
        <n v="4372178" u="1"/>
        <n v="4374439" u="1"/>
        <n v="4374661" u="1"/>
        <n v="4374664" u="1"/>
        <n v="4374666" u="1"/>
        <n v="4374671" u="1"/>
        <n v="4374680" u="1"/>
        <n v="4374685" u="1"/>
        <n v="4374697" u="1"/>
        <n v="4374698" u="1"/>
        <n v="4374699" u="1"/>
        <n v="4374701" u="1"/>
        <n v="4374706" u="1"/>
        <n v="4374731" u="1"/>
        <n v="4374741" u="1"/>
        <n v="4374742" u="1"/>
        <n v="4374752" u="1"/>
        <n v="4374753" u="1"/>
        <n v="4374754" u="1"/>
        <n v="4374758" u="1"/>
        <n v="4374762" u="1"/>
        <n v="4374763" u="1"/>
        <n v="4374766" u="1"/>
        <n v="4374770" u="1"/>
        <n v="4374779" u="1"/>
        <n v="4374783" u="1"/>
        <n v="4374808" u="1"/>
        <n v="4372957" u="1"/>
        <n v="4372968" u="1"/>
        <n v="4374642" u="1"/>
        <n v="4374665" u="1"/>
        <n v="4374668" u="1"/>
        <n v="4374696" u="1"/>
        <n v="4374711" u="1"/>
        <n v="4374712" u="1"/>
        <n v="4374716" u="1"/>
        <n v="4374723" u="1"/>
        <n v="4374764" u="1"/>
        <n v="4374765" u="1"/>
        <n v="4374771" u="1"/>
        <n v="4374773" u="1"/>
        <n v="4374775" u="1"/>
        <n v="4374787" u="1"/>
        <n v="4374792" u="1"/>
        <n v="4374413" u="1"/>
        <n v="4374416" u="1"/>
        <n v="4374418" u="1"/>
        <n v="4374901" u="1"/>
        <n v="4375520" u="1"/>
        <n v="4374485" u="1"/>
        <n v="4375220" u="1"/>
        <n v="4375247" u="1"/>
        <n v="4375250" u="1"/>
        <n v="4375595" u="1"/>
        <n v="4375596" u="1"/>
        <n v="4372910" u="1"/>
        <n v="4374422" u="1"/>
        <n v="4374424" u="1"/>
        <n v="4374654" u="1"/>
        <n v="4374657" u="1"/>
        <n v="4374700" u="1"/>
        <n v="4374705" u="1"/>
        <n v="4374724" u="1"/>
        <n v="4374737" u="1"/>
        <n v="4374738" u="1"/>
        <n v="4374739" u="1"/>
        <n v="4374740" u="1"/>
        <n v="4374744" u="1"/>
        <n v="4374746" u="1"/>
        <n v="4374749" u="1"/>
        <n v="4372898" u="1"/>
        <n v="4374643" u="1"/>
        <n v="4374655" u="1"/>
        <n v="4374667" u="1"/>
        <n v="4374733" u="1"/>
        <n v="4375048" u="1"/>
        <n v="4375219" u="1"/>
        <n v="4375241" u="1"/>
        <n v="4375243" u="1"/>
        <n v="4375244" u="1"/>
        <n v="4375246" u="1"/>
        <n v="4375248" u="1"/>
        <n v="4375251" u="1"/>
        <n v="4375253" u="1"/>
        <n v="4373192" u="1"/>
        <n v="4374714" u="1"/>
        <n v="4374484" u="1"/>
        <n v="4375079" u="1"/>
        <n v="4372177" u="1"/>
        <n v="4372180" u="1"/>
        <n v="4372281" u="1"/>
        <n v="4372914" u="1"/>
        <n v="4373012" u="1"/>
        <n v="4374486" u="1"/>
        <n v="4374487" u="1"/>
        <n v="4374488" u="1"/>
        <n v="4374489" u="1"/>
        <n v="4374490" u="1"/>
        <n v="4374491" u="1"/>
        <n v="4375065" u="1"/>
        <n v="4375067" u="1"/>
        <n v="4375069" u="1"/>
        <n v="4375071" u="1"/>
        <n v="4375072" u="1"/>
        <n v="4375074" u="1"/>
        <n v="4375076" u="1"/>
        <n v="4375101" u="1"/>
        <n v="4375103" u="1"/>
        <n v="4375104" u="1"/>
        <n v="4375106" u="1"/>
        <n v="4375242" u="1"/>
        <n v="4375245" u="1"/>
        <n v="4375249" u="1"/>
        <n v="4375252" u="1"/>
        <n v="4375254" u="1"/>
        <n v="4375255" u="1"/>
        <n v="4375256" u="1"/>
        <n v="4375483" u="1"/>
        <n v="4375485" u="1"/>
        <n v="4375021" u="1"/>
        <n v="4375022" u="1"/>
        <n v="4375023" u="1"/>
        <n v="4375024" u="1"/>
        <n v="4375025" u="1"/>
        <n v="4375026" u="1"/>
        <n v="4372952" u="1"/>
        <n v="4374427" u="1"/>
        <n v="4374492" u="1"/>
        <n v="4372882" u="1"/>
        <n v="4372913" u="1"/>
        <n v="4372931" u="1"/>
        <n v="4372974" u="1"/>
        <n v="4374421" u="1"/>
        <n v="4372179" u="1"/>
        <n v="4372867" u="1"/>
        <n v="4373010" u="1"/>
        <n v="4374423" u="1"/>
        <n v="4374425" u="1"/>
        <n v="4374947" u="1"/>
        <n v="4374948" u="1"/>
        <n v="4374419" u="1"/>
        <n v="4371831" u="1"/>
        <n v="4372888" u="1"/>
        <n v="4372893" u="1"/>
        <n v="4372897" u="1"/>
        <n v="4372905" u="1"/>
        <n v="4372908" u="1"/>
        <n v="4372916" u="1"/>
        <n v="4372920" u="1"/>
        <n v="4372925" u="1"/>
        <n v="4372932" u="1"/>
        <n v="4372939" u="1"/>
        <n v="4372960" u="1"/>
        <n v="4372966" u="1"/>
        <n v="4372976" u="1"/>
        <n v="4372978" u="1"/>
        <n v="4372979" u="1"/>
        <n v="4372983" u="1"/>
        <n v="4372987" u="1"/>
        <n v="4372989" u="1"/>
        <n v="4373003" u="1"/>
        <n v="4373006" u="1"/>
        <n v="4373008" u="1"/>
        <n v="4373009" u="1"/>
        <n v="4373015" u="1"/>
        <n v="4373016" u="1"/>
        <n v="4373018" u="1"/>
        <n v="4373196" u="1"/>
        <n v="4374426" u="1"/>
        <n v="4373608" u="1"/>
        <n v="4373645" u="1"/>
        <n v="4373682" u="1"/>
        <n v="4373698" u="1"/>
        <n v="4373700" u="1"/>
        <n v="4373905" u="1"/>
        <n v="4373909" u="1"/>
        <n v="4373911" u="1"/>
        <n v="4374254" u="1"/>
        <n v="4374408" u="1"/>
        <n v="4374414" u="1"/>
        <n v="4372933" u="1"/>
        <n v="4372947" u="1"/>
        <n v="4372953" u="1"/>
        <n v="4372958" u="1"/>
        <n v="4372967" u="1"/>
        <n v="4372977" u="1"/>
        <n v="4373000" u="1"/>
        <n v="4373001" u="1"/>
        <n v="4373014" u="1"/>
        <n v="4373643" u="1"/>
        <n v="4373697" u="1"/>
        <n v="4373699" u="1"/>
        <n v="4373901" u="1"/>
        <n v="4373902" u="1"/>
        <n v="4373903" u="1"/>
        <n v="4373904" u="1"/>
        <n v="4373906" u="1"/>
        <n v="4373907" u="1"/>
        <n v="4373908" u="1"/>
        <n v="4373910" u="1"/>
        <n v="4373912" u="1"/>
        <n v="4373913" u="1"/>
        <n v="4373914" u="1"/>
        <n v="4373915" u="1"/>
        <n v="4373916" u="1"/>
        <n v="4373917" u="1"/>
        <n v="4373918" u="1"/>
        <n v="4373919" u="1"/>
        <n v="4373920" u="1"/>
        <n v="4374482" u="1"/>
        <n v="4374410" u="1"/>
        <n v="4374412" u="1"/>
        <n v="4374420" u="1"/>
        <n v="4374939" u="1"/>
        <n v="4372892" u="1"/>
        <n v="4372896" u="1"/>
        <n v="4372899" u="1"/>
        <n v="4372907" u="1"/>
        <n v="4372930" u="1"/>
        <n v="4372954" u="1"/>
        <n v="4372964" u="1"/>
        <n v="4372980" u="1"/>
        <n v="4372997" u="1"/>
        <n v="4372999" u="1"/>
        <n v="4374721" u="1"/>
        <n v="4374748" u="1"/>
        <n v="4373072" u="1"/>
        <n v="4373508" u="1"/>
        <n v="4373684" u="1"/>
        <n v="4371410" u="1"/>
        <n v="4373175" u="1"/>
        <n v="4373327" u="1"/>
        <n v="4373555" u="1"/>
        <n v="4375464" u="1"/>
        <n v="4372866" u="1"/>
        <n v="4372868" u="1"/>
        <n v="4372870" u="1"/>
        <n v="4372880" u="1"/>
        <n v="4372915" u="1"/>
        <n v="4372919" u="1"/>
        <n v="4372923" u="1"/>
        <n v="4372935" u="1"/>
        <n v="4372937" u="1"/>
        <n v="4372941" u="1"/>
        <n v="4372943" u="1"/>
        <n v="4372965" u="1"/>
        <n v="4372971" u="1"/>
        <n v="4372984" u="1"/>
        <n v="4372986" u="1"/>
        <n v="4372988" u="1"/>
        <n v="4372998" u="1"/>
        <n v="4373002" u="1"/>
        <n v="4373528" u="1"/>
        <n v="4375056" u="1"/>
        <n v="4373650" u="1"/>
        <n v="4374255" u="1"/>
        <n v="4374256" u="1"/>
        <n v="4373224" u="1"/>
        <n v="4373225" u="1"/>
        <n v="4372715" u="1"/>
        <n v="4373388" u="1"/>
        <n v="4372904" u="1"/>
        <n v="4372924" u="1"/>
        <n v="4372938" u="1"/>
        <n v="4372949" u="1"/>
        <n v="4372981" u="1"/>
        <n v="4372982" u="1"/>
        <n v="4372990" u="1"/>
        <n v="4372992" u="1"/>
        <n v="4372993" u="1"/>
        <n v="4373007" u="1"/>
        <n v="4373013" u="1"/>
        <n v="4373017" u="1"/>
        <n v="4370920" u="1"/>
        <n v="4373221" u="1"/>
        <n v="4373226" u="1"/>
        <n v="4373227" u="1"/>
        <n v="4373228" u="1"/>
        <n v="4373229" u="1"/>
        <n v="4373230" u="1"/>
        <n v="4373231" u="1"/>
        <n v="4372912" u="1"/>
        <n v="4372996" u="1"/>
        <n v="4373004" u="1"/>
        <n v="4373005" u="1"/>
        <n v="4373011" u="1"/>
        <n v="4371912" u="1"/>
        <n v="4371964" u="1"/>
        <n v="4371969" u="1"/>
        <n v="4372187" u="1"/>
        <n v="4372312" u="1"/>
        <n v="4372313" u="1"/>
        <n v="4372316" u="1"/>
        <n v="4372334" u="1"/>
        <n v="4372352" u="1"/>
        <n v="4372353" u="1"/>
        <n v="4372354" u="1"/>
        <n v="4372548" u="1"/>
        <n v="4372657" u="1"/>
        <n v="4372658" u="1"/>
        <n v="4373683" u="1"/>
        <n v="4372303" u="1"/>
        <n v="4372372" u="1"/>
        <n v="4372484" u="1"/>
        <n v="4372486" u="1"/>
        <n v="4372487" u="1"/>
        <n v="4371130" u="1"/>
        <n v="4370918" u="1"/>
        <n v="4370919" u="1"/>
        <n v="4373222" u="1"/>
        <n v="4373223" u="1"/>
        <n v="4374014" u="1"/>
        <n v="4374015" u="1"/>
        <n v="4374016" u="1"/>
        <n v="4374017" u="1"/>
        <n v="4374018" u="1"/>
        <n v="4374019" u="1"/>
        <n v="4374020" u="1"/>
        <n v="4374101" u="1"/>
        <n v="4370980" u="1"/>
        <n v="4371301" u="1"/>
        <n v="4371316" u="1"/>
        <n v="4373389" u="1"/>
        <n v="4373390" u="1"/>
        <n v="4371830" u="1"/>
        <n v="4372865" u="1"/>
        <n v="4372869" u="1"/>
        <n v="4372871" u="1"/>
        <n v="4372876" u="1"/>
        <n v="4372879" u="1"/>
        <n v="4372881" u="1"/>
        <n v="4372884" u="1"/>
        <n v="4372885" u="1"/>
        <n v="4372886" u="1"/>
        <n v="4372891" u="1"/>
        <n v="4372895" u="1"/>
        <n v="4372901" u="1"/>
        <n v="4372906" u="1"/>
        <n v="4372909" u="1"/>
        <n v="4372929" u="1"/>
        <n v="4372934" u="1"/>
        <n v="4372945" u="1"/>
        <n v="4372946" u="1"/>
        <n v="4372948" u="1"/>
        <n v="4372955" u="1"/>
        <n v="4372956" u="1"/>
        <n v="4372959" u="1"/>
        <n v="4372969" u="1"/>
        <n v="4372970" u="1"/>
        <n v="4372985" u="1"/>
        <n v="4372991" u="1"/>
        <n v="4372994" u="1"/>
        <n v="4372995" u="1"/>
        <n v="4373197" u="1"/>
        <n v="4371355" u="1"/>
        <n v="4371406" u="1"/>
        <n v="4372483" u="1"/>
        <n v="4370758" u="1"/>
        <n v="4372887" u="1"/>
        <n v="4372911" u="1"/>
        <n v="4372926" u="1"/>
        <n v="4372936" u="1"/>
        <n v="4372950" u="1"/>
        <n v="4372963" u="1"/>
        <n v="4372462" u="1"/>
        <n v="4372463" u="1"/>
        <n v="4372464" u="1"/>
        <n v="4372465" u="1"/>
        <n v="4372466" u="1"/>
        <n v="4372485" u="1"/>
        <n v="4372491" u="1"/>
        <n v="4372492" u="1"/>
        <n v="4372493" u="1"/>
        <n v="4372494" u="1"/>
        <n v="4372495" u="1"/>
        <n v="4369864" u="1"/>
        <n v="4369952" u="1"/>
        <n v="4371037" u="1"/>
        <n v="4371038" u="1"/>
        <n v="4371204" u="1"/>
        <n v="4371208" u="1"/>
        <n v="4371222" u="1"/>
        <n v="4371234" u="1"/>
        <n v="4371236" u="1"/>
        <n v="4371258" u="1"/>
        <n v="4371801" u="1"/>
        <n v="4371828" u="1"/>
        <n v="4371829" u="1"/>
        <n v="4371832" u="1"/>
        <n v="4372875" u="1"/>
        <n v="4372894" u="1"/>
        <n v="4372944" u="1"/>
        <n v="4372961" u="1"/>
        <n v="4372962" u="1"/>
        <n v="4371913" u="1"/>
        <n v="4371914" u="1"/>
        <n v="4371915" u="1"/>
        <n v="4371916" u="1"/>
        <n v="4371962" u="1"/>
        <n v="4371968" u="1"/>
        <n v="4372088" u="1"/>
        <n v="4372093" u="1"/>
        <n v="4372185" u="1"/>
        <n v="4372314" u="1"/>
        <n v="4372351" u="1"/>
        <n v="4372423" u="1"/>
        <n v="4372547" u="1"/>
        <n v="4372549" u="1"/>
        <n v="4372550" u="1"/>
        <n v="4372551" u="1"/>
        <n v="4372370" u="1"/>
        <n v="4372476" u="1"/>
        <n v="4372482" u="1"/>
        <n v="4371136" u="1"/>
        <n v="4372105" u="1"/>
        <n v="4369867" u="1"/>
        <n v="4369885" u="1"/>
        <n v="4369918" u="1"/>
        <n v="4371031" u="1"/>
        <n v="4371209" u="1"/>
        <n v="4371210" u="1"/>
        <n v="4371229" u="1"/>
        <n v="4371232" u="1"/>
        <n v="4371259" u="1"/>
        <n v="4372883" u="1"/>
        <n v="4372900" u="1"/>
        <n v="4372940" u="1"/>
        <n v="4372942" u="1"/>
        <n v="4372973" u="1"/>
        <n v="4372975" u="1"/>
        <n v="4370709" u="1"/>
        <n v="4370711" u="1"/>
        <n v="4370764" u="1"/>
        <n v="4371297" u="1"/>
        <n v="4371298" u="1"/>
        <n v="4371747" u="1"/>
        <n v="4371917" u="1"/>
        <n v="4371920" u="1"/>
        <n v="4371966" u="1"/>
        <n v="4371967" u="1"/>
        <n v="4371970" u="1"/>
        <n v="4371978" u="1"/>
        <n v="4371979" u="1"/>
        <n v="4372083" u="1"/>
        <n v="4372084" u="1"/>
        <n v="4372085" u="1"/>
        <n v="4372086" u="1"/>
        <n v="4372087" u="1"/>
        <n v="4372089" u="1"/>
        <n v="4372090" u="1"/>
        <n v="4372094" u="1"/>
        <n v="4372095" u="1"/>
        <n v="4372096" u="1"/>
        <n v="4372098" u="1"/>
        <n v="4372099" u="1"/>
        <n v="4372102" u="1"/>
        <n v="4372103" u="1"/>
        <n v="4372167" u="1"/>
        <n v="4372546" u="1"/>
        <n v="4372302" u="1"/>
        <n v="4372304" u="1"/>
        <n v="4372305" u="1"/>
        <n v="4372306" u="1"/>
        <n v="4372307" u="1"/>
        <n v="4372308" u="1"/>
        <n v="4372309" u="1"/>
        <n v="4372371" u="1"/>
        <n v="4372373" u="1"/>
        <n v="4372374" u="1"/>
        <n v="4372376" u="1"/>
        <n v="4372377" u="1"/>
        <n v="4372379" u="1"/>
        <n v="4372380" u="1"/>
        <n v="4372461" u="1"/>
        <n v="4372469" u="1"/>
        <n v="4372470" u="1"/>
        <n v="4372475" u="1"/>
        <n v="4372477" u="1"/>
        <n v="4372481" u="1"/>
        <n v="4372488" u="1"/>
        <n v="4372489" u="1"/>
        <n v="4372490" u="1"/>
        <n v="4372496" u="1"/>
        <n v="4372497" u="1"/>
        <n v="4372498" u="1"/>
        <n v="4371131" u="1"/>
        <n v="4370626" u="1"/>
        <n v="4371032" u="1"/>
        <n v="4371207" u="1"/>
        <n v="4371212" u="1"/>
        <n v="4371214" u="1"/>
        <n v="4371218" u="1"/>
        <n v="4371225" u="1"/>
        <n v="4371226" u="1"/>
        <n v="4371227" u="1"/>
        <n v="4371228" u="1"/>
        <n v="4371231" u="1"/>
        <n v="4371233" u="1"/>
        <n v="4371237" u="1"/>
        <n v="4371238" u="1"/>
        <n v="4371239" u="1"/>
        <n v="4371242" u="1"/>
        <n v="4371243" u="1"/>
        <n v="4371244" u="1"/>
        <n v="4371245" u="1"/>
        <n v="4371246" u="1"/>
        <n v="4371248" u="1"/>
        <n v="4371249" u="1"/>
        <n v="4371251" u="1"/>
        <n v="4371252" u="1"/>
        <n v="4371253" u="1"/>
        <n v="4371254" u="1"/>
        <n v="4371296" u="1"/>
        <n v="4371540" u="1"/>
        <n v="4371745" u="1"/>
        <n v="4371749" u="1"/>
        <n v="4371752" u="1"/>
        <n v="4371755" u="1"/>
        <n v="4371756" u="1"/>
        <n v="4371758" u="1"/>
        <n v="4371761" u="1"/>
        <n v="4371764" u="1"/>
        <n v="4371767" u="1"/>
        <n v="4371770" u="1"/>
        <n v="4371773" u="1"/>
        <n v="4371774" u="1"/>
        <n v="4371776" u="1"/>
        <n v="4371980" u="1"/>
        <n v="4372081" u="1"/>
        <n v="4372091" u="1"/>
        <n v="4372092" u="1"/>
        <n v="4372097" u="1"/>
        <n v="4372100" u="1"/>
        <n v="4372101" u="1"/>
        <n v="4372104" u="1"/>
        <n v="4372148" u="1"/>
        <n v="4372315" u="1"/>
        <n v="4372061" u="1"/>
        <n v="4372375" u="1"/>
        <n v="4370906" u="1"/>
        <n v="4370908" u="1"/>
        <n v="4370909" u="1"/>
        <n v="4370910" u="1"/>
        <n v="4371134" u="1"/>
        <n v="4371302" u="1"/>
        <n v="4371303" u="1"/>
        <n v="4371304" u="1"/>
        <n v="4371305" u="1"/>
        <n v="4371312" u="1"/>
        <n v="4369836" u="1"/>
        <n v="4369863" u="1"/>
        <n v="4369904" u="1"/>
        <n v="4369955" u="1"/>
        <n v="4371033" u="1"/>
        <n v="4371203" u="1"/>
        <n v="4371211" u="1"/>
        <n v="4371219" u="1"/>
        <n v="4371223" u="1"/>
        <n v="4371235" u="1"/>
        <n v="4371240" u="1"/>
        <n v="4371241" u="1"/>
        <n v="4371247" u="1"/>
        <n v="4371250" u="1"/>
        <n v="4373502" u="1"/>
        <n v="4370194" u="1"/>
        <n v="4370195" u="1"/>
        <n v="4370196" u="1"/>
        <n v="4370228" u="1"/>
        <n v="4370239" u="1"/>
        <n v="4370240" u="1"/>
        <n v="4370241" u="1"/>
        <n v="4370255" u="1"/>
        <n v="4370257" u="1"/>
        <n v="4370258" u="1"/>
        <n v="4370260" u="1"/>
        <n v="4370261" u="1"/>
        <n v="4370264" u="1"/>
        <n v="4370270" u="1"/>
        <n v="4370271" u="1"/>
        <n v="4370312" u="1"/>
        <n v="4370418" u="1"/>
        <n v="4370515" u="1"/>
        <n v="4370517" u="1"/>
        <n v="4370519" u="1"/>
        <n v="4370576" u="1"/>
        <n v="4370577" u="1"/>
        <n v="4370578" u="1"/>
        <n v="4370579" u="1"/>
        <n v="4370580" u="1"/>
        <n v="4370701" u="1"/>
        <n v="4370702" u="1"/>
        <n v="4370705" u="1"/>
        <n v="4370707" u="1"/>
        <n v="4370754" u="1"/>
        <n v="4370761" u="1"/>
        <n v="4370762" u="1"/>
        <n v="4370763" u="1"/>
        <n v="4370765" u="1"/>
        <n v="4370766" u="1"/>
        <n v="4370767" u="1"/>
        <n v="4370768" u="1"/>
        <n v="4370769" u="1"/>
        <n v="4370770" u="1"/>
        <n v="4370771" u="1"/>
        <n v="4370772" u="1"/>
        <n v="4370773" u="1"/>
        <n v="4370774" u="1"/>
        <n v="4370775" u="1"/>
        <n v="4370776" u="1"/>
        <n v="4370926" u="1"/>
        <n v="4371537" u="1"/>
        <n v="4371539" u="1"/>
        <n v="4371742" u="1"/>
        <n v="4371743" u="1"/>
        <n v="4371746" u="1"/>
        <n v="4371750" u="1"/>
        <n v="4371753" u="1"/>
        <n v="4371759" u="1"/>
        <n v="4371762" u="1"/>
        <n v="4371765" u="1"/>
        <n v="4371768" u="1"/>
        <n v="4371771" u="1"/>
        <n v="4371790" u="1"/>
        <n v="4371910" u="1"/>
        <n v="4371918" u="1"/>
        <n v="4371919" u="1"/>
        <n v="4371961" u="1"/>
        <n v="4371963" u="1"/>
        <n v="4371965" u="1"/>
        <n v="4372072" u="1"/>
        <n v="4372082" u="1"/>
        <n v="4369480" u="1"/>
        <n v="4371379" u="1"/>
        <n v="4371401" u="1"/>
        <n v="4371402" u="1"/>
        <n v="4371403" u="1"/>
        <n v="4371404" u="1"/>
        <n v="4371405" u="1"/>
        <n v="4371407" u="1"/>
        <n v="4371408" u="1"/>
        <n v="4371409" u="1"/>
        <n v="4371411" u="1"/>
        <n v="4371546" u="1"/>
        <n v="4371547" u="1"/>
        <n v="4371844" u="1"/>
        <n v="4371845" u="1"/>
        <n v="4371846" u="1"/>
        <n v="4371847" u="1"/>
        <n v="4371848" u="1"/>
        <n v="4371849" u="1"/>
        <n v="4371850" u="1"/>
        <n v="4371851" u="1"/>
        <n v="4371852" u="1"/>
        <n v="4371884" u="1"/>
        <n v="4371885" u="1"/>
        <n v="4371886" u="1"/>
        <n v="4371887" u="1"/>
        <n v="4371888" u="1"/>
        <n v="4371889" u="1"/>
        <n v="4371890" u="1"/>
        <n v="4372378" u="1"/>
        <n v="4372467" u="1"/>
        <n v="4372468" u="1"/>
        <n v="4372471" u="1"/>
        <n v="4372472" u="1"/>
        <n v="4372473" u="1"/>
        <n v="4372474" u="1"/>
        <n v="4368788" u="1"/>
        <n v="4368789" u="1"/>
        <n v="4368790" u="1"/>
        <n v="4368791" u="1"/>
        <n v="4368792" u="1"/>
        <n v="4368793" u="1"/>
        <n v="4370756" u="1"/>
        <n v="4370907" u="1"/>
        <n v="4371132" u="1"/>
        <n v="4371135" u="1"/>
        <n v="4370176" u="1"/>
        <n v="4370178" u="1"/>
        <n v="4370179" u="1"/>
        <n v="4372202" u="1"/>
        <n v="4372203" u="1"/>
        <n v="4369598" u="1"/>
        <n v="4369600" u="1"/>
        <n v="4369821" u="1"/>
        <n v="4369824" u="1"/>
        <n v="4369827" u="1"/>
        <n v="4369828" u="1"/>
        <n v="4369831" u="1"/>
        <n v="4369833" u="1"/>
        <n v="4369834" u="1"/>
        <n v="4369835" u="1"/>
        <n v="4369839" u="1"/>
        <n v="4369845" u="1"/>
        <n v="4369847" u="1"/>
        <n v="4369849" u="1"/>
        <n v="4369851" u="1"/>
        <n v="4369856" u="1"/>
        <n v="4369859" u="1"/>
        <n v="4369866" u="1"/>
        <n v="4369868" u="1"/>
        <n v="4369871" u="1"/>
        <n v="4369884" u="1"/>
        <n v="4369889" u="1"/>
        <n v="4369896" u="1"/>
        <n v="4369897" u="1"/>
        <n v="4369900" u="1"/>
        <n v="4369908" u="1"/>
        <n v="4369909" u="1"/>
        <n v="4369911" u="1"/>
        <n v="4369913" u="1"/>
        <n v="4369917" u="1"/>
        <n v="4369923" u="1"/>
        <n v="4369924" u="1"/>
        <n v="4369925" u="1"/>
        <n v="4369932" u="1"/>
        <n v="4369939" u="1"/>
        <n v="4369944" u="1"/>
        <n v="4369945" u="1"/>
        <n v="4369946" u="1"/>
        <n v="4369950" u="1"/>
        <n v="4369954" u="1"/>
        <n v="4369668" u="1"/>
        <n v="4371034" u="1"/>
        <n v="4371036" u="1"/>
        <n v="4371039" u="1"/>
        <n v="4371040" u="1"/>
        <n v="4371201" u="1"/>
        <n v="4371202" u="1"/>
        <n v="4371205" u="1"/>
        <n v="4371206" u="1"/>
        <n v="4371213" u="1"/>
        <n v="4371215" u="1"/>
        <n v="4371216" u="1"/>
        <n v="4371217" u="1"/>
        <n v="4371220" u="1"/>
        <n v="4371221" u="1"/>
        <n v="4371224" u="1"/>
        <n v="4371230" u="1"/>
        <n v="4371255" u="1"/>
        <n v="4371256" u="1"/>
        <n v="4371257" u="1"/>
        <n v="4371260" u="1"/>
        <n v="4369044" u="1"/>
        <n v="4369825" u="1"/>
        <n v="4369840" u="1"/>
        <n v="4369850" u="1"/>
        <n v="4369852" u="1"/>
        <n v="4369860" u="1"/>
        <n v="4369862" u="1"/>
        <n v="4369872" u="1"/>
        <n v="4369883" u="1"/>
        <n v="4369886" u="1"/>
        <n v="4369895" u="1"/>
        <n v="4369899" u="1"/>
        <n v="4369902" u="1"/>
        <n v="4369905" u="1"/>
        <n v="4369907" u="1"/>
        <n v="4369930" u="1"/>
        <n v="4369936" u="1"/>
        <n v="4369942" u="1"/>
        <n v="4369949" u="1"/>
        <n v="4370198" u="1"/>
        <n v="4370278" u="1"/>
        <n v="4370279" u="1"/>
        <n v="4370283" u="1"/>
        <n v="4370287" u="1"/>
        <n v="4370292" u="1"/>
        <n v="4367609" u="1"/>
        <n v="4367864" u="1"/>
        <n v="4368856" u="1"/>
        <n v="4369438" u="1"/>
        <n v="4369461" u="1"/>
        <n v="4369887" u="1"/>
        <n v="4369914" u="1"/>
        <n v="4369929" u="1"/>
        <n v="4369947" u="1"/>
        <n v="4371417" u="1"/>
        <n v="4367251" u="1"/>
        <n v="4370197" u="1"/>
        <n v="4370226" u="1"/>
        <n v="4370229" u="1"/>
        <n v="4370230" u="1"/>
        <n v="4370231" u="1"/>
        <n v="4370232" u="1"/>
        <n v="4370233" u="1"/>
        <n v="4370234" u="1"/>
        <n v="4370235" u="1"/>
        <n v="4370236" u="1"/>
        <n v="4370237" u="1"/>
        <n v="4370238" u="1"/>
        <n v="4370242" u="1"/>
        <n v="4370243" u="1"/>
        <n v="4370244" u="1"/>
        <n v="4370245" u="1"/>
        <n v="4370248" u="1"/>
        <n v="4370250" u="1"/>
        <n v="4370251" u="1"/>
        <n v="4370252" u="1"/>
        <n v="4370253" u="1"/>
        <n v="4370254" u="1"/>
        <n v="4370256" u="1"/>
        <n v="4370259" u="1"/>
        <n v="4370262" u="1"/>
        <n v="4370263" u="1"/>
        <n v="4370265" u="1"/>
        <n v="4370266" u="1"/>
        <n v="4370268" u="1"/>
        <n v="4370272" u="1"/>
        <n v="4370273" u="1"/>
        <n v="4370276" u="1"/>
        <n v="4370290" u="1"/>
        <n v="4370291" u="1"/>
        <n v="4370293" u="1"/>
        <n v="4370296" u="1"/>
        <n v="4370298" u="1"/>
        <n v="4370299" u="1"/>
        <n v="4370301" u="1"/>
        <n v="4370302" u="1"/>
        <n v="4370303" u="1"/>
        <n v="4370306" u="1"/>
        <n v="4370307" u="1"/>
        <n v="4370308" u="1"/>
        <n v="4370311" u="1"/>
        <n v="4368776" u="1"/>
        <n v="4368172" u="1"/>
        <n v="4368202" u="1"/>
        <n v="4368220" u="1"/>
        <n v="4369838" u="1"/>
        <n v="4369857" u="1"/>
        <n v="4369861" u="1"/>
        <n v="4369878" u="1"/>
        <n v="4369881" u="1"/>
        <n v="4369891" u="1"/>
        <n v="4369894" u="1"/>
        <n v="4369903" u="1"/>
        <n v="4369916" u="1"/>
        <n v="4369919" u="1"/>
        <n v="4369920" u="1"/>
        <n v="4369922" u="1"/>
        <n v="4369928" u="1"/>
        <n v="4369931" u="1"/>
        <n v="4369937" u="1"/>
        <n v="4369938" u="1"/>
        <n v="4369940" u="1"/>
        <n v="4369941" u="1"/>
        <n v="4369948" u="1"/>
        <n v="4369953" u="1"/>
        <n v="4371416" u="1"/>
        <n v="4370199" u="1"/>
        <n v="4370200" u="1"/>
        <n v="4370222" u="1"/>
        <n v="4370224" u="1"/>
        <n v="4370225" u="1"/>
        <n v="4370227" u="1"/>
        <n v="4370246" u="1"/>
        <n v="4370247" u="1"/>
        <n v="4370249" u="1"/>
        <n v="4370267" u="1"/>
        <n v="4370269" u="1"/>
        <n v="4370275" u="1"/>
        <n v="4370280" u="1"/>
        <n v="4370281" u="1"/>
        <n v="4370282" u="1"/>
        <n v="4370284" u="1"/>
        <n v="4370285" u="1"/>
        <n v="4370286" u="1"/>
        <n v="4370288" u="1"/>
        <n v="4370289" u="1"/>
        <n v="4370294" u="1"/>
        <n v="4370295" u="1"/>
        <n v="4370297" u="1"/>
        <n v="4370300" u="1"/>
        <n v="4370304" u="1"/>
        <n v="4370305" u="1"/>
        <n v="4370309" u="1"/>
        <n v="4370310" u="1"/>
        <n v="4370313" u="1"/>
        <n v="4368822" u="1"/>
        <n v="4367660" u="1"/>
        <n v="4368142" u="1"/>
        <n v="4369043" u="1"/>
        <n v="4369910" u="1"/>
        <n v="4369915" u="1"/>
        <n v="4369921" u="1"/>
        <n v="4369927" u="1"/>
        <n v="4369933" u="1"/>
        <n v="4369934" u="1"/>
        <n v="4369935" u="1"/>
        <n v="4370210" u="1"/>
        <n v="4370422" u="1"/>
        <n v="4367987" u="1"/>
        <n v="4367996" u="1"/>
        <n v="4368818" u="1"/>
        <n v="4369005" u="1"/>
        <n v="4368170" u="1"/>
        <n v="4368174" u="1"/>
        <n v="4368218" u="1"/>
        <n v="4368222" u="1"/>
        <n v="4369599" u="1"/>
        <n v="4369844" u="1"/>
        <n v="4369876" u="1"/>
        <n v="4369877" u="1"/>
        <n v="4369880" u="1"/>
        <n v="4369882" u="1"/>
        <n v="4369888" u="1"/>
        <n v="4369890" u="1"/>
        <n v="4369892" u="1"/>
        <n v="4369893" u="1"/>
        <n v="4369898" u="1"/>
        <n v="4369906" u="1"/>
        <n v="4369951" u="1"/>
        <n v="4370420" u="1"/>
        <n v="4367209" u="1"/>
        <n v="4368027" u="1"/>
        <n v="4368587" u="1"/>
        <n v="4368591" u="1"/>
        <n v="4368595" u="1"/>
        <n v="4368181" u="1"/>
        <n v="4368247" u="1"/>
        <n v="4369858" u="1"/>
        <n v="4369875" u="1"/>
        <n v="4369912" u="1"/>
        <n v="4369926" u="1"/>
        <n v="4369943" u="1"/>
        <n v="4371139" u="1"/>
        <n v="4371140" u="1"/>
        <n v="4370434" u="1"/>
        <n v="4366060" u="1"/>
        <n v="4367986" u="1"/>
        <n v="4368829" u="1"/>
        <n v="4369956" u="1"/>
        <n v="4370424" u="1"/>
        <n v="4370431" u="1"/>
        <n v="4370433" u="1"/>
        <n v="4368716" u="1"/>
        <n v="4369822" u="1"/>
        <n v="4369823" u="1"/>
        <n v="4369837" u="1"/>
        <n v="4369843" u="1"/>
        <n v="4369855" u="1"/>
        <n v="4369865" u="1"/>
        <n v="4370209" u="1"/>
        <n v="4370411" u="1"/>
        <n v="4370413" u="1"/>
        <n v="4370416" u="1"/>
        <n v="4370417" u="1"/>
        <n v="4370421" u="1"/>
        <n v="4370426" u="1"/>
        <n v="4367988" u="1"/>
        <n v="4368825" u="1"/>
        <n v="4368830" u="1"/>
        <n v="4368831" u="1"/>
        <n v="4369001" u="1"/>
        <n v="4369002" u="1"/>
        <n v="4369004" u="1"/>
        <n v="4368152" u="1"/>
        <n v="4368173" u="1"/>
        <n v="4368213" u="1"/>
        <n v="4368223" u="1"/>
        <n v="4368250" u="1"/>
        <n v="4369832" u="1"/>
        <n v="4370410" u="1"/>
        <n v="4370415" u="1"/>
        <n v="4370425" u="1"/>
        <n v="4370427" u="1"/>
        <n v="4370429" u="1"/>
        <n v="4369476" u="1"/>
        <n v="4368167" u="1"/>
        <n v="4368203" u="1"/>
        <n v="4368206" u="1"/>
        <n v="4368216" u="1"/>
        <n v="4369848" u="1"/>
        <n v="4369477" u="1"/>
        <n v="4369478" u="1"/>
        <n v="4369479" u="1"/>
        <n v="4370655" u="1"/>
        <n v="4368211" u="1"/>
        <n v="4369667" u="1"/>
        <n v="4370656" u="1"/>
        <n v="4370658" u="1"/>
        <n v="4367261" u="1"/>
        <n v="4368151" u="1"/>
        <n v="4368182" u="1"/>
        <n v="4368238" u="1"/>
        <n v="4368251" u="1"/>
        <n v="4367084" u="1"/>
        <n v="4367174" u="1"/>
        <n v="4367175" u="1"/>
        <n v="4367541" u="1"/>
        <n v="4367542" u="1"/>
        <n v="4367544" u="1"/>
        <n v="4368689" u="1"/>
        <n v="4368774" u="1"/>
        <n v="4368775" u="1"/>
        <n v="4368777" u="1"/>
        <n v="4368778" u="1"/>
        <n v="4368779" u="1"/>
        <n v="4368780" u="1"/>
        <n v="4368834" u="1"/>
        <n v="4368881" u="1"/>
        <n v="4368882" u="1"/>
        <n v="4368884" u="1"/>
        <n v="4368885" u="1"/>
        <n v="4368886" u="1"/>
        <n v="4368887" u="1"/>
        <n v="4368951" u="1"/>
        <n v="4368953" u="1"/>
        <n v="4368954" u="1"/>
        <n v="4368955" u="1"/>
        <n v="4368957" u="1"/>
        <n v="4368958" u="1"/>
        <n v="4368961" u="1"/>
        <n v="4368962" u="1"/>
        <n v="4368965" u="1"/>
        <n v="4368966" u="1"/>
        <n v="4369045" u="1"/>
        <n v="4369048" u="1"/>
        <n v="4369063" u="1"/>
        <n v="4369064" u="1"/>
        <n v="4369065" u="1"/>
        <n v="4369066" u="1"/>
        <n v="4369068" u="1"/>
        <n v="4369071" u="1"/>
        <n v="4369072" u="1"/>
        <n v="4369073" u="1"/>
        <n v="4369074" u="1"/>
        <n v="4369081" u="1"/>
        <n v="4369082" u="1"/>
        <n v="4369096" u="1"/>
        <n v="4369219" u="1"/>
        <n v="4369220" u="1"/>
        <n v="4369221" u="1"/>
        <n v="4369224" u="1"/>
        <n v="4369226" u="1"/>
        <n v="4369227" u="1"/>
        <n v="4369228" u="1"/>
        <n v="4369232" u="1"/>
        <n v="4370645" u="1"/>
        <n v="4370654" u="1"/>
        <n v="4370657" u="1"/>
        <n v="4367200" u="1"/>
        <n v="4367658" u="1"/>
        <n v="4367659" u="1"/>
        <n v="4368141" u="1"/>
        <n v="4368143" u="1"/>
        <n v="4368145" u="1"/>
        <n v="4368147" u="1"/>
        <n v="4368149" u="1"/>
        <n v="4368150" u="1"/>
        <n v="4368153" u="1"/>
        <n v="4368154" u="1"/>
        <n v="4368156" u="1"/>
        <n v="4368157" u="1"/>
        <n v="4368158" u="1"/>
        <n v="4368159" u="1"/>
        <n v="4368160" u="1"/>
        <n v="4368162" u="1"/>
        <n v="4368164" u="1"/>
        <n v="4368166" u="1"/>
        <n v="4368168" u="1"/>
        <n v="4368169" u="1"/>
        <n v="4368171" u="1"/>
        <n v="4368175" u="1"/>
        <n v="4368176" u="1"/>
        <n v="4368178" u="1"/>
        <n v="4368180" u="1"/>
        <n v="4368183" u="1"/>
        <n v="4368185" u="1"/>
        <n v="4368186" u="1"/>
        <n v="4368187" u="1"/>
        <n v="4368189" u="1"/>
        <n v="4368191" u="1"/>
        <n v="4368193" u="1"/>
        <n v="4368196" u="1"/>
        <n v="4368197" u="1"/>
        <n v="4368199" u="1"/>
        <n v="4368204" u="1"/>
        <n v="4368207" u="1"/>
        <n v="4368210" u="1"/>
        <n v="4368212" u="1"/>
        <n v="4368217" u="1"/>
        <n v="4368224" u="1"/>
        <n v="4368225" u="1"/>
        <n v="4368226" u="1"/>
        <n v="4368227" u="1"/>
        <n v="4368228" u="1"/>
        <n v="4368229" u="1"/>
        <n v="4368230" u="1"/>
        <n v="4368231" u="1"/>
        <n v="4368232" u="1"/>
        <n v="4368233" u="1"/>
        <n v="4368234" u="1"/>
        <n v="4368235" u="1"/>
        <n v="4368237" u="1"/>
        <n v="4368239" u="1"/>
        <n v="4368240" u="1"/>
        <n v="4368242" u="1"/>
        <n v="4368434" u="1"/>
        <n v="4370522" u="1"/>
        <n v="4370523" u="1"/>
        <n v="4370524" u="1"/>
        <n v="4365789" u="1"/>
        <n v="4365797" u="1"/>
        <n v="4366826" u="1"/>
        <n v="4366868" u="1"/>
        <n v="4366876" u="1"/>
        <n v="4368184" u="1"/>
        <n v="4368205" u="1"/>
        <n v="4368221" u="1"/>
        <n v="4368243" u="1"/>
        <n v="4368253" u="1"/>
        <n v="4369425" u="1"/>
        <n v="4369427" u="1"/>
        <n v="4366054" u="1"/>
        <n v="4366055" u="1"/>
        <n v="4366056" u="1"/>
        <n v="4366057" u="1"/>
        <n v="4369288" u="1"/>
        <n v="4368805" u="1"/>
        <n v="4366831" u="1"/>
        <n v="4366847" u="1"/>
        <n v="4366851" u="1"/>
        <n v="4366866" u="1"/>
        <n v="4368192" u="1"/>
        <n v="4368200" u="1"/>
        <n v="4367848" u="1"/>
        <n v="4367849" u="1"/>
        <n v="4369033" u="1"/>
        <n v="4369426" u="1"/>
        <n v="4369428" u="1"/>
        <n v="4369429" u="1"/>
        <n v="4369434" u="1"/>
        <n v="4369435" u="1"/>
        <n v="4370414" u="1"/>
        <n v="4370419" u="1"/>
        <n v="4370423" u="1"/>
        <n v="4370428" u="1"/>
        <n v="4370430" u="1"/>
        <n v="4370432" u="1"/>
        <n v="4370435" u="1"/>
        <n v="4369054" u="1"/>
        <n v="4369059" u="1"/>
        <n v="4369060" u="1"/>
        <n v="4366053" u="1"/>
        <n v="4366058" u="1"/>
        <n v="4366059" u="1"/>
        <n v="4368861" u="1"/>
        <n v="4368862" u="1"/>
        <n v="4368725" u="1"/>
        <n v="4368726" u="1"/>
        <n v="4368728" u="1"/>
        <n v="4370174" u="1"/>
        <n v="4366802" u="1"/>
        <n v="4366891" u="1"/>
        <n v="4367185" u="1"/>
        <n v="4368188" u="1"/>
        <n v="4368194" u="1"/>
        <n v="4368195" u="1"/>
        <n v="4368198" u="1"/>
        <n v="4368209" u="1"/>
        <n v="4368214" u="1"/>
        <n v="4368219" u="1"/>
        <n v="4368252" u="1"/>
        <n v="4370119" u="1"/>
        <n v="4366096" u="1"/>
        <n v="4367525" u="1"/>
        <n v="4367533" u="1"/>
        <n v="4368883" u="1"/>
        <n v="4368888" u="1"/>
        <n v="4368889" u="1"/>
        <n v="4368890" u="1"/>
        <n v="4368950" u="1"/>
        <n v="4368956" u="1"/>
        <n v="4368960" u="1"/>
        <n v="4368964" u="1"/>
        <n v="4369051" u="1"/>
        <n v="4369053" u="1"/>
        <n v="4369055" u="1"/>
        <n v="4369056" u="1"/>
        <n v="4369057" u="1"/>
        <n v="4369058" u="1"/>
        <n v="4369061" u="1"/>
        <n v="4369067" u="1"/>
        <n v="4369069" u="1"/>
        <n v="4369070" u="1"/>
        <n v="4369075" u="1"/>
        <n v="4369077" u="1"/>
        <n v="4369079" u="1"/>
        <n v="4369080" u="1"/>
        <n v="4369083" u="1"/>
        <n v="4369084" u="1"/>
        <n v="4369229" u="1"/>
        <n v="4365060" u="1"/>
        <n v="4368787" u="1"/>
        <n v="4367224" u="1"/>
        <n v="4367352" u="1"/>
        <n v="4367353" u="1"/>
        <n v="4367412" u="1"/>
        <n v="4365765" u="1"/>
        <n v="4366947" u="1"/>
        <n v="4368155" u="1"/>
        <n v="4368161" u="1"/>
        <n v="4368190" u="1"/>
        <n v="4368201" u="1"/>
        <n v="4368215" u="1"/>
        <n v="4368241" u="1"/>
        <n v="4368131" u="1"/>
        <n v="4367515" u="1"/>
        <n v="4367522" u="1"/>
        <n v="4367524" u="1"/>
        <n v="4368610" u="1"/>
        <n v="4368952" u="1"/>
        <n v="4368959" u="1"/>
        <n v="4368963" u="1"/>
        <n v="4368983" u="1"/>
        <n v="4368984" u="1"/>
        <n v="4369046" u="1"/>
        <n v="4369047" u="1"/>
        <n v="4369049" u="1"/>
        <n v="4369050" u="1"/>
        <n v="4369052" u="1"/>
        <n v="4369062" u="1"/>
        <n v="4369076" u="1"/>
        <n v="4369078" u="1"/>
        <n v="4369097" u="1"/>
        <n v="4369233" u="1"/>
        <n v="4367436" u="1"/>
        <n v="4365798" u="1"/>
        <n v="4365799" u="1"/>
        <n v="4365800" u="1"/>
        <n v="4366181" u="1"/>
        <n v="4366878" u="1"/>
        <n v="4366892" u="1"/>
        <n v="4366898" u="1"/>
        <n v="4368163" u="1"/>
        <n v="4368246" u="1"/>
        <n v="4368248" u="1"/>
        <n v="4368132" u="1"/>
        <n v="4367513" u="1"/>
        <n v="4367514" u="1"/>
        <n v="4367516" u="1"/>
        <n v="4367518" u="1"/>
        <n v="4367519" u="1"/>
        <n v="4367520" u="1"/>
        <n v="4367521" u="1"/>
        <n v="4367523" u="1"/>
        <n v="4367526" u="1"/>
        <n v="4367527" u="1"/>
        <n v="4367528" u="1"/>
        <n v="4367529" u="1"/>
        <n v="4367530" u="1"/>
        <n v="4367532" u="1"/>
        <n v="4367534" u="1"/>
        <n v="4367535" u="1"/>
        <n v="4367543" u="1"/>
        <n v="4369085" u="1"/>
        <n v="4369086" u="1"/>
        <n v="4369087" u="1"/>
        <n v="4369088" u="1"/>
        <n v="4369089" u="1"/>
        <n v="4369090" u="1"/>
        <n v="4369091" u="1"/>
        <n v="4369092" u="1"/>
        <n v="4369093" u="1"/>
        <n v="4369094" u="1"/>
        <n v="4369095" u="1"/>
        <n v="4369098" u="1"/>
        <n v="4369099" u="1"/>
        <n v="4369222" u="1"/>
        <n v="4369223" u="1"/>
        <n v="4369225" u="1"/>
        <n v="4369230" u="1"/>
        <n v="4365805" u="1"/>
        <n v="4365820" u="1"/>
        <n v="4366110" u="1"/>
        <n v="4366930" u="1"/>
        <n v="4366932" u="1"/>
        <n v="4368208" u="1"/>
        <n v="4368236" u="1"/>
        <n v="4368244" u="1"/>
        <n v="4368245" u="1"/>
        <n v="4368249" u="1"/>
        <n v="4367517" u="1"/>
        <n v="4367531" u="1"/>
        <n v="4367373" u="1"/>
        <n v="4367375" u="1"/>
        <n v="4367490" u="1"/>
        <n v="4368447" u="1"/>
        <n v="4369024" u="1"/>
        <n v="4369430" u="1"/>
        <n v="4369431" u="1"/>
        <n v="4369432" u="1"/>
        <n v="4369433" u="1"/>
        <n v="4366872" u="1"/>
        <n v="4367510" u="1"/>
        <n v="4367539" u="1"/>
        <n v="4367540" u="1"/>
        <n v="4367420" u="1"/>
        <n v="4367437" u="1"/>
        <n v="4367438" u="1"/>
        <n v="4368283" u="1"/>
        <n v="4368287" u="1"/>
        <n v="4368299" u="1"/>
        <n v="4366810" u="1"/>
        <n v="4366845" u="1"/>
        <n v="4366874" u="1"/>
        <n v="4366902" u="1"/>
        <n v="4366917" u="1"/>
        <n v="4366937" u="1"/>
        <n v="4366940" u="1"/>
        <n v="4366951" u="1"/>
        <n v="4368025" u="1"/>
        <n v="4369031" u="1"/>
        <n v="4367439" u="1"/>
        <n v="4367440" u="1"/>
        <n v="4367661" u="1"/>
        <n v="4368282" u="1"/>
        <n v="4368284" u="1"/>
        <n v="4368285" u="1"/>
        <n v="4368286" u="1"/>
        <n v="4368288" u="1"/>
        <n v="4368289" u="1"/>
        <n v="4366481" u="1"/>
        <n v="4366484" u="1"/>
        <n v="4366817" u="1"/>
        <n v="4366893" u="1"/>
        <n v="4366899" u="1"/>
        <n v="4366923" u="1"/>
        <n v="4368133" u="1"/>
        <n v="4367418" u="1"/>
        <n v="4367419" u="1"/>
        <n v="4368281" u="1"/>
        <n v="4368290" u="1"/>
        <n v="4368291" u="1"/>
        <n v="4368292" u="1"/>
        <n v="4368293" u="1"/>
        <n v="4368294" u="1"/>
        <n v="4368295" u="1"/>
        <n v="4368296" u="1"/>
        <n v="4368297" u="1"/>
        <n v="4368298" u="1"/>
        <n v="4368300" u="1"/>
        <n v="4366882" u="1"/>
        <n v="4366894" u="1"/>
        <n v="4366906" u="1"/>
        <n v="4366979" u="1"/>
        <n v="4366065" u="1"/>
        <n v="4366066" u="1"/>
        <n v="4366067" u="1"/>
        <n v="4365236" u="1"/>
        <n v="4365744" u="1"/>
        <n v="4365746" u="1"/>
        <n v="4366255" u="1"/>
        <n v="4366258" u="1"/>
        <n v="4366806" u="1"/>
        <n v="4366811" u="1"/>
        <n v="4366819" u="1"/>
        <n v="4366838" u="1"/>
        <n v="4366870" u="1"/>
        <n v="4366884" u="1"/>
        <n v="4366890" u="1"/>
        <n v="4366904" u="1"/>
        <n v="4366905" u="1"/>
        <n v="4366920" u="1"/>
        <n v="4366924" u="1"/>
        <n v="4366931" u="1"/>
        <n v="4366935" u="1"/>
        <n v="4366939" u="1"/>
        <n v="4366941" u="1"/>
        <n v="4366943" u="1"/>
        <n v="4366945" u="1"/>
        <n v="4366946" u="1"/>
        <n v="4366949" u="1"/>
        <n v="4367183" u="1"/>
        <n v="4366092" u="1"/>
        <n v="4366093" u="1"/>
        <n v="4366094" u="1"/>
        <n v="4366107" u="1"/>
        <n v="4366108" u="1"/>
        <n v="4366469" u="1"/>
        <n v="4366475" u="1"/>
        <n v="4366478" u="1"/>
        <n v="4366525" u="1"/>
        <n v="4367176" u="1"/>
        <n v="4367177" u="1"/>
        <n v="4367178" u="1"/>
        <n v="4367179" u="1"/>
        <n v="4367180" u="1"/>
        <n v="4367181" u="1"/>
        <n v="4367214" u="1"/>
        <n v="4367508" u="1"/>
        <n v="4367509" u="1"/>
        <n v="4365054" u="1"/>
        <n v="4365055" u="1"/>
        <n v="4365056" u="1"/>
        <n v="4365057" u="1"/>
        <n v="4365058" u="1"/>
        <n v="4365059" u="1"/>
        <n v="4366061" u="1"/>
        <n v="4366062" u="1"/>
        <n v="4366063" u="1"/>
        <n v="4366064" u="1"/>
        <n v="4365795" u="1"/>
        <n v="4366809" u="1"/>
        <n v="4366823" u="1"/>
        <n v="4366885" u="1"/>
        <n v="4366907" u="1"/>
        <n v="4366908" u="1"/>
        <n v="4366909" u="1"/>
        <n v="4366910" u="1"/>
        <n v="4366911" u="1"/>
        <n v="4366912" u="1"/>
        <n v="4366913" u="1"/>
        <n v="4366914" u="1"/>
        <n v="4366915" u="1"/>
        <n v="4366916" u="1"/>
        <n v="4367182" u="1"/>
        <n v="4367186" u="1"/>
        <n v="4367195" u="1"/>
        <n v="4365634" u="1"/>
        <n v="4365635" u="1"/>
        <n v="4366091" u="1"/>
        <n v="4366095" u="1"/>
        <n v="4366097" u="1"/>
        <n v="4366098" u="1"/>
        <n v="4366248" u="1"/>
        <n v="4366465" u="1"/>
        <n v="4366466" u="1"/>
        <n v="4366467" u="1"/>
        <n v="4366468" u="1"/>
        <n v="4366470" u="1"/>
        <n v="4366471" u="1"/>
        <n v="4366472" u="1"/>
        <n v="4366473" u="1"/>
        <n v="4366474" u="1"/>
        <n v="4366476" u="1"/>
        <n v="4366477" u="1"/>
        <n v="4366479" u="1"/>
        <n v="4366480" u="1"/>
        <n v="4366510" u="1"/>
        <n v="4366517" u="1"/>
        <n v="4366519" u="1"/>
        <n v="4366521" u="1"/>
        <n v="4366522" u="1"/>
        <n v="4366523" u="1"/>
        <n v="4366524" u="1"/>
        <n v="4366526" u="1"/>
        <n v="4366527" u="1"/>
        <n v="4366528" u="1"/>
        <n v="4366529" u="1"/>
        <n v="4366530" u="1"/>
        <n v="4366531" u="1"/>
        <n v="4366533" u="1"/>
        <n v="4366534" u="1"/>
        <n v="4366535" u="1"/>
        <n v="4366536" u="1"/>
        <n v="4366537" u="1"/>
        <n v="4366964" u="1"/>
        <n v="4367820" u="1"/>
        <n v="4364733" u="1"/>
        <n v="4365279" u="1"/>
        <n v="4365321" u="1"/>
        <n v="4364880" u="1"/>
        <n v="4365743" u="1"/>
        <n v="4365745" u="1"/>
        <n v="4365747" u="1"/>
        <n v="4365766" u="1"/>
        <n v="4365769" u="1"/>
        <n v="4365815" u="1"/>
        <n v="4365818" u="1"/>
        <n v="4366147" u="1"/>
        <n v="4366256" u="1"/>
        <n v="4366800" u="1"/>
        <n v="4366804" u="1"/>
        <n v="4366827" u="1"/>
        <n v="4366829" u="1"/>
        <n v="4366854" u="1"/>
        <n v="4366859" u="1"/>
        <n v="4366862" u="1"/>
        <n v="4366863" u="1"/>
        <n v="4366864" u="1"/>
        <n v="4366880" u="1"/>
        <n v="4366901" u="1"/>
        <n v="4366903" u="1"/>
        <n v="4366919" u="1"/>
        <n v="4366938" u="1"/>
        <n v="4366948" u="1"/>
        <n v="4366219" u="1"/>
        <n v="4366259" u="1"/>
        <n v="4366972" u="1"/>
        <n v="4366973" u="1"/>
        <n v="4366983" u="1"/>
        <n v="4366984" u="1"/>
        <n v="4366985" u="1"/>
        <n v="4366986" u="1"/>
        <n v="4366987" u="1"/>
        <n v="4366990" u="1"/>
        <n v="4366991" u="1"/>
        <n v="4367006" u="1"/>
        <n v="4367325" u="1"/>
        <n v="4367414" u="1"/>
        <n v="4365053" u="1"/>
        <n v="4366801" u="1"/>
        <n v="4366805" u="1"/>
        <n v="4366815" u="1"/>
        <n v="4366816" u="1"/>
        <n v="4366818" u="1"/>
        <n v="4366822" u="1"/>
        <n v="4366830" u="1"/>
        <n v="4366835" u="1"/>
        <n v="4366843" u="1"/>
        <n v="4366846" u="1"/>
        <n v="4366850" u="1"/>
        <n v="4366869" u="1"/>
        <n v="4366871" u="1"/>
        <n v="4366875" u="1"/>
        <n v="4366881" u="1"/>
        <n v="4366887" u="1"/>
        <n v="4366897" u="1"/>
        <n v="4366926" u="1"/>
        <n v="4366927" u="1"/>
        <n v="4366929" u="1"/>
        <n v="4366934" u="1"/>
        <n v="4366950" u="1"/>
        <n v="4366518" u="1"/>
        <n v="4366975" u="1"/>
        <n v="4366976" u="1"/>
        <n v="4366977" u="1"/>
        <n v="4366978" u="1"/>
        <n v="4367761" u="1"/>
        <n v="4367762" u="1"/>
        <n v="4367763" u="1"/>
        <n v="4367764" u="1"/>
        <n v="4367765" u="1"/>
        <n v="4367767" u="1"/>
        <n v="4367768" u="1"/>
        <n v="4365694" u="1"/>
        <n v="4365696" u="1"/>
        <n v="4365796" u="1"/>
        <n v="4365265" u="1"/>
        <n v="4365456" u="1"/>
        <n v="4365457" u="1"/>
        <n v="4365460" u="1"/>
        <n v="4366036" u="1"/>
        <n v="4366824" u="1"/>
        <n v="4366836" u="1"/>
        <n v="4366855" u="1"/>
        <n v="4366921" u="1"/>
        <n v="4368126" u="1"/>
        <n v="4368127" u="1"/>
        <n v="4368128" u="1"/>
        <n v="4368129" u="1"/>
        <n v="4367282" u="1"/>
        <n v="4367310" u="1"/>
        <n v="4365695" u="1"/>
        <n v="4365697" u="1"/>
        <n v="4365249" u="1"/>
        <n v="4365250" u="1"/>
        <n v="4365301" u="1"/>
        <n v="4365311" u="1"/>
        <n v="4365331" u="1"/>
        <n v="4366038" u="1"/>
        <n v="4366040" u="1"/>
        <n v="4366262" u="1"/>
        <n v="4366799" u="1"/>
        <n v="4366803" u="1"/>
        <n v="4366814" u="1"/>
        <n v="4366825" u="1"/>
        <n v="4366828" u="1"/>
        <n v="4366837" u="1"/>
        <n v="4366840" u="1"/>
        <n v="4366858" u="1"/>
        <n v="4366861" u="1"/>
        <n v="4366877" u="1"/>
        <n v="4366883" u="1"/>
        <n v="4366889" u="1"/>
        <n v="4366896" u="1"/>
        <n v="4366922" u="1"/>
        <n v="4366928" u="1"/>
        <n v="4366933" u="1"/>
        <n v="4368139" u="1"/>
        <n v="4365748" u="1"/>
        <n v="4365749" u="1"/>
        <n v="4365760" u="1"/>
        <n v="4365817" u="1"/>
        <n v="4366102" u="1"/>
        <n v="4366103" u="1"/>
        <n v="4366207" u="1"/>
        <n v="4366238" u="1"/>
        <n v="4366239" u="1"/>
        <n v="4366240" u="1"/>
        <n v="4366970" u="1"/>
        <n v="4366971" u="1"/>
        <n v="4366988" u="1"/>
        <n v="4367000" u="1"/>
        <n v="4367001" u="1"/>
        <n v="4367286" u="1"/>
        <n v="4367303" u="1"/>
        <n v="4367305" u="1"/>
        <n v="4367307" u="1"/>
        <n v="4367311" u="1"/>
        <n v="4367324" u="1"/>
        <n v="4367326" u="1"/>
        <n v="4367409" u="1"/>
        <n v="4367411" u="1"/>
        <n v="4364587" u="1"/>
        <n v="4366155" u="1"/>
        <n v="4365239" u="1"/>
        <n v="4365304" u="1"/>
        <n v="4366037" u="1"/>
        <n v="4366263" u="1"/>
        <n v="4366839" u="1"/>
        <n v="4366842" u="1"/>
        <n v="4368581" u="1"/>
        <n v="4368583" u="1"/>
        <n v="4365207" u="1"/>
        <n v="4366099" u="1"/>
        <n v="4366100" u="1"/>
        <n v="4366101" u="1"/>
        <n v="4366109" u="1"/>
        <n v="4366511" u="1"/>
        <n v="4366514" u="1"/>
        <n v="4366962" u="1"/>
        <n v="4366965" u="1"/>
        <n v="4366974" u="1"/>
        <n v="4366981" u="1"/>
        <n v="4366996" u="1"/>
        <n v="4366999" u="1"/>
        <n v="4365225" u="1"/>
        <n v="4365237" u="1"/>
        <n v="4365319" u="1"/>
        <n v="4365320" u="1"/>
        <n v="4365459" u="1"/>
        <n v="4366888" u="1"/>
        <n v="4366220" u="1"/>
        <n v="4366512" u="1"/>
        <n v="4366513" u="1"/>
        <n v="4366515" u="1"/>
        <n v="4366516" u="1"/>
        <n v="4366520" u="1"/>
        <n v="4366961" u="1"/>
        <n v="4366963" u="1"/>
        <n v="4366966" u="1"/>
        <n v="4366967" u="1"/>
        <n v="4366989" u="1"/>
        <n v="4366992" u="1"/>
        <n v="4366993" u="1"/>
        <n v="4366994" u="1"/>
        <n v="4366995" u="1"/>
        <n v="4367289" u="1"/>
        <n v="4367290" u="1"/>
        <n v="4367291" u="1"/>
        <n v="4367292" u="1"/>
        <n v="4367293" u="1"/>
        <n v="4367294" u="1"/>
        <n v="4367295" u="1"/>
        <n v="4367296" u="1"/>
        <n v="4367306" u="1"/>
        <n v="4367308" u="1"/>
        <n v="4367309" u="1"/>
        <n v="4367312" u="1"/>
        <n v="4367374" u="1"/>
        <n v="4365880" u="1"/>
        <n v="4365883" u="1"/>
        <n v="4365884" u="1"/>
        <n v="4365885" u="1"/>
        <n v="4365886" u="1"/>
        <n v="4365887" u="1"/>
        <n v="4365888" u="1"/>
        <n v="4365889" u="1"/>
        <n v="4365891" u="1"/>
        <n v="4365896" u="1"/>
        <n v="4365897" u="1"/>
        <n v="4365898" u="1"/>
        <n v="4365899" u="1"/>
        <n v="4365900" u="1"/>
        <n v="4365901" u="1"/>
        <n v="4365903" u="1"/>
        <n v="4365904" u="1"/>
        <n v="4365905" u="1"/>
        <n v="4365906" u="1"/>
        <n v="4365907" u="1"/>
        <n v="4365908" u="1"/>
        <n v="4365932" u="1"/>
        <n v="4365934" u="1"/>
        <n v="4365990" u="1"/>
        <n v="4365993" u="1"/>
        <n v="4365997" u="1"/>
        <n v="4367974" u="1"/>
        <n v="4367975" u="1"/>
        <n v="4367976" u="1"/>
        <n v="4366420" u="1"/>
        <n v="4366434" u="1"/>
        <n v="4366435" u="1"/>
        <n v="4366436" u="1"/>
        <n v="4366437" u="1"/>
        <n v="4366438" u="1"/>
        <n v="4366439" u="1"/>
        <n v="4366440" u="1"/>
        <n v="4366561" u="1"/>
        <n v="4364076" u="1"/>
        <n v="4364077" u="1"/>
        <n v="4364078" u="1"/>
        <n v="4365227" u="1"/>
        <n v="4365230" u="1"/>
        <n v="4365238" u="1"/>
        <n v="4365242" u="1"/>
        <n v="4365246" u="1"/>
        <n v="4365247" u="1"/>
        <n v="4365255" u="1"/>
        <n v="4365257" u="1"/>
        <n v="4365284" u="1"/>
        <n v="4365303" u="1"/>
        <n v="4365308" u="1"/>
        <n v="4366834" u="1"/>
        <n v="4366844" u="1"/>
        <n v="4366860" u="1"/>
        <n v="4366865" u="1"/>
        <n v="4366867" u="1"/>
        <n v="4366873" u="1"/>
        <n v="4366886" u="1"/>
        <n v="4366918" u="1"/>
        <n v="4366925" u="1"/>
        <n v="4366936" u="1"/>
        <n v="4365890" u="1"/>
        <n v="4365902" u="1"/>
        <n v="4365909" u="1"/>
        <n v="4365910" u="1"/>
        <n v="4365911" u="1"/>
        <n v="4365912" u="1"/>
        <n v="4365913" u="1"/>
        <n v="4365914" u="1"/>
        <n v="4365928" u="1"/>
        <n v="4365935" u="1"/>
        <n v="4365936" u="1"/>
        <n v="4365937" u="1"/>
        <n v="4365939" u="1"/>
        <n v="4365940" u="1"/>
        <n v="4365942" u="1"/>
        <n v="4365943" u="1"/>
        <n v="4365944" u="1"/>
        <n v="4365945" u="1"/>
        <n v="4365946" u="1"/>
        <n v="4365947" u="1"/>
        <n v="4365994" u="1"/>
        <n v="4365995" u="1"/>
        <n v="4365996" u="1"/>
        <n v="4365999" u="1"/>
        <n v="4366000" u="1"/>
        <n v="4366001" u="1"/>
        <n v="4365241" u="1"/>
        <n v="4365272" u="1"/>
        <n v="4365283" u="1"/>
        <n v="4365306" u="1"/>
        <n v="4365312" u="1"/>
        <n v="4365926" u="1"/>
        <n v="4365938" u="1"/>
        <n v="4365941" u="1"/>
        <n v="4364039" u="1"/>
        <n v="4364061" u="1"/>
        <n v="4365245" u="1"/>
        <n v="4365253" u="1"/>
        <n v="4365273" u="1"/>
        <n v="4365226" u="1"/>
        <n v="4364533" u="1"/>
        <n v="4364534" u="1"/>
        <n v="4364535" u="1"/>
        <n v="4364585" u="1"/>
        <n v="4364586" u="1"/>
        <n v="4364588" u="1"/>
        <n v="4364589" u="1"/>
        <n v="4364590" u="1"/>
        <n v="4364597" u="1"/>
        <n v="4364598" u="1"/>
        <n v="4364599" u="1"/>
        <n v="4364600" u="1"/>
        <n v="4364661" u="1"/>
        <n v="4364662" u="1"/>
        <n v="4364704" u="1"/>
        <n v="4364705" u="1"/>
        <n v="4364706" u="1"/>
        <n v="4364757" u="1"/>
        <n v="4364758" u="1"/>
        <n v="4364759" u="1"/>
        <n v="4364830" u="1"/>
        <n v="4364831" u="1"/>
        <n v="4364832" u="1"/>
        <n v="4364080" u="1"/>
        <n v="4365256" u="1"/>
        <n v="4365288" u="1"/>
        <n v="4365295" u="1"/>
        <n v="4365302" u="1"/>
        <n v="4365327" u="1"/>
        <n v="4365338" u="1"/>
        <n v="4365881" u="1"/>
        <n v="4365882" u="1"/>
        <n v="4365892" u="1"/>
        <n v="4364512" u="1"/>
        <n v="4364513" u="1"/>
        <n v="4364514" u="1"/>
        <n v="4364515" u="1"/>
        <n v="4364516" u="1"/>
        <n v="4364517" u="1"/>
        <n v="4364591" u="1"/>
        <n v="4364592" u="1"/>
        <n v="4364593" u="1"/>
        <n v="4364663" u="1"/>
        <n v="4364664" u="1"/>
        <n v="4364665" u="1"/>
        <n v="4364669" u="1"/>
        <n v="4364670" u="1"/>
        <n v="4364671" u="1"/>
        <n v="4364672" u="1"/>
        <n v="4364673" u="1"/>
        <n v="4364674" u="1"/>
        <n v="4364707" u="1"/>
        <n v="4364708" u="1"/>
        <n v="4364709" u="1"/>
        <n v="4364713" u="1"/>
        <n v="4364714" u="1"/>
        <n v="4364715" u="1"/>
        <n v="4364716" u="1"/>
        <n v="4364717" u="1"/>
        <n v="4364718" u="1"/>
        <n v="4364809" u="1"/>
        <n v="4364810" u="1"/>
        <n v="4364811" u="1"/>
        <n v="4364815" u="1"/>
        <n v="4364816" u="1"/>
        <n v="4364817" u="1"/>
        <n v="4364824" u="1"/>
        <n v="4364825" u="1"/>
        <n v="4364826" u="1"/>
        <n v="4364729" u="1"/>
        <n v="4365248" u="1"/>
        <n v="4365254" u="1"/>
        <n v="4365258" u="1"/>
        <n v="4365314" u="1"/>
        <n v="4365315" u="1"/>
        <n v="4365322" u="1"/>
        <n v="4365330" u="1"/>
        <n v="4365337" u="1"/>
        <n v="4366997" u="1"/>
        <n v="4367336" u="1"/>
        <n v="4367613" u="1"/>
        <n v="4364651" u="1"/>
        <n v="4365758" u="1"/>
        <n v="4365877" u="1"/>
        <n v="4365878" u="1"/>
        <n v="4365879" u="1"/>
        <n v="4365893" u="1"/>
        <n v="4365894" u="1"/>
        <n v="4365895" u="1"/>
        <n v="4365915" u="1"/>
        <n v="4365927" u="1"/>
        <n v="4365933" u="1"/>
        <n v="4365989" u="1"/>
        <n v="4365991" u="1"/>
        <n v="4365992" u="1"/>
        <n v="4365998" u="1"/>
        <n v="4366010" u="1"/>
        <n v="4364017" u="1"/>
        <n v="4364018" u="1"/>
        <n v="4364019" u="1"/>
        <n v="4364503" u="1"/>
        <n v="4364504" u="1"/>
        <n v="4364505" u="1"/>
        <n v="4364594" u="1"/>
        <n v="4364595" u="1"/>
        <n v="4364596" u="1"/>
        <n v="4364666" u="1"/>
        <n v="4364667" u="1"/>
        <n v="4364668" u="1"/>
        <n v="4364742" u="1"/>
        <n v="4364743" u="1"/>
        <n v="4364744" u="1"/>
        <n v="4364745" u="1"/>
        <n v="4364746" u="1"/>
        <n v="4364747" u="1"/>
        <n v="4364751" u="1"/>
        <n v="4364752" u="1"/>
        <n v="4364753" u="1"/>
        <n v="4364760" u="1"/>
        <n v="4364801" u="1"/>
        <n v="4364802" u="1"/>
        <n v="4364804" u="1"/>
        <n v="4364805" u="1"/>
        <n v="4364827" u="1"/>
        <n v="4364828" u="1"/>
        <n v="4364829" u="1"/>
        <n v="4364833" u="1"/>
        <n v="4364834" u="1"/>
        <n v="4364835" u="1"/>
        <n v="4364836" u="1"/>
        <n v="4364837" u="1"/>
        <n v="4364838" u="1"/>
        <n v="4364897" u="1"/>
        <n v="4364898" u="1"/>
        <n v="4364899" u="1"/>
        <n v="4365229" u="1"/>
        <n v="4365274" u="1"/>
        <n v="4365277" u="1"/>
        <n v="4365293" u="1"/>
        <n v="4365307" u="1"/>
        <n v="4365328" u="1"/>
        <n v="4365335" u="1"/>
        <n v="4365458" u="1"/>
        <n v="4367552" u="1"/>
        <n v="4366116" u="1"/>
        <n v="4366117" u="1"/>
        <n v="4366998" u="1"/>
        <n v="4365916" u="1"/>
        <n v="4365925" u="1"/>
        <n v="4365930" u="1"/>
        <n v="4363980" u="1"/>
        <n v="4364143" u="1"/>
        <n v="4364536" u="1"/>
        <n v="4364537" u="1"/>
        <n v="4364538" u="1"/>
        <n v="4364675" u="1"/>
        <n v="4364676" u="1"/>
        <n v="4364677" u="1"/>
        <n v="4364678" u="1"/>
        <n v="4364679" u="1"/>
        <n v="4364680" u="1"/>
        <n v="4364701" u="1"/>
        <n v="4364702" u="1"/>
        <n v="4364703" u="1"/>
        <n v="4364710" u="1"/>
        <n v="4364711" u="1"/>
        <n v="4364712" u="1"/>
        <n v="4364719" u="1"/>
        <n v="4364720" u="1"/>
        <n v="4364741" u="1"/>
        <n v="4364748" u="1"/>
        <n v="4364749" u="1"/>
        <n v="4364750" u="1"/>
        <n v="4364803" u="1"/>
        <n v="4364818" u="1"/>
        <n v="4364819" u="1"/>
        <n v="4364820" u="1"/>
        <n v="4364728" u="1"/>
        <n v="4364732" u="1"/>
        <n v="4364734" u="1"/>
        <n v="4364735" u="1"/>
        <n v="4364786" u="1"/>
        <n v="4364787" u="1"/>
        <n v="4364789" u="1"/>
        <n v="4364790" u="1"/>
        <n v="4365223" u="1"/>
        <n v="4365276" u="1"/>
        <n v="4365278" u="1"/>
        <n v="4365281" u="1"/>
        <n v="4365289" u="1"/>
        <n v="4365290" u="1"/>
        <n v="4365292" u="1"/>
        <n v="4365294" u="1"/>
        <n v="4365299" u="1"/>
        <n v="4365309" u="1"/>
        <n v="4364800" u="1"/>
        <n v="4366153" u="1"/>
        <n v="4366157" u="1"/>
        <n v="4365921" u="1"/>
        <n v="4365923" u="1"/>
        <n v="4365924" u="1"/>
        <n v="4365929" u="1"/>
        <n v="4365931" u="1"/>
        <n v="4365987" u="1"/>
        <n v="4365988" u="1"/>
        <n v="4364171" u="1"/>
        <n v="4364731" u="1"/>
        <n v="4365232" u="1"/>
        <n v="4365305" u="1"/>
        <n v="4365318" u="1"/>
        <n v="4365792" u="1"/>
        <n v="4366083" u="1"/>
        <n v="4366085" u="1"/>
        <n v="4366088" u="1"/>
        <n v="4366089" u="1"/>
        <n v="4365917" u="1"/>
        <n v="4365918" u="1"/>
        <n v="4365919" u="1"/>
        <n v="4365920" u="1"/>
        <n v="4365922" u="1"/>
        <n v="4364754" u="1"/>
        <n v="4364755" u="1"/>
        <n v="4364756" u="1"/>
        <n v="4364812" u="1"/>
        <n v="4364813" u="1"/>
        <n v="4364814" u="1"/>
        <n v="4364839" u="1"/>
        <n v="4364840" u="1"/>
        <n v="4364881" u="1"/>
        <n v="4364891" u="1"/>
        <n v="4364892" u="1"/>
        <n v="4364893" u="1"/>
        <n v="4365240" u="1"/>
        <n v="4365291" u="1"/>
        <n v="4365300" u="1"/>
        <n v="4366084" u="1"/>
        <n v="4366086" u="1"/>
        <n v="4366087" u="1"/>
        <n v="4366090" u="1"/>
        <n v="4366158" u="1"/>
        <n v="4366159" u="1"/>
        <n v="4366968" u="1"/>
        <n v="4366969" u="1"/>
        <n v="4366982" u="1"/>
        <n v="4367002" u="1"/>
        <n v="4367003" u="1"/>
        <n v="4367004" u="1"/>
        <n v="4367005" u="1"/>
        <n v="4364730" u="1"/>
        <n v="4365224" u="1"/>
        <n v="4365228" u="1"/>
        <n v="4365266" u="1"/>
        <n v="4365287" u="1"/>
        <n v="4365310" u="1"/>
        <n v="4366942" u="1"/>
        <n v="4366944" u="1"/>
        <n v="4364739" u="1"/>
        <n v="4364740" u="1"/>
        <n v="4365262" u="1"/>
        <n v="4365280" u="1"/>
        <n v="4365296" u="1"/>
        <n v="4365313" u="1"/>
        <n v="4364506" u="1"/>
        <n v="4364507" u="1"/>
        <n v="4364508" u="1"/>
        <n v="4364509" u="1"/>
        <n v="4364510" u="1"/>
        <n v="4364511" u="1"/>
        <n v="4364518" u="1"/>
        <n v="4364519" u="1"/>
        <n v="4364520" u="1"/>
        <n v="4364524" u="1"/>
        <n v="4364525" u="1"/>
        <n v="4364526" u="1"/>
        <n v="4364527" u="1"/>
        <n v="4364528" u="1"/>
        <n v="4364529" u="1"/>
        <n v="4364539" u="1"/>
        <n v="4364540" u="1"/>
        <n v="4364581" u="1"/>
        <n v="4364584" u="1"/>
        <n v="4364888" u="1"/>
        <n v="4364889" u="1"/>
        <n v="4364890" u="1"/>
        <n v="4364894" u="1"/>
        <n v="4364895" u="1"/>
        <n v="4364896" u="1"/>
        <n v="4365231" u="1"/>
        <n v="4365251" u="1"/>
        <n v="4365261" u="1"/>
        <n v="4365267" u="1"/>
        <n v="4365270" u="1"/>
        <n v="4365271" u="1"/>
        <n v="4365285" u="1"/>
        <n v="4365286" u="1"/>
        <n v="4365298" u="1"/>
        <n v="4365339" u="1"/>
        <n v="4363979" u="1"/>
        <n v="4364521" u="1"/>
        <n v="4364522" u="1"/>
        <n v="4364523" u="1"/>
        <n v="4364530" u="1"/>
        <n v="4364531" u="1"/>
        <n v="4364532" u="1"/>
        <n v="4364582" u="1"/>
        <n v="4364583" u="1"/>
        <n v="4364806" u="1"/>
        <n v="4364807" u="1"/>
        <n v="4364808" u="1"/>
        <n v="4364821" u="1"/>
        <n v="4364822" u="1"/>
        <n v="4364823" u="1"/>
        <n v="4364882" u="1"/>
        <n v="4364883" u="1"/>
        <n v="4364884" u="1"/>
        <n v="4364156" u="1"/>
        <n v="4364157" u="1"/>
        <n v="4364173" u="1"/>
        <n v="4365235" u="1"/>
        <n v="4365252" u="1"/>
        <n v="4365268" u="1"/>
        <n v="4365275" u="1"/>
        <n v="4365282" u="1"/>
        <n v="4365297" u="1"/>
        <n v="4365316" u="1"/>
        <n v="4365317" u="1"/>
        <n v="4365323" u="1"/>
        <n v="4365324" u="1"/>
        <n v="4365325" u="1"/>
        <n v="4365326" u="1"/>
        <n v="4365329" u="1"/>
        <n v="4365332" u="1"/>
        <n v="4365333" u="1"/>
        <n v="4365334" u="1"/>
        <n v="4365336" u="1"/>
        <n v="4365340" u="1"/>
        <n v="4365341" u="1"/>
        <n v="4362629" u="1"/>
        <n v="4363741" u="1"/>
        <n v="4363819" u="1"/>
        <n v="4363828" u="1"/>
        <n v="4363830" u="1"/>
        <n v="4363836" u="1"/>
        <n v="4363837" u="1"/>
        <n v="4363855" u="1"/>
        <n v="4363863" u="1"/>
        <n v="4363884" u="1"/>
        <n v="4363885" u="1"/>
        <n v="4363897" u="1"/>
        <n v="4363928" u="1"/>
        <n v="4363944" u="1"/>
        <n v="4364571" u="1"/>
        <n v="4364572" u="1"/>
        <n v="4364640" u="1"/>
        <n v="4364643" u="1"/>
        <n v="4363818" u="1"/>
        <n v="4363825" u="1"/>
        <n v="4363854" u="1"/>
        <n v="4363862" u="1"/>
        <n v="4363864" u="1"/>
        <n v="4364569" u="1"/>
        <n v="4364570" u="1"/>
        <n v="4364573" u="1"/>
        <n v="4364575" u="1"/>
        <n v="4364576" u="1"/>
        <n v="4364579" u="1"/>
        <n v="4364621" u="1"/>
        <n v="4364626" u="1"/>
        <n v="4364627" u="1"/>
        <n v="4364628" u="1"/>
        <n v="4364629" u="1"/>
        <n v="4364630" u="1"/>
        <n v="4364632" u="1"/>
        <n v="4364633" u="1"/>
        <n v="4364634" u="1"/>
        <n v="4364635" u="1"/>
        <n v="4364636" u="1"/>
        <n v="4364637" u="1"/>
        <n v="4364638" u="1"/>
        <n v="4364642" u="1"/>
        <n v="4364644" u="1"/>
        <n v="4364645" u="1"/>
        <n v="4364647" u="1"/>
        <n v="4364648" u="1"/>
        <n v="4364911" u="1"/>
        <n v="4365444" u="1"/>
        <n v="4365448" u="1"/>
        <n v="4365454" u="1"/>
        <n v="4365455" u="1"/>
        <n v="4365466" u="1"/>
        <n v="4365469" u="1"/>
        <n v="4365474" u="1"/>
        <n v="4365475" u="1"/>
        <n v="4365477" u="1"/>
        <n v="4365478" u="1"/>
        <n v="4365479" u="1"/>
        <n v="4365219" u="1"/>
        <n v="4366154" u="1"/>
        <n v="4366156" u="1"/>
        <n v="4364035" u="1"/>
        <n v="4364036" u="1"/>
        <n v="4364161" u="1"/>
        <n v="4364165" u="1"/>
        <n v="4364174" u="1"/>
        <n v="4364175" u="1"/>
        <n v="4364293" u="1"/>
        <n v="4364429" u="1"/>
        <n v="4364885" u="1"/>
        <n v="4364886" u="1"/>
        <n v="4364887" u="1"/>
        <n v="4363977" u="1"/>
        <n v="4362972" u="1"/>
        <n v="4362979" u="1"/>
        <n v="4363817" u="1"/>
        <n v="4363834" u="1"/>
        <n v="4363870" u="1"/>
        <n v="4363872" u="1"/>
        <n v="4363889" u="1"/>
        <n v="4363893" u="1"/>
        <n v="4364617" u="1"/>
        <n v="4364639" u="1"/>
        <n v="4365441" u="1"/>
        <n v="4365442" u="1"/>
        <n v="4365449" u="1"/>
        <n v="4365462" u="1"/>
        <n v="4365463" u="1"/>
        <n v="4365468" u="1"/>
        <n v="4363021" u="1"/>
        <n v="4363887" u="1"/>
        <n v="4364566" u="1"/>
        <n v="4364618" u="1"/>
        <n v="4364619" u="1"/>
        <n v="4364620" u="1"/>
        <n v="4364623" u="1"/>
        <n v="4364631" u="1"/>
        <n v="4364902" u="1"/>
        <n v="4364903" u="1"/>
        <n v="4364904" u="1"/>
        <n v="4364910" u="1"/>
        <n v="4364912" u="1"/>
        <n v="4364951" u="1"/>
        <n v="4365443" u="1"/>
        <n v="4365446" u="1"/>
        <n v="4365447" u="1"/>
        <n v="4365451" u="1"/>
        <n v="4365452" u="1"/>
        <n v="4365453" u="1"/>
        <n v="4365464" u="1"/>
        <n v="4365471" u="1"/>
        <n v="4365473" u="1"/>
        <n v="4365480" u="1"/>
        <n v="4365482" u="1"/>
        <n v="4365483" u="1"/>
        <n v="4364142" u="1"/>
        <n v="4364144" u="1"/>
        <n v="4365698" u="1"/>
        <n v="4362630" u="1"/>
        <n v="4363709" u="1"/>
        <n v="4363805" u="1"/>
        <n v="4363813" u="1"/>
        <n v="4363827" u="1"/>
        <n v="4363835" u="1"/>
        <n v="4363846" u="1"/>
        <n v="4363853" u="1"/>
        <n v="4363883" u="1"/>
        <n v="4363895" u="1"/>
        <n v="4363899" u="1"/>
        <n v="4363903" u="1"/>
        <n v="4363905" u="1"/>
        <n v="4363906" u="1"/>
        <n v="4363908" u="1"/>
        <n v="4363911" u="1"/>
        <n v="4363912" u="1"/>
        <n v="4363913" u="1"/>
        <n v="4363918" u="1"/>
        <n v="4363919" u="1"/>
        <n v="4363920" u="1"/>
        <n v="4363922" u="1"/>
        <n v="4364266" u="1"/>
        <n v="4364269" u="1"/>
        <n v="4364270" u="1"/>
        <n v="4364271" u="1"/>
        <n v="4364446" u="1"/>
        <n v="4364449" u="1"/>
        <n v="4364455" u="1"/>
        <n v="4364458" u="1"/>
        <n v="4364468" u="1"/>
        <n v="4364477" u="1"/>
        <n v="4364484" u="1"/>
        <n v="4364568" u="1"/>
        <n v="4364574" u="1"/>
        <n v="4364577" u="1"/>
        <n v="4364578" u="1"/>
        <n v="4364624" u="1"/>
        <n v="4364625" u="1"/>
        <n v="4364641" u="1"/>
        <n v="4364646" u="1"/>
        <n v="4364901" u="1"/>
        <n v="4364909" u="1"/>
        <n v="4365445" u="1"/>
        <n v="4365461" u="1"/>
        <n v="4365465" u="1"/>
        <n v="4365467" u="1"/>
        <n v="4365472" u="1"/>
        <n v="4365481" u="1"/>
        <n v="4363860" u="1"/>
        <n v="4363865" u="1"/>
        <n v="4363871" u="1"/>
        <n v="4363877" u="1"/>
        <n v="4363902" u="1"/>
        <n v="4363931" u="1"/>
        <n v="4363933" u="1"/>
        <n v="4363937" u="1"/>
        <n v="4364567" u="1"/>
        <n v="4364580" u="1"/>
        <n v="4364622" u="1"/>
        <n v="4364649" u="1"/>
        <n v="4365450" u="1"/>
        <n v="4365470" u="1"/>
        <n v="4365772" u="1"/>
        <n v="4363140" u="1"/>
        <n v="4363695" u="1"/>
        <n v="4363850" u="1"/>
        <n v="4363867" u="1"/>
        <n v="4363946" u="1"/>
        <n v="4363948" u="1"/>
        <n v="4364452" u="1"/>
        <n v="4364462" u="1"/>
        <n v="4364464" u="1"/>
        <n v="4364465" u="1"/>
        <n v="4364467" u="1"/>
        <n v="4364471" u="1"/>
        <n v="4364474" u="1"/>
        <n v="4364480" u="1"/>
        <n v="4364260" u="1"/>
        <n v="4364776" u="1"/>
        <n v="4363706" u="1"/>
        <n v="4363712" u="1"/>
        <n v="4363809" u="1"/>
        <n v="4363816" u="1"/>
        <n v="4363843" u="1"/>
        <n v="4363847" u="1"/>
        <n v="4363868" u="1"/>
        <n v="4363901" u="1"/>
        <n v="4363910" u="1"/>
        <n v="4363942" u="1"/>
        <n v="4363950" u="1"/>
        <n v="4363951" u="1"/>
        <n v="4363163" u="1"/>
        <n v="4364154" u="1"/>
        <n v="4364268" u="1"/>
        <n v="4364454" u="1"/>
        <n v="4364470" u="1"/>
        <n v="4364473" u="1"/>
        <n v="4364476" u="1"/>
        <n v="4364141" u="1"/>
        <n v="4363839" u="1"/>
        <n v="4363857" u="1"/>
        <n v="4363866" u="1"/>
        <n v="4363869" u="1"/>
        <n v="4363878" u="1"/>
        <n v="4363881" u="1"/>
        <n v="4363888" u="1"/>
        <n v="4363898" u="1"/>
        <n v="4363927" u="1"/>
        <n v="4363929" u="1"/>
        <n v="4363932" u="1"/>
        <n v="4363934" u="1"/>
        <n v="4363936" u="1"/>
        <n v="4363938" u="1"/>
        <n v="4363940" u="1"/>
        <n v="4363941" u="1"/>
        <n v="4364063" u="1"/>
        <n v="4364265" u="1"/>
        <n v="4364448" u="1"/>
        <n v="4364451" u="1"/>
        <n v="4364457" u="1"/>
        <n v="4364461" u="1"/>
        <n v="4364479" u="1"/>
        <n v="4364482" u="1"/>
        <n v="4363801" u="1"/>
        <n v="4363849" u="1"/>
        <n v="4363907" u="1"/>
        <n v="4363914" u="1"/>
        <n v="4364723" u="1"/>
        <n v="4363705" u="1"/>
        <n v="4363707" u="1"/>
        <n v="4363711" u="1"/>
        <n v="4363717" u="1"/>
        <n v="4363803" u="1"/>
        <n v="4363806" u="1"/>
        <n v="4363815" u="1"/>
        <n v="4363831" u="1"/>
        <n v="4363856" u="1"/>
        <n v="4363859" u="1"/>
        <n v="4363876" u="1"/>
        <n v="4363915" u="1"/>
        <n v="4363917" u="1"/>
        <n v="4363943" u="1"/>
        <n v="4363945" u="1"/>
        <n v="4364499" u="1"/>
        <n v="4363708" u="1"/>
        <n v="4363826" u="1"/>
        <n v="4363829" u="1"/>
        <n v="4363890" u="1"/>
        <n v="4360560" u="1"/>
        <n v="4361486" u="1"/>
        <n v="4361982" u="1"/>
        <n v="4362060" u="1"/>
        <n v="4362179" u="1"/>
        <n v="4362489" u="1"/>
        <n v="4362919" u="1"/>
        <n v="4363614" u="1"/>
        <n v="4363692" u="1"/>
        <n v="4363693" u="1"/>
        <n v="4363710" u="1"/>
        <n v="4363718" u="1"/>
        <n v="4363802" u="1"/>
        <n v="4363804" u="1"/>
        <n v="4363808" u="1"/>
        <n v="4363814" u="1"/>
        <n v="4363820" u="1"/>
        <n v="4363821" u="1"/>
        <n v="4363838" u="1"/>
        <n v="4363842" u="1"/>
        <n v="4363873" u="1"/>
        <n v="4363879" u="1"/>
        <n v="4363880" u="1"/>
        <n v="4363882" u="1"/>
        <n v="4363891" u="1"/>
        <n v="4363892" u="1"/>
        <n v="4363894" u="1"/>
        <n v="4363900" u="1"/>
        <n v="4363909" u="1"/>
        <n v="4363921" u="1"/>
        <n v="4363923" u="1"/>
        <n v="4363935" u="1"/>
        <n v="4361518" u="1"/>
        <n v="4362178" u="1"/>
        <n v="4362458" u="1"/>
        <n v="4362459" u="1"/>
        <n v="4362461" u="1"/>
        <n v="4362465" u="1"/>
        <n v="4362467" u="1"/>
        <n v="4362468" u="1"/>
        <n v="4362469" u="1"/>
        <n v="4362471" u="1"/>
        <n v="4362472" u="1"/>
        <n v="4362473" u="1"/>
        <n v="4362474" u="1"/>
        <n v="4362477" u="1"/>
        <n v="4362478" u="1"/>
        <n v="4362480" u="1"/>
        <n v="4362483" u="1"/>
        <n v="4362485" u="1"/>
        <n v="4362486" u="1"/>
        <n v="4362487" u="1"/>
        <n v="4362488" u="1"/>
        <n v="4362492" u="1"/>
        <n v="4362495" u="1"/>
        <n v="4362500" u="1"/>
        <n v="4362503" u="1"/>
        <n v="4362621" u="1"/>
        <n v="4362913" u="1"/>
        <n v="4362915" u="1"/>
        <n v="4362917" u="1"/>
        <n v="4362981" u="1"/>
        <n v="4362983" u="1"/>
        <n v="4363613" u="1"/>
        <n v="4363694" u="1"/>
        <n v="4363807" u="1"/>
        <n v="4363812" u="1"/>
        <n v="4363832" u="1"/>
        <n v="4363833" u="1"/>
        <n v="4363848" u="1"/>
        <n v="4363858" u="1"/>
        <n v="4363861" u="1"/>
        <n v="4363874" u="1"/>
        <n v="4363896" u="1"/>
        <n v="4363904" u="1"/>
        <n v="4363924" u="1"/>
        <n v="4363925" u="1"/>
        <n v="4363926" u="1"/>
        <n v="4363930" u="1"/>
        <n v="4363939" u="1"/>
        <n v="4363947" u="1"/>
        <n v="4363949" u="1"/>
        <n v="4363132" u="1"/>
        <n v="4363153" u="1"/>
        <n v="4363181" u="1"/>
        <n v="4363256" u="1"/>
        <n v="4363259" u="1"/>
        <n v="4363103" u="1"/>
        <n v="4363104" u="1"/>
        <n v="4363105" u="1"/>
        <n v="4363106" u="1"/>
        <n v="4363107" u="1"/>
        <n v="4363520" u="1"/>
        <n v="4361464" u="1"/>
        <n v="4361491" u="1"/>
        <n v="4361500" u="1"/>
        <n v="4361501" u="1"/>
        <n v="4361521" u="1"/>
        <n v="4361522" u="1"/>
        <n v="4361537" u="1"/>
        <n v="4361575" u="1"/>
        <n v="4361576" u="1"/>
        <n v="4361578" u="1"/>
        <n v="4362174" u="1"/>
        <n v="4362176" u="1"/>
        <n v="4362281" u="1"/>
        <n v="4362462" u="1"/>
        <n v="4362463" u="1"/>
        <n v="4362464" u="1"/>
        <n v="4362470" u="1"/>
        <n v="4362475" u="1"/>
        <n v="4362479" u="1"/>
        <n v="4362481" u="1"/>
        <n v="4362484" u="1"/>
        <n v="4362490" u="1"/>
        <n v="4362494" u="1"/>
        <n v="4362496" u="1"/>
        <n v="4362497" u="1"/>
        <n v="4362498" u="1"/>
        <n v="4362499" u="1"/>
        <n v="4362501" u="1"/>
        <n v="4362504" u="1"/>
        <n v="4362505" u="1"/>
        <n v="4362506" u="1"/>
        <n v="4362507" u="1"/>
        <n v="4362508" u="1"/>
        <n v="4362509" u="1"/>
        <n v="4363822" u="1"/>
        <n v="4363886" u="1"/>
        <n v="4363916" u="1"/>
        <n v="4364302" u="1"/>
        <n v="4361475" u="1"/>
        <n v="4361512" u="1"/>
        <n v="4361516" u="1"/>
        <n v="4361526" u="1"/>
        <n v="4361535" u="1"/>
        <n v="4362175" u="1"/>
        <n v="4362177" u="1"/>
        <n v="4362450" u="1"/>
        <n v="4362502" u="1"/>
        <n v="4362403" u="1"/>
        <n v="4361139" u="1"/>
        <n v="4361140" u="1"/>
        <n v="4363101" u="1"/>
        <n v="4361473" u="1"/>
        <n v="4361483" u="1"/>
        <n v="4361488" u="1"/>
        <n v="4361506" u="1"/>
        <n v="4361515" u="1"/>
        <n v="4361538" u="1"/>
        <n v="4362491" u="1"/>
        <n v="4364243" u="1"/>
        <n v="4362025" u="1"/>
        <n v="4362954" u="1"/>
        <n v="4363161" u="1"/>
        <n v="4363193" u="1"/>
        <n v="4363196" u="1"/>
        <n v="4362551" u="1"/>
        <n v="4363160" u="1"/>
        <n v="4363180" u="1"/>
        <n v="4363182" u="1"/>
        <n v="4363248" u="1"/>
        <n v="4363249" u="1"/>
        <n v="4363255" u="1"/>
        <n v="4361462" u="1"/>
        <n v="4361466" u="1"/>
        <n v="4361490" u="1"/>
        <n v="4361498" u="1"/>
        <n v="4361499" u="1"/>
        <n v="4361514" u="1"/>
        <n v="4361523" u="1"/>
        <n v="4361534" u="1"/>
        <n v="4361550" u="1"/>
        <n v="4361552" u="1"/>
        <n v="4361606" u="1"/>
        <n v="4364178" u="1"/>
        <n v="4362021" u="1"/>
        <n v="4362023" u="1"/>
        <n v="4362024" u="1"/>
        <n v="4362026" u="1"/>
        <n v="4362027" u="1"/>
        <n v="4362028" u="1"/>
        <n v="4362029" u="1"/>
        <n v="4362329" u="1"/>
        <n v="4362955" u="1"/>
        <n v="4364041" u="1"/>
        <n v="4362032" u="1"/>
        <n v="4362033" u="1"/>
        <n v="4362043" u="1"/>
        <n v="4362330" u="1"/>
        <n v="4361492" u="1"/>
        <n v="4361493" u="1"/>
        <n v="4361519" u="1"/>
        <n v="4361573" u="1"/>
        <n v="4361132" u="1"/>
        <n v="4361133" u="1"/>
        <n v="4362795" u="1"/>
        <n v="4363102" u="1"/>
        <n v="4362066" u="1"/>
        <n v="4362620" u="1"/>
        <n v="4362891" u="1"/>
        <n v="4362892" u="1"/>
        <n v="4355079" u="1"/>
        <n v="4361465" u="1"/>
        <n v="4361471" u="1"/>
        <n v="4361476" u="1"/>
        <n v="4361479" u="1"/>
        <n v="4361495" u="1"/>
        <n v="4361510" u="1"/>
        <n v="4361511" u="1"/>
        <n v="4361513" u="1"/>
        <n v="4361531" u="1"/>
        <n v="4361543" u="1"/>
        <n v="4361544" u="1"/>
        <n v="4361547" u="1"/>
        <n v="4361561" u="1"/>
        <n v="4361562" u="1"/>
        <n v="4361583" u="1"/>
        <n v="4361593" u="1"/>
        <n v="4361604" u="1"/>
        <n v="4362180" u="1"/>
        <n v="4362065" u="1"/>
        <n v="4361507" u="1"/>
        <n v="4361520" u="1"/>
        <n v="4361558" u="1"/>
        <n v="4361566" u="1"/>
        <n v="4361567" u="1"/>
        <n v="4361568" u="1"/>
        <n v="4361569" u="1"/>
        <n v="4362466" u="1"/>
        <n v="4362493" u="1"/>
        <n v="4363054" u="1"/>
        <n v="4361921" u="1"/>
        <n v="4362541" u="1"/>
        <n v="4362542" u="1"/>
        <n v="4362543" u="1"/>
        <n v="4362544" u="1"/>
        <n v="4362546" u="1"/>
        <n v="4362547" u="1"/>
        <n v="4362548" u="1"/>
        <n v="4362549" u="1"/>
        <n v="4362550" u="1"/>
        <n v="4362552" u="1"/>
        <n v="4362554" u="1"/>
        <n v="4362555" u="1"/>
        <n v="4362556" u="1"/>
        <n v="4362557" u="1"/>
        <n v="4362558" u="1"/>
        <n v="4362559" u="1"/>
        <n v="4362560" u="1"/>
        <n v="4362561" u="1"/>
        <n v="4362562" u="1"/>
        <n v="4359012" u="1"/>
        <n v="4359169" u="1"/>
        <n v="4359175" u="1"/>
        <n v="4359998" u="1"/>
        <n v="4360067" u="1"/>
        <n v="4360101" u="1"/>
        <n v="4360102" u="1"/>
        <n v="4360141" u="1"/>
        <n v="4360146" u="1"/>
        <n v="4360156" u="1"/>
        <n v="4360157" u="1"/>
        <n v="4360160" u="1"/>
        <n v="4360170" u="1"/>
        <n v="4360171" u="1"/>
        <n v="4360172" u="1"/>
        <n v="4360176" u="1"/>
        <n v="4360179" u="1"/>
        <n v="4360183" u="1"/>
        <n v="4360184" u="1"/>
        <n v="4360198" u="1"/>
        <n v="4360200" u="1"/>
        <n v="4360206" u="1"/>
        <n v="4360212" u="1"/>
        <n v="4360216" u="1"/>
        <n v="4360559" u="1"/>
        <n v="4361308" u="1"/>
        <n v="4361461" u="1"/>
        <n v="4361463" u="1"/>
        <n v="4361467" u="1"/>
        <n v="4361468" u="1"/>
        <n v="4361469" u="1"/>
        <n v="4361470" u="1"/>
        <n v="4361472" u="1"/>
        <n v="4361474" u="1"/>
        <n v="4361477" u="1"/>
        <n v="4361478" u="1"/>
        <n v="4361480" u="1"/>
        <n v="4361482" u="1"/>
        <n v="4361484" u="1"/>
        <n v="4361485" u="1"/>
        <n v="4361487" u="1"/>
        <n v="4361489" u="1"/>
        <n v="4361494" u="1"/>
        <n v="4361496" u="1"/>
        <n v="4361502" u="1"/>
        <n v="4361504" u="1"/>
        <n v="4361505" u="1"/>
        <n v="4361508" u="1"/>
        <n v="4361517" u="1"/>
        <n v="4361525" u="1"/>
        <n v="4361527" u="1"/>
        <n v="4361529" u="1"/>
        <n v="4361530" u="1"/>
        <n v="4361532" u="1"/>
        <n v="4361536" u="1"/>
        <n v="4361539" u="1"/>
        <n v="4361540" u="1"/>
        <n v="4361541" u="1"/>
        <n v="4361546" u="1"/>
        <n v="4361548" u="1"/>
        <n v="4361553" u="1"/>
        <n v="4361554" u="1"/>
        <n v="4361555" u="1"/>
        <n v="4361556" u="1"/>
        <n v="4361557" u="1"/>
        <n v="4361559" u="1"/>
        <n v="4361560" u="1"/>
        <n v="4361563" u="1"/>
        <n v="4361564" u="1"/>
        <n v="4361565" u="1"/>
        <n v="4361570" u="1"/>
        <n v="4361571" u="1"/>
        <n v="4361572" u="1"/>
        <n v="4361574" u="1"/>
        <n v="4361577" u="1"/>
        <n v="4361579" u="1"/>
        <n v="4361580" u="1"/>
        <n v="4361581" u="1"/>
        <n v="4361582" u="1"/>
        <n v="4361584" u="1"/>
        <n v="4361585" u="1"/>
        <n v="4361586" u="1"/>
        <n v="4361587" u="1"/>
        <n v="4361588" u="1"/>
        <n v="4361590" u="1"/>
        <n v="4361591" u="1"/>
        <n v="4361592" u="1"/>
        <n v="4361595" u="1"/>
        <n v="4361597" u="1"/>
        <n v="4361599" u="1"/>
        <n v="4361600" u="1"/>
        <n v="4361602" u="1"/>
        <n v="4361607" u="1"/>
        <n v="4359033" u="1"/>
        <n v="4359187" u="1"/>
        <n v="4359230" u="1"/>
        <n v="4359231" u="1"/>
        <n v="4359232" u="1"/>
        <n v="4359233" u="1"/>
        <n v="4359234" u="1"/>
        <n v="4359235" u="1"/>
        <n v="4359239" u="1"/>
        <n v="4359321" u="1"/>
        <n v="4360069" u="1"/>
        <n v="4360148" u="1"/>
        <n v="4360152" u="1"/>
        <n v="4360154" u="1"/>
        <n v="4360186" u="1"/>
        <n v="4360196" u="1"/>
        <n v="4360202" u="1"/>
        <n v="4360204" u="1"/>
        <n v="4360210" u="1"/>
        <n v="4360214" u="1"/>
        <n v="4361503" u="1"/>
        <n v="4361549" u="1"/>
        <n v="4361589" u="1"/>
        <n v="4361598" u="1"/>
        <n v="4361601" u="1"/>
        <n v="4361603" u="1"/>
        <n v="4354954" u="1"/>
        <n v="4356981" u="1"/>
        <n v="4359236" u="1"/>
        <n v="4359237" u="1"/>
        <n v="4359238" u="1"/>
        <n v="4359240" u="1"/>
        <n v="4360074" u="1"/>
        <n v="4360075" u="1"/>
        <n v="4360114" u="1"/>
        <n v="4360125" u="1"/>
        <n v="4360149" u="1"/>
        <n v="4360162" u="1"/>
        <n v="4360165" u="1"/>
        <n v="4360205" u="1"/>
        <n v="4360211" u="1"/>
        <n v="4360213" u="1"/>
        <n v="4361481" u="1"/>
        <n v="4361497" u="1"/>
        <n v="4361509" u="1"/>
        <n v="4361524" u="1"/>
        <n v="4361528" u="1"/>
        <n v="4361533" u="1"/>
        <n v="4361542" u="1"/>
        <n v="4361545" u="1"/>
        <n v="4361551" u="1"/>
        <n v="4361594" u="1"/>
        <n v="4361596" u="1"/>
        <n v="4361605" u="1"/>
        <n v="4361129" u="1"/>
        <n v="4361130" u="1"/>
        <n v="4361131" u="1"/>
        <n v="4358103" u="1"/>
        <n v="4358456" u="1"/>
        <n v="4359209" u="1"/>
        <n v="4359211" u="1"/>
        <n v="4360066" u="1"/>
        <n v="4360068" u="1"/>
        <n v="4360079" u="1"/>
        <n v="4360103" u="1"/>
        <n v="4360107" u="1"/>
        <n v="4360111" u="1"/>
        <n v="4360115" u="1"/>
        <n v="4360117" u="1"/>
        <n v="4360122" u="1"/>
        <n v="4360124" u="1"/>
        <n v="4360126" u="1"/>
        <n v="4360129" u="1"/>
        <n v="4360131" u="1"/>
        <n v="4360135" u="1"/>
        <n v="4360159" u="1"/>
        <n v="4360173" u="1"/>
        <n v="4360177" u="1"/>
        <n v="4360181" u="1"/>
        <n v="4360191" u="1"/>
        <n v="4360199" u="1"/>
        <n v="4362553" u="1"/>
        <n v="4360411" u="1"/>
        <n v="4363263" u="1"/>
        <n v="4359730" u="1"/>
        <n v="4360140" u="1"/>
        <n v="4360145" u="1"/>
        <n v="4360150" u="1"/>
        <n v="4360175" u="1"/>
        <n v="4360185" u="1"/>
        <n v="4360189" u="1"/>
        <n v="4360192" u="1"/>
        <n v="4360194" u="1"/>
        <n v="4360207" u="1"/>
        <n v="4360208" u="1"/>
        <n v="4361922" u="1"/>
        <n v="4362545" u="1"/>
        <n v="4360229" u="1"/>
        <n v="4360233" u="1"/>
        <n v="4362017" u="1"/>
        <n v="4362019" u="1"/>
        <n v="4362020" u="1"/>
        <n v="4357022" u="1"/>
        <n v="4357035" u="1"/>
        <n v="4359210" u="1"/>
        <n v="4360065" u="1"/>
        <n v="4360078" u="1"/>
        <n v="4360108" u="1"/>
        <n v="4360112" u="1"/>
        <n v="4360113" u="1"/>
        <n v="4360116" u="1"/>
        <n v="4360121" u="1"/>
        <n v="4360163" u="1"/>
        <n v="4360168" u="1"/>
        <n v="4360188" u="1"/>
        <n v="4360203" u="1"/>
        <n v="4360209" u="1"/>
        <n v="4360215" u="1"/>
        <n v="4362318" u="1"/>
        <n v="4358444" u="1"/>
        <n v="4360080" u="1"/>
        <n v="4360123" u="1"/>
        <n v="4360142" u="1"/>
        <n v="4360143" u="1"/>
        <n v="4360147" u="1"/>
        <n v="4360155" u="1"/>
        <n v="4360164" u="1"/>
        <n v="4360167" u="1"/>
        <n v="4360174" u="1"/>
        <n v="4360182" u="1"/>
        <n v="4360217" u="1"/>
        <n v="4362793" u="1"/>
        <n v="4360151" u="1"/>
        <n v="4360161" u="1"/>
        <n v="4360190" u="1"/>
        <n v="4358455" u="1"/>
        <n v="4358460" u="1"/>
        <n v="4358474" u="1"/>
        <n v="4358503" u="1"/>
        <n v="4358505" u="1"/>
        <n v="4360104" u="1"/>
        <n v="4360128" u="1"/>
        <n v="4360139" u="1"/>
        <n v="4360144" u="1"/>
        <n v="4360166" u="1"/>
        <n v="4360169" u="1"/>
        <n v="4360180" u="1"/>
        <n v="4360187" u="1"/>
        <n v="4360193" u="1"/>
        <n v="4360197" u="1"/>
        <n v="4360201" u="1"/>
        <n v="4360232" u="1"/>
        <n v="4360070" u="1"/>
        <n v="4360071" u="1"/>
        <n v="4360118" u="1"/>
        <n v="4360127" u="1"/>
        <n v="4360130" u="1"/>
        <n v="4360132" u="1"/>
        <n v="4360136" u="1"/>
        <n v="4360153" u="1"/>
        <n v="4360178" u="1"/>
        <n v="4360195" u="1"/>
        <n v="4360285" u="1"/>
        <n v="4360516" u="1"/>
        <n v="4360517" u="1"/>
        <n v="4360518" u="1"/>
        <n v="4356995" u="1"/>
        <n v="4356999" u="1"/>
        <n v="4358511" u="1"/>
        <n v="4358518" u="1"/>
        <n v="4360289" u="1"/>
        <n v="4360294" u="1"/>
        <n v="4360295" u="1"/>
        <n v="4361126" u="1"/>
        <n v="4361127" u="1"/>
        <n v="4361128" u="1"/>
        <n v="4362170" u="1"/>
        <n v="4362171" u="1"/>
        <n v="4358436" u="1"/>
        <n v="4358445" u="1"/>
        <n v="4358519" u="1"/>
        <n v="4358800" u="1"/>
        <n v="4360281" u="1"/>
        <n v="4360282" u="1"/>
        <n v="4360283" u="1"/>
        <n v="4360284" u="1"/>
        <n v="4360286" u="1"/>
        <n v="4360287" u="1"/>
        <n v="4360288" u="1"/>
        <n v="4360290" u="1"/>
        <n v="4360291" u="1"/>
        <n v="4360292" u="1"/>
        <n v="4360293" u="1"/>
        <n v="4358437" u="1"/>
        <n v="4358494" u="1"/>
        <n v="4356997" u="1"/>
        <n v="4357111" u="1"/>
        <n v="4358427" u="1"/>
        <n v="4358429" u="1"/>
        <n v="4358441" u="1"/>
        <n v="4358443" u="1"/>
        <n v="4358453" u="1"/>
        <n v="4358462" u="1"/>
        <n v="4358499" u="1"/>
        <n v="4358515" u="1"/>
        <n v="4358520" u="1"/>
        <n v="4358525" u="1"/>
        <n v="4358550" u="1"/>
        <n v="4358446" u="1"/>
        <n v="4358451" u="1"/>
        <n v="4358491" u="1"/>
        <n v="4358508" u="1"/>
        <n v="4358566" u="1"/>
        <n v="4362717" u="1"/>
        <n v="4362718" u="1"/>
        <n v="4362719" u="1"/>
        <n v="4362744" u="1"/>
        <n v="4360550" u="1"/>
        <n v="4361049" u="1"/>
        <n v="4361050" u="1"/>
        <n v="4361056" u="1"/>
        <n v="4361059" u="1"/>
        <n v="4361064" u="1"/>
        <n v="4361065" u="1"/>
        <n v="4361073" u="1"/>
        <n v="4360498" u="1"/>
        <n v="4360499" u="1"/>
        <n v="4360500" u="1"/>
        <n v="4361121" u="1"/>
        <n v="4361123" u="1"/>
        <n v="4361124" u="1"/>
        <n v="4361125" u="1"/>
        <n v="4359874" u="1"/>
        <n v="4360218" u="1"/>
        <n v="4360221" u="1"/>
        <n v="4360222" u="1"/>
        <n v="4360223" u="1"/>
        <n v="4361950" u="1"/>
        <n v="4357924" u="1"/>
        <n v="4357931" u="1"/>
        <n v="4357933" u="1"/>
        <n v="4357935" u="1"/>
        <n v="4358461" u="1"/>
        <n v="4358475" u="1"/>
        <n v="4358480" u="1"/>
        <n v="4358484" u="1"/>
        <n v="4358498" u="1"/>
        <n v="4358502" u="1"/>
        <n v="4358510" u="1"/>
        <n v="4358512" u="1"/>
        <n v="4358513" u="1"/>
        <n v="4358517" u="1"/>
        <n v="4358548" u="1"/>
        <n v="4358564" u="1"/>
        <n v="4358568" u="1"/>
        <n v="4358522" u="1"/>
        <n v="4361052" u="1"/>
        <n v="4361053" u="1"/>
        <n v="4361055" u="1"/>
        <n v="4361058" u="1"/>
        <n v="4361060" u="1"/>
        <n v="4361066" u="1"/>
        <n v="4361068" u="1"/>
        <n v="4361069" u="1"/>
        <n v="4361071" u="1"/>
        <n v="4361072" u="1"/>
        <n v="4359172" u="1"/>
        <n v="4359173" u="1"/>
        <n v="4359176" u="1"/>
        <n v="4359364" u="1"/>
        <n v="4360234" u="1"/>
        <n v="4360236" u="1"/>
        <n v="4356974" u="1"/>
        <n v="4358034" u="1"/>
        <n v="4358452" u="1"/>
        <n v="4358468" u="1"/>
        <n v="4358469" u="1"/>
        <n v="4358473" u="1"/>
        <n v="4358479" u="1"/>
        <n v="4358504" u="1"/>
        <n v="4358506" u="1"/>
        <n v="4358516" u="1"/>
        <n v="4358524" u="1"/>
        <n v="4358538" u="1"/>
        <n v="4358540" u="1"/>
        <n v="4358543" u="1"/>
        <n v="4358546" u="1"/>
        <n v="4358547" u="1"/>
        <n v="4358554" u="1"/>
        <n v="4358556" u="1"/>
        <n v="4358557" u="1"/>
        <n v="4359013" u="1"/>
        <n v="4359032" u="1"/>
        <n v="4359171" u="1"/>
        <n v="4359174" u="1"/>
        <n v="4360219" u="1"/>
        <n v="4356985" u="1"/>
        <n v="4356998" u="1"/>
        <n v="4357169" u="1"/>
        <n v="4357934" u="1"/>
        <n v="4357936" u="1"/>
        <n v="4358431" u="1"/>
        <n v="4358438" u="1"/>
        <n v="4358447" u="1"/>
        <n v="4358457" u="1"/>
        <n v="4358485" u="1"/>
        <n v="4358487" u="1"/>
        <n v="4358490" u="1"/>
        <n v="4358493" u="1"/>
        <n v="4358495" u="1"/>
        <n v="4358509" u="1"/>
        <n v="4358537" u="1"/>
        <n v="4358539" u="1"/>
        <n v="4358551" u="1"/>
        <n v="4358553" u="1"/>
        <n v="4358558" u="1"/>
        <n v="4358559" u="1"/>
        <n v="4358560" u="1"/>
        <n v="4359180" u="1"/>
        <n v="4360010" u="1"/>
        <n v="4360494" u="1"/>
        <n v="4360495" u="1"/>
        <n v="4360496" u="1"/>
        <n v="4360602" u="1"/>
        <n v="4361051" u="1"/>
        <n v="4361054" u="1"/>
        <n v="4361057" u="1"/>
        <n v="4361063" u="1"/>
        <n v="4361067" u="1"/>
        <n v="4361070" u="1"/>
        <n v="4358423" u="1"/>
        <n v="4358425" u="1"/>
        <n v="4358426" u="1"/>
        <n v="4358481" u="1"/>
        <n v="4358500" u="1"/>
        <n v="4358562" u="1"/>
        <n v="4360497" u="1"/>
        <n v="4360567" u="1"/>
        <n v="4358415" u="1"/>
        <n v="4359752" u="1"/>
        <n v="4359911" u="1"/>
        <n v="4359912" u="1"/>
        <n v="4359913" u="1"/>
        <n v="4359914" u="1"/>
        <n v="4359915" u="1"/>
        <n v="4359917" u="1"/>
        <n v="4359999" u="1"/>
        <n v="4360009" u="1"/>
        <n v="4360012" u="1"/>
        <n v="4360016" u="1"/>
        <n v="4360045" u="1"/>
        <n v="4360296" u="1"/>
        <n v="4360297" u="1"/>
        <n v="4359859" u="1"/>
        <n v="4358430" u="1"/>
        <n v="4358514" u="1"/>
        <n v="4359744" u="1"/>
        <n v="4359746" u="1"/>
        <n v="4359749" u="1"/>
        <n v="4359751" u="1"/>
        <n v="4359753" u="1"/>
        <n v="4359754" u="1"/>
        <n v="4359755" u="1"/>
        <n v="4360007" u="1"/>
        <n v="4360008" u="1"/>
        <n v="4360013" u="1"/>
        <n v="4360017" u="1"/>
        <n v="4360018" u="1"/>
        <n v="4360020" u="1"/>
        <n v="4360443" u="1"/>
        <n v="4358794" u="1"/>
        <n v="4358795" u="1"/>
        <n v="4358796" u="1"/>
        <n v="4358797" u="1"/>
        <n v="4358866" u="1"/>
        <n v="4358867" u="1"/>
        <n v="4359223" u="1"/>
        <n v="4359858" u="1"/>
        <n v="4357939" u="1"/>
        <n v="4358464" u="1"/>
        <n v="4358489" u="1"/>
        <n v="4358536" u="1"/>
        <n v="4358544" u="1"/>
        <n v="4358561" u="1"/>
        <n v="4358563" u="1"/>
        <n v="4358565" u="1"/>
        <n v="4358567" u="1"/>
        <n v="4359354" u="1"/>
        <n v="4360011" u="1"/>
        <n v="4360015" u="1"/>
        <n v="4360042" u="1"/>
        <n v="4347558" u="1"/>
        <n v="4358798" u="1"/>
        <n v="4358799" u="1"/>
        <n v="4359050" u="1"/>
        <n v="4359222" u="1"/>
        <n v="4359791" u="1"/>
        <n v="4359813" u="1"/>
        <n v="4357932" u="1"/>
        <n v="4358428" u="1"/>
        <n v="4358432" u="1"/>
        <n v="4358465" u="1"/>
        <n v="4358476" u="1"/>
        <n v="4358482" u="1"/>
        <n v="4358483" u="1"/>
        <n v="4358492" u="1"/>
        <n v="4358496" u="1"/>
        <n v="4358521" u="1"/>
        <n v="4358555" u="1"/>
        <n v="4359430" u="1"/>
        <n v="4359695" u="1"/>
        <n v="4359747" u="1"/>
        <n v="4359757" u="1"/>
        <n v="4359916" u="1"/>
        <n v="4360006" u="1"/>
        <n v="4360014" u="1"/>
        <n v="4360019" u="1"/>
        <n v="4360041" u="1"/>
        <n v="4360044" u="1"/>
        <n v="4360243" u="1"/>
        <n v="4360356" u="1"/>
        <n v="4360599" u="1"/>
        <n v="4357940" u="1"/>
        <n v="4358448" u="1"/>
        <n v="4358454" u="1"/>
        <n v="4358463" u="1"/>
        <n v="4358477" u="1"/>
        <n v="4358501" u="1"/>
        <n v="4358507" u="1"/>
        <n v="4358549" u="1"/>
        <n v="4358552" u="1"/>
        <n v="4359219" u="1"/>
        <n v="4359241" u="1"/>
        <n v="4359244" u="1"/>
        <n v="4359248" u="1"/>
        <n v="4359250" u="1"/>
        <n v="4359256" u="1"/>
        <n v="4359257" u="1"/>
        <n v="4359258" u="1"/>
        <n v="4359260" u="1"/>
        <n v="4359281" u="1"/>
        <n v="4359356" u="1"/>
        <n v="4359421" u="1"/>
        <n v="4358424" u="1"/>
        <n v="4358439" u="1"/>
        <n v="4358442" u="1"/>
        <n v="4358458" u="1"/>
        <n v="4358478" u="1"/>
        <n v="4358486" u="1"/>
        <n v="4358488" u="1"/>
        <n v="4358523" u="1"/>
        <n v="4358526" u="1"/>
        <n v="4358527" u="1"/>
        <n v="4358529" u="1"/>
        <n v="4358530" u="1"/>
        <n v="4358531" u="1"/>
        <n v="4358532" u="1"/>
        <n v="4358533" u="1"/>
        <n v="4358535" u="1"/>
        <n v="4358545" u="1"/>
        <n v="4358435" u="1"/>
        <n v="4358472" u="1"/>
        <n v="4358528" u="1"/>
        <n v="4358534" u="1"/>
        <n v="4354641" u="1"/>
        <n v="4354724" u="1"/>
        <n v="4354727" u="1"/>
        <n v="4354779" u="1"/>
        <n v="4354990" u="1"/>
        <n v="4354992" u="1"/>
        <n v="4354994" u="1"/>
        <n v="4354997" u="1"/>
        <n v="4354999" u="1"/>
        <n v="4355003" u="1"/>
        <n v="4355007" u="1"/>
        <n v="4355010" u="1"/>
        <n v="4355013" u="1"/>
        <n v="4355016" u="1"/>
        <n v="4355023" u="1"/>
        <n v="4355028" u="1"/>
        <n v="4355038" u="1"/>
        <n v="4355044" u="1"/>
        <n v="4355055" u="1"/>
        <n v="4355057" u="1"/>
        <n v="4355059" u="1"/>
        <n v="4355060" u="1"/>
        <n v="4355061" u="1"/>
        <n v="4355063" u="1"/>
        <n v="4355065" u="1"/>
        <n v="4355109" u="1"/>
        <n v="4354642" u="1"/>
        <n v="4354644" u="1"/>
        <n v="4354645" u="1"/>
        <n v="4354939" u="1"/>
        <n v="4354993" u="1"/>
        <n v="4355008" u="1"/>
        <n v="4355019" u="1"/>
        <n v="4355031" u="1"/>
        <n v="4355034" u="1"/>
        <n v="4355043" u="1"/>
        <n v="4355056" u="1"/>
        <n v="4355062" u="1"/>
        <n v="4355064" u="1"/>
        <n v="4355066" u="1"/>
        <n v="4355072" u="1"/>
        <n v="4355076" u="1"/>
        <n v="4355078" u="1"/>
        <n v="4355100" u="1"/>
        <n v="4359220" u="1"/>
        <n v="4359242" u="1"/>
        <n v="4359245" u="1"/>
        <n v="4359246" u="1"/>
        <n v="4359249" u="1"/>
        <n v="4359251" u="1"/>
        <n v="4359252" u="1"/>
        <n v="4359253" u="1"/>
        <n v="4359254" u="1"/>
        <n v="4359255" u="1"/>
        <n v="4359259" u="1"/>
        <n v="4359282" u="1"/>
        <n v="4359748" u="1"/>
        <n v="4359750" u="1"/>
        <n v="4360476" u="1"/>
        <n v="4358889" u="1"/>
        <n v="4358891" u="1"/>
        <n v="4353503" u="1"/>
        <n v="4354981" u="1"/>
        <n v="4354998" u="1"/>
        <n v="4355002" u="1"/>
        <n v="4355006" u="1"/>
        <n v="4355011" u="1"/>
        <n v="4355017" u="1"/>
        <n v="4355024" u="1"/>
        <n v="4355026" u="1"/>
        <n v="4355037" u="1"/>
        <n v="4355047" u="1"/>
        <n v="4355050" u="1"/>
        <n v="4355068" u="1"/>
        <n v="4355069" u="1"/>
        <n v="4355070" u="1"/>
        <n v="4355071" u="1"/>
        <n v="4355074" u="1"/>
        <n v="4355075" u="1"/>
        <n v="4355077" u="1"/>
        <n v="4355080" u="1"/>
        <n v="4355081" u="1"/>
        <n v="4355082" u="1"/>
        <n v="4355083" u="1"/>
        <n v="4355084" u="1"/>
        <n v="4355085" u="1"/>
        <n v="4355086" u="1"/>
        <n v="4355087" u="1"/>
        <n v="4355088" u="1"/>
        <n v="4355089" u="1"/>
        <n v="4355090" u="1"/>
        <n v="4355092" u="1"/>
        <n v="4355093" u="1"/>
        <n v="4355094" u="1"/>
        <n v="4355097" u="1"/>
        <n v="4355099" u="1"/>
        <n v="4355102" u="1"/>
        <n v="4355103" u="1"/>
        <n v="4355105" u="1"/>
        <n v="4355112" u="1"/>
        <n v="4358541" u="1"/>
        <n v="4358542" u="1"/>
        <n v="4359687" u="1"/>
        <n v="4359425" u="1"/>
        <n v="4358874" u="1"/>
        <n v="4358875" u="1"/>
        <n v="4358877" u="1"/>
        <n v="4358881" u="1"/>
        <n v="4358882" u="1"/>
        <n v="4352353" u="1"/>
        <n v="4352988" u="1"/>
        <n v="4353454" u="1"/>
        <n v="4353473" u="1"/>
        <n v="4353482" u="1"/>
        <n v="4353486" u="1"/>
        <n v="4353516" u="1"/>
        <n v="4353567" u="1"/>
        <n v="4354647" u="1"/>
        <n v="4354986" u="1"/>
        <n v="4354991" u="1"/>
        <n v="4355000" u="1"/>
        <n v="4355005" u="1"/>
        <n v="4355015" u="1"/>
        <n v="4355035" u="1"/>
        <n v="4355039" u="1"/>
        <n v="4355048" u="1"/>
        <n v="4355051" u="1"/>
        <n v="4355073" u="1"/>
        <n v="4355091" u="1"/>
        <n v="4355095" u="1"/>
        <n v="4355096" u="1"/>
        <n v="4355101" u="1"/>
        <n v="4355104" u="1"/>
        <n v="4355110" u="1"/>
        <n v="4355113" u="1"/>
        <n v="4355115" u="1"/>
        <n v="4359370" u="1"/>
        <n v="4358816" u="1"/>
        <n v="4360431" u="1"/>
        <n v="4358868" u="1"/>
        <n v="4358870" u="1"/>
        <n v="4358871" u="1"/>
        <n v="4358873" u="1"/>
        <n v="4358876" u="1"/>
        <n v="4358878" u="1"/>
        <n v="4358879" u="1"/>
        <n v="4358880" u="1"/>
        <n v="4358883" u="1"/>
        <n v="4358884" u="1"/>
        <n v="4358888" u="1"/>
        <n v="4358898" u="1"/>
        <n v="4358965" u="1"/>
        <n v="4352375" u="1"/>
        <n v="4353471" u="1"/>
        <n v="4353481" u="1"/>
        <n v="4353509" u="1"/>
        <n v="4353533" u="1"/>
        <n v="4353570" u="1"/>
        <n v="4353571" u="1"/>
        <n v="4354025" u="1"/>
        <n v="4354780" u="1"/>
        <n v="4354938" u="1"/>
        <n v="4354940" u="1"/>
        <n v="4354942" u="1"/>
        <n v="4354944" u="1"/>
        <n v="4354982" u="1"/>
        <n v="4354984" u="1"/>
        <n v="4354987" u="1"/>
        <n v="4354995" u="1"/>
        <n v="4355004" u="1"/>
        <n v="4355014" u="1"/>
        <n v="4355020" u="1"/>
        <n v="4355021" u="1"/>
        <n v="4355032" u="1"/>
        <n v="4355036" u="1"/>
        <n v="4355040" u="1"/>
        <n v="4355041" u="1"/>
        <n v="4355042" u="1"/>
        <n v="4355049" u="1"/>
        <n v="4355067" u="1"/>
        <n v="4358119" u="1"/>
        <n v="4360505" u="1"/>
        <n v="4358861" u="1"/>
        <n v="4358862" u="1"/>
        <n v="4358863" u="1"/>
        <n v="4358864" u="1"/>
        <n v="4358977" u="1"/>
        <n v="4359178" u="1"/>
        <n v="4359422" u="1"/>
        <n v="4359423" u="1"/>
        <n v="4359427" u="1"/>
        <n v="4359428" u="1"/>
        <n v="4359429" u="1"/>
        <n v="4359431" u="1"/>
        <n v="4360043" u="1"/>
        <n v="4359075" u="1"/>
        <n v="4358869" u="1"/>
        <n v="4358872" u="1"/>
        <n v="4358885" u="1"/>
        <n v="4358886" u="1"/>
        <n v="4358890" u="1"/>
        <n v="4358893" u="1"/>
        <n v="4358894" u="1"/>
        <n v="4358896" u="1"/>
        <n v="4358897" u="1"/>
        <n v="4353470" u="1"/>
        <n v="4353476" u="1"/>
        <n v="4353477" u="1"/>
        <n v="4353506" u="1"/>
        <n v="4353534" u="1"/>
        <n v="4353564" u="1"/>
        <n v="4355012" u="1"/>
        <n v="4355027" u="1"/>
        <n v="4355045" u="1"/>
        <n v="4355052" u="1"/>
        <n v="4355058" u="1"/>
        <n v="4355107" u="1"/>
        <n v="4355114" u="1"/>
        <n v="4355116" u="1"/>
        <n v="4356975" u="1"/>
        <n v="4356976" u="1"/>
        <n v="4356977" u="1"/>
        <n v="4357914" u="1"/>
        <n v="4358029" u="1"/>
        <n v="4358030" u="1"/>
        <n v="4358892" u="1"/>
        <n v="4358142" u="1"/>
        <n v="4353461" u="1"/>
        <n v="4353464" u="1"/>
        <n v="4353474" u="1"/>
        <n v="4353488" u="1"/>
        <n v="4353495" u="1"/>
        <n v="4353569" u="1"/>
        <n v="4358115" u="1"/>
        <n v="4358815" u="1"/>
        <n v="4358822" u="1"/>
        <n v="4358828" u="1"/>
        <n v="4358141" u="1"/>
        <n v="4358143" u="1"/>
        <n v="4353522" u="1"/>
        <n v="4357112" u="1"/>
        <n v="4358263" u="1"/>
        <n v="4358760" u="1"/>
        <n v="4358802" u="1"/>
        <n v="4358804" u="1"/>
        <n v="4358812" u="1"/>
        <n v="4358821" u="1"/>
        <n v="4358826" u="1"/>
        <n v="4359424" u="1"/>
        <n v="4359426" u="1"/>
        <n v="4353452" u="1"/>
        <n v="4353453" u="1"/>
        <n v="4353467" u="1"/>
        <n v="4353501" u="1"/>
        <n v="4353526" u="1"/>
        <n v="4353532" u="1"/>
        <n v="4353885" u="1"/>
        <n v="4354778" u="1"/>
        <n v="4354989" u="1"/>
        <n v="4355001" u="1"/>
        <n v="4355033" u="1"/>
        <n v="4355106" u="1"/>
        <n v="4355108" u="1"/>
        <n v="4355111" u="1"/>
        <n v="4358979" u="1"/>
        <n v="4357123" u="1"/>
        <n v="4357214" u="1"/>
        <n v="4358270" u="1"/>
        <n v="4358271" u="1"/>
        <n v="4358272" u="1"/>
        <n v="4358801" u="1"/>
        <n v="4358807" u="1"/>
        <n v="4358813" u="1"/>
        <n v="4358827" u="1"/>
        <n v="4358829" u="1"/>
        <n v="4358830" u="1"/>
        <n v="4358831" u="1"/>
        <n v="4358832" u="1"/>
        <n v="4358833" u="1"/>
        <n v="4358834" u="1"/>
        <n v="4358837" u="1"/>
        <n v="4354945" u="1"/>
        <n v="4357891" u="1"/>
        <n v="4358072" u="1"/>
        <n v="4352354" u="1"/>
        <n v="4352378" u="1"/>
        <n v="4352986" u="1"/>
        <n v="4353124" u="1"/>
        <n v="4353460" u="1"/>
        <n v="4353472" u="1"/>
        <n v="4353480" u="1"/>
        <n v="4353485" u="1"/>
        <n v="4353489" u="1"/>
        <n v="4353500" u="1"/>
        <n v="4353505" u="1"/>
        <n v="4353518" u="1"/>
        <n v="4353531" u="1"/>
        <n v="4353547" u="1"/>
        <n v="4353548" u="1"/>
        <n v="4353549" u="1"/>
        <n v="4353550" u="1"/>
        <n v="4353551" u="1"/>
        <n v="4353552" u="1"/>
        <n v="4355098" u="1"/>
        <n v="4359046" u="1"/>
        <n v="4353537" u="1"/>
        <n v="4353538" u="1"/>
        <n v="4353540" u="1"/>
        <n v="4353542" u="1"/>
        <n v="4353543" u="1"/>
        <n v="4359045" u="1"/>
        <n v="4351970" u="1"/>
        <n v="4351987" u="1"/>
        <n v="4352008" u="1"/>
        <n v="4352021" u="1"/>
        <n v="4352029" u="1"/>
        <n v="4352030" u="1"/>
        <n v="4352056" u="1"/>
        <n v="4352060" u="1"/>
        <n v="4352132" u="1"/>
        <n v="4353450" u="1"/>
        <n v="4353451" u="1"/>
        <n v="4353458" u="1"/>
        <n v="4353465" u="1"/>
        <n v="4353468" u="1"/>
        <n v="4353493" u="1"/>
        <n v="4353507" u="1"/>
        <n v="4353508" u="1"/>
        <n v="4353517" u="1"/>
        <n v="4353519" u="1"/>
        <n v="4353523" u="1"/>
        <n v="4353544" u="1"/>
        <n v="4353545" u="1"/>
        <n v="4353546" u="1"/>
        <n v="4353562" u="1"/>
        <n v="4351484" u="1"/>
        <n v="4351962" u="1"/>
        <n v="4351968" u="1"/>
        <n v="4351977" u="1"/>
        <n v="4352014" u="1"/>
        <n v="4352016" u="1"/>
        <n v="4352031" u="1"/>
        <n v="4352039" u="1"/>
        <n v="4352063" u="1"/>
        <n v="4352069" u="1"/>
        <n v="4353449" u="1"/>
        <n v="4353463" u="1"/>
        <n v="4353478" u="1"/>
        <n v="4353479" u="1"/>
        <n v="4353487" u="1"/>
        <n v="4353494" u="1"/>
        <n v="4353498" u="1"/>
        <n v="4353499" u="1"/>
        <n v="4353502" u="1"/>
        <n v="4353513" u="1"/>
        <n v="4353514" u="1"/>
        <n v="4353515" u="1"/>
        <n v="4353527" u="1"/>
        <n v="4353528" u="1"/>
        <n v="4353535" u="1"/>
        <n v="4353536" u="1"/>
        <n v="4353553" u="1"/>
        <n v="4353554" u="1"/>
        <n v="4353555" u="1"/>
        <n v="4353556" u="1"/>
        <n v="4353557" u="1"/>
        <n v="4353558" u="1"/>
        <n v="4353559" u="1"/>
        <n v="4353560" u="1"/>
        <n v="4353563" u="1"/>
        <n v="4353566" u="1"/>
        <n v="4353568" u="1"/>
        <n v="4357197" u="1"/>
        <n v="4357198" u="1"/>
        <n v="4357199" u="1"/>
        <n v="4357200" u="1"/>
        <n v="4357801" u="1"/>
        <n v="4357802" u="1"/>
        <n v="4357803" u="1"/>
        <n v="4357804" u="1"/>
        <n v="4357805" u="1"/>
        <n v="4357806" u="1"/>
        <n v="4357807" u="1"/>
        <n v="4357808" u="1"/>
        <n v="4357809" u="1"/>
        <n v="4357810" u="1"/>
        <n v="4357811" u="1"/>
        <n v="4357812" u="1"/>
        <n v="4357813" u="1"/>
        <n v="4357814" u="1"/>
        <n v="4357815" u="1"/>
        <n v="4357816" u="1"/>
        <n v="4357925" u="1"/>
        <n v="4358262" u="1"/>
        <n v="4358759" u="1"/>
        <n v="4358805" u="1"/>
        <n v="4358808" u="1"/>
        <n v="4358814" u="1"/>
        <n v="4358817" u="1"/>
        <n v="4358823" u="1"/>
        <n v="4358835" u="1"/>
        <n v="4358895" u="1"/>
        <n v="4358031" u="1"/>
        <n v="4352023" u="1"/>
        <n v="4352062" u="1"/>
        <n v="4352072" u="1"/>
        <n v="4353510" u="1"/>
        <n v="4353520" u="1"/>
        <n v="4353521" u="1"/>
        <n v="4353524" u="1"/>
        <n v="4353525" u="1"/>
        <n v="4353529" u="1"/>
        <n v="4353539" u="1"/>
        <n v="4353541" u="1"/>
        <n v="4353565" u="1"/>
        <n v="4349182" u="1"/>
        <n v="4354045" u="1"/>
        <n v="4354046" u="1"/>
        <n v="4354047" u="1"/>
        <n v="4354049" u="1"/>
        <n v="4354054" u="1"/>
        <n v="4354060" u="1"/>
        <n v="4354068" u="1"/>
        <n v="4354753" u="1"/>
        <n v="4354475" u="1"/>
        <n v="4354649" u="1"/>
        <n v="4354652" u="1"/>
        <n v="4350349" u="1"/>
        <n v="4352009" u="1"/>
        <n v="4352015" u="1"/>
        <n v="4352020" u="1"/>
        <n v="4352042" u="1"/>
        <n v="4352057" u="1"/>
        <n v="4352061" u="1"/>
        <n v="4352064" u="1"/>
        <n v="4352066" u="1"/>
        <n v="4352070" u="1"/>
        <n v="4352073" u="1"/>
        <n v="4352074" u="1"/>
        <n v="4352330" u="1"/>
        <n v="4352852" u="1"/>
        <n v="4353459" u="1"/>
        <n v="4353462" u="1"/>
        <n v="4353496" u="1"/>
        <n v="4353504" u="1"/>
        <n v="4353511" u="1"/>
        <n v="4353530" u="1"/>
        <n v="4353561" u="1"/>
        <n v="4355029" u="1"/>
        <n v="4355053" u="1"/>
        <n v="4355054" u="1"/>
        <n v="4354055" u="1"/>
        <n v="4354056" u="1"/>
        <n v="4354057" u="1"/>
        <n v="4354058" u="1"/>
        <n v="4354063" u="1"/>
        <n v="4354066" u="1"/>
        <n v="4354067" u="1"/>
        <n v="4354069" u="1"/>
        <n v="4353921" u="1"/>
        <n v="4353922" u="1"/>
        <n v="4354751" u="1"/>
        <n v="4354752" u="1"/>
        <n v="4354754" u="1"/>
        <n v="4354755" u="1"/>
        <n v="4354756" u="1"/>
        <n v="4356779" u="1"/>
        <n v="4356780" u="1"/>
        <n v="4358790" u="1"/>
        <n v="4358791" u="1"/>
        <n v="4358792" u="1"/>
        <n v="4358793" u="1"/>
        <n v="4351485" u="1"/>
        <n v="4351969" u="1"/>
        <n v="4351976" u="1"/>
        <n v="4351988" u="1"/>
        <n v="4351999" u="1"/>
        <n v="4352040" u="1"/>
        <n v="4353512" u="1"/>
        <n v="4354042" u="1"/>
        <n v="4354044" u="1"/>
        <n v="4354050" u="1"/>
        <n v="4354051" u="1"/>
        <n v="4354052" u="1"/>
        <n v="4354053" u="1"/>
        <n v="4354065" u="1"/>
        <n v="4354425" u="1"/>
        <n v="4354485" u="1"/>
        <n v="4355154" u="1"/>
        <n v="4353927" u="1"/>
        <n v="4353928" u="1"/>
        <n v="4353932" u="1"/>
        <n v="4353933" u="1"/>
        <n v="4353934" u="1"/>
        <n v="4353935" u="1"/>
        <n v="4353936" u="1"/>
        <n v="4357048" u="1"/>
        <n v="4357049" u="1"/>
        <n v="4357050" u="1"/>
        <n v="4354172" u="1"/>
        <n v="4350588" u="1"/>
        <n v="4350890" u="1"/>
        <n v="4350981" u="1"/>
        <n v="4351017" u="1"/>
        <n v="4351997" u="1"/>
        <n v="4352034" u="1"/>
        <n v="4352036" u="1"/>
        <n v="4352052" u="1"/>
        <n v="4352068" u="1"/>
        <n v="4352081" u="1"/>
        <n v="4352087" u="1"/>
        <n v="4352092" u="1"/>
        <n v="4349906" u="1"/>
        <n v="4354043" u="1"/>
        <n v="4354048" u="1"/>
        <n v="4354064" u="1"/>
        <n v="4355148" u="1"/>
        <n v="4356240" u="1"/>
        <n v="4353923" u="1"/>
        <n v="4353924" u="1"/>
        <n v="4353925" u="1"/>
        <n v="4353926" u="1"/>
        <n v="4357141" u="1"/>
        <n v="4357142" u="1"/>
        <n v="4352431" u="1"/>
        <n v="4352436" u="1"/>
        <n v="4351985" u="1"/>
        <n v="4352065" u="1"/>
        <n v="4352085" u="1"/>
        <n v="4353469" u="1"/>
        <n v="4353484" u="1"/>
        <n v="4354059" u="1"/>
        <n v="4354061" u="1"/>
        <n v="4354062" u="1"/>
        <n v="4354484" u="1"/>
        <n v="4355156" u="1"/>
        <n v="4355157" u="1"/>
        <n v="4356961" u="1"/>
        <n v="4352435" u="1"/>
        <n v="4354084" u="1"/>
        <n v="4354142" u="1"/>
        <n v="4350502" u="1"/>
        <n v="4350534" u="1"/>
        <n v="4352077" u="1"/>
        <n v="4352090" u="1"/>
        <n v="4348599" u="1"/>
        <n v="4353575" u="1"/>
        <n v="4354426" u="1"/>
        <n v="4354427" u="1"/>
        <n v="4355149" u="1"/>
        <n v="4355150" u="1"/>
        <n v="4355151" u="1"/>
        <n v="4355152" u="1"/>
        <n v="4355153" u="1"/>
        <n v="4355155" u="1"/>
        <n v="4351163" u="1"/>
        <n v="4351399" u="1"/>
        <n v="4351981" u="1"/>
        <n v="4352022" u="1"/>
        <n v="4355158" u="1"/>
        <n v="4354104" u="1"/>
        <n v="4354653" u="1"/>
        <n v="4357119" u="1"/>
        <n v="4357882" u="1"/>
        <n v="4352037" u="1"/>
        <n v="4352033" u="1"/>
        <n v="4350568" u="1"/>
        <n v="4350569" u="1"/>
        <n v="4350579" u="1"/>
        <n v="4350594" u="1"/>
        <n v="4351459" u="1"/>
        <n v="4351519" u="1"/>
        <n v="4351975" u="1"/>
        <n v="4351979" u="1"/>
        <n v="4351982" u="1"/>
        <n v="4351983" u="1"/>
        <n v="4351995" u="1"/>
        <n v="4352001" u="1"/>
        <n v="4352018" u="1"/>
        <n v="4352019" u="1"/>
        <n v="4352032" u="1"/>
        <n v="4352038" u="1"/>
        <n v="4352041" u="1"/>
        <n v="4352051" u="1"/>
        <n v="4352053" u="1"/>
        <n v="4352054" u="1"/>
        <n v="4352055" u="1"/>
        <n v="4352058" u="1"/>
        <n v="4352059" u="1"/>
        <n v="4352071" u="1"/>
        <n v="4350580" u="1"/>
        <n v="4350582" u="1"/>
        <n v="4351964" u="1"/>
        <n v="4351965" u="1"/>
        <n v="4351972" u="1"/>
        <n v="4352075" u="1"/>
        <n v="4351948" u="1"/>
        <n v="4352750" u="1"/>
        <n v="4353860" u="1"/>
        <n v="4353114" u="1"/>
        <n v="4353115" u="1"/>
        <n v="4353116" u="1"/>
        <n v="4353119" u="1"/>
        <n v="4352534" u="1"/>
        <n v="4351460" u="1"/>
        <n v="4351966" u="1"/>
        <n v="4351971" u="1"/>
        <n v="4351989" u="1"/>
        <n v="4351993" u="1"/>
        <n v="4351996" u="1"/>
        <n v="4352003" u="1"/>
        <n v="4352010" u="1"/>
        <n v="4352013" u="1"/>
        <n v="4352035" u="1"/>
        <n v="4352046" u="1"/>
        <n v="4352047" u="1"/>
        <n v="4352048" u="1"/>
        <n v="4352049" u="1"/>
        <n v="4352050" u="1"/>
        <n v="4352091" u="1"/>
        <n v="4352527" u="1"/>
        <n v="4352528" u="1"/>
        <n v="4350483" u="1"/>
        <n v="4350514" u="1"/>
        <n v="4350542" u="1"/>
        <n v="4350576" u="1"/>
        <n v="4350577" u="1"/>
        <n v="4350583" u="1"/>
        <n v="4350590" u="1"/>
        <n v="4351518" u="1"/>
        <n v="4351520" u="1"/>
        <n v="4351963" u="1"/>
        <n v="4351973" u="1"/>
        <n v="4351978" u="1"/>
        <n v="4351984" u="1"/>
        <n v="4351986" u="1"/>
        <n v="4351992" u="1"/>
        <n v="4352000" u="1"/>
        <n v="4352002" u="1"/>
        <n v="4352005" u="1"/>
        <n v="4352025" u="1"/>
        <n v="4352043" u="1"/>
        <n v="4352044" u="1"/>
        <n v="4352045" u="1"/>
        <n v="4352067" u="1"/>
        <n v="4352076" u="1"/>
        <n v="4352078" u="1"/>
        <n v="4352080" u="1"/>
        <n v="4352084" u="1"/>
        <n v="4352086" u="1"/>
        <n v="4352088" u="1"/>
        <n v="4352365" u="1"/>
        <n v="4352979" u="1"/>
        <n v="4352525" u="1"/>
        <n v="4352526" u="1"/>
        <n v="4352529" u="1"/>
        <n v="4353031" u="1"/>
        <n v="4353032" u="1"/>
        <n v="4351166" u="1"/>
        <n v="4351481" u="1"/>
        <n v="4351967" u="1"/>
        <n v="4351991" u="1"/>
        <n v="4352007" u="1"/>
        <n v="4352011" u="1"/>
        <n v="4357182" u="1"/>
        <n v="4352453" u="1"/>
        <n v="4352454" u="1"/>
        <n v="4352457" u="1"/>
        <n v="4352756" u="1"/>
        <n v="4352758" u="1"/>
        <n v="4352759" u="1"/>
        <n v="4352843" u="1"/>
        <n v="4352977" u="1"/>
        <n v="4352118" u="1"/>
        <n v="4352120" u="1"/>
        <n v="4352321" u="1"/>
        <n v="4352322" u="1"/>
        <n v="4352366" u="1"/>
        <n v="4350390" u="1"/>
        <n v="4350557" u="1"/>
        <n v="4351961" u="1"/>
        <n v="4351974" u="1"/>
        <n v="4351980" u="1"/>
        <n v="4351994" u="1"/>
        <n v="4351998" u="1"/>
        <n v="4352004" u="1"/>
        <n v="4352006" u="1"/>
        <n v="4352012" u="1"/>
        <n v="4352017" u="1"/>
        <n v="4352024" u="1"/>
        <n v="4352026" u="1"/>
        <n v="4352079" u="1"/>
        <n v="4352089" u="1"/>
        <n v="4352448" u="1"/>
        <n v="4352449" u="1"/>
        <n v="4352847" u="1"/>
        <n v="4352864" u="1"/>
        <n v="4352978" u="1"/>
        <n v="4353859" u="1"/>
        <n v="4353985" u="1"/>
        <n v="4353986" u="1"/>
        <n v="4353989" u="1"/>
        <n v="4353990" u="1"/>
        <n v="4353991" u="1"/>
        <n v="4354118" u="1"/>
        <n v="4354124" u="1"/>
        <n v="4350396" u="1"/>
        <n v="4350551" u="1"/>
        <n v="4352027" u="1"/>
        <n v="4352028" u="1"/>
        <n v="4352363" u="1"/>
        <n v="4352450" u="1"/>
        <n v="4352506" u="1"/>
        <n v="4352557" u="1"/>
        <n v="4353982" u="1"/>
        <n v="4353983" u="1"/>
        <n v="4353984" u="1"/>
        <n v="4353987" u="1"/>
        <n v="4353988" u="1"/>
        <n v="4352129" u="1"/>
        <n v="4352119" u="1"/>
        <n v="4352555" u="1"/>
        <n v="4352556" u="1"/>
        <n v="4352559" u="1"/>
        <n v="4352560" u="1"/>
        <n v="4352821" u="1"/>
        <n v="4352822" u="1"/>
        <n v="4352823" u="1"/>
        <n v="4352824" u="1"/>
        <n v="4352825" u="1"/>
        <n v="4352827" u="1"/>
        <n v="4352828" u="1"/>
        <n v="4352829" u="1"/>
        <n v="4352830" u="1"/>
        <n v="4352831" u="1"/>
        <n v="4352834" u="1"/>
        <n v="4354078" u="1"/>
        <n v="4352116" u="1"/>
        <n v="4352364" u="1"/>
        <n v="4350537" u="1"/>
        <n v="4350543" u="1"/>
        <n v="4350559" u="1"/>
        <n v="4350562" u="1"/>
        <n v="4350564" u="1"/>
        <n v="4350570" u="1"/>
        <n v="4350575" u="1"/>
        <n v="4351990" u="1"/>
        <n v="4352083" u="1"/>
        <n v="4352373" u="1"/>
        <n v="4352451" u="1"/>
        <n v="4352452" u="1"/>
        <n v="4352558" u="1"/>
        <n v="4352826" u="1"/>
        <n v="4352832" u="1"/>
        <n v="4352833" u="1"/>
        <n v="4352841" u="1"/>
        <n v="4353929" u="1"/>
        <n v="4353930" u="1"/>
        <n v="4353931" u="1"/>
        <n v="4350397" u="1"/>
        <n v="4350586" u="1"/>
        <n v="4352082" u="1"/>
        <n v="4350505" u="1"/>
        <n v="4350509" u="1"/>
        <n v="4350528" u="1"/>
        <n v="4350532" u="1"/>
        <n v="4350545" u="1"/>
        <n v="4350550" u="1"/>
        <n v="4350565" u="1"/>
        <n v="4350571" u="1"/>
        <n v="4350572" u="1"/>
        <n v="4350574" u="1"/>
        <n v="4350584" u="1"/>
        <n v="4350592" u="1"/>
        <n v="4350484" u="1"/>
        <n v="4350496" u="1"/>
        <n v="4350519" u="1"/>
        <n v="4352430" u="1"/>
        <n v="4354102" u="1"/>
        <n v="4354109" u="1"/>
        <n v="4348692" u="1"/>
        <n v="4349800" u="1"/>
        <n v="4350386" u="1"/>
        <n v="4350387" u="1"/>
        <n v="4350388" u="1"/>
        <n v="4350389" u="1"/>
        <n v="4350400" u="1"/>
        <n v="4350482" u="1"/>
        <n v="4350486" u="1"/>
        <n v="4350490" u="1"/>
        <n v="4350491" u="1"/>
        <n v="4350494" u="1"/>
        <n v="4350495" u="1"/>
        <n v="4350497" u="1"/>
        <n v="4350498" u="1"/>
        <n v="4350501" u="1"/>
        <n v="4350503" u="1"/>
        <n v="4350504" u="1"/>
        <n v="4350506" u="1"/>
        <n v="4350510" u="1"/>
        <n v="4350511" u="1"/>
        <n v="4350515" u="1"/>
        <n v="4350518" u="1"/>
        <n v="4350521" u="1"/>
        <n v="4350523" u="1"/>
        <n v="4350524" u="1"/>
        <n v="4350525" u="1"/>
        <n v="4350526" u="1"/>
        <n v="4350527" u="1"/>
        <n v="4350529" u="1"/>
        <n v="4350530" u="1"/>
        <n v="4350535" u="1"/>
        <n v="4350536" u="1"/>
        <n v="4350540" u="1"/>
        <n v="4350541" u="1"/>
        <n v="4350544" u="1"/>
        <n v="4350546" u="1"/>
        <n v="4350549" u="1"/>
        <n v="4350552" u="1"/>
        <n v="4350553" u="1"/>
        <n v="4350556" u="1"/>
        <n v="4350560" u="1"/>
        <n v="4350561" u="1"/>
        <n v="4350563" u="1"/>
        <n v="4350567" u="1"/>
        <n v="4350573" u="1"/>
        <n v="4350578" u="1"/>
        <n v="4350581" u="1"/>
        <n v="4350587" u="1"/>
        <n v="4350589" u="1"/>
        <n v="4350591" u="1"/>
        <n v="4350593" u="1"/>
        <n v="4350595" u="1"/>
        <n v="4351424" u="1"/>
        <n v="4347252" u="1"/>
        <n v="4347521" u="1"/>
        <n v="4347589" u="1"/>
        <n v="4347625" u="1"/>
        <n v="4348432" u="1"/>
        <n v="4348436" u="1"/>
        <n v="4348605" u="1"/>
        <n v="4348619" u="1"/>
        <n v="4348621" u="1"/>
        <n v="4348632" u="1"/>
        <n v="4348633" u="1"/>
        <n v="4348636" u="1"/>
        <n v="4348656" u="1"/>
        <n v="4348672" u="1"/>
        <n v="4348679" u="1"/>
        <n v="4348686" u="1"/>
        <n v="4348691" u="1"/>
        <n v="4350391" u="1"/>
        <n v="4350485" u="1"/>
        <n v="4350508" u="1"/>
        <n v="4350531" u="1"/>
        <n v="4350533" u="1"/>
        <n v="4350548" u="1"/>
        <n v="4350555" u="1"/>
        <n v="4350566" u="1"/>
        <n v="4350585" u="1"/>
        <n v="4351527" u="1"/>
        <n v="4351528" u="1"/>
        <n v="4351529" u="1"/>
        <n v="4351530" u="1"/>
        <n v="4351532" u="1"/>
        <n v="4351535" u="1"/>
        <n v="4351544" u="1"/>
        <n v="4351549" u="1"/>
        <n v="4348612" u="1"/>
        <n v="4348659" u="1"/>
        <n v="4348661" u="1"/>
        <n v="4348673" u="1"/>
        <n v="4348676" u="1"/>
        <n v="4348678" u="1"/>
        <n v="4348682" u="1"/>
        <n v="4352744" u="1"/>
        <n v="4353955" u="1"/>
        <n v="4350923" u="1"/>
        <n v="4350926" u="1"/>
        <n v="4350929" u="1"/>
        <n v="4350935" u="1"/>
        <n v="4351525" u="1"/>
        <n v="4351526" u="1"/>
        <n v="4351531" u="1"/>
        <n v="4351533" u="1"/>
        <n v="4351534" u="1"/>
        <n v="4351536" u="1"/>
        <n v="4351538" u="1"/>
        <n v="4351539" u="1"/>
        <n v="4351540" u="1"/>
        <n v="4351541" u="1"/>
        <n v="4351542" u="1"/>
        <n v="4351543" u="1"/>
        <n v="4351545" u="1"/>
        <n v="4351546" u="1"/>
        <n v="4351547" u="1"/>
        <n v="4351548" u="1"/>
        <n v="4351550" u="1"/>
        <n v="4351735" u="1"/>
        <n v="4351738" u="1"/>
        <n v="4351751" u="1"/>
        <n v="4351808" u="1"/>
        <n v="4351823" u="1"/>
        <n v="4350856" u="1"/>
        <n v="4350857" u="1"/>
        <n v="4350858" u="1"/>
        <n v="4351356" u="1"/>
        <n v="4351112" u="1"/>
        <n v="4351180" u="1"/>
        <n v="4351461" u="1"/>
        <n v="4348426" u="1"/>
        <n v="4348428" u="1"/>
        <n v="4348439" u="1"/>
        <n v="4348624" u="1"/>
        <n v="4348639" u="1"/>
        <n v="4348652" u="1"/>
        <n v="4348660" u="1"/>
        <n v="4348662" u="1"/>
        <n v="4348670" u="1"/>
        <n v="4348684" u="1"/>
        <n v="4348706" u="1"/>
        <n v="4348714" u="1"/>
        <n v="4354032" u="1"/>
        <n v="4351730" u="1"/>
        <n v="4351736" u="1"/>
        <n v="4351740" u="1"/>
        <n v="4351775" u="1"/>
        <n v="4351806" u="1"/>
        <n v="4351822" u="1"/>
        <n v="4352111" u="1"/>
        <n v="4345060" u="1"/>
        <n v="4347605" u="1"/>
        <n v="4348601" u="1"/>
        <n v="4348614" u="1"/>
        <n v="4348644" u="1"/>
        <n v="4348654" u="1"/>
        <n v="4348680" u="1"/>
        <n v="4348685" u="1"/>
        <n v="4353977" u="1"/>
        <n v="4348600" u="1"/>
        <n v="4349184" u="1"/>
        <n v="4349186" u="1"/>
        <n v="4351731" u="1"/>
        <n v="4351737" u="1"/>
        <n v="4351763" u="1"/>
        <n v="4351801" u="1"/>
        <n v="4351835" u="1"/>
        <n v="4352114" u="1"/>
        <n v="4352115" u="1"/>
        <n v="4348615" u="1"/>
        <n v="4348651" u="1"/>
        <n v="4348689" u="1"/>
        <n v="4348711" u="1"/>
        <n v="4348718" u="1"/>
        <n v="4350558" u="1"/>
        <n v="4351762" u="1"/>
        <n v="4351774" u="1"/>
        <n v="4351804" u="1"/>
        <n v="4352108" u="1"/>
        <n v="4350960" u="1"/>
        <n v="4352487" u="1"/>
        <n v="4348431" u="1"/>
        <n v="4348623" u="1"/>
        <n v="4348627" u="1"/>
        <n v="4348629" u="1"/>
        <n v="4348705" u="1"/>
        <n v="4348709" u="1"/>
        <n v="4348712" u="1"/>
        <n v="4350481" u="1"/>
        <n v="4354071" u="1"/>
        <n v="4351739" u="1"/>
        <n v="4351802" u="1"/>
        <n v="4351803" u="1"/>
        <n v="4351807" u="1"/>
        <n v="4352104" u="1"/>
        <n v="4352105" u="1"/>
        <n v="4352106" u="1"/>
        <n v="4350346" u="1"/>
        <n v="4348606" u="1"/>
        <n v="4348681" u="1"/>
        <n v="4348693" u="1"/>
        <n v="4350554" u="1"/>
        <n v="4351733" u="1"/>
        <n v="4351821" u="1"/>
        <n v="4351825" u="1"/>
        <n v="4351826" u="1"/>
        <n v="4351834" u="1"/>
        <n v="4352113" u="1"/>
        <n v="4351357" u="1"/>
        <n v="4348663" u="1"/>
        <n v="4348677" u="1"/>
        <n v="4348695" u="1"/>
        <n v="4348719" u="1"/>
        <n v="4349058" u="1"/>
        <n v="4349066" u="1"/>
        <n v="4349086" u="1"/>
        <n v="4349094" u="1"/>
        <n v="4349099" u="1"/>
        <n v="4349102" u="1"/>
        <n v="4351021" u="1"/>
        <n v="4351425" u="1"/>
        <n v="4351428" u="1"/>
        <n v="4352130" u="1"/>
        <n v="4348429" u="1"/>
        <n v="4348498" u="1"/>
        <n v="4348616" u="1"/>
        <n v="4348617" u="1"/>
        <n v="4348642" u="1"/>
        <n v="4348650" u="1"/>
        <n v="4348666" u="1"/>
        <n v="4353978" u="1"/>
        <n v="4350630" u="1"/>
        <n v="4351537" u="1"/>
        <n v="4351732" u="1"/>
        <n v="4351734" u="1"/>
        <n v="4351805" u="1"/>
        <n v="4351824" u="1"/>
        <n v="4351833" u="1"/>
        <n v="4352109" u="1"/>
        <n v="4352110" u="1"/>
        <n v="4352112" u="1"/>
        <n v="4350015" u="1"/>
        <n v="4350016" u="1"/>
        <n v="4350017" u="1"/>
        <n v="4348310" u="1"/>
        <n v="4348312" u="1"/>
        <n v="4348602" u="1"/>
        <n v="4348603" u="1"/>
        <n v="4348607" u="1"/>
        <n v="4348611" u="1"/>
        <n v="4348618" u="1"/>
        <n v="4348622" u="1"/>
        <n v="4348631" u="1"/>
        <n v="4348640" u="1"/>
        <n v="4348645" u="1"/>
        <n v="4348646" u="1"/>
        <n v="4348655" u="1"/>
        <n v="4348658" u="1"/>
        <n v="4348690" u="1"/>
        <n v="4351513" u="1"/>
        <n v="4350936" u="1"/>
        <n v="4351026" u="1"/>
        <n v="4351071" u="1"/>
        <n v="4351420" u="1"/>
        <n v="4351421" u="1"/>
        <n v="4351422" u="1"/>
        <n v="4351423" u="1"/>
        <n v="4351426" u="1"/>
        <n v="4351427" u="1"/>
        <n v="4351817" u="1"/>
        <n v="4352131" u="1"/>
        <n v="4352324" u="1"/>
        <n v="4348667" u="1"/>
        <n v="4348671" u="1"/>
        <n v="4351463" u="1"/>
        <n v="4348687" u="1"/>
        <n v="4351419" u="1"/>
        <n v="4348700" u="1"/>
        <n v="4348717" u="1"/>
        <n v="4344818" u="1"/>
        <n v="4344840" u="1"/>
        <n v="4344852" u="1"/>
        <n v="4345588" u="1"/>
        <n v="4346144" u="1"/>
        <n v="4346149" u="1"/>
        <n v="4346159" u="1"/>
        <n v="4346274" u="1"/>
        <n v="4346442" u="1"/>
        <n v="4347628" u="1"/>
        <n v="4347638" u="1"/>
        <n v="4348430" u="1"/>
        <n v="4348440" u="1"/>
        <n v="4348604" u="1"/>
        <n v="4348630" u="1"/>
        <n v="4348657" u="1"/>
        <n v="4348683" u="1"/>
        <n v="4348697" u="1"/>
        <n v="4348704" u="1"/>
        <n v="4348721" u="1"/>
        <n v="4349805" u="1"/>
        <n v="4350209" u="1"/>
        <n v="4350006" u="1"/>
        <n v="4350007" u="1"/>
        <n v="4350008" u="1"/>
        <n v="4350014" u="1"/>
        <n v="4353067" u="1"/>
        <n v="4348427" u="1"/>
        <n v="4348609" u="1"/>
        <n v="4348648" u="1"/>
        <n v="4348653" u="1"/>
        <n v="4348664" u="1"/>
        <n v="4348688" u="1"/>
        <n v="4348707" u="1"/>
        <n v="4348708" u="1"/>
        <n v="4348710" u="1"/>
        <n v="4348713" u="1"/>
        <n v="4348722" u="1"/>
        <n v="4348470" u="1"/>
        <n v="4349156" u="1"/>
        <n v="4349808" u="1"/>
        <n v="4349822" u="1"/>
        <n v="4349823" u="1"/>
        <n v="4349827" u="1"/>
        <n v="4349842" u="1"/>
        <n v="4349848" u="1"/>
        <n v="4349855" u="1"/>
        <n v="4349856" u="1"/>
        <n v="4349859" u="1"/>
        <n v="4349860" u="1"/>
        <n v="4350027" u="1"/>
        <n v="4350145" u="1"/>
        <n v="4350152" u="1"/>
        <n v="4350164" u="1"/>
        <n v="4350179" u="1"/>
        <n v="4350183" u="1"/>
        <n v="4350186" u="1"/>
        <n v="4350188" u="1"/>
        <n v="4350189" u="1"/>
        <n v="4350190" u="1"/>
        <n v="4350205" u="1"/>
        <n v="4350381" u="1"/>
        <n v="4350600" u="1"/>
        <n v="4350643" u="1"/>
        <n v="4350644" u="1"/>
        <n v="4350647" u="1"/>
        <n v="4350649" u="1"/>
        <n v="4350650" u="1"/>
        <n v="4350651" u="1"/>
        <n v="4350652" u="1"/>
        <n v="4350653" u="1"/>
        <n v="4350654" u="1"/>
        <n v="4350655" u="1"/>
        <n v="4350656" u="1"/>
        <n v="4350657" u="1"/>
        <n v="4350658" u="1"/>
        <n v="4350659" u="1"/>
        <n v="4350661" u="1"/>
        <n v="4350662" u="1"/>
        <n v="4349620" u="1"/>
        <n v="4349961" u="1"/>
        <n v="4349962" u="1"/>
        <n v="4349963" u="1"/>
        <n v="4349964" u="1"/>
        <n v="4349965" u="1"/>
        <n v="4349966" u="1"/>
        <n v="4349967" u="1"/>
        <n v="4349968" u="1"/>
        <n v="4349969" u="1"/>
        <n v="4349970" u="1"/>
        <n v="4349971" u="1"/>
        <n v="4349972" u="1"/>
        <n v="4349973" u="1"/>
        <n v="4349974" u="1"/>
        <n v="4349975" u="1"/>
        <n v="4350002" u="1"/>
        <n v="4350003" u="1"/>
        <n v="4350168" u="1"/>
        <n v="4344778" u="1"/>
        <n v="4344784" u="1"/>
        <n v="4344788" u="1"/>
        <n v="4344792" u="1"/>
        <n v="4344808" u="1"/>
        <n v="4344858" u="1"/>
        <n v="4348643" u="1"/>
        <n v="4348649" u="1"/>
        <n v="4348674" u="1"/>
        <n v="4348694" u="1"/>
        <n v="4348696" u="1"/>
        <n v="4348698" u="1"/>
        <n v="4348699" u="1"/>
        <n v="4348701" u="1"/>
        <n v="4348702" u="1"/>
        <n v="4348703" u="1"/>
        <n v="4348715" u="1"/>
        <n v="4348716" u="1"/>
        <n v="4349458" u="1"/>
        <n v="4349459" u="1"/>
        <n v="4349460" u="1"/>
        <n v="4349801" u="1"/>
        <n v="4349806" u="1"/>
        <n v="4349807" u="1"/>
        <n v="4349810" u="1"/>
        <n v="4349813" u="1"/>
        <n v="4349814" u="1"/>
        <n v="4349818" u="1"/>
        <n v="4349824" u="1"/>
        <n v="4349825" u="1"/>
        <n v="4349828" u="1"/>
        <n v="4349831" u="1"/>
        <n v="4349844" u="1"/>
        <n v="4349845" u="1"/>
        <n v="4349850" u="1"/>
        <n v="4349851" u="1"/>
        <n v="4349853" u="1"/>
        <n v="4348992" u="1"/>
        <n v="4348995" u="1"/>
        <n v="4349044" u="1"/>
        <n v="4349046" u="1"/>
        <n v="4349048" u="1"/>
        <n v="4349051" u="1"/>
        <n v="4349054" u="1"/>
        <n v="4349057" u="1"/>
        <n v="4349060" u="1"/>
        <n v="4349063" u="1"/>
        <n v="4349065" u="1"/>
        <n v="4349070" u="1"/>
        <n v="4349076" u="1"/>
        <n v="4349083" u="1"/>
        <n v="4349085" u="1"/>
        <n v="4349087" u="1"/>
        <n v="4349098" u="1"/>
        <n v="4350009" u="1"/>
        <n v="4344772" u="1"/>
        <n v="4344781" u="1"/>
        <n v="4344789" u="1"/>
        <n v="4344828" u="1"/>
        <n v="4344842" u="1"/>
        <n v="4344846" u="1"/>
        <n v="4344859" u="1"/>
        <n v="4344894" u="1"/>
        <n v="4345352" u="1"/>
        <n v="4348307" u="1"/>
        <n v="4348315" u="1"/>
        <n v="4348647" u="1"/>
        <n v="4350522" u="1"/>
        <n v="4351840" u="1"/>
        <n v="4352341" u="1"/>
        <n v="4352342" u="1"/>
        <n v="4352343" u="1"/>
        <n v="4352344" u="1"/>
        <n v="4352345" u="1"/>
        <n v="4353023" u="1"/>
        <n v="4349802" u="1"/>
        <n v="4349809" u="1"/>
        <n v="4349811" u="1"/>
        <n v="4349830" u="1"/>
        <n v="4349837" u="1"/>
        <n v="4349838" u="1"/>
        <n v="4349841" u="1"/>
        <n v="4349843" u="1"/>
        <n v="4349862" u="1"/>
        <n v="4349898" u="1"/>
        <n v="4349899" u="1"/>
        <n v="4350113" u="1"/>
        <n v="4350114" u="1"/>
        <n v="4350641" u="1"/>
        <n v="4350660" u="1"/>
        <n v="4349050" u="1"/>
        <n v="4349059" u="1"/>
        <n v="4349976" u="1"/>
        <n v="4349977" u="1"/>
        <n v="4349978" u="1"/>
        <n v="4349979" u="1"/>
        <n v="4349980" u="1"/>
        <n v="4350001" u="1"/>
        <n v="4350004" u="1"/>
        <n v="4350005" u="1"/>
        <n v="4344760" u="1"/>
        <n v="4344761" u="1"/>
        <n v="4344805" u="1"/>
        <n v="4348309" u="1"/>
        <n v="4348311" u="1"/>
        <n v="4348313" u="1"/>
        <n v="4348720" u="1"/>
        <n v="4349804" u="1"/>
        <n v="4349821" u="1"/>
        <n v="4349826" u="1"/>
        <n v="4349832" u="1"/>
        <n v="4349835" u="1"/>
        <n v="4349836" u="1"/>
        <n v="4349897" u="1"/>
        <n v="4349900" u="1"/>
        <n v="4349901" u="1"/>
        <n v="4350642" u="1"/>
        <n v="4350645" u="1"/>
        <n v="4350646" u="1"/>
        <n v="4350648" u="1"/>
        <n v="4350663" u="1"/>
        <n v="4350665" u="1"/>
        <n v="4350010" u="1"/>
        <n v="4352749" u="1"/>
        <n v="4350547" u="1"/>
        <n v="4349435" u="1"/>
        <n v="4349803" u="1"/>
        <n v="4349812" u="1"/>
        <n v="4349815" u="1"/>
        <n v="4349816" u="1"/>
        <n v="4349817" u="1"/>
        <n v="4349819" u="1"/>
        <n v="4349820" u="1"/>
        <n v="4349829" u="1"/>
        <n v="4349839" u="1"/>
        <n v="4349863" u="1"/>
        <n v="4350664" u="1"/>
        <n v="4350863" u="1"/>
        <n v="4350881" u="1"/>
        <n v="4349067" u="1"/>
        <n v="4345590" u="1"/>
        <n v="4348308" u="1"/>
        <n v="4349834" u="1"/>
        <n v="4349847" u="1"/>
        <n v="4349858" u="1"/>
        <n v="4349861" u="1"/>
        <n v="4351509" u="1"/>
        <n v="4348993" u="1"/>
        <n v="4348994" u="1"/>
        <n v="4348997" u="1"/>
        <n v="4348998" u="1"/>
        <n v="4348999" u="1"/>
        <n v="4349041" u="1"/>
        <n v="4349043" u="1"/>
        <n v="4349100" u="1"/>
        <n v="4349103" u="1"/>
        <n v="4349104" u="1"/>
        <n v="4349107" u="1"/>
        <n v="4349867" u="1"/>
        <n v="4349868" u="1"/>
        <n v="4349886" u="1"/>
        <n v="4349888" u="1"/>
        <n v="4349893" u="1"/>
        <n v="4349894" u="1"/>
        <n v="4350011" u="1"/>
        <n v="4350012" u="1"/>
        <n v="4350013" u="1"/>
        <n v="4348418" u="1"/>
        <n v="4344785" u="1"/>
        <n v="4349833" u="1"/>
        <n v="4349840" u="1"/>
        <n v="4349846" u="1"/>
        <n v="4349849" u="1"/>
        <n v="4349857" u="1"/>
        <n v="4350624" u="1"/>
        <n v="4350874" u="1"/>
        <n v="4350877" u="1"/>
        <n v="4350884" u="1"/>
        <n v="4349108" u="1"/>
        <n v="4349110" u="1"/>
        <n v="4349890" u="1"/>
        <n v="4350924" u="1"/>
        <n v="4348416" u="1"/>
        <n v="4348417" u="1"/>
        <n v="4348419" u="1"/>
        <n v="4349002" u="1"/>
        <n v="4349003" u="1"/>
        <n v="4349009" u="1"/>
        <n v="4349010" u="1"/>
        <n v="4349011" u="1"/>
        <n v="4349012" u="1"/>
        <n v="4349013" u="1"/>
        <n v="4349014" u="1"/>
        <n v="4350347" u="1"/>
        <n v="4348316" u="1"/>
        <n v="4348669" u="1"/>
        <n v="4348675" u="1"/>
        <n v="4349101" u="1"/>
        <n v="4349105" u="1"/>
        <n v="4349111" u="1"/>
        <n v="4349882" u="1"/>
        <n v="4349883" u="1"/>
        <n v="4349884" u="1"/>
        <n v="4349885" u="1"/>
        <n v="4349887" u="1"/>
        <n v="4350925" u="1"/>
        <n v="4352323" u="1"/>
        <n v="4344786" u="1"/>
        <n v="4349047" u="1"/>
        <n v="4349052" u="1"/>
        <n v="4349053" u="1"/>
        <n v="4349055" u="1"/>
        <n v="4349072" u="1"/>
        <n v="4349073" u="1"/>
        <n v="4349078" u="1"/>
        <n v="4349080" u="1"/>
        <n v="4349106" u="1"/>
        <n v="4349891" u="1"/>
        <n v="4350048" u="1"/>
        <n v="4344800" u="1"/>
        <n v="4344803" u="1"/>
        <n v="4344838" u="1"/>
        <n v="4344849" u="1"/>
        <n v="4344887" u="1"/>
        <n v="4348240" u="1"/>
        <n v="4348595" u="1"/>
        <n v="4349049" u="1"/>
        <n v="4349109" u="1"/>
        <n v="4349112" u="1"/>
        <n v="4349889" u="1"/>
        <n v="4350125" u="1"/>
        <n v="4344764" u="1"/>
        <n v="4344766" u="1"/>
        <n v="4344773" u="1"/>
        <n v="4344774" u="1"/>
        <n v="4344775" u="1"/>
        <n v="4344776" u="1"/>
        <n v="4344780" u="1"/>
        <n v="4344798" u="1"/>
        <n v="4344806" u="1"/>
        <n v="4344813" u="1"/>
        <n v="4344814" u="1"/>
        <n v="4344815" u="1"/>
        <n v="4344819" u="1"/>
        <n v="4344833" u="1"/>
        <n v="4344844" u="1"/>
        <n v="4344851" u="1"/>
        <n v="4344853" u="1"/>
        <n v="4344854" u="1"/>
        <n v="4344857" u="1"/>
        <n v="4344864" u="1"/>
        <n v="4344866" u="1"/>
        <n v="4344871" u="1"/>
        <n v="4344890" u="1"/>
        <n v="4344898" u="1"/>
        <n v="4344903" u="1"/>
        <n v="4348239" u="1"/>
        <n v="4347692" u="1"/>
        <n v="4347058" u="1"/>
        <n v="4347059" u="1"/>
        <n v="4347060" u="1"/>
        <n v="4347235" u="1"/>
        <n v="4348441" u="1"/>
        <n v="4348442" u="1"/>
        <n v="4348443" u="1"/>
        <n v="4348444" u="1"/>
        <n v="4348445" u="1"/>
        <n v="4348446" u="1"/>
        <n v="4348447" u="1"/>
        <n v="4348451" u="1"/>
        <n v="4348452" u="1"/>
        <n v="4348453" u="1"/>
        <n v="4344769" u="1"/>
        <n v="4344779" u="1"/>
        <n v="4344787" u="1"/>
        <n v="4344791" u="1"/>
        <n v="4344799" u="1"/>
        <n v="4344820" u="1"/>
        <n v="4344829" u="1"/>
        <n v="4344845" u="1"/>
        <n v="4344847" u="1"/>
        <n v="4344870" u="1"/>
        <n v="4344886" u="1"/>
        <n v="4344897" u="1"/>
        <n v="4344899" u="1"/>
        <n v="4348318" u="1"/>
        <n v="4348668" u="1"/>
        <n v="4345898" u="1"/>
        <n v="4347052" u="1"/>
        <n v="4347055" u="1"/>
        <n v="4347257" u="1"/>
        <n v="4347588" u="1"/>
        <n v="4347604" u="1"/>
        <n v="4347630" u="1"/>
        <n v="4347636" u="1"/>
        <n v="4347663" u="1"/>
        <n v="4347665" u="1"/>
        <n v="4347667" u="1"/>
        <n v="4347671" u="1"/>
        <n v="4347681" u="1"/>
        <n v="4347689" u="1"/>
        <n v="4347690" u="1"/>
        <n v="4347693" u="1"/>
        <n v="4347694" u="1"/>
        <n v="4347697" u="1"/>
        <n v="4347698" u="1"/>
        <n v="4347727" u="1"/>
        <n v="4347741" u="1"/>
        <n v="4347754" u="1"/>
        <n v="4347756" u="1"/>
        <n v="4347775" u="1"/>
        <n v="4347778" u="1"/>
        <n v="4348454" u="1"/>
        <n v="4347475" u="1"/>
        <n v="4347477" u="1"/>
        <n v="4343741" u="1"/>
        <n v="4344762" u="1"/>
        <n v="4344767" u="1"/>
        <n v="4344768" u="1"/>
        <n v="4344771" u="1"/>
        <n v="4344797" u="1"/>
        <n v="4344812" u="1"/>
        <n v="4344823" u="1"/>
        <n v="4344837" u="1"/>
        <n v="4344855" u="1"/>
        <n v="4344878" u="1"/>
        <n v="4344882" u="1"/>
        <n v="4344893" u="1"/>
        <n v="4344896" u="1"/>
        <n v="4344902" u="1"/>
        <n v="4348317" u="1"/>
        <n v="4347050" u="1"/>
        <n v="4347051" u="1"/>
        <n v="4347053" u="1"/>
        <n v="4347056" u="1"/>
        <n v="4347057" u="1"/>
        <n v="4347592" u="1"/>
        <n v="4347595" u="1"/>
        <n v="4347598" u="1"/>
        <n v="4347601" u="1"/>
        <n v="4347669" u="1"/>
        <n v="4347236" u="1"/>
        <n v="4347240" u="1"/>
        <n v="4348448" u="1"/>
        <n v="4348449" u="1"/>
        <n v="4348450" u="1"/>
        <n v="4348455" u="1"/>
        <n v="4348456" u="1"/>
        <n v="4348457" u="1"/>
        <n v="4348458" u="1"/>
        <n v="4347476" u="1"/>
        <n v="4347478" u="1"/>
        <n v="4344765" u="1"/>
        <n v="4344802" u="1"/>
        <n v="4344811" u="1"/>
        <n v="4344831" u="1"/>
        <n v="4348319" u="1"/>
        <n v="4347565" u="1"/>
        <n v="4347566" u="1"/>
        <n v="4347567" u="1"/>
        <n v="4347568" u="1"/>
        <n v="4347569" u="1"/>
        <n v="4347570" u="1"/>
        <n v="4347571" u="1"/>
        <n v="4347572" u="1"/>
        <n v="4347575" u="1"/>
        <n v="4347581" u="1"/>
        <n v="4347582" u="1"/>
        <n v="4347583" u="1"/>
        <n v="4347585" u="1"/>
        <n v="4347664" u="1"/>
        <n v="4347668" u="1"/>
        <n v="4347672" u="1"/>
        <n v="4347674" u="1"/>
        <n v="4347676" u="1"/>
        <n v="4347678" u="1"/>
        <n v="4347680" u="1"/>
        <n v="4347695" u="1"/>
        <n v="4347699" u="1"/>
        <n v="4347700" u="1"/>
        <n v="4347742" u="1"/>
        <n v="4347744" u="1"/>
        <n v="4347753" u="1"/>
        <n v="4348211" u="1"/>
        <n v="4343391" u="1"/>
        <n v="4343745" u="1"/>
        <n v="4343751" u="1"/>
        <n v="4344793" u="1"/>
        <n v="4344843" u="1"/>
        <n v="4344865" u="1"/>
        <n v="4344873" u="1"/>
        <n v="4344875" u="1"/>
        <n v="4344884" u="1"/>
        <n v="4348626" u="1"/>
        <n v="4346671" u="1"/>
        <n v="4346672" u="1"/>
        <n v="4346673" u="1"/>
        <n v="4346674" u="1"/>
        <n v="4346675" u="1"/>
        <n v="4346679" u="1"/>
        <n v="4346680" u="1"/>
        <n v="4347561" u="1"/>
        <n v="4347563" u="1"/>
        <n v="4347564" u="1"/>
        <n v="4347573" u="1"/>
        <n v="4347574" u="1"/>
        <n v="4347576" u="1"/>
        <n v="4347577" u="1"/>
        <n v="4347578" u="1"/>
        <n v="4347579" u="1"/>
        <n v="4347580" u="1"/>
        <n v="4344782" u="1"/>
        <n v="4344790" u="1"/>
        <n v="4344794" u="1"/>
        <n v="4344796" u="1"/>
        <n v="4344822" u="1"/>
        <n v="4344832" u="1"/>
        <n v="4344850" u="1"/>
        <n v="4344862" u="1"/>
        <n v="4344863" u="1"/>
        <n v="4348625" u="1"/>
        <n v="4344777" u="1"/>
        <n v="4344801" u="1"/>
        <n v="4344839" u="1"/>
        <n v="4344841" u="1"/>
        <n v="4344888" u="1"/>
        <n v="4344900" u="1"/>
        <n v="4347054" u="1"/>
        <n v="4347673" u="1"/>
        <n v="4347682" u="1"/>
        <n v="4347687" u="1"/>
        <n v="4347688" u="1"/>
        <n v="4347691" u="1"/>
        <n v="4347239" u="1"/>
        <n v="4347666" u="1"/>
        <n v="4347670" u="1"/>
        <n v="4347677" u="1"/>
        <n v="4349908" u="1"/>
        <n v="4349749" u="1"/>
        <n v="4344759" u="1"/>
        <n v="4344763" u="1"/>
        <n v="4344770" u="1"/>
        <n v="4344856" u="1"/>
        <n v="4344872" u="1"/>
        <n v="4344891" u="1"/>
        <n v="4346670" u="1"/>
        <n v="4346676" u="1"/>
        <n v="4346677" u="1"/>
        <n v="4347562" u="1"/>
        <n v="4347675" u="1"/>
        <n v="4347679" u="1"/>
        <n v="4347743" u="1"/>
        <n v="4347237" u="1"/>
        <n v="4347238" u="1"/>
        <n v="4346663" u="1"/>
        <n v="4346665" u="1"/>
        <n v="4346666" u="1"/>
        <n v="4349005" u="1"/>
        <n v="4350886" u="1"/>
        <n v="4349008" u="1"/>
        <n v="4349062" u="1"/>
        <n v="4349090" u="1"/>
        <n v="4349093" u="1"/>
        <n v="4349095" u="1"/>
        <n v="4341670" u="1"/>
        <n v="4341671" u="1"/>
        <n v="4341680" u="1"/>
        <n v="4342246" u="1"/>
        <n v="4342258" u="1"/>
        <n v="4342265" u="1"/>
        <n v="4342282" u="1"/>
        <n v="4342289" u="1"/>
        <n v="4342294" u="1"/>
        <n v="4342295" u="1"/>
        <n v="4342296" u="1"/>
        <n v="4342313" u="1"/>
        <n v="4343742" u="1"/>
        <n v="4344783" u="1"/>
        <n v="4344795" u="1"/>
        <n v="4344807" u="1"/>
        <n v="4344810" u="1"/>
        <n v="4344817" u="1"/>
        <n v="4344830" u="1"/>
        <n v="4344836" u="1"/>
        <n v="4344848" u="1"/>
        <n v="4344867" u="1"/>
        <n v="4344868" u="1"/>
        <n v="4344869" u="1"/>
        <n v="4344874" u="1"/>
        <n v="4344876" u="1"/>
        <n v="4344877" u="1"/>
        <n v="4344879" u="1"/>
        <n v="4344880" u="1"/>
        <n v="4344881" u="1"/>
        <n v="4344883" u="1"/>
        <n v="4344885" u="1"/>
        <n v="4344889" u="1"/>
        <n v="4344892" u="1"/>
        <n v="4344895" u="1"/>
        <n v="4344901" u="1"/>
        <n v="4344904" u="1"/>
        <n v="4346039" u="1"/>
        <n v="4346108" u="1"/>
        <n v="4348209" u="1"/>
        <n v="4348996" u="1"/>
        <n v="4349000" u="1"/>
        <n v="4349042" u="1"/>
        <n v="4349045" u="1"/>
        <n v="4349056" u="1"/>
        <n v="4349061" u="1"/>
        <n v="4349064" u="1"/>
        <n v="4349069" u="1"/>
        <n v="4349075" u="1"/>
        <n v="4349079" u="1"/>
        <n v="4349082" u="1"/>
        <n v="4349089" u="1"/>
        <n v="4349092" u="1"/>
        <n v="4349097" u="1"/>
        <n v="4341673" u="1"/>
        <n v="4341676" u="1"/>
        <n v="4342262" u="1"/>
        <n v="4342263" u="1"/>
        <n v="4342274" u="1"/>
        <n v="4342346" u="1"/>
        <n v="4342365" u="1"/>
        <n v="4343400" u="1"/>
        <n v="4345059" u="1"/>
        <n v="4345375" u="1"/>
        <n v="4345557" u="1"/>
        <n v="4345587" u="1"/>
        <n v="4345836" u="1"/>
        <n v="4345876" u="1"/>
        <n v="4346021" u="1"/>
        <n v="4346023" u="1"/>
        <n v="4346025" u="1"/>
        <n v="4346026" u="1"/>
        <n v="4346027" u="1"/>
        <n v="4346030" u="1"/>
        <n v="4346032" u="1"/>
        <n v="4346033" u="1"/>
        <n v="4346035" u="1"/>
        <n v="4346036" u="1"/>
        <n v="4346040" u="1"/>
        <n v="4346104" u="1"/>
        <n v="4346105" u="1"/>
        <n v="4346106" u="1"/>
        <n v="4346107" u="1"/>
        <n v="4346109" u="1"/>
        <n v="4346110" u="1"/>
        <n v="4346123" u="1"/>
        <n v="4346126" u="1"/>
        <n v="4346127" u="1"/>
        <n v="4346128" u="1"/>
        <n v="4346143" u="1"/>
        <n v="4346150" u="1"/>
        <n v="4346154" u="1"/>
        <n v="4346271" u="1"/>
        <n v="4346293" u="1"/>
        <n v="4346297" u="1"/>
        <n v="4346403" u="1"/>
        <n v="4346404" u="1"/>
        <n v="4346443" u="1"/>
        <n v="4341667" u="1"/>
        <n v="4342249" u="1"/>
        <n v="4342252" u="1"/>
        <n v="4342272" u="1"/>
        <n v="4342280" u="1"/>
        <n v="4342286" u="1"/>
        <n v="4342298" u="1"/>
        <n v="4342310" u="1"/>
        <n v="4342328" u="1"/>
        <n v="4342369" u="1"/>
        <n v="4342371" u="1"/>
        <n v="4344809" u="1"/>
        <n v="4344824" u="1"/>
        <n v="4344825" u="1"/>
        <n v="4344860" u="1"/>
        <n v="4344861" u="1"/>
        <n v="4347454" u="1"/>
        <n v="4347455" u="1"/>
        <n v="4347456" u="1"/>
        <n v="4347458" u="1"/>
        <n v="4347459" u="1"/>
        <n v="4347460" u="1"/>
        <n v="4347963" u="1"/>
        <n v="4347965" u="1"/>
        <n v="4347967" u="1"/>
        <n v="4348380" u="1"/>
        <n v="4348381" u="1"/>
        <n v="4348382" u="1"/>
        <n v="4348383" u="1"/>
        <n v="4348384" u="1"/>
        <n v="4348385" u="1"/>
        <n v="4348386" u="1"/>
        <n v="4348387" u="1"/>
        <n v="4348388" u="1"/>
        <n v="4348389" u="1"/>
        <n v="4348390" u="1"/>
        <n v="4348391" u="1"/>
        <n v="4348392" u="1"/>
        <n v="4348393" u="1"/>
        <n v="4345837" u="1"/>
        <n v="4345838" u="1"/>
        <n v="4345839" u="1"/>
        <n v="4345840" u="1"/>
        <n v="4345852" u="1"/>
        <n v="4346022" u="1"/>
        <n v="4346029" u="1"/>
        <n v="4346031" u="1"/>
        <n v="4346034" u="1"/>
        <n v="4346102" u="1"/>
        <n v="4346111" u="1"/>
        <n v="4346113" u="1"/>
        <n v="4346114" u="1"/>
        <n v="4346115" u="1"/>
        <n v="4346116" u="1"/>
        <n v="4346118" u="1"/>
        <n v="4346121" u="1"/>
        <n v="4346122" u="1"/>
        <n v="4346124" u="1"/>
        <n v="4346125" u="1"/>
        <n v="4346129" u="1"/>
        <n v="4347686" u="1"/>
        <n v="4349441" u="1"/>
        <n v="4342255" u="1"/>
        <n v="4342257" u="1"/>
        <n v="4342290" u="1"/>
        <n v="4342304" u="1"/>
        <n v="4342362" u="1"/>
        <n v="4342372" u="1"/>
        <n v="4344826" u="1"/>
        <n v="4344827" u="1"/>
        <n v="4347449" u="1"/>
        <n v="4347452" u="1"/>
        <n v="4347969" u="1"/>
        <n v="4347971" u="1"/>
        <n v="4347973" u="1"/>
        <n v="4347975" u="1"/>
        <n v="4347977" u="1"/>
        <n v="4347979" u="1"/>
        <n v="4345802" u="1"/>
        <n v="4345807" u="1"/>
        <n v="4345813" u="1"/>
        <n v="4345835" u="1"/>
        <n v="4346028" u="1"/>
        <n v="4346037" u="1"/>
        <n v="4346038" u="1"/>
        <n v="4346101" u="1"/>
        <n v="4346103" u="1"/>
        <n v="4346112" u="1"/>
        <n v="4346146" u="1"/>
        <n v="4348225" u="1"/>
        <n v="4348226" u="1"/>
        <n v="4348227" u="1"/>
        <n v="4349068" u="1"/>
        <n v="4349071" u="1"/>
        <n v="4349074" u="1"/>
        <n v="4349077" u="1"/>
        <n v="4349081" u="1"/>
        <n v="4349084" u="1"/>
        <n v="4349088" u="1"/>
        <n v="4349091" u="1"/>
        <n v="4349096" u="1"/>
        <n v="4342271" u="1"/>
        <n v="4342301" u="1"/>
        <n v="4342306" u="1"/>
        <n v="4342326" u="1"/>
        <n v="4342327" u="1"/>
        <n v="4342337" u="1"/>
        <n v="4342339" u="1"/>
        <n v="4342340" u="1"/>
        <n v="4342341" u="1"/>
        <n v="4342342" u="1"/>
        <n v="4342343" u="1"/>
        <n v="4342344" u="1"/>
        <n v="4342345" u="1"/>
        <n v="4342368" u="1"/>
        <n v="4347260" u="1"/>
        <n v="4347448" u="1"/>
        <n v="4347450" u="1"/>
        <n v="4347451" u="1"/>
        <n v="4347453" u="1"/>
        <n v="4347457" u="1"/>
        <n v="4345056" u="1"/>
        <n v="4346117" u="1"/>
        <n v="4348212" u="1"/>
        <n v="4348213" u="1"/>
        <n v="4340872" u="1"/>
        <n v="4342259" u="1"/>
        <n v="4342268" u="1"/>
        <n v="4342269" u="1"/>
        <n v="4342293" u="1"/>
        <n v="4342312" u="1"/>
        <n v="4342319" u="1"/>
        <n v="4342329" u="1"/>
        <n v="4342330" u="1"/>
        <n v="4342331" u="1"/>
        <n v="4342332" u="1"/>
        <n v="4342333" u="1"/>
        <n v="4342334" u="1"/>
        <n v="4342335" u="1"/>
        <n v="4342338" u="1"/>
        <n v="4342359" u="1"/>
        <n v="4344834" u="1"/>
        <n v="4344835" u="1"/>
        <n v="4349125" u="1"/>
        <n v="4345448" u="1"/>
        <n v="4345452" u="1"/>
        <n v="4346119" u="1"/>
        <n v="4346120" u="1"/>
        <n v="4347983" u="1"/>
        <n v="4341675" u="1"/>
        <n v="4341679" u="1"/>
        <n v="4342276" u="1"/>
        <n v="4344821" u="1"/>
        <n v="4345809" u="1"/>
        <n v="4345620" u="1"/>
        <n v="4340867" u="1"/>
        <n v="4341772" u="1"/>
        <n v="4342241" u="1"/>
        <n v="4342245" u="1"/>
        <n v="4342284" u="1"/>
        <n v="4342375" u="1"/>
        <n v="4345612" u="1"/>
        <n v="4345614" u="1"/>
        <n v="4345615" u="1"/>
        <n v="4345616" u="1"/>
        <n v="4345618" u="1"/>
        <n v="4345804" u="1"/>
        <n v="4345806" u="1"/>
        <n v="4345811" u="1"/>
        <n v="4345812" u="1"/>
        <n v="4345814" u="1"/>
        <n v="4346142" u="1"/>
        <n v="4342323" u="1"/>
        <n v="4342324" u="1"/>
        <n v="4342325" u="1"/>
        <n v="4348593" u="1"/>
        <n v="4340862" u="1"/>
        <n v="4341665" u="1"/>
        <n v="4341769" u="1"/>
        <n v="4342288" u="1"/>
        <n v="4342336" u="1"/>
        <n v="4348122" u="1"/>
        <n v="4348205" u="1"/>
        <n v="4348206" u="1"/>
        <n v="4348207" u="1"/>
        <n v="4348208" u="1"/>
        <n v="4348210" u="1"/>
        <n v="4348214" u="1"/>
        <n v="4348215" u="1"/>
        <n v="4348216" u="1"/>
        <n v="4348217" u="1"/>
        <n v="4348218" u="1"/>
        <n v="4348219" u="1"/>
        <n v="4342320" u="1"/>
        <n v="4342321" u="1"/>
        <n v="4342322" u="1"/>
        <n v="4347541" u="1"/>
        <n v="4340308" u="1"/>
        <n v="4340395" u="1"/>
        <n v="4340399" u="1"/>
        <n v="4340442" u="1"/>
        <n v="4340452" u="1"/>
        <n v="4340454" u="1"/>
        <n v="4340466" u="1"/>
        <n v="4340844" u="1"/>
        <n v="4342250" u="1"/>
        <n v="4342251" u="1"/>
        <n v="4342283" u="1"/>
        <n v="4342285" u="1"/>
        <n v="4342300" u="1"/>
        <n v="4342302" u="1"/>
        <n v="4342354" u="1"/>
        <n v="4342364" u="1"/>
        <n v="4340450" u="1"/>
        <n v="4341668" u="1"/>
        <n v="4341678" u="1"/>
        <n v="4342242" u="1"/>
        <n v="4342247" u="1"/>
        <n v="4342254" u="1"/>
        <n v="4344816" u="1"/>
        <n v="4348074" u="1"/>
        <n v="4345058" u="1"/>
        <n v="4345379" u="1"/>
        <n v="4345380" u="1"/>
        <n v="4345447" u="1"/>
        <n v="4345449" u="1"/>
        <n v="4345450" u="1"/>
        <n v="4345451" u="1"/>
        <n v="4345453" u="1"/>
        <n v="4345454" u="1"/>
        <n v="4345457" u="1"/>
        <n v="4345458" u="1"/>
        <n v="4345459" u="1"/>
        <n v="4345522" u="1"/>
        <n v="4345523" u="1"/>
        <n v="4345525" u="1"/>
        <n v="4345526" u="1"/>
        <n v="4345528" u="1"/>
        <n v="4345530" u="1"/>
        <n v="4345532" u="1"/>
        <n v="4345533" u="1"/>
        <n v="4345583" u="1"/>
        <n v="4345598" u="1"/>
        <n v="4345601" u="1"/>
        <n v="4345602" u="1"/>
        <n v="4345603" u="1"/>
        <n v="4345604" u="1"/>
        <n v="4345606" u="1"/>
        <n v="4345607" u="1"/>
        <n v="4345608" u="1"/>
        <n v="4345609" u="1"/>
        <n v="4345610" u="1"/>
        <n v="4345619" u="1"/>
        <n v="4345801" u="1"/>
        <n v="4345803" u="1"/>
        <n v="4345808" u="1"/>
        <n v="4345815" u="1"/>
        <n v="4345842" u="1"/>
        <n v="4345845" u="1"/>
        <n v="4340426" u="1"/>
        <n v="4340432" u="1"/>
        <n v="4341664" u="1"/>
        <n v="4341677" u="1"/>
        <n v="4341771" u="1"/>
        <n v="4342243" u="1"/>
        <n v="4342253" u="1"/>
        <n v="4342261" u="1"/>
        <n v="4342278" u="1"/>
        <n v="4342292" u="1"/>
        <n v="4342299" u="1"/>
        <n v="4342308" u="1"/>
        <n v="4342309" u="1"/>
        <n v="4342314" u="1"/>
        <n v="4342315" u="1"/>
        <n v="4342316" u="1"/>
        <n v="4342317" u="1"/>
        <n v="4342318" u="1"/>
        <n v="4342350" u="1"/>
        <n v="4342351" u="1"/>
        <n v="4342352" u="1"/>
        <n v="4342358" u="1"/>
        <n v="4342361" u="1"/>
        <n v="4342367" u="1"/>
        <n v="4342370" u="1"/>
        <n v="4342373" u="1"/>
        <n v="4342374" u="1"/>
        <n v="4345445" u="1"/>
        <n v="4345595" u="1"/>
        <n v="4345597" u="1"/>
        <n v="4345841" u="1"/>
        <n v="4345844" u="1"/>
        <n v="4345848" u="1"/>
        <n v="4347533" u="1"/>
        <n v="4343332" u="1"/>
        <n v="4340462" u="1"/>
        <n v="4340856" u="1"/>
        <n v="4341672" u="1"/>
        <n v="4342248" u="1"/>
        <n v="4342260" u="1"/>
        <n v="4342264" u="1"/>
        <n v="4342267" u="1"/>
        <n v="4342279" u="1"/>
        <n v="4342281" u="1"/>
        <n v="4342291" u="1"/>
        <n v="4342307" u="1"/>
        <n v="4342347" u="1"/>
        <n v="4342348" u="1"/>
        <n v="4342349" u="1"/>
        <n v="4342356" u="1"/>
        <n v="4342360" u="1"/>
        <n v="4342366" u="1"/>
        <n v="4342376" u="1"/>
        <n v="4348146" u="1"/>
        <n v="4345455" u="1"/>
        <n v="4345456" u="1"/>
        <n v="4345460" u="1"/>
        <n v="4345594" u="1"/>
        <n v="4345613" u="1"/>
        <n v="4345617" u="1"/>
        <n v="4345805" u="1"/>
        <n v="4345810" u="1"/>
        <n v="4345816" u="1"/>
        <n v="4345817" u="1"/>
        <n v="4345818" u="1"/>
        <n v="4345819" u="1"/>
        <n v="4345847" u="1"/>
        <n v="4340394" u="1"/>
        <n v="4340863" u="1"/>
        <n v="4340985" u="1"/>
        <n v="4342256" u="1"/>
        <n v="4342273" u="1"/>
        <n v="4342303" u="1"/>
        <n v="4342357" u="1"/>
        <n v="4345521" u="1"/>
        <n v="4345605" u="1"/>
        <n v="4343799" u="1"/>
        <n v="4343805" u="1"/>
        <n v="4343814" u="1"/>
        <n v="4344061" u="1"/>
        <n v="4346458" u="1"/>
        <n v="4347534" u="1"/>
        <n v="4340320" u="1"/>
        <n v="4341666" u="1"/>
        <n v="4342244" u="1"/>
        <n v="4342270" u="1"/>
        <n v="4342275" u="1"/>
        <n v="4342287" u="1"/>
        <n v="4342297" u="1"/>
        <n v="4342305" u="1"/>
        <n v="4342353" u="1"/>
        <n v="4342355" u="1"/>
        <n v="4342363" u="1"/>
        <n v="4345527" u="1"/>
        <n v="4345529" u="1"/>
        <n v="4345531" u="1"/>
        <n v="4343800" u="1"/>
        <n v="4343801" u="1"/>
        <n v="4343802" u="1"/>
        <n v="4343803" u="1"/>
        <n v="4343804" u="1"/>
        <n v="4341669" u="1"/>
        <n v="4342266" u="1"/>
        <n v="4342277" u="1"/>
        <n v="4342311" u="1"/>
        <n v="4343946" u="1"/>
        <n v="4343958" u="1"/>
        <n v="4345524" u="1"/>
        <n v="4341773" u="1"/>
        <n v="4343960" u="1"/>
        <n v="4343962" u="1"/>
        <n v="4340471" u="1"/>
        <n v="4343956" u="1"/>
        <n v="4341338" u="1"/>
        <n v="4341365" u="1"/>
        <n v="4341366" u="1"/>
        <n v="4341369" u="1"/>
        <n v="4341370" u="1"/>
        <n v="4341387" u="1"/>
        <n v="4341389" u="1"/>
        <n v="4342924" u="1"/>
        <n v="4342925" u="1"/>
        <n v="4342926" u="1"/>
        <n v="4342927" u="1"/>
        <n v="4342928" u="1"/>
        <n v="4342929" u="1"/>
        <n v="4343390" u="1"/>
        <n v="4343932" u="1"/>
        <n v="4343943" u="1"/>
        <n v="4343944" u="1"/>
        <n v="4343957" u="1"/>
        <n v="4343959" u="1"/>
        <n v="4343961" u="1"/>
        <n v="4343963" u="1"/>
        <n v="4345444" u="1"/>
        <n v="4345446" u="1"/>
        <n v="4341373" u="1"/>
        <n v="4341386" u="1"/>
        <n v="4341584" u="1"/>
        <n v="4342930" u="1"/>
        <n v="4342931" u="1"/>
        <n v="4342932" u="1"/>
        <n v="4342933" u="1"/>
        <n v="4342934" u="1"/>
        <n v="4342916" u="1"/>
        <n v="4342917" u="1"/>
        <n v="4343701" u="1"/>
        <n v="4343953" u="1"/>
        <n v="4341331" u="1"/>
        <n v="4341339" u="1"/>
        <n v="4341363" u="1"/>
        <n v="4341372" u="1"/>
        <n v="4341379" u="1"/>
        <n v="4341585" u="1"/>
        <n v="4343419" u="1"/>
        <n v="4343420" u="1"/>
        <n v="4343217" u="1"/>
        <n v="4343218" u="1"/>
        <n v="4343219" u="1"/>
        <n v="4343220" u="1"/>
        <n v="4343261" u="1"/>
        <n v="4343273" u="1"/>
        <n v="4343685" u="1"/>
        <n v="4343686" u="1"/>
        <n v="4341621" u="1"/>
        <n v="4342696" u="1"/>
        <n v="4343124" u="1"/>
        <n v="4343125" u="1"/>
        <n v="4343126" u="1"/>
        <n v="4341332" u="1"/>
        <n v="4341335" u="1"/>
        <n v="4341336" u="1"/>
        <n v="4341368" u="1"/>
        <n v="4341374" u="1"/>
        <n v="4341375" u="1"/>
        <n v="4341377" u="1"/>
        <n v="4341378" u="1"/>
        <n v="4341380" u="1"/>
        <n v="4341382" u="1"/>
        <n v="4341383" u="1"/>
        <n v="4341384" u="1"/>
        <n v="4341391" u="1"/>
        <n v="4341953" u="1"/>
        <n v="4340316" u="1"/>
        <n v="4341333" u="1"/>
        <n v="4341334" u="1"/>
        <n v="4341337" u="1"/>
        <n v="4341361" u="1"/>
        <n v="4341362" u="1"/>
        <n v="4341364" u="1"/>
        <n v="4341367" u="1"/>
        <n v="4341371" u="1"/>
        <n v="4341385" u="1"/>
        <n v="4341388" u="1"/>
        <n v="4341390" u="1"/>
        <n v="4343352" u="1"/>
        <n v="4343353" u="1"/>
        <n v="4343354" u="1"/>
        <n v="4343355" u="1"/>
        <n v="4343356" u="1"/>
        <n v="4343357" u="1"/>
        <n v="4343358" u="1"/>
        <n v="4343359" u="1"/>
        <n v="4343360" u="1"/>
        <n v="4343441" u="1"/>
        <n v="4340383" u="1"/>
        <n v="4340410" u="1"/>
        <n v="4340499" u="1"/>
        <n v="4343898" u="1"/>
        <n v="4340431" u="1"/>
        <n v="4340461" u="1"/>
        <n v="4340310" u="1"/>
        <n v="4340319" u="1"/>
        <n v="4340412" u="1"/>
        <n v="4342161" u="1"/>
        <n v="4342162" u="1"/>
        <n v="4342163" u="1"/>
        <n v="4343347" u="1"/>
        <n v="4343348" u="1"/>
        <n v="4343350" u="1"/>
        <n v="4343351" u="1"/>
        <n v="4340311" u="1"/>
        <n v="4340317" u="1"/>
        <n v="4340411" u="1"/>
        <n v="4343346" u="1"/>
        <n v="4340307" u="1"/>
        <n v="4340306" u="1"/>
        <n v="4340313" u="1"/>
        <n v="4340384" u="1"/>
        <n v="4340393" u="1"/>
        <n v="4340401" u="1"/>
        <n v="4340428" u="1"/>
        <n v="4340429" u="1"/>
        <n v="4340438" u="1"/>
        <n v="4340441" u="1"/>
        <n v="4340446" u="1"/>
        <n v="4340451" u="1"/>
        <n v="4340455" u="1"/>
        <n v="4340457" u="1"/>
        <n v="4340459" u="1"/>
        <n v="4340460" u="1"/>
        <n v="4340470" u="1"/>
        <n v="4340477" u="1"/>
        <n v="4340490" u="1"/>
        <n v="4340507" u="1"/>
        <n v="4340312" u="1"/>
        <n v="4340315" u="1"/>
        <n v="4340318" u="1"/>
        <n v="4340386" u="1"/>
        <n v="4340389" u="1"/>
        <n v="4340404" u="1"/>
        <n v="4340408" u="1"/>
        <n v="4340434" u="1"/>
        <n v="4340440" u="1"/>
        <n v="4340444" u="1"/>
        <n v="4340468" u="1"/>
        <n v="4340509" u="1"/>
        <n v="4343313" u="1"/>
        <n v="4343315" u="1"/>
        <n v="4339090" u="1"/>
        <n v="4339091" u="1"/>
        <n v="4339092" u="1"/>
        <n v="4342884" u="1"/>
        <n v="4342885" u="1"/>
        <n v="4342886" u="1"/>
        <n v="4342887" u="1"/>
        <n v="4342904" u="1"/>
        <n v="4342912" u="1"/>
        <n v="4342164" u="1"/>
        <n v="4342165" u="1"/>
        <n v="4342166" u="1"/>
        <n v="4342167" u="1"/>
        <n v="4342168" u="1"/>
        <n v="4342169" u="1"/>
        <n v="4342170" u="1"/>
        <n v="4342171" u="1"/>
        <n v="4342172" u="1"/>
        <n v="4342173" u="1"/>
        <n v="4342174" u="1"/>
        <n v="4342175" u="1"/>
        <n v="4339533" u="1"/>
        <n v="4340309" u="1"/>
        <n v="4340381" u="1"/>
        <n v="4340382" u="1"/>
        <n v="4340385" u="1"/>
        <n v="4340388" u="1"/>
        <n v="4340391" u="1"/>
        <n v="4340397" u="1"/>
        <n v="4340415" u="1"/>
        <n v="4340416" u="1"/>
        <n v="4340417" u="1"/>
        <n v="4340424" u="1"/>
        <n v="4340433" u="1"/>
        <n v="4340437" u="1"/>
        <n v="4340448" u="1"/>
        <n v="4340458" u="1"/>
        <n v="4340472" u="1"/>
        <n v="4340473" u="1"/>
        <n v="4340475" u="1"/>
        <n v="4340476" u="1"/>
        <n v="4340478" u="1"/>
        <n v="4340479" u="1"/>
        <n v="4340480" u="1"/>
        <n v="4340485" u="1"/>
        <n v="4340488" u="1"/>
        <n v="4340511" u="1"/>
        <n v="4343381" u="1"/>
        <n v="4339430" u="1"/>
        <n v="4339481" u="1"/>
        <n v="4339497" u="1"/>
        <n v="4339503" u="1"/>
        <n v="4343314" u="1"/>
        <n v="4343316" u="1"/>
        <n v="4339087" u="1"/>
        <n v="4339088" u="1"/>
        <n v="4339089" u="1"/>
        <n v="4341575" u="1"/>
        <n v="4341576" u="1"/>
        <n v="4342897" u="1"/>
        <n v="4342908" u="1"/>
        <n v="4340387" u="1"/>
        <n v="4340402" u="1"/>
        <n v="4340405" u="1"/>
        <n v="4340409" u="1"/>
        <n v="4340420" u="1"/>
        <n v="4340423" u="1"/>
        <n v="4340427" u="1"/>
        <n v="4340456" u="1"/>
        <n v="4340463" u="1"/>
        <n v="4340465" u="1"/>
        <n v="4340481" u="1"/>
        <n v="4340483" u="1"/>
        <n v="4340493" u="1"/>
        <n v="4340494" u="1"/>
        <n v="4340503" u="1"/>
        <n v="4340504" u="1"/>
        <n v="4340513" u="1"/>
        <n v="4340514" u="1"/>
        <n v="4340515" u="1"/>
        <n v="4340521" u="1"/>
        <n v="4340522" u="1"/>
        <n v="4339387" u="1"/>
        <n v="4339472" u="1"/>
        <n v="4339492" u="1"/>
        <n v="4339493" u="1"/>
        <n v="4339501" u="1"/>
        <n v="4339550" u="1"/>
        <n v="4339627" u="1"/>
        <n v="4341577" u="1"/>
        <n v="4341579" u="1"/>
        <n v="4342881" u="1"/>
        <n v="4342883" u="1"/>
        <n v="4342889" u="1"/>
        <n v="4342891" u="1"/>
        <n v="4342893" u="1"/>
        <n v="4342894" u="1"/>
        <n v="4342895" u="1"/>
        <n v="4342896" u="1"/>
        <n v="4342898" u="1"/>
        <n v="4342899" u="1"/>
        <n v="4342901" u="1"/>
        <n v="4342903" u="1"/>
        <n v="4342906" u="1"/>
        <n v="4340392" u="1"/>
        <n v="4340396" u="1"/>
        <n v="4340414" u="1"/>
        <n v="4340418" u="1"/>
        <n v="4340425" u="1"/>
        <n v="4340445" u="1"/>
        <n v="4340449" u="1"/>
        <n v="4340469" u="1"/>
        <n v="4340500" u="1"/>
        <n v="4340502" u="1"/>
        <n v="4340518" u="1"/>
        <n v="4338949" u="1"/>
        <n v="4338950" u="1"/>
        <n v="4338951" u="1"/>
        <n v="4339383" u="1"/>
        <n v="4339436" u="1"/>
        <n v="4339461" u="1"/>
        <n v="4339462" u="1"/>
        <n v="4339464" u="1"/>
        <n v="4339466" u="1"/>
        <n v="4339468" u="1"/>
        <n v="4339485" u="1"/>
        <n v="4339488" u="1"/>
        <n v="4339490" u="1"/>
        <n v="4339499" u="1"/>
        <n v="4339093" u="1"/>
        <n v="4339100" u="1"/>
        <n v="4342911" u="1"/>
        <n v="4340400" u="1"/>
        <n v="4340419" u="1"/>
        <n v="4340422" u="1"/>
        <n v="4340430" u="1"/>
        <n v="4340436" u="1"/>
        <n v="4340453" u="1"/>
        <n v="4340464" u="1"/>
        <n v="4340474" u="1"/>
        <n v="4340482" u="1"/>
        <n v="4340484" u="1"/>
        <n v="4340495" u="1"/>
        <n v="4340497" u="1"/>
        <n v="4340501" u="1"/>
        <n v="4340506" u="1"/>
        <n v="4340508" u="1"/>
        <n v="4340520" u="1"/>
        <n v="4339094" u="1"/>
        <n v="4339095" u="1"/>
        <n v="4341578" u="1"/>
        <n v="4341580" u="1"/>
        <n v="4342890" u="1"/>
        <n v="4342900" u="1"/>
        <n v="4342905" u="1"/>
        <n v="4342907" u="1"/>
        <n v="4339532" u="1"/>
        <n v="4340406" u="1"/>
        <n v="4340516" u="1"/>
        <n v="4336928" u="1"/>
        <n v="4339398" u="1"/>
        <n v="4339437" u="1"/>
        <n v="4339438" u="1"/>
        <n v="4339439" u="1"/>
        <n v="4339470" u="1"/>
        <n v="4339473" u="1"/>
        <n v="4339477" u="1"/>
        <n v="4339479" u="1"/>
        <n v="4339495" u="1"/>
        <n v="4340294" u="1"/>
        <n v="4340295" u="1"/>
        <n v="4340976" u="1"/>
        <n v="4342882" u="1"/>
        <n v="4342888" u="1"/>
        <n v="4342902" u="1"/>
        <n v="4342909" u="1"/>
        <n v="4342680" u="1"/>
        <n v="4338878" u="1"/>
        <n v="4338953" u="1"/>
        <n v="4338958" u="1"/>
        <n v="4339394" u="1"/>
        <n v="4339475" u="1"/>
        <n v="4339483" u="1"/>
        <n v="4340291" u="1"/>
        <n v="4340292" u="1"/>
        <n v="4340398" u="1"/>
        <n v="4340413" u="1"/>
        <n v="4342668" u="1"/>
        <n v="4342669" u="1"/>
        <n v="4342670" u="1"/>
        <n v="4342671" u="1"/>
        <n v="4342672" u="1"/>
        <n v="4342673" u="1"/>
        <n v="4342674" u="1"/>
        <n v="4342675" u="1"/>
        <n v="4342676" u="1"/>
        <n v="4342677" u="1"/>
        <n v="4342678" u="1"/>
        <n v="4342679" u="1"/>
        <n v="4342921" u="1"/>
        <n v="4342922" u="1"/>
        <n v="4342923" u="1"/>
        <n v="4340289" u="1"/>
        <n v="4340293" u="1"/>
        <n v="4339619" u="1"/>
        <n v="4340403" u="1"/>
        <n v="4337519" u="1"/>
        <n v="4340439" u="1"/>
        <n v="4340467" u="1"/>
        <n v="4340496" u="1"/>
        <n v="4340519" u="1"/>
        <n v="4340486" u="1"/>
        <n v="4340487" u="1"/>
        <n v="4340489" u="1"/>
        <n v="4340491" u="1"/>
        <n v="4340492" u="1"/>
        <n v="4340498" u="1"/>
        <n v="4340505" u="1"/>
        <n v="4340510" u="1"/>
        <n v="4340512" u="1"/>
        <n v="4340517" u="1"/>
        <n v="4342377" u="1"/>
        <n v="4342378" u="1"/>
        <n v="4342379" u="1"/>
        <n v="4342380" u="1"/>
        <n v="4342681" u="1"/>
        <n v="4342682" u="1"/>
        <n v="4342683" u="1"/>
        <n v="4342684" u="1"/>
        <n v="4342685" u="1"/>
        <n v="4342686" u="1"/>
        <n v="4342687" u="1"/>
        <n v="4342688" u="1"/>
        <n v="4342689" u="1"/>
        <n v="4342690" u="1"/>
        <n v="4342691" u="1"/>
        <n v="4337563" u="1"/>
        <n v="4339617" u="1"/>
        <n v="4340944" u="1"/>
        <n v="4339084" u="1"/>
        <n v="4339085" u="1"/>
        <n v="4339086" u="1"/>
        <n v="4338980" u="1"/>
        <n v="4340284" u="1"/>
        <n v="4340285" u="1"/>
        <n v="4341474" u="1"/>
        <n v="4341951" u="1"/>
        <n v="4341952" u="1"/>
        <n v="4335790" u="1"/>
        <n v="4337225" u="1"/>
        <n v="4337234" u="1"/>
        <n v="4337573" u="1"/>
        <n v="4337582" u="1"/>
        <n v="4337598" u="1"/>
        <n v="4337613" u="1"/>
        <n v="4337615" u="1"/>
        <n v="4337665" u="1"/>
        <n v="4340305" u="1"/>
        <n v="4340390" u="1"/>
        <n v="4340407" u="1"/>
        <n v="4340435" u="1"/>
        <n v="4340443" u="1"/>
        <n v="4340447" u="1"/>
        <n v="4340959" u="1"/>
        <n v="4338988" u="1"/>
        <n v="4338989" u="1"/>
        <n v="4335784" u="1"/>
        <n v="4335787" u="1"/>
        <n v="4335793" u="1"/>
        <n v="4337236" u="1"/>
        <n v="4337237" u="1"/>
        <n v="4337238" u="1"/>
        <n v="4337561" u="1"/>
        <n v="4337564" u="1"/>
        <n v="4337569" u="1"/>
        <n v="4337575" u="1"/>
        <n v="4337581" u="1"/>
        <n v="4337585" u="1"/>
        <n v="4337589" u="1"/>
        <n v="4337591" u="1"/>
        <n v="4337597" u="1"/>
        <n v="4337599" u="1"/>
        <n v="4337600" u="1"/>
        <n v="4337602" u="1"/>
        <n v="4337606" u="1"/>
        <n v="4337611" u="1"/>
        <n v="4337666" u="1"/>
        <n v="4335789" u="1"/>
        <n v="4335792" u="1"/>
        <n v="4337227" u="1"/>
        <n v="4337233" u="1"/>
        <n v="4337562" u="1"/>
        <n v="4337590" u="1"/>
        <n v="4337604" u="1"/>
        <n v="4338907" u="1"/>
        <n v="4335782" u="1"/>
        <n v="4335783" u="1"/>
        <n v="4337226" u="1"/>
        <n v="4337228" u="1"/>
        <n v="4337239" u="1"/>
        <n v="4337240" u="1"/>
        <n v="4337280" u="1"/>
        <n v="4337576" u="1"/>
        <n v="4337583" u="1"/>
        <n v="4337586" u="1"/>
        <n v="4337587" u="1"/>
        <n v="4337596" u="1"/>
        <n v="4337603" u="1"/>
        <n v="4337661" u="1"/>
        <n v="4337662" u="1"/>
        <n v="4337663" u="1"/>
        <n v="4340859" u="1"/>
        <n v="4340939" u="1"/>
        <n v="4340940" u="1"/>
        <n v="4341441" u="1"/>
        <n v="4341444" u="1"/>
        <n v="4339082" u="1"/>
        <n v="4339083" u="1"/>
        <n v="4338908" u="1"/>
        <n v="4337224" u="1"/>
        <n v="4337232" u="1"/>
        <n v="4337565" u="1"/>
        <n v="4337570" u="1"/>
        <n v="4337572" u="1"/>
        <n v="4337574" u="1"/>
        <n v="4337578" u="1"/>
        <n v="4337592" u="1"/>
        <n v="4337593" u="1"/>
        <n v="4337595" u="1"/>
        <n v="4337601" u="1"/>
        <n v="4337608" u="1"/>
        <n v="4337609" u="1"/>
        <n v="4337632" u="1"/>
        <n v="4335785" u="1"/>
        <n v="4335786" u="1"/>
        <n v="4335788" u="1"/>
        <n v="4335791" u="1"/>
        <n v="4337567" u="1"/>
        <n v="4337571" u="1"/>
        <n v="4337577" u="1"/>
        <n v="4337580" u="1"/>
        <n v="4341393" u="1"/>
        <n v="4338599" u="1"/>
        <n v="4338600" u="1"/>
        <n v="4339081" u="1"/>
        <n v="4337588" u="1"/>
        <n v="4337594" u="1"/>
        <n v="4337618" u="1"/>
        <n v="4337619" u="1"/>
        <n v="4337620" u="1"/>
        <n v="4337621" u="1"/>
        <n v="4337622" u="1"/>
        <n v="4337623" u="1"/>
        <n v="4337624" u="1"/>
        <n v="4337625" u="1"/>
        <n v="4337626" u="1"/>
        <n v="4337627" u="1"/>
        <n v="4337628" u="1"/>
        <n v="4337629" u="1"/>
        <n v="4337630" u="1"/>
        <n v="4337631" u="1"/>
        <n v="4339312" u="1"/>
        <n v="4340290" u="1"/>
        <n v="4337566" u="1"/>
        <n v="4337605" u="1"/>
        <n v="4337617" u="1"/>
        <n v="4337633" u="1"/>
        <n v="4337634" u="1"/>
        <n v="4337664" u="1"/>
        <n v="4337229" u="1"/>
        <n v="4337230" u="1"/>
        <n v="4337231" u="1"/>
        <n v="4337235" u="1"/>
        <n v="4337568" u="1"/>
        <n v="4337579" u="1"/>
        <n v="4337584" u="1"/>
        <n v="4337607" u="1"/>
        <n v="4337610" u="1"/>
        <n v="4337612" u="1"/>
        <n v="4337614" u="1"/>
        <n v="4337616" u="1"/>
        <n v="4335448" u="1"/>
        <n v="4335460" u="1"/>
        <n v="4335465" u="1"/>
        <n v="4335481" u="1"/>
        <n v="4335488" u="1"/>
        <n v="4335492" u="1"/>
        <n v="4335497" u="1"/>
        <n v="4335504" u="1"/>
        <n v="4335506" u="1"/>
        <n v="4335422" u="1"/>
        <n v="4335443" u="1"/>
        <n v="4335445" u="1"/>
        <n v="4335457" u="1"/>
        <n v="4335458" u="1"/>
        <n v="4335461" u="1"/>
        <n v="4335463" u="1"/>
        <n v="4335477" u="1"/>
        <n v="4335489" u="1"/>
        <n v="4335490" u="1"/>
        <n v="4337052" u="1"/>
        <n v="4338876" u="1"/>
        <n v="4338877" u="1"/>
        <n v="4338879" u="1"/>
        <n v="4338880" u="1"/>
        <n v="4338941" u="1"/>
        <n v="4338942" u="1"/>
        <n v="4338944" u="1"/>
        <n v="4338945" u="1"/>
        <n v="4338946" u="1"/>
        <n v="4338947" u="1"/>
        <n v="4338948" u="1"/>
        <n v="4338954" u="1"/>
        <n v="4338955" u="1"/>
        <n v="4338956" u="1"/>
        <n v="4338957" u="1"/>
        <n v="4338960" u="1"/>
        <n v="4339384" u="1"/>
        <n v="4339385" u="1"/>
        <n v="4339388" u="1"/>
        <n v="4339389" u="1"/>
        <n v="4339392" u="1"/>
        <n v="4339393" u="1"/>
        <n v="4339544" u="1"/>
        <n v="4339547" u="1"/>
        <n v="4339548" u="1"/>
        <n v="4339549" u="1"/>
        <n v="4339611" u="1"/>
        <n v="4339628" u="1"/>
        <n v="4335421" u="1"/>
        <n v="4335429" u="1"/>
        <n v="4335433" u="1"/>
        <n v="4335437" u="1"/>
        <n v="4335442" u="1"/>
        <n v="4335447" u="1"/>
        <n v="4335462" u="1"/>
        <n v="4335471" u="1"/>
        <n v="4335482" u="1"/>
        <n v="4335493" u="1"/>
        <n v="4335499" u="1"/>
        <n v="4335501" u="1"/>
        <n v="4335512" u="1"/>
        <n v="4335513" u="1"/>
        <n v="4336717" u="1"/>
        <n v="4336724" u="1"/>
        <n v="4336736" u="1"/>
        <n v="4336745" u="1"/>
        <n v="4336748" u="1"/>
        <n v="4336750" u="1"/>
        <n v="4336755" u="1"/>
        <n v="4336783" u="1"/>
        <n v="4336786" u="1"/>
        <n v="4336789" u="1"/>
        <n v="4336792" u="1"/>
        <n v="4336794" u="1"/>
        <n v="4336810" u="1"/>
        <n v="4336825" u="1"/>
        <n v="4336831" u="1"/>
        <n v="4336837" u="1"/>
        <n v="4336851" u="1"/>
        <n v="4336872" u="1"/>
        <n v="4336877" u="1"/>
        <n v="4336887" u="1"/>
        <n v="4336890" u="1"/>
        <n v="4336895" u="1"/>
        <n v="4337047" u="1"/>
        <n v="4337056" u="1"/>
        <n v="4337502" u="1"/>
        <n v="4337503" u="1"/>
        <n v="4337506" u="1"/>
        <n v="4337510" u="1"/>
        <n v="4338959" u="1"/>
        <n v="4341348" u="1"/>
        <n v="4336199" u="1"/>
        <n v="4335426" u="1"/>
        <n v="4335428" u="1"/>
        <n v="4335436" u="1"/>
        <n v="4335455" u="1"/>
        <n v="4335468" u="1"/>
        <n v="4335470" u="1"/>
        <n v="4335491" u="1"/>
        <n v="4335495" u="1"/>
        <n v="4335505" u="1"/>
        <n v="4335508" u="1"/>
        <n v="4335509" u="1"/>
        <n v="4335511" u="1"/>
        <n v="4335514" u="1"/>
        <n v="4336438" u="1"/>
        <n v="4337222" u="1"/>
        <n v="4336714" u="1"/>
        <n v="4336730" u="1"/>
        <n v="4336731" u="1"/>
        <n v="4336788" u="1"/>
        <n v="4336805" u="1"/>
        <n v="4336807" u="1"/>
        <n v="4336811" u="1"/>
        <n v="4336822" u="1"/>
        <n v="4336824" u="1"/>
        <n v="4336833" u="1"/>
        <n v="4336889" u="1"/>
        <n v="4336900" u="1"/>
        <n v="4337001" u="1"/>
        <n v="4336162" u="1"/>
        <n v="4336163" u="1"/>
        <n v="4335441" u="1"/>
        <n v="4335446" u="1"/>
        <n v="4335472" u="1"/>
        <n v="4335476" u="1"/>
        <n v="4335496" u="1"/>
        <n v="4336696" u="1"/>
        <n v="4336698" u="1"/>
        <n v="4336740" u="1"/>
        <n v="4336742" u="1"/>
        <n v="4336754" u="1"/>
        <n v="4336836" u="1"/>
        <n v="4336845" u="1"/>
        <n v="4336879" u="1"/>
        <n v="4336883" u="1"/>
        <n v="4337501" u="1"/>
        <n v="4337507" u="1"/>
        <n v="4337511" u="1"/>
        <n v="4335200" u="1"/>
        <n v="4336161" u="1"/>
        <n v="4333956" u="1"/>
        <n v="4335431" u="1"/>
        <n v="4335453" u="1"/>
        <n v="4335466" u="1"/>
        <n v="4335483" u="1"/>
        <n v="4335500" u="1"/>
        <n v="4335502" u="1"/>
        <n v="4335503" u="1"/>
        <n v="4335507" u="1"/>
        <n v="4335516" u="1"/>
        <n v="4338381" u="1"/>
        <n v="4338382" u="1"/>
        <n v="4338383" u="1"/>
        <n v="4338384" u="1"/>
        <n v="4336608" u="1"/>
        <n v="4336692" u="1"/>
        <n v="4336707" u="1"/>
        <n v="4336784" u="1"/>
        <n v="4336817" u="1"/>
        <n v="4336828" u="1"/>
        <n v="4336832" u="1"/>
        <n v="4336838" u="1"/>
        <n v="4336843" u="1"/>
        <n v="4336853" u="1"/>
        <n v="4336862" u="1"/>
        <n v="4336864" u="1"/>
        <n v="4336878" u="1"/>
        <n v="4336885" u="1"/>
        <n v="4336902" u="1"/>
        <n v="4337508" u="1"/>
        <n v="4337509" u="1"/>
        <n v="4337512" u="1"/>
        <n v="4337513" u="1"/>
        <n v="4333905" u="1"/>
        <n v="4333995" u="1"/>
        <n v="4333996" u="1"/>
        <n v="4340892" u="1"/>
        <n v="4341107" u="1"/>
        <n v="4341108" u="1"/>
        <n v="4341109" u="1"/>
        <n v="4341110" u="1"/>
        <n v="4336700" u="1"/>
        <n v="4336703" u="1"/>
        <n v="4336711" u="1"/>
        <n v="4336727" u="1"/>
        <n v="4336752" u="1"/>
        <n v="4336782" u="1"/>
        <n v="4336803" u="1"/>
        <n v="4336813" u="1"/>
        <n v="4336847" u="1"/>
        <n v="4336856" u="1"/>
        <n v="4336869" u="1"/>
        <n v="4336886" u="1"/>
        <n v="4337055" u="1"/>
        <n v="4334059" u="1"/>
        <n v="4340886" u="1"/>
        <n v="4336699" u="1"/>
        <n v="4336702" u="1"/>
        <n v="4336718" u="1"/>
        <n v="4336726" u="1"/>
        <n v="4336758" u="1"/>
        <n v="4336812" u="1"/>
        <n v="4336839" u="1"/>
        <n v="4336840" u="1"/>
        <n v="4336842" u="1"/>
        <n v="4336852" u="1"/>
        <n v="4336855" u="1"/>
        <n v="4336867" u="1"/>
        <n v="4336882" u="1"/>
        <n v="4336899" u="1"/>
        <n v="4336901" u="1"/>
        <n v="4339386" u="1"/>
        <n v="4336195" u="1"/>
        <n v="4336665" u="1"/>
        <n v="4336689" u="1"/>
        <n v="4336691" u="1"/>
        <n v="4336722" u="1"/>
        <n v="4336728" u="1"/>
        <n v="4336733" u="1"/>
        <n v="4336753" u="1"/>
        <n v="4336756" u="1"/>
        <n v="4336760" u="1"/>
        <n v="4336785" u="1"/>
        <n v="4336804" u="1"/>
        <n v="4336823" u="1"/>
        <n v="4336841" u="1"/>
        <n v="4336844" u="1"/>
        <n v="4336854" u="1"/>
        <n v="4336858" u="1"/>
        <n v="4336863" u="1"/>
        <n v="4336871" u="1"/>
        <n v="4336876" u="1"/>
        <n v="4336892" u="1"/>
        <n v="4336893" u="1"/>
        <n v="4336196" u="1"/>
        <n v="4336662" u="1"/>
        <n v="4336667" u="1"/>
        <n v="4336668" u="1"/>
        <n v="4336669" u="1"/>
        <n v="4335454" u="1"/>
        <n v="4336701" u="1"/>
        <n v="4336704" u="1"/>
        <n v="4336705" u="1"/>
        <n v="4336712" u="1"/>
        <n v="4336720" u="1"/>
        <n v="4336721" u="1"/>
        <n v="4336723" u="1"/>
        <n v="4336747" u="1"/>
        <n v="4336751" u="1"/>
        <n v="4336795" u="1"/>
        <n v="4336815" u="1"/>
        <n v="4336818" u="1"/>
        <n v="4336820" u="1"/>
        <n v="4336834" u="1"/>
        <n v="4336846" u="1"/>
        <n v="4336857" u="1"/>
        <n v="4336873" u="1"/>
        <n v="4336891" u="1"/>
        <n v="4336897" u="1"/>
        <n v="4335298" u="1"/>
        <n v="4335299" u="1"/>
        <n v="4335300" u="1"/>
        <n v="4336201" u="1"/>
        <n v="4336202" u="1"/>
        <n v="4336203" u="1"/>
        <n v="4336204" u="1"/>
        <n v="4336205" u="1"/>
        <n v="4336206" u="1"/>
        <n v="4336207" u="1"/>
        <n v="4336208" u="1"/>
        <n v="4338598" u="1"/>
        <n v="4335444" u="1"/>
        <n v="4335494" u="1"/>
        <n v="4336697" u="1"/>
        <n v="4336710" u="1"/>
        <n v="4336739" u="1"/>
        <n v="4336759" u="1"/>
        <n v="4336793" u="1"/>
        <n v="4336814" u="1"/>
        <n v="4336859" u="1"/>
        <n v="4336868" u="1"/>
        <n v="4336896" u="1"/>
        <n v="4338597" u="1"/>
        <n v="4335427" u="1"/>
        <n v="4335435" u="1"/>
        <n v="4335440" u="1"/>
        <n v="4339412" u="1"/>
        <n v="4339562" u="1"/>
        <n v="4339787" u="1"/>
        <n v="4339800" u="1"/>
        <n v="4336690" u="1"/>
        <n v="4336729" u="1"/>
        <n v="4336738" u="1"/>
        <n v="4336741" u="1"/>
        <n v="4336809" u="1"/>
        <n v="4336819" u="1"/>
        <n v="4336827" u="1"/>
        <n v="4336870" u="1"/>
        <n v="4335794" u="1"/>
        <n v="4335795" u="1"/>
        <n v="4335796" u="1"/>
        <n v="4335797" u="1"/>
        <n v="4335798" u="1"/>
        <n v="4335799" u="1"/>
        <n v="4335800" u="1"/>
        <n v="4335801" u="1"/>
        <n v="4335803" u="1"/>
        <n v="4335804" u="1"/>
        <n v="4335805" u="1"/>
        <n v="4335806" u="1"/>
        <n v="4335807" u="1"/>
        <n v="4335808" u="1"/>
        <n v="4335809" u="1"/>
        <n v="4335810" u="1"/>
        <n v="4335811" u="1"/>
        <n v="4336625" u="1"/>
        <n v="4336626" u="1"/>
        <n v="4333337" u="1"/>
        <n v="4333019" u="1"/>
        <n v="4333020" u="1"/>
        <n v="4333581" u="1"/>
        <n v="4333582" u="1"/>
        <n v="4333583" u="1"/>
        <n v="4335269" u="1"/>
        <n v="4335271" u="1"/>
        <n v="4335450" u="1"/>
        <n v="4335456" u="1"/>
        <n v="4335469" u="1"/>
        <n v="4335484" u="1"/>
        <n v="4335487" u="1"/>
        <n v="4335498" u="1"/>
        <n v="4338872" u="1"/>
        <n v="4335766" u="1"/>
        <n v="4336693" u="1"/>
        <n v="4336695" u="1"/>
        <n v="4336706" u="1"/>
        <n v="4336744" u="1"/>
        <n v="4336757" u="1"/>
        <n v="4336787" u="1"/>
        <n v="4336791" u="1"/>
        <n v="4336799" u="1"/>
        <n v="4336800" u="1"/>
        <n v="4336801" u="1"/>
        <n v="4336826" u="1"/>
        <n v="4336829" u="1"/>
        <n v="4336850" u="1"/>
        <n v="4336861" u="1"/>
        <n v="4336880" u="1"/>
        <n v="4336881" u="1"/>
        <n v="4336898" u="1"/>
        <n v="4334767" u="1"/>
        <n v="4335423" u="1"/>
        <n v="4335424" u="1"/>
        <n v="4335425" u="1"/>
        <n v="4335430" u="1"/>
        <n v="4335432" u="1"/>
        <n v="4335438" u="1"/>
        <n v="4335452" u="1"/>
        <n v="4335459" u="1"/>
        <n v="4335464" u="1"/>
        <n v="4335467" u="1"/>
        <n v="4335473" u="1"/>
        <n v="4335474" u="1"/>
        <n v="4335475" u="1"/>
        <n v="4335478" u="1"/>
        <n v="4335479" u="1"/>
        <n v="4335480" u="1"/>
        <n v="4335485" u="1"/>
        <n v="4339421" u="1"/>
        <n v="4335761" u="1"/>
        <n v="4335762" u="1"/>
        <n v="4335763" u="1"/>
        <n v="4336694" u="1"/>
        <n v="4336708" u="1"/>
        <n v="4336715" u="1"/>
        <n v="4336734" u="1"/>
        <n v="4336746" u="1"/>
        <n v="4336781" u="1"/>
        <n v="4336790" u="1"/>
        <n v="4336796" u="1"/>
        <n v="4336802" u="1"/>
        <n v="4336808" u="1"/>
        <n v="4336830" u="1"/>
        <n v="4336848" u="1"/>
        <n v="4336860" u="1"/>
        <n v="4336865" u="1"/>
        <n v="4336874" u="1"/>
        <n v="4336884" u="1"/>
        <n v="4336888" u="1"/>
        <n v="4336894" u="1"/>
        <n v="4337053" u="1"/>
        <n v="4333284" u="1"/>
        <n v="4333285" u="1"/>
        <n v="4333297" u="1"/>
        <n v="4333304" u="1"/>
        <n v="4333307" u="1"/>
        <n v="4333308" u="1"/>
        <n v="4333318" u="1"/>
        <n v="4333321" u="1"/>
        <n v="4333323" u="1"/>
        <n v="4333338" u="1"/>
        <n v="4333351" u="1"/>
        <n v="4333360" u="1"/>
        <n v="4333363" u="1"/>
        <n v="4333365" u="1"/>
        <n v="4333367" u="1"/>
        <n v="4333369" u="1"/>
        <n v="4333372" u="1"/>
        <n v="4333374" u="1"/>
        <n v="4333377" u="1"/>
        <n v="4333379" u="1"/>
        <n v="4334765" u="1"/>
        <n v="4334766" u="1"/>
        <n v="4334768" u="1"/>
        <n v="4335260" u="1"/>
        <n v="4335434" u="1"/>
        <n v="4335439" u="1"/>
        <n v="4335449" u="1"/>
        <n v="4335451" u="1"/>
        <n v="4335486" u="1"/>
        <n v="4335510" u="1"/>
        <n v="4335515" u="1"/>
        <n v="4331714" u="1"/>
        <n v="4331716" u="1"/>
        <n v="4334729" u="1"/>
        <n v="4334741" u="1"/>
        <n v="4335767" u="1"/>
        <n v="4336709" u="1"/>
        <n v="4336719" u="1"/>
        <n v="4336725" u="1"/>
        <n v="4336732" u="1"/>
        <n v="4336743" u="1"/>
        <n v="4336797" u="1"/>
        <n v="4336798" u="1"/>
        <n v="4336816" u="1"/>
        <n v="4336821" u="1"/>
        <n v="4336849" u="1"/>
        <n v="4335802" u="1"/>
        <n v="4335812" u="1"/>
        <n v="4335813" u="1"/>
        <n v="4334010" u="1"/>
        <n v="4334011" u="1"/>
        <n v="4333277" u="1"/>
        <n v="4332676" u="1"/>
        <n v="4333000" u="1"/>
        <n v="4333291" u="1"/>
        <n v="4333296" u="1"/>
        <n v="4333301" u="1"/>
        <n v="4333313" u="1"/>
        <n v="4333329" u="1"/>
        <n v="4333332" u="1"/>
        <n v="4333333" u="1"/>
        <n v="4333366" u="1"/>
        <n v="4336713" u="1"/>
        <n v="4333580" u="1"/>
        <n v="4334001" u="1"/>
        <n v="4334012" u="1"/>
        <n v="4334013" u="1"/>
        <n v="4333279" u="1"/>
        <n v="4333974" u="1"/>
        <n v="4333975" u="1"/>
        <n v="4333978" u="1"/>
        <n v="4333295" u="1"/>
        <n v="4333325" u="1"/>
        <n v="4333326" u="1"/>
        <n v="4333345" u="1"/>
        <n v="4339411" u="1"/>
        <n v="4331715" u="1"/>
        <n v="4333878" u="1"/>
        <n v="4333881" u="1"/>
        <n v="4333901" u="1"/>
        <n v="4334358" u="1"/>
        <n v="4334451" u="1"/>
        <n v="4335535" u="1"/>
        <n v="4333037" u="1"/>
        <n v="4334002" u="1"/>
        <n v="4334003" u="1"/>
        <n v="4334004" u="1"/>
        <n v="4334005" u="1"/>
        <n v="4334006" u="1"/>
        <n v="4334007" u="1"/>
        <n v="4334008" u="1"/>
        <n v="4334009" u="1"/>
        <n v="4334014" u="1"/>
        <n v="4334015" u="1"/>
        <n v="4334016" u="1"/>
        <n v="4334506" u="1"/>
        <n v="4333281" u="1"/>
        <n v="4333294" u="1"/>
        <n v="4333300" u="1"/>
        <n v="4333306" u="1"/>
        <n v="4333314" u="1"/>
        <n v="4333316" u="1"/>
        <n v="4333317" u="1"/>
        <n v="4333327" u="1"/>
        <n v="4333328" u="1"/>
        <n v="4333343" u="1"/>
        <n v="4333348" u="1"/>
        <n v="4333357" u="1"/>
        <n v="4333359" u="1"/>
        <n v="4333362" u="1"/>
        <n v="4333364" u="1"/>
        <n v="4333380" u="1"/>
        <n v="4333381" u="1"/>
        <n v="4333917" u="1"/>
        <n v="4333918" u="1"/>
        <n v="4334299" u="1"/>
        <n v="4334351" u="1"/>
        <n v="4334450" u="1"/>
        <n v="4335199" u="1"/>
        <n v="4334764" u="1"/>
        <n v="4332986" u="1"/>
        <n v="4332991" u="1"/>
        <n v="4333282" u="1"/>
        <n v="4333341" u="1"/>
        <n v="4333370" u="1"/>
        <n v="4332879" u="1"/>
        <n v="4333031" u="1"/>
        <n v="4333045" u="1"/>
        <n v="4333060" u="1"/>
        <n v="4333062" u="1"/>
        <n v="4333064" u="1"/>
        <n v="4333065" u="1"/>
        <n v="4333076" u="1"/>
        <n v="4333079" u="1"/>
        <n v="4336518" u="1"/>
        <n v="4336519" u="1"/>
        <n v="4336520" u="1"/>
        <n v="4332983" u="1"/>
        <n v="4332985" u="1"/>
        <n v="4332987" u="1"/>
        <n v="4332988" u="1"/>
        <n v="4332990" u="1"/>
        <n v="4333361" u="1"/>
        <n v="4333376" u="1"/>
        <n v="4333039" u="1"/>
        <n v="4333283" u="1"/>
        <n v="4333324" u="1"/>
        <n v="4333330" u="1"/>
        <n v="4333344" u="1"/>
        <n v="4333352" u="1"/>
        <n v="4333378" u="1"/>
        <n v="4333029" u="1"/>
        <n v="4336517" u="1"/>
        <n v="4333293" u="1"/>
        <n v="4333368" u="1"/>
        <n v="4335196" u="1"/>
        <n v="4332878" u="1"/>
        <n v="4334733" u="1"/>
        <n v="4332315" u="1"/>
        <n v="4332935" u="1"/>
        <n v="4332936" u="1"/>
        <n v="4332937" u="1"/>
        <n v="4330862" u="1"/>
        <n v="4332677" u="1"/>
        <n v="4332980" u="1"/>
        <n v="4332981" u="1"/>
        <n v="4332982" u="1"/>
        <n v="4332984" u="1"/>
        <n v="4332989" u="1"/>
        <n v="4332992" u="1"/>
        <n v="4333288" u="1"/>
        <n v="4333289" u="1"/>
        <n v="4333299" u="1"/>
        <n v="4333302" u="1"/>
        <n v="4333311" u="1"/>
        <n v="4333312" u="1"/>
        <n v="4333319" u="1"/>
        <n v="4333320" u="1"/>
        <n v="4333335" u="1"/>
        <n v="4333336" u="1"/>
        <n v="4333339" u="1"/>
        <n v="4333340" u="1"/>
        <n v="4333373" u="1"/>
        <n v="4334404" u="1"/>
        <n v="4334416" u="1"/>
        <n v="4334417" u="1"/>
        <n v="4335892" u="1"/>
        <n v="4335893" u="1"/>
        <n v="4335894" u="1"/>
        <n v="4335895" u="1"/>
        <n v="4333346" u="1"/>
        <n v="4333356" u="1"/>
        <n v="4333870" u="1"/>
        <n v="4333871" u="1"/>
        <n v="4333872" u="1"/>
        <n v="4333873" u="1"/>
        <n v="4333874" u="1"/>
        <n v="4333875" u="1"/>
        <n v="4333880" u="1"/>
        <n v="4333885" u="1"/>
        <n v="4333886" u="1"/>
        <n v="4333888" u="1"/>
        <n v="4333889" u="1"/>
        <n v="4333896" u="1"/>
      </sharedItems>
    </cacheField>
    <cacheField name="Cen." numFmtId="0">
      <sharedItems containsMixedTypes="1" containsNumber="1" containsInteger="1" minValue="1196" maxValue="1196"/>
    </cacheField>
    <cacheField name="Dep." numFmtId="0">
      <sharedItems containsDate="1" containsBlank="1" containsMixedTypes="1" minDate="1903-04-10T00:00:00" maxDate="1903-04-11T00:00:00" count="44">
        <s v="11EU"/>
        <s v="SOBN"/>
        <s v="N193"/>
        <s v="11SP"/>
        <s v="11XD"/>
        <s v="PROD"/>
        <s v="UPRO"/>
        <s v="USAD"/>
        <s v="USOB"/>
        <s v="USAN"/>
        <s v="N190"/>
        <s v="UDEI"/>
        <s v="UNRP"/>
        <s v="PLAN" u="1"/>
        <s v="UDEF" u="1"/>
        <s v="USSP" u="1"/>
        <s v="UVIR" u="1"/>
        <s v="UDF1" u="1"/>
        <s v="UDF2" u="1"/>
        <s v="11AB" u="1"/>
        <s v="UPLA" u="1"/>
        <d v="1903-04-10T00:00:00" u="1"/>
        <m u="1"/>
        <s v="NETN" u="1"/>
        <s v="UNET" u="1"/>
        <s v="ANSN" u="1"/>
        <s v="UDES" u="1"/>
        <s v="UDEM" u="1"/>
        <s v="VSAT" u="1"/>
        <s v="USUS" u="1"/>
        <s v="DEFE" u="1"/>
        <s v="SUCA" u="1"/>
        <s v="UCTV" u="1"/>
        <s v="UPER" u="1"/>
        <s v="OPER" u="1"/>
        <s v="UREU" u="1"/>
        <s v="ENGE" u="1"/>
        <s v="UENG" u="1"/>
        <s v="UREV" u="1"/>
        <s v="11K1" u="1"/>
        <s v="UTER" u="1"/>
        <s v="UTRA" u="1"/>
        <s v="NVIR" u="1"/>
        <s v="ULAB" u="1"/>
      </sharedItems>
    </cacheField>
    <cacheField name="Data base" numFmtId="169">
      <sharedItems containsSemiMixedTypes="0" containsNonDate="0" containsDate="1" containsString="0" minDate="2024-06-03T00:00:00" maxDate="2024-06-08T00:00:00"/>
    </cacheField>
    <cacheField name="TMv" numFmtId="0">
      <sharedItems containsMixedTypes="1" containsNumber="1" containsInteger="1" minValue="201" maxValue="301"/>
    </cacheField>
    <cacheField name="Material" numFmtId="0">
      <sharedItems containsSemiMixedTypes="0" containsString="0" containsNumber="1" containsInteger="1" minValue="251820" maxValue="50000210"/>
    </cacheField>
    <cacheField name="Texto breve material" numFmtId="0">
      <sharedItems/>
    </cacheField>
    <cacheField name="UMB" numFmtId="0">
      <sharedItems containsBlank="1" count="8">
        <s v="UN"/>
        <s v="M" u="1"/>
        <s v="ROL" u="1"/>
        <s v="UA" u="1"/>
        <s v="CJ" u="1"/>
        <s v="UND" u="1"/>
        <m u="1"/>
        <s v="MT" u="1"/>
      </sharedItems>
    </cacheField>
    <cacheField name="Qtd." numFmtId="0">
      <sharedItems containsSemiMixedTypes="0" containsString="0" containsNumber="1" containsInteger="1" minValue="1" maxValue="25400"/>
    </cacheField>
    <cacheField name="Aux Item" numFmtId="0">
      <sharedItems containsSemiMixedTypes="0" containsString="0" containsNumber="1" containsInteger="1" minValue="1" maxValue="1"/>
    </cacheField>
    <cacheField name="Tipo Material" numFmtId="0">
      <sharedItems/>
    </cacheField>
    <cacheField name="Status WMS" numFmtId="0">
      <sharedItems/>
    </cacheField>
    <cacheField name="Situação" numFmtId="0">
      <sharedItems/>
    </cacheField>
    <cacheField name="EMPRESA" numFmtId="0">
      <sharedItems/>
    </cacheField>
    <cacheField name="OPERAÇÃO" numFmtId="0">
      <sharedItems count="2">
        <s v="EMPRESARIAL"/>
        <s v="NET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4381923"/>
    <s v="11EU"/>
    <s v="11EU"/>
    <s v="07.06.2024"/>
    <d v="1899-12-30T10:07:05"/>
    <s v="-"/>
    <n v="221"/>
    <x v="0"/>
    <s v="EMBRATEL"/>
    <x v="0"/>
    <x v="0"/>
  </r>
  <r>
    <n v="4383619"/>
    <s v="48EL"/>
    <s v="USOB"/>
    <s v="07.06.2024"/>
    <d v="1899-12-30T10:00:32"/>
    <s v="-"/>
    <n v="221"/>
    <x v="0"/>
    <s v="Verificar empresa"/>
    <x v="0"/>
    <x v="0"/>
  </r>
  <r>
    <n v="4383620"/>
    <s v="48EL"/>
    <s v="PROD"/>
    <s v="07.06.2024"/>
    <d v="1899-12-30T10:01:33"/>
    <s v="-"/>
    <n v="221"/>
    <x v="0"/>
    <s v="Verificar empresa"/>
    <x v="0"/>
    <x v="0"/>
  </r>
  <r>
    <n v="4381705"/>
    <s v="11EU"/>
    <s v="11EU"/>
    <s v="07.06.2024"/>
    <d v="1899-12-30T10:02:24"/>
    <s v="-"/>
    <n v="221"/>
    <x v="0"/>
    <s v="EMBRATEL"/>
    <x v="0"/>
    <x v="0"/>
  </r>
  <r>
    <n v="4381722"/>
    <s v="11EU"/>
    <s v="11EU"/>
    <s v="07.06.2024"/>
    <d v="1899-12-30T10:05:55"/>
    <s v="-"/>
    <n v="221"/>
    <x v="0"/>
    <s v="EMBRATEL"/>
    <x v="0"/>
    <x v="0"/>
  </r>
  <r>
    <n v="4381748"/>
    <s v="11EU"/>
    <s v="11EU"/>
    <s v="07.06.2024"/>
    <d v="1899-12-30T10:03:33"/>
    <s v="-"/>
    <n v="221"/>
    <x v="0"/>
    <s v="EMBRATEL"/>
    <x v="0"/>
    <x v="0"/>
  </r>
  <r>
    <n v="4384035"/>
    <n v="1196"/>
    <s v="UTRA"/>
    <s v="07.06.2024"/>
    <d v="1899-12-30T09:51:24"/>
    <s v="000001605-448"/>
    <n v="301"/>
    <x v="0"/>
    <s v="OMR"/>
    <x v="0"/>
    <x v="1"/>
  </r>
  <r>
    <n v="4383580"/>
    <n v="1196"/>
    <s v="UTRA"/>
    <s v="07.06.2024"/>
    <d v="1899-12-30T09:39:06"/>
    <s v="000030646-412"/>
    <n v="301"/>
    <x v="0"/>
    <s v="OMR"/>
    <x v="0"/>
    <x v="1"/>
  </r>
  <r>
    <n v="4382273"/>
    <s v="11EU"/>
    <s v="11EU"/>
    <s v="07.06.2024"/>
    <d v="1899-12-30T09:35:23"/>
    <s v="000067725-626"/>
    <n v="221"/>
    <x v="0"/>
    <s v="EMBRATEL"/>
    <x v="0"/>
    <x v="1"/>
  </r>
  <r>
    <n v="4381743"/>
    <s v="11EU"/>
    <s v="11EU"/>
    <s v="07.06.2024"/>
    <d v="1899-12-30T09:37:45"/>
    <s v="000067726-626"/>
    <n v="221"/>
    <x v="0"/>
    <s v="EMBRATEL"/>
    <x v="0"/>
    <x v="1"/>
  </r>
  <r>
    <n v="4382268"/>
    <s v="11EU"/>
    <s v="11EU"/>
    <s v="07.06.2024"/>
    <d v="1899-12-30T09:36:53"/>
    <s v="000067727-626"/>
    <n v="221"/>
    <x v="0"/>
    <s v="EMBRATEL"/>
    <x v="0"/>
    <x v="1"/>
  </r>
  <r>
    <n v="4381701"/>
    <s v="11EU"/>
    <s v="11EU"/>
    <s v="07.06.2024"/>
    <d v="1899-12-30T09:41:58"/>
    <s v="000067728-626"/>
    <n v="221"/>
    <x v="0"/>
    <s v="EMBRATEL"/>
    <x v="0"/>
    <x v="1"/>
  </r>
  <r>
    <n v="4381747"/>
    <s v="11EU"/>
    <s v="11EU"/>
    <s v="07.06.2024"/>
    <d v="1899-12-30T09:43:07"/>
    <s v="000067729-626"/>
    <n v="221"/>
    <x v="0"/>
    <s v="EMBRATEL"/>
    <x v="0"/>
    <x v="1"/>
  </r>
  <r>
    <n v="4381713"/>
    <s v="11EU"/>
    <s v="11EU"/>
    <s v="07.06.2024"/>
    <d v="1899-12-30T09:44:14"/>
    <s v="000067730-626"/>
    <n v="221"/>
    <x v="0"/>
    <s v="EMBRATEL"/>
    <x v="0"/>
    <x v="1"/>
  </r>
  <r>
    <n v="4381728"/>
    <s v="11EU"/>
    <s v="11EU"/>
    <s v="07.06.2024"/>
    <d v="1899-12-30T09:39:35"/>
    <s v="000067731-626"/>
    <n v="221"/>
    <x v="0"/>
    <s v="EMBRATEL"/>
    <x v="0"/>
    <x v="1"/>
  </r>
  <r>
    <n v="4381727"/>
    <s v="11EU"/>
    <s v="11EU"/>
    <s v="07.06.2024"/>
    <d v="1899-12-30T09:40:40"/>
    <s v="000067732-626"/>
    <n v="221"/>
    <x v="0"/>
    <s v="EMBRATEL"/>
    <x v="0"/>
    <x v="1"/>
  </r>
  <r>
    <n v="4381731"/>
    <s v="11EU"/>
    <s v="11EU"/>
    <s v="07.06.2024"/>
    <d v="1899-12-30T09:42:44"/>
    <s v="000067733-626"/>
    <n v="221"/>
    <x v="0"/>
    <s v="EMBRATEL"/>
    <x v="0"/>
    <x v="1"/>
  </r>
  <r>
    <n v="4381711"/>
    <s v="11EU"/>
    <s v="11EU"/>
    <s v="07.06.2024"/>
    <d v="1899-12-30T09:41:39"/>
    <s v="000067734-626"/>
    <n v="221"/>
    <x v="0"/>
    <s v="EMBRATEL"/>
    <x v="0"/>
    <x v="1"/>
  </r>
  <r>
    <n v="4382263"/>
    <s v="11EU"/>
    <s v="11EU"/>
    <s v="07.06.2024"/>
    <d v="1899-12-30T09:39:42"/>
    <s v="000067735-626"/>
    <n v="221"/>
    <x v="0"/>
    <s v="EMBRATEL"/>
    <x v="0"/>
    <x v="1"/>
  </r>
  <r>
    <n v="4381741"/>
    <s v="11EU"/>
    <s v="11EU"/>
    <s v="07.06.2024"/>
    <d v="1899-12-30T09:43:47"/>
    <s v="000067736-626"/>
    <n v="221"/>
    <x v="0"/>
    <s v="EMBRATEL"/>
    <x v="0"/>
    <x v="1"/>
  </r>
  <r>
    <n v="4382277"/>
    <s v="11EU"/>
    <s v="11EU"/>
    <s v="07.06.2024"/>
    <d v="1899-12-30T09:38:14"/>
    <s v="000067737-626"/>
    <n v="221"/>
    <x v="0"/>
    <s v="EMBRATEL"/>
    <x v="0"/>
    <x v="1"/>
  </r>
  <r>
    <n v="4381709"/>
    <s v="11EU"/>
    <s v="11EU"/>
    <s v="07.06.2024"/>
    <d v="1899-12-30T09:53:36"/>
    <s v="000067738-626"/>
    <n v="221"/>
    <x v="0"/>
    <s v="EMBRATEL"/>
    <x v="0"/>
    <x v="1"/>
  </r>
  <r>
    <n v="4381716"/>
    <s v="11EU"/>
    <s v="11EU"/>
    <s v="07.06.2024"/>
    <d v="1899-12-30T09:51:30"/>
    <s v="000067739-626"/>
    <n v="221"/>
    <x v="0"/>
    <s v="EMBRATEL"/>
    <x v="0"/>
    <x v="1"/>
  </r>
  <r>
    <n v="4381725"/>
    <s v="11EU"/>
    <s v="11EU"/>
    <s v="07.06.2024"/>
    <d v="1899-12-30T09:56:23"/>
    <s v="000067740-626"/>
    <n v="221"/>
    <x v="0"/>
    <s v="EMBRATEL"/>
    <x v="0"/>
    <x v="1"/>
  </r>
  <r>
    <n v="4381732"/>
    <s v="11EU"/>
    <s v="11EU"/>
    <s v="07.06.2024"/>
    <d v="1899-12-30T09:54:45"/>
    <s v="000067741-626"/>
    <n v="221"/>
    <x v="0"/>
    <s v="EMBRATEL"/>
    <x v="0"/>
    <x v="1"/>
  </r>
  <r>
    <n v="4381749"/>
    <s v="11EU"/>
    <s v="11EU"/>
    <s v="07.06.2024"/>
    <d v="1899-12-30T09:53:42"/>
    <s v="000067742-626"/>
    <n v="221"/>
    <x v="0"/>
    <s v="EMBRATEL"/>
    <x v="0"/>
    <x v="1"/>
  </r>
  <r>
    <n v="4381740"/>
    <s v="11EU"/>
    <s v="11EU"/>
    <s v="07.06.2024"/>
    <d v="1899-12-30T09:54:57"/>
    <s v="000067743-626"/>
    <n v="221"/>
    <x v="0"/>
    <s v="EMBRATEL"/>
    <x v="0"/>
    <x v="1"/>
  </r>
  <r>
    <n v="4381735"/>
    <s v="11EU"/>
    <s v="11EU"/>
    <s v="07.06.2024"/>
    <d v="1899-12-30T09:52:33"/>
    <s v="000067744-626"/>
    <n v="221"/>
    <x v="0"/>
    <s v="EMBRATEL"/>
    <x v="0"/>
    <x v="1"/>
  </r>
  <r>
    <n v="4380947"/>
    <s v="N491"/>
    <s v="USAD"/>
    <s v="07.06.2024"/>
    <d v="1899-12-30T09:57:34"/>
    <s v="000081785-702"/>
    <s v="X33"/>
    <x v="0"/>
    <s v="Verificar empresa"/>
    <x v="0"/>
    <x v="1"/>
  </r>
  <r>
    <n v="4379735"/>
    <s v="N190"/>
    <s v="USAD"/>
    <s v="07.06.2024"/>
    <d v="1899-12-30T07:50:52"/>
    <s v="000091130-806"/>
    <s v="X51"/>
    <x v="0"/>
    <s v="NET MASSIVO"/>
    <x v="1"/>
    <x v="2"/>
  </r>
  <r>
    <n v="4379695"/>
    <s v="N190"/>
    <s v="USAD"/>
    <s v="07.06.2024"/>
    <d v="1899-12-30T08:00:44"/>
    <s v="000091131-806"/>
    <s v="X43"/>
    <x v="0"/>
    <s v="NET MASSIVO"/>
    <x v="1"/>
    <x v="3"/>
  </r>
  <r>
    <n v="4379707"/>
    <s v="N190"/>
    <s v="USAD"/>
    <s v="07.06.2024"/>
    <d v="1899-12-30T08:00:51"/>
    <s v="000091132-806"/>
    <s v="X43"/>
    <x v="0"/>
    <s v="NET MASSIVO"/>
    <x v="1"/>
    <x v="3"/>
  </r>
  <r>
    <n v="4379696"/>
    <s v="N190"/>
    <s v="USAD"/>
    <s v="07.06.2024"/>
    <d v="1899-12-30T08:00:47"/>
    <s v="000091133-806"/>
    <s v="X43"/>
    <x v="0"/>
    <s v="NET MASSIVO"/>
    <x v="1"/>
    <x v="3"/>
  </r>
  <r>
    <n v="4383618"/>
    <s v="N190"/>
    <s v="USUS"/>
    <s v="07.06.2024"/>
    <d v="1899-12-30T08:28:06"/>
    <s v="000091134-806"/>
    <n v="541"/>
    <x v="0"/>
    <s v="NET MASSIVO"/>
    <x v="1"/>
    <x v="3"/>
  </r>
  <r>
    <n v="4379597"/>
    <s v="N190"/>
    <s v="USAD"/>
    <s v="07.06.2024"/>
    <d v="1899-12-30T08:50:42"/>
    <s v="000091138-806"/>
    <s v="X41"/>
    <x v="0"/>
    <s v="NET MASSIVO"/>
    <x v="1"/>
    <x v="3"/>
  </r>
  <r>
    <n v="4379703"/>
    <s v="N190"/>
    <s v="USAD"/>
    <s v="07.06.2024"/>
    <d v="1899-12-30T09:04:48"/>
    <s v="000091139-806"/>
    <s v="X43"/>
    <x v="0"/>
    <s v="NET MASSIVO"/>
    <x v="1"/>
    <x v="1"/>
  </r>
  <r>
    <n v="4379584"/>
    <s v="N190"/>
    <s v="USAD"/>
    <s v="07.06.2024"/>
    <d v="1899-12-30T09:03:05"/>
    <s v="000091140-806"/>
    <s v="X43"/>
    <x v="0"/>
    <s v="NET MASSIVO"/>
    <x v="1"/>
    <x v="1"/>
  </r>
  <r>
    <n v="4379714"/>
    <s v="N190"/>
    <s v="USAD"/>
    <s v="07.06.2024"/>
    <d v="1899-12-30T09:09:38"/>
    <s v="000091141-806"/>
    <s v="X51"/>
    <x v="0"/>
    <s v="NET MASSIVO"/>
    <x v="1"/>
    <x v="1"/>
  </r>
  <r>
    <n v="4379720"/>
    <s v="N190"/>
    <s v="USAD"/>
    <s v="07.06.2024"/>
    <d v="1899-12-30T09:12:07"/>
    <s v="000091142-806"/>
    <s v="X51"/>
    <x v="0"/>
    <s v="NET MASSIVO"/>
    <x v="1"/>
    <x v="1"/>
  </r>
  <r>
    <n v="4379736"/>
    <s v="N190"/>
    <s v="USAD"/>
    <s v="07.06.2024"/>
    <d v="1899-12-30T09:16:27"/>
    <s v="000091143-806"/>
    <s v="X51"/>
    <x v="0"/>
    <s v="NET MASSIVO"/>
    <x v="1"/>
    <x v="1"/>
  </r>
  <r>
    <n v="4379721"/>
    <s v="N190"/>
    <s v="USAD"/>
    <s v="07.06.2024"/>
    <d v="1899-12-30T09:18:21"/>
    <s v="000091144-806"/>
    <s v="X51"/>
    <x v="0"/>
    <s v="NET MASSIVO"/>
    <x v="1"/>
    <x v="1"/>
  </r>
  <r>
    <n v="4379731"/>
    <s v="N190"/>
    <s v="USAD"/>
    <s v="07.06.2024"/>
    <d v="1899-12-30T09:21:19"/>
    <s v="000091145-806"/>
    <s v="X51"/>
    <x v="0"/>
    <s v="NET MASSIVO"/>
    <x v="1"/>
    <x v="1"/>
  </r>
  <r>
    <n v="4379582"/>
    <s v="N190"/>
    <s v="USAD"/>
    <s v="07.06.2024"/>
    <d v="1899-12-30T09:30:57"/>
    <s v="000091148-806"/>
    <s v="X43"/>
    <x v="0"/>
    <s v="NET MASSIVO"/>
    <x v="1"/>
    <x v="1"/>
  </r>
  <r>
    <n v="4379667"/>
    <s v="N190"/>
    <s v="USAD"/>
    <s v="07.06.2024"/>
    <d v="1899-12-30T09:41:03"/>
    <s v="000091152-806"/>
    <s v="X43"/>
    <x v="0"/>
    <s v="NET MASSIVO"/>
    <x v="1"/>
    <x v="1"/>
  </r>
  <r>
    <n v="4383196"/>
    <s v="N190"/>
    <s v="N190"/>
    <s v="07.06.2024"/>
    <d v="1899-12-30T09:41:07"/>
    <s v="000091153-806"/>
    <s v="X41"/>
    <x v="0"/>
    <s v="NET MASSIVO"/>
    <x v="1"/>
    <x v="1"/>
  </r>
  <r>
    <n v="4379596"/>
    <s v="N190"/>
    <s v="USAD"/>
    <s v="07.06.2024"/>
    <d v="1899-12-30T09:40:58"/>
    <s v="000091154-806"/>
    <s v="X43"/>
    <x v="0"/>
    <s v="NET MASSIVO"/>
    <x v="1"/>
    <x v="1"/>
  </r>
  <r>
    <n v="4379638"/>
    <s v="N190"/>
    <s v="N190"/>
    <s v="07.06.2024"/>
    <d v="1899-12-30T10:00:52"/>
    <s v="000091156-806"/>
    <s v="X41"/>
    <x v="0"/>
    <s v="NET MASSIVO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5">
  <r>
    <n v="4380794"/>
    <s v="11EU"/>
    <s v="11EU"/>
    <d v="2024-06-05T00:00:00"/>
    <d v="2024-06-05T00:00:00"/>
    <d v="1899-12-30T08:00:00"/>
    <n v="2"/>
    <x v="0"/>
    <d v="2024-06-07T00:00:00"/>
    <s v="D+2"/>
    <x v="0"/>
    <n v="2"/>
    <x v="0"/>
    <x v="0"/>
    <s v="EMBRATEL"/>
    <x v="0"/>
    <x v="0"/>
  </r>
  <r>
    <n v="4380796"/>
    <s v="11EU"/>
    <s v="11EU"/>
    <d v="2024-06-05T00:00:00"/>
    <d v="2024-06-05T00:00:00"/>
    <d v="1899-12-30T10:36:20"/>
    <n v="2"/>
    <x v="0"/>
    <d v="2024-06-07T00:00:00"/>
    <s v="D+2"/>
    <x v="0"/>
    <n v="2"/>
    <x v="0"/>
    <x v="0"/>
    <s v="EMBRATEL"/>
    <x v="0"/>
    <x v="0"/>
  </r>
  <r>
    <n v="4380797"/>
    <s v="11EU"/>
    <s v="11EU"/>
    <d v="2024-06-05T00:00:00"/>
    <d v="2024-06-05T00:00:00"/>
    <d v="1899-12-30T11:02:30"/>
    <n v="2"/>
    <x v="0"/>
    <d v="2024-06-07T00:00:00"/>
    <s v="D+2"/>
    <x v="0"/>
    <n v="2"/>
    <x v="0"/>
    <x v="0"/>
    <s v="EMBRATEL"/>
    <x v="0"/>
    <x v="0"/>
  </r>
  <r>
    <n v="4381016"/>
    <s v="11EU"/>
    <s v="11EU"/>
    <d v="2024-06-05T00:00:00"/>
    <d v="2024-06-05T00:00:00"/>
    <d v="1899-12-30T11:02:40"/>
    <n v="2"/>
    <x v="0"/>
    <d v="2024-06-07T00:00:00"/>
    <s v="D+2"/>
    <x v="0"/>
    <n v="1"/>
    <x v="0"/>
    <x v="0"/>
    <s v="EMBRATEL"/>
    <x v="0"/>
    <x v="0"/>
  </r>
  <r>
    <n v="4381020"/>
    <s v="11EU"/>
    <s v="11EU"/>
    <d v="2024-06-05T00:00:00"/>
    <d v="2024-06-05T00:00:00"/>
    <d v="1899-12-30T11:15:30"/>
    <n v="2"/>
    <x v="1"/>
    <d v="2024-06-07T00:00:00"/>
    <s v="D+2"/>
    <x v="0"/>
    <n v="7"/>
    <x v="0"/>
    <x v="0"/>
    <s v="EMBRATEL"/>
    <x v="0"/>
    <x v="0"/>
  </r>
  <r>
    <n v="4381187"/>
    <s v="11EU"/>
    <s v="11EU"/>
    <d v="2024-06-05T00:00:00"/>
    <d v="2024-06-05T00:00:00"/>
    <d v="1899-12-30T08:00:00"/>
    <n v="2"/>
    <x v="1"/>
    <d v="2024-06-07T00:00:00"/>
    <s v="D+2"/>
    <x v="0"/>
    <n v="10"/>
    <x v="0"/>
    <x v="0"/>
    <s v="EMBRATEL"/>
    <x v="0"/>
    <x v="0"/>
  </r>
  <r>
    <n v="4381191"/>
    <s v="11EU"/>
    <s v="11EU"/>
    <d v="2024-06-05T00:00:00"/>
    <d v="2024-06-05T00:00:00"/>
    <d v="1899-12-30T08:26:30"/>
    <n v="2"/>
    <x v="2"/>
    <d v="2024-06-07T00:00:00"/>
    <s v="D+2"/>
    <x v="0"/>
    <n v="8"/>
    <x v="1"/>
    <x v="0"/>
    <s v="EMBRATEL"/>
    <x v="0"/>
    <x v="0"/>
  </r>
  <r>
    <n v="4381193"/>
    <s v="11EU"/>
    <s v="11EU"/>
    <d v="2024-06-05T00:00:00"/>
    <d v="2024-06-05T00:00:00"/>
    <d v="1899-12-30T08:52:20"/>
    <n v="2"/>
    <x v="1"/>
    <d v="2024-06-07T00:00:00"/>
    <s v="D+2"/>
    <x v="0"/>
    <n v="9"/>
    <x v="0"/>
    <x v="0"/>
    <s v="EMBRATEL"/>
    <x v="0"/>
    <x v="0"/>
  </r>
  <r>
    <n v="4381194"/>
    <s v="11EU"/>
    <s v="11EU"/>
    <d v="2024-06-05T00:00:00"/>
    <d v="2024-06-05T00:00:00"/>
    <d v="1899-12-30T08:52:30"/>
    <n v="2"/>
    <x v="2"/>
    <d v="2024-06-07T00:00:00"/>
    <s v="D+2"/>
    <x v="0"/>
    <n v="5"/>
    <x v="1"/>
    <x v="0"/>
    <s v="EMBRATEL"/>
    <x v="0"/>
    <x v="0"/>
  </r>
  <r>
    <n v="4381304"/>
    <s v="11EU"/>
    <s v="11EU"/>
    <d v="2024-06-05T00:00:00"/>
    <d v="2024-06-05T00:00:00"/>
    <d v="1899-12-30T09:31:20"/>
    <n v="2"/>
    <x v="2"/>
    <d v="2024-06-07T00:00:00"/>
    <s v="D+2"/>
    <x v="0"/>
    <n v="5"/>
    <x v="1"/>
    <x v="0"/>
    <s v="EMBRATEL"/>
    <x v="0"/>
    <x v="0"/>
  </r>
  <r>
    <n v="4381383"/>
    <s v="11EU"/>
    <s v="11EU"/>
    <d v="2024-06-05T00:00:00"/>
    <d v="2024-06-05T00:00:00"/>
    <d v="1899-12-30T11:02:50"/>
    <n v="2"/>
    <x v="0"/>
    <d v="2024-06-07T00:00:00"/>
    <s v="D+2"/>
    <x v="0"/>
    <n v="2"/>
    <x v="0"/>
    <x v="0"/>
    <s v="EMBRATEL"/>
    <x v="0"/>
    <x v="0"/>
  </r>
  <r>
    <n v="4381574"/>
    <s v="11EU"/>
    <s v="11EU"/>
    <d v="2024-06-05T00:00:00"/>
    <d v="2024-06-05T00:00:00"/>
    <d v="1899-12-30T12:46:20"/>
    <n v="2"/>
    <x v="1"/>
    <d v="2024-06-07T00:00:00"/>
    <s v="D+2"/>
    <x v="0"/>
    <n v="1"/>
    <x v="0"/>
    <x v="0"/>
    <s v="EMBRATEL"/>
    <x v="0"/>
    <x v="0"/>
  </r>
  <r>
    <n v="4381575"/>
    <s v="11EU"/>
    <s v="11EU"/>
    <d v="2024-06-05T00:00:00"/>
    <d v="2024-06-05T00:00:00"/>
    <d v="1899-12-30T12:46:20"/>
    <n v="2"/>
    <x v="3"/>
    <d v="2024-06-07T00:00:00"/>
    <s v="D+2"/>
    <x v="0"/>
    <n v="1"/>
    <x v="0"/>
    <x v="0"/>
    <s v="EMBRATEL"/>
    <x v="0"/>
    <x v="0"/>
  </r>
  <r>
    <n v="4381704"/>
    <s v="11EU"/>
    <s v="11EU"/>
    <d v="2024-06-05T00:00:00"/>
    <d v="2024-06-05T00:00:00"/>
    <d v="1899-12-30T14:43:40"/>
    <n v="2"/>
    <x v="0"/>
    <d v="2024-06-07T00:00:00"/>
    <s v="D+2"/>
    <x v="0"/>
    <n v="2"/>
    <x v="0"/>
    <x v="0"/>
    <s v="EMBRATEL"/>
    <x v="0"/>
    <x v="0"/>
  </r>
  <r>
    <n v="4381706"/>
    <s v="11EU"/>
    <s v="11EU"/>
    <d v="2024-06-05T00:00:00"/>
    <d v="2024-06-05T00:00:00"/>
    <d v="1899-12-30T14:43:50"/>
    <n v="2"/>
    <x v="1"/>
    <d v="2024-06-07T00:00:00"/>
    <s v="D+2"/>
    <x v="0"/>
    <n v="1"/>
    <x v="0"/>
    <x v="0"/>
    <s v="EMBRATEL"/>
    <x v="0"/>
    <x v="0"/>
  </r>
  <r>
    <n v="4381707"/>
    <s v="11EU"/>
    <s v="11EU"/>
    <d v="2024-06-05T00:00:00"/>
    <d v="2024-06-05T00:00:00"/>
    <d v="1899-12-30T14:43:50"/>
    <n v="2"/>
    <x v="1"/>
    <d v="2024-06-07T00:00:00"/>
    <s v="D+2"/>
    <x v="0"/>
    <n v="1"/>
    <x v="0"/>
    <x v="0"/>
    <s v="EMBRATEL"/>
    <x v="0"/>
    <x v="0"/>
  </r>
  <r>
    <n v="4381710"/>
    <s v="11EU"/>
    <s v="11EU"/>
    <d v="2024-06-05T00:00:00"/>
    <d v="2024-06-05T00:00:00"/>
    <d v="1899-12-30T14:44:10"/>
    <n v="2"/>
    <x v="1"/>
    <d v="2024-06-07T00:00:00"/>
    <s v="D+2"/>
    <x v="0"/>
    <n v="1"/>
    <x v="0"/>
    <x v="0"/>
    <s v="EMBRATEL"/>
    <x v="0"/>
    <x v="0"/>
  </r>
  <r>
    <n v="4381712"/>
    <s v="11EU"/>
    <s v="11EU"/>
    <d v="2024-06-05T00:00:00"/>
    <d v="2024-06-05T00:00:00"/>
    <d v="1899-12-30T14:44:20"/>
    <n v="2"/>
    <x v="1"/>
    <d v="2024-06-07T00:00:00"/>
    <s v="D+2"/>
    <x v="0"/>
    <n v="1"/>
    <x v="0"/>
    <x v="0"/>
    <s v="EMBRATEL"/>
    <x v="0"/>
    <x v="0"/>
  </r>
  <r>
    <n v="4381717"/>
    <s v="11EU"/>
    <s v="11EU"/>
    <d v="2024-06-05T00:00:00"/>
    <d v="2024-06-05T00:00:00"/>
    <d v="1899-12-30T14:44:40"/>
    <n v="2"/>
    <x v="0"/>
    <d v="2024-06-07T00:00:00"/>
    <s v="D+2"/>
    <x v="0"/>
    <n v="1"/>
    <x v="0"/>
    <x v="0"/>
    <s v="EMBRATEL"/>
    <x v="0"/>
    <x v="0"/>
  </r>
  <r>
    <n v="4381718"/>
    <s v="11EU"/>
    <s v="11EU"/>
    <d v="2024-06-05T00:00:00"/>
    <d v="2024-06-05T00:00:00"/>
    <d v="1899-12-30T14:44:40"/>
    <n v="2"/>
    <x v="0"/>
    <d v="2024-06-07T00:00:00"/>
    <s v="D+2"/>
    <x v="0"/>
    <n v="1"/>
    <x v="0"/>
    <x v="0"/>
    <s v="EMBRATEL"/>
    <x v="0"/>
    <x v="0"/>
  </r>
  <r>
    <n v="4381719"/>
    <s v="11EU"/>
    <s v="11EU"/>
    <d v="2024-06-05T00:00:00"/>
    <d v="2024-06-05T00:00:00"/>
    <d v="1899-12-30T14:44:50"/>
    <n v="2"/>
    <x v="0"/>
    <d v="2024-06-07T00:00:00"/>
    <s v="D+2"/>
    <x v="0"/>
    <n v="1"/>
    <x v="0"/>
    <x v="0"/>
    <s v="EMBRATEL"/>
    <x v="0"/>
    <x v="0"/>
  </r>
  <r>
    <n v="4381724"/>
    <s v="11EU"/>
    <s v="11EU"/>
    <d v="2024-06-05T00:00:00"/>
    <d v="2024-06-05T00:00:00"/>
    <d v="1899-12-30T14:45:20"/>
    <n v="2"/>
    <x v="0"/>
    <d v="2024-06-07T00:00:00"/>
    <s v="D+2"/>
    <x v="0"/>
    <n v="1"/>
    <x v="0"/>
    <x v="0"/>
    <s v="EMBRATEL"/>
    <x v="0"/>
    <x v="0"/>
  </r>
  <r>
    <n v="4381729"/>
    <s v="11EU"/>
    <s v="11EU"/>
    <d v="2024-06-05T00:00:00"/>
    <d v="2024-06-05T00:00:00"/>
    <d v="1899-12-30T14:45:40"/>
    <n v="2"/>
    <x v="1"/>
    <d v="2024-06-07T00:00:00"/>
    <s v="D+2"/>
    <x v="0"/>
    <n v="2"/>
    <x v="0"/>
    <x v="0"/>
    <s v="EMBRATEL"/>
    <x v="0"/>
    <x v="0"/>
  </r>
  <r>
    <n v="4381733"/>
    <s v="11EU"/>
    <s v="11EU"/>
    <d v="2024-06-05T00:00:00"/>
    <d v="2024-06-05T00:00:00"/>
    <d v="1899-12-30T14:46:10"/>
    <n v="2"/>
    <x v="0"/>
    <d v="2024-06-07T00:00:00"/>
    <s v="D+2"/>
    <x v="0"/>
    <n v="1"/>
    <x v="0"/>
    <x v="0"/>
    <s v="EMBRATEL"/>
    <x v="0"/>
    <x v="0"/>
  </r>
  <r>
    <n v="4381738"/>
    <s v="11EU"/>
    <s v="11EU"/>
    <d v="2024-06-05T00:00:00"/>
    <d v="2024-06-05T00:00:00"/>
    <d v="1899-12-30T14:46:30"/>
    <n v="2"/>
    <x v="0"/>
    <d v="2024-06-07T00:00:00"/>
    <s v="D+2"/>
    <x v="0"/>
    <n v="1"/>
    <x v="0"/>
    <x v="0"/>
    <s v="EMBRATEL"/>
    <x v="0"/>
    <x v="0"/>
  </r>
  <r>
    <n v="4381751"/>
    <s v="11EU"/>
    <s v="11EU"/>
    <d v="2024-06-05T00:00:00"/>
    <d v="2024-06-05T00:00:00"/>
    <d v="1899-12-30T14:47:40"/>
    <n v="2"/>
    <x v="1"/>
    <d v="2024-06-07T00:00:00"/>
    <s v="D+2"/>
    <x v="0"/>
    <n v="1"/>
    <x v="0"/>
    <x v="0"/>
    <s v="EMBRATEL"/>
    <x v="0"/>
    <x v="0"/>
  </r>
  <r>
    <n v="4381752"/>
    <s v="11EU"/>
    <s v="11EU"/>
    <d v="2024-06-05T00:00:00"/>
    <d v="2024-06-05T00:00:00"/>
    <d v="1899-12-30T14:47:40"/>
    <n v="2"/>
    <x v="0"/>
    <d v="2024-06-07T00:00:00"/>
    <s v="D+2"/>
    <x v="0"/>
    <n v="4"/>
    <x v="0"/>
    <x v="0"/>
    <s v="EMBRATEL"/>
    <x v="0"/>
    <x v="0"/>
  </r>
  <r>
    <n v="4381754"/>
    <s v="11EU"/>
    <s v="11EU"/>
    <d v="2024-06-05T00:00:00"/>
    <d v="2024-06-05T00:00:00"/>
    <d v="1899-12-30T14:47:50"/>
    <n v="2"/>
    <x v="1"/>
    <d v="2024-06-07T00:00:00"/>
    <s v="D+2"/>
    <x v="0"/>
    <n v="3"/>
    <x v="0"/>
    <x v="0"/>
    <s v="EMBRATEL"/>
    <x v="0"/>
    <x v="0"/>
  </r>
  <r>
    <n v="4381930"/>
    <s v="11EU"/>
    <s v="11EU"/>
    <d v="2024-06-05T00:00:00"/>
    <d v="2024-06-05T00:00:00"/>
    <d v="1899-12-30T15:48:50"/>
    <n v="2"/>
    <x v="4"/>
    <d v="2024-06-07T00:00:00"/>
    <s v="D+2"/>
    <x v="0"/>
    <n v="1"/>
    <x v="0"/>
    <x v="0"/>
    <s v="EMBRATEL"/>
    <x v="0"/>
    <x v="0"/>
  </r>
  <r>
    <n v="4381935"/>
    <s v="11EU"/>
    <s v="11EU"/>
    <d v="2024-06-05T00:00:00"/>
    <d v="2024-06-05T00:00:00"/>
    <d v="1899-12-30T08:00:00"/>
    <n v="2"/>
    <x v="1"/>
    <d v="2024-06-07T00:00:00"/>
    <s v="D+2"/>
    <x v="0"/>
    <n v="3"/>
    <x v="0"/>
    <x v="0"/>
    <s v="EMBRATEL"/>
    <x v="0"/>
    <x v="0"/>
  </r>
  <r>
    <n v="4382004"/>
    <s v="11EU"/>
    <s v="11EU"/>
    <d v="2024-06-05T00:00:00"/>
    <d v="2024-06-05T00:00:00"/>
    <d v="1899-12-30T16:40:30"/>
    <n v="2"/>
    <x v="2"/>
    <d v="2024-06-07T00:00:00"/>
    <s v="D+2"/>
    <x v="0"/>
    <n v="4"/>
    <x v="1"/>
    <x v="0"/>
    <s v="EMBRATEL"/>
    <x v="0"/>
    <x v="0"/>
  </r>
  <r>
    <n v="4382012"/>
    <s v="11EU"/>
    <s v="11EU"/>
    <d v="2024-06-05T00:00:00"/>
    <d v="2024-06-05T00:00:00"/>
    <d v="1899-12-30T16:53:20"/>
    <n v="2"/>
    <x v="1"/>
    <d v="2024-06-07T00:00:00"/>
    <s v="D+2"/>
    <x v="0"/>
    <n v="3"/>
    <x v="0"/>
    <x v="0"/>
    <s v="EMBRATEL"/>
    <x v="0"/>
    <x v="0"/>
  </r>
  <r>
    <n v="4382161"/>
    <s v="11EU"/>
    <s v="11EU"/>
    <d v="2024-06-05T00:00:00"/>
    <d v="2024-06-05T00:00:00"/>
    <d v="1899-12-30T17:32:20"/>
    <n v="2"/>
    <x v="2"/>
    <d v="2024-06-07T00:00:00"/>
    <s v="D+2"/>
    <x v="0"/>
    <n v="1"/>
    <x v="1"/>
    <x v="0"/>
    <s v="EMBRATEL"/>
    <x v="0"/>
    <x v="0"/>
  </r>
  <r>
    <n v="4382162"/>
    <s v="11EU"/>
    <s v="11EU"/>
    <d v="2024-06-05T00:00:00"/>
    <d v="2024-06-05T00:00:00"/>
    <d v="1899-12-30T17:32:30"/>
    <n v="2"/>
    <x v="2"/>
    <d v="2024-06-07T00:00:00"/>
    <s v="D+2"/>
    <x v="0"/>
    <n v="19"/>
    <x v="1"/>
    <x v="0"/>
    <s v="EMBRATEL"/>
    <x v="0"/>
    <x v="0"/>
  </r>
  <r>
    <n v="4382163"/>
    <s v="11EU"/>
    <s v="11EU"/>
    <d v="2024-06-05T00:00:00"/>
    <d v="2024-06-05T00:00:00"/>
    <d v="1899-12-30T17:32:40"/>
    <n v="2"/>
    <x v="2"/>
    <d v="2024-06-07T00:00:00"/>
    <s v="D+2"/>
    <x v="0"/>
    <n v="1"/>
    <x v="1"/>
    <x v="0"/>
    <s v="EMBRATEL"/>
    <x v="0"/>
    <x v="0"/>
  </r>
  <r>
    <n v="4382164"/>
    <s v="11EU"/>
    <s v="11EU"/>
    <d v="2024-06-05T00:00:00"/>
    <d v="2024-06-05T00:00:00"/>
    <d v="1899-12-30T17:32:50"/>
    <n v="2"/>
    <x v="2"/>
    <d v="2024-06-07T00:00:00"/>
    <s v="D+2"/>
    <x v="0"/>
    <n v="1"/>
    <x v="1"/>
    <x v="0"/>
    <s v="EMBRATEL"/>
    <x v="0"/>
    <x v="0"/>
  </r>
  <r>
    <n v="4382165"/>
    <s v="11EU"/>
    <s v="11EU"/>
    <d v="2024-06-05T00:00:00"/>
    <d v="2024-06-05T00:00:00"/>
    <d v="1899-12-30T17:32:50"/>
    <n v="2"/>
    <x v="3"/>
    <d v="2024-06-07T00:00:00"/>
    <s v="D+2"/>
    <x v="0"/>
    <n v="1"/>
    <x v="0"/>
    <x v="0"/>
    <s v="EMBRATEL"/>
    <x v="0"/>
    <x v="0"/>
  </r>
  <r>
    <n v="4382166"/>
    <s v="11EU"/>
    <s v="11EU"/>
    <d v="2024-06-05T00:00:00"/>
    <d v="2024-06-05T00:00:00"/>
    <d v="1899-12-30T17:32:50"/>
    <n v="2"/>
    <x v="2"/>
    <d v="2024-06-07T00:00:00"/>
    <s v="D+2"/>
    <x v="0"/>
    <n v="1"/>
    <x v="1"/>
    <x v="0"/>
    <s v="EMBRATEL"/>
    <x v="0"/>
    <x v="0"/>
  </r>
  <r>
    <n v="4382167"/>
    <s v="11EU"/>
    <s v="11EU"/>
    <d v="2024-06-05T00:00:00"/>
    <d v="2024-06-05T00:00:00"/>
    <d v="1899-12-30T17:33:00"/>
    <n v="2"/>
    <x v="2"/>
    <d v="2024-06-07T00:00:00"/>
    <s v="D+2"/>
    <x v="0"/>
    <n v="1"/>
    <x v="1"/>
    <x v="0"/>
    <s v="EMBRATEL"/>
    <x v="0"/>
    <x v="0"/>
  </r>
  <r>
    <n v="4382168"/>
    <s v="11EU"/>
    <s v="11EU"/>
    <d v="2024-06-05T00:00:00"/>
    <d v="2024-06-05T00:00:00"/>
    <d v="1899-12-30T17:33:00"/>
    <n v="2"/>
    <x v="2"/>
    <d v="2024-06-07T00:00:00"/>
    <s v="D+2"/>
    <x v="0"/>
    <n v="1"/>
    <x v="1"/>
    <x v="0"/>
    <s v="EMBRATEL"/>
    <x v="0"/>
    <x v="0"/>
  </r>
  <r>
    <n v="4382169"/>
    <s v="11EU"/>
    <s v="11EU"/>
    <d v="2024-06-05T00:00:00"/>
    <d v="2024-06-05T00:00:00"/>
    <d v="1899-12-30T17:33:10"/>
    <n v="2"/>
    <x v="2"/>
    <d v="2024-06-07T00:00:00"/>
    <s v="D+2"/>
    <x v="0"/>
    <n v="1"/>
    <x v="1"/>
    <x v="0"/>
    <s v="EMBRATEL"/>
    <x v="0"/>
    <x v="0"/>
  </r>
  <r>
    <n v="4382170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171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172"/>
    <s v="11EU"/>
    <s v="11EU"/>
    <d v="2024-06-05T00:00:00"/>
    <d v="2024-06-05T00:00:00"/>
    <d v="1899-12-30T08:00:00"/>
    <n v="2"/>
    <x v="2"/>
    <d v="2024-06-07T00:00:00"/>
    <s v="D+2"/>
    <x v="0"/>
    <n v="1"/>
    <x v="1"/>
    <x v="0"/>
    <s v="EMBRATEL"/>
    <x v="0"/>
    <x v="0"/>
  </r>
  <r>
    <n v="4382285"/>
    <s v="11EU"/>
    <s v="11EU"/>
    <d v="2024-06-06T00:00:00"/>
    <d v="2024-06-06T00:00:00"/>
    <d v="1899-12-30T09:31:30"/>
    <n v="2"/>
    <x v="5"/>
    <d v="2024-06-10T00:00:00"/>
    <s v="D+1"/>
    <x v="1"/>
    <n v="1"/>
    <x v="0"/>
    <x v="1"/>
    <s v="EMBRATEL"/>
    <x v="0"/>
    <x v="0"/>
  </r>
  <r>
    <n v="4382701"/>
    <s v="11EU"/>
    <s v="11EU"/>
    <d v="2024-06-06T00:00:00"/>
    <d v="2024-06-06T00:00:00"/>
    <d v="1899-12-30T09:31:40"/>
    <n v="2"/>
    <x v="5"/>
    <d v="2024-06-10T00:00:00"/>
    <s v="D+1"/>
    <x v="1"/>
    <n v="1"/>
    <x v="0"/>
    <x v="1"/>
    <s v="EMBRATEL"/>
    <x v="0"/>
    <x v="0"/>
  </r>
  <r>
    <n v="4382702"/>
    <s v="11EU"/>
    <s v="11EU"/>
    <d v="2024-06-06T00:00:00"/>
    <d v="2024-06-06T00:00:00"/>
    <d v="1899-12-30T09:31:40"/>
    <n v="2"/>
    <x v="4"/>
    <d v="2024-06-10T00:00:00"/>
    <s v="D+1"/>
    <x v="1"/>
    <n v="1"/>
    <x v="0"/>
    <x v="1"/>
    <s v="EMBRATEL"/>
    <x v="0"/>
    <x v="0"/>
  </r>
  <r>
    <n v="4382703"/>
    <s v="11EU"/>
    <s v="11EU"/>
    <d v="2024-06-06T00:00:00"/>
    <d v="2024-06-06T00:00:00"/>
    <d v="1899-12-30T09:31:50"/>
    <n v="2"/>
    <x v="4"/>
    <d v="2024-06-10T00:00:00"/>
    <s v="D+1"/>
    <x v="1"/>
    <n v="1"/>
    <x v="0"/>
    <x v="1"/>
    <s v="EMBRATEL"/>
    <x v="0"/>
    <x v="0"/>
  </r>
  <r>
    <n v="4382704"/>
    <s v="11EU"/>
    <s v="11EU"/>
    <d v="2024-06-06T00:00:00"/>
    <d v="2024-06-06T00:00:00"/>
    <d v="1899-12-30T09:31:50"/>
    <n v="2"/>
    <x v="4"/>
    <d v="2024-06-10T00:00:00"/>
    <s v="D+1"/>
    <x v="1"/>
    <n v="1"/>
    <x v="0"/>
    <x v="1"/>
    <s v="EMBRATEL"/>
    <x v="0"/>
    <x v="0"/>
  </r>
  <r>
    <n v="4382705"/>
    <s v="11EU"/>
    <s v="11EU"/>
    <d v="2024-06-06T00:00:00"/>
    <d v="2024-06-06T00:00:00"/>
    <d v="1899-12-30T09:32:00"/>
    <n v="2"/>
    <x v="4"/>
    <d v="2024-06-10T00:00:00"/>
    <s v="D+1"/>
    <x v="1"/>
    <n v="1"/>
    <x v="0"/>
    <x v="1"/>
    <s v="EMBRATEL"/>
    <x v="0"/>
    <x v="0"/>
  </r>
  <r>
    <n v="4382717"/>
    <s v="11EU"/>
    <s v="11EU"/>
    <d v="2024-06-06T00:00:00"/>
    <d v="2024-06-06T00:00:00"/>
    <d v="1899-12-30T09:32:00"/>
    <n v="2"/>
    <x v="2"/>
    <d v="2024-06-10T00:00:00"/>
    <s v="D+1"/>
    <x v="1"/>
    <n v="1"/>
    <x v="1"/>
    <x v="1"/>
    <s v="EMBRATEL"/>
    <x v="0"/>
    <x v="0"/>
  </r>
  <r>
    <n v="4382729"/>
    <s v="11EU"/>
    <s v="11EU"/>
    <d v="2024-06-06T00:00:00"/>
    <d v="2024-06-06T00:00:00"/>
    <d v="1899-12-30T09:32:10"/>
    <n v="2"/>
    <x v="3"/>
    <d v="2024-06-10T00:00:00"/>
    <s v="D+1"/>
    <x v="1"/>
    <n v="1"/>
    <x v="0"/>
    <x v="1"/>
    <s v="EMBRATEL"/>
    <x v="0"/>
    <x v="0"/>
  </r>
  <r>
    <n v="4382730"/>
    <s v="11EU"/>
    <s v="11EU"/>
    <d v="2024-06-06T00:00:00"/>
    <d v="2024-06-06T00:00:00"/>
    <d v="1899-12-30T09:32:20"/>
    <n v="2"/>
    <x v="5"/>
    <d v="2024-06-10T00:00:00"/>
    <s v="D+1"/>
    <x v="1"/>
    <n v="1"/>
    <x v="0"/>
    <x v="1"/>
    <s v="EMBRATEL"/>
    <x v="0"/>
    <x v="0"/>
  </r>
  <r>
    <n v="4382763"/>
    <s v="11EU"/>
    <s v="11EU"/>
    <d v="2024-06-06T00:00:00"/>
    <d v="2024-06-06T00:00:00"/>
    <d v="1899-12-30T10:10:30"/>
    <n v="2"/>
    <x v="4"/>
    <d v="2024-06-10T00:00:00"/>
    <s v="D+1"/>
    <x v="1"/>
    <n v="10"/>
    <x v="0"/>
    <x v="1"/>
    <s v="EMBRATEL"/>
    <x v="0"/>
    <x v="0"/>
  </r>
  <r>
    <n v="4382773"/>
    <s v="11EU"/>
    <s v="11EU"/>
    <d v="2024-06-06T00:00:00"/>
    <d v="2024-06-06T00:00:00"/>
    <d v="1899-12-30T10:10:40"/>
    <n v="2"/>
    <x v="4"/>
    <d v="2024-06-10T00:00:00"/>
    <s v="D+1"/>
    <x v="1"/>
    <n v="8"/>
    <x v="0"/>
    <x v="1"/>
    <s v="EMBRATEL"/>
    <x v="0"/>
    <x v="0"/>
  </r>
  <r>
    <n v="4382796"/>
    <s v="11EU"/>
    <s v="11EU"/>
    <d v="2024-06-06T00:00:00"/>
    <d v="2024-06-06T00:00:00"/>
    <d v="1899-12-30T11:41:40"/>
    <n v="2"/>
    <x v="5"/>
    <d v="2024-06-10T00:00:00"/>
    <s v="D+1"/>
    <x v="1"/>
    <n v="1"/>
    <x v="0"/>
    <x v="1"/>
    <s v="EMBRATEL"/>
    <x v="0"/>
    <x v="0"/>
  </r>
  <r>
    <n v="4382798"/>
    <s v="11EU"/>
    <s v="11EU"/>
    <d v="2024-06-06T00:00:00"/>
    <d v="2024-06-06T00:00:00"/>
    <d v="1899-12-30T11:41:40"/>
    <n v="2"/>
    <x v="4"/>
    <d v="2024-06-10T00:00:00"/>
    <s v="D+1"/>
    <x v="1"/>
    <n v="1"/>
    <x v="0"/>
    <x v="1"/>
    <s v="EMBRATEL"/>
    <x v="0"/>
    <x v="0"/>
  </r>
  <r>
    <n v="4382799"/>
    <s v="11EU"/>
    <s v="11EU"/>
    <d v="2024-06-06T00:00:00"/>
    <d v="2024-06-06T00:00:00"/>
    <d v="1899-12-30T11:41:50"/>
    <n v="2"/>
    <x v="4"/>
    <d v="2024-06-10T00:00:00"/>
    <s v="D+1"/>
    <x v="1"/>
    <n v="1"/>
    <x v="0"/>
    <x v="1"/>
    <s v="EMBRATEL"/>
    <x v="0"/>
    <x v="0"/>
  </r>
  <r>
    <n v="4382800"/>
    <s v="11EU"/>
    <s v="11EU"/>
    <d v="2024-06-06T00:00:00"/>
    <d v="2024-06-06T00:00:00"/>
    <d v="1899-12-30T11:41:50"/>
    <n v="2"/>
    <x v="5"/>
    <d v="2024-06-10T00:00:00"/>
    <s v="D+1"/>
    <x v="1"/>
    <n v="2"/>
    <x v="0"/>
    <x v="1"/>
    <s v="EMBRATEL"/>
    <x v="0"/>
    <x v="0"/>
  </r>
  <r>
    <n v="4382813"/>
    <s v="11EU"/>
    <s v="11EU"/>
    <d v="2024-06-06T00:00:00"/>
    <d v="2024-06-06T00:00:00"/>
    <d v="1899-12-30T10:36:20"/>
    <n v="2"/>
    <x v="5"/>
    <d v="2024-06-10T00:00:00"/>
    <s v="D+1"/>
    <x v="1"/>
    <n v="1"/>
    <x v="0"/>
    <x v="1"/>
    <s v="EMBRATEL"/>
    <x v="0"/>
    <x v="0"/>
  </r>
  <r>
    <n v="4382814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6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7"/>
    <s v="11EU"/>
    <s v="11EU"/>
    <d v="2024-06-06T00:00:00"/>
    <d v="2024-06-06T00:00:00"/>
    <d v="1899-12-30T10:36:30"/>
    <n v="2"/>
    <x v="5"/>
    <d v="2024-06-10T00:00:00"/>
    <s v="D+1"/>
    <x v="1"/>
    <n v="1"/>
    <x v="0"/>
    <x v="1"/>
    <s v="EMBRATEL"/>
    <x v="0"/>
    <x v="0"/>
  </r>
  <r>
    <n v="4382818"/>
    <s v="11EU"/>
    <s v="11EU"/>
    <d v="2024-06-06T00:00:00"/>
    <d v="2024-06-06T00:00:00"/>
    <d v="1899-12-30T10:36:40"/>
    <n v="2"/>
    <x v="5"/>
    <d v="2024-06-10T00:00:00"/>
    <s v="D+1"/>
    <x v="1"/>
    <n v="1"/>
    <x v="0"/>
    <x v="1"/>
    <s v="EMBRATEL"/>
    <x v="0"/>
    <x v="0"/>
  </r>
  <r>
    <n v="4382819"/>
    <s v="11EU"/>
    <s v="11EU"/>
    <d v="2024-06-06T00:00:00"/>
    <d v="2024-06-06T00:00:00"/>
    <d v="1899-12-30T10:36:40"/>
    <n v="2"/>
    <x v="5"/>
    <d v="2024-06-10T00:00:00"/>
    <s v="D+1"/>
    <x v="1"/>
    <n v="1"/>
    <x v="0"/>
    <x v="1"/>
    <s v="EMBRATEL"/>
    <x v="0"/>
    <x v="0"/>
  </r>
  <r>
    <n v="4382820"/>
    <s v="11EU"/>
    <s v="11EU"/>
    <d v="2024-06-06T00:00:00"/>
    <d v="2024-06-06T00:00:00"/>
    <d v="1899-12-30T10:36:50"/>
    <n v="2"/>
    <x v="5"/>
    <d v="2024-06-10T00:00:00"/>
    <s v="D+1"/>
    <x v="1"/>
    <n v="1"/>
    <x v="0"/>
    <x v="1"/>
    <s v="EMBRATEL"/>
    <x v="0"/>
    <x v="0"/>
  </r>
  <r>
    <n v="4382821"/>
    <s v="11EU"/>
    <s v="11EU"/>
    <d v="2024-06-06T00:00:00"/>
    <d v="2024-06-06T00:00:00"/>
    <d v="1899-12-30T11:02:20"/>
    <n v="2"/>
    <x v="5"/>
    <d v="2024-06-10T00:00:00"/>
    <s v="D+1"/>
    <x v="1"/>
    <n v="2"/>
    <x v="0"/>
    <x v="1"/>
    <s v="EMBRATEL"/>
    <x v="0"/>
    <x v="0"/>
  </r>
  <r>
    <n v="4382869"/>
    <s v="11EU"/>
    <s v="11EU"/>
    <d v="2024-06-06T00:00:00"/>
    <d v="2024-06-06T00:00:00"/>
    <d v="1899-12-30T12:33:30"/>
    <n v="2"/>
    <x v="5"/>
    <d v="2024-06-10T00:00:00"/>
    <s v="D+1"/>
    <x v="1"/>
    <n v="1"/>
    <x v="0"/>
    <x v="1"/>
    <s v="EMBRATEL"/>
    <x v="0"/>
    <x v="0"/>
  </r>
  <r>
    <n v="4382961"/>
    <s v="11EU"/>
    <s v="11EU"/>
    <d v="2024-06-06T00:00:00"/>
    <d v="2024-06-06T00:00:00"/>
    <d v="1899-12-30T11:41:50"/>
    <n v="2"/>
    <x v="5"/>
    <d v="2024-06-10T00:00:00"/>
    <s v="D+1"/>
    <x v="1"/>
    <n v="1"/>
    <x v="0"/>
    <x v="1"/>
    <s v="EMBRATEL"/>
    <x v="0"/>
    <x v="0"/>
  </r>
  <r>
    <n v="4382962"/>
    <s v="11EU"/>
    <s v="11EU"/>
    <d v="2024-06-06T00:00:00"/>
    <d v="2024-06-06T00:00:00"/>
    <d v="1899-12-30T11:42:00"/>
    <n v="2"/>
    <x v="5"/>
    <d v="2024-06-10T00:00:00"/>
    <s v="D+1"/>
    <x v="1"/>
    <n v="1"/>
    <x v="0"/>
    <x v="1"/>
    <s v="EMBRATEL"/>
    <x v="0"/>
    <x v="0"/>
  </r>
  <r>
    <n v="4382963"/>
    <s v="11EU"/>
    <s v="11EU"/>
    <d v="2024-06-06T00:00:00"/>
    <d v="2024-06-06T00:00:00"/>
    <d v="1899-12-30T11:42:10"/>
    <n v="2"/>
    <x v="4"/>
    <d v="2024-06-10T00:00:00"/>
    <s v="D+1"/>
    <x v="1"/>
    <n v="1"/>
    <x v="0"/>
    <x v="1"/>
    <s v="EMBRATEL"/>
    <x v="0"/>
    <x v="0"/>
  </r>
  <r>
    <n v="4382964"/>
    <s v="11EU"/>
    <s v="11EU"/>
    <d v="2024-06-06T00:00:00"/>
    <d v="2024-06-06T00:00:00"/>
    <d v="1899-12-30T11:42:10"/>
    <n v="2"/>
    <x v="4"/>
    <d v="2024-06-10T00:00:00"/>
    <s v="D+1"/>
    <x v="1"/>
    <n v="1"/>
    <x v="0"/>
    <x v="1"/>
    <s v="EMBRATEL"/>
    <x v="0"/>
    <x v="0"/>
  </r>
  <r>
    <n v="4382965"/>
    <s v="11EU"/>
    <s v="11EU"/>
    <d v="2024-06-06T00:00:00"/>
    <d v="2024-06-06T00:00:00"/>
    <d v="1899-12-30T11:42:20"/>
    <n v="2"/>
    <x v="5"/>
    <d v="2024-06-10T00:00:00"/>
    <s v="D+1"/>
    <x v="1"/>
    <n v="1"/>
    <x v="0"/>
    <x v="1"/>
    <s v="EMBRATEL"/>
    <x v="0"/>
    <x v="0"/>
  </r>
  <r>
    <n v="4382966"/>
    <s v="11EU"/>
    <s v="11EU"/>
    <d v="2024-06-06T00:00:00"/>
    <d v="2024-06-06T00:00:00"/>
    <d v="1899-12-30T11:42:20"/>
    <n v="2"/>
    <x v="5"/>
    <d v="2024-06-10T00:00:00"/>
    <s v="D+1"/>
    <x v="1"/>
    <n v="1"/>
    <x v="0"/>
    <x v="1"/>
    <s v="EMBRATEL"/>
    <x v="0"/>
    <x v="0"/>
  </r>
  <r>
    <n v="4382967"/>
    <s v="11EU"/>
    <s v="11EU"/>
    <d v="2024-06-06T00:00:00"/>
    <d v="2024-06-06T00:00:00"/>
    <d v="1899-12-30T11:42:30"/>
    <n v="2"/>
    <x v="4"/>
    <d v="2024-06-10T00:00:00"/>
    <s v="D+1"/>
    <x v="1"/>
    <n v="1"/>
    <x v="0"/>
    <x v="1"/>
    <s v="EMBRATEL"/>
    <x v="0"/>
    <x v="0"/>
  </r>
  <r>
    <n v="4382968"/>
    <s v="11EU"/>
    <s v="11EU"/>
    <d v="2024-06-06T00:00:00"/>
    <d v="2024-06-06T00:00:00"/>
    <d v="1899-12-30T11:42:30"/>
    <n v="2"/>
    <x v="5"/>
    <d v="2024-06-10T00:00:00"/>
    <s v="D+1"/>
    <x v="1"/>
    <n v="1"/>
    <x v="0"/>
    <x v="1"/>
    <s v="EMBRATEL"/>
    <x v="0"/>
    <x v="0"/>
  </r>
  <r>
    <n v="4382969"/>
    <s v="11EU"/>
    <s v="11EU"/>
    <d v="2024-06-06T00:00:00"/>
    <d v="2024-06-06T00:00:00"/>
    <d v="1899-12-30T11:42:40"/>
    <n v="2"/>
    <x v="5"/>
    <d v="2024-06-10T00:00:00"/>
    <s v="D+1"/>
    <x v="1"/>
    <n v="1"/>
    <x v="0"/>
    <x v="1"/>
    <s v="EMBRATEL"/>
    <x v="0"/>
    <x v="0"/>
  </r>
  <r>
    <n v="4382970"/>
    <s v="11EU"/>
    <s v="11EU"/>
    <d v="2024-06-06T00:00:00"/>
    <d v="2024-06-06T00:00:00"/>
    <d v="1899-12-30T11:42:40"/>
    <n v="2"/>
    <x v="5"/>
    <d v="2024-06-10T00:00:00"/>
    <s v="D+1"/>
    <x v="1"/>
    <n v="1"/>
    <x v="0"/>
    <x v="1"/>
    <s v="EMBRATEL"/>
    <x v="0"/>
    <x v="0"/>
  </r>
  <r>
    <n v="4382971"/>
    <s v="11EU"/>
    <s v="11EU"/>
    <d v="2024-06-06T00:00:00"/>
    <d v="2024-06-06T00:00:00"/>
    <d v="1899-12-30T11:42:50"/>
    <n v="2"/>
    <x v="5"/>
    <d v="2024-06-10T00:00:00"/>
    <s v="D+1"/>
    <x v="1"/>
    <n v="1"/>
    <x v="0"/>
    <x v="1"/>
    <s v="EMBRATEL"/>
    <x v="0"/>
    <x v="0"/>
  </r>
  <r>
    <n v="4382972"/>
    <s v="11EU"/>
    <s v="11EU"/>
    <d v="2024-06-06T00:00:00"/>
    <d v="2024-06-06T00:00:00"/>
    <d v="1899-12-30T11:42:50"/>
    <n v="2"/>
    <x v="5"/>
    <d v="2024-06-10T00:00:00"/>
    <s v="D+1"/>
    <x v="1"/>
    <n v="1"/>
    <x v="0"/>
    <x v="1"/>
    <s v="EMBRATEL"/>
    <x v="0"/>
    <x v="0"/>
  </r>
  <r>
    <n v="4382973"/>
    <s v="11EU"/>
    <s v="11EU"/>
    <d v="2024-06-06T00:00:00"/>
    <d v="2024-06-06T00:00:00"/>
    <d v="1899-12-30T11:43:00"/>
    <n v="2"/>
    <x v="5"/>
    <d v="2024-06-10T00:00:00"/>
    <s v="D+1"/>
    <x v="1"/>
    <n v="1"/>
    <x v="0"/>
    <x v="1"/>
    <s v="EMBRATEL"/>
    <x v="0"/>
    <x v="0"/>
  </r>
  <r>
    <n v="4382974"/>
    <s v="11EU"/>
    <s v="11EU"/>
    <d v="2024-06-06T00:00:00"/>
    <d v="2024-06-06T00:00:00"/>
    <d v="1899-12-30T11:43:00"/>
    <n v="2"/>
    <x v="4"/>
    <d v="2024-06-10T00:00:00"/>
    <s v="D+1"/>
    <x v="1"/>
    <n v="1"/>
    <x v="0"/>
    <x v="1"/>
    <s v="EMBRATEL"/>
    <x v="0"/>
    <x v="0"/>
  </r>
  <r>
    <n v="4382975"/>
    <s v="11EU"/>
    <s v="11EU"/>
    <d v="2024-06-06T00:00:00"/>
    <d v="2024-06-06T00:00:00"/>
    <d v="1899-12-30T11:43:00"/>
    <n v="2"/>
    <x v="4"/>
    <d v="2024-06-10T00:00:00"/>
    <s v="D+1"/>
    <x v="1"/>
    <n v="1"/>
    <x v="0"/>
    <x v="1"/>
    <s v="EMBRATEL"/>
    <x v="0"/>
    <x v="0"/>
  </r>
  <r>
    <n v="4382976"/>
    <s v="11EU"/>
    <s v="11EU"/>
    <d v="2024-06-06T00:00:00"/>
    <d v="2024-06-06T00:00:00"/>
    <d v="1899-12-30T11:43:10"/>
    <n v="2"/>
    <x v="4"/>
    <d v="2024-06-10T00:00:00"/>
    <s v="D+1"/>
    <x v="1"/>
    <n v="1"/>
    <x v="0"/>
    <x v="1"/>
    <s v="EMBRATEL"/>
    <x v="0"/>
    <x v="0"/>
  </r>
  <r>
    <n v="4382977"/>
    <s v="11EU"/>
    <s v="11EU"/>
    <d v="2024-06-06T00:00:00"/>
    <d v="2024-06-06T00:00:00"/>
    <d v="1899-12-30T11:43:10"/>
    <n v="2"/>
    <x v="5"/>
    <d v="2024-06-10T00:00:00"/>
    <s v="D+1"/>
    <x v="1"/>
    <n v="1"/>
    <x v="0"/>
    <x v="1"/>
    <s v="EMBRATEL"/>
    <x v="0"/>
    <x v="0"/>
  </r>
  <r>
    <n v="4382978"/>
    <s v="11EU"/>
    <s v="11EU"/>
    <d v="2024-06-06T00:00:00"/>
    <d v="2024-06-06T00:00:00"/>
    <d v="1899-12-30T11:43:20"/>
    <n v="2"/>
    <x v="4"/>
    <d v="2024-06-10T00:00:00"/>
    <s v="D+1"/>
    <x v="1"/>
    <n v="1"/>
    <x v="0"/>
    <x v="1"/>
    <s v="EMBRATEL"/>
    <x v="0"/>
    <x v="0"/>
  </r>
  <r>
    <n v="4382979"/>
    <s v="11EU"/>
    <s v="11EU"/>
    <d v="2024-06-06T00:00:00"/>
    <d v="2024-06-06T00:00:00"/>
    <d v="1899-12-30T11:43:20"/>
    <n v="2"/>
    <x v="4"/>
    <d v="2024-06-10T00:00:00"/>
    <s v="D+1"/>
    <x v="1"/>
    <n v="1"/>
    <x v="0"/>
    <x v="1"/>
    <s v="EMBRATEL"/>
    <x v="0"/>
    <x v="0"/>
  </r>
  <r>
    <n v="4382980"/>
    <s v="11EU"/>
    <s v="11EU"/>
    <d v="2024-06-06T00:00:00"/>
    <d v="2024-06-06T00:00:00"/>
    <d v="1899-12-30T11:43:30"/>
    <n v="2"/>
    <x v="4"/>
    <d v="2024-06-10T00:00:00"/>
    <s v="D+1"/>
    <x v="1"/>
    <n v="1"/>
    <x v="0"/>
    <x v="1"/>
    <s v="EMBRATEL"/>
    <x v="0"/>
    <x v="0"/>
  </r>
  <r>
    <n v="4382981"/>
    <s v="11EU"/>
    <s v="11EU"/>
    <d v="2024-06-06T00:00:00"/>
    <d v="2024-06-06T00:00:00"/>
    <d v="1899-12-30T11:43:30"/>
    <n v="2"/>
    <x v="4"/>
    <d v="2024-06-10T00:00:00"/>
    <s v="D+1"/>
    <x v="1"/>
    <n v="1"/>
    <x v="0"/>
    <x v="1"/>
    <s v="EMBRATEL"/>
    <x v="0"/>
    <x v="0"/>
  </r>
  <r>
    <n v="4382982"/>
    <s v="11EU"/>
    <s v="11EU"/>
    <d v="2024-06-06T00:00:00"/>
    <d v="2024-06-06T00:00:00"/>
    <d v="1899-12-30T11:43:40"/>
    <n v="2"/>
    <x v="4"/>
    <d v="2024-06-10T00:00:00"/>
    <s v="D+1"/>
    <x v="1"/>
    <n v="1"/>
    <x v="0"/>
    <x v="1"/>
    <s v="EMBRATEL"/>
    <x v="0"/>
    <x v="0"/>
  </r>
  <r>
    <n v="4382983"/>
    <s v="11EU"/>
    <s v="11EU"/>
    <d v="2024-06-06T00:00:00"/>
    <d v="2024-06-06T00:00:00"/>
    <d v="1899-12-30T11:43:40"/>
    <n v="2"/>
    <x v="4"/>
    <d v="2024-06-10T00:00:00"/>
    <s v="D+1"/>
    <x v="1"/>
    <n v="1"/>
    <x v="0"/>
    <x v="1"/>
    <s v="EMBRATEL"/>
    <x v="0"/>
    <x v="0"/>
  </r>
  <r>
    <n v="4382984"/>
    <s v="11EU"/>
    <s v="11EU"/>
    <d v="2024-06-06T00:00:00"/>
    <d v="2024-06-06T00:00:00"/>
    <d v="1899-12-30T11:43:50"/>
    <n v="2"/>
    <x v="4"/>
    <d v="2024-06-10T00:00:00"/>
    <s v="D+1"/>
    <x v="1"/>
    <n v="1"/>
    <x v="0"/>
    <x v="1"/>
    <s v="EMBRATEL"/>
    <x v="0"/>
    <x v="0"/>
  </r>
  <r>
    <n v="4382985"/>
    <s v="11EU"/>
    <s v="11EU"/>
    <d v="2024-06-06T00:00:00"/>
    <d v="2024-06-06T00:00:00"/>
    <d v="1899-12-30T11:43:50"/>
    <n v="2"/>
    <x v="4"/>
    <d v="2024-06-10T00:00:00"/>
    <s v="D+1"/>
    <x v="1"/>
    <n v="1"/>
    <x v="0"/>
    <x v="1"/>
    <s v="EMBRATEL"/>
    <x v="0"/>
    <x v="0"/>
  </r>
  <r>
    <n v="4382986"/>
    <s v="11EU"/>
    <s v="11EU"/>
    <d v="2024-06-06T00:00:00"/>
    <d v="2024-06-06T00:00:00"/>
    <d v="1899-12-30T11:44:00"/>
    <n v="2"/>
    <x v="4"/>
    <d v="2024-06-10T00:00:00"/>
    <s v="D+1"/>
    <x v="1"/>
    <n v="1"/>
    <x v="0"/>
    <x v="1"/>
    <s v="EMBRATEL"/>
    <x v="0"/>
    <x v="0"/>
  </r>
  <r>
    <n v="4382987"/>
    <s v="11EU"/>
    <s v="11EU"/>
    <d v="2024-06-06T00:00:00"/>
    <d v="2024-06-06T00:00:00"/>
    <d v="1899-12-30T11:44:00"/>
    <n v="2"/>
    <x v="4"/>
    <d v="2024-06-10T00:00:00"/>
    <s v="D+1"/>
    <x v="1"/>
    <n v="1"/>
    <x v="0"/>
    <x v="1"/>
    <s v="EMBRATEL"/>
    <x v="0"/>
    <x v="0"/>
  </r>
  <r>
    <n v="4382988"/>
    <s v="11EU"/>
    <s v="11EU"/>
    <d v="2024-06-06T00:00:00"/>
    <d v="2024-06-06T00:00:00"/>
    <d v="1899-12-30T11:44:00"/>
    <n v="2"/>
    <x v="4"/>
    <d v="2024-06-10T00:00:00"/>
    <s v="D+1"/>
    <x v="1"/>
    <n v="2"/>
    <x v="0"/>
    <x v="1"/>
    <s v="EMBRATEL"/>
    <x v="0"/>
    <x v="0"/>
  </r>
  <r>
    <n v="4382989"/>
    <s v="11EU"/>
    <s v="11EU"/>
    <d v="2024-06-06T00:00:00"/>
    <d v="2024-06-06T00:00:00"/>
    <d v="1899-12-30T11:44:10"/>
    <n v="2"/>
    <x v="4"/>
    <d v="2024-06-10T00:00:00"/>
    <s v="D+1"/>
    <x v="1"/>
    <n v="1"/>
    <x v="0"/>
    <x v="1"/>
    <s v="EMBRATEL"/>
    <x v="0"/>
    <x v="0"/>
  </r>
  <r>
    <n v="4382990"/>
    <s v="11EU"/>
    <s v="11EU"/>
    <d v="2024-06-06T00:00:00"/>
    <d v="2024-06-06T00:00:00"/>
    <d v="1899-12-30T11:44:10"/>
    <n v="2"/>
    <x v="4"/>
    <d v="2024-06-10T00:00:00"/>
    <s v="D+1"/>
    <x v="1"/>
    <n v="1"/>
    <x v="0"/>
    <x v="1"/>
    <s v="EMBRATEL"/>
    <x v="0"/>
    <x v="0"/>
  </r>
  <r>
    <n v="4383065"/>
    <s v="11EU"/>
    <s v="11EU"/>
    <d v="2024-06-06T00:00:00"/>
    <d v="2024-06-06T00:00:00"/>
    <d v="1899-12-30T14:56:20"/>
    <n v="2"/>
    <x v="6"/>
    <d v="2024-06-10T00:00:00"/>
    <s v="D+1"/>
    <x v="1"/>
    <n v="1"/>
    <x v="0"/>
    <x v="1"/>
    <s v="EMBRATEL"/>
    <x v="0"/>
    <x v="0"/>
  </r>
  <r>
    <n v="4383066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7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8"/>
    <s v="11EU"/>
    <s v="11EU"/>
    <d v="2024-06-06T00:00:00"/>
    <d v="2024-06-06T00:00:00"/>
    <d v="1899-12-30T14:56:30"/>
    <n v="2"/>
    <x v="6"/>
    <d v="2024-06-10T00:00:00"/>
    <s v="D+1"/>
    <x v="1"/>
    <n v="1"/>
    <x v="0"/>
    <x v="1"/>
    <s v="EMBRATEL"/>
    <x v="0"/>
    <x v="0"/>
  </r>
  <r>
    <n v="4383069"/>
    <s v="11EU"/>
    <s v="11EU"/>
    <d v="2024-06-06T00:00:00"/>
    <d v="2024-06-06T00:00:00"/>
    <d v="1899-12-30T14:56:40"/>
    <n v="2"/>
    <x v="5"/>
    <d v="2024-06-10T00:00:00"/>
    <s v="D+1"/>
    <x v="1"/>
    <n v="1"/>
    <x v="0"/>
    <x v="1"/>
    <s v="EMBRATEL"/>
    <x v="0"/>
    <x v="0"/>
  </r>
  <r>
    <n v="4383070"/>
    <s v="11EU"/>
    <s v="11EU"/>
    <d v="2024-06-06T00:00:00"/>
    <d v="2024-06-06T00:00:00"/>
    <d v="1899-12-30T14:56:40"/>
    <n v="2"/>
    <x v="6"/>
    <d v="2024-06-10T00:00:00"/>
    <s v="D+1"/>
    <x v="1"/>
    <n v="1"/>
    <x v="0"/>
    <x v="1"/>
    <s v="EMBRATEL"/>
    <x v="0"/>
    <x v="0"/>
  </r>
  <r>
    <n v="4383071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2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3"/>
    <s v="11EU"/>
    <s v="11EU"/>
    <d v="2024-06-06T00:00:00"/>
    <d v="2024-06-06T00:00:00"/>
    <d v="1899-12-30T14:56:50"/>
    <n v="2"/>
    <x v="6"/>
    <d v="2024-06-10T00:00:00"/>
    <s v="D+1"/>
    <x v="1"/>
    <n v="1"/>
    <x v="0"/>
    <x v="1"/>
    <s v="EMBRATEL"/>
    <x v="0"/>
    <x v="0"/>
  </r>
  <r>
    <n v="4383074"/>
    <s v="11EU"/>
    <s v="11EU"/>
    <d v="2024-06-06T00:00:00"/>
    <d v="2024-06-06T00:00:00"/>
    <d v="1899-12-30T14:57:00"/>
    <n v="2"/>
    <x v="6"/>
    <d v="2024-06-10T00:00:00"/>
    <s v="D+1"/>
    <x v="1"/>
    <n v="1"/>
    <x v="0"/>
    <x v="1"/>
    <s v="EMBRATEL"/>
    <x v="0"/>
    <x v="0"/>
  </r>
  <r>
    <n v="4383075"/>
    <s v="11EU"/>
    <s v="11EU"/>
    <d v="2024-06-06T00:00:00"/>
    <d v="2024-06-06T00:00:00"/>
    <d v="1899-12-30T14:57:00"/>
    <n v="2"/>
    <x v="6"/>
    <d v="2024-06-10T00:00:00"/>
    <s v="D+1"/>
    <x v="1"/>
    <n v="1"/>
    <x v="0"/>
    <x v="1"/>
    <s v="EMBRATEL"/>
    <x v="0"/>
    <x v="0"/>
  </r>
  <r>
    <n v="4383076"/>
    <s v="11EU"/>
    <s v="11EU"/>
    <d v="2024-06-06T00:00:00"/>
    <d v="2024-06-06T00:00:00"/>
    <d v="1899-12-30T14:57:10"/>
    <n v="2"/>
    <x v="6"/>
    <d v="2024-06-10T00:00:00"/>
    <s v="D+1"/>
    <x v="1"/>
    <n v="1"/>
    <x v="0"/>
    <x v="1"/>
    <s v="EMBRATEL"/>
    <x v="0"/>
    <x v="0"/>
  </r>
  <r>
    <n v="4383077"/>
    <s v="11EU"/>
    <s v="11EU"/>
    <d v="2024-06-06T00:00:00"/>
    <d v="2024-06-06T00:00:00"/>
    <d v="1899-12-30T14:57:10"/>
    <n v="2"/>
    <x v="6"/>
    <d v="2024-06-10T00:00:00"/>
    <s v="D+1"/>
    <x v="1"/>
    <n v="1"/>
    <x v="0"/>
    <x v="1"/>
    <s v="EMBRATEL"/>
    <x v="0"/>
    <x v="0"/>
  </r>
  <r>
    <n v="4383081"/>
    <s v="11EU"/>
    <s v="11EU"/>
    <d v="2024-06-06T00:00:00"/>
    <d v="2024-06-06T00:00:00"/>
    <d v="1899-12-30T08:00:00"/>
    <n v="2"/>
    <x v="6"/>
    <d v="2024-06-10T00:00:00"/>
    <s v="D+1"/>
    <x v="1"/>
    <n v="1"/>
    <x v="0"/>
    <x v="1"/>
    <s v="EMBRATEL"/>
    <x v="0"/>
    <x v="0"/>
  </r>
  <r>
    <n v="4383083"/>
    <s v="11EU"/>
    <s v="11EU"/>
    <d v="2024-06-06T00:00:00"/>
    <d v="2024-06-06T00:00:00"/>
    <d v="1899-12-30T14:04:30"/>
    <n v="2"/>
    <x v="5"/>
    <d v="2024-06-10T00:00:00"/>
    <s v="D+1"/>
    <x v="1"/>
    <n v="2"/>
    <x v="0"/>
    <x v="1"/>
    <s v="EMBRATEL"/>
    <x v="0"/>
    <x v="0"/>
  </r>
  <r>
    <n v="4383217"/>
    <s v="11EU"/>
    <s v="11EU"/>
    <d v="2024-06-06T00:00:00"/>
    <d v="2024-06-06T00:00:00"/>
    <d v="1899-12-30T16:27:20"/>
    <n v="2"/>
    <x v="5"/>
    <d v="2024-06-10T00:00:00"/>
    <s v="D+1"/>
    <x v="1"/>
    <n v="1"/>
    <x v="0"/>
    <x v="1"/>
    <s v="EMBRATEL"/>
    <x v="0"/>
    <x v="0"/>
  </r>
  <r>
    <n v="4383218"/>
    <s v="11EU"/>
    <s v="11EU"/>
    <d v="2024-06-06T00:00:00"/>
    <d v="2024-06-06T00:00:00"/>
    <d v="1899-12-30T16:27:30"/>
    <n v="2"/>
    <x v="5"/>
    <d v="2024-06-10T00:00:00"/>
    <s v="D+1"/>
    <x v="1"/>
    <n v="1"/>
    <x v="0"/>
    <x v="1"/>
    <s v="EMBRATEL"/>
    <x v="0"/>
    <x v="0"/>
  </r>
  <r>
    <n v="4383219"/>
    <s v="11EU"/>
    <s v="11EU"/>
    <d v="2024-06-06T00:00:00"/>
    <d v="2024-06-06T00:00:00"/>
    <d v="1899-12-30T16:27:30"/>
    <n v="2"/>
    <x v="6"/>
    <d v="2024-06-10T00:00:00"/>
    <s v="D+1"/>
    <x v="1"/>
    <n v="1"/>
    <x v="0"/>
    <x v="1"/>
    <s v="EMBRATEL"/>
    <x v="0"/>
    <x v="0"/>
  </r>
  <r>
    <n v="4383220"/>
    <s v="11EU"/>
    <s v="11EU"/>
    <d v="2024-06-06T00:00:00"/>
    <d v="2024-06-06T00:00:00"/>
    <d v="1899-12-30T16:27:30"/>
    <n v="2"/>
    <x v="6"/>
    <d v="2024-06-10T00:00:00"/>
    <s v="D+1"/>
    <x v="1"/>
    <n v="1"/>
    <x v="0"/>
    <x v="1"/>
    <s v="EMBRATEL"/>
    <x v="0"/>
    <x v="0"/>
  </r>
  <r>
    <n v="4383248"/>
    <s v="11EU"/>
    <s v="11EU"/>
    <d v="2024-06-06T00:00:00"/>
    <d v="2024-06-06T00:00:00"/>
    <d v="1899-12-30T16:27:40"/>
    <n v="2"/>
    <x v="6"/>
    <d v="2024-06-10T00:00:00"/>
    <s v="D+1"/>
    <x v="1"/>
    <n v="3"/>
    <x v="0"/>
    <x v="1"/>
    <s v="EMBRATEL"/>
    <x v="0"/>
    <x v="0"/>
  </r>
  <r>
    <n v="4383282"/>
    <s v="11EU"/>
    <s v="11EU"/>
    <d v="2024-06-06T00:00:00"/>
    <d v="2024-06-06T00:00:00"/>
    <d v="1899-12-30T16:27:40"/>
    <n v="2"/>
    <x v="6"/>
    <d v="2024-06-10T00:00:00"/>
    <s v="D+1"/>
    <x v="1"/>
    <n v="1"/>
    <x v="0"/>
    <x v="1"/>
    <s v="EMBRATEL"/>
    <x v="0"/>
    <x v="0"/>
  </r>
  <r>
    <n v="4383287"/>
    <s v="11EU"/>
    <s v="11EU"/>
    <d v="2024-06-06T00:00:00"/>
    <d v="2024-06-06T00:00:00"/>
    <d v="1899-12-30T16:27:50"/>
    <n v="2"/>
    <x v="6"/>
    <d v="2024-06-10T00:00:00"/>
    <s v="D+1"/>
    <x v="1"/>
    <n v="1"/>
    <x v="0"/>
    <x v="1"/>
    <s v="EMBRATEL"/>
    <x v="0"/>
    <x v="0"/>
  </r>
  <r>
    <n v="4383305"/>
    <s v="11EU"/>
    <s v="11EU"/>
    <d v="2024-06-06T00:00:00"/>
    <d v="2024-06-06T00:00:00"/>
    <d v="1899-12-30T17:32:30"/>
    <n v="2"/>
    <x v="6"/>
    <d v="2024-06-10T00:00:00"/>
    <s v="D+1"/>
    <x v="1"/>
    <n v="1"/>
    <x v="0"/>
    <x v="1"/>
    <s v="EMBRATEL"/>
    <x v="0"/>
    <x v="0"/>
  </r>
  <r>
    <n v="4383306"/>
    <s v="11EU"/>
    <s v="11EU"/>
    <d v="2024-06-06T00:00:00"/>
    <d v="2024-06-06T00:00:00"/>
    <d v="1899-12-30T17:32:30"/>
    <n v="2"/>
    <x v="6"/>
    <d v="2024-06-10T00:00:00"/>
    <s v="D+1"/>
    <x v="1"/>
    <n v="1"/>
    <x v="0"/>
    <x v="1"/>
    <s v="EMBRATEL"/>
    <x v="0"/>
    <x v="0"/>
  </r>
  <r>
    <n v="4383307"/>
    <s v="11EU"/>
    <s v="11EU"/>
    <d v="2024-06-06T00:00:00"/>
    <d v="2024-06-06T00:00:00"/>
    <d v="1899-12-30T17:32:40"/>
    <n v="2"/>
    <x v="6"/>
    <d v="2024-06-10T00:00:00"/>
    <s v="D+1"/>
    <x v="1"/>
    <n v="1"/>
    <x v="0"/>
    <x v="1"/>
    <s v="EMBRATEL"/>
    <x v="0"/>
    <x v="0"/>
  </r>
  <r>
    <n v="4383324"/>
    <s v="11EU"/>
    <s v="11EU"/>
    <d v="2024-06-06T00:00:00"/>
    <d v="2024-06-06T00:00:00"/>
    <d v="1899-12-30T16:27:50"/>
    <n v="2"/>
    <x v="6"/>
    <d v="2024-06-10T00:00:00"/>
    <s v="D+1"/>
    <x v="1"/>
    <n v="1"/>
    <x v="0"/>
    <x v="1"/>
    <s v="EMBRATEL"/>
    <x v="0"/>
    <x v="0"/>
  </r>
  <r>
    <n v="4383570"/>
    <s v="11EU"/>
    <s v="11EU"/>
    <d v="2024-06-06T00:00:00"/>
    <d v="2024-06-06T00:00:00"/>
    <d v="1899-12-30T16:53:20"/>
    <n v="2"/>
    <x v="5"/>
    <d v="2024-06-10T00:00:00"/>
    <s v="D+1"/>
    <x v="1"/>
    <n v="1"/>
    <x v="0"/>
    <x v="1"/>
    <s v="EMBRATEL"/>
    <x v="0"/>
    <x v="0"/>
  </r>
  <r>
    <n v="4383571"/>
    <s v="11EU"/>
    <s v="11EU"/>
    <d v="2024-06-06T00:00:00"/>
    <d v="2024-06-06T00:00:00"/>
    <d v="1899-12-30T16:53:30"/>
    <n v="2"/>
    <x v="6"/>
    <d v="2024-06-10T00:00:00"/>
    <s v="D+1"/>
    <x v="1"/>
    <n v="1"/>
    <x v="0"/>
    <x v="1"/>
    <s v="EMBRATEL"/>
    <x v="0"/>
    <x v="0"/>
  </r>
  <r>
    <n v="4383572"/>
    <s v="11EU"/>
    <s v="11EU"/>
    <d v="2024-06-06T00:00:00"/>
    <d v="2024-06-06T00:00:00"/>
    <d v="1899-12-30T16:53:30"/>
    <n v="2"/>
    <x v="5"/>
    <d v="2024-06-10T00:00:00"/>
    <s v="D+1"/>
    <x v="1"/>
    <n v="1"/>
    <x v="0"/>
    <x v="1"/>
    <s v="EMBRATEL"/>
    <x v="0"/>
    <x v="0"/>
  </r>
  <r>
    <n v="4383573"/>
    <s v="11EU"/>
    <s v="11EU"/>
    <d v="2024-06-06T00:00:00"/>
    <d v="2024-06-06T00:00:00"/>
    <d v="1899-12-30T16:53:40"/>
    <n v="2"/>
    <x v="6"/>
    <d v="2024-06-10T00:00:00"/>
    <s v="D+1"/>
    <x v="1"/>
    <n v="1"/>
    <x v="0"/>
    <x v="1"/>
    <s v="EMBRATEL"/>
    <x v="0"/>
    <x v="0"/>
  </r>
  <r>
    <n v="4384157"/>
    <s v="11EU"/>
    <s v="SOBN"/>
    <d v="2024-06-07T00:00:00"/>
    <d v="2024-06-07T00:00:00"/>
    <d v="1899-12-30T09:44:20"/>
    <n v="2"/>
    <x v="7"/>
    <d v="2024-06-11T00:00:00"/>
    <s v="D+0"/>
    <x v="2"/>
    <n v="1"/>
    <x v="0"/>
    <x v="1"/>
    <s v="EMBRATEL"/>
    <x v="0"/>
    <x v="0"/>
  </r>
  <r>
    <n v="4378021"/>
    <s v="N193"/>
    <s v="N193"/>
    <d v="2024-06-03T00:00:00"/>
    <d v="2024-06-03T00:00:00"/>
    <d v="1899-12-30T08:00:00"/>
    <n v="2"/>
    <x v="8"/>
    <d v="2024-06-05T00:00:00"/>
    <s v="D+4"/>
    <x v="3"/>
    <n v="2"/>
    <x v="0"/>
    <x v="2"/>
    <s v="NET PROJETOS"/>
    <x v="1"/>
    <x v="0"/>
  </r>
  <r>
    <n v="4379569"/>
    <s v="N193"/>
    <s v="N193"/>
    <d v="2024-06-04T00:00:00"/>
    <d v="2024-06-04T00:00:00"/>
    <d v="1899-12-30T08:31:00"/>
    <n v="2"/>
    <x v="8"/>
    <d v="2024-06-06T00:00:00"/>
    <s v="D+3"/>
    <x v="4"/>
    <n v="1"/>
    <x v="0"/>
    <x v="2"/>
    <s v="NET PROJETOS"/>
    <x v="1"/>
    <x v="0"/>
  </r>
  <r>
    <n v="4382809"/>
    <s v="N193"/>
    <s v="N193"/>
    <d v="2024-06-06T00:00:00"/>
    <d v="2024-06-06T00:00:00"/>
    <d v="1899-12-30T10:21:20"/>
    <n v="2"/>
    <x v="8"/>
    <d v="2024-06-10T00:00:00"/>
    <s v="D+1"/>
    <x v="5"/>
    <n v="1"/>
    <x v="0"/>
    <x v="1"/>
    <s v="NET PROJETOS"/>
    <x v="1"/>
    <x v="0"/>
  </r>
  <r>
    <n v="4382895"/>
    <s v="N193"/>
    <s v="N193"/>
    <d v="2024-06-06T00:00:00"/>
    <d v="2024-06-06T00:00:00"/>
    <d v="1899-12-30T08:00:00"/>
    <n v="2"/>
    <x v="8"/>
    <d v="2024-06-10T00:00:00"/>
    <s v="D+1"/>
    <x v="5"/>
    <n v="1"/>
    <x v="0"/>
    <x v="1"/>
    <s v="NET PROJETOS"/>
    <x v="1"/>
    <x v="0"/>
  </r>
  <r>
    <n v="4383240"/>
    <s v="N193"/>
    <s v="11SP"/>
    <d v="2024-06-07T00:00:00"/>
    <d v="2024-06-07T00:00:00"/>
    <d v="1899-12-30T09:41:20"/>
    <n v="2"/>
    <x v="7"/>
    <d v="2024-06-11T00:00:00"/>
    <s v="D+0"/>
    <x v="6"/>
    <n v="1"/>
    <x v="0"/>
    <x v="1"/>
    <s v="NET PROJETOS"/>
    <x v="1"/>
    <x v="0"/>
  </r>
  <r>
    <n v="4379075"/>
    <s v="11XD"/>
    <s v="11XD"/>
    <d v="2024-06-05T00:00:00"/>
    <d v="2024-06-05T00:00:00"/>
    <d v="1899-12-30T11:03:50"/>
    <n v="2"/>
    <x v="1"/>
    <d v="2024-06-07T00:00:00"/>
    <s v="D+2"/>
    <x v="7"/>
    <n v="1"/>
    <x v="0"/>
    <x v="0"/>
    <s v="TELMEX"/>
    <x v="0"/>
    <x v="0"/>
  </r>
  <r>
    <n v="4379076"/>
    <s v="11XD"/>
    <s v="11XD"/>
    <d v="2024-06-05T00:00:00"/>
    <d v="2024-06-05T00:00:00"/>
    <d v="1899-12-30T11:04:00"/>
    <n v="2"/>
    <x v="1"/>
    <d v="2024-06-07T00:00:00"/>
    <s v="D+2"/>
    <x v="7"/>
    <n v="1"/>
    <x v="0"/>
    <x v="0"/>
    <s v="TELMEX"/>
    <x v="0"/>
    <x v="0"/>
  </r>
  <r>
    <n v="4381634"/>
    <s v="11XD"/>
    <s v="11XD"/>
    <d v="2024-06-05T00:00:00"/>
    <d v="2024-06-05T00:00:00"/>
    <d v="1899-12-30T16:02:30"/>
    <n v="2"/>
    <x v="2"/>
    <d v="2024-06-07T00:00:00"/>
    <s v="D+2"/>
    <x v="7"/>
    <n v="2"/>
    <x v="2"/>
    <x v="0"/>
    <s v="TELMEX"/>
    <x v="0"/>
    <x v="0"/>
  </r>
  <r>
    <n v="4381635"/>
    <s v="11XD"/>
    <s v="11XD"/>
    <d v="2024-06-05T00:00:00"/>
    <d v="2024-06-05T00:00:00"/>
    <d v="1899-12-30T16:02:30"/>
    <n v="2"/>
    <x v="2"/>
    <d v="2024-06-07T00:00:00"/>
    <s v="D+2"/>
    <x v="7"/>
    <n v="1"/>
    <x v="2"/>
    <x v="0"/>
    <s v="TELMEX"/>
    <x v="0"/>
    <x v="0"/>
  </r>
  <r>
    <n v="4381636"/>
    <s v="11XD"/>
    <s v="11XD"/>
    <d v="2024-06-05T00:00:00"/>
    <d v="2024-06-05T00:00:00"/>
    <d v="1899-12-30T16:02:40"/>
    <n v="2"/>
    <x v="1"/>
    <d v="2024-06-07T00:00:00"/>
    <s v="D+2"/>
    <x v="7"/>
    <n v="2"/>
    <x v="0"/>
    <x v="0"/>
    <s v="TELMEX"/>
    <x v="0"/>
    <x v="0"/>
  </r>
  <r>
    <n v="4381637"/>
    <s v="11XD"/>
    <s v="11XD"/>
    <d v="2024-06-05T00:00:00"/>
    <d v="2024-06-05T00:00:00"/>
    <d v="1899-12-30T16:02:40"/>
    <n v="2"/>
    <x v="1"/>
    <d v="2024-06-07T00:00:00"/>
    <s v="D+2"/>
    <x v="7"/>
    <n v="1"/>
    <x v="0"/>
    <x v="0"/>
    <s v="TELMEX"/>
    <x v="0"/>
    <x v="0"/>
  </r>
  <r>
    <n v="4381638"/>
    <s v="11XD"/>
    <s v="11XD"/>
    <d v="2024-06-05T00:00:00"/>
    <d v="2024-06-05T00:00:00"/>
    <d v="1899-12-30T16:15:30"/>
    <n v="2"/>
    <x v="1"/>
    <d v="2024-06-07T00:00:00"/>
    <s v="D+2"/>
    <x v="7"/>
    <n v="2"/>
    <x v="0"/>
    <x v="0"/>
    <s v="TELMEX"/>
    <x v="0"/>
    <x v="0"/>
  </r>
  <r>
    <n v="4381639"/>
    <s v="11XD"/>
    <s v="11XD"/>
    <d v="2024-06-05T00:00:00"/>
    <d v="2024-06-05T00:00:00"/>
    <d v="1899-12-30T16:15:30"/>
    <n v="2"/>
    <x v="1"/>
    <d v="2024-06-07T00:00:00"/>
    <s v="D+2"/>
    <x v="7"/>
    <n v="1"/>
    <x v="0"/>
    <x v="0"/>
    <s v="TELMEX"/>
    <x v="0"/>
    <x v="0"/>
  </r>
  <r>
    <n v="4381912"/>
    <s v="11XD"/>
    <s v="PROD"/>
    <d v="2024-06-05T00:00:00"/>
    <d v="2024-06-05T00:00:00"/>
    <d v="1899-12-30T15:49:50"/>
    <n v="2"/>
    <x v="0"/>
    <d v="2024-06-07T00:00:00"/>
    <s v="D+2"/>
    <x v="7"/>
    <n v="1"/>
    <x v="0"/>
    <x v="0"/>
    <s v="TELMEX"/>
    <x v="0"/>
    <x v="0"/>
  </r>
  <r>
    <n v="4381913"/>
    <s v="11XD"/>
    <s v="PROD"/>
    <d v="2024-06-05T00:00:00"/>
    <d v="2024-06-05T00:00:00"/>
    <d v="1899-12-30T08:00:00"/>
    <n v="2"/>
    <x v="0"/>
    <d v="2024-06-07T00:00:00"/>
    <s v="D+2"/>
    <x v="7"/>
    <n v="1"/>
    <x v="0"/>
    <x v="0"/>
    <s v="TELMEX"/>
    <x v="0"/>
    <x v="0"/>
  </r>
  <r>
    <n v="4382286"/>
    <s v="11XD"/>
    <s v="PROD"/>
    <d v="2024-06-06T00:00:00"/>
    <d v="2024-06-06T00:00:00"/>
    <d v="1899-12-30T09:33:10"/>
    <n v="2"/>
    <x v="2"/>
    <d v="2024-06-10T00:00:00"/>
    <s v="D+1"/>
    <x v="8"/>
    <n v="1"/>
    <x v="2"/>
    <x v="1"/>
    <s v="TELMEX"/>
    <x v="0"/>
    <x v="0"/>
  </r>
  <r>
    <n v="4382287"/>
    <s v="11XD"/>
    <s v="UPRO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2288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89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0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1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2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3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4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5"/>
    <s v="11XD"/>
    <s v="PROD"/>
    <d v="2024-06-06T00:00:00"/>
    <d v="2024-06-06T00:00:00"/>
    <d v="1899-12-30T09:33:50"/>
    <n v="2"/>
    <x v="2"/>
    <d v="2024-06-10T00:00:00"/>
    <s v="D+1"/>
    <x v="8"/>
    <n v="1"/>
    <x v="2"/>
    <x v="1"/>
    <s v="TELMEX"/>
    <x v="0"/>
    <x v="0"/>
  </r>
  <r>
    <n v="4382296"/>
    <s v="11XD"/>
    <s v="UPRO"/>
    <d v="2024-06-06T00:00:00"/>
    <d v="2024-06-06T00:00:00"/>
    <d v="1899-12-30T09:34:00"/>
    <n v="2"/>
    <x v="6"/>
    <d v="2024-06-10T00:00:00"/>
    <s v="D+1"/>
    <x v="8"/>
    <n v="1"/>
    <x v="0"/>
    <x v="1"/>
    <s v="TELMEX"/>
    <x v="0"/>
    <x v="0"/>
  </r>
  <r>
    <n v="4382297"/>
    <s v="11XD"/>
    <s v="PRO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2298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299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300"/>
    <s v="11XD"/>
    <s v="PROD"/>
    <d v="2024-06-06T00:00:00"/>
    <d v="2024-06-06T00:00:00"/>
    <d v="1899-12-30T08:00:00"/>
    <n v="2"/>
    <x v="4"/>
    <d v="2024-06-10T00:00:00"/>
    <s v="D+1"/>
    <x v="8"/>
    <n v="1"/>
    <x v="0"/>
    <x v="1"/>
    <s v="TELMEX"/>
    <x v="0"/>
    <x v="0"/>
  </r>
  <r>
    <n v="4382706"/>
    <s v="11XD"/>
    <s v="PROD"/>
    <d v="2024-06-06T00:00:00"/>
    <d v="2024-06-06T00:00:00"/>
    <d v="1899-12-30T09:34:20"/>
    <n v="2"/>
    <x v="5"/>
    <d v="2024-06-10T00:00:00"/>
    <s v="D+1"/>
    <x v="8"/>
    <n v="1"/>
    <x v="0"/>
    <x v="1"/>
    <s v="TELMEX"/>
    <x v="0"/>
    <x v="0"/>
  </r>
  <r>
    <n v="4382707"/>
    <s v="11XD"/>
    <s v="PROD"/>
    <d v="2024-06-06T00:00:00"/>
    <d v="2024-06-06T00:00:00"/>
    <d v="1899-12-30T09:34:30"/>
    <n v="2"/>
    <x v="2"/>
    <d v="2024-06-10T00:00:00"/>
    <s v="D+1"/>
    <x v="8"/>
    <n v="1"/>
    <x v="2"/>
    <x v="1"/>
    <s v="TELMEX"/>
    <x v="0"/>
    <x v="0"/>
  </r>
  <r>
    <n v="4382708"/>
    <s v="11XD"/>
    <s v="PRO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2709"/>
    <s v="11XD"/>
    <s v="PROD"/>
    <d v="2024-06-06T00:00:00"/>
    <d v="2024-06-06T00:00:00"/>
    <d v="1899-12-30T09:34:40"/>
    <n v="2"/>
    <x v="2"/>
    <d v="2024-06-10T00:00:00"/>
    <s v="D+1"/>
    <x v="8"/>
    <n v="1"/>
    <x v="2"/>
    <x v="1"/>
    <s v="TELMEX"/>
    <x v="0"/>
    <x v="0"/>
  </r>
  <r>
    <n v="4382710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1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2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3"/>
    <s v="11XD"/>
    <s v="UPRO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2714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5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6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8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19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0"/>
    <s v="11XD"/>
    <s v="PROD"/>
    <d v="2024-06-06T00:00:00"/>
    <d v="2024-06-06T00:00:00"/>
    <d v="1899-12-30T09:35:30"/>
    <n v="2"/>
    <x v="2"/>
    <d v="2024-06-10T00:00:00"/>
    <s v="D+1"/>
    <x v="8"/>
    <n v="1"/>
    <x v="2"/>
    <x v="1"/>
    <s v="TELMEX"/>
    <x v="0"/>
    <x v="0"/>
  </r>
  <r>
    <n v="4382721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2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3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4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5"/>
    <s v="11XD"/>
    <s v="PROD"/>
    <d v="2024-06-06T00:00:00"/>
    <d v="2024-06-06T00:00:00"/>
    <d v="1899-12-30T08:00:00"/>
    <n v="2"/>
    <x v="3"/>
    <d v="2024-06-10T00:00:00"/>
    <s v="D+1"/>
    <x v="8"/>
    <n v="1"/>
    <x v="0"/>
    <x v="1"/>
    <s v="TELMEX"/>
    <x v="0"/>
    <x v="0"/>
  </r>
  <r>
    <n v="4382726"/>
    <s v="11XD"/>
    <s v="PROD"/>
    <d v="2024-06-06T00:00:00"/>
    <d v="2024-06-06T00:00:00"/>
    <d v="1899-12-30T08:00:00"/>
    <n v="2"/>
    <x v="3"/>
    <d v="2024-06-10T00:00:00"/>
    <s v="D+1"/>
    <x v="8"/>
    <n v="1"/>
    <x v="0"/>
    <x v="1"/>
    <s v="TELMEX"/>
    <x v="0"/>
    <x v="0"/>
  </r>
  <r>
    <n v="4382727"/>
    <s v="11XD"/>
    <s v="PRO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28"/>
    <s v="11XD"/>
    <s v="PROD"/>
    <d v="2024-06-06T00:00:00"/>
    <d v="2024-06-06T00:00:00"/>
    <d v="1899-12-30T08:00:00"/>
    <n v="2"/>
    <x v="3"/>
    <d v="2024-06-10T00:00:00"/>
    <s v="D+1"/>
    <x v="8"/>
    <n v="1"/>
    <x v="0"/>
    <x v="1"/>
    <s v="TELMEX"/>
    <x v="0"/>
    <x v="0"/>
  </r>
  <r>
    <n v="4382731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2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3"/>
    <s v="11XD"/>
    <s v="USAD"/>
    <d v="2024-06-06T00:00:00"/>
    <d v="2024-06-06T00:00:00"/>
    <d v="1899-12-30T09:36:30"/>
    <n v="2"/>
    <x v="2"/>
    <d v="2024-06-10T00:00:00"/>
    <s v="D+1"/>
    <x v="8"/>
    <n v="1"/>
    <x v="2"/>
    <x v="1"/>
    <s v="TELMEX"/>
    <x v="0"/>
    <x v="0"/>
  </r>
  <r>
    <n v="4382734"/>
    <s v="11XD"/>
    <s v="USAD"/>
    <d v="2024-06-06T00:00:00"/>
    <d v="2024-06-06T00:00:00"/>
    <d v="1899-12-30T09:36:30"/>
    <n v="2"/>
    <x v="2"/>
    <d v="2024-06-10T00:00:00"/>
    <s v="D+1"/>
    <x v="8"/>
    <n v="1"/>
    <x v="2"/>
    <x v="1"/>
    <s v="TELMEX"/>
    <x v="0"/>
    <x v="0"/>
  </r>
  <r>
    <n v="4382735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6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7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8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739"/>
    <s v="11XD"/>
    <s v="USAD"/>
    <d v="2024-06-06T00:00:00"/>
    <d v="2024-06-06T00:00:00"/>
    <d v="1899-12-30T08:00:00"/>
    <n v="2"/>
    <x v="2"/>
    <d v="2024-06-10T00:00:00"/>
    <s v="D+1"/>
    <x v="8"/>
    <n v="1"/>
    <x v="2"/>
    <x v="1"/>
    <s v="TELMEX"/>
    <x v="0"/>
    <x v="0"/>
  </r>
  <r>
    <n v="4382812"/>
    <s v="11XD"/>
    <s v="PROD"/>
    <d v="2024-06-06T00:00:00"/>
    <d v="2024-06-06T00:00:00"/>
    <d v="1899-12-30T10:37:40"/>
    <n v="2"/>
    <x v="2"/>
    <d v="2024-06-10T00:00:00"/>
    <s v="D+1"/>
    <x v="8"/>
    <n v="1"/>
    <x v="2"/>
    <x v="1"/>
    <s v="TELMEX"/>
    <x v="0"/>
    <x v="0"/>
  </r>
  <r>
    <n v="4382865"/>
    <s v="11XD"/>
    <s v="UPRO"/>
    <d v="2024-06-06T00:00:00"/>
    <d v="2024-06-06T00:00:00"/>
    <d v="1899-12-30T11:55:10"/>
    <n v="2"/>
    <x v="3"/>
    <d v="2024-06-10T00:00:00"/>
    <s v="D+1"/>
    <x v="8"/>
    <n v="2"/>
    <x v="0"/>
    <x v="1"/>
    <s v="TELMEX"/>
    <x v="0"/>
    <x v="0"/>
  </r>
  <r>
    <n v="4383021"/>
    <s v="11XD"/>
    <s v="11X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3022"/>
    <s v="11XD"/>
    <s v="11X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3023"/>
    <s v="11XD"/>
    <s v="11X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3024"/>
    <s v="11XD"/>
    <s v="11XD"/>
    <d v="2024-06-06T00:00:00"/>
    <d v="2024-06-06T00:00:00"/>
    <d v="1899-12-30T08:00:00"/>
    <n v="2"/>
    <x v="5"/>
    <d v="2024-06-10T00:00:00"/>
    <s v="D+1"/>
    <x v="8"/>
    <n v="1"/>
    <x v="0"/>
    <x v="1"/>
    <s v="TELMEX"/>
    <x v="0"/>
    <x v="0"/>
  </r>
  <r>
    <n v="4383025"/>
    <s v="11XD"/>
    <s v="11XD"/>
    <d v="2024-06-06T00:00:00"/>
    <d v="2024-06-06T00:00:00"/>
    <d v="1899-12-30T16:28:40"/>
    <n v="2"/>
    <x v="6"/>
    <d v="2024-06-10T00:00:00"/>
    <s v="D+1"/>
    <x v="8"/>
    <n v="1"/>
    <x v="0"/>
    <x v="1"/>
    <s v="TELMEX"/>
    <x v="0"/>
    <x v="0"/>
  </r>
  <r>
    <n v="4383026"/>
    <s v="11XD"/>
    <s v="11XD"/>
    <d v="2024-06-06T00:00:00"/>
    <d v="2024-06-06T00:00:00"/>
    <d v="1899-12-30T16:28:50"/>
    <n v="2"/>
    <x v="6"/>
    <d v="2024-06-10T00:00:00"/>
    <s v="D+1"/>
    <x v="8"/>
    <n v="1"/>
    <x v="0"/>
    <x v="1"/>
    <s v="TELMEX"/>
    <x v="0"/>
    <x v="0"/>
  </r>
  <r>
    <n v="4383027"/>
    <s v="11XD"/>
    <s v="11XD"/>
    <d v="2024-06-06T00:00:00"/>
    <d v="2024-06-06T00:00:00"/>
    <d v="1899-12-30T16:28:50"/>
    <n v="2"/>
    <x v="6"/>
    <d v="2024-06-10T00:00:00"/>
    <s v="D+1"/>
    <x v="8"/>
    <n v="2"/>
    <x v="0"/>
    <x v="1"/>
    <s v="TELMEX"/>
    <x v="0"/>
    <x v="0"/>
  </r>
  <r>
    <n v="4383028"/>
    <s v="11XD"/>
    <s v="11XD"/>
    <d v="2024-06-06T00:00:00"/>
    <d v="2024-06-06T00:00:00"/>
    <d v="1899-12-30T16:29:00"/>
    <n v="2"/>
    <x v="6"/>
    <d v="2024-06-10T00:00:00"/>
    <s v="D+1"/>
    <x v="8"/>
    <n v="1"/>
    <x v="0"/>
    <x v="1"/>
    <s v="TELMEX"/>
    <x v="0"/>
    <x v="0"/>
  </r>
  <r>
    <n v="4383029"/>
    <s v="11XD"/>
    <s v="11XD"/>
    <d v="2024-06-06T00:00:00"/>
    <d v="2024-06-06T00:00:00"/>
    <d v="1899-12-30T16:29:00"/>
    <n v="2"/>
    <x v="6"/>
    <d v="2024-06-10T00:00:00"/>
    <s v="D+1"/>
    <x v="8"/>
    <n v="1"/>
    <x v="0"/>
    <x v="1"/>
    <s v="TELMEX"/>
    <x v="0"/>
    <x v="0"/>
  </r>
  <r>
    <n v="4383030"/>
    <s v="11XD"/>
    <s v="11XD"/>
    <d v="2024-06-06T00:00:00"/>
    <d v="2024-06-06T00:00:00"/>
    <d v="1899-12-30T08:00:00"/>
    <n v="2"/>
    <x v="6"/>
    <d v="2024-06-10T00:00:00"/>
    <s v="D+1"/>
    <x v="8"/>
    <n v="2"/>
    <x v="0"/>
    <x v="1"/>
    <s v="TELMEX"/>
    <x v="0"/>
    <x v="0"/>
  </r>
  <r>
    <n v="4383031"/>
    <s v="11XD"/>
    <s v="11XD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3032"/>
    <s v="11XD"/>
    <s v="11XD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3033"/>
    <s v="11XD"/>
    <s v="11XD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3034"/>
    <s v="11XD"/>
    <s v="11XD"/>
    <d v="2024-06-06T00:00:00"/>
    <d v="2024-06-06T00:00:00"/>
    <d v="1899-12-30T08:00:00"/>
    <n v="2"/>
    <x v="6"/>
    <d v="2024-06-10T00:00:00"/>
    <s v="D+1"/>
    <x v="8"/>
    <n v="1"/>
    <x v="0"/>
    <x v="1"/>
    <s v="TELMEX"/>
    <x v="0"/>
    <x v="0"/>
  </r>
  <r>
    <n v="4383040"/>
    <s v="11XD"/>
    <s v="11XD"/>
    <d v="2024-06-07T00:00:00"/>
    <d v="2024-06-07T00:00:00"/>
    <d v="1899-12-30T09:58:10"/>
    <n v="2"/>
    <x v="7"/>
    <d v="2024-06-11T00:00:00"/>
    <s v="D+0"/>
    <x v="9"/>
    <n v="1"/>
    <x v="0"/>
    <x v="1"/>
    <s v="TELMEX"/>
    <x v="0"/>
    <x v="0"/>
  </r>
  <r>
    <n v="4384161"/>
    <s v="11XD"/>
    <s v="11XD"/>
    <d v="2024-06-07T00:00:00"/>
    <d v="2024-06-07T00:00:00"/>
    <d v="1899-12-30T09:58:10"/>
    <n v="2"/>
    <x v="7"/>
    <d v="2024-06-11T00:00:00"/>
    <s v="D+0"/>
    <x v="9"/>
    <n v="1"/>
    <x v="0"/>
    <x v="1"/>
    <s v="TELMEX"/>
    <x v="0"/>
    <x v="0"/>
  </r>
  <r>
    <n v="4384162"/>
    <s v="11XD"/>
    <s v="11XD"/>
    <d v="2024-06-07T00:00:00"/>
    <d v="2024-06-07T00:00:00"/>
    <d v="1899-12-30T09:58:20"/>
    <n v="2"/>
    <x v="7"/>
    <d v="2024-06-11T00:00:00"/>
    <s v="D+0"/>
    <x v="9"/>
    <n v="1"/>
    <x v="0"/>
    <x v="1"/>
    <s v="TELMEX"/>
    <x v="0"/>
    <x v="0"/>
  </r>
  <r>
    <n v="4384163"/>
    <s v="11XD"/>
    <s v="11XD"/>
    <d v="2024-06-07T00:00:00"/>
    <d v="2024-06-07T00:00:00"/>
    <d v="1899-12-30T09:58:20"/>
    <n v="2"/>
    <x v="7"/>
    <d v="2024-06-11T00:00:00"/>
    <s v="D+0"/>
    <x v="9"/>
    <n v="1"/>
    <x v="0"/>
    <x v="1"/>
    <s v="TELMEX"/>
    <x v="0"/>
    <x v="0"/>
  </r>
  <r>
    <n v="4384164"/>
    <s v="11XD"/>
    <s v="11XD"/>
    <d v="2024-06-07T00:00:00"/>
    <d v="2024-06-07T00:00:00"/>
    <d v="1899-12-30T09:58:30"/>
    <n v="2"/>
    <x v="7"/>
    <d v="2024-06-11T00:00:00"/>
    <s v="D+0"/>
    <x v="9"/>
    <n v="1"/>
    <x v="0"/>
    <x v="1"/>
    <s v="TELMEX"/>
    <x v="0"/>
    <x v="0"/>
  </r>
  <r>
    <n v="4384165"/>
    <s v="11XD"/>
    <s v="11XD"/>
    <d v="2024-06-07T00:00:00"/>
    <d v="2024-06-07T00:00:00"/>
    <d v="1899-12-30T09:58:30"/>
    <n v="2"/>
    <x v="7"/>
    <d v="2024-06-11T00:00:00"/>
    <s v="D+0"/>
    <x v="9"/>
    <n v="1"/>
    <x v="0"/>
    <x v="1"/>
    <s v="TELMEX"/>
    <x v="0"/>
    <x v="0"/>
  </r>
  <r>
    <n v="4384166"/>
    <s v="11XD"/>
    <s v="11XD"/>
    <d v="2024-06-07T00:00:00"/>
    <d v="2024-06-07T00:00:00"/>
    <d v="1899-12-30T09:58:40"/>
    <n v="2"/>
    <x v="7"/>
    <d v="2024-06-11T00:00:00"/>
    <s v="D+0"/>
    <x v="9"/>
    <n v="1"/>
    <x v="0"/>
    <x v="1"/>
    <s v="TELMEX"/>
    <x v="0"/>
    <x v="0"/>
  </r>
  <r>
    <n v="4382495"/>
    <n v="1196"/>
    <s v="USOB"/>
    <d v="2024-06-05T00:00:00"/>
    <d v="2024-06-05T00:00:00"/>
    <d v="1899-12-30T22:28:30"/>
    <n v="2"/>
    <x v="1"/>
    <d v="2024-06-07T00:00:00"/>
    <s v="D+2"/>
    <x v="10"/>
    <n v="1"/>
    <x v="0"/>
    <x v="0"/>
    <s v="OMR"/>
    <x v="0"/>
    <x v="0"/>
  </r>
  <r>
    <n v="4382519"/>
    <n v="1196"/>
    <s v="PROD"/>
    <d v="2024-06-05T00:00:00"/>
    <d v="2024-06-05T00:00:00"/>
    <d v="1899-12-30T22:28:40"/>
    <n v="2"/>
    <x v="1"/>
    <d v="2024-06-07T00:00:00"/>
    <s v="D+2"/>
    <x v="10"/>
    <n v="1"/>
    <x v="0"/>
    <x v="0"/>
    <s v="OMR"/>
    <x v="0"/>
    <x v="0"/>
  </r>
  <r>
    <n v="4382520"/>
    <n v="1196"/>
    <s v="PROD"/>
    <d v="2024-06-05T00:00:00"/>
    <d v="2024-06-05T00:00:00"/>
    <d v="1899-12-30T22:28:40"/>
    <n v="2"/>
    <x v="1"/>
    <d v="2024-06-07T00:00:00"/>
    <s v="D+2"/>
    <x v="10"/>
    <n v="1"/>
    <x v="0"/>
    <x v="0"/>
    <s v="OMR"/>
    <x v="0"/>
    <x v="0"/>
  </r>
  <r>
    <n v="4382528"/>
    <n v="1196"/>
    <s v="USOB"/>
    <d v="2024-06-05T00:00:00"/>
    <d v="2024-06-05T00:00:00"/>
    <d v="1899-12-30T22:28:50"/>
    <n v="2"/>
    <x v="1"/>
    <d v="2024-06-07T00:00:00"/>
    <s v="D+2"/>
    <x v="10"/>
    <n v="1"/>
    <x v="0"/>
    <x v="0"/>
    <s v="OMR"/>
    <x v="0"/>
    <x v="0"/>
  </r>
  <r>
    <n v="4382530"/>
    <n v="1196"/>
    <s v="USOB"/>
    <d v="2024-06-05T00:00:00"/>
    <d v="2024-06-05T00:00:00"/>
    <d v="1899-12-30T22:28:50"/>
    <n v="2"/>
    <x v="1"/>
    <d v="2024-06-07T00:00:00"/>
    <s v="D+2"/>
    <x v="10"/>
    <n v="1"/>
    <x v="0"/>
    <x v="0"/>
    <s v="OMR"/>
    <x v="0"/>
    <x v="0"/>
  </r>
  <r>
    <n v="4382531"/>
    <n v="1196"/>
    <s v="USOB"/>
    <d v="2024-06-05T00:00:00"/>
    <d v="2024-06-05T00:00:00"/>
    <d v="1899-12-30T08:00:00"/>
    <n v="2"/>
    <x v="0"/>
    <d v="2024-06-07T00:00:00"/>
    <s v="D+2"/>
    <x v="10"/>
    <n v="1"/>
    <x v="0"/>
    <x v="0"/>
    <s v="OMR"/>
    <x v="0"/>
    <x v="0"/>
  </r>
  <r>
    <n v="4382544"/>
    <n v="1196"/>
    <s v="USOB"/>
    <d v="2024-06-05T00:00:00"/>
    <d v="2024-06-05T00:00:00"/>
    <d v="1899-12-30T08:00:00"/>
    <n v="2"/>
    <x v="1"/>
    <d v="2024-06-07T00:00:00"/>
    <s v="D+2"/>
    <x v="10"/>
    <n v="1"/>
    <x v="0"/>
    <x v="0"/>
    <s v="OMR"/>
    <x v="0"/>
    <x v="0"/>
  </r>
  <r>
    <n v="4382557"/>
    <n v="1196"/>
    <s v="PROD"/>
    <d v="2024-06-05T00:00:00"/>
    <d v="2024-06-05T00:00:00"/>
    <d v="1899-12-30T08:00:00"/>
    <n v="2"/>
    <x v="1"/>
    <d v="2024-06-07T00:00:00"/>
    <s v="D+2"/>
    <x v="10"/>
    <n v="1"/>
    <x v="0"/>
    <x v="0"/>
    <s v="OMR"/>
    <x v="0"/>
    <x v="0"/>
  </r>
  <r>
    <n v="4382565"/>
    <n v="1196"/>
    <s v="USAN"/>
    <d v="2024-06-05T00:00:00"/>
    <d v="2024-06-05T00:00:00"/>
    <d v="1899-12-30T08:00:00"/>
    <n v="2"/>
    <x v="1"/>
    <d v="2024-06-07T00:00:00"/>
    <s v="D+2"/>
    <x v="10"/>
    <n v="1"/>
    <x v="0"/>
    <x v="0"/>
    <s v="OMR"/>
    <x v="0"/>
    <x v="0"/>
  </r>
  <r>
    <n v="4382566"/>
    <n v="1196"/>
    <s v="PROD"/>
    <d v="2024-06-05T00:00:00"/>
    <d v="2024-06-05T00:00:00"/>
    <d v="1899-12-30T08:00:00"/>
    <n v="2"/>
    <x v="1"/>
    <d v="2024-06-07T00:00:00"/>
    <s v="D+2"/>
    <x v="10"/>
    <n v="1"/>
    <x v="0"/>
    <x v="0"/>
    <s v="OMR"/>
    <x v="0"/>
    <x v="0"/>
  </r>
  <r>
    <n v="4382020"/>
    <n v="1196"/>
    <s v="USOB"/>
    <d v="2024-06-06T00:00:00"/>
    <d v="2024-06-06T00:00:00"/>
    <d v="1899-12-30T10:11:10"/>
    <n v="2"/>
    <x v="1"/>
    <d v="2024-06-10T00:00:00"/>
    <s v="D+1"/>
    <x v="11"/>
    <n v="1"/>
    <x v="0"/>
    <x v="1"/>
    <s v="OMR"/>
    <x v="0"/>
    <x v="0"/>
  </r>
  <r>
    <n v="4382314"/>
    <n v="1196"/>
    <s v="USOB"/>
    <d v="2024-06-06T00:00:00"/>
    <d v="2024-06-06T00:00:00"/>
    <d v="1899-12-30T11:44:40"/>
    <n v="2"/>
    <x v="1"/>
    <d v="2024-06-10T00:00:00"/>
    <s v="D+1"/>
    <x v="11"/>
    <n v="1"/>
    <x v="0"/>
    <x v="1"/>
    <s v="OMR"/>
    <x v="0"/>
    <x v="0"/>
  </r>
  <r>
    <n v="4382315"/>
    <n v="1196"/>
    <s v="USOB"/>
    <d v="2024-06-06T00:00:00"/>
    <d v="2024-06-06T00:00:00"/>
    <d v="1899-12-30T11:44:40"/>
    <n v="2"/>
    <x v="1"/>
    <d v="2024-06-10T00:00:00"/>
    <s v="D+1"/>
    <x v="11"/>
    <n v="1"/>
    <x v="0"/>
    <x v="1"/>
    <s v="OMR"/>
    <x v="0"/>
    <x v="0"/>
  </r>
  <r>
    <n v="4382316"/>
    <n v="1196"/>
    <s v="USOB"/>
    <d v="2024-06-06T00:00:00"/>
    <d v="2024-06-06T00:00:00"/>
    <d v="1899-12-30T11:44:50"/>
    <n v="2"/>
    <x v="1"/>
    <d v="2024-06-10T00:00:00"/>
    <s v="D+1"/>
    <x v="11"/>
    <n v="1"/>
    <x v="0"/>
    <x v="1"/>
    <s v="OMR"/>
    <x v="0"/>
    <x v="0"/>
  </r>
  <r>
    <n v="4382761"/>
    <n v="1196"/>
    <s v="USOB"/>
    <d v="2024-06-06T00:00:00"/>
    <d v="2024-06-06T00:00:00"/>
    <d v="1899-12-30T10:11:10"/>
    <n v="2"/>
    <x v="2"/>
    <d v="2024-06-10T00:00:00"/>
    <s v="D+1"/>
    <x v="11"/>
    <n v="1"/>
    <x v="3"/>
    <x v="1"/>
    <s v="OMR"/>
    <x v="0"/>
    <x v="0"/>
  </r>
  <r>
    <n v="4382762"/>
    <n v="1196"/>
    <s v="USOB"/>
    <d v="2024-06-06T00:00:00"/>
    <d v="2024-06-06T00:00:00"/>
    <d v="1899-12-30T10:11:10"/>
    <n v="2"/>
    <x v="1"/>
    <d v="2024-06-10T00:00:00"/>
    <s v="D+1"/>
    <x v="11"/>
    <n v="2"/>
    <x v="0"/>
    <x v="1"/>
    <s v="OMR"/>
    <x v="0"/>
    <x v="0"/>
  </r>
  <r>
    <n v="4382764"/>
    <n v="1196"/>
    <s v="USOB"/>
    <d v="2024-06-06T00:00:00"/>
    <d v="2024-06-06T00:00:00"/>
    <d v="1899-12-30T10:11:20"/>
    <n v="2"/>
    <x v="1"/>
    <d v="2024-06-10T00:00:00"/>
    <s v="D+1"/>
    <x v="11"/>
    <n v="1"/>
    <x v="0"/>
    <x v="1"/>
    <s v="OMR"/>
    <x v="0"/>
    <x v="0"/>
  </r>
  <r>
    <n v="4382765"/>
    <n v="1196"/>
    <s v="USOB"/>
    <d v="2024-06-06T00:00:00"/>
    <d v="2024-06-06T00:00:00"/>
    <d v="1899-12-30T10:11:30"/>
    <n v="2"/>
    <x v="1"/>
    <d v="2024-06-10T00:00:00"/>
    <s v="D+1"/>
    <x v="11"/>
    <n v="1"/>
    <x v="0"/>
    <x v="1"/>
    <s v="OMR"/>
    <x v="0"/>
    <x v="0"/>
  </r>
  <r>
    <n v="4382771"/>
    <n v="1196"/>
    <s v="PROD"/>
    <d v="2024-06-06T00:00:00"/>
    <d v="2024-06-06T00:00:00"/>
    <d v="1899-12-30T10:11:30"/>
    <n v="2"/>
    <x v="1"/>
    <d v="2024-06-10T00:00:00"/>
    <s v="D+1"/>
    <x v="11"/>
    <n v="1"/>
    <x v="0"/>
    <x v="1"/>
    <s v="OMR"/>
    <x v="0"/>
    <x v="0"/>
  </r>
  <r>
    <n v="4383049"/>
    <n v="1196"/>
    <s v="USOB"/>
    <d v="2024-06-06T00:00:00"/>
    <d v="2024-06-06T00:00:00"/>
    <d v="1899-12-30T08:00:00"/>
    <n v="2"/>
    <x v="1"/>
    <d v="2024-06-10T00:00:00"/>
    <s v="D+1"/>
    <x v="11"/>
    <n v="3"/>
    <x v="0"/>
    <x v="1"/>
    <s v="OMR"/>
    <x v="0"/>
    <x v="0"/>
  </r>
  <r>
    <n v="4383113"/>
    <n v="1196"/>
    <s v="USOB"/>
    <d v="2024-06-06T00:00:00"/>
    <d v="2024-06-06T00:00:00"/>
    <d v="1899-12-30T14:57:40"/>
    <n v="2"/>
    <x v="1"/>
    <d v="2024-06-10T00:00:00"/>
    <s v="D+1"/>
    <x v="11"/>
    <n v="1"/>
    <x v="0"/>
    <x v="1"/>
    <s v="OMR"/>
    <x v="0"/>
    <x v="0"/>
  </r>
  <r>
    <n v="4383120"/>
    <n v="1196"/>
    <s v="USOB"/>
    <d v="2024-06-06T00:00:00"/>
    <d v="2024-06-06T00:00:00"/>
    <d v="1899-12-30T14:57:40"/>
    <n v="2"/>
    <x v="1"/>
    <d v="2024-06-10T00:00:00"/>
    <s v="D+1"/>
    <x v="11"/>
    <n v="2"/>
    <x v="0"/>
    <x v="1"/>
    <s v="OMR"/>
    <x v="0"/>
    <x v="0"/>
  </r>
  <r>
    <n v="4383136"/>
    <n v="1196"/>
    <s v="USOB"/>
    <d v="2024-06-06T00:00:00"/>
    <d v="2024-06-06T00:00:00"/>
    <d v="1899-12-30T16:40:50"/>
    <n v="2"/>
    <x v="1"/>
    <d v="2024-06-10T00:00:00"/>
    <s v="D+1"/>
    <x v="11"/>
    <n v="1"/>
    <x v="0"/>
    <x v="1"/>
    <s v="OMR"/>
    <x v="0"/>
    <x v="0"/>
  </r>
  <r>
    <n v="4383162"/>
    <n v="1196"/>
    <s v="USOB"/>
    <d v="2024-06-06T00:00:00"/>
    <d v="2024-06-06T00:00:00"/>
    <d v="1899-12-30T14:57:40"/>
    <n v="2"/>
    <x v="1"/>
    <d v="2024-06-10T00:00:00"/>
    <s v="D+1"/>
    <x v="11"/>
    <n v="1"/>
    <x v="0"/>
    <x v="1"/>
    <s v="OMR"/>
    <x v="0"/>
    <x v="0"/>
  </r>
  <r>
    <n v="4383164"/>
    <n v="1196"/>
    <s v="USOB"/>
    <d v="2024-06-06T00:00:00"/>
    <d v="2024-06-06T00:00:00"/>
    <d v="1899-12-30T15:22:50"/>
    <n v="2"/>
    <x v="1"/>
    <d v="2024-06-10T00:00:00"/>
    <s v="D+1"/>
    <x v="11"/>
    <n v="1"/>
    <x v="0"/>
    <x v="1"/>
    <s v="OMR"/>
    <x v="0"/>
    <x v="0"/>
  </r>
  <r>
    <n v="4383567"/>
    <n v="1196"/>
    <s v="USOB"/>
    <d v="2024-06-06T00:00:00"/>
    <d v="2024-06-06T00:00:00"/>
    <d v="1899-12-30T16:53:50"/>
    <n v="2"/>
    <x v="1"/>
    <d v="2024-06-10T00:00:00"/>
    <s v="D+1"/>
    <x v="11"/>
    <n v="1"/>
    <x v="0"/>
    <x v="1"/>
    <s v="OMR"/>
    <x v="0"/>
    <x v="0"/>
  </r>
  <r>
    <n v="4383568"/>
    <n v="1196"/>
    <s v="USOB"/>
    <d v="2024-06-06T00:00:00"/>
    <d v="2024-06-06T00:00:00"/>
    <d v="1899-12-30T08:00:00"/>
    <n v="2"/>
    <x v="1"/>
    <d v="2024-06-10T00:00:00"/>
    <s v="D+1"/>
    <x v="11"/>
    <n v="1"/>
    <x v="0"/>
    <x v="1"/>
    <s v="OMR"/>
    <x v="0"/>
    <x v="0"/>
  </r>
  <r>
    <n v="4378638"/>
    <s v="N190"/>
    <s v="USAD"/>
    <d v="2024-06-03T00:00:00"/>
    <d v="2024-06-03T00:00:00"/>
    <d v="1899-12-30T12:52:10"/>
    <n v="2"/>
    <x v="1"/>
    <d v="2024-06-05T00:00:00"/>
    <s v="D+4"/>
    <x v="12"/>
    <n v="4"/>
    <x v="0"/>
    <x v="2"/>
    <s v="NET MASSIVO"/>
    <x v="1"/>
    <x v="0"/>
  </r>
  <r>
    <n v="4379585"/>
    <s v="N190"/>
    <s v="USAD"/>
    <d v="2024-06-03T00:00:00"/>
    <d v="2024-06-03T00:00:00"/>
    <d v="1899-12-30T08:00:00"/>
    <n v="2"/>
    <x v="1"/>
    <d v="2024-06-05T00:00:00"/>
    <s v="D+4"/>
    <x v="12"/>
    <n v="3"/>
    <x v="0"/>
    <x v="2"/>
    <s v="NET MASSIVO"/>
    <x v="1"/>
    <x v="0"/>
  </r>
  <r>
    <n v="4379590"/>
    <s v="N190"/>
    <s v="USAD"/>
    <d v="2024-06-03T00:00:00"/>
    <d v="2024-06-03T00:00:00"/>
    <d v="1899-12-30T08:00:00"/>
    <n v="2"/>
    <x v="5"/>
    <d v="2024-06-05T00:00:00"/>
    <s v="D+4"/>
    <x v="12"/>
    <n v="2"/>
    <x v="0"/>
    <x v="2"/>
    <s v="NET MASSIVO"/>
    <x v="1"/>
    <x v="0"/>
  </r>
  <r>
    <n v="4379594"/>
    <s v="N190"/>
    <s v="N190"/>
    <d v="2024-06-03T00:00:00"/>
    <d v="2024-06-03T00:00:00"/>
    <d v="1899-12-30T08:00:00"/>
    <n v="2"/>
    <x v="3"/>
    <d v="2024-06-05T00:00:00"/>
    <s v="D+4"/>
    <x v="12"/>
    <n v="22"/>
    <x v="0"/>
    <x v="2"/>
    <s v="NET MASSIVO"/>
    <x v="1"/>
    <x v="0"/>
  </r>
  <r>
    <n v="4379595"/>
    <s v="N190"/>
    <s v="USAD"/>
    <d v="2024-06-03T00:00:00"/>
    <d v="2024-06-03T00:00:00"/>
    <d v="1899-12-30T08:00:00"/>
    <n v="2"/>
    <x v="1"/>
    <d v="2024-06-05T00:00:00"/>
    <s v="D+4"/>
    <x v="12"/>
    <n v="2"/>
    <x v="0"/>
    <x v="2"/>
    <s v="NET MASSIVO"/>
    <x v="1"/>
    <x v="0"/>
  </r>
  <r>
    <n v="4379599"/>
    <s v="N190"/>
    <s v="USAD"/>
    <d v="2024-06-03T00:00:00"/>
    <d v="2024-06-03T00:00:00"/>
    <d v="1899-12-30T12:52:40"/>
    <n v="2"/>
    <x v="1"/>
    <d v="2024-06-05T00:00:00"/>
    <s v="D+4"/>
    <x v="12"/>
    <n v="4"/>
    <x v="0"/>
    <x v="2"/>
    <s v="NET MASSIVO"/>
    <x v="1"/>
    <x v="0"/>
  </r>
  <r>
    <n v="4379600"/>
    <s v="N190"/>
    <s v="USAD"/>
    <d v="2024-06-03T00:00:00"/>
    <d v="2024-06-03T00:00:00"/>
    <d v="1899-12-30T08:00:00"/>
    <n v="2"/>
    <x v="5"/>
    <d v="2024-06-05T00:00:00"/>
    <s v="D+4"/>
    <x v="12"/>
    <n v="3"/>
    <x v="0"/>
    <x v="2"/>
    <s v="NET MASSIVO"/>
    <x v="1"/>
    <x v="0"/>
  </r>
  <r>
    <n v="4379609"/>
    <s v="N190"/>
    <s v="N190"/>
    <d v="2024-06-03T00:00:00"/>
    <d v="2024-06-03T00:00:00"/>
    <d v="1899-12-30T18:35:40"/>
    <n v="2"/>
    <x v="5"/>
    <d v="2024-06-05T00:00:00"/>
    <s v="D+4"/>
    <x v="12"/>
    <n v="31"/>
    <x v="0"/>
    <x v="2"/>
    <s v="NET MASSIVO"/>
    <x v="1"/>
    <x v="0"/>
  </r>
  <r>
    <n v="4379610"/>
    <s v="N190"/>
    <s v="USAD"/>
    <d v="2024-06-03T00:00:00"/>
    <d v="2024-06-03T00:00:00"/>
    <d v="1899-12-30T18:36:00"/>
    <n v="2"/>
    <x v="5"/>
    <d v="2024-06-05T00:00:00"/>
    <s v="D+4"/>
    <x v="12"/>
    <n v="3"/>
    <x v="0"/>
    <x v="2"/>
    <s v="NET MASSIVO"/>
    <x v="1"/>
    <x v="0"/>
  </r>
  <r>
    <n v="4379613"/>
    <s v="N190"/>
    <s v="USAD"/>
    <d v="2024-06-03T00:00:00"/>
    <d v="2024-06-03T00:00:00"/>
    <d v="1899-12-30T12:52:50"/>
    <n v="2"/>
    <x v="1"/>
    <d v="2024-06-05T00:00:00"/>
    <s v="D+4"/>
    <x v="12"/>
    <n v="4"/>
    <x v="0"/>
    <x v="2"/>
    <s v="NET MASSIVO"/>
    <x v="1"/>
    <x v="0"/>
  </r>
  <r>
    <n v="4379614"/>
    <s v="N190"/>
    <s v="USAD"/>
    <d v="2024-06-03T00:00:00"/>
    <d v="2024-06-03T00:00:00"/>
    <d v="1899-12-30T18:36:30"/>
    <n v="2"/>
    <x v="3"/>
    <d v="2024-06-05T00:00:00"/>
    <s v="D+4"/>
    <x v="12"/>
    <n v="3"/>
    <x v="0"/>
    <x v="2"/>
    <s v="NET MASSIVO"/>
    <x v="1"/>
    <x v="0"/>
  </r>
  <r>
    <n v="4379617"/>
    <s v="N190"/>
    <s v="N190"/>
    <d v="2024-06-03T00:00:00"/>
    <d v="2024-06-03T00:00:00"/>
    <d v="1899-12-30T12:53:00"/>
    <n v="2"/>
    <x v="1"/>
    <d v="2024-06-05T00:00:00"/>
    <s v="D+4"/>
    <x v="12"/>
    <n v="20"/>
    <x v="0"/>
    <x v="2"/>
    <s v="NET MASSIVO"/>
    <x v="1"/>
    <x v="0"/>
  </r>
  <r>
    <n v="4379619"/>
    <s v="N190"/>
    <s v="UDEI"/>
    <d v="2024-06-03T00:00:00"/>
    <d v="2024-06-03T00:00:00"/>
    <d v="1899-12-30T18:36:50"/>
    <n v="2"/>
    <x v="5"/>
    <d v="2024-06-05T00:00:00"/>
    <s v="D+4"/>
    <x v="12"/>
    <n v="2"/>
    <x v="0"/>
    <x v="2"/>
    <s v="NET MASSIVO"/>
    <x v="1"/>
    <x v="0"/>
  </r>
  <r>
    <n v="4379621"/>
    <s v="N190"/>
    <s v="USAD"/>
    <d v="2024-06-03T00:00:00"/>
    <d v="2024-06-03T00:00:00"/>
    <d v="1899-12-30T18:37:10"/>
    <n v="2"/>
    <x v="1"/>
    <d v="2024-06-05T00:00:00"/>
    <s v="D+4"/>
    <x v="12"/>
    <n v="3"/>
    <x v="0"/>
    <x v="2"/>
    <s v="NET MASSIVO"/>
    <x v="1"/>
    <x v="0"/>
  </r>
  <r>
    <n v="4379623"/>
    <s v="N190"/>
    <s v="USAD"/>
    <d v="2024-06-03T00:00:00"/>
    <d v="2024-06-03T00:00:00"/>
    <d v="1899-12-30T18:37:20"/>
    <n v="2"/>
    <x v="1"/>
    <d v="2024-06-05T00:00:00"/>
    <s v="D+4"/>
    <x v="12"/>
    <n v="3"/>
    <x v="0"/>
    <x v="2"/>
    <s v="NET MASSIVO"/>
    <x v="1"/>
    <x v="0"/>
  </r>
  <r>
    <n v="4379628"/>
    <s v="N190"/>
    <s v="USAD"/>
    <d v="2024-06-03T00:00:00"/>
    <d v="2024-06-03T00:00:00"/>
    <d v="1899-12-30T18:38:00"/>
    <n v="2"/>
    <x v="5"/>
    <d v="2024-06-05T00:00:00"/>
    <s v="D+4"/>
    <x v="12"/>
    <n v="3"/>
    <x v="0"/>
    <x v="2"/>
    <s v="NET MASSIVO"/>
    <x v="1"/>
    <x v="0"/>
  </r>
  <r>
    <n v="4379630"/>
    <s v="N190"/>
    <s v="USAD"/>
    <d v="2024-06-03T00:00:00"/>
    <d v="2024-06-03T00:00:00"/>
    <d v="1899-12-30T18:38:00"/>
    <n v="2"/>
    <x v="1"/>
    <d v="2024-06-05T00:00:00"/>
    <s v="D+4"/>
    <x v="12"/>
    <n v="5"/>
    <x v="0"/>
    <x v="2"/>
    <s v="NET MASSIVO"/>
    <x v="1"/>
    <x v="0"/>
  </r>
  <r>
    <n v="4379632"/>
    <s v="N190"/>
    <s v="USAD"/>
    <d v="2024-06-03T00:00:00"/>
    <d v="2024-06-03T00:00:00"/>
    <d v="1899-12-30T18:38:20"/>
    <n v="2"/>
    <x v="5"/>
    <d v="2024-06-05T00:00:00"/>
    <s v="D+4"/>
    <x v="12"/>
    <n v="1"/>
    <x v="0"/>
    <x v="2"/>
    <s v="NET MASSIVO"/>
    <x v="1"/>
    <x v="0"/>
  </r>
  <r>
    <n v="4379635"/>
    <s v="N190"/>
    <s v="USAD"/>
    <d v="2024-06-03T00:00:00"/>
    <d v="2024-06-03T00:00:00"/>
    <d v="1899-12-30T08:00:00"/>
    <n v="2"/>
    <x v="3"/>
    <d v="2024-06-05T00:00:00"/>
    <s v="D+4"/>
    <x v="12"/>
    <n v="4"/>
    <x v="0"/>
    <x v="2"/>
    <s v="NET MASSIVO"/>
    <x v="1"/>
    <x v="0"/>
  </r>
  <r>
    <n v="4379636"/>
    <s v="N190"/>
    <s v="USAD"/>
    <d v="2024-06-03T00:00:00"/>
    <d v="2024-06-03T00:00:00"/>
    <d v="1899-12-30T18:38:20"/>
    <n v="2"/>
    <x v="1"/>
    <d v="2024-06-05T00:00:00"/>
    <s v="D+4"/>
    <x v="12"/>
    <n v="3"/>
    <x v="0"/>
    <x v="2"/>
    <s v="NET MASSIVO"/>
    <x v="1"/>
    <x v="0"/>
  </r>
  <r>
    <n v="4379650"/>
    <s v="N190"/>
    <s v="N190"/>
    <d v="2024-06-03T00:00:00"/>
    <d v="2024-06-03T00:00:00"/>
    <d v="1899-12-30T08:00:00"/>
    <n v="2"/>
    <x v="3"/>
    <d v="2024-06-05T00:00:00"/>
    <s v="D+4"/>
    <x v="12"/>
    <n v="13"/>
    <x v="0"/>
    <x v="2"/>
    <s v="NET MASSIVO"/>
    <x v="1"/>
    <x v="0"/>
  </r>
  <r>
    <n v="4379651"/>
    <s v="N190"/>
    <s v="USAD"/>
    <d v="2024-06-03T00:00:00"/>
    <d v="2024-06-03T00:00:00"/>
    <d v="1899-12-30T18:39:50"/>
    <n v="2"/>
    <x v="5"/>
    <d v="2024-06-05T00:00:00"/>
    <s v="D+4"/>
    <x v="12"/>
    <n v="5"/>
    <x v="0"/>
    <x v="2"/>
    <s v="NET MASSIVO"/>
    <x v="1"/>
    <x v="0"/>
  </r>
  <r>
    <n v="4379654"/>
    <s v="N190"/>
    <s v="N190"/>
    <d v="2024-06-03T00:00:00"/>
    <d v="2024-06-03T00:00:00"/>
    <d v="1899-12-30T18:40:10"/>
    <n v="2"/>
    <x v="5"/>
    <d v="2024-06-05T00:00:00"/>
    <s v="D+4"/>
    <x v="12"/>
    <n v="12"/>
    <x v="0"/>
    <x v="2"/>
    <s v="NET MASSIVO"/>
    <x v="1"/>
    <x v="0"/>
  </r>
  <r>
    <n v="4379656"/>
    <s v="N190"/>
    <s v="USAD"/>
    <d v="2024-06-03T00:00:00"/>
    <d v="2024-06-03T00:00:00"/>
    <d v="1899-12-30T08:00:00"/>
    <n v="2"/>
    <x v="1"/>
    <d v="2024-06-05T00:00:00"/>
    <s v="D+4"/>
    <x v="12"/>
    <n v="5"/>
    <x v="0"/>
    <x v="2"/>
    <s v="NET MASSIVO"/>
    <x v="1"/>
    <x v="0"/>
  </r>
  <r>
    <n v="4379660"/>
    <s v="N190"/>
    <s v="N190"/>
    <d v="2024-06-03T00:00:00"/>
    <d v="2024-06-03T00:00:00"/>
    <d v="1899-12-30T08:00:00"/>
    <n v="2"/>
    <x v="1"/>
    <d v="2024-06-05T00:00:00"/>
    <s v="D+4"/>
    <x v="12"/>
    <n v="12"/>
    <x v="0"/>
    <x v="2"/>
    <s v="NET MASSIVO"/>
    <x v="1"/>
    <x v="0"/>
  </r>
  <r>
    <n v="4379661"/>
    <s v="N190"/>
    <s v="USAD"/>
    <d v="2024-06-03T00:00:00"/>
    <d v="2024-06-03T00:00:00"/>
    <d v="1899-12-30T18:40:50"/>
    <n v="2"/>
    <x v="5"/>
    <d v="2024-06-05T00:00:00"/>
    <s v="D+4"/>
    <x v="12"/>
    <n v="6"/>
    <x v="0"/>
    <x v="2"/>
    <s v="NET MASSIVO"/>
    <x v="1"/>
    <x v="0"/>
  </r>
  <r>
    <n v="4379668"/>
    <s v="N190"/>
    <s v="USAD"/>
    <d v="2024-06-03T00:00:00"/>
    <d v="2024-06-03T00:00:00"/>
    <d v="1899-12-30T18:41:10"/>
    <n v="2"/>
    <x v="1"/>
    <d v="2024-06-05T00:00:00"/>
    <s v="D+4"/>
    <x v="12"/>
    <n v="5"/>
    <x v="0"/>
    <x v="2"/>
    <s v="NET MASSIVO"/>
    <x v="1"/>
    <x v="0"/>
  </r>
  <r>
    <n v="4379670"/>
    <s v="N190"/>
    <s v="USAD"/>
    <d v="2024-06-03T00:00:00"/>
    <d v="2024-06-03T00:00:00"/>
    <d v="1899-12-30T18:41:30"/>
    <n v="2"/>
    <x v="1"/>
    <d v="2024-06-05T00:00:00"/>
    <s v="D+4"/>
    <x v="12"/>
    <n v="5"/>
    <x v="0"/>
    <x v="2"/>
    <s v="NET MASSIVO"/>
    <x v="1"/>
    <x v="0"/>
  </r>
  <r>
    <n v="4379671"/>
    <s v="N190"/>
    <s v="N190"/>
    <d v="2024-06-03T00:00:00"/>
    <d v="2024-06-03T00:00:00"/>
    <d v="1899-12-30T08:00:00"/>
    <n v="2"/>
    <x v="5"/>
    <d v="2024-06-05T00:00:00"/>
    <s v="D+4"/>
    <x v="12"/>
    <n v="25"/>
    <x v="0"/>
    <x v="2"/>
    <s v="NET MASSIVO"/>
    <x v="1"/>
    <x v="0"/>
  </r>
  <r>
    <n v="4379672"/>
    <s v="N190"/>
    <s v="USAD"/>
    <d v="2024-06-03T00:00:00"/>
    <d v="2024-06-03T00:00:00"/>
    <d v="1899-12-30T18:41:30"/>
    <n v="2"/>
    <x v="3"/>
    <d v="2024-06-05T00:00:00"/>
    <s v="D+4"/>
    <x v="12"/>
    <n v="5"/>
    <x v="0"/>
    <x v="2"/>
    <s v="NET MASSIVO"/>
    <x v="1"/>
    <x v="0"/>
  </r>
  <r>
    <n v="4379673"/>
    <s v="N190"/>
    <s v="N190"/>
    <d v="2024-06-03T00:00:00"/>
    <d v="2024-06-03T00:00:00"/>
    <d v="1899-12-30T08:00:00"/>
    <n v="2"/>
    <x v="1"/>
    <d v="2024-06-05T00:00:00"/>
    <s v="D+4"/>
    <x v="12"/>
    <n v="18"/>
    <x v="0"/>
    <x v="2"/>
    <s v="NET MASSIVO"/>
    <x v="1"/>
    <x v="0"/>
  </r>
  <r>
    <n v="4379677"/>
    <s v="N190"/>
    <s v="USAD"/>
    <d v="2024-06-03T00:00:00"/>
    <d v="2024-06-03T00:00:00"/>
    <d v="1899-12-30T08:00:00"/>
    <n v="2"/>
    <x v="1"/>
    <d v="2024-06-05T00:00:00"/>
    <s v="D+4"/>
    <x v="12"/>
    <n v="6"/>
    <x v="0"/>
    <x v="2"/>
    <s v="NET MASSIVO"/>
    <x v="1"/>
    <x v="0"/>
  </r>
  <r>
    <n v="4379678"/>
    <s v="N190"/>
    <s v="USAD"/>
    <d v="2024-06-03T00:00:00"/>
    <d v="2024-06-03T00:00:00"/>
    <d v="1899-12-30T18:42:00"/>
    <n v="2"/>
    <x v="5"/>
    <d v="2024-06-05T00:00:00"/>
    <s v="D+4"/>
    <x v="12"/>
    <n v="5"/>
    <x v="0"/>
    <x v="2"/>
    <s v="NET MASSIVO"/>
    <x v="1"/>
    <x v="0"/>
  </r>
  <r>
    <n v="4379681"/>
    <s v="N190"/>
    <s v="N190"/>
    <d v="2024-06-03T00:00:00"/>
    <d v="2024-06-03T00:00:00"/>
    <d v="1899-12-30T12:55:10"/>
    <n v="2"/>
    <x v="5"/>
    <d v="2024-06-05T00:00:00"/>
    <s v="D+4"/>
    <x v="12"/>
    <n v="15"/>
    <x v="0"/>
    <x v="2"/>
    <s v="NET MASSIVO"/>
    <x v="1"/>
    <x v="0"/>
  </r>
  <r>
    <n v="4379682"/>
    <s v="N190"/>
    <s v="USAD"/>
    <d v="2024-06-03T00:00:00"/>
    <d v="2024-06-03T00:00:00"/>
    <d v="1899-12-30T18:42:20"/>
    <n v="2"/>
    <x v="5"/>
    <d v="2024-06-05T00:00:00"/>
    <s v="D+4"/>
    <x v="12"/>
    <n v="4"/>
    <x v="0"/>
    <x v="2"/>
    <s v="NET MASSIVO"/>
    <x v="1"/>
    <x v="0"/>
  </r>
  <r>
    <n v="4379683"/>
    <s v="N190"/>
    <s v="N190"/>
    <d v="2024-06-03T00:00:00"/>
    <d v="2024-06-03T00:00:00"/>
    <d v="1899-12-30T08:00:00"/>
    <n v="2"/>
    <x v="5"/>
    <d v="2024-06-05T00:00:00"/>
    <s v="D+4"/>
    <x v="12"/>
    <n v="27"/>
    <x v="0"/>
    <x v="2"/>
    <s v="NET MASSIVO"/>
    <x v="1"/>
    <x v="0"/>
  </r>
  <r>
    <n v="4379684"/>
    <s v="N190"/>
    <s v="USAD"/>
    <d v="2024-06-03T00:00:00"/>
    <d v="2024-06-03T00:00:00"/>
    <d v="1899-12-30T18:42:20"/>
    <n v="2"/>
    <x v="5"/>
    <d v="2024-06-05T00:00:00"/>
    <s v="D+4"/>
    <x v="12"/>
    <n v="4"/>
    <x v="0"/>
    <x v="2"/>
    <s v="NET MASSIVO"/>
    <x v="1"/>
    <x v="0"/>
  </r>
  <r>
    <n v="4379686"/>
    <s v="N190"/>
    <s v="USAD"/>
    <d v="2024-06-03T00:00:00"/>
    <d v="2024-06-03T00:00:00"/>
    <d v="1899-12-30T18:42:40"/>
    <n v="2"/>
    <x v="5"/>
    <d v="2024-06-05T00:00:00"/>
    <s v="D+4"/>
    <x v="12"/>
    <n v="3"/>
    <x v="0"/>
    <x v="2"/>
    <s v="NET MASSIVO"/>
    <x v="1"/>
    <x v="0"/>
  </r>
  <r>
    <n v="4379688"/>
    <s v="N190"/>
    <s v="USAD"/>
    <d v="2024-06-03T00:00:00"/>
    <d v="2024-06-03T00:00:00"/>
    <d v="1899-12-30T18:42:50"/>
    <n v="2"/>
    <x v="1"/>
    <d v="2024-06-05T00:00:00"/>
    <s v="D+4"/>
    <x v="12"/>
    <n v="4"/>
    <x v="0"/>
    <x v="2"/>
    <s v="NET MASSIVO"/>
    <x v="1"/>
    <x v="0"/>
  </r>
  <r>
    <n v="4379690"/>
    <s v="N190"/>
    <s v="USAD"/>
    <d v="2024-06-03T00:00:00"/>
    <d v="2024-06-03T00:00:00"/>
    <d v="1899-12-30T08:00:00"/>
    <n v="2"/>
    <x v="3"/>
    <d v="2024-06-05T00:00:00"/>
    <s v="D+4"/>
    <x v="12"/>
    <n v="4"/>
    <x v="0"/>
    <x v="2"/>
    <s v="NET MASSIVO"/>
    <x v="1"/>
    <x v="0"/>
  </r>
  <r>
    <n v="4379692"/>
    <s v="N190"/>
    <s v="USAD"/>
    <d v="2024-06-03T00:00:00"/>
    <d v="2024-06-03T00:00:00"/>
    <d v="1899-12-30T08:00:00"/>
    <n v="2"/>
    <x v="1"/>
    <d v="2024-06-05T00:00:00"/>
    <s v="D+4"/>
    <x v="12"/>
    <n v="2"/>
    <x v="0"/>
    <x v="2"/>
    <s v="NET MASSIVO"/>
    <x v="1"/>
    <x v="0"/>
  </r>
  <r>
    <n v="4379694"/>
    <s v="N190"/>
    <s v="USAD"/>
    <d v="2024-06-03T00:00:00"/>
    <d v="2024-06-03T00:00:00"/>
    <d v="1899-12-30T08:00:00"/>
    <n v="2"/>
    <x v="3"/>
    <d v="2024-06-05T00:00:00"/>
    <s v="D+4"/>
    <x v="12"/>
    <n v="2"/>
    <x v="0"/>
    <x v="2"/>
    <s v="NET MASSIVO"/>
    <x v="1"/>
    <x v="0"/>
  </r>
  <r>
    <n v="4379701"/>
    <s v="N190"/>
    <s v="USAD"/>
    <d v="2024-06-03T00:00:00"/>
    <d v="2024-06-03T00:00:00"/>
    <d v="1899-12-30T08:00:00"/>
    <n v="2"/>
    <x v="1"/>
    <d v="2024-06-05T00:00:00"/>
    <s v="D+4"/>
    <x v="12"/>
    <n v="3"/>
    <x v="0"/>
    <x v="2"/>
    <s v="NET MASSIVO"/>
    <x v="1"/>
    <x v="0"/>
  </r>
  <r>
    <n v="4379712"/>
    <s v="N190"/>
    <s v="UDEI"/>
    <d v="2024-06-03T00:00:00"/>
    <d v="2024-06-03T00:00:00"/>
    <d v="1899-12-30T08:00:00"/>
    <n v="2"/>
    <x v="1"/>
    <d v="2024-06-05T00:00:00"/>
    <s v="D+4"/>
    <x v="12"/>
    <n v="1"/>
    <x v="0"/>
    <x v="2"/>
    <s v="NET MASSIVO"/>
    <x v="1"/>
    <x v="0"/>
  </r>
  <r>
    <n v="4379718"/>
    <s v="N190"/>
    <s v="USAD"/>
    <d v="2024-06-03T00:00:00"/>
    <d v="2024-06-03T00:00:00"/>
    <d v="1899-12-30T08:00:00"/>
    <n v="2"/>
    <x v="1"/>
    <d v="2024-06-05T00:00:00"/>
    <s v="D+4"/>
    <x v="12"/>
    <n v="4"/>
    <x v="0"/>
    <x v="2"/>
    <s v="NET MASSIVO"/>
    <x v="1"/>
    <x v="0"/>
  </r>
  <r>
    <n v="4379723"/>
    <s v="N190"/>
    <s v="USAD"/>
    <d v="2024-06-03T00:00:00"/>
    <d v="2024-06-03T00:00:00"/>
    <d v="1899-12-30T08:00:00"/>
    <n v="2"/>
    <x v="5"/>
    <d v="2024-06-05T00:00:00"/>
    <s v="D+4"/>
    <x v="12"/>
    <n v="5"/>
    <x v="0"/>
    <x v="2"/>
    <s v="NET MASSIVO"/>
    <x v="1"/>
    <x v="0"/>
  </r>
  <r>
    <n v="4379728"/>
    <s v="N190"/>
    <s v="USAD"/>
    <d v="2024-06-03T00:00:00"/>
    <d v="2024-06-03T00:00:00"/>
    <d v="1899-12-30T08:00:00"/>
    <n v="2"/>
    <x v="1"/>
    <d v="2024-06-05T00:00:00"/>
    <s v="D+4"/>
    <x v="12"/>
    <n v="2"/>
    <x v="0"/>
    <x v="2"/>
    <s v="NET MASSIVO"/>
    <x v="1"/>
    <x v="0"/>
  </r>
  <r>
    <n v="4379729"/>
    <s v="N190"/>
    <s v="USAD"/>
    <d v="2024-06-03T00:00:00"/>
    <d v="2024-06-03T00:00:00"/>
    <d v="1899-12-30T18:48:00"/>
    <n v="2"/>
    <x v="1"/>
    <d v="2024-06-05T00:00:00"/>
    <s v="D+4"/>
    <x v="12"/>
    <n v="3"/>
    <x v="0"/>
    <x v="2"/>
    <s v="NET MASSIVO"/>
    <x v="1"/>
    <x v="0"/>
  </r>
  <r>
    <n v="4379733"/>
    <s v="N190"/>
    <s v="USAD"/>
    <d v="2024-06-03T00:00:00"/>
    <d v="2024-06-03T00:00:00"/>
    <d v="1899-12-30T08:00:00"/>
    <n v="2"/>
    <x v="5"/>
    <d v="2024-06-05T00:00:00"/>
    <s v="D+4"/>
    <x v="12"/>
    <n v="4"/>
    <x v="0"/>
    <x v="2"/>
    <s v="NET MASSIVO"/>
    <x v="1"/>
    <x v="0"/>
  </r>
  <r>
    <n v="4379753"/>
    <s v="N190"/>
    <s v="USAD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79836"/>
    <s v="N190"/>
    <s v="N190"/>
    <d v="2024-06-04T00:00:00"/>
    <d v="2024-06-04T00:00:00"/>
    <d v="1899-12-30T10:42:10"/>
    <n v="2"/>
    <x v="6"/>
    <d v="2024-06-06T00:00:00"/>
    <s v="D+3"/>
    <x v="13"/>
    <n v="2"/>
    <x v="0"/>
    <x v="2"/>
    <s v="NET MASSIVO"/>
    <x v="1"/>
    <x v="0"/>
  </r>
  <r>
    <n v="4380056"/>
    <s v="N190"/>
    <s v="N190"/>
    <d v="2024-06-04T00:00:00"/>
    <d v="2024-06-04T00:00:00"/>
    <d v="1899-12-30T14:12:10"/>
    <n v="2"/>
    <x v="4"/>
    <d v="2024-06-06T00:00:00"/>
    <s v="D+3"/>
    <x v="13"/>
    <n v="1"/>
    <x v="0"/>
    <x v="2"/>
    <s v="NET MASSIVO"/>
    <x v="1"/>
    <x v="0"/>
  </r>
  <r>
    <n v="4380117"/>
    <s v="N190"/>
    <s v="N190"/>
    <d v="2024-06-04T00:00:00"/>
    <d v="2024-06-04T00:00:00"/>
    <d v="1899-12-30T08:00:00"/>
    <n v="2"/>
    <x v="7"/>
    <d v="2024-06-06T00:00:00"/>
    <s v="D+3"/>
    <x v="13"/>
    <n v="1"/>
    <x v="0"/>
    <x v="2"/>
    <s v="NET MASSIVO"/>
    <x v="1"/>
    <x v="0"/>
  </r>
  <r>
    <n v="4380372"/>
    <s v="N190"/>
    <s v="N190"/>
    <d v="2024-06-04T00:00:00"/>
    <d v="2024-06-04T00:00:00"/>
    <d v="1899-12-30T16:12:20"/>
    <n v="2"/>
    <x v="4"/>
    <d v="2024-06-06T00:00:00"/>
    <s v="D+3"/>
    <x v="13"/>
    <n v="1"/>
    <x v="0"/>
    <x v="2"/>
    <s v="NET MASSIVO"/>
    <x v="1"/>
    <x v="0"/>
  </r>
  <r>
    <n v="4380495"/>
    <s v="N190"/>
    <s v="N190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0563"/>
    <s v="N190"/>
    <s v="UDEI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0564"/>
    <s v="N190"/>
    <s v="UDEI"/>
    <d v="2024-06-04T00:00:00"/>
    <d v="2024-06-04T00:00:00"/>
    <d v="1899-12-30T08:00:00"/>
    <n v="2"/>
    <x v="5"/>
    <d v="2024-06-06T00:00:00"/>
    <s v="D+3"/>
    <x v="13"/>
    <n v="1"/>
    <x v="0"/>
    <x v="2"/>
    <s v="NET MASSIVO"/>
    <x v="1"/>
    <x v="0"/>
  </r>
  <r>
    <n v="4380769"/>
    <s v="N190"/>
    <s v="N190"/>
    <d v="2024-06-04T00:00:00"/>
    <d v="2024-06-04T00:00:00"/>
    <d v="1899-12-30T19:51:40"/>
    <n v="2"/>
    <x v="4"/>
    <d v="2024-06-06T00:00:00"/>
    <s v="D+3"/>
    <x v="13"/>
    <n v="14"/>
    <x v="0"/>
    <x v="2"/>
    <s v="NET MASSIVO"/>
    <x v="1"/>
    <x v="0"/>
  </r>
  <r>
    <n v="4380770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0771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0772"/>
    <s v="N190"/>
    <s v="USAD"/>
    <d v="2024-06-04T00:00:00"/>
    <d v="2024-06-04T00:00:00"/>
    <d v="1899-12-30T08:00:00"/>
    <n v="2"/>
    <x v="4"/>
    <d v="2024-06-06T00:00:00"/>
    <s v="D+3"/>
    <x v="13"/>
    <n v="4"/>
    <x v="0"/>
    <x v="2"/>
    <s v="NET MASSIVO"/>
    <x v="1"/>
    <x v="0"/>
  </r>
  <r>
    <n v="4380773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0774"/>
    <s v="N190"/>
    <s v="USAD"/>
    <d v="2024-06-04T00:00:00"/>
    <d v="2024-06-04T00:00:00"/>
    <d v="1899-12-30T08:00:00"/>
    <n v="2"/>
    <x v="4"/>
    <d v="2024-06-06T00:00:00"/>
    <s v="D+3"/>
    <x v="13"/>
    <n v="5"/>
    <x v="0"/>
    <x v="2"/>
    <s v="NET MASSIVO"/>
    <x v="1"/>
    <x v="0"/>
  </r>
  <r>
    <n v="4380775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0776"/>
    <s v="N190"/>
    <s v="USAD"/>
    <d v="2024-06-04T00:00:00"/>
    <d v="2024-06-04T00:00:00"/>
    <d v="1899-12-30T08:00:00"/>
    <n v="2"/>
    <x v="4"/>
    <d v="2024-06-06T00:00:00"/>
    <s v="D+3"/>
    <x v="13"/>
    <n v="4"/>
    <x v="0"/>
    <x v="2"/>
    <s v="NET MASSIVO"/>
    <x v="1"/>
    <x v="0"/>
  </r>
  <r>
    <n v="4380779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0780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062"/>
    <s v="N190"/>
    <s v="USAD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063"/>
    <s v="N190"/>
    <s v="USAD"/>
    <d v="2024-06-04T00:00:00"/>
    <d v="2024-06-04T00:00:00"/>
    <d v="1899-12-30T19:53:00"/>
    <n v="2"/>
    <x v="4"/>
    <d v="2024-06-06T00:00:00"/>
    <s v="D+3"/>
    <x v="13"/>
    <n v="2"/>
    <x v="0"/>
    <x v="2"/>
    <s v="NET MASSIVO"/>
    <x v="1"/>
    <x v="0"/>
  </r>
  <r>
    <n v="4381064"/>
    <s v="N190"/>
    <s v="USAD"/>
    <d v="2024-06-04T00:00:00"/>
    <d v="2024-06-04T00:00:00"/>
    <d v="1899-12-30T19:53:00"/>
    <n v="2"/>
    <x v="4"/>
    <d v="2024-06-06T00:00:00"/>
    <s v="D+3"/>
    <x v="13"/>
    <n v="3"/>
    <x v="0"/>
    <x v="2"/>
    <s v="NET MASSIVO"/>
    <x v="1"/>
    <x v="0"/>
  </r>
  <r>
    <n v="4381065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066"/>
    <s v="N190"/>
    <s v="USAD"/>
    <d v="2024-06-04T00:00:00"/>
    <d v="2024-06-04T00:00:00"/>
    <d v="1899-12-30T19:53:20"/>
    <n v="2"/>
    <x v="4"/>
    <d v="2024-06-06T00:00:00"/>
    <s v="D+3"/>
    <x v="13"/>
    <n v="3"/>
    <x v="0"/>
    <x v="2"/>
    <s v="NET MASSIVO"/>
    <x v="1"/>
    <x v="0"/>
  </r>
  <r>
    <n v="4381067"/>
    <s v="N190"/>
    <s v="USAD"/>
    <d v="2024-06-04T00:00:00"/>
    <d v="2024-06-04T00:00:00"/>
    <d v="1899-12-30T19:53:20"/>
    <n v="2"/>
    <x v="6"/>
    <d v="2024-06-06T00:00:00"/>
    <s v="D+3"/>
    <x v="13"/>
    <n v="4"/>
    <x v="0"/>
    <x v="2"/>
    <s v="NET MASSIVO"/>
    <x v="1"/>
    <x v="0"/>
  </r>
  <r>
    <n v="4381068"/>
    <s v="N190"/>
    <s v="USAD"/>
    <d v="2024-06-04T00:00:00"/>
    <d v="2024-06-04T00:00:00"/>
    <d v="1899-12-30T19:53:30"/>
    <n v="2"/>
    <x v="4"/>
    <d v="2024-06-06T00:00:00"/>
    <s v="D+3"/>
    <x v="13"/>
    <n v="6"/>
    <x v="0"/>
    <x v="2"/>
    <s v="NET MASSIVO"/>
    <x v="1"/>
    <x v="0"/>
  </r>
  <r>
    <n v="4381069"/>
    <s v="N190"/>
    <s v="USAD"/>
    <d v="2024-06-04T00:00:00"/>
    <d v="2024-06-04T00:00:00"/>
    <d v="1899-12-30T08:00:00"/>
    <n v="2"/>
    <x v="6"/>
    <d v="2024-06-06T00:00:00"/>
    <s v="D+3"/>
    <x v="13"/>
    <n v="5"/>
    <x v="0"/>
    <x v="2"/>
    <s v="NET MASSIVO"/>
    <x v="1"/>
    <x v="0"/>
  </r>
  <r>
    <n v="4381071"/>
    <s v="N190"/>
    <s v="USAD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072"/>
    <s v="N190"/>
    <s v="USAD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073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074"/>
    <s v="N190"/>
    <s v="N190"/>
    <d v="2024-06-04T00:00:00"/>
    <d v="2024-06-04T00:00:00"/>
    <d v="1899-12-30T08:00:00"/>
    <n v="2"/>
    <x v="6"/>
    <d v="2024-06-06T00:00:00"/>
    <s v="D+3"/>
    <x v="13"/>
    <n v="20"/>
    <x v="0"/>
    <x v="2"/>
    <s v="NET MASSIVO"/>
    <x v="1"/>
    <x v="0"/>
  </r>
  <r>
    <n v="4381075"/>
    <s v="N190"/>
    <s v="N190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076"/>
    <s v="N190"/>
    <s v="N190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077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078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080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081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082"/>
    <s v="N190"/>
    <s v="USAD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083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084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085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086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087"/>
    <s v="N190"/>
    <s v="USAD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088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089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090"/>
    <s v="N190"/>
    <s v="USAD"/>
    <d v="2024-06-04T00:00:00"/>
    <d v="2024-06-04T00:00:00"/>
    <d v="1899-12-30T19:55:40"/>
    <n v="2"/>
    <x v="6"/>
    <d v="2024-06-06T00:00:00"/>
    <s v="D+3"/>
    <x v="13"/>
    <n v="3"/>
    <x v="0"/>
    <x v="2"/>
    <s v="NET MASSIVO"/>
    <x v="1"/>
    <x v="0"/>
  </r>
  <r>
    <n v="4381091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092"/>
    <s v="N190"/>
    <s v="USAD"/>
    <d v="2024-06-04T00:00:00"/>
    <d v="2024-06-04T00:00:00"/>
    <d v="1899-12-30T19:56:10"/>
    <n v="2"/>
    <x v="6"/>
    <d v="2024-06-06T00:00:00"/>
    <s v="D+3"/>
    <x v="13"/>
    <n v="3"/>
    <x v="0"/>
    <x v="2"/>
    <s v="NET MASSIVO"/>
    <x v="1"/>
    <x v="0"/>
  </r>
  <r>
    <n v="4381094"/>
    <s v="N190"/>
    <s v="USAD"/>
    <d v="2024-06-04T00:00:00"/>
    <d v="2024-06-04T00:00:00"/>
    <d v="1899-12-30T19:56:10"/>
    <n v="2"/>
    <x v="6"/>
    <d v="2024-06-06T00:00:00"/>
    <s v="D+3"/>
    <x v="13"/>
    <n v="6"/>
    <x v="0"/>
    <x v="2"/>
    <s v="NET MASSIVO"/>
    <x v="1"/>
    <x v="0"/>
  </r>
  <r>
    <n v="4381095"/>
    <s v="N190"/>
    <s v="USAD"/>
    <d v="2024-06-04T00:00:00"/>
    <d v="2024-06-04T00:00:00"/>
    <d v="1899-12-30T19:56:20"/>
    <n v="2"/>
    <x v="6"/>
    <d v="2024-06-06T00:00:00"/>
    <s v="D+3"/>
    <x v="13"/>
    <n v="5"/>
    <x v="0"/>
    <x v="2"/>
    <s v="NET MASSIVO"/>
    <x v="1"/>
    <x v="0"/>
  </r>
  <r>
    <n v="4381100"/>
    <s v="N190"/>
    <s v="N190"/>
    <d v="2024-06-04T00:00:00"/>
    <d v="2024-06-04T00:00:00"/>
    <d v="1899-12-30T19:56:40"/>
    <n v="2"/>
    <x v="6"/>
    <d v="2024-06-06T00:00:00"/>
    <s v="D+3"/>
    <x v="13"/>
    <n v="1"/>
    <x v="0"/>
    <x v="2"/>
    <s v="NET MASSIVO"/>
    <x v="1"/>
    <x v="0"/>
  </r>
  <r>
    <n v="4381101"/>
    <s v="N190"/>
    <s v="USAD"/>
    <d v="2024-06-04T00:00:00"/>
    <d v="2024-06-04T00:00:00"/>
    <d v="1899-12-30T19:56:50"/>
    <n v="2"/>
    <x v="4"/>
    <d v="2024-06-06T00:00:00"/>
    <s v="D+3"/>
    <x v="13"/>
    <n v="3"/>
    <x v="0"/>
    <x v="2"/>
    <s v="NET MASSIVO"/>
    <x v="1"/>
    <x v="0"/>
  </r>
  <r>
    <n v="4381102"/>
    <s v="N190"/>
    <s v="USAD"/>
    <d v="2024-06-04T00:00:00"/>
    <d v="2024-06-04T00:00:00"/>
    <d v="1899-12-30T19:56:50"/>
    <n v="2"/>
    <x v="6"/>
    <d v="2024-06-06T00:00:00"/>
    <s v="D+3"/>
    <x v="13"/>
    <n v="3"/>
    <x v="0"/>
    <x v="2"/>
    <s v="NET MASSIVO"/>
    <x v="1"/>
    <x v="0"/>
  </r>
  <r>
    <n v="4381103"/>
    <s v="N190"/>
    <s v="USAD"/>
    <d v="2024-06-04T00:00:00"/>
    <d v="2024-06-04T00:00:00"/>
    <d v="1899-12-30T19:57:00"/>
    <n v="2"/>
    <x v="4"/>
    <d v="2024-06-06T00:00:00"/>
    <s v="D+3"/>
    <x v="13"/>
    <n v="2"/>
    <x v="0"/>
    <x v="2"/>
    <s v="NET MASSIVO"/>
    <x v="1"/>
    <x v="0"/>
  </r>
  <r>
    <n v="4381104"/>
    <s v="N190"/>
    <s v="USAD"/>
    <d v="2024-06-04T00:00:00"/>
    <d v="2024-06-04T00:00:00"/>
    <d v="1899-12-30T19:57:10"/>
    <n v="2"/>
    <x v="4"/>
    <d v="2024-06-06T00:00:00"/>
    <s v="D+3"/>
    <x v="13"/>
    <n v="5"/>
    <x v="0"/>
    <x v="2"/>
    <s v="NET MASSIVO"/>
    <x v="1"/>
    <x v="0"/>
  </r>
  <r>
    <n v="4381106"/>
    <s v="N190"/>
    <s v="USAD"/>
    <d v="2024-06-04T00:00:00"/>
    <d v="2024-06-04T00:00:00"/>
    <d v="1899-12-30T19:57:30"/>
    <n v="2"/>
    <x v="6"/>
    <d v="2024-06-06T00:00:00"/>
    <s v="D+3"/>
    <x v="13"/>
    <n v="3"/>
    <x v="0"/>
    <x v="2"/>
    <s v="NET MASSIVO"/>
    <x v="1"/>
    <x v="0"/>
  </r>
  <r>
    <n v="4381107"/>
    <s v="N190"/>
    <s v="USAD"/>
    <d v="2024-06-04T00:00:00"/>
    <d v="2024-06-04T00:00:00"/>
    <d v="1899-12-30T19:57:30"/>
    <n v="2"/>
    <x v="6"/>
    <d v="2024-06-06T00:00:00"/>
    <s v="D+3"/>
    <x v="13"/>
    <n v="3"/>
    <x v="0"/>
    <x v="2"/>
    <s v="NET MASSIVO"/>
    <x v="1"/>
    <x v="0"/>
  </r>
  <r>
    <n v="4381109"/>
    <s v="N190"/>
    <s v="USAD"/>
    <d v="2024-06-04T00:00:00"/>
    <d v="2024-06-04T00:00:00"/>
    <d v="1899-12-30T19:58:00"/>
    <n v="2"/>
    <x v="6"/>
    <d v="2024-06-06T00:00:00"/>
    <s v="D+3"/>
    <x v="13"/>
    <n v="4"/>
    <x v="0"/>
    <x v="2"/>
    <s v="NET MASSIVO"/>
    <x v="1"/>
    <x v="0"/>
  </r>
  <r>
    <n v="4381110"/>
    <s v="N190"/>
    <s v="USAD"/>
    <d v="2024-06-04T00:00:00"/>
    <d v="2024-06-04T00:00:00"/>
    <d v="1899-12-30T19:58:10"/>
    <n v="2"/>
    <x v="4"/>
    <d v="2024-06-06T00:00:00"/>
    <s v="D+3"/>
    <x v="13"/>
    <n v="3"/>
    <x v="0"/>
    <x v="2"/>
    <s v="NET MASSIVO"/>
    <x v="1"/>
    <x v="0"/>
  </r>
  <r>
    <n v="4381111"/>
    <s v="N190"/>
    <s v="USAD"/>
    <d v="2024-06-04T00:00:00"/>
    <d v="2024-06-04T00:00:00"/>
    <d v="1899-12-30T19:58:10"/>
    <n v="2"/>
    <x v="6"/>
    <d v="2024-06-06T00:00:00"/>
    <s v="D+3"/>
    <x v="13"/>
    <n v="3"/>
    <x v="0"/>
    <x v="2"/>
    <s v="NET MASSIVO"/>
    <x v="1"/>
    <x v="0"/>
  </r>
  <r>
    <n v="4381112"/>
    <s v="N190"/>
    <s v="N190"/>
    <d v="2024-06-04T00:00:00"/>
    <d v="2024-06-04T00:00:00"/>
    <d v="1899-12-30T19:58:20"/>
    <n v="2"/>
    <x v="4"/>
    <d v="2024-06-06T00:00:00"/>
    <s v="D+3"/>
    <x v="13"/>
    <n v="4"/>
    <x v="0"/>
    <x v="2"/>
    <s v="NET MASSIVO"/>
    <x v="1"/>
    <x v="0"/>
  </r>
  <r>
    <n v="4381113"/>
    <s v="N190"/>
    <s v="USAD"/>
    <d v="2024-06-04T00:00:00"/>
    <d v="2024-06-04T00:00:00"/>
    <d v="1899-12-30T19:58:30"/>
    <n v="2"/>
    <x v="6"/>
    <d v="2024-06-06T00:00:00"/>
    <s v="D+3"/>
    <x v="13"/>
    <n v="3"/>
    <x v="0"/>
    <x v="2"/>
    <s v="NET MASSIVO"/>
    <x v="1"/>
    <x v="0"/>
  </r>
  <r>
    <n v="4381116"/>
    <s v="N190"/>
    <s v="USAD"/>
    <d v="2024-06-04T00:00:00"/>
    <d v="2024-06-04T00:00:00"/>
    <d v="1899-12-30T19:58:50"/>
    <n v="2"/>
    <x v="6"/>
    <d v="2024-06-06T00:00:00"/>
    <s v="D+3"/>
    <x v="13"/>
    <n v="3"/>
    <x v="0"/>
    <x v="2"/>
    <s v="NET MASSIVO"/>
    <x v="1"/>
    <x v="0"/>
  </r>
  <r>
    <n v="4381117"/>
    <s v="N190"/>
    <s v="USAD"/>
    <d v="2024-06-04T00:00:00"/>
    <d v="2024-06-04T00:00:00"/>
    <d v="1899-12-30T19:58:50"/>
    <n v="2"/>
    <x v="6"/>
    <d v="2024-06-06T00:00:00"/>
    <s v="D+3"/>
    <x v="13"/>
    <n v="5"/>
    <x v="0"/>
    <x v="2"/>
    <s v="NET MASSIVO"/>
    <x v="1"/>
    <x v="0"/>
  </r>
  <r>
    <n v="4381118"/>
    <s v="N190"/>
    <s v="USAD"/>
    <d v="2024-06-04T00:00:00"/>
    <d v="2024-06-04T00:00:00"/>
    <d v="1899-12-30T19:59:00"/>
    <n v="2"/>
    <x v="4"/>
    <d v="2024-06-06T00:00:00"/>
    <s v="D+3"/>
    <x v="13"/>
    <n v="2"/>
    <x v="0"/>
    <x v="2"/>
    <s v="NET MASSIVO"/>
    <x v="1"/>
    <x v="0"/>
  </r>
  <r>
    <n v="4381120"/>
    <s v="N190"/>
    <s v="USAD"/>
    <d v="2024-06-04T00:00:00"/>
    <d v="2024-06-04T00:00:00"/>
    <d v="1899-12-30T19:59:10"/>
    <n v="2"/>
    <x v="6"/>
    <d v="2024-06-06T00:00:00"/>
    <s v="D+3"/>
    <x v="13"/>
    <n v="3"/>
    <x v="0"/>
    <x v="2"/>
    <s v="NET MASSIVO"/>
    <x v="1"/>
    <x v="0"/>
  </r>
  <r>
    <n v="4381121"/>
    <s v="N190"/>
    <s v="USAD"/>
    <d v="2024-06-04T00:00:00"/>
    <d v="2024-06-04T00:00:00"/>
    <d v="1899-12-30T19:59:20"/>
    <n v="2"/>
    <x v="6"/>
    <d v="2024-06-06T00:00:00"/>
    <s v="D+3"/>
    <x v="13"/>
    <n v="2"/>
    <x v="0"/>
    <x v="2"/>
    <s v="NET MASSIVO"/>
    <x v="1"/>
    <x v="0"/>
  </r>
  <r>
    <n v="4381123"/>
    <s v="N190"/>
    <s v="USAD"/>
    <d v="2024-06-04T00:00:00"/>
    <d v="2024-06-04T00:00:00"/>
    <d v="1899-12-30T19:59:30"/>
    <n v="2"/>
    <x v="6"/>
    <d v="2024-06-06T00:00:00"/>
    <s v="D+3"/>
    <x v="13"/>
    <n v="2"/>
    <x v="0"/>
    <x v="2"/>
    <s v="NET MASSIVO"/>
    <x v="1"/>
    <x v="0"/>
  </r>
  <r>
    <n v="4381124"/>
    <s v="N190"/>
    <s v="USAD"/>
    <d v="2024-06-04T00:00:00"/>
    <d v="2024-06-04T00:00:00"/>
    <d v="1899-12-30T19:59:40"/>
    <n v="2"/>
    <x v="6"/>
    <d v="2024-06-06T00:00:00"/>
    <s v="D+3"/>
    <x v="13"/>
    <n v="4"/>
    <x v="0"/>
    <x v="2"/>
    <s v="NET MASSIVO"/>
    <x v="1"/>
    <x v="0"/>
  </r>
  <r>
    <n v="4381125"/>
    <s v="N190"/>
    <s v="USAD"/>
    <d v="2024-06-04T00:00:00"/>
    <d v="2024-06-04T00:00:00"/>
    <d v="1899-12-30T19:59:50"/>
    <n v="2"/>
    <x v="6"/>
    <d v="2024-06-06T00:00:00"/>
    <s v="D+3"/>
    <x v="13"/>
    <n v="3"/>
    <x v="0"/>
    <x v="2"/>
    <s v="NET MASSIVO"/>
    <x v="1"/>
    <x v="0"/>
  </r>
  <r>
    <n v="4381126"/>
    <s v="N190"/>
    <s v="USAD"/>
    <d v="2024-06-04T00:00:00"/>
    <d v="2024-06-04T00:00:00"/>
    <d v="1899-12-30T19:59:50"/>
    <n v="2"/>
    <x v="6"/>
    <d v="2024-06-06T00:00:00"/>
    <s v="D+3"/>
    <x v="13"/>
    <n v="5"/>
    <x v="0"/>
    <x v="2"/>
    <s v="NET MASSIVO"/>
    <x v="1"/>
    <x v="0"/>
  </r>
  <r>
    <n v="4381127"/>
    <s v="N190"/>
    <s v="USAD"/>
    <d v="2024-06-04T00:00:00"/>
    <d v="2024-06-04T00:00:00"/>
    <d v="1899-12-30T20:00:00"/>
    <n v="2"/>
    <x v="6"/>
    <d v="2024-06-06T00:00:00"/>
    <s v="D+3"/>
    <x v="13"/>
    <n v="2"/>
    <x v="0"/>
    <x v="2"/>
    <s v="NET MASSIVO"/>
    <x v="1"/>
    <x v="0"/>
  </r>
  <r>
    <n v="4381128"/>
    <s v="N190"/>
    <s v="USAD"/>
    <d v="2024-06-04T00:00:00"/>
    <d v="2024-06-04T00:00:00"/>
    <d v="1899-12-30T20:00:10"/>
    <n v="2"/>
    <x v="6"/>
    <d v="2024-06-06T00:00:00"/>
    <s v="D+3"/>
    <x v="13"/>
    <n v="3"/>
    <x v="0"/>
    <x v="2"/>
    <s v="NET MASSIVO"/>
    <x v="1"/>
    <x v="0"/>
  </r>
  <r>
    <n v="4381129"/>
    <s v="N190"/>
    <s v="USAD"/>
    <d v="2024-06-04T00:00:00"/>
    <d v="2024-06-04T00:00:00"/>
    <d v="1899-12-30T20:00:10"/>
    <n v="2"/>
    <x v="6"/>
    <d v="2024-06-06T00:00:00"/>
    <s v="D+3"/>
    <x v="13"/>
    <n v="2"/>
    <x v="0"/>
    <x v="2"/>
    <s v="NET MASSIVO"/>
    <x v="1"/>
    <x v="0"/>
  </r>
  <r>
    <n v="4381130"/>
    <s v="N190"/>
    <s v="USAD"/>
    <d v="2024-06-04T00:00:00"/>
    <d v="2024-06-04T00:00:00"/>
    <d v="1899-12-30T20:00:20"/>
    <n v="2"/>
    <x v="6"/>
    <d v="2024-06-06T00:00:00"/>
    <s v="D+3"/>
    <x v="13"/>
    <n v="3"/>
    <x v="0"/>
    <x v="2"/>
    <s v="NET MASSIVO"/>
    <x v="1"/>
    <x v="0"/>
  </r>
  <r>
    <n v="4381133"/>
    <s v="N190"/>
    <s v="USAD"/>
    <d v="2024-06-04T00:00:00"/>
    <d v="2024-06-04T00:00:00"/>
    <d v="1899-12-30T20:00:40"/>
    <n v="2"/>
    <x v="6"/>
    <d v="2024-06-06T00:00:00"/>
    <s v="D+3"/>
    <x v="13"/>
    <n v="3"/>
    <x v="0"/>
    <x v="2"/>
    <s v="NET MASSIVO"/>
    <x v="1"/>
    <x v="0"/>
  </r>
  <r>
    <n v="4381134"/>
    <s v="N190"/>
    <s v="USAD"/>
    <d v="2024-06-04T00:00:00"/>
    <d v="2024-06-04T00:00:00"/>
    <d v="1899-12-30T20:00:50"/>
    <n v="2"/>
    <x v="6"/>
    <d v="2024-06-06T00:00:00"/>
    <s v="D+3"/>
    <x v="13"/>
    <n v="3"/>
    <x v="0"/>
    <x v="2"/>
    <s v="NET MASSIVO"/>
    <x v="1"/>
    <x v="0"/>
  </r>
  <r>
    <n v="4381135"/>
    <s v="N190"/>
    <s v="USAD"/>
    <d v="2024-06-04T00:00:00"/>
    <d v="2024-06-04T00:00:00"/>
    <d v="1899-12-30T20:01:00"/>
    <n v="2"/>
    <x v="6"/>
    <d v="2024-06-06T00:00:00"/>
    <s v="D+3"/>
    <x v="13"/>
    <n v="3"/>
    <x v="0"/>
    <x v="2"/>
    <s v="NET MASSIVO"/>
    <x v="1"/>
    <x v="0"/>
  </r>
  <r>
    <n v="4381136"/>
    <s v="N190"/>
    <s v="USAD"/>
    <d v="2024-06-04T00:00:00"/>
    <d v="2024-06-04T00:00:00"/>
    <d v="1899-12-30T20:01:10"/>
    <n v="2"/>
    <x v="6"/>
    <d v="2024-06-06T00:00:00"/>
    <s v="D+3"/>
    <x v="13"/>
    <n v="4"/>
    <x v="0"/>
    <x v="2"/>
    <s v="NET MASSIVO"/>
    <x v="1"/>
    <x v="0"/>
  </r>
  <r>
    <n v="4381137"/>
    <s v="N190"/>
    <s v="USAD"/>
    <d v="2024-06-04T00:00:00"/>
    <d v="2024-06-04T00:00:00"/>
    <d v="1899-12-30T20:01:20"/>
    <n v="2"/>
    <x v="4"/>
    <d v="2024-06-06T00:00:00"/>
    <s v="D+3"/>
    <x v="13"/>
    <n v="24"/>
    <x v="0"/>
    <x v="2"/>
    <s v="NET MASSIVO"/>
    <x v="1"/>
    <x v="0"/>
  </r>
  <r>
    <n v="4381138"/>
    <s v="N190"/>
    <s v="USAD"/>
    <d v="2024-06-04T00:00:00"/>
    <d v="2024-06-04T00:00:00"/>
    <d v="1899-12-30T20:01:40"/>
    <n v="2"/>
    <x v="4"/>
    <d v="2024-06-06T00:00:00"/>
    <s v="D+3"/>
    <x v="13"/>
    <n v="2"/>
    <x v="0"/>
    <x v="2"/>
    <s v="NET MASSIVO"/>
    <x v="1"/>
    <x v="0"/>
  </r>
  <r>
    <n v="4381139"/>
    <s v="N190"/>
    <s v="USAD"/>
    <d v="2024-06-04T00:00:00"/>
    <d v="2024-06-04T00:00:00"/>
    <d v="1899-12-30T20:01:40"/>
    <n v="2"/>
    <x v="6"/>
    <d v="2024-06-06T00:00:00"/>
    <s v="D+3"/>
    <x v="13"/>
    <n v="2"/>
    <x v="0"/>
    <x v="2"/>
    <s v="NET MASSIVO"/>
    <x v="1"/>
    <x v="0"/>
  </r>
  <r>
    <n v="4381140"/>
    <s v="N190"/>
    <s v="USAD"/>
    <d v="2024-06-04T00:00:00"/>
    <d v="2024-06-04T00:00:00"/>
    <d v="1899-12-30T20:01:50"/>
    <n v="2"/>
    <x v="6"/>
    <d v="2024-06-06T00:00:00"/>
    <s v="D+3"/>
    <x v="13"/>
    <n v="3"/>
    <x v="0"/>
    <x v="2"/>
    <s v="NET MASSIVO"/>
    <x v="1"/>
    <x v="0"/>
  </r>
  <r>
    <n v="4381141"/>
    <s v="N190"/>
    <s v="USAD"/>
    <d v="2024-06-04T00:00:00"/>
    <d v="2024-06-04T00:00:00"/>
    <d v="1899-12-30T20:02:00"/>
    <n v="2"/>
    <x v="4"/>
    <d v="2024-06-06T00:00:00"/>
    <s v="D+3"/>
    <x v="13"/>
    <n v="3"/>
    <x v="0"/>
    <x v="2"/>
    <s v="NET MASSIVO"/>
    <x v="1"/>
    <x v="0"/>
  </r>
  <r>
    <n v="4381142"/>
    <s v="N190"/>
    <s v="USAD"/>
    <d v="2024-06-04T00:00:00"/>
    <d v="2024-06-04T00:00:00"/>
    <d v="1899-12-30T20:02:00"/>
    <n v="2"/>
    <x v="4"/>
    <d v="2024-06-06T00:00:00"/>
    <s v="D+3"/>
    <x v="13"/>
    <n v="26"/>
    <x v="0"/>
    <x v="2"/>
    <s v="NET MASSIVO"/>
    <x v="1"/>
    <x v="0"/>
  </r>
  <r>
    <n v="4381143"/>
    <s v="N190"/>
    <s v="USAD"/>
    <d v="2024-06-04T00:00:00"/>
    <d v="2024-06-04T00:00:00"/>
    <d v="1899-12-30T20:02:30"/>
    <n v="2"/>
    <x v="4"/>
    <d v="2024-06-06T00:00:00"/>
    <s v="D+3"/>
    <x v="13"/>
    <n v="3"/>
    <x v="0"/>
    <x v="2"/>
    <s v="NET MASSIVO"/>
    <x v="1"/>
    <x v="0"/>
  </r>
  <r>
    <n v="4381144"/>
    <s v="N190"/>
    <s v="USAD"/>
    <d v="2024-06-04T00:00:00"/>
    <d v="2024-06-04T00:00:00"/>
    <d v="1899-12-30T20:02:30"/>
    <n v="2"/>
    <x v="6"/>
    <d v="2024-06-06T00:00:00"/>
    <s v="D+3"/>
    <x v="13"/>
    <n v="3"/>
    <x v="0"/>
    <x v="2"/>
    <s v="NET MASSIVO"/>
    <x v="1"/>
    <x v="0"/>
  </r>
  <r>
    <n v="4381145"/>
    <s v="N190"/>
    <s v="USAD"/>
    <d v="2024-06-04T00:00:00"/>
    <d v="2024-06-04T00:00:00"/>
    <d v="1899-12-30T20:02:40"/>
    <n v="2"/>
    <x v="6"/>
    <d v="2024-06-06T00:00:00"/>
    <s v="D+3"/>
    <x v="13"/>
    <n v="5"/>
    <x v="0"/>
    <x v="2"/>
    <s v="NET MASSIVO"/>
    <x v="1"/>
    <x v="0"/>
  </r>
  <r>
    <n v="4381146"/>
    <s v="N190"/>
    <s v="USAD"/>
    <d v="2024-06-04T00:00:00"/>
    <d v="2024-06-04T00:00:00"/>
    <d v="1899-12-30T20:02:50"/>
    <n v="2"/>
    <x v="6"/>
    <d v="2024-06-06T00:00:00"/>
    <s v="D+3"/>
    <x v="13"/>
    <n v="2"/>
    <x v="0"/>
    <x v="2"/>
    <s v="NET MASSIVO"/>
    <x v="1"/>
    <x v="0"/>
  </r>
  <r>
    <n v="4381147"/>
    <s v="N190"/>
    <s v="USAD"/>
    <d v="2024-06-04T00:00:00"/>
    <d v="2024-06-04T00:00:00"/>
    <d v="1899-12-30T08:00:00"/>
    <n v="2"/>
    <x v="4"/>
    <d v="2024-06-06T00:00:00"/>
    <s v="D+3"/>
    <x v="13"/>
    <n v="12"/>
    <x v="0"/>
    <x v="2"/>
    <s v="NET MASSIVO"/>
    <x v="1"/>
    <x v="0"/>
  </r>
  <r>
    <n v="4381148"/>
    <s v="N190"/>
    <s v="N190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149"/>
    <s v="N190"/>
    <s v="N190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150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151"/>
    <s v="N190"/>
    <s v="USAD"/>
    <d v="2024-06-04T00:00:00"/>
    <d v="2024-06-04T00:00:00"/>
    <d v="1899-12-30T08:00:00"/>
    <n v="2"/>
    <x v="4"/>
    <d v="2024-06-06T00:00:00"/>
    <s v="D+3"/>
    <x v="13"/>
    <n v="4"/>
    <x v="0"/>
    <x v="2"/>
    <s v="NET MASSIVO"/>
    <x v="1"/>
    <x v="0"/>
  </r>
  <r>
    <n v="4381152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53"/>
    <s v="N190"/>
    <s v="N190"/>
    <d v="2024-06-04T00:00:00"/>
    <d v="2024-06-04T00:00:00"/>
    <d v="1899-12-30T08:00:00"/>
    <n v="2"/>
    <x v="4"/>
    <d v="2024-06-06T00:00:00"/>
    <s v="D+3"/>
    <x v="13"/>
    <n v="1"/>
    <x v="0"/>
    <x v="2"/>
    <s v="NET MASSIVO"/>
    <x v="1"/>
    <x v="0"/>
  </r>
  <r>
    <n v="4381154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55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56"/>
    <s v="N190"/>
    <s v="N190"/>
    <d v="2024-06-04T00:00:00"/>
    <d v="2024-06-04T00:00:00"/>
    <d v="1899-12-30T08:00:00"/>
    <n v="2"/>
    <x v="4"/>
    <d v="2024-06-06T00:00:00"/>
    <s v="D+3"/>
    <x v="13"/>
    <n v="4"/>
    <x v="0"/>
    <x v="2"/>
    <s v="NET MASSIVO"/>
    <x v="1"/>
    <x v="0"/>
  </r>
  <r>
    <n v="4381157"/>
    <s v="N190"/>
    <s v="USAD"/>
    <d v="2024-06-04T00:00:00"/>
    <d v="2024-06-04T00:00:00"/>
    <d v="1899-12-30T08:00:00"/>
    <n v="2"/>
    <x v="4"/>
    <d v="2024-06-06T00:00:00"/>
    <s v="D+3"/>
    <x v="13"/>
    <n v="6"/>
    <x v="0"/>
    <x v="2"/>
    <s v="NET MASSIVO"/>
    <x v="1"/>
    <x v="0"/>
  </r>
  <r>
    <n v="4381158"/>
    <s v="N190"/>
    <s v="USAD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159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60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161"/>
    <s v="N190"/>
    <s v="USAD"/>
    <d v="2024-06-04T00:00:00"/>
    <d v="2024-06-04T00:00:00"/>
    <d v="1899-12-30T08:00:00"/>
    <n v="2"/>
    <x v="4"/>
    <d v="2024-06-06T00:00:00"/>
    <s v="D+3"/>
    <x v="13"/>
    <n v="4"/>
    <x v="0"/>
    <x v="2"/>
    <s v="NET MASSIVO"/>
    <x v="1"/>
    <x v="0"/>
  </r>
  <r>
    <n v="4381162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63"/>
    <s v="N190"/>
    <s v="N190"/>
    <d v="2024-06-04T00:00:00"/>
    <d v="2024-06-04T00:00:00"/>
    <d v="1899-12-30T20:04:40"/>
    <n v="2"/>
    <x v="4"/>
    <d v="2024-06-06T00:00:00"/>
    <s v="D+3"/>
    <x v="13"/>
    <n v="3"/>
    <x v="0"/>
    <x v="2"/>
    <s v="NET MASSIVO"/>
    <x v="1"/>
    <x v="0"/>
  </r>
  <r>
    <n v="4381164"/>
    <s v="N190"/>
    <s v="N190"/>
    <d v="2024-06-04T00:00:00"/>
    <d v="2024-06-04T00:00:00"/>
    <d v="1899-12-30T08:00:00"/>
    <n v="2"/>
    <x v="6"/>
    <d v="2024-06-06T00:00:00"/>
    <s v="D+3"/>
    <x v="13"/>
    <n v="1"/>
    <x v="0"/>
    <x v="2"/>
    <s v="NET MASSIVO"/>
    <x v="1"/>
    <x v="0"/>
  </r>
  <r>
    <n v="4381165"/>
    <s v="N190"/>
    <s v="N190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166"/>
    <s v="N190"/>
    <s v="USAD"/>
    <d v="2024-06-04T00:00:00"/>
    <d v="2024-06-04T00:00:00"/>
    <d v="1899-12-30T08:00:00"/>
    <n v="2"/>
    <x v="4"/>
    <d v="2024-06-06T00:00:00"/>
    <s v="D+3"/>
    <x v="13"/>
    <n v="3"/>
    <x v="0"/>
    <x v="2"/>
    <s v="NET MASSIVO"/>
    <x v="1"/>
    <x v="0"/>
  </r>
  <r>
    <n v="4381167"/>
    <s v="N190"/>
    <s v="N190"/>
    <d v="2024-06-04T00:00:00"/>
    <d v="2024-06-04T00:00:00"/>
    <d v="1899-12-30T08:00:00"/>
    <n v="2"/>
    <x v="4"/>
    <d v="2024-06-06T00:00:00"/>
    <s v="D+3"/>
    <x v="13"/>
    <n v="5"/>
    <x v="0"/>
    <x v="2"/>
    <s v="NET MASSIVO"/>
    <x v="1"/>
    <x v="0"/>
  </r>
  <r>
    <n v="4381168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69"/>
    <s v="N190"/>
    <s v="N190"/>
    <d v="2024-06-04T00:00:00"/>
    <d v="2024-06-04T00:00:00"/>
    <d v="1899-12-30T08:00:00"/>
    <n v="2"/>
    <x v="5"/>
    <d v="2024-06-06T00:00:00"/>
    <s v="D+3"/>
    <x v="13"/>
    <n v="16"/>
    <x v="0"/>
    <x v="2"/>
    <s v="NET MASSIVO"/>
    <x v="1"/>
    <x v="0"/>
  </r>
  <r>
    <n v="4381170"/>
    <s v="N190"/>
    <s v="USAD"/>
    <d v="2024-06-04T00:00:00"/>
    <d v="2024-06-04T00:00:00"/>
    <d v="1899-12-30T08:00:00"/>
    <n v="2"/>
    <x v="4"/>
    <d v="2024-06-06T00:00:00"/>
    <s v="D+3"/>
    <x v="13"/>
    <n v="19"/>
    <x v="0"/>
    <x v="2"/>
    <s v="NET MASSIVO"/>
    <x v="1"/>
    <x v="0"/>
  </r>
  <r>
    <n v="4381171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172"/>
    <s v="N190"/>
    <s v="N190"/>
    <d v="2024-06-04T00:00:00"/>
    <d v="2024-06-04T00:00:00"/>
    <d v="1899-12-30T20:06:10"/>
    <n v="2"/>
    <x v="6"/>
    <d v="2024-06-06T00:00:00"/>
    <s v="D+3"/>
    <x v="13"/>
    <n v="1"/>
    <x v="0"/>
    <x v="2"/>
    <s v="NET MASSIVO"/>
    <x v="1"/>
    <x v="0"/>
  </r>
  <r>
    <n v="4381173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74"/>
    <s v="N190"/>
    <s v="USAD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175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176"/>
    <s v="N190"/>
    <s v="N190"/>
    <d v="2024-06-04T00:00:00"/>
    <d v="2024-06-04T00:00:00"/>
    <d v="1899-12-30T08:00:00"/>
    <n v="2"/>
    <x v="6"/>
    <d v="2024-06-06T00:00:00"/>
    <s v="D+3"/>
    <x v="13"/>
    <n v="3"/>
    <x v="0"/>
    <x v="2"/>
    <s v="NET MASSIVO"/>
    <x v="1"/>
    <x v="0"/>
  </r>
  <r>
    <n v="4381177"/>
    <s v="N190"/>
    <s v="USAD"/>
    <d v="2024-06-04T00:00:00"/>
    <d v="2024-06-04T00:00:00"/>
    <d v="1899-12-30T20:06:40"/>
    <n v="2"/>
    <x v="6"/>
    <d v="2024-06-06T00:00:00"/>
    <s v="D+3"/>
    <x v="13"/>
    <n v="2"/>
    <x v="0"/>
    <x v="2"/>
    <s v="NET MASSIVO"/>
    <x v="1"/>
    <x v="0"/>
  </r>
  <r>
    <n v="4381178"/>
    <s v="N190"/>
    <s v="USAD"/>
    <d v="2024-06-04T00:00:00"/>
    <d v="2024-06-04T00:00:00"/>
    <d v="1899-12-30T08:00:00"/>
    <n v="2"/>
    <x v="4"/>
    <d v="2024-06-06T00:00:00"/>
    <s v="D+3"/>
    <x v="13"/>
    <n v="19"/>
    <x v="0"/>
    <x v="2"/>
    <s v="NET MASSIVO"/>
    <x v="1"/>
    <x v="0"/>
  </r>
  <r>
    <n v="4381179"/>
    <s v="N190"/>
    <s v="USAD"/>
    <d v="2024-06-04T00:00:00"/>
    <d v="2024-06-04T00:00:00"/>
    <d v="1899-12-30T20:07:00"/>
    <n v="2"/>
    <x v="6"/>
    <d v="2024-06-06T00:00:00"/>
    <s v="D+3"/>
    <x v="13"/>
    <n v="4"/>
    <x v="0"/>
    <x v="2"/>
    <s v="NET MASSIVO"/>
    <x v="1"/>
    <x v="0"/>
  </r>
  <r>
    <n v="4381180"/>
    <s v="N190"/>
    <s v="USAD"/>
    <d v="2024-06-04T00:00:00"/>
    <d v="2024-06-04T00:00:00"/>
    <d v="1899-12-30T20:07:10"/>
    <n v="2"/>
    <x v="4"/>
    <d v="2024-06-06T00:00:00"/>
    <s v="D+3"/>
    <x v="13"/>
    <n v="3"/>
    <x v="0"/>
    <x v="2"/>
    <s v="NET MASSIVO"/>
    <x v="1"/>
    <x v="0"/>
  </r>
  <r>
    <n v="4381181"/>
    <s v="N190"/>
    <s v="USAD"/>
    <d v="2024-06-04T00:00:00"/>
    <d v="2024-06-04T00:00:00"/>
    <d v="1899-12-30T08:00:00"/>
    <n v="2"/>
    <x v="4"/>
    <d v="2024-06-06T00:00:00"/>
    <s v="D+3"/>
    <x v="13"/>
    <n v="2"/>
    <x v="0"/>
    <x v="2"/>
    <s v="NET MASSIVO"/>
    <x v="1"/>
    <x v="0"/>
  </r>
  <r>
    <n v="4381182"/>
    <s v="N190"/>
    <s v="N190"/>
    <d v="2024-06-04T00:00:00"/>
    <d v="2024-06-04T00:00:00"/>
    <d v="1899-12-30T20:07:20"/>
    <n v="2"/>
    <x v="6"/>
    <d v="2024-06-06T00:00:00"/>
    <s v="D+3"/>
    <x v="13"/>
    <n v="1"/>
    <x v="0"/>
    <x v="2"/>
    <s v="NET MASSIVO"/>
    <x v="1"/>
    <x v="0"/>
  </r>
  <r>
    <n v="4381183"/>
    <s v="N190"/>
    <s v="USAD"/>
    <d v="2024-06-04T00:00:00"/>
    <d v="2024-06-04T00:00:00"/>
    <d v="1899-12-30T08:00:00"/>
    <n v="2"/>
    <x v="6"/>
    <d v="2024-06-06T00:00:00"/>
    <s v="D+3"/>
    <x v="13"/>
    <n v="2"/>
    <x v="0"/>
    <x v="2"/>
    <s v="NET MASSIVO"/>
    <x v="1"/>
    <x v="0"/>
  </r>
  <r>
    <n v="4381005"/>
    <s v="N190"/>
    <s v="N190"/>
    <d v="2024-06-05T00:00:00"/>
    <d v="2024-06-05T00:00:00"/>
    <d v="1899-12-30T09:52:20"/>
    <n v="2"/>
    <x v="7"/>
    <d v="2024-06-07T00:00:00"/>
    <s v="D+2"/>
    <x v="14"/>
    <n v="1"/>
    <x v="0"/>
    <x v="0"/>
    <s v="NET MASSIVO"/>
    <x v="1"/>
    <x v="0"/>
  </r>
  <r>
    <n v="4381012"/>
    <s v="N190"/>
    <s v="N190"/>
    <d v="2024-06-05T00:00:00"/>
    <d v="2024-06-05T00:00:00"/>
    <d v="1899-12-30T10:22:20"/>
    <n v="2"/>
    <x v="7"/>
    <d v="2024-06-07T00:00:00"/>
    <s v="D+2"/>
    <x v="14"/>
    <n v="3"/>
    <x v="0"/>
    <x v="0"/>
    <s v="NET MASSIVO"/>
    <x v="1"/>
    <x v="0"/>
  </r>
  <r>
    <n v="4381015"/>
    <s v="N190"/>
    <s v="N190"/>
    <d v="2024-06-05T00:00:00"/>
    <d v="2024-06-05T00:00:00"/>
    <d v="1899-12-30T10:42:20"/>
    <n v="2"/>
    <x v="7"/>
    <d v="2024-06-07T00:00:00"/>
    <s v="D+2"/>
    <x v="14"/>
    <n v="2"/>
    <x v="0"/>
    <x v="0"/>
    <s v="NET MASSIVO"/>
    <x v="1"/>
    <x v="0"/>
  </r>
  <r>
    <n v="4381019"/>
    <s v="N190"/>
    <s v="N190"/>
    <d v="2024-06-05T00:00:00"/>
    <d v="2024-06-05T00:00:00"/>
    <d v="1899-12-30T08:00:00"/>
    <n v="2"/>
    <x v="7"/>
    <d v="2024-06-07T00:00:00"/>
    <s v="D+2"/>
    <x v="14"/>
    <n v="4"/>
    <x v="0"/>
    <x v="0"/>
    <s v="NET MASSIVO"/>
    <x v="1"/>
    <x v="0"/>
  </r>
  <r>
    <n v="4381188"/>
    <s v="N190"/>
    <s v="N190"/>
    <d v="2024-06-05T00:00:00"/>
    <d v="2024-06-05T00:00:00"/>
    <d v="1899-12-30T08:12:00"/>
    <n v="2"/>
    <x v="7"/>
    <d v="2024-06-07T00:00:00"/>
    <s v="D+2"/>
    <x v="14"/>
    <n v="5"/>
    <x v="0"/>
    <x v="0"/>
    <s v="NET MASSIVO"/>
    <x v="1"/>
    <x v="0"/>
  </r>
  <r>
    <n v="4381190"/>
    <s v="N190"/>
    <s v="N190"/>
    <d v="2024-06-05T00:00:00"/>
    <d v="2024-06-05T00:00:00"/>
    <d v="1899-12-30T08:31:50"/>
    <n v="2"/>
    <x v="7"/>
    <d v="2024-06-07T00:00:00"/>
    <s v="D+2"/>
    <x v="14"/>
    <n v="2"/>
    <x v="0"/>
    <x v="0"/>
    <s v="NET MASSIVO"/>
    <x v="1"/>
    <x v="0"/>
  </r>
  <r>
    <n v="4381192"/>
    <s v="N190"/>
    <s v="N190"/>
    <d v="2024-06-05T00:00:00"/>
    <d v="2024-06-05T00:00:00"/>
    <d v="1899-12-30T08:52:00"/>
    <n v="2"/>
    <x v="7"/>
    <d v="2024-06-07T00:00:00"/>
    <s v="D+2"/>
    <x v="14"/>
    <n v="2"/>
    <x v="0"/>
    <x v="0"/>
    <s v="NET MASSIVO"/>
    <x v="1"/>
    <x v="0"/>
  </r>
  <r>
    <n v="4381195"/>
    <s v="N190"/>
    <s v="N190"/>
    <d v="2024-06-05T00:00:00"/>
    <d v="2024-06-05T00:00:00"/>
    <d v="1899-12-30T08:52:10"/>
    <n v="2"/>
    <x v="7"/>
    <d v="2024-06-07T00:00:00"/>
    <s v="D+2"/>
    <x v="14"/>
    <n v="1"/>
    <x v="0"/>
    <x v="0"/>
    <s v="NET MASSIVO"/>
    <x v="1"/>
    <x v="0"/>
  </r>
  <r>
    <n v="4381303"/>
    <s v="N190"/>
    <s v="N190"/>
    <d v="2024-06-05T00:00:00"/>
    <d v="2024-06-05T00:00:00"/>
    <d v="1899-12-30T09:12:30"/>
    <n v="2"/>
    <x v="7"/>
    <d v="2024-06-07T00:00:00"/>
    <s v="D+2"/>
    <x v="14"/>
    <n v="5"/>
    <x v="0"/>
    <x v="0"/>
    <s v="NET MASSIVO"/>
    <x v="1"/>
    <x v="0"/>
  </r>
  <r>
    <n v="4381370"/>
    <s v="N190"/>
    <s v="N190"/>
    <d v="2024-06-05T00:00:00"/>
    <d v="2024-06-05T00:00:00"/>
    <d v="1899-12-30T11:02:20"/>
    <n v="2"/>
    <x v="7"/>
    <d v="2024-06-07T00:00:00"/>
    <s v="D+2"/>
    <x v="14"/>
    <n v="2"/>
    <x v="0"/>
    <x v="0"/>
    <s v="NET MASSIVO"/>
    <x v="1"/>
    <x v="0"/>
  </r>
  <r>
    <n v="4381697"/>
    <s v="N190"/>
    <s v="USAD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1698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1699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1700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381"/>
    <s v="N190"/>
    <s v="UDEI"/>
    <d v="2024-06-05T00:00:00"/>
    <d v="2024-06-05T00:00:00"/>
    <d v="1899-12-30T08:00:00"/>
    <n v="2"/>
    <x v="7"/>
    <d v="2024-06-07T00:00:00"/>
    <s v="D+2"/>
    <x v="14"/>
    <n v="3"/>
    <x v="0"/>
    <x v="0"/>
    <s v="NET MASSIVO"/>
    <x v="1"/>
    <x v="0"/>
  </r>
  <r>
    <n v="4382382"/>
    <s v="N190"/>
    <s v="N190"/>
    <d v="2024-06-05T00:00:00"/>
    <d v="2024-06-05T00:00:00"/>
    <d v="1899-12-30T19:12:00"/>
    <n v="2"/>
    <x v="7"/>
    <d v="2024-06-07T00:00:00"/>
    <s v="D+2"/>
    <x v="14"/>
    <n v="1"/>
    <x v="0"/>
    <x v="0"/>
    <s v="NET MASSIVO"/>
    <x v="1"/>
    <x v="0"/>
  </r>
  <r>
    <n v="4382383"/>
    <s v="N190"/>
    <s v="UDEI"/>
    <d v="2024-06-05T00:00:00"/>
    <d v="2024-06-05T00:00:00"/>
    <d v="1899-12-30T08:00:00"/>
    <n v="2"/>
    <x v="7"/>
    <d v="2024-06-07T00:00:00"/>
    <s v="D+2"/>
    <x v="14"/>
    <n v="3"/>
    <x v="0"/>
    <x v="0"/>
    <s v="NET MASSIVO"/>
    <x v="1"/>
    <x v="0"/>
  </r>
  <r>
    <n v="4382386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387"/>
    <s v="N190"/>
    <s v="USAD"/>
    <d v="2024-06-05T00:00:00"/>
    <d v="2024-06-05T00:00:00"/>
    <d v="1899-12-30T19:12:20"/>
    <n v="2"/>
    <x v="7"/>
    <d v="2024-06-07T00:00:00"/>
    <s v="D+2"/>
    <x v="14"/>
    <n v="3"/>
    <x v="0"/>
    <x v="0"/>
    <s v="NET MASSIVO"/>
    <x v="1"/>
    <x v="0"/>
  </r>
  <r>
    <n v="4382388"/>
    <s v="N190"/>
    <s v="N190"/>
    <d v="2024-06-05T00:00:00"/>
    <d v="2024-06-05T00:00:00"/>
    <d v="1899-12-30T19:12:30"/>
    <n v="2"/>
    <x v="7"/>
    <d v="2024-06-07T00:00:00"/>
    <s v="D+2"/>
    <x v="14"/>
    <n v="1"/>
    <x v="0"/>
    <x v="0"/>
    <s v="NET MASSIVO"/>
    <x v="1"/>
    <x v="0"/>
  </r>
  <r>
    <n v="4382391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392"/>
    <s v="N190"/>
    <s v="N190"/>
    <d v="2024-06-05T00:00:00"/>
    <d v="2024-06-05T00:00:00"/>
    <d v="1899-12-30T08:00:00"/>
    <n v="2"/>
    <x v="7"/>
    <d v="2024-06-07T00:00:00"/>
    <s v="D+2"/>
    <x v="14"/>
    <n v="5"/>
    <x v="0"/>
    <x v="0"/>
    <s v="NET MASSIVO"/>
    <x v="1"/>
    <x v="0"/>
  </r>
  <r>
    <n v="4382393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394"/>
    <s v="N190"/>
    <s v="N190"/>
    <d v="2024-06-05T00:00:00"/>
    <d v="2024-06-05T00:00:00"/>
    <d v="1899-12-30T08:00:00"/>
    <n v="2"/>
    <x v="7"/>
    <d v="2024-06-07T00:00:00"/>
    <s v="D+2"/>
    <x v="14"/>
    <n v="19"/>
    <x v="0"/>
    <x v="0"/>
    <s v="NET MASSIVO"/>
    <x v="1"/>
    <x v="0"/>
  </r>
  <r>
    <n v="4382395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396"/>
    <s v="N190"/>
    <s v="N190"/>
    <d v="2024-06-05T00:00:00"/>
    <d v="2024-06-05T00:00:00"/>
    <d v="1899-12-30T19:13:10"/>
    <n v="2"/>
    <x v="7"/>
    <d v="2024-06-07T00:00:00"/>
    <s v="D+2"/>
    <x v="14"/>
    <n v="1"/>
    <x v="0"/>
    <x v="0"/>
    <s v="NET MASSIVO"/>
    <x v="1"/>
    <x v="0"/>
  </r>
  <r>
    <n v="4382397"/>
    <s v="N190"/>
    <s v="UDEI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399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00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01"/>
    <s v="N190"/>
    <s v="UDEI"/>
    <d v="2024-06-05T00:00:00"/>
    <d v="2024-06-05T00:00:00"/>
    <d v="1899-12-30T19:13:40"/>
    <n v="2"/>
    <x v="7"/>
    <d v="2024-06-07T00:00:00"/>
    <s v="D+2"/>
    <x v="14"/>
    <n v="2"/>
    <x v="0"/>
    <x v="0"/>
    <s v="NET MASSIVO"/>
    <x v="1"/>
    <x v="0"/>
  </r>
  <r>
    <n v="4382403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04"/>
    <s v="N190"/>
    <s v="UDEI"/>
    <d v="2024-06-05T00:00:00"/>
    <d v="2024-06-05T00:00:00"/>
    <d v="1899-12-30T19:13:50"/>
    <n v="2"/>
    <x v="7"/>
    <d v="2024-06-07T00:00:00"/>
    <s v="D+2"/>
    <x v="14"/>
    <n v="2"/>
    <x v="0"/>
    <x v="0"/>
    <s v="NET MASSIVO"/>
    <x v="1"/>
    <x v="0"/>
  </r>
  <r>
    <n v="4382405"/>
    <s v="N190"/>
    <s v="N190"/>
    <d v="2024-06-05T00:00:00"/>
    <d v="2024-06-05T00:00:00"/>
    <d v="1899-12-30T08:00:00"/>
    <n v="2"/>
    <x v="7"/>
    <d v="2024-06-07T00:00:00"/>
    <s v="D+2"/>
    <x v="14"/>
    <n v="6"/>
    <x v="0"/>
    <x v="0"/>
    <s v="NET MASSIVO"/>
    <x v="1"/>
    <x v="0"/>
  </r>
  <r>
    <n v="4382406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407"/>
    <s v="N190"/>
    <s v="USAD"/>
    <d v="2024-06-05T00:00:00"/>
    <d v="2024-06-05T00:00:00"/>
    <d v="1899-12-30T08:00:00"/>
    <n v="2"/>
    <x v="7"/>
    <d v="2024-06-07T00:00:00"/>
    <s v="D+2"/>
    <x v="14"/>
    <n v="25"/>
    <x v="0"/>
    <x v="0"/>
    <s v="NET MASSIVO"/>
    <x v="1"/>
    <x v="0"/>
  </r>
  <r>
    <n v="4382408"/>
    <s v="N190"/>
    <s v="UDEI"/>
    <d v="2024-06-05T00:00:00"/>
    <d v="2024-06-05T00:00:00"/>
    <d v="1899-12-30T19:14:30"/>
    <n v="2"/>
    <x v="7"/>
    <d v="2024-06-07T00:00:00"/>
    <s v="D+2"/>
    <x v="14"/>
    <n v="1"/>
    <x v="0"/>
    <x v="0"/>
    <s v="NET MASSIVO"/>
    <x v="1"/>
    <x v="0"/>
  </r>
  <r>
    <n v="4382409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10"/>
    <s v="N190"/>
    <s v="N190"/>
    <d v="2024-06-05T00:00:00"/>
    <d v="2024-06-05T00:00:00"/>
    <d v="1899-12-30T08:00:00"/>
    <n v="2"/>
    <x v="7"/>
    <d v="2024-06-07T00:00:00"/>
    <s v="D+2"/>
    <x v="14"/>
    <n v="4"/>
    <x v="0"/>
    <x v="0"/>
    <s v="NET MASSIVO"/>
    <x v="1"/>
    <x v="0"/>
  </r>
  <r>
    <n v="4382411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412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13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14"/>
    <s v="N190"/>
    <s v="N190"/>
    <d v="2024-06-05T00:00:00"/>
    <d v="2024-06-05T00:00:00"/>
    <d v="1899-12-30T08:00:00"/>
    <n v="2"/>
    <x v="7"/>
    <d v="2024-06-07T00:00:00"/>
    <s v="D+2"/>
    <x v="14"/>
    <n v="12"/>
    <x v="0"/>
    <x v="0"/>
    <s v="NET MASSIVO"/>
    <x v="1"/>
    <x v="0"/>
  </r>
  <r>
    <n v="4382415"/>
    <s v="N190"/>
    <s v="UDEI"/>
    <d v="2024-06-05T00:00:00"/>
    <d v="2024-06-05T00:00:00"/>
    <d v="1899-12-30T19:15:10"/>
    <n v="2"/>
    <x v="7"/>
    <d v="2024-06-07T00:00:00"/>
    <s v="D+2"/>
    <x v="14"/>
    <n v="1"/>
    <x v="0"/>
    <x v="0"/>
    <s v="NET MASSIVO"/>
    <x v="1"/>
    <x v="0"/>
  </r>
  <r>
    <n v="4382416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17"/>
    <s v="N190"/>
    <s v="N190"/>
    <d v="2024-06-05T00:00:00"/>
    <d v="2024-06-05T00:00:00"/>
    <d v="1899-12-30T19:15:20"/>
    <n v="2"/>
    <x v="7"/>
    <d v="2024-06-07T00:00:00"/>
    <s v="D+2"/>
    <x v="14"/>
    <n v="2"/>
    <x v="0"/>
    <x v="0"/>
    <s v="NET MASSIVO"/>
    <x v="1"/>
    <x v="0"/>
  </r>
  <r>
    <n v="4382419"/>
    <s v="N190"/>
    <s v="N190"/>
    <d v="2024-06-05T00:00:00"/>
    <d v="2024-06-05T00:00:00"/>
    <d v="1899-12-30T19:15:30"/>
    <n v="2"/>
    <x v="7"/>
    <d v="2024-06-07T00:00:00"/>
    <s v="D+2"/>
    <x v="14"/>
    <n v="1"/>
    <x v="0"/>
    <x v="0"/>
    <s v="NET MASSIVO"/>
    <x v="1"/>
    <x v="0"/>
  </r>
  <r>
    <n v="4382420"/>
    <s v="N190"/>
    <s v="N190"/>
    <d v="2024-06-05T00:00:00"/>
    <d v="2024-06-05T00:00:00"/>
    <d v="1899-12-30T08:00:00"/>
    <n v="2"/>
    <x v="7"/>
    <d v="2024-06-07T00:00:00"/>
    <s v="D+2"/>
    <x v="14"/>
    <n v="2"/>
    <x v="0"/>
    <x v="0"/>
    <s v="NET MASSIVO"/>
    <x v="1"/>
    <x v="0"/>
  </r>
  <r>
    <n v="4382421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22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23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24"/>
    <s v="N190"/>
    <s v="N190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26"/>
    <s v="N190"/>
    <s v="UDEI"/>
    <d v="2024-06-05T00:00:00"/>
    <d v="2024-06-05T00:00:00"/>
    <d v="1899-12-30T08:00:00"/>
    <n v="2"/>
    <x v="7"/>
    <d v="2024-06-07T00:00:00"/>
    <s v="D+2"/>
    <x v="14"/>
    <n v="1"/>
    <x v="0"/>
    <x v="0"/>
    <s v="NET MASSIVO"/>
    <x v="1"/>
    <x v="0"/>
  </r>
  <r>
    <n v="4382427"/>
    <s v="N190"/>
    <s v="USAD"/>
    <d v="2024-06-05T00:00:00"/>
    <d v="2024-06-05T00:00:00"/>
    <d v="1899-12-30T19:16:10"/>
    <n v="2"/>
    <x v="7"/>
    <d v="2024-06-07T00:00:00"/>
    <s v="D+2"/>
    <x v="14"/>
    <n v="5"/>
    <x v="0"/>
    <x v="0"/>
    <s v="NET MASSIVO"/>
    <x v="1"/>
    <x v="0"/>
  </r>
  <r>
    <n v="4382428"/>
    <s v="N190"/>
    <s v="N190"/>
    <d v="2024-06-05T00:00:00"/>
    <d v="2024-06-05T00:00:00"/>
    <d v="1899-12-30T19:16:10"/>
    <n v="2"/>
    <x v="7"/>
    <d v="2024-06-07T00:00:00"/>
    <s v="D+2"/>
    <x v="14"/>
    <n v="1"/>
    <x v="0"/>
    <x v="0"/>
    <s v="NET MASSIVO"/>
    <x v="1"/>
    <x v="0"/>
  </r>
  <r>
    <n v="4382429"/>
    <s v="N190"/>
    <s v="N190"/>
    <d v="2024-06-05T00:00:00"/>
    <d v="2024-06-05T00:00:00"/>
    <d v="1899-12-30T19:16:20"/>
    <n v="2"/>
    <x v="7"/>
    <d v="2024-06-07T00:00:00"/>
    <s v="D+2"/>
    <x v="14"/>
    <n v="14"/>
    <x v="0"/>
    <x v="0"/>
    <s v="NET MASSIVO"/>
    <x v="1"/>
    <x v="0"/>
  </r>
  <r>
    <n v="4382430"/>
    <s v="N190"/>
    <s v="UDEI"/>
    <d v="2024-06-05T00:00:00"/>
    <d v="2024-06-05T00:00:00"/>
    <d v="1899-12-30T19:16:30"/>
    <n v="2"/>
    <x v="7"/>
    <d v="2024-06-07T00:00:00"/>
    <s v="D+2"/>
    <x v="14"/>
    <n v="2"/>
    <x v="0"/>
    <x v="0"/>
    <s v="NET MASSIVO"/>
    <x v="1"/>
    <x v="0"/>
  </r>
  <r>
    <n v="4382431"/>
    <s v="N190"/>
    <s v="N190"/>
    <d v="2024-06-05T00:00:00"/>
    <d v="2024-06-05T00:00:00"/>
    <d v="1899-12-30T19:16:40"/>
    <n v="2"/>
    <x v="7"/>
    <d v="2024-06-07T00:00:00"/>
    <s v="D+2"/>
    <x v="14"/>
    <n v="4"/>
    <x v="0"/>
    <x v="0"/>
    <s v="NET MASSIVO"/>
    <x v="1"/>
    <x v="0"/>
  </r>
  <r>
    <n v="4382432"/>
    <s v="N190"/>
    <s v="UDEI"/>
    <d v="2024-06-05T00:00:00"/>
    <d v="2024-06-05T00:00:00"/>
    <d v="1899-12-30T19:16:50"/>
    <n v="2"/>
    <x v="7"/>
    <d v="2024-06-07T00:00:00"/>
    <s v="D+2"/>
    <x v="14"/>
    <n v="3"/>
    <x v="0"/>
    <x v="0"/>
    <s v="NET MASSIVO"/>
    <x v="1"/>
    <x v="0"/>
  </r>
  <r>
    <n v="4382433"/>
    <s v="N190"/>
    <s v="N190"/>
    <d v="2024-06-05T00:00:00"/>
    <d v="2024-06-05T00:00:00"/>
    <d v="1899-12-30T19:16:50"/>
    <n v="2"/>
    <x v="7"/>
    <d v="2024-06-07T00:00:00"/>
    <s v="D+2"/>
    <x v="14"/>
    <n v="1"/>
    <x v="0"/>
    <x v="0"/>
    <s v="NET MASSIVO"/>
    <x v="1"/>
    <x v="0"/>
  </r>
  <r>
    <n v="4382434"/>
    <s v="N190"/>
    <s v="N190"/>
    <d v="2024-06-05T00:00:00"/>
    <d v="2024-06-05T00:00:00"/>
    <d v="1899-12-30T19:17:00"/>
    <n v="2"/>
    <x v="7"/>
    <d v="2024-06-07T00:00:00"/>
    <s v="D+2"/>
    <x v="14"/>
    <n v="5"/>
    <x v="0"/>
    <x v="0"/>
    <s v="NET MASSIVO"/>
    <x v="1"/>
    <x v="0"/>
  </r>
  <r>
    <n v="4382435"/>
    <s v="N190"/>
    <s v="N190"/>
    <d v="2024-06-05T00:00:00"/>
    <d v="2024-06-05T00:00:00"/>
    <d v="1899-12-30T19:17:10"/>
    <n v="2"/>
    <x v="7"/>
    <d v="2024-06-07T00:00:00"/>
    <s v="D+2"/>
    <x v="14"/>
    <n v="1"/>
    <x v="0"/>
    <x v="0"/>
    <s v="NET MASSIVO"/>
    <x v="1"/>
    <x v="0"/>
  </r>
  <r>
    <n v="4382436"/>
    <s v="N190"/>
    <s v="N190"/>
    <d v="2024-06-05T00:00:00"/>
    <d v="2024-06-05T00:00:00"/>
    <d v="1899-12-30T19:17:10"/>
    <n v="2"/>
    <x v="7"/>
    <d v="2024-06-07T00:00:00"/>
    <s v="D+2"/>
    <x v="14"/>
    <n v="1"/>
    <x v="0"/>
    <x v="0"/>
    <s v="NET MASSIVO"/>
    <x v="1"/>
    <x v="0"/>
  </r>
  <r>
    <n v="4382437"/>
    <s v="N190"/>
    <s v="N190"/>
    <d v="2024-06-05T00:00:00"/>
    <d v="2024-06-05T00:00:00"/>
    <d v="1899-12-30T19:17:20"/>
    <n v="2"/>
    <x v="7"/>
    <d v="2024-06-07T00:00:00"/>
    <s v="D+2"/>
    <x v="14"/>
    <n v="6"/>
    <x v="0"/>
    <x v="0"/>
    <s v="NET MASSIVO"/>
    <x v="1"/>
    <x v="0"/>
  </r>
  <r>
    <n v="4382438"/>
    <s v="N190"/>
    <s v="UDEI"/>
    <d v="2024-06-05T00:00:00"/>
    <d v="2024-06-05T00:00:00"/>
    <d v="1899-12-30T19:17:30"/>
    <n v="2"/>
    <x v="7"/>
    <d v="2024-06-07T00:00:00"/>
    <s v="D+2"/>
    <x v="14"/>
    <n v="2"/>
    <x v="0"/>
    <x v="0"/>
    <s v="NET MASSIVO"/>
    <x v="1"/>
    <x v="0"/>
  </r>
  <r>
    <n v="4382439"/>
    <s v="N190"/>
    <s v="N190"/>
    <d v="2024-06-05T00:00:00"/>
    <d v="2024-06-05T00:00:00"/>
    <d v="1899-12-30T19:17:40"/>
    <n v="2"/>
    <x v="7"/>
    <d v="2024-06-07T00:00:00"/>
    <s v="D+2"/>
    <x v="14"/>
    <n v="1"/>
    <x v="0"/>
    <x v="0"/>
    <s v="NET MASSIVO"/>
    <x v="1"/>
    <x v="0"/>
  </r>
  <r>
    <n v="4382440"/>
    <s v="N190"/>
    <s v="N190"/>
    <d v="2024-06-05T00:00:00"/>
    <d v="2024-06-05T00:00:00"/>
    <d v="1899-12-30T19:17:40"/>
    <n v="2"/>
    <x v="7"/>
    <d v="2024-06-07T00:00:00"/>
    <s v="D+2"/>
    <x v="14"/>
    <n v="19"/>
    <x v="0"/>
    <x v="0"/>
    <s v="NET MASSIVO"/>
    <x v="1"/>
    <x v="0"/>
  </r>
  <r>
    <n v="4382441"/>
    <s v="N190"/>
    <s v="N190"/>
    <d v="2024-06-05T00:00:00"/>
    <d v="2024-06-05T00:00:00"/>
    <d v="1899-12-30T19:18:00"/>
    <n v="2"/>
    <x v="7"/>
    <d v="2024-06-07T00:00:00"/>
    <s v="D+2"/>
    <x v="14"/>
    <n v="2"/>
    <x v="0"/>
    <x v="0"/>
    <s v="NET MASSIVO"/>
    <x v="1"/>
    <x v="0"/>
  </r>
  <r>
    <n v="4382442"/>
    <s v="N190"/>
    <s v="UDEI"/>
    <d v="2024-06-05T00:00:00"/>
    <d v="2024-06-05T00:00:00"/>
    <d v="1899-12-30T19:18:00"/>
    <n v="2"/>
    <x v="7"/>
    <d v="2024-06-07T00:00:00"/>
    <s v="D+2"/>
    <x v="14"/>
    <n v="1"/>
    <x v="0"/>
    <x v="0"/>
    <s v="NET MASSIVO"/>
    <x v="1"/>
    <x v="0"/>
  </r>
  <r>
    <n v="4382443"/>
    <s v="N190"/>
    <s v="N190"/>
    <d v="2024-06-05T00:00:00"/>
    <d v="2024-06-05T00:00:00"/>
    <d v="1899-12-30T19:18:10"/>
    <n v="2"/>
    <x v="7"/>
    <d v="2024-06-07T00:00:00"/>
    <s v="D+2"/>
    <x v="14"/>
    <n v="14"/>
    <x v="0"/>
    <x v="0"/>
    <s v="NET MASSIVO"/>
    <x v="1"/>
    <x v="0"/>
  </r>
  <r>
    <n v="4382444"/>
    <s v="N190"/>
    <s v="N190"/>
    <d v="2024-06-05T00:00:00"/>
    <d v="2024-06-05T00:00:00"/>
    <d v="1899-12-30T19:18:20"/>
    <n v="2"/>
    <x v="7"/>
    <d v="2024-06-07T00:00:00"/>
    <s v="D+2"/>
    <x v="14"/>
    <n v="1"/>
    <x v="0"/>
    <x v="0"/>
    <s v="NET MASSIVO"/>
    <x v="1"/>
    <x v="0"/>
  </r>
  <r>
    <n v="4382445"/>
    <s v="N190"/>
    <s v="N190"/>
    <d v="2024-06-05T00:00:00"/>
    <d v="2024-06-05T00:00:00"/>
    <d v="1899-12-30T19:18:30"/>
    <n v="2"/>
    <x v="7"/>
    <d v="2024-06-07T00:00:00"/>
    <s v="D+2"/>
    <x v="14"/>
    <n v="7"/>
    <x v="0"/>
    <x v="0"/>
    <s v="NET MASSIVO"/>
    <x v="1"/>
    <x v="0"/>
  </r>
  <r>
    <n v="4382446"/>
    <s v="N190"/>
    <s v="N190"/>
    <d v="2024-06-05T00:00:00"/>
    <d v="2024-06-05T00:00:00"/>
    <d v="1899-12-30T19:18:40"/>
    <n v="2"/>
    <x v="7"/>
    <d v="2024-06-07T00:00:00"/>
    <s v="D+2"/>
    <x v="14"/>
    <n v="1"/>
    <x v="0"/>
    <x v="0"/>
    <s v="NET MASSIVO"/>
    <x v="1"/>
    <x v="0"/>
  </r>
  <r>
    <n v="4382447"/>
    <s v="N190"/>
    <s v="N190"/>
    <d v="2024-06-05T00:00:00"/>
    <d v="2024-06-05T00:00:00"/>
    <d v="1899-12-30T19:18:50"/>
    <n v="2"/>
    <x v="7"/>
    <d v="2024-06-07T00:00:00"/>
    <s v="D+2"/>
    <x v="14"/>
    <n v="13"/>
    <x v="0"/>
    <x v="0"/>
    <s v="NET MASSIVO"/>
    <x v="1"/>
    <x v="0"/>
  </r>
  <r>
    <n v="4382448"/>
    <s v="N190"/>
    <s v="N190"/>
    <d v="2024-06-05T00:00:00"/>
    <d v="2024-06-05T00:00:00"/>
    <d v="1899-12-30T19:19:00"/>
    <n v="2"/>
    <x v="7"/>
    <d v="2024-06-07T00:00:00"/>
    <s v="D+2"/>
    <x v="14"/>
    <n v="2"/>
    <x v="0"/>
    <x v="0"/>
    <s v="NET MASSIVO"/>
    <x v="1"/>
    <x v="0"/>
  </r>
  <r>
    <n v="4382449"/>
    <s v="N190"/>
    <s v="N190"/>
    <d v="2024-06-05T00:00:00"/>
    <d v="2024-06-05T00:00:00"/>
    <d v="1899-12-30T19:19:00"/>
    <n v="2"/>
    <x v="7"/>
    <d v="2024-06-07T00:00:00"/>
    <s v="D+2"/>
    <x v="14"/>
    <n v="6"/>
    <x v="0"/>
    <x v="0"/>
    <s v="NET MASSIVO"/>
    <x v="1"/>
    <x v="0"/>
  </r>
  <r>
    <n v="4382450"/>
    <s v="N190"/>
    <s v="N190"/>
    <d v="2024-06-05T00:00:00"/>
    <d v="2024-06-05T00:00:00"/>
    <d v="1899-12-30T19:19:10"/>
    <n v="2"/>
    <x v="7"/>
    <d v="2024-06-07T00:00:00"/>
    <s v="D+2"/>
    <x v="14"/>
    <n v="1"/>
    <x v="0"/>
    <x v="0"/>
    <s v="NET MASSIVO"/>
    <x v="1"/>
    <x v="0"/>
  </r>
  <r>
    <n v="4382451"/>
    <s v="N190"/>
    <s v="N190"/>
    <d v="2024-06-05T00:00:00"/>
    <d v="2024-06-05T00:00:00"/>
    <d v="1899-12-30T19:19:20"/>
    <n v="2"/>
    <x v="7"/>
    <d v="2024-06-07T00:00:00"/>
    <s v="D+2"/>
    <x v="14"/>
    <n v="16"/>
    <x v="0"/>
    <x v="0"/>
    <s v="NET MASSIVO"/>
    <x v="1"/>
    <x v="0"/>
  </r>
  <r>
    <n v="4382452"/>
    <s v="N190"/>
    <s v="UDEI"/>
    <d v="2024-06-05T00:00:00"/>
    <d v="2024-06-05T00:00:00"/>
    <d v="1899-12-30T19:19:30"/>
    <n v="2"/>
    <x v="7"/>
    <d v="2024-06-07T00:00:00"/>
    <s v="D+2"/>
    <x v="14"/>
    <n v="3"/>
    <x v="0"/>
    <x v="0"/>
    <s v="NET MASSIVO"/>
    <x v="1"/>
    <x v="0"/>
  </r>
  <r>
    <n v="4382453"/>
    <s v="N190"/>
    <s v="N190"/>
    <d v="2024-06-05T00:00:00"/>
    <d v="2024-06-05T00:00:00"/>
    <d v="1899-12-30T19:19:40"/>
    <n v="2"/>
    <x v="7"/>
    <d v="2024-06-07T00:00:00"/>
    <s v="D+2"/>
    <x v="14"/>
    <n v="8"/>
    <x v="0"/>
    <x v="0"/>
    <s v="NET MASSIVO"/>
    <x v="1"/>
    <x v="0"/>
  </r>
  <r>
    <n v="4382454"/>
    <s v="N190"/>
    <s v="N190"/>
    <d v="2024-06-05T00:00:00"/>
    <d v="2024-06-05T00:00:00"/>
    <d v="1899-12-30T19:19:50"/>
    <n v="2"/>
    <x v="7"/>
    <d v="2024-06-07T00:00:00"/>
    <s v="D+2"/>
    <x v="14"/>
    <n v="1"/>
    <x v="0"/>
    <x v="0"/>
    <s v="NET MASSIVO"/>
    <x v="1"/>
    <x v="0"/>
  </r>
  <r>
    <n v="4382455"/>
    <s v="N190"/>
    <s v="N190"/>
    <d v="2024-06-05T00:00:00"/>
    <d v="2024-06-05T00:00:00"/>
    <d v="1899-12-30T19:19:50"/>
    <n v="2"/>
    <x v="7"/>
    <d v="2024-06-07T00:00:00"/>
    <s v="D+2"/>
    <x v="14"/>
    <n v="18"/>
    <x v="0"/>
    <x v="0"/>
    <s v="NET MASSIVO"/>
    <x v="1"/>
    <x v="0"/>
  </r>
  <r>
    <n v="4382456"/>
    <s v="N190"/>
    <s v="N190"/>
    <d v="2024-06-05T00:00:00"/>
    <d v="2024-06-05T00:00:00"/>
    <d v="1899-12-30T19:20:10"/>
    <n v="2"/>
    <x v="7"/>
    <d v="2024-06-07T00:00:00"/>
    <s v="D+2"/>
    <x v="14"/>
    <n v="1"/>
    <x v="0"/>
    <x v="0"/>
    <s v="NET MASSIVO"/>
    <x v="1"/>
    <x v="0"/>
  </r>
  <r>
    <n v="4382457"/>
    <s v="N190"/>
    <s v="USAD"/>
    <d v="2024-06-05T00:00:00"/>
    <d v="2024-06-05T00:00:00"/>
    <d v="1899-12-30T19:20:20"/>
    <n v="2"/>
    <x v="7"/>
    <d v="2024-06-07T00:00:00"/>
    <s v="D+2"/>
    <x v="14"/>
    <n v="8"/>
    <x v="0"/>
    <x v="0"/>
    <s v="NET MASSIVO"/>
    <x v="1"/>
    <x v="0"/>
  </r>
  <r>
    <n v="4382458"/>
    <s v="N190"/>
    <s v="N190"/>
    <d v="2024-06-05T00:00:00"/>
    <d v="2024-06-05T00:00:00"/>
    <d v="1899-12-30T19:20:30"/>
    <n v="2"/>
    <x v="7"/>
    <d v="2024-06-07T00:00:00"/>
    <s v="D+2"/>
    <x v="14"/>
    <n v="2"/>
    <x v="0"/>
    <x v="0"/>
    <s v="NET MASSIVO"/>
    <x v="1"/>
    <x v="0"/>
  </r>
  <r>
    <n v="4382459"/>
    <s v="N190"/>
    <s v="USAD"/>
    <d v="2024-06-05T00:00:00"/>
    <d v="2024-06-05T00:00:00"/>
    <d v="1899-12-30T19:20:40"/>
    <n v="2"/>
    <x v="7"/>
    <d v="2024-06-07T00:00:00"/>
    <s v="D+2"/>
    <x v="14"/>
    <n v="4"/>
    <x v="0"/>
    <x v="0"/>
    <s v="NET MASSIVO"/>
    <x v="1"/>
    <x v="0"/>
  </r>
  <r>
    <n v="4382460"/>
    <s v="N190"/>
    <s v="UDEI"/>
    <d v="2024-06-05T00:00:00"/>
    <d v="2024-06-05T00:00:00"/>
    <d v="1899-12-30T19:20:50"/>
    <n v="2"/>
    <x v="7"/>
    <d v="2024-06-07T00:00:00"/>
    <s v="D+2"/>
    <x v="14"/>
    <n v="2"/>
    <x v="0"/>
    <x v="0"/>
    <s v="NET MASSIVO"/>
    <x v="1"/>
    <x v="0"/>
  </r>
  <r>
    <n v="4382461"/>
    <s v="N190"/>
    <s v="N190"/>
    <d v="2024-06-05T00:00:00"/>
    <d v="2024-06-05T00:00:00"/>
    <d v="1899-12-30T19:20:50"/>
    <n v="2"/>
    <x v="7"/>
    <d v="2024-06-07T00:00:00"/>
    <s v="D+2"/>
    <x v="14"/>
    <n v="2"/>
    <x v="0"/>
    <x v="0"/>
    <s v="NET MASSIVO"/>
    <x v="1"/>
    <x v="0"/>
  </r>
  <r>
    <n v="4382462"/>
    <s v="N190"/>
    <s v="UDEI"/>
    <d v="2024-06-05T00:00:00"/>
    <d v="2024-06-05T00:00:00"/>
    <d v="1899-12-30T19:21:00"/>
    <n v="2"/>
    <x v="7"/>
    <d v="2024-06-07T00:00:00"/>
    <s v="D+2"/>
    <x v="14"/>
    <n v="3"/>
    <x v="0"/>
    <x v="0"/>
    <s v="NET MASSIVO"/>
    <x v="1"/>
    <x v="0"/>
  </r>
  <r>
    <n v="4382463"/>
    <s v="N190"/>
    <s v="N190"/>
    <d v="2024-06-05T00:00:00"/>
    <d v="2024-06-05T00:00:00"/>
    <d v="1899-12-30T19:21:10"/>
    <n v="2"/>
    <x v="7"/>
    <d v="2024-06-07T00:00:00"/>
    <s v="D+2"/>
    <x v="14"/>
    <n v="3"/>
    <x v="0"/>
    <x v="0"/>
    <s v="NET MASSIVO"/>
    <x v="1"/>
    <x v="0"/>
  </r>
  <r>
    <n v="4382464"/>
    <s v="N190"/>
    <s v="USAD"/>
    <d v="2024-06-05T00:00:00"/>
    <d v="2024-06-05T00:00:00"/>
    <d v="1899-12-30T19:21:10"/>
    <n v="2"/>
    <x v="7"/>
    <d v="2024-06-07T00:00:00"/>
    <s v="D+2"/>
    <x v="14"/>
    <n v="1"/>
    <x v="0"/>
    <x v="0"/>
    <s v="NET MASSIVO"/>
    <x v="1"/>
    <x v="0"/>
  </r>
  <r>
    <n v="4382465"/>
    <s v="N190"/>
    <s v="USAD"/>
    <d v="2024-06-05T00:00:00"/>
    <d v="2024-06-05T00:00:00"/>
    <d v="1899-12-30T19:21:20"/>
    <n v="2"/>
    <x v="7"/>
    <d v="2024-06-07T00:00:00"/>
    <s v="D+2"/>
    <x v="14"/>
    <n v="14"/>
    <x v="0"/>
    <x v="0"/>
    <s v="NET MASSIVO"/>
    <x v="1"/>
    <x v="0"/>
  </r>
  <r>
    <n v="4382466"/>
    <s v="N190"/>
    <s v="N190"/>
    <d v="2024-06-05T00:00:00"/>
    <d v="2024-06-05T00:00:00"/>
    <d v="1899-12-30T19:21:30"/>
    <n v="2"/>
    <x v="7"/>
    <d v="2024-06-07T00:00:00"/>
    <s v="D+2"/>
    <x v="14"/>
    <n v="5"/>
    <x v="0"/>
    <x v="0"/>
    <s v="NET MASSIVO"/>
    <x v="1"/>
    <x v="0"/>
  </r>
  <r>
    <n v="4382467"/>
    <s v="N190"/>
    <s v="USAD"/>
    <d v="2024-06-05T00:00:00"/>
    <d v="2024-06-05T00:00:00"/>
    <d v="1899-12-30T19:21:40"/>
    <n v="2"/>
    <x v="7"/>
    <d v="2024-06-07T00:00:00"/>
    <s v="D+2"/>
    <x v="14"/>
    <n v="1"/>
    <x v="0"/>
    <x v="0"/>
    <s v="NET MASSIVO"/>
    <x v="1"/>
    <x v="0"/>
  </r>
  <r>
    <n v="4382468"/>
    <s v="N190"/>
    <s v="USAD"/>
    <d v="2024-06-05T00:00:00"/>
    <d v="2024-06-05T00:00:00"/>
    <d v="1899-12-30T19:21:40"/>
    <n v="2"/>
    <x v="7"/>
    <d v="2024-06-07T00:00:00"/>
    <s v="D+2"/>
    <x v="14"/>
    <n v="1"/>
    <x v="0"/>
    <x v="0"/>
    <s v="NET MASSIVO"/>
    <x v="1"/>
    <x v="0"/>
  </r>
  <r>
    <n v="4382469"/>
    <s v="N190"/>
    <s v="USAD"/>
    <d v="2024-06-05T00:00:00"/>
    <d v="2024-06-05T00:00:00"/>
    <d v="1899-12-30T19:21:50"/>
    <n v="2"/>
    <x v="7"/>
    <d v="2024-06-07T00:00:00"/>
    <s v="D+2"/>
    <x v="14"/>
    <n v="2"/>
    <x v="0"/>
    <x v="0"/>
    <s v="NET MASSIVO"/>
    <x v="1"/>
    <x v="0"/>
  </r>
  <r>
    <n v="4382470"/>
    <s v="N190"/>
    <s v="USAD"/>
    <d v="2024-06-05T00:00:00"/>
    <d v="2024-06-05T00:00:00"/>
    <d v="1899-12-30T19:22:00"/>
    <n v="2"/>
    <x v="7"/>
    <d v="2024-06-07T00:00:00"/>
    <s v="D+2"/>
    <x v="14"/>
    <n v="1"/>
    <x v="0"/>
    <x v="0"/>
    <s v="NET MASSIVO"/>
    <x v="1"/>
    <x v="0"/>
  </r>
  <r>
    <n v="4382471"/>
    <s v="N190"/>
    <s v="USAD"/>
    <d v="2024-06-05T00:00:00"/>
    <d v="2024-06-05T00:00:00"/>
    <d v="1899-12-30T19:22:00"/>
    <n v="2"/>
    <x v="7"/>
    <d v="2024-06-07T00:00:00"/>
    <s v="D+2"/>
    <x v="14"/>
    <n v="1"/>
    <x v="0"/>
    <x v="0"/>
    <s v="NET MASSIVO"/>
    <x v="1"/>
    <x v="0"/>
  </r>
  <r>
    <n v="4382472"/>
    <s v="N190"/>
    <s v="N190"/>
    <d v="2024-06-05T00:00:00"/>
    <d v="2024-06-05T00:00:00"/>
    <d v="1899-12-30T19:22:10"/>
    <n v="2"/>
    <x v="7"/>
    <d v="2024-06-07T00:00:00"/>
    <s v="D+2"/>
    <x v="14"/>
    <n v="4"/>
    <x v="0"/>
    <x v="0"/>
    <s v="NET MASSIVO"/>
    <x v="1"/>
    <x v="0"/>
  </r>
  <r>
    <n v="4382473"/>
    <s v="N190"/>
    <s v="USAD"/>
    <d v="2024-06-05T00:00:00"/>
    <d v="2024-06-05T00:00:00"/>
    <d v="1899-12-30T19:22:20"/>
    <n v="2"/>
    <x v="7"/>
    <d v="2024-06-07T00:00:00"/>
    <s v="D+2"/>
    <x v="14"/>
    <n v="1"/>
    <x v="0"/>
    <x v="0"/>
    <s v="NET MASSIVO"/>
    <x v="1"/>
    <x v="0"/>
  </r>
  <r>
    <n v="4382474"/>
    <s v="N190"/>
    <s v="USAD"/>
    <d v="2024-06-05T00:00:00"/>
    <d v="2024-06-05T00:00:00"/>
    <d v="1899-12-30T19:22:20"/>
    <n v="2"/>
    <x v="7"/>
    <d v="2024-06-07T00:00:00"/>
    <s v="D+2"/>
    <x v="14"/>
    <n v="1"/>
    <x v="0"/>
    <x v="0"/>
    <s v="NET MASSIVO"/>
    <x v="1"/>
    <x v="0"/>
  </r>
  <r>
    <n v="4382475"/>
    <s v="N190"/>
    <s v="USAD"/>
    <d v="2024-06-05T00:00:00"/>
    <d v="2024-06-05T00:00:00"/>
    <d v="1899-12-30T19:22:30"/>
    <n v="2"/>
    <x v="7"/>
    <d v="2024-06-07T00:00:00"/>
    <s v="D+2"/>
    <x v="14"/>
    <n v="1"/>
    <x v="0"/>
    <x v="0"/>
    <s v="NET MASSIVO"/>
    <x v="1"/>
    <x v="0"/>
  </r>
  <r>
    <n v="4382476"/>
    <s v="N190"/>
    <s v="USAD"/>
    <d v="2024-06-05T00:00:00"/>
    <d v="2024-06-05T00:00:00"/>
    <d v="1899-12-30T19:22:30"/>
    <n v="2"/>
    <x v="7"/>
    <d v="2024-06-07T00:00:00"/>
    <s v="D+2"/>
    <x v="14"/>
    <n v="1"/>
    <x v="0"/>
    <x v="0"/>
    <s v="NET MASSIVO"/>
    <x v="1"/>
    <x v="0"/>
  </r>
  <r>
    <n v="4382477"/>
    <s v="N190"/>
    <s v="USAD"/>
    <d v="2024-06-05T00:00:00"/>
    <d v="2024-06-05T00:00:00"/>
    <d v="1899-12-30T19:22:40"/>
    <n v="2"/>
    <x v="7"/>
    <d v="2024-06-07T00:00:00"/>
    <s v="D+2"/>
    <x v="14"/>
    <n v="12"/>
    <x v="0"/>
    <x v="0"/>
    <s v="NET MASSIVO"/>
    <x v="1"/>
    <x v="0"/>
  </r>
  <r>
    <n v="4382478"/>
    <s v="N190"/>
    <s v="USAD"/>
    <d v="2024-06-05T00:00:00"/>
    <d v="2024-06-05T00:00:00"/>
    <d v="1899-12-30T19:22:50"/>
    <n v="2"/>
    <x v="7"/>
    <d v="2024-06-07T00:00:00"/>
    <s v="D+2"/>
    <x v="14"/>
    <n v="2"/>
    <x v="0"/>
    <x v="0"/>
    <s v="NET MASSIVO"/>
    <x v="1"/>
    <x v="0"/>
  </r>
  <r>
    <n v="4382479"/>
    <s v="N190"/>
    <s v="USAD"/>
    <d v="2024-06-05T00:00:00"/>
    <d v="2024-06-05T00:00:00"/>
    <d v="1899-12-30T19:22:50"/>
    <n v="2"/>
    <x v="7"/>
    <d v="2024-06-07T00:00:00"/>
    <s v="D+2"/>
    <x v="14"/>
    <n v="1"/>
    <x v="0"/>
    <x v="0"/>
    <s v="NET MASSIVO"/>
    <x v="1"/>
    <x v="0"/>
  </r>
  <r>
    <n v="4382480"/>
    <s v="N190"/>
    <s v="USAD"/>
    <d v="2024-06-05T00:00:00"/>
    <d v="2024-06-05T00:00:00"/>
    <d v="1899-12-30T19:23:00"/>
    <n v="2"/>
    <x v="7"/>
    <d v="2024-06-07T00:00:00"/>
    <s v="D+2"/>
    <x v="14"/>
    <n v="1"/>
    <x v="0"/>
    <x v="0"/>
    <s v="NET MASSIVO"/>
    <x v="1"/>
    <x v="0"/>
  </r>
  <r>
    <n v="4382481"/>
    <s v="N190"/>
    <s v="USAD"/>
    <d v="2024-06-05T00:00:00"/>
    <d v="2024-06-05T00:00:00"/>
    <d v="1899-12-30T19:23:00"/>
    <n v="2"/>
    <x v="7"/>
    <d v="2024-06-07T00:00:00"/>
    <s v="D+2"/>
    <x v="14"/>
    <n v="2"/>
    <x v="0"/>
    <x v="0"/>
    <s v="NET MASSIVO"/>
    <x v="1"/>
    <x v="0"/>
  </r>
  <r>
    <n v="4382482"/>
    <s v="N190"/>
    <s v="USAD"/>
    <d v="2024-06-05T00:00:00"/>
    <d v="2024-06-05T00:00:00"/>
    <d v="1899-12-30T19:23:10"/>
    <n v="2"/>
    <x v="7"/>
    <d v="2024-06-07T00:00:00"/>
    <s v="D+2"/>
    <x v="14"/>
    <n v="1"/>
    <x v="0"/>
    <x v="0"/>
    <s v="NET MASSIVO"/>
    <x v="1"/>
    <x v="0"/>
  </r>
  <r>
    <n v="4382483"/>
    <s v="N190"/>
    <s v="N190"/>
    <d v="2024-06-05T00:00:00"/>
    <d v="2024-06-05T00:00:00"/>
    <d v="1899-12-30T19:23:10"/>
    <n v="2"/>
    <x v="7"/>
    <d v="2024-06-07T00:00:00"/>
    <s v="D+2"/>
    <x v="14"/>
    <n v="1"/>
    <x v="0"/>
    <x v="0"/>
    <s v="NET MASSIVO"/>
    <x v="1"/>
    <x v="0"/>
  </r>
  <r>
    <n v="4382484"/>
    <s v="N190"/>
    <s v="USAD"/>
    <d v="2024-06-05T00:00:00"/>
    <d v="2024-06-05T00:00:00"/>
    <d v="1899-12-30T19:23:20"/>
    <n v="2"/>
    <x v="7"/>
    <d v="2024-06-07T00:00:00"/>
    <s v="D+2"/>
    <x v="14"/>
    <n v="1"/>
    <x v="0"/>
    <x v="0"/>
    <s v="NET MASSIVO"/>
    <x v="1"/>
    <x v="0"/>
  </r>
  <r>
    <n v="4382485"/>
    <s v="N190"/>
    <s v="USAD"/>
    <d v="2024-06-05T00:00:00"/>
    <d v="2024-06-05T00:00:00"/>
    <d v="1899-12-30T19:23:30"/>
    <n v="2"/>
    <x v="7"/>
    <d v="2024-06-07T00:00:00"/>
    <s v="D+2"/>
    <x v="14"/>
    <n v="1"/>
    <x v="0"/>
    <x v="0"/>
    <s v="NET MASSIVO"/>
    <x v="1"/>
    <x v="0"/>
  </r>
  <r>
    <n v="4382486"/>
    <s v="N190"/>
    <s v="USAD"/>
    <d v="2024-06-05T00:00:00"/>
    <d v="2024-06-05T00:00:00"/>
    <d v="1899-12-30T19:23:30"/>
    <n v="2"/>
    <x v="7"/>
    <d v="2024-06-07T00:00:00"/>
    <s v="D+2"/>
    <x v="14"/>
    <n v="1"/>
    <x v="0"/>
    <x v="0"/>
    <s v="NET MASSIVO"/>
    <x v="1"/>
    <x v="0"/>
  </r>
  <r>
    <n v="4382487"/>
    <s v="N190"/>
    <s v="USAD"/>
    <d v="2024-06-05T00:00:00"/>
    <d v="2024-06-05T00:00:00"/>
    <d v="1899-12-30T19:23:40"/>
    <n v="2"/>
    <x v="7"/>
    <d v="2024-06-07T00:00:00"/>
    <s v="D+2"/>
    <x v="14"/>
    <n v="1"/>
    <x v="0"/>
    <x v="0"/>
    <s v="NET MASSIVO"/>
    <x v="1"/>
    <x v="0"/>
  </r>
  <r>
    <n v="4382488"/>
    <s v="N190"/>
    <s v="USAD"/>
    <d v="2024-06-05T00:00:00"/>
    <d v="2024-06-05T00:00:00"/>
    <d v="1899-12-30T19:25:20"/>
    <n v="2"/>
    <x v="7"/>
    <d v="2024-06-07T00:00:00"/>
    <s v="D+2"/>
    <x v="14"/>
    <n v="1"/>
    <x v="0"/>
    <x v="0"/>
    <s v="NET MASSIVO"/>
    <x v="1"/>
    <x v="0"/>
  </r>
  <r>
    <n v="4382489"/>
    <s v="N190"/>
    <s v="USAD"/>
    <d v="2024-06-05T00:00:00"/>
    <d v="2024-06-05T00:00:00"/>
    <d v="1899-12-30T19:25:20"/>
    <n v="2"/>
    <x v="7"/>
    <d v="2024-06-07T00:00:00"/>
    <s v="D+2"/>
    <x v="14"/>
    <n v="1"/>
    <x v="0"/>
    <x v="0"/>
    <s v="NET MASSIVO"/>
    <x v="1"/>
    <x v="0"/>
  </r>
  <r>
    <n v="4382490"/>
    <s v="N190"/>
    <s v="USAD"/>
    <d v="2024-06-05T00:00:00"/>
    <d v="2024-06-05T00:00:00"/>
    <d v="1899-12-30T19:25:30"/>
    <n v="2"/>
    <x v="7"/>
    <d v="2024-06-07T00:00:00"/>
    <s v="D+2"/>
    <x v="14"/>
    <n v="1"/>
    <x v="0"/>
    <x v="0"/>
    <s v="NET MASSIVO"/>
    <x v="1"/>
    <x v="0"/>
  </r>
  <r>
    <n v="4382491"/>
    <s v="N190"/>
    <s v="N190"/>
    <d v="2024-06-05T00:00:00"/>
    <d v="2024-06-05T00:00:00"/>
    <d v="1899-12-30T19:25:30"/>
    <n v="2"/>
    <x v="7"/>
    <d v="2024-06-07T00:00:00"/>
    <s v="D+2"/>
    <x v="14"/>
    <n v="2"/>
    <x v="0"/>
    <x v="0"/>
    <s v="NET MASSIVO"/>
    <x v="1"/>
    <x v="0"/>
  </r>
  <r>
    <n v="4382492"/>
    <s v="N190"/>
    <s v="USAD"/>
    <d v="2024-06-05T00:00:00"/>
    <d v="2024-06-05T00:00:00"/>
    <d v="1899-12-30T19:25:40"/>
    <n v="2"/>
    <x v="7"/>
    <d v="2024-06-07T00:00:00"/>
    <s v="D+2"/>
    <x v="14"/>
    <n v="1"/>
    <x v="0"/>
    <x v="0"/>
    <s v="NET MASSIVO"/>
    <x v="1"/>
    <x v="0"/>
  </r>
  <r>
    <n v="4382772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2811"/>
    <s v="N190"/>
    <s v="N190"/>
    <d v="2024-06-06T00:00:00"/>
    <d v="2024-06-06T00:00:00"/>
    <d v="1899-12-30T10:23:10"/>
    <n v="2"/>
    <x v="7"/>
    <d v="2024-06-10T00:00:00"/>
    <s v="D+1"/>
    <x v="15"/>
    <n v="1"/>
    <x v="0"/>
    <x v="1"/>
    <s v="NET MASSIVO"/>
    <x v="1"/>
    <x v="0"/>
  </r>
  <r>
    <n v="4383406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3638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639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640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01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02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03"/>
    <s v="N190"/>
    <s v="USAD"/>
    <d v="2024-06-06T00:00:00"/>
    <d v="2024-06-06T00:00:00"/>
    <d v="1899-12-30T08:00:00"/>
    <n v="2"/>
    <x v="7"/>
    <d v="2024-06-10T00:00:00"/>
    <s v="D+1"/>
    <x v="15"/>
    <n v="6"/>
    <x v="0"/>
    <x v="1"/>
    <s v="NET MASSIVO"/>
    <x v="1"/>
    <x v="0"/>
  </r>
  <r>
    <n v="4383905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06"/>
    <s v="N190"/>
    <s v="USAD"/>
    <d v="2024-06-06T00:00:00"/>
    <d v="2024-06-06T00:00:00"/>
    <d v="1899-12-30T08:00:00"/>
    <n v="2"/>
    <x v="7"/>
    <d v="2024-06-10T00:00:00"/>
    <s v="D+1"/>
    <x v="15"/>
    <n v="5"/>
    <x v="0"/>
    <x v="1"/>
    <s v="NET MASSIVO"/>
    <x v="1"/>
    <x v="0"/>
  </r>
  <r>
    <n v="4383907"/>
    <s v="N190"/>
    <s v="USAD"/>
    <d v="2024-06-06T00:00:00"/>
    <d v="2024-06-06T00:00:00"/>
    <d v="1899-12-30T08:00:00"/>
    <n v="2"/>
    <x v="7"/>
    <d v="2024-06-10T00:00:00"/>
    <s v="D+1"/>
    <x v="15"/>
    <n v="9"/>
    <x v="0"/>
    <x v="1"/>
    <s v="NET MASSIVO"/>
    <x v="1"/>
    <x v="0"/>
  </r>
  <r>
    <n v="4383908"/>
    <s v="N190"/>
    <s v="USAD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3909"/>
    <s v="N190"/>
    <s v="USAD"/>
    <d v="2024-06-06T00:00:00"/>
    <d v="2024-06-06T00:00:00"/>
    <d v="1899-12-30T08:00:00"/>
    <n v="2"/>
    <x v="7"/>
    <d v="2024-06-10T00:00:00"/>
    <s v="D+1"/>
    <x v="15"/>
    <n v="11"/>
    <x v="0"/>
    <x v="1"/>
    <s v="NET MASSIVO"/>
    <x v="1"/>
    <x v="0"/>
  </r>
  <r>
    <n v="4383910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3911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912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3913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14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15"/>
    <s v="N190"/>
    <s v="USAD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3916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3918"/>
    <s v="N190"/>
    <s v="USAD"/>
    <d v="2024-06-06T00:00:00"/>
    <d v="2024-06-06T00:00:00"/>
    <d v="1899-12-30T08:00:00"/>
    <n v="2"/>
    <x v="7"/>
    <d v="2024-06-10T00:00:00"/>
    <s v="D+1"/>
    <x v="15"/>
    <n v="8"/>
    <x v="0"/>
    <x v="1"/>
    <s v="NET MASSIVO"/>
    <x v="1"/>
    <x v="0"/>
  </r>
  <r>
    <n v="4383919"/>
    <s v="N190"/>
    <s v="USAD"/>
    <d v="2024-06-06T00:00:00"/>
    <d v="2024-06-06T00:00:00"/>
    <d v="1899-12-30T22:25:40"/>
    <n v="2"/>
    <x v="7"/>
    <d v="2024-06-10T00:00:00"/>
    <s v="D+1"/>
    <x v="15"/>
    <n v="6"/>
    <x v="0"/>
    <x v="1"/>
    <s v="NET MASSIVO"/>
    <x v="1"/>
    <x v="0"/>
  </r>
  <r>
    <n v="4383920"/>
    <s v="N190"/>
    <s v="N190"/>
    <d v="2024-06-06T00:00:00"/>
    <d v="2024-06-06T00:00:00"/>
    <d v="1899-12-30T22:25:40"/>
    <n v="2"/>
    <x v="7"/>
    <d v="2024-06-10T00:00:00"/>
    <s v="D+1"/>
    <x v="15"/>
    <n v="1"/>
    <x v="0"/>
    <x v="1"/>
    <s v="NET MASSIVO"/>
    <x v="1"/>
    <x v="0"/>
  </r>
  <r>
    <n v="4383921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922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3923"/>
    <s v="N190"/>
    <s v="USAD"/>
    <d v="2024-06-06T00:00:00"/>
    <d v="2024-06-06T00:00:00"/>
    <d v="1899-12-30T22:26:00"/>
    <n v="2"/>
    <x v="7"/>
    <d v="2024-06-10T00:00:00"/>
    <s v="D+1"/>
    <x v="15"/>
    <n v="2"/>
    <x v="0"/>
    <x v="1"/>
    <s v="NET MASSIVO"/>
    <x v="1"/>
    <x v="0"/>
  </r>
  <r>
    <n v="4383924"/>
    <s v="N190"/>
    <s v="N190"/>
    <d v="2024-06-06T00:00:00"/>
    <d v="2024-06-06T00:00:00"/>
    <d v="1899-12-30T22:26:10"/>
    <n v="2"/>
    <x v="7"/>
    <d v="2024-06-10T00:00:00"/>
    <s v="D+1"/>
    <x v="15"/>
    <n v="9"/>
    <x v="0"/>
    <x v="1"/>
    <s v="NET MASSIVO"/>
    <x v="1"/>
    <x v="0"/>
  </r>
  <r>
    <n v="4383925"/>
    <s v="N190"/>
    <s v="USAD"/>
    <d v="2024-06-06T00:00:00"/>
    <d v="2024-06-06T00:00:00"/>
    <d v="1899-12-30T22:26:20"/>
    <n v="2"/>
    <x v="7"/>
    <d v="2024-06-10T00:00:00"/>
    <s v="D+1"/>
    <x v="15"/>
    <n v="3"/>
    <x v="0"/>
    <x v="1"/>
    <s v="NET MASSIVO"/>
    <x v="1"/>
    <x v="0"/>
  </r>
  <r>
    <n v="4383926"/>
    <s v="N190"/>
    <s v="USAD"/>
    <d v="2024-06-06T00:00:00"/>
    <d v="2024-06-06T00:00:00"/>
    <d v="1899-12-30T22:26:20"/>
    <n v="2"/>
    <x v="7"/>
    <d v="2024-06-10T00:00:00"/>
    <s v="D+1"/>
    <x v="15"/>
    <n v="2"/>
    <x v="0"/>
    <x v="1"/>
    <s v="NET MASSIVO"/>
    <x v="1"/>
    <x v="0"/>
  </r>
  <r>
    <n v="4383927"/>
    <s v="N190"/>
    <s v="USAD"/>
    <d v="2024-06-06T00:00:00"/>
    <d v="2024-06-06T00:00:00"/>
    <d v="1899-12-30T22:26:30"/>
    <n v="2"/>
    <x v="7"/>
    <d v="2024-06-10T00:00:00"/>
    <s v="D+1"/>
    <x v="15"/>
    <n v="3"/>
    <x v="0"/>
    <x v="1"/>
    <s v="NET MASSIVO"/>
    <x v="1"/>
    <x v="0"/>
  </r>
  <r>
    <n v="4383928"/>
    <s v="N190"/>
    <s v="USAD"/>
    <d v="2024-06-06T00:00:00"/>
    <d v="2024-06-06T00:00:00"/>
    <d v="1899-12-30T22:26:40"/>
    <n v="2"/>
    <x v="7"/>
    <d v="2024-06-10T00:00:00"/>
    <s v="D+1"/>
    <x v="15"/>
    <n v="4"/>
    <x v="0"/>
    <x v="1"/>
    <s v="NET MASSIVO"/>
    <x v="1"/>
    <x v="0"/>
  </r>
  <r>
    <n v="4383929"/>
    <s v="N190"/>
    <s v="USAD"/>
    <d v="2024-06-06T00:00:00"/>
    <d v="2024-06-06T00:00:00"/>
    <d v="1899-12-30T22:26:40"/>
    <n v="2"/>
    <x v="7"/>
    <d v="2024-06-10T00:00:00"/>
    <s v="D+1"/>
    <x v="15"/>
    <n v="5"/>
    <x v="0"/>
    <x v="1"/>
    <s v="NET MASSIVO"/>
    <x v="1"/>
    <x v="0"/>
  </r>
  <r>
    <n v="4383931"/>
    <s v="N190"/>
    <s v="UDEI"/>
    <d v="2024-06-06T00:00:00"/>
    <d v="2024-06-06T00:00:00"/>
    <d v="1899-12-30T22:26:50"/>
    <n v="2"/>
    <x v="7"/>
    <d v="2024-06-10T00:00:00"/>
    <s v="D+1"/>
    <x v="15"/>
    <n v="3"/>
    <x v="0"/>
    <x v="1"/>
    <s v="NET MASSIVO"/>
    <x v="1"/>
    <x v="0"/>
  </r>
  <r>
    <n v="4383932"/>
    <s v="N190"/>
    <s v="UDEI"/>
    <d v="2024-06-06T00:00:00"/>
    <d v="2024-06-06T00:00:00"/>
    <d v="1899-12-30T22:27:00"/>
    <n v="2"/>
    <x v="7"/>
    <d v="2024-06-10T00:00:00"/>
    <s v="D+1"/>
    <x v="15"/>
    <n v="1"/>
    <x v="0"/>
    <x v="1"/>
    <s v="NET MASSIVO"/>
    <x v="1"/>
    <x v="0"/>
  </r>
  <r>
    <n v="4383933"/>
    <s v="N190"/>
    <s v="USAD"/>
    <d v="2024-06-06T00:00:00"/>
    <d v="2024-06-06T00:00:00"/>
    <d v="1899-12-30T22:27:00"/>
    <n v="2"/>
    <x v="7"/>
    <d v="2024-06-10T00:00:00"/>
    <s v="D+1"/>
    <x v="15"/>
    <n v="4"/>
    <x v="0"/>
    <x v="1"/>
    <s v="NET MASSIVO"/>
    <x v="1"/>
    <x v="0"/>
  </r>
  <r>
    <n v="4383934"/>
    <s v="N190"/>
    <s v="USAD"/>
    <d v="2024-06-06T00:00:00"/>
    <d v="2024-06-06T00:00:00"/>
    <d v="1899-12-30T22:27:10"/>
    <n v="2"/>
    <x v="7"/>
    <d v="2024-06-10T00:00:00"/>
    <s v="D+1"/>
    <x v="15"/>
    <n v="5"/>
    <x v="0"/>
    <x v="1"/>
    <s v="NET MASSIVO"/>
    <x v="1"/>
    <x v="0"/>
  </r>
  <r>
    <n v="4383935"/>
    <s v="N190"/>
    <s v="USAD"/>
    <d v="2024-06-06T00:00:00"/>
    <d v="2024-06-06T00:00:00"/>
    <d v="1899-12-30T22:27:20"/>
    <n v="2"/>
    <x v="7"/>
    <d v="2024-06-10T00:00:00"/>
    <s v="D+1"/>
    <x v="15"/>
    <n v="5"/>
    <x v="0"/>
    <x v="1"/>
    <s v="NET MASSIVO"/>
    <x v="1"/>
    <x v="0"/>
  </r>
  <r>
    <n v="4383936"/>
    <s v="N190"/>
    <s v="USAD"/>
    <d v="2024-06-06T00:00:00"/>
    <d v="2024-06-06T00:00:00"/>
    <d v="1899-12-30T22:27:20"/>
    <n v="2"/>
    <x v="7"/>
    <d v="2024-06-10T00:00:00"/>
    <s v="D+1"/>
    <x v="15"/>
    <n v="5"/>
    <x v="0"/>
    <x v="1"/>
    <s v="NET MASSIVO"/>
    <x v="1"/>
    <x v="0"/>
  </r>
  <r>
    <n v="4383937"/>
    <s v="N190"/>
    <s v="N190"/>
    <d v="2024-06-06T00:00:00"/>
    <d v="2024-06-06T00:00:00"/>
    <d v="1899-12-30T22:27:30"/>
    <n v="2"/>
    <x v="7"/>
    <d v="2024-06-10T00:00:00"/>
    <s v="D+1"/>
    <x v="15"/>
    <n v="1"/>
    <x v="0"/>
    <x v="1"/>
    <s v="NET MASSIVO"/>
    <x v="1"/>
    <x v="0"/>
  </r>
  <r>
    <n v="4383938"/>
    <s v="N190"/>
    <s v="USAD"/>
    <d v="2024-06-06T00:00:00"/>
    <d v="2024-06-06T00:00:00"/>
    <d v="1899-12-30T22:27:40"/>
    <n v="2"/>
    <x v="7"/>
    <d v="2024-06-10T00:00:00"/>
    <s v="D+1"/>
    <x v="15"/>
    <n v="1"/>
    <x v="0"/>
    <x v="1"/>
    <s v="NET MASSIVO"/>
    <x v="1"/>
    <x v="0"/>
  </r>
  <r>
    <n v="4383939"/>
    <s v="N190"/>
    <s v="USAD"/>
    <d v="2024-06-06T00:00:00"/>
    <d v="2024-06-06T00:00:00"/>
    <d v="1899-12-30T22:27:50"/>
    <n v="2"/>
    <x v="7"/>
    <d v="2024-06-10T00:00:00"/>
    <s v="D+1"/>
    <x v="15"/>
    <n v="7"/>
    <x v="0"/>
    <x v="1"/>
    <s v="NET MASSIVO"/>
    <x v="1"/>
    <x v="0"/>
  </r>
  <r>
    <n v="4383940"/>
    <s v="N190"/>
    <s v="USAD"/>
    <d v="2024-06-06T00:00:00"/>
    <d v="2024-06-06T00:00:00"/>
    <d v="1899-12-30T22:27:50"/>
    <n v="2"/>
    <x v="7"/>
    <d v="2024-06-10T00:00:00"/>
    <s v="D+1"/>
    <x v="15"/>
    <n v="6"/>
    <x v="0"/>
    <x v="1"/>
    <s v="NET MASSIVO"/>
    <x v="1"/>
    <x v="0"/>
  </r>
  <r>
    <n v="4383941"/>
    <s v="N190"/>
    <s v="USAD"/>
    <d v="2024-06-06T00:00:00"/>
    <d v="2024-06-06T00:00:00"/>
    <d v="1899-12-30T22:28:00"/>
    <n v="2"/>
    <x v="7"/>
    <d v="2024-06-10T00:00:00"/>
    <s v="D+1"/>
    <x v="15"/>
    <n v="3"/>
    <x v="0"/>
    <x v="1"/>
    <s v="NET MASSIVO"/>
    <x v="1"/>
    <x v="0"/>
  </r>
  <r>
    <n v="4383942"/>
    <s v="N190"/>
    <s v="USAD"/>
    <d v="2024-06-06T00:00:00"/>
    <d v="2024-06-06T00:00:00"/>
    <d v="1899-12-30T22:28:10"/>
    <n v="2"/>
    <x v="7"/>
    <d v="2024-06-10T00:00:00"/>
    <s v="D+1"/>
    <x v="15"/>
    <n v="3"/>
    <x v="0"/>
    <x v="1"/>
    <s v="NET MASSIVO"/>
    <x v="1"/>
    <x v="0"/>
  </r>
  <r>
    <n v="4383943"/>
    <s v="N190"/>
    <s v="USAD"/>
    <d v="2024-06-06T00:00:00"/>
    <d v="2024-06-06T00:00:00"/>
    <d v="1899-12-30T22:28:10"/>
    <n v="2"/>
    <x v="7"/>
    <d v="2024-06-10T00:00:00"/>
    <s v="D+1"/>
    <x v="15"/>
    <n v="4"/>
    <x v="0"/>
    <x v="1"/>
    <s v="NET MASSIVO"/>
    <x v="1"/>
    <x v="0"/>
  </r>
  <r>
    <n v="4383944"/>
    <s v="N190"/>
    <s v="USAD"/>
    <d v="2024-06-06T00:00:00"/>
    <d v="2024-06-06T00:00:00"/>
    <d v="1899-12-30T22:28:20"/>
    <n v="2"/>
    <x v="7"/>
    <d v="2024-06-10T00:00:00"/>
    <s v="D+1"/>
    <x v="15"/>
    <n v="6"/>
    <x v="0"/>
    <x v="1"/>
    <s v="NET MASSIVO"/>
    <x v="1"/>
    <x v="0"/>
  </r>
  <r>
    <n v="4383945"/>
    <s v="N190"/>
    <s v="USAD"/>
    <d v="2024-06-06T00:00:00"/>
    <d v="2024-06-06T00:00:00"/>
    <d v="1899-12-30T22:28:30"/>
    <n v="2"/>
    <x v="7"/>
    <d v="2024-06-10T00:00:00"/>
    <s v="D+1"/>
    <x v="15"/>
    <n v="3"/>
    <x v="0"/>
    <x v="1"/>
    <s v="NET MASSIVO"/>
    <x v="1"/>
    <x v="0"/>
  </r>
  <r>
    <n v="4383946"/>
    <s v="N190"/>
    <s v="USAD"/>
    <d v="2024-06-06T00:00:00"/>
    <d v="2024-06-06T00:00:00"/>
    <d v="1899-12-30T22:28:40"/>
    <n v="2"/>
    <x v="7"/>
    <d v="2024-06-10T00:00:00"/>
    <s v="D+1"/>
    <x v="15"/>
    <n v="3"/>
    <x v="0"/>
    <x v="1"/>
    <s v="NET MASSIVO"/>
    <x v="1"/>
    <x v="0"/>
  </r>
  <r>
    <n v="4383948"/>
    <s v="N190"/>
    <s v="USAD"/>
    <d v="2024-06-06T00:00:00"/>
    <d v="2024-06-06T00:00:00"/>
    <d v="1899-12-30T22:28:40"/>
    <n v="2"/>
    <x v="7"/>
    <d v="2024-06-10T00:00:00"/>
    <s v="D+1"/>
    <x v="15"/>
    <n v="2"/>
    <x v="0"/>
    <x v="1"/>
    <s v="NET MASSIVO"/>
    <x v="1"/>
    <x v="0"/>
  </r>
  <r>
    <n v="4383949"/>
    <s v="N190"/>
    <s v="USAD"/>
    <d v="2024-06-06T00:00:00"/>
    <d v="2024-06-06T00:00:00"/>
    <d v="1899-12-30T22:28:50"/>
    <n v="2"/>
    <x v="7"/>
    <d v="2024-06-10T00:00:00"/>
    <s v="D+1"/>
    <x v="15"/>
    <n v="1"/>
    <x v="0"/>
    <x v="1"/>
    <s v="NET MASSIVO"/>
    <x v="1"/>
    <x v="0"/>
  </r>
  <r>
    <n v="4383951"/>
    <s v="N190"/>
    <s v="USAD"/>
    <d v="2024-06-06T00:00:00"/>
    <d v="2024-06-06T00:00:00"/>
    <d v="1899-12-30T22:28:50"/>
    <n v="2"/>
    <x v="7"/>
    <d v="2024-06-10T00:00:00"/>
    <s v="D+1"/>
    <x v="15"/>
    <n v="3"/>
    <x v="0"/>
    <x v="1"/>
    <s v="NET MASSIVO"/>
    <x v="1"/>
    <x v="0"/>
  </r>
  <r>
    <n v="4383952"/>
    <s v="N190"/>
    <s v="USAD"/>
    <d v="2024-06-06T00:00:00"/>
    <d v="2024-06-06T00:00:00"/>
    <d v="1899-12-30T22:29:00"/>
    <n v="2"/>
    <x v="7"/>
    <d v="2024-06-10T00:00:00"/>
    <s v="D+1"/>
    <x v="15"/>
    <n v="3"/>
    <x v="0"/>
    <x v="1"/>
    <s v="NET MASSIVO"/>
    <x v="1"/>
    <x v="0"/>
  </r>
  <r>
    <n v="4383953"/>
    <s v="N190"/>
    <s v="USAD"/>
    <d v="2024-06-06T00:00:00"/>
    <d v="2024-06-06T00:00:00"/>
    <d v="1899-12-30T22:29:10"/>
    <n v="2"/>
    <x v="7"/>
    <d v="2024-06-10T00:00:00"/>
    <s v="D+1"/>
    <x v="15"/>
    <n v="2"/>
    <x v="0"/>
    <x v="1"/>
    <s v="NET MASSIVO"/>
    <x v="1"/>
    <x v="0"/>
  </r>
  <r>
    <n v="4383954"/>
    <s v="N190"/>
    <s v="USAD"/>
    <d v="2024-06-06T00:00:00"/>
    <d v="2024-06-06T00:00:00"/>
    <d v="1899-12-30T22:29:10"/>
    <n v="2"/>
    <x v="7"/>
    <d v="2024-06-10T00:00:00"/>
    <s v="D+1"/>
    <x v="15"/>
    <n v="2"/>
    <x v="0"/>
    <x v="1"/>
    <s v="NET MASSIVO"/>
    <x v="1"/>
    <x v="0"/>
  </r>
  <r>
    <n v="4383955"/>
    <s v="N190"/>
    <s v="USAD"/>
    <d v="2024-06-06T00:00:00"/>
    <d v="2024-06-06T00:00:00"/>
    <d v="1899-12-30T22:29:20"/>
    <n v="2"/>
    <x v="7"/>
    <d v="2024-06-10T00:00:00"/>
    <s v="D+1"/>
    <x v="15"/>
    <n v="3"/>
    <x v="0"/>
    <x v="1"/>
    <s v="NET MASSIVO"/>
    <x v="1"/>
    <x v="0"/>
  </r>
  <r>
    <n v="4383956"/>
    <s v="N190"/>
    <s v="USAD"/>
    <d v="2024-06-06T00:00:00"/>
    <d v="2024-06-06T00:00:00"/>
    <d v="1899-12-30T22:29:30"/>
    <n v="2"/>
    <x v="7"/>
    <d v="2024-06-10T00:00:00"/>
    <s v="D+1"/>
    <x v="15"/>
    <n v="3"/>
    <x v="0"/>
    <x v="1"/>
    <s v="NET MASSIVO"/>
    <x v="1"/>
    <x v="0"/>
  </r>
  <r>
    <n v="4383957"/>
    <s v="N190"/>
    <s v="USAD"/>
    <d v="2024-06-06T00:00:00"/>
    <d v="2024-06-06T00:00:00"/>
    <d v="1899-12-30T22:29:30"/>
    <n v="2"/>
    <x v="7"/>
    <d v="2024-06-10T00:00:00"/>
    <s v="D+1"/>
    <x v="15"/>
    <n v="3"/>
    <x v="0"/>
    <x v="1"/>
    <s v="NET MASSIVO"/>
    <x v="1"/>
    <x v="0"/>
  </r>
  <r>
    <n v="4383958"/>
    <s v="N190"/>
    <s v="USAD"/>
    <d v="2024-06-06T00:00:00"/>
    <d v="2024-06-06T00:00:00"/>
    <d v="1899-12-30T22:29:40"/>
    <n v="2"/>
    <x v="7"/>
    <d v="2024-06-10T00:00:00"/>
    <s v="D+1"/>
    <x v="15"/>
    <n v="3"/>
    <x v="0"/>
    <x v="1"/>
    <s v="NET MASSIVO"/>
    <x v="1"/>
    <x v="0"/>
  </r>
  <r>
    <n v="4383959"/>
    <s v="N190"/>
    <s v="USAD"/>
    <d v="2024-06-06T00:00:00"/>
    <d v="2024-06-06T00:00:00"/>
    <d v="1899-12-30T22:29:50"/>
    <n v="2"/>
    <x v="7"/>
    <d v="2024-06-10T00:00:00"/>
    <s v="D+1"/>
    <x v="15"/>
    <n v="3"/>
    <x v="0"/>
    <x v="1"/>
    <s v="NET MASSIVO"/>
    <x v="1"/>
    <x v="0"/>
  </r>
  <r>
    <n v="4383960"/>
    <s v="N190"/>
    <s v="USAD"/>
    <d v="2024-06-06T00:00:00"/>
    <d v="2024-06-06T00:00:00"/>
    <d v="1899-12-30T22:29:50"/>
    <n v="2"/>
    <x v="7"/>
    <d v="2024-06-10T00:00:00"/>
    <s v="D+1"/>
    <x v="15"/>
    <n v="2"/>
    <x v="0"/>
    <x v="1"/>
    <s v="NET MASSIVO"/>
    <x v="1"/>
    <x v="0"/>
  </r>
  <r>
    <n v="4383961"/>
    <s v="N190"/>
    <s v="USAD"/>
    <d v="2024-06-06T00:00:00"/>
    <d v="2024-06-06T00:00:00"/>
    <d v="1899-12-30T22:30:00"/>
    <n v="2"/>
    <x v="7"/>
    <d v="2024-06-10T00:00:00"/>
    <s v="D+1"/>
    <x v="15"/>
    <n v="5"/>
    <x v="0"/>
    <x v="1"/>
    <s v="NET MASSIVO"/>
    <x v="1"/>
    <x v="0"/>
  </r>
  <r>
    <n v="4383962"/>
    <s v="N190"/>
    <s v="USAD"/>
    <d v="2024-06-06T00:00:00"/>
    <d v="2024-06-06T00:00:00"/>
    <d v="1899-12-30T22:30:10"/>
    <n v="2"/>
    <x v="7"/>
    <d v="2024-06-10T00:00:00"/>
    <s v="D+1"/>
    <x v="15"/>
    <n v="6"/>
    <x v="0"/>
    <x v="1"/>
    <s v="NET MASSIVO"/>
    <x v="1"/>
    <x v="0"/>
  </r>
  <r>
    <n v="4383963"/>
    <s v="N190"/>
    <s v="N190"/>
    <d v="2024-06-06T00:00:00"/>
    <d v="2024-06-06T00:00:00"/>
    <d v="1899-12-30T22:30:20"/>
    <n v="2"/>
    <x v="7"/>
    <d v="2024-06-10T00:00:00"/>
    <s v="D+1"/>
    <x v="15"/>
    <n v="9"/>
    <x v="0"/>
    <x v="1"/>
    <s v="NET MASSIVO"/>
    <x v="1"/>
    <x v="0"/>
  </r>
  <r>
    <n v="4383964"/>
    <s v="N190"/>
    <s v="USAD"/>
    <d v="2024-06-06T00:00:00"/>
    <d v="2024-06-06T00:00:00"/>
    <d v="1899-12-30T22:30:30"/>
    <n v="2"/>
    <x v="7"/>
    <d v="2024-06-10T00:00:00"/>
    <s v="D+1"/>
    <x v="15"/>
    <n v="3"/>
    <x v="0"/>
    <x v="1"/>
    <s v="NET MASSIVO"/>
    <x v="1"/>
    <x v="0"/>
  </r>
  <r>
    <n v="4383965"/>
    <s v="N190"/>
    <s v="N190"/>
    <d v="2024-06-06T00:00:00"/>
    <d v="2024-06-06T00:00:00"/>
    <d v="1899-12-30T22:30:40"/>
    <n v="2"/>
    <x v="7"/>
    <d v="2024-06-10T00:00:00"/>
    <s v="D+1"/>
    <x v="15"/>
    <n v="1"/>
    <x v="0"/>
    <x v="1"/>
    <s v="NET MASSIVO"/>
    <x v="1"/>
    <x v="0"/>
  </r>
  <r>
    <n v="4383966"/>
    <s v="N190"/>
    <s v="USAD"/>
    <d v="2024-06-06T00:00:00"/>
    <d v="2024-06-06T00:00:00"/>
    <d v="1899-12-30T22:30:40"/>
    <n v="2"/>
    <x v="7"/>
    <d v="2024-06-10T00:00:00"/>
    <s v="D+1"/>
    <x v="15"/>
    <n v="1"/>
    <x v="0"/>
    <x v="1"/>
    <s v="NET MASSIVO"/>
    <x v="1"/>
    <x v="0"/>
  </r>
  <r>
    <n v="4383968"/>
    <s v="N190"/>
    <s v="N190"/>
    <d v="2024-06-06T00:00:00"/>
    <d v="2024-06-06T00:00:00"/>
    <d v="1899-12-30T22:30:50"/>
    <n v="2"/>
    <x v="7"/>
    <d v="2024-06-10T00:00:00"/>
    <s v="D+1"/>
    <x v="15"/>
    <n v="1"/>
    <x v="0"/>
    <x v="1"/>
    <s v="NET MASSIVO"/>
    <x v="1"/>
    <x v="0"/>
  </r>
  <r>
    <n v="4383969"/>
    <s v="N190"/>
    <s v="USAD"/>
    <d v="2024-06-06T00:00:00"/>
    <d v="2024-06-06T00:00:00"/>
    <d v="1899-12-30T22:30:50"/>
    <n v="2"/>
    <x v="7"/>
    <d v="2024-06-10T00:00:00"/>
    <s v="D+1"/>
    <x v="15"/>
    <n v="2"/>
    <x v="0"/>
    <x v="1"/>
    <s v="NET MASSIVO"/>
    <x v="1"/>
    <x v="0"/>
  </r>
  <r>
    <n v="4383970"/>
    <s v="N190"/>
    <s v="USAD"/>
    <d v="2024-06-06T00:00:00"/>
    <d v="2024-06-06T00:00:00"/>
    <d v="1899-12-30T22:31:00"/>
    <n v="2"/>
    <x v="7"/>
    <d v="2024-06-10T00:00:00"/>
    <s v="D+1"/>
    <x v="15"/>
    <n v="3"/>
    <x v="0"/>
    <x v="1"/>
    <s v="NET MASSIVO"/>
    <x v="1"/>
    <x v="0"/>
  </r>
  <r>
    <n v="4383971"/>
    <s v="N190"/>
    <s v="N190"/>
    <d v="2024-06-06T00:00:00"/>
    <d v="2024-06-06T00:00:00"/>
    <d v="1899-12-30T22:31:00"/>
    <n v="2"/>
    <x v="7"/>
    <d v="2024-06-10T00:00:00"/>
    <s v="D+1"/>
    <x v="15"/>
    <n v="1"/>
    <x v="0"/>
    <x v="1"/>
    <s v="NET MASSIVO"/>
    <x v="1"/>
    <x v="0"/>
  </r>
  <r>
    <n v="4383972"/>
    <s v="N190"/>
    <s v="USAD"/>
    <d v="2024-06-06T00:00:00"/>
    <d v="2024-06-06T00:00:00"/>
    <d v="1899-12-30T22:31:10"/>
    <n v="2"/>
    <x v="7"/>
    <d v="2024-06-10T00:00:00"/>
    <s v="D+1"/>
    <x v="15"/>
    <n v="4"/>
    <x v="0"/>
    <x v="1"/>
    <s v="NET MASSIVO"/>
    <x v="1"/>
    <x v="0"/>
  </r>
  <r>
    <n v="4383973"/>
    <s v="N190"/>
    <s v="USAD"/>
    <d v="2024-06-06T00:00:00"/>
    <d v="2024-06-06T00:00:00"/>
    <d v="1899-12-30T22:31:20"/>
    <n v="2"/>
    <x v="7"/>
    <d v="2024-06-10T00:00:00"/>
    <s v="D+1"/>
    <x v="15"/>
    <n v="3"/>
    <x v="0"/>
    <x v="1"/>
    <s v="NET MASSIVO"/>
    <x v="1"/>
    <x v="0"/>
  </r>
  <r>
    <n v="4383974"/>
    <s v="N190"/>
    <s v="USAD"/>
    <d v="2024-06-06T00:00:00"/>
    <d v="2024-06-06T00:00:00"/>
    <d v="1899-12-30T22:31:30"/>
    <n v="2"/>
    <x v="7"/>
    <d v="2024-06-10T00:00:00"/>
    <s v="D+1"/>
    <x v="15"/>
    <n v="3"/>
    <x v="0"/>
    <x v="1"/>
    <s v="NET MASSIVO"/>
    <x v="1"/>
    <x v="0"/>
  </r>
  <r>
    <n v="4383975"/>
    <s v="N190"/>
    <s v="USAD"/>
    <d v="2024-06-06T00:00:00"/>
    <d v="2024-06-06T00:00:00"/>
    <d v="1899-12-30T22:31:30"/>
    <n v="2"/>
    <x v="7"/>
    <d v="2024-06-10T00:00:00"/>
    <s v="D+1"/>
    <x v="15"/>
    <n v="7"/>
    <x v="0"/>
    <x v="1"/>
    <s v="NET MASSIVO"/>
    <x v="1"/>
    <x v="0"/>
  </r>
  <r>
    <n v="4383976"/>
    <s v="N190"/>
    <s v="USAD"/>
    <d v="2024-06-06T00:00:00"/>
    <d v="2024-06-06T00:00:00"/>
    <d v="1899-12-30T22:31:40"/>
    <n v="2"/>
    <x v="7"/>
    <d v="2024-06-10T00:00:00"/>
    <s v="D+1"/>
    <x v="15"/>
    <n v="8"/>
    <x v="0"/>
    <x v="1"/>
    <s v="NET MASSIVO"/>
    <x v="1"/>
    <x v="0"/>
  </r>
  <r>
    <n v="4383977"/>
    <s v="N190"/>
    <s v="USAD"/>
    <d v="2024-06-06T00:00:00"/>
    <d v="2024-06-06T00:00:00"/>
    <d v="1899-12-30T22:31:50"/>
    <n v="2"/>
    <x v="7"/>
    <d v="2024-06-10T00:00:00"/>
    <s v="D+1"/>
    <x v="15"/>
    <n v="5"/>
    <x v="0"/>
    <x v="1"/>
    <s v="NET MASSIVO"/>
    <x v="1"/>
    <x v="0"/>
  </r>
  <r>
    <n v="4383978"/>
    <s v="N190"/>
    <s v="USAD"/>
    <d v="2024-06-06T00:00:00"/>
    <d v="2024-06-06T00:00:00"/>
    <d v="1899-12-30T22:32:00"/>
    <n v="2"/>
    <x v="7"/>
    <d v="2024-06-10T00:00:00"/>
    <s v="D+1"/>
    <x v="15"/>
    <n v="5"/>
    <x v="0"/>
    <x v="1"/>
    <s v="NET MASSIVO"/>
    <x v="1"/>
    <x v="0"/>
  </r>
  <r>
    <n v="4383979"/>
    <s v="N190"/>
    <s v="USAD"/>
    <d v="2024-06-06T00:00:00"/>
    <d v="2024-06-06T00:00:00"/>
    <d v="1899-12-30T22:32:10"/>
    <n v="2"/>
    <x v="7"/>
    <d v="2024-06-10T00:00:00"/>
    <s v="D+1"/>
    <x v="15"/>
    <n v="3"/>
    <x v="0"/>
    <x v="1"/>
    <s v="NET MASSIVO"/>
    <x v="1"/>
    <x v="0"/>
  </r>
  <r>
    <n v="4383980"/>
    <s v="N190"/>
    <s v="USAD"/>
    <d v="2024-06-06T00:00:00"/>
    <d v="2024-06-06T00:00:00"/>
    <d v="1899-12-30T22:32:20"/>
    <n v="2"/>
    <x v="7"/>
    <d v="2024-06-10T00:00:00"/>
    <s v="D+1"/>
    <x v="15"/>
    <n v="4"/>
    <x v="0"/>
    <x v="1"/>
    <s v="NET MASSIVO"/>
    <x v="1"/>
    <x v="0"/>
  </r>
  <r>
    <n v="4383981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82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83"/>
    <s v="N190"/>
    <s v="N190"/>
    <d v="2024-06-06T00:00:00"/>
    <d v="2024-06-06T00:00:00"/>
    <d v="1899-12-30T08:00:00"/>
    <n v="2"/>
    <x v="7"/>
    <d v="2024-06-10T00:00:00"/>
    <s v="D+1"/>
    <x v="15"/>
    <n v="6"/>
    <x v="0"/>
    <x v="1"/>
    <s v="NET MASSIVO"/>
    <x v="1"/>
    <x v="0"/>
  </r>
  <r>
    <n v="4383984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985"/>
    <s v="N190"/>
    <s v="USAD"/>
    <d v="2024-06-06T00:00:00"/>
    <d v="2024-06-06T00:00:00"/>
    <d v="1899-12-30T08:00:00"/>
    <n v="2"/>
    <x v="7"/>
    <d v="2024-06-10T00:00:00"/>
    <s v="D+1"/>
    <x v="15"/>
    <n v="6"/>
    <x v="0"/>
    <x v="1"/>
    <s v="NET MASSIVO"/>
    <x v="1"/>
    <x v="0"/>
  </r>
  <r>
    <n v="4383986"/>
    <s v="N190"/>
    <s v="USAD"/>
    <d v="2024-06-06T00:00:00"/>
    <d v="2024-06-06T00:00:00"/>
    <d v="1899-12-30T08:00:00"/>
    <n v="2"/>
    <x v="7"/>
    <d v="2024-06-10T00:00:00"/>
    <s v="D+1"/>
    <x v="15"/>
    <n v="7"/>
    <x v="0"/>
    <x v="1"/>
    <s v="NET MASSIVO"/>
    <x v="1"/>
    <x v="0"/>
  </r>
  <r>
    <n v="4383987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3988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3989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90"/>
    <s v="N190"/>
    <s v="USAD"/>
    <d v="2024-06-06T00:00:00"/>
    <d v="2024-06-06T00:00:00"/>
    <d v="1899-12-30T08:00:00"/>
    <n v="2"/>
    <x v="7"/>
    <d v="2024-06-10T00:00:00"/>
    <s v="D+1"/>
    <x v="15"/>
    <n v="6"/>
    <x v="0"/>
    <x v="1"/>
    <s v="NET MASSIVO"/>
    <x v="1"/>
    <x v="0"/>
  </r>
  <r>
    <n v="4383991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3992"/>
    <s v="N190"/>
    <s v="USAD"/>
    <d v="2024-06-06T00:00:00"/>
    <d v="2024-06-06T00:00:00"/>
    <d v="1899-12-30T22:34:00"/>
    <n v="2"/>
    <x v="7"/>
    <d v="2024-06-10T00:00:00"/>
    <s v="D+1"/>
    <x v="15"/>
    <n v="1"/>
    <x v="0"/>
    <x v="1"/>
    <s v="NET MASSIVO"/>
    <x v="1"/>
    <x v="0"/>
  </r>
  <r>
    <n v="4383993"/>
    <s v="N190"/>
    <s v="USAD"/>
    <d v="2024-06-06T00:00:00"/>
    <d v="2024-06-06T00:00:00"/>
    <d v="1899-12-30T22:34:00"/>
    <n v="2"/>
    <x v="7"/>
    <d v="2024-06-10T00:00:00"/>
    <s v="D+1"/>
    <x v="15"/>
    <n v="2"/>
    <x v="0"/>
    <x v="1"/>
    <s v="NET MASSIVO"/>
    <x v="1"/>
    <x v="0"/>
  </r>
  <r>
    <n v="4383994"/>
    <s v="N190"/>
    <s v="USAD"/>
    <d v="2024-06-06T00:00:00"/>
    <d v="2024-06-06T00:00:00"/>
    <d v="1899-12-30T08:00:00"/>
    <n v="2"/>
    <x v="7"/>
    <d v="2024-06-10T00:00:00"/>
    <s v="D+1"/>
    <x v="15"/>
    <n v="4"/>
    <x v="0"/>
    <x v="1"/>
    <s v="NET MASSIVO"/>
    <x v="1"/>
    <x v="0"/>
  </r>
  <r>
    <n v="4383995"/>
    <s v="N190"/>
    <s v="N190"/>
    <d v="2024-06-06T00:00:00"/>
    <d v="2024-06-06T00:00:00"/>
    <d v="1899-12-30T08:00:00"/>
    <n v="2"/>
    <x v="7"/>
    <d v="2024-06-10T00:00:00"/>
    <s v="D+1"/>
    <x v="15"/>
    <n v="17"/>
    <x v="0"/>
    <x v="1"/>
    <s v="NET MASSIVO"/>
    <x v="1"/>
    <x v="0"/>
  </r>
  <r>
    <n v="4383996"/>
    <s v="N190"/>
    <s v="USAD"/>
    <d v="2024-06-06T00:00:00"/>
    <d v="2024-06-06T00:00:00"/>
    <d v="1899-12-30T08:00:00"/>
    <n v="2"/>
    <x v="7"/>
    <d v="2024-06-10T00:00:00"/>
    <s v="D+1"/>
    <x v="15"/>
    <n v="7"/>
    <x v="0"/>
    <x v="1"/>
    <s v="NET MASSIVO"/>
    <x v="1"/>
    <x v="0"/>
  </r>
  <r>
    <n v="4383997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3998"/>
    <s v="N190"/>
    <s v="USAD"/>
    <d v="2024-06-06T00:00:00"/>
    <d v="2024-06-06T00:00:00"/>
    <d v="1899-12-30T22:34:50"/>
    <n v="2"/>
    <x v="7"/>
    <d v="2024-06-10T00:00:00"/>
    <s v="D+1"/>
    <x v="15"/>
    <n v="2"/>
    <x v="0"/>
    <x v="1"/>
    <s v="NET MASSIVO"/>
    <x v="1"/>
    <x v="0"/>
  </r>
  <r>
    <n v="4383999"/>
    <s v="N190"/>
    <s v="USAD"/>
    <d v="2024-06-06T00:00:00"/>
    <d v="2024-06-06T00:00:00"/>
    <d v="1899-12-30T22:34:50"/>
    <n v="2"/>
    <x v="7"/>
    <d v="2024-06-10T00:00:00"/>
    <s v="D+1"/>
    <x v="15"/>
    <n v="2"/>
    <x v="0"/>
    <x v="1"/>
    <s v="NET MASSIVO"/>
    <x v="1"/>
    <x v="0"/>
  </r>
  <r>
    <n v="4384000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4001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02"/>
    <s v="N190"/>
    <s v="UDEI"/>
    <d v="2024-06-06T00:00:00"/>
    <d v="2024-06-06T00:00:00"/>
    <d v="1899-12-30T22:35:10"/>
    <n v="2"/>
    <x v="7"/>
    <d v="2024-06-10T00:00:00"/>
    <s v="D+1"/>
    <x v="15"/>
    <n v="1"/>
    <x v="0"/>
    <x v="1"/>
    <s v="NET MASSIVO"/>
    <x v="1"/>
    <x v="0"/>
  </r>
  <r>
    <n v="4384003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04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05"/>
    <s v="N190"/>
    <s v="USAD"/>
    <d v="2024-06-06T00:00:00"/>
    <d v="2024-06-06T00:00:00"/>
    <d v="1899-12-30T22:35:30"/>
    <n v="2"/>
    <x v="7"/>
    <d v="2024-06-10T00:00:00"/>
    <s v="D+1"/>
    <x v="15"/>
    <n v="2"/>
    <x v="0"/>
    <x v="1"/>
    <s v="NET MASSIVO"/>
    <x v="1"/>
    <x v="0"/>
  </r>
  <r>
    <n v="4384006"/>
    <s v="N190"/>
    <s v="USAD"/>
    <d v="2024-06-06T00:00:00"/>
    <d v="2024-06-06T00:00:00"/>
    <d v="1899-12-30T22:35:40"/>
    <n v="2"/>
    <x v="7"/>
    <d v="2024-06-10T00:00:00"/>
    <s v="D+1"/>
    <x v="15"/>
    <n v="2"/>
    <x v="0"/>
    <x v="1"/>
    <s v="NET MASSIVO"/>
    <x v="1"/>
    <x v="0"/>
  </r>
  <r>
    <n v="4384007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08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09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10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4011"/>
    <s v="N190"/>
    <s v="USAD"/>
    <d v="2024-06-06T00:00:00"/>
    <d v="2024-06-06T00:00:00"/>
    <d v="1899-12-30T22:36:10"/>
    <n v="2"/>
    <x v="7"/>
    <d v="2024-06-10T00:00:00"/>
    <s v="D+1"/>
    <x v="15"/>
    <n v="3"/>
    <x v="0"/>
    <x v="1"/>
    <s v="NET MASSIVO"/>
    <x v="1"/>
    <x v="0"/>
  </r>
  <r>
    <n v="4384012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13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14"/>
    <s v="N190"/>
    <s v="USAD"/>
    <d v="2024-06-06T00:00:00"/>
    <d v="2024-06-06T00:00:00"/>
    <d v="1899-12-30T22:36:30"/>
    <n v="2"/>
    <x v="7"/>
    <d v="2024-06-10T00:00:00"/>
    <s v="D+1"/>
    <x v="15"/>
    <n v="2"/>
    <x v="0"/>
    <x v="1"/>
    <s v="NET MASSIVO"/>
    <x v="1"/>
    <x v="0"/>
  </r>
  <r>
    <n v="4384015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16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17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18"/>
    <s v="N190"/>
    <s v="N190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19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0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1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2"/>
    <s v="N190"/>
    <s v="USAD"/>
    <d v="2024-06-06T00:00:00"/>
    <d v="2024-06-06T00:00:00"/>
    <d v="1899-12-30T08:00:00"/>
    <n v="2"/>
    <x v="7"/>
    <d v="2024-06-10T00:00:00"/>
    <s v="D+1"/>
    <x v="15"/>
    <n v="3"/>
    <x v="0"/>
    <x v="1"/>
    <s v="NET MASSIVO"/>
    <x v="1"/>
    <x v="0"/>
  </r>
  <r>
    <n v="4384023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4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5"/>
    <s v="N190"/>
    <s v="USAD"/>
    <d v="2024-06-06T00:00:00"/>
    <d v="2024-06-06T00:00:00"/>
    <d v="1899-12-30T08:00:00"/>
    <n v="2"/>
    <x v="7"/>
    <d v="2024-06-10T00:00:00"/>
    <s v="D+1"/>
    <x v="15"/>
    <n v="2"/>
    <x v="0"/>
    <x v="1"/>
    <s v="NET MASSIVO"/>
    <x v="1"/>
    <x v="0"/>
  </r>
  <r>
    <n v="4384026"/>
    <s v="N190"/>
    <s v="N190"/>
    <d v="2024-06-06T00:00:00"/>
    <d v="2024-06-06T00:00:00"/>
    <d v="1899-12-30T08:00:00"/>
    <n v="2"/>
    <x v="7"/>
    <d v="2024-06-10T00:00:00"/>
    <s v="D+1"/>
    <x v="15"/>
    <n v="1"/>
    <x v="0"/>
    <x v="1"/>
    <s v="NET MASSIVO"/>
    <x v="1"/>
    <x v="0"/>
  </r>
  <r>
    <n v="4384027"/>
    <s v="N190"/>
    <s v="USAD"/>
    <d v="2024-06-06T00:00:00"/>
    <d v="2024-06-06T00:00:00"/>
    <d v="1899-12-30T22:37:40"/>
    <n v="2"/>
    <x v="7"/>
    <d v="2024-06-10T00:00:00"/>
    <s v="D+1"/>
    <x v="15"/>
    <n v="3"/>
    <x v="0"/>
    <x v="1"/>
    <s v="NET MASSIVO"/>
    <x v="1"/>
    <x v="0"/>
  </r>
  <r>
    <n v="4384028"/>
    <s v="N190"/>
    <s v="USAD"/>
    <d v="2024-06-06T00:00:00"/>
    <d v="2024-06-06T00:00:00"/>
    <d v="1899-12-30T22:37:50"/>
    <n v="2"/>
    <x v="7"/>
    <d v="2024-06-10T00:00:00"/>
    <s v="D+1"/>
    <x v="15"/>
    <n v="3"/>
    <x v="0"/>
    <x v="1"/>
    <s v="NET MASSIVO"/>
    <x v="1"/>
    <x v="0"/>
  </r>
  <r>
    <n v="4384029"/>
    <s v="N190"/>
    <s v="N190"/>
    <d v="2024-06-06T00:00:00"/>
    <d v="2024-06-06T00:00:00"/>
    <d v="1899-12-30T22:37:50"/>
    <n v="2"/>
    <x v="7"/>
    <d v="2024-06-10T00:00:00"/>
    <s v="D+1"/>
    <x v="15"/>
    <n v="1"/>
    <x v="0"/>
    <x v="1"/>
    <s v="NET MASSIVO"/>
    <x v="1"/>
    <x v="0"/>
  </r>
  <r>
    <n v="4384030"/>
    <s v="N190"/>
    <s v="N190"/>
    <d v="2024-06-06T00:00:00"/>
    <d v="2024-06-06T00:00:00"/>
    <d v="1899-12-30T22:38:00"/>
    <n v="2"/>
    <x v="7"/>
    <d v="2024-06-10T00:00:00"/>
    <s v="D+1"/>
    <x v="15"/>
    <n v="5"/>
    <x v="0"/>
    <x v="1"/>
    <s v="NET MASSIVO"/>
    <x v="1"/>
    <x v="0"/>
  </r>
  <r>
    <n v="4384123"/>
    <s v="N190"/>
    <s v="UNRP"/>
    <d v="2024-06-07T00:00:00"/>
    <d v="2024-06-07T00:00:00"/>
    <d v="1899-12-30T08:00:00"/>
    <n v="2"/>
    <x v="7"/>
    <d v="2024-06-11T00:00:00"/>
    <s v="D+0"/>
    <x v="16"/>
    <n v="3"/>
    <x v="0"/>
    <x v="1"/>
    <s v="NET MASSIVO"/>
    <x v="1"/>
    <x v="0"/>
  </r>
  <r>
    <n v="4384124"/>
    <s v="N190"/>
    <s v="UNRP"/>
    <d v="2024-06-07T00:00:00"/>
    <d v="2024-06-07T00:00:00"/>
    <d v="1899-12-30T10:42:10"/>
    <n v="2"/>
    <x v="7"/>
    <d v="2024-06-11T00:00:00"/>
    <s v="D+0"/>
    <x v="16"/>
    <n v="1"/>
    <x v="0"/>
    <x v="1"/>
    <s v="NET MASSIVO"/>
    <x v="1"/>
    <x v="0"/>
  </r>
  <r>
    <n v="4384322"/>
    <s v="N190"/>
    <s v="UNRP"/>
    <d v="2024-06-07T00:00:00"/>
    <d v="2024-06-07T00:00:00"/>
    <d v="1899-12-30T08:00:00"/>
    <n v="2"/>
    <x v="7"/>
    <d v="2024-06-11T00:00:00"/>
    <s v="D+0"/>
    <x v="16"/>
    <n v="4"/>
    <x v="0"/>
    <x v="1"/>
    <s v="NET MASSIVO"/>
    <x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2">
  <r>
    <x v="0"/>
    <s v="11EU"/>
    <x v="0"/>
    <d v="2024-06-05T00:00:00"/>
    <n v="221"/>
    <n v="30058425"/>
    <s v="ROTEADOR ALIGERA - AG561"/>
    <x v="0"/>
    <n v="1"/>
    <n v="1"/>
    <s v="Unidade"/>
    <s v="EM FATURAMENTO"/>
    <s v="PLANO DO DIA"/>
    <s v="EMBRATEL"/>
    <x v="0"/>
  </r>
  <r>
    <x v="0"/>
    <s v="11EU"/>
    <x v="0"/>
    <d v="2024-06-05T00:00:00"/>
    <n v="221"/>
    <n v="22043918"/>
    <s v="ADAPTDR BNC-F/BNC-F 1250-1287 INV"/>
    <x v="0"/>
    <n v="2"/>
    <n v="1"/>
    <s v="Unidade"/>
    <s v="EM FATURAMENTO"/>
    <s v="PLANO DO DIA"/>
    <s v="EMBRATEL"/>
    <x v="0"/>
  </r>
  <r>
    <x v="1"/>
    <s v="11EU"/>
    <x v="0"/>
    <d v="2024-06-05T00:00:00"/>
    <n v="221"/>
    <n v="30058425"/>
    <s v="ROTEADOR ALIGERA - AG561"/>
    <x v="0"/>
    <n v="2"/>
    <n v="1"/>
    <s v="Unidade"/>
    <s v="EM FATURAMENTO"/>
    <s v="PLANO DO DIA"/>
    <s v="EMBRATEL"/>
    <x v="0"/>
  </r>
  <r>
    <x v="1"/>
    <s v="11EU"/>
    <x v="0"/>
    <d v="2024-06-05T00:00:00"/>
    <n v="221"/>
    <n v="22043918"/>
    <s v="ADAPTDR BNC-F/BNC-F 1250-1287 INV"/>
    <x v="0"/>
    <n v="4"/>
    <n v="1"/>
    <s v="Unidade"/>
    <s v="EM FATURAMENTO"/>
    <s v="PLANO DO DIA"/>
    <s v="EMBRATEL"/>
    <x v="0"/>
  </r>
  <r>
    <x v="2"/>
    <s v="11EU"/>
    <x v="0"/>
    <d v="2024-06-05T00:00:00"/>
    <n v="221"/>
    <n v="30058425"/>
    <s v="ROTEADOR ALIGERA - AG561"/>
    <x v="0"/>
    <n v="2"/>
    <n v="1"/>
    <s v="Unidade"/>
    <s v="EM FATURAMENTO"/>
    <s v="PLANO DO DIA"/>
    <s v="EMBRATEL"/>
    <x v="0"/>
  </r>
  <r>
    <x v="2"/>
    <s v="11EU"/>
    <x v="0"/>
    <d v="2024-06-05T00:00:00"/>
    <n v="221"/>
    <n v="22043918"/>
    <s v="ADAPTDR BNC-F/BNC-F 1250-1287 INV"/>
    <x v="0"/>
    <n v="4"/>
    <n v="1"/>
    <s v="Unidade"/>
    <s v="EM FATURAMENTO"/>
    <s v="PLANO DO DIA"/>
    <s v="EMBRATEL"/>
    <x v="0"/>
  </r>
  <r>
    <x v="3"/>
    <s v="11EU"/>
    <x v="0"/>
    <d v="2024-06-05T00:00:00"/>
    <n v="201"/>
    <n v="254543"/>
    <s v="MANTA OVAL SEM ZIPER FOSC BM B8 E DM"/>
    <x v="0"/>
    <n v="30"/>
    <n v="1"/>
    <s v="Unidade"/>
    <s v="EM FATURAMENTO"/>
    <s v="PLANO DO DIA"/>
    <s v="EMBRATEL"/>
    <x v="0"/>
  </r>
  <r>
    <x v="4"/>
    <s v="11EU"/>
    <x v="0"/>
    <d v="2024-06-05T00:00:00"/>
    <n v="201"/>
    <n v="251820"/>
    <s v="SUPORTE PARA ISOLADOR VERTICAL"/>
    <x v="0"/>
    <n v="50"/>
    <n v="1"/>
    <s v="Unidade"/>
    <s v="EM CONFERENCIA"/>
    <s v="PLANO DO DIA"/>
    <s v="EMBRATEL"/>
    <x v="0"/>
  </r>
  <r>
    <x v="4"/>
    <s v="11EU"/>
    <x v="0"/>
    <d v="2024-06-05T00:00:00"/>
    <n v="201"/>
    <n v="251880"/>
    <s v="ISOLADOR ROLDANA PORCELANA 72 X 72"/>
    <x v="0"/>
    <n v="50"/>
    <n v="1"/>
    <s v="Unidade"/>
    <s v="EM CONFERENCIA"/>
    <s v="PLANO DO DIA"/>
    <s v="EMBRATEL"/>
    <x v="0"/>
  </r>
  <r>
    <x v="4"/>
    <s v="11EU"/>
    <x v="0"/>
    <d v="2024-06-05T00:00:00"/>
    <n v="201"/>
    <n v="252274"/>
    <s v="ALCA PREFORMADA 3/16 ACO GALVANIZADO"/>
    <x v="0"/>
    <n v="100"/>
    <n v="1"/>
    <s v="Unidade"/>
    <s v="EM CONFERENCIA"/>
    <s v="PLANO DO DIA"/>
    <s v="EMBRATEL"/>
    <x v="0"/>
  </r>
  <r>
    <x v="4"/>
    <s v="11EU"/>
    <x v="0"/>
    <d v="2024-06-05T00:00:00"/>
    <n v="201"/>
    <n v="252265"/>
    <s v="ABRACADEIRA AJUSTAVEL BAP3 COM PARAFUSO"/>
    <x v="0"/>
    <n v="200"/>
    <n v="1"/>
    <s v="Unidade"/>
    <s v="EM CONFERENCIA"/>
    <s v="PLANO DO DIA"/>
    <s v="EMBRATEL"/>
    <x v="0"/>
  </r>
  <r>
    <x v="4"/>
    <s v="11EU"/>
    <x v="0"/>
    <d v="2024-06-05T00:00:00"/>
    <n v="201"/>
    <n v="253067"/>
    <s v="PLACA SINALIZACAO CABO COAXIAL CLARO"/>
    <x v="0"/>
    <n v="200"/>
    <n v="1"/>
    <s v="Unidade"/>
    <s v="EM CONFERENCIA"/>
    <s v="PLANO DO DIA"/>
    <s v="EMBRATEL"/>
    <x v="0"/>
  </r>
  <r>
    <x v="4"/>
    <s v="11EU"/>
    <x v="0"/>
    <d v="2024-06-05T00:00:00"/>
    <n v="201"/>
    <n v="252276"/>
    <s v="LACO PRE FORMADO 3/16"/>
    <x v="0"/>
    <n v="100"/>
    <n v="1"/>
    <s v="Unidade"/>
    <s v="EM CONFERENCIA"/>
    <s v="PLANO DO DIA"/>
    <s v="EMBRATEL"/>
    <x v="0"/>
  </r>
  <r>
    <x v="4"/>
    <s v="11EU"/>
    <x v="0"/>
    <d v="2024-06-05T00:00:00"/>
    <n v="201"/>
    <n v="251840"/>
    <s v="SUPORTE TAP BRACKET 1/4 E 3/16"/>
    <x v="0"/>
    <n v="100"/>
    <n v="1"/>
    <s v="Unidade"/>
    <s v="EM CONFERENCIA"/>
    <s v="PLANO DO DIA"/>
    <s v="EMBRATEL"/>
    <x v="0"/>
  </r>
  <r>
    <x v="5"/>
    <s v="11EU"/>
    <x v="0"/>
    <d v="2024-06-05T00:00:00"/>
    <n v="201"/>
    <n v="252815"/>
    <s v="ABRACADEIRA NYLON T50R 20CM PRETA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4499"/>
    <s v="PROTETOR FO TERMOCONTR 62MM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3316"/>
    <s v="PROTETOR_FO TERMOCONTR. 45MM"/>
    <x v="0"/>
    <n v="1000"/>
    <n v="1"/>
    <s v="Unidade"/>
    <s v="EM CONFERENCIA"/>
    <s v="PLANO DO DIA"/>
    <s v="EMBRATEL"/>
    <x v="0"/>
  </r>
  <r>
    <x v="5"/>
    <s v="11EU"/>
    <x v="0"/>
    <d v="2024-06-05T00:00:00"/>
    <n v="201"/>
    <n v="252265"/>
    <s v="ABRACADEIRA AJUSTAVEL BAP3 COM PARAFUSO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4487"/>
    <s v="CAIXA EMENDA OPTICA DM 144 FO"/>
    <x v="0"/>
    <n v="2"/>
    <n v="1"/>
    <s v="Unidade"/>
    <s v="EM CONFERENCIA"/>
    <s v="PLANO DO DIA"/>
    <s v="EMBRATEL"/>
    <x v="0"/>
  </r>
  <r>
    <x v="5"/>
    <s v="11EU"/>
    <x v="0"/>
    <d v="2024-06-05T00:00:00"/>
    <n v="201"/>
    <n v="254543"/>
    <s v="MANTA OVAL SEM ZIPER FOSC BM B8 E DM"/>
    <x v="0"/>
    <n v="5"/>
    <n v="1"/>
    <s v="Unidade"/>
    <s v="EM CONFERENCIA"/>
    <s v="PLANO DO DIA"/>
    <s v="EMBRATEL"/>
    <x v="0"/>
  </r>
  <r>
    <x v="5"/>
    <s v="11EU"/>
    <x v="0"/>
    <d v="2024-06-05T00:00:00"/>
    <n v="201"/>
    <n v="254544"/>
    <s v="MANTA OVAL COM ZIPER FOSC BM B8 E DM"/>
    <x v="0"/>
    <n v="3"/>
    <n v="1"/>
    <s v="Unidade"/>
    <s v="EM CONFERENCIA"/>
    <s v="PLANO DO DIA"/>
    <s v="EMBRATEL"/>
    <x v="0"/>
  </r>
  <r>
    <x v="5"/>
    <s v="11EU"/>
    <x v="0"/>
    <d v="2024-06-05T00:00:00"/>
    <n v="201"/>
    <n v="253552"/>
    <s v="ALCA PREFORMADA FO AS PLP 1041 6,8 A 7,4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2274"/>
    <s v="ALCA PREFORMADA 3/16 ACO GALVANIZADO"/>
    <x v="0"/>
    <n v="20"/>
    <n v="1"/>
    <s v="Unidade"/>
    <s v="EM CONFERENCIA"/>
    <s v="PLANO DO DIA"/>
    <s v="EMBRATEL"/>
    <x v="0"/>
  </r>
  <r>
    <x v="5"/>
    <s v="11EU"/>
    <x v="0"/>
    <d v="2024-06-05T00:00:00"/>
    <n v="201"/>
    <n v="254384"/>
    <s v="SUPORTE CORDOALHA FOSC BM E B8"/>
    <x v="0"/>
    <n v="15"/>
    <n v="1"/>
    <s v="Unidade"/>
    <s v="EM CONFERENCIA"/>
    <s v="PLANO DO DIA"/>
    <s v="EMBRATEL"/>
    <x v="0"/>
  </r>
  <r>
    <x v="6"/>
    <s v="11EU"/>
    <x v="0"/>
    <d v="2024-06-05T00:00:00"/>
    <n v="201"/>
    <n v="254499"/>
    <s v="PROTETOR FO TERMOCONTR 62MM"/>
    <x v="0"/>
    <n v="4000"/>
    <n v="1"/>
    <s v="Unidade"/>
    <s v="PEDIDO EM LABORATORIO"/>
    <s v="PLANO DO DIA"/>
    <s v="EMBRATEL"/>
    <x v="0"/>
  </r>
  <r>
    <x v="6"/>
    <s v="11EU"/>
    <x v="0"/>
    <d v="2024-06-05T00:00:00"/>
    <n v="201"/>
    <n v="252815"/>
    <s v="ABRACADEIRA NYLON T50R 20CM PRETA"/>
    <x v="0"/>
    <n v="1000"/>
    <n v="1"/>
    <s v="Unidade"/>
    <s v="PEDIDO EM LABORATORIO"/>
    <s v="PLANO DO DIA"/>
    <s v="EMBRATEL"/>
    <x v="0"/>
  </r>
  <r>
    <x v="6"/>
    <s v="11EU"/>
    <x v="0"/>
    <d v="2024-06-05T00:00:00"/>
    <n v="201"/>
    <n v="252900"/>
    <s v="FITA ISOLANTE 33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2341"/>
    <s v="REFIL P/MACARICO PORTATIL ARJ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3496"/>
    <s v="FITA ISOLANTE AUTOFUSAO 3M SCOTCH23 10MT"/>
    <x v="0"/>
    <n v="5"/>
    <n v="1"/>
    <s v="Unidade"/>
    <s v="PEDIDO EM LABORATORIO"/>
    <s v="PLANO DO DIA"/>
    <s v="EMBRATEL"/>
    <x v="0"/>
  </r>
  <r>
    <x v="6"/>
    <s v="11EU"/>
    <x v="0"/>
    <d v="2024-06-05T00:00:00"/>
    <n v="201"/>
    <n v="254491"/>
    <s v="CONJ TUBO DERIVACAO FOSC 100 31MM"/>
    <x v="0"/>
    <n v="50"/>
    <n v="1"/>
    <s v="Unidade"/>
    <s v="PEDIDO EM LABORATORIO"/>
    <s v="PLANO DO DIA"/>
    <s v="EMBRATEL"/>
    <x v="0"/>
  </r>
  <r>
    <x v="6"/>
    <s v="11EU"/>
    <x v="0"/>
    <d v="2024-06-05T00:00:00"/>
    <n v="201"/>
    <n v="254544"/>
    <s v="MANTA OVAL COM ZIPER FOSC BM B8 E DM"/>
    <x v="0"/>
    <n v="2"/>
    <n v="1"/>
    <s v="Unidade"/>
    <s v="PEDIDO EM LABORATORIO"/>
    <s v="PLANO DO DIA"/>
    <s v="EMBRATEL"/>
    <x v="0"/>
  </r>
  <r>
    <x v="6"/>
    <s v="11EU"/>
    <x v="0"/>
    <d v="2024-06-05T00:00:00"/>
    <n v="201"/>
    <n v="254487"/>
    <s v="CAIXA EMENDA OPTICA DM 144 FO"/>
    <x v="0"/>
    <n v="2"/>
    <n v="1"/>
    <s v="Unidade"/>
    <s v="PEDIDO EM LABORATORIO"/>
    <s v="PLANO DO DIA"/>
    <s v="EMBRATEL"/>
    <x v="0"/>
  </r>
  <r>
    <x v="7"/>
    <s v="11EU"/>
    <x v="0"/>
    <d v="2024-06-05T00:00:00"/>
    <n v="201"/>
    <n v="254499"/>
    <s v="PROTETOR FO TERMOCONTR 62MM"/>
    <x v="0"/>
    <n v="5000"/>
    <n v="1"/>
    <s v="Unidade"/>
    <s v="EM CONFERENCIA"/>
    <s v="PLANO DO DIA"/>
    <s v="EMBRATEL"/>
    <x v="0"/>
  </r>
  <r>
    <x v="7"/>
    <s v="11EU"/>
    <x v="0"/>
    <d v="2024-06-05T00:00:00"/>
    <n v="201"/>
    <n v="252815"/>
    <s v="ABRACADEIRA NYLON T50R 20CM PRETA"/>
    <x v="0"/>
    <n v="1000"/>
    <n v="1"/>
    <s v="Unidade"/>
    <s v="EM CONFERENCIA"/>
    <s v="PLANO DO DIA"/>
    <s v="EMBRATEL"/>
    <x v="0"/>
  </r>
  <r>
    <x v="7"/>
    <s v="11EU"/>
    <x v="0"/>
    <d v="2024-06-05T00:00:00"/>
    <n v="201"/>
    <n v="252900"/>
    <s v="FITA ISOLANTE 33"/>
    <x v="0"/>
    <n v="5"/>
    <n v="1"/>
    <s v="Unidade"/>
    <s v="EM CONFERENCIA"/>
    <s v="PLANO DO DIA"/>
    <s v="EMBRATEL"/>
    <x v="0"/>
  </r>
  <r>
    <x v="7"/>
    <s v="11EU"/>
    <x v="0"/>
    <d v="2024-06-05T00:00:00"/>
    <n v="201"/>
    <n v="254491"/>
    <s v="CONJ TUBO DERIVACAO FOSC 100 31MM"/>
    <x v="0"/>
    <n v="50"/>
    <n v="1"/>
    <s v="Unidade"/>
    <s v="EM CONFERENCIA"/>
    <s v="PLANO DO DIA"/>
    <s v="EMBRATEL"/>
    <x v="0"/>
  </r>
  <r>
    <x v="7"/>
    <s v="11EU"/>
    <x v="0"/>
    <d v="2024-06-05T00:00:00"/>
    <n v="201"/>
    <n v="254543"/>
    <s v="MANTA OVAL SEM ZIPER FOSC BM B8 E DM"/>
    <x v="0"/>
    <n v="10"/>
    <n v="1"/>
    <s v="Unidade"/>
    <s v="EM CONFERENCIA"/>
    <s v="PLANO DO DIA"/>
    <s v="EMBRATEL"/>
    <x v="0"/>
  </r>
  <r>
    <x v="7"/>
    <s v="11EU"/>
    <x v="0"/>
    <d v="2024-06-05T00:00:00"/>
    <n v="201"/>
    <n v="254385"/>
    <s v="BANDEJA EMENDA OPTICA FOSC BM E B8 24FO"/>
    <x v="0"/>
    <n v="20"/>
    <n v="1"/>
    <s v="Unidade"/>
    <s v="EM CONFERENCIA"/>
    <s v="PLANO DO DIA"/>
    <s v="EMBRATEL"/>
    <x v="0"/>
  </r>
  <r>
    <x v="7"/>
    <s v="11EU"/>
    <x v="0"/>
    <d v="2024-06-05T00:00:00"/>
    <n v="201"/>
    <n v="253496"/>
    <s v="FITA ISOLANTE AUTOFUSAO 3M SCOTCH23 10MT"/>
    <x v="0"/>
    <n v="5"/>
    <n v="1"/>
    <s v="Unidade"/>
    <s v="EM CONFERENCIA"/>
    <s v="PLANO DO DIA"/>
    <s v="EMBRATEL"/>
    <x v="0"/>
  </r>
  <r>
    <x v="7"/>
    <s v="11EU"/>
    <x v="0"/>
    <d v="2024-06-05T00:00:00"/>
    <n v="201"/>
    <n v="254544"/>
    <s v="MANTA OVAL COM ZIPER FOSC BM B8 E DM"/>
    <x v="0"/>
    <n v="2"/>
    <n v="1"/>
    <s v="Unidade"/>
    <s v="EM CONFERENCIA"/>
    <s v="PLANO DO DIA"/>
    <s v="EMBRATEL"/>
    <x v="0"/>
  </r>
  <r>
    <x v="7"/>
    <s v="11EU"/>
    <x v="0"/>
    <d v="2024-06-05T00:00:00"/>
    <n v="201"/>
    <n v="254487"/>
    <s v="CAIXA EMENDA OPTICA DM 144 FO"/>
    <x v="0"/>
    <n v="10"/>
    <n v="1"/>
    <s v="Unidade"/>
    <s v="EM CONFERENCIA"/>
    <s v="PLANO DO DIA"/>
    <s v="EMBRATEL"/>
    <x v="0"/>
  </r>
  <r>
    <x v="8"/>
    <s v="11EU"/>
    <x v="0"/>
    <d v="2024-06-05T00:00:00"/>
    <n v="201"/>
    <n v="254499"/>
    <s v="PROTETOR FO TERMOCONTR 62MM"/>
    <x v="0"/>
    <n v="4000"/>
    <n v="1"/>
    <s v="Unidade"/>
    <s v="PEDIDO EM LABORATORIO"/>
    <s v="PLANO DO DIA"/>
    <s v="EMBRATEL"/>
    <x v="0"/>
  </r>
  <r>
    <x v="8"/>
    <s v="11EU"/>
    <x v="0"/>
    <d v="2024-06-05T00:00:00"/>
    <n v="201"/>
    <n v="252815"/>
    <s v="ABRACADEIRA NYLON T50R 20CM PRETA"/>
    <x v="0"/>
    <n v="500"/>
    <n v="1"/>
    <s v="Unidade"/>
    <s v="PEDIDO EM LABORATORIO"/>
    <s v="PLANO DO DIA"/>
    <s v="EMBRATEL"/>
    <x v="0"/>
  </r>
  <r>
    <x v="8"/>
    <s v="11EU"/>
    <x v="0"/>
    <d v="2024-06-05T00:00:00"/>
    <n v="201"/>
    <n v="254491"/>
    <s v="CONJ TUBO DERIVACAO FOSC 100 31MM"/>
    <x v="0"/>
    <n v="80"/>
    <n v="1"/>
    <s v="Unidade"/>
    <s v="PEDIDO EM LABORATORIO"/>
    <s v="PLANO DO DIA"/>
    <s v="EMBRATEL"/>
    <x v="0"/>
  </r>
  <r>
    <x v="8"/>
    <s v="11EU"/>
    <x v="0"/>
    <d v="2024-06-05T00:00:00"/>
    <n v="201"/>
    <n v="254544"/>
    <s v="MANTA OVAL COM ZIPER FOSC BM B8 E DM"/>
    <x v="0"/>
    <n v="5"/>
    <n v="1"/>
    <s v="Unidade"/>
    <s v="PEDIDO EM LABORATORIO"/>
    <s v="PLANO DO DIA"/>
    <s v="EMBRATEL"/>
    <x v="0"/>
  </r>
  <r>
    <x v="8"/>
    <s v="11EU"/>
    <x v="0"/>
    <d v="2024-06-05T00:00:00"/>
    <n v="201"/>
    <n v="254487"/>
    <s v="CAIXA EMENDA OPTICA DM 144 FO"/>
    <x v="0"/>
    <n v="14"/>
    <n v="1"/>
    <s v="Unidade"/>
    <s v="PEDIDO EM LABORATORIO"/>
    <s v="PLANO DO DIA"/>
    <s v="EMBRATEL"/>
    <x v="0"/>
  </r>
  <r>
    <x v="9"/>
    <s v="11EU"/>
    <x v="0"/>
    <d v="2024-06-05T00:00:00"/>
    <n v="201"/>
    <n v="254499"/>
    <s v="PROTETOR FO TERMOCONTR 62MM"/>
    <x v="0"/>
    <n v="3000"/>
    <n v="1"/>
    <s v="Unidade"/>
    <s v="PEDIDO EM LABORATORIO"/>
    <s v="PLANO DO DIA"/>
    <s v="EMBRATEL"/>
    <x v="0"/>
  </r>
  <r>
    <x v="9"/>
    <s v="11EU"/>
    <x v="0"/>
    <d v="2024-06-05T00:00:00"/>
    <n v="201"/>
    <n v="252900"/>
    <s v="FITA ISOLANTE 33"/>
    <x v="0"/>
    <n v="6"/>
    <n v="1"/>
    <s v="Unidade"/>
    <s v="PEDIDO EM LABORATORIO"/>
    <s v="PLANO DO DIA"/>
    <s v="EMBRATEL"/>
    <x v="0"/>
  </r>
  <r>
    <x v="9"/>
    <s v="11EU"/>
    <x v="0"/>
    <d v="2024-06-05T00:00:00"/>
    <n v="201"/>
    <n v="253496"/>
    <s v="FITA ISOLANTE AUTOFUSAO 3M SCOTCH23 10MT"/>
    <x v="0"/>
    <n v="6"/>
    <n v="1"/>
    <s v="Unidade"/>
    <s v="PEDIDO EM LABORATORIO"/>
    <s v="PLANO DO DIA"/>
    <s v="EMBRATEL"/>
    <x v="0"/>
  </r>
  <r>
    <x v="9"/>
    <s v="11EU"/>
    <x v="0"/>
    <d v="2024-06-05T00:00:00"/>
    <n v="201"/>
    <n v="254491"/>
    <s v="CONJ TUBO DERIVACAO FOSC 100 31MM"/>
    <x v="0"/>
    <n v="50"/>
    <n v="1"/>
    <s v="Unidade"/>
    <s v="PEDIDO EM LABORATORIO"/>
    <s v="PLANO DO DIA"/>
    <s v="EMBRATEL"/>
    <x v="0"/>
  </r>
  <r>
    <x v="9"/>
    <s v="11EU"/>
    <x v="0"/>
    <d v="2024-06-05T00:00:00"/>
    <n v="201"/>
    <n v="254487"/>
    <s v="CAIXA EMENDA OPTICA DM 144 FO"/>
    <x v="0"/>
    <n v="10"/>
    <n v="1"/>
    <s v="Unidade"/>
    <s v="PEDIDO EM LABORATORIO"/>
    <s v="PLANO DO DIA"/>
    <s v="EMBRATEL"/>
    <x v="0"/>
  </r>
  <r>
    <x v="10"/>
    <s v="11EU"/>
    <x v="0"/>
    <d v="2024-06-05T00:00:00"/>
    <n v="221"/>
    <n v="30058425"/>
    <s v="ROTEADOR ALIGERA - AG561"/>
    <x v="0"/>
    <n v="4"/>
    <n v="1"/>
    <s v="Unidade"/>
    <s v="EM FATURAMENTO"/>
    <s v="PLANO DO DIA"/>
    <s v="EMBRATEL"/>
    <x v="0"/>
  </r>
  <r>
    <x v="10"/>
    <s v="11EU"/>
    <x v="0"/>
    <d v="2024-06-05T00:00:00"/>
    <n v="221"/>
    <n v="22043918"/>
    <s v="ADAPTDR BNC-F/BNC-F 1250-1287 INV"/>
    <x v="0"/>
    <n v="8"/>
    <n v="1"/>
    <s v="Unidade"/>
    <s v="EM FATURAMENTO"/>
    <s v="PLANO DO DIA"/>
    <s v="EMBRATEL"/>
    <x v="0"/>
  </r>
  <r>
    <x v="11"/>
    <s v="11EU"/>
    <x v="0"/>
    <d v="2024-06-05T00:00:00"/>
    <n v="221"/>
    <n v="30065119"/>
    <s v="MODEM OPTICO GPON HG8140H5"/>
    <x v="0"/>
    <n v="30"/>
    <n v="1"/>
    <s v="Unidade"/>
    <s v="EM CONFERENCIA"/>
    <s v="PLANO DO DIA"/>
    <s v="EMBRATEL"/>
    <x v="0"/>
  </r>
  <r>
    <x v="12"/>
    <s v="11EU"/>
    <x v="0"/>
    <d v="2024-06-05T00:00:00"/>
    <n v="221"/>
    <n v="30065119"/>
    <s v="MODEM OPTICO GPON HG8140H5"/>
    <x v="0"/>
    <n v="20"/>
    <n v="1"/>
    <s v="Unidade"/>
    <s v="EM SEPARAÇÃO"/>
    <s v="PLANO DO DIA"/>
    <s v="EMBRATEL"/>
    <x v="0"/>
  </r>
  <r>
    <x v="13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13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14"/>
    <s v="11EU"/>
    <x v="0"/>
    <d v="2024-06-05T00:00:00"/>
    <n v="301"/>
    <n v="16008418"/>
    <s v="FIREWALL FORTIGATE 40F"/>
    <x v="0"/>
    <n v="1"/>
    <n v="1"/>
    <s v="Unidade"/>
    <s v="EM CONFERENCIA"/>
    <s v="PLANO DO DIA"/>
    <s v="EMBRATEL"/>
    <x v="0"/>
  </r>
  <r>
    <x v="15"/>
    <s v="11EU"/>
    <x v="0"/>
    <d v="2024-06-05T00:00:00"/>
    <n v="221"/>
    <n v="40000616"/>
    <s v="GATEWAY AG1602 2E1"/>
    <x v="0"/>
    <n v="1"/>
    <n v="1"/>
    <s v="Unidade"/>
    <s v="EM CONFERENCIA"/>
    <s v="PLANO DO DIA"/>
    <s v="EMBRATEL"/>
    <x v="0"/>
  </r>
  <r>
    <x v="16"/>
    <s v="11EU"/>
    <x v="0"/>
    <d v="2024-06-05T00:00:00"/>
    <n v="221"/>
    <n v="40000616"/>
    <s v="GATEWAY AG1602 2E1"/>
    <x v="0"/>
    <n v="1"/>
    <n v="1"/>
    <s v="Unidade"/>
    <s v="EM CONFERENCIA"/>
    <s v="PLANO DO DIA"/>
    <s v="EMBRATEL"/>
    <x v="0"/>
  </r>
  <r>
    <x v="17"/>
    <s v="11EU"/>
    <x v="0"/>
    <d v="2024-06-05T00:00:00"/>
    <n v="221"/>
    <n v="30060203"/>
    <s v="ROTEADOR GIGAETHERNET C1111 4P"/>
    <x v="0"/>
    <n v="1"/>
    <n v="1"/>
    <s v="Unidade"/>
    <s v="EM CONFERENCIA"/>
    <s v="PLANO DO DIA"/>
    <s v="EMBRATEL"/>
    <x v="0"/>
  </r>
  <r>
    <x v="18"/>
    <s v="11EU"/>
    <x v="0"/>
    <d v="2024-06-05T00:00:00"/>
    <n v="221"/>
    <n v="16008418"/>
    <s v="FIREWALL FORTIGATE 40F"/>
    <x v="0"/>
    <n v="2"/>
    <n v="1"/>
    <s v="Unidade"/>
    <s v="EM FATURAMENTO"/>
    <s v="PLANO DO DIA"/>
    <s v="EMBRATEL"/>
    <x v="0"/>
  </r>
  <r>
    <x v="19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20"/>
    <s v="11EU"/>
    <x v="0"/>
    <d v="2024-06-05T00:00:00"/>
    <n v="221"/>
    <n v="16008418"/>
    <s v="FIREWALL FORTIGATE 40F"/>
    <x v="0"/>
    <n v="2"/>
    <n v="1"/>
    <s v="Unidade"/>
    <s v="EM FATURAMENTO"/>
    <s v="PLANO DO DIA"/>
    <s v="EMBRATEL"/>
    <x v="0"/>
  </r>
  <r>
    <x v="21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22"/>
    <s v="11EU"/>
    <x v="0"/>
    <d v="2024-06-05T00:00:00"/>
    <n v="301"/>
    <n v="30054372"/>
    <s v="HPE MSR954 1GBE SFP 2GE-WAN 4GE-L JH296A"/>
    <x v="0"/>
    <n v="1"/>
    <n v="1"/>
    <s v="Unidade"/>
    <s v="EM CONFERENCIA"/>
    <s v="PLANO DO DIA"/>
    <s v="EMBRATEL"/>
    <x v="0"/>
  </r>
  <r>
    <x v="22"/>
    <s v="11EU"/>
    <x v="0"/>
    <d v="2024-06-05T00:00:00"/>
    <n v="301"/>
    <n v="40000864"/>
    <s v="ROTEADOR C921 4P"/>
    <x v="0"/>
    <n v="1"/>
    <n v="1"/>
    <s v="Unidade"/>
    <s v="EM CONFERENCIA"/>
    <s v="PLANO DO DIA"/>
    <s v="EMBRATEL"/>
    <x v="0"/>
  </r>
  <r>
    <x v="23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24"/>
    <s v="11EU"/>
    <x v="0"/>
    <d v="2024-06-05T00:00:00"/>
    <n v="221"/>
    <n v="16008418"/>
    <s v="FIREWALL FORTIGATE 40F"/>
    <x v="0"/>
    <n v="1"/>
    <n v="1"/>
    <s v="Unidade"/>
    <s v="EM FATURAMENTO"/>
    <s v="PLANO DO DIA"/>
    <s v="EMBRATEL"/>
    <x v="0"/>
  </r>
  <r>
    <x v="25"/>
    <s v="11EU"/>
    <x v="0"/>
    <d v="2024-06-05T00:00:00"/>
    <n v="221"/>
    <n v="30060998"/>
    <s v="CHASSI 800M C841M 4X K9 BR 004"/>
    <x v="0"/>
    <n v="1"/>
    <n v="1"/>
    <s v="Unidade"/>
    <s v="EM CONFERENCIA"/>
    <s v="PLANO DO DIA"/>
    <s v="EMBRATEL"/>
    <x v="0"/>
  </r>
  <r>
    <x v="26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6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6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6"/>
    <s v="11EU"/>
    <x v="0"/>
    <d v="2024-06-05T00:00:00"/>
    <n v="221"/>
    <n v="40000864"/>
    <s v="ROTEADOR C921 4P"/>
    <x v="0"/>
    <n v="1"/>
    <n v="1"/>
    <s v="Unidade"/>
    <s v="EM FATURAMENTO"/>
    <s v="PLANO DO DIA"/>
    <s v="EMBRATEL"/>
    <x v="0"/>
  </r>
  <r>
    <x v="27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27"/>
    <s v="11EU"/>
    <x v="0"/>
    <d v="2024-06-05T00:00:00"/>
    <n v="221"/>
    <n v="40000864"/>
    <s v="ROTEADOR C921 4P"/>
    <x v="0"/>
    <n v="1"/>
    <n v="1"/>
    <s v="Unidade"/>
    <s v="EM CONFERENCIA"/>
    <s v="PLANO DO DIA"/>
    <s v="EMBRATEL"/>
    <x v="0"/>
  </r>
  <r>
    <x v="27"/>
    <s v="11EU"/>
    <x v="0"/>
    <d v="2024-06-05T00:00:00"/>
    <n v="221"/>
    <n v="30054372"/>
    <s v="HPE MSR954 1GBE SFP 2GE-WAN 4GE-L JH296A"/>
    <x v="0"/>
    <n v="1"/>
    <n v="1"/>
    <s v="Unidade"/>
    <s v="EM CONFERENCIA"/>
    <s v="PLANO DO DIA"/>
    <s v="EMBRATEL"/>
    <x v="0"/>
  </r>
  <r>
    <x v="28"/>
    <s v="11EU"/>
    <x v="0"/>
    <d v="2024-06-05T00:00:00"/>
    <n v="221"/>
    <n v="16008418"/>
    <s v="FIREWALL FORTIGATE 40F"/>
    <x v="0"/>
    <n v="1"/>
    <n v="1"/>
    <s v="Unidade"/>
    <s v="EM RESSUPRIMENTO"/>
    <s v="PLANO DO DIA"/>
    <s v="EMBRATEL"/>
    <x v="0"/>
  </r>
  <r>
    <x v="29"/>
    <s v="11EU"/>
    <x v="0"/>
    <d v="2024-06-05T00:00:00"/>
    <n v="221"/>
    <n v="30034241"/>
    <s v="ABRAC. AJUST. BAP3 C/PARAFUSO"/>
    <x v="0"/>
    <n v="30"/>
    <n v="1"/>
    <s v="Unidade"/>
    <s v="EM CONFERENCIA"/>
    <s v="PLANO DO DIA"/>
    <s v="EMBRATEL"/>
    <x v="0"/>
  </r>
  <r>
    <x v="29"/>
    <s v="11EU"/>
    <x v="0"/>
    <d v="2024-06-05T00:00:00"/>
    <n v="221"/>
    <n v="30034261"/>
    <s v="ALCA PREFORMADA ACO 3/16"/>
    <x v="0"/>
    <n v="25"/>
    <n v="1"/>
    <s v="Unidade"/>
    <s v="EM CONFERENCIA"/>
    <s v="PLANO DO DIA"/>
    <s v="EMBRATEL"/>
    <x v="0"/>
  </r>
  <r>
    <x v="29"/>
    <s v="11EU"/>
    <x v="0"/>
    <d v="2024-06-05T00:00:00"/>
    <n v="221"/>
    <n v="22064686"/>
    <s v="CAIXA EMENDA OPTICA DM 144 FO"/>
    <x v="0"/>
    <n v="15"/>
    <n v="1"/>
    <s v="Unidade"/>
    <s v="EM CONFERENCIA"/>
    <s v="PLANO DO DIA"/>
    <s v="EMBRATEL"/>
    <x v="0"/>
  </r>
  <r>
    <x v="30"/>
    <s v="11EU"/>
    <x v="0"/>
    <d v="2024-06-05T00:00:00"/>
    <n v="201"/>
    <n v="252210"/>
    <s v="RESERVA FO FIBERLOOP NYLON"/>
    <x v="0"/>
    <n v="600"/>
    <n v="1"/>
    <s v="Unidade"/>
    <s v="PEDIDO EM LABORATORIO"/>
    <s v="PLANO DO DIA"/>
    <s v="EMBRATEL"/>
    <x v="0"/>
  </r>
  <r>
    <x v="30"/>
    <s v="11EU"/>
    <x v="0"/>
    <d v="2024-06-05T00:00:00"/>
    <n v="201"/>
    <n v="251840"/>
    <s v="SUPORTE TAP BRACKET 1/4 E 3/16"/>
    <x v="0"/>
    <n v="1000"/>
    <n v="1"/>
    <s v="Unidade"/>
    <s v="PEDIDO EM LABORATORIO"/>
    <s v="PLANO DO DIA"/>
    <s v="EMBRATEL"/>
    <x v="0"/>
  </r>
  <r>
    <x v="30"/>
    <s v="11EU"/>
    <x v="0"/>
    <d v="2024-06-05T00:00:00"/>
    <n v="201"/>
    <n v="254384"/>
    <s v="SUPORTE CORDOALHA FOSC BM E B8"/>
    <x v="0"/>
    <n v="120"/>
    <n v="1"/>
    <s v="Unidade"/>
    <s v="PEDIDO EM LABORATORIO"/>
    <s v="PLANO DO DIA"/>
    <s v="EMBRATEL"/>
    <x v="0"/>
  </r>
  <r>
    <x v="30"/>
    <s v="11EU"/>
    <x v="0"/>
    <d v="2024-06-05T00:00:00"/>
    <n v="201"/>
    <n v="254490"/>
    <s v="SUPORTE CEO DM COM ABRACADEIRAS"/>
    <x v="0"/>
    <n v="60"/>
    <n v="1"/>
    <s v="Unidade"/>
    <s v="PEDIDO EM LABORATORIO"/>
    <s v="PLANO DO DIA"/>
    <s v="EMBRATEL"/>
    <x v="0"/>
  </r>
  <r>
    <x v="31"/>
    <s v="11EU"/>
    <x v="0"/>
    <d v="2024-06-05T00:00:00"/>
    <n v="201"/>
    <n v="251836"/>
    <s v="HASTE ATER COBR HTC10 5/8 S ROSCA 2,4M"/>
    <x v="0"/>
    <n v="200"/>
    <n v="1"/>
    <s v="Unidade"/>
    <s v="EM CONFERENCIA"/>
    <s v="PLANO DO DIA"/>
    <s v="EMBRATEL"/>
    <x v="0"/>
  </r>
  <r>
    <x v="31"/>
    <s v="11EU"/>
    <x v="0"/>
    <d v="2024-06-05T00:00:00"/>
    <n v="201"/>
    <n v="252291"/>
    <s v="PRENSA FIO ESPINAR 3/16 ALUMINIO"/>
    <x v="0"/>
    <n v="1000"/>
    <n v="1"/>
    <s v="Unidade"/>
    <s v="EM CONFERENCIA"/>
    <s v="PLANO DO DIA"/>
    <s v="EMBRATEL"/>
    <x v="0"/>
  </r>
  <r>
    <x v="31"/>
    <s v="11EU"/>
    <x v="0"/>
    <d v="2024-06-05T00:00:00"/>
    <n v="201"/>
    <n v="252307"/>
    <s v="LACO PRE FORMADO 1/4"/>
    <x v="0"/>
    <n v="40"/>
    <n v="1"/>
    <s v="Unidade"/>
    <s v="EM CONFERENCIA"/>
    <s v="PLANO DO DIA"/>
    <s v="EMBRATEL"/>
    <x v="0"/>
  </r>
  <r>
    <x v="32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3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4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5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6"/>
    <s v="11EU"/>
    <x v="0"/>
    <d v="2024-06-05T00:00:00"/>
    <n v="221"/>
    <n v="40000864"/>
    <s v="ROTEADOR C921 4P"/>
    <x v="0"/>
    <n v="1"/>
    <n v="1"/>
    <s v="Unidade"/>
    <s v="EM SEPARAÇÃO"/>
    <s v="PLANO DO DIA"/>
    <s v="EMBRATEL"/>
    <x v="0"/>
  </r>
  <r>
    <x v="37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8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39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40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41"/>
    <s v="11EU"/>
    <x v="0"/>
    <d v="2024-06-05T00:00:00"/>
    <n v="221"/>
    <n v="40000864"/>
    <s v="ROTEADOR C921 4P"/>
    <x v="0"/>
    <n v="1"/>
    <n v="1"/>
    <s v="Unidade"/>
    <s v="PEDIDO EM LABORATORIO"/>
    <s v="PLANO DO DIA"/>
    <s v="EMBRATEL"/>
    <x v="0"/>
  </r>
  <r>
    <x v="42"/>
    <s v="11EU"/>
    <x v="0"/>
    <d v="2024-06-05T00:00:00"/>
    <n v="301"/>
    <n v="40000864"/>
    <s v="ROTEADOR C921 4P"/>
    <x v="0"/>
    <n v="1"/>
    <n v="1"/>
    <s v="Unidade"/>
    <s v="PEDIDO EM LABORATORIO"/>
    <s v="PLANO DO DIA"/>
    <s v="EMBRATEL"/>
    <x v="0"/>
  </r>
  <r>
    <x v="43"/>
    <s v="11EU"/>
    <x v="0"/>
    <d v="2024-06-05T00:00:00"/>
    <n v="301"/>
    <n v="40000864"/>
    <s v="ROTEADOR C921 4P"/>
    <x v="0"/>
    <n v="1"/>
    <n v="1"/>
    <s v="Unidade"/>
    <s v="PEDIDO EM LABORATORIO"/>
    <s v="PLANO DO DIA"/>
    <s v="EMBRATEL"/>
    <x v="0"/>
  </r>
  <r>
    <x v="44"/>
    <s v="11EU"/>
    <x v="0"/>
    <d v="2024-06-06T00:00:00"/>
    <n v="221"/>
    <n v="30062332"/>
    <s v="ROTEADOR VELOCLOUD EDGE 3400"/>
    <x v="0"/>
    <n v="1"/>
    <n v="1"/>
    <s v="Unidade"/>
    <s v="AGUARDANDO SEPARAÇÃO"/>
    <s v="RESERVAS PENDENTES"/>
    <s v="EMBRATEL"/>
    <x v="0"/>
  </r>
  <r>
    <x v="45"/>
    <s v="11EU"/>
    <x v="0"/>
    <d v="2024-06-06T00:00:00"/>
    <n v="221"/>
    <n v="30062332"/>
    <s v="ROTEADOR VELOCLOUD EDGE 3400"/>
    <x v="0"/>
    <n v="3"/>
    <n v="1"/>
    <s v="Unidade"/>
    <s v="AGUARDANDO SEPARAÇÃO"/>
    <s v="RESERVAS PENDENTES"/>
    <s v="EMBRATEL"/>
    <x v="0"/>
  </r>
  <r>
    <x v="46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47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48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49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50"/>
    <s v="11EU"/>
    <x v="0"/>
    <d v="2024-06-06T00:00:00"/>
    <n v="221"/>
    <n v="30055396"/>
    <s v="SFP 1000BASE-LX/LH 1310 10KM- GLC-LH-SM"/>
    <x v="0"/>
    <n v="1"/>
    <n v="1"/>
    <s v="Unidade"/>
    <s v="PEDIDO EM LABORATORIO"/>
    <s v="RESERVAS PENDENTES"/>
    <s v="EMBRATEL"/>
    <x v="0"/>
  </r>
  <r>
    <x v="51"/>
    <s v="11EU"/>
    <x v="0"/>
    <d v="2024-06-06T00:00:00"/>
    <n v="221"/>
    <n v="30062332"/>
    <s v="ROTEADOR VELOCLOUD EDGE 3400"/>
    <x v="0"/>
    <n v="1"/>
    <n v="1"/>
    <s v="Unidade"/>
    <s v="EM SEPARAÇÃO"/>
    <s v="RESERVAS PENDENTES"/>
    <s v="EMBRATEL"/>
    <x v="0"/>
  </r>
  <r>
    <x v="52"/>
    <s v="11EU"/>
    <x v="0"/>
    <d v="2024-06-06T00:00:00"/>
    <n v="221"/>
    <n v="30062332"/>
    <s v="ROTEADOR VELOCLOUD EDGE 3400"/>
    <x v="0"/>
    <n v="2"/>
    <n v="1"/>
    <s v="Unidade"/>
    <s v="AGUARDANDO SEPARAÇÃO"/>
    <s v="RESERVAS PENDENTES"/>
    <s v="EMBRATEL"/>
    <x v="0"/>
  </r>
  <r>
    <x v="53"/>
    <s v="11EU"/>
    <x v="0"/>
    <d v="2024-06-06T00:00:00"/>
    <n v="201"/>
    <n v="252815"/>
    <s v="ABRACADEIRA NYLON T50R 20CM PRETA"/>
    <x v="0"/>
    <n v="480"/>
    <n v="1"/>
    <s v="Unidade"/>
    <s v="EM RESSUPRIMENTO"/>
    <s v="RESERVAS PENDENTES"/>
    <s v="EMBRATEL"/>
    <x v="0"/>
  </r>
  <r>
    <x v="53"/>
    <s v="11EU"/>
    <x v="0"/>
    <d v="2024-06-06T00:00:00"/>
    <n v="201"/>
    <n v="252900"/>
    <s v="FITA ISOLANTE 33"/>
    <x v="0"/>
    <n v="5"/>
    <n v="1"/>
    <s v="Unidade"/>
    <s v="EM RESSUPRIMENTO"/>
    <s v="RESERVAS PENDENTES"/>
    <s v="EMBRATEL"/>
    <x v="0"/>
  </r>
  <r>
    <x v="53"/>
    <s v="11EU"/>
    <x v="0"/>
    <d v="2024-06-06T00:00:00"/>
    <n v="201"/>
    <n v="254499"/>
    <s v="PROTETOR FO TERMOCONTR 62MM"/>
    <x v="0"/>
    <n v="1000"/>
    <n v="1"/>
    <s v="Unidade"/>
    <s v="EM RESSUPRIMENTO"/>
    <s v="RESERVAS PENDENTES"/>
    <s v="EMBRATEL"/>
    <x v="0"/>
  </r>
  <r>
    <x v="53"/>
    <s v="11EU"/>
    <x v="0"/>
    <d v="2024-06-06T00:00:00"/>
    <n v="201"/>
    <n v="254491"/>
    <s v="CONJ TUBO DERIVACAO FOSC 100 31MM"/>
    <x v="0"/>
    <n v="30"/>
    <n v="1"/>
    <s v="Unidade"/>
    <s v="EM RESSUPRIMENTO"/>
    <s v="RESERVAS PENDENTES"/>
    <s v="EMBRATEL"/>
    <x v="0"/>
  </r>
  <r>
    <x v="53"/>
    <s v="11EU"/>
    <x v="0"/>
    <d v="2024-06-06T00:00:00"/>
    <n v="201"/>
    <n v="253496"/>
    <s v="FITA ISOLANTE AUTOFUSAO 3M SCOTCH23 10MT"/>
    <x v="0"/>
    <n v="5"/>
    <n v="1"/>
    <s v="Unidade"/>
    <s v="EM RESSUPRIMENTO"/>
    <s v="RESERVAS PENDENTES"/>
    <s v="EMBRATEL"/>
    <x v="0"/>
  </r>
  <r>
    <x v="53"/>
    <s v="11EU"/>
    <x v="0"/>
    <d v="2024-06-06T00:00:00"/>
    <n v="201"/>
    <n v="252341"/>
    <s v="REFIL P/MACARICO PORTATIL ARJ"/>
    <x v="0"/>
    <n v="10"/>
    <n v="1"/>
    <s v="Unidade"/>
    <s v="EM RESSUPRIMENTO"/>
    <s v="RESERVAS PENDENTES"/>
    <s v="EMBRATEL"/>
    <x v="0"/>
  </r>
  <r>
    <x v="53"/>
    <s v="11EU"/>
    <x v="0"/>
    <d v="2024-06-06T00:00:00"/>
    <n v="201"/>
    <n v="253316"/>
    <s v="PROTETOR_FO TERMOCONTR. 45MM"/>
    <x v="0"/>
    <n v="500"/>
    <n v="1"/>
    <s v="Unidade"/>
    <s v="EM RESSUPRIMENTO"/>
    <s v="RESERVAS PENDENTES"/>
    <s v="EMBRATEL"/>
    <x v="0"/>
  </r>
  <r>
    <x v="53"/>
    <s v="11EU"/>
    <x v="0"/>
    <d v="2024-06-06T00:00:00"/>
    <n v="201"/>
    <n v="254544"/>
    <s v="MANTA OVAL COM ZIPER FOSC BM B8 E DM"/>
    <x v="0"/>
    <n v="5"/>
    <n v="1"/>
    <s v="Unidade"/>
    <s v="EM RESSUPRIMENTO"/>
    <s v="RESERVAS PENDENTES"/>
    <s v="EMBRATEL"/>
    <x v="0"/>
  </r>
  <r>
    <x v="53"/>
    <s v="11EU"/>
    <x v="0"/>
    <d v="2024-06-06T00:00:00"/>
    <n v="201"/>
    <n v="254543"/>
    <s v="MANTA OVAL SEM ZIPER FOSC BM B8 E DM"/>
    <x v="0"/>
    <n v="5"/>
    <n v="1"/>
    <s v="Unidade"/>
    <s v="EM RESSUPRIMENTO"/>
    <s v="RESERVAS PENDENTES"/>
    <s v="EMBRATEL"/>
    <x v="0"/>
  </r>
  <r>
    <x v="53"/>
    <s v="11EU"/>
    <x v="0"/>
    <d v="2024-06-06T00:00:00"/>
    <n v="201"/>
    <n v="254487"/>
    <s v="CAIXA EMENDA OPTICA DM 144 FO"/>
    <x v="0"/>
    <n v="10"/>
    <n v="1"/>
    <s v="Unidade"/>
    <s v="EM RESSUPRIMENTO"/>
    <s v="RESERVAS PENDENTES"/>
    <s v="EMBRATEL"/>
    <x v="0"/>
  </r>
  <r>
    <x v="54"/>
    <s v="11EU"/>
    <x v="0"/>
    <d v="2024-06-06T00:00:00"/>
    <n v="201"/>
    <n v="254385"/>
    <s v="BANDEJA EMENDA OPTICA FOSC BM E B8 24FO"/>
    <x v="0"/>
    <n v="5"/>
    <n v="1"/>
    <s v="Unidade"/>
    <s v="EM RESSUPRIMENTO"/>
    <s v="RESERVAS PENDENTES"/>
    <s v="EMBRATEL"/>
    <x v="0"/>
  </r>
  <r>
    <x v="54"/>
    <s v="11EU"/>
    <x v="0"/>
    <d v="2024-06-06T00:00:00"/>
    <n v="201"/>
    <n v="254499"/>
    <s v="PROTETOR FO TERMOCONTR 62MM"/>
    <x v="0"/>
    <n v="1000"/>
    <n v="1"/>
    <s v="Unidade"/>
    <s v="EM RESSUPRIMENTO"/>
    <s v="RESERVAS PENDENTES"/>
    <s v="EMBRATEL"/>
    <x v="0"/>
  </r>
  <r>
    <x v="54"/>
    <s v="11EU"/>
    <x v="0"/>
    <d v="2024-06-06T00:00:00"/>
    <n v="201"/>
    <n v="254491"/>
    <s v="CONJ TUBO DERIVACAO FOSC 100 31MM"/>
    <x v="0"/>
    <n v="20"/>
    <n v="1"/>
    <s v="Unidade"/>
    <s v="EM RESSUPRIMENTO"/>
    <s v="RESERVAS PENDENTES"/>
    <s v="EMBRATEL"/>
    <x v="0"/>
  </r>
  <r>
    <x v="54"/>
    <s v="11EU"/>
    <x v="0"/>
    <d v="2024-06-06T00:00:00"/>
    <n v="201"/>
    <n v="253496"/>
    <s v="FITA ISOLANTE AUTOFUSAO 3M SCOTCH23 10MT"/>
    <x v="0"/>
    <n v="2"/>
    <n v="1"/>
    <s v="Unidade"/>
    <s v="EM RESSUPRIMENTO"/>
    <s v="RESERVAS PENDENTES"/>
    <s v="EMBRATEL"/>
    <x v="0"/>
  </r>
  <r>
    <x v="54"/>
    <s v="11EU"/>
    <x v="0"/>
    <d v="2024-06-06T00:00:00"/>
    <n v="201"/>
    <n v="252341"/>
    <s v="REFIL P/MACARICO PORTATIL ARJ"/>
    <x v="0"/>
    <n v="2"/>
    <n v="1"/>
    <s v="Unidade"/>
    <s v="EM RESSUPRIMENTO"/>
    <s v="RESERVAS PENDENTES"/>
    <s v="EMBRATEL"/>
    <x v="0"/>
  </r>
  <r>
    <x v="54"/>
    <s v="11EU"/>
    <x v="0"/>
    <d v="2024-06-06T00:00:00"/>
    <n v="201"/>
    <n v="253316"/>
    <s v="PROTETOR_FO TERMOCONTR. 45MM"/>
    <x v="0"/>
    <n v="500"/>
    <n v="1"/>
    <s v="Unidade"/>
    <s v="EM RESSUPRIMENTO"/>
    <s v="RESERVAS PENDENTES"/>
    <s v="EMBRATEL"/>
    <x v="0"/>
  </r>
  <r>
    <x v="54"/>
    <s v="11EU"/>
    <x v="0"/>
    <d v="2024-06-06T00:00:00"/>
    <n v="201"/>
    <n v="254543"/>
    <s v="MANTA OVAL SEM ZIPER FOSC BM B8 E DM"/>
    <x v="0"/>
    <n v="1"/>
    <n v="1"/>
    <s v="Unidade"/>
    <s v="EM RESSUPRIMENTO"/>
    <s v="RESERVAS PENDENTES"/>
    <s v="EMBRATEL"/>
    <x v="0"/>
  </r>
  <r>
    <x v="54"/>
    <s v="11EU"/>
    <x v="0"/>
    <d v="2024-06-06T00:00:00"/>
    <n v="201"/>
    <n v="254544"/>
    <s v="MANTA OVAL COM ZIPER FOSC BM B8 E DM"/>
    <x v="0"/>
    <n v="1"/>
    <n v="1"/>
    <s v="Unidade"/>
    <s v="EM RESSUPRIMENTO"/>
    <s v="RESERVAS PENDENTES"/>
    <s v="EMBRATEL"/>
    <x v="0"/>
  </r>
  <r>
    <x v="55"/>
    <s v="11EU"/>
    <x v="0"/>
    <d v="2024-06-06T00:00:00"/>
    <n v="221"/>
    <n v="22059203"/>
    <s v="FONTE ALIMENTACAO PSU 400 AC-B 100-240VA"/>
    <x v="0"/>
    <n v="2"/>
    <n v="1"/>
    <s v="Unidade"/>
    <s v="AGUARDANDO SEPARAÇÃO"/>
    <s v="RESERVAS PENDENTES"/>
    <s v="EMBRATEL"/>
    <x v="0"/>
  </r>
  <r>
    <x v="56"/>
    <s v="11EU"/>
    <x v="0"/>
    <d v="2024-06-06T00:00:00"/>
    <n v="221"/>
    <n v="30060996"/>
    <s v="CHASSI 800M C841M 4X K9 BR 001"/>
    <x v="0"/>
    <n v="1"/>
    <n v="1"/>
    <s v="Unidade"/>
    <s v="EM RESSUPRIMENTO"/>
    <s v="RESERVAS PENDENTES"/>
    <s v="EMBRATEL"/>
    <x v="0"/>
  </r>
  <r>
    <x v="57"/>
    <s v="11EU"/>
    <x v="0"/>
    <d v="2024-06-06T00:00:00"/>
    <n v="221"/>
    <n v="30060203"/>
    <s v="ROTEADOR GIGAETHERNET C1111 4P"/>
    <x v="0"/>
    <n v="1"/>
    <n v="1"/>
    <s v="Unidade"/>
    <s v="EM RESSUPRIMENTO"/>
    <s v="RESERVAS PENDENTES"/>
    <s v="EMBRATEL"/>
    <x v="0"/>
  </r>
  <r>
    <x v="58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58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59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0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1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2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3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4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5"/>
    <s v="11EU"/>
    <x v="0"/>
    <d v="2024-06-06T00:00:00"/>
    <n v="221"/>
    <n v="30055352"/>
    <s v="CARTAO INTERFACE SERIAL WAN 1P"/>
    <x v="0"/>
    <n v="1"/>
    <n v="1"/>
    <s v="Unidade"/>
    <s v="AGUARDANDO SEPARAÇÃO"/>
    <s v="RESERVAS PENDENTES"/>
    <s v="EMBRATEL"/>
    <x v="0"/>
  </r>
  <r>
    <x v="66"/>
    <s v="11EU"/>
    <x v="0"/>
    <d v="2024-06-06T00:00:00"/>
    <n v="201"/>
    <n v="254384"/>
    <s v="SUPORTE CORDOALHA FOSC BM E B8"/>
    <x v="0"/>
    <n v="190"/>
    <n v="1"/>
    <s v="Unidade"/>
    <s v="AGUARDANDO SEPARAÇÃO"/>
    <s v="RESERVAS PENDENTES"/>
    <s v="EMBRATEL"/>
    <x v="0"/>
  </r>
  <r>
    <x v="66"/>
    <s v="11EU"/>
    <x v="0"/>
    <d v="2024-06-06T00:00:00"/>
    <n v="201"/>
    <n v="254490"/>
    <s v="SUPORTE CEO DM COM ABRACADEIRAS"/>
    <x v="0"/>
    <n v="100"/>
    <n v="1"/>
    <s v="Unidade"/>
    <s v="AGUARDANDO SEPARAÇÃO"/>
    <s v="RESERVAS PENDENTES"/>
    <s v="EMBRATEL"/>
    <x v="0"/>
  </r>
  <r>
    <x v="67"/>
    <s v="11EU"/>
    <x v="0"/>
    <d v="2024-06-06T00:00:00"/>
    <n v="201"/>
    <n v="251887"/>
    <s v="TAMPA ARTIC. R2 FERRO NODULAR"/>
    <x v="0"/>
    <n v="20"/>
    <n v="1"/>
    <s v="Unidade"/>
    <s v="AGUARDANDO SEPARAÇÃO"/>
    <s v="RESERVAS PENDENTES"/>
    <s v="EMBRATEL"/>
    <x v="0"/>
  </r>
  <r>
    <x v="68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69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70"/>
    <s v="11EU"/>
    <x v="0"/>
    <d v="2024-06-06T00:00:00"/>
    <n v="221"/>
    <n v="40000680"/>
    <s v="ROTEADOR AG1608 8E1"/>
    <x v="0"/>
    <n v="1"/>
    <n v="1"/>
    <s v="Unidade"/>
    <s v="EM RESSUPRIMENTO"/>
    <s v="RESERVAS PENDENTES"/>
    <s v="EMBRATEL"/>
    <x v="0"/>
  </r>
  <r>
    <x v="71"/>
    <s v="11EU"/>
    <x v="0"/>
    <d v="2024-06-06T00:00:00"/>
    <n v="301"/>
    <n v="40000864"/>
    <s v="ROTEADOR C921 4P"/>
    <x v="0"/>
    <n v="1"/>
    <n v="1"/>
    <s v="Unidade"/>
    <s v="EM RESSUPRIMENTO"/>
    <s v="RESERVAS PENDENTES"/>
    <s v="EMBRATEL"/>
    <x v="0"/>
  </r>
  <r>
    <x v="72"/>
    <s v="11EU"/>
    <x v="0"/>
    <d v="2024-06-06T00:00:00"/>
    <n v="221"/>
    <n v="40000616"/>
    <s v="GATEWAY AG1602 2E1"/>
    <x v="0"/>
    <n v="1"/>
    <n v="1"/>
    <s v="Unidade"/>
    <s v="AGUARDANDO SEPARAÇÃO"/>
    <s v="RESERVAS PENDENTES"/>
    <s v="EMBRATEL"/>
    <x v="0"/>
  </r>
  <r>
    <x v="73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74"/>
    <s v="11EU"/>
    <x v="0"/>
    <d v="2024-06-06T00:00:00"/>
    <n v="221"/>
    <n v="16008418"/>
    <s v="FIREWALL FORTIGATE 40F"/>
    <x v="0"/>
    <n v="1"/>
    <n v="1"/>
    <s v="Unidade"/>
    <s v="EM RESSUPRIMENTO"/>
    <s v="RESERVAS PENDENTES"/>
    <s v="EMBRATEL"/>
    <x v="0"/>
  </r>
  <r>
    <x v="75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76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77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78"/>
    <s v="11EU"/>
    <x v="0"/>
    <d v="2024-06-06T00:00:00"/>
    <n v="221"/>
    <n v="30055389"/>
    <s v="HPE MSR3012 AC ROUTER CHASSIS - JG409B"/>
    <x v="0"/>
    <n v="1"/>
    <n v="1"/>
    <s v="Unidade"/>
    <s v="AGUARDANDO SEPARAÇÃO"/>
    <s v="RESERVAS PENDENTES"/>
    <s v="EMBRATEL"/>
    <x v="0"/>
  </r>
  <r>
    <x v="79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80"/>
    <s v="11EU"/>
    <x v="0"/>
    <d v="2024-06-06T00:00:00"/>
    <n v="221"/>
    <n v="30054372"/>
    <s v="HPE MSR954 1GBE SFP 2GE-WAN 4GE-L JH296A"/>
    <x v="0"/>
    <n v="1"/>
    <n v="1"/>
    <s v="Unidade"/>
    <s v="AGUARDANDO SEPARAÇÃO"/>
    <s v="RESERVAS PENDENTES"/>
    <s v="EMBRATEL"/>
    <x v="0"/>
  </r>
  <r>
    <x v="81"/>
    <s v="11EU"/>
    <x v="0"/>
    <d v="2024-06-06T00:00:00"/>
    <n v="221"/>
    <n v="30054372"/>
    <s v="HPE MSR954 1GBE SFP 2GE-WAN 4GE-L JH296A"/>
    <x v="0"/>
    <n v="2"/>
    <n v="1"/>
    <s v="Unidade"/>
    <s v="EM RESSUPRIMENTO"/>
    <s v="RESERVAS PENDENTES"/>
    <s v="EMBRATEL"/>
    <x v="0"/>
  </r>
  <r>
    <x v="82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83"/>
    <s v="11EU"/>
    <x v="0"/>
    <d v="2024-06-06T00:00:00"/>
    <n v="221"/>
    <n v="30054372"/>
    <s v="HPE MSR954 1GBE SFP 2GE-WAN 4GE-L JH296A"/>
    <x v="0"/>
    <n v="2"/>
    <n v="1"/>
    <s v="Unidade"/>
    <s v="EM RESSUPRIMENTO"/>
    <s v="RESERVAS PENDENTES"/>
    <s v="EMBRATEL"/>
    <x v="0"/>
  </r>
  <r>
    <x v="84"/>
    <s v="11EU"/>
    <x v="0"/>
    <d v="2024-06-06T00:00:00"/>
    <n v="221"/>
    <n v="16008418"/>
    <s v="FIREWALL FORTIGATE 40F"/>
    <x v="0"/>
    <n v="1"/>
    <n v="1"/>
    <s v="Unidade"/>
    <s v="AGUARDANDO SEPARAÇÃO"/>
    <s v="RESERVAS PENDENTES"/>
    <s v="EMBRATEL"/>
    <x v="0"/>
  </r>
  <r>
    <x v="85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8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87"/>
    <s v="11EU"/>
    <x v="0"/>
    <d v="2024-06-06T00:00:00"/>
    <n v="221"/>
    <n v="30060996"/>
    <s v="CHASSI 800M C841M 4X K9 BR 001"/>
    <x v="0"/>
    <n v="1"/>
    <n v="1"/>
    <s v="Unidade"/>
    <s v="EM RESSUPRIMENTO"/>
    <s v="RESERVAS PENDENTES"/>
    <s v="EMBRATEL"/>
    <x v="0"/>
  </r>
  <r>
    <x v="88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89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0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91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92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93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94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5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5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6"/>
    <s v="11EU"/>
    <x v="0"/>
    <d v="2024-06-06T00:00:00"/>
    <n v="221"/>
    <n v="30054372"/>
    <s v="HPE MSR954 1GBE SFP 2GE-WAN 4GE-L JH296A"/>
    <x v="0"/>
    <n v="1"/>
    <n v="1"/>
    <s v="Unidade"/>
    <s v="EM RESSUPRIMENTO"/>
    <s v="RESERVAS PENDENTES"/>
    <s v="EMBRATEL"/>
    <x v="0"/>
  </r>
  <r>
    <x v="97"/>
    <s v="11EU"/>
    <x v="0"/>
    <d v="2024-06-06T00:00:00"/>
    <n v="221"/>
    <n v="40000864"/>
    <s v="ROTEADOR C921 4P"/>
    <x v="0"/>
    <n v="1"/>
    <n v="1"/>
    <s v="Unidade"/>
    <s v="EM RESSUPRIMENTO"/>
    <s v="RESERVAS PENDENTES"/>
    <s v="EMBRATEL"/>
    <x v="0"/>
  </r>
  <r>
    <x v="98"/>
    <s v="11EU"/>
    <x v="0"/>
    <d v="2024-06-06T00:00:00"/>
    <n v="221"/>
    <n v="22049410"/>
    <s v="TERMNC OPTC ASSNNT 12F 16473101-DMX"/>
    <x v="0"/>
    <n v="10"/>
    <n v="1"/>
    <s v="Unidade"/>
    <s v="IMPORTADO"/>
    <s v="RESERVAS PENDENTES"/>
    <s v="EMBRATEL"/>
    <x v="0"/>
  </r>
  <r>
    <x v="99"/>
    <s v="11EU"/>
    <x v="0"/>
    <d v="2024-06-06T00:00:00"/>
    <n v="301"/>
    <n v="22049410"/>
    <s v="TERMNC OPTC ASSNNT 12F 16473101-DMX"/>
    <x v="0"/>
    <n v="14"/>
    <n v="1"/>
    <s v="Unidade"/>
    <s v="IMPORTADO"/>
    <s v="RESERVAS PENDENTES"/>
    <s v="EMBRATEL"/>
    <x v="0"/>
  </r>
  <r>
    <x v="100"/>
    <s v="11EU"/>
    <x v="0"/>
    <d v="2024-06-06T00:00:00"/>
    <n v="221"/>
    <n v="22049410"/>
    <s v="TERMNC OPTC ASSNNT 12F 16473101-DMX"/>
    <x v="0"/>
    <n v="12"/>
    <n v="1"/>
    <s v="Unidade"/>
    <s v="IMPORTADO"/>
    <s v="RESERVAS PENDENTES"/>
    <s v="EMBRATEL"/>
    <x v="0"/>
  </r>
  <r>
    <x v="101"/>
    <s v="11EU"/>
    <x v="0"/>
    <d v="2024-06-06T00:00:00"/>
    <n v="301"/>
    <n v="22049410"/>
    <s v="TERMNC OPTC ASSNNT 12F 16473101-DMX"/>
    <x v="0"/>
    <n v="78"/>
    <n v="1"/>
    <s v="Unidade"/>
    <s v="IMPORTADO"/>
    <s v="RESERVAS PENDENTES"/>
    <s v="EMBRATEL"/>
    <x v="0"/>
  </r>
  <r>
    <x v="102"/>
    <s v="11EU"/>
    <x v="0"/>
    <d v="2024-06-06T00:00:00"/>
    <n v="221"/>
    <n v="22049410"/>
    <s v="TERMNC OPTC ASSNNT 12F 16473101-DMX"/>
    <x v="0"/>
    <n v="3"/>
    <n v="1"/>
    <s v="Unidade"/>
    <s v="AGUARDANDO SEPARAÇÃO"/>
    <s v="RESERVAS PENDENTES"/>
    <s v="EMBRATEL"/>
    <x v="0"/>
  </r>
  <r>
    <x v="103"/>
    <s v="11EU"/>
    <x v="0"/>
    <d v="2024-06-06T00:00:00"/>
    <n v="301"/>
    <n v="22049410"/>
    <s v="TERMNC OPTC ASSNNT 12F 16473101-DMX"/>
    <x v="0"/>
    <n v="148"/>
    <n v="1"/>
    <s v="Unidade"/>
    <s v="IMPORTADO"/>
    <s v="RESERVAS PENDENTES"/>
    <s v="EMBRATEL"/>
    <x v="0"/>
  </r>
  <r>
    <x v="104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05"/>
    <s v="11EU"/>
    <x v="0"/>
    <d v="2024-06-06T00:00:00"/>
    <n v="221"/>
    <n v="22049410"/>
    <s v="TERMNC OPTC ASSNNT 12F 16473101-DMX"/>
    <x v="0"/>
    <n v="6"/>
    <n v="1"/>
    <s v="Unidade"/>
    <s v="IMPORTADO"/>
    <s v="RESERVAS PENDENTES"/>
    <s v="EMBRATEL"/>
    <x v="0"/>
  </r>
  <r>
    <x v="106"/>
    <s v="11EU"/>
    <x v="0"/>
    <d v="2024-06-06T00:00:00"/>
    <n v="301"/>
    <n v="22049410"/>
    <s v="TERMNC OPTC ASSNNT 12F 16473101-DMX"/>
    <x v="0"/>
    <n v="14"/>
    <n v="1"/>
    <s v="Unidade"/>
    <s v="IMPORTADO"/>
    <s v="RESERVAS PENDENTES"/>
    <s v="EMBRATEL"/>
    <x v="0"/>
  </r>
  <r>
    <x v="107"/>
    <s v="11EU"/>
    <x v="0"/>
    <d v="2024-06-06T00:00:00"/>
    <n v="221"/>
    <n v="22049410"/>
    <s v="TERMNC OPTC ASSNNT 12F 16473101-DMX"/>
    <x v="0"/>
    <n v="6"/>
    <n v="1"/>
    <s v="Unidade"/>
    <s v="IMPORTADO"/>
    <s v="RESERVAS PENDENTES"/>
    <s v="EMBRATEL"/>
    <x v="0"/>
  </r>
  <r>
    <x v="108"/>
    <s v="11EU"/>
    <x v="0"/>
    <d v="2024-06-06T00:00:00"/>
    <n v="221"/>
    <n v="22049410"/>
    <s v="TERMNC OPTC ASSNNT 12F 16473101-DMX"/>
    <x v="0"/>
    <n v="4"/>
    <n v="1"/>
    <s v="Unidade"/>
    <s v="IMPORTADO"/>
    <s v="RESERVAS PENDENTES"/>
    <s v="EMBRATEL"/>
    <x v="0"/>
  </r>
  <r>
    <x v="109"/>
    <s v="11EU"/>
    <x v="0"/>
    <d v="2024-06-06T00:00:00"/>
    <n v="301"/>
    <n v="22049410"/>
    <s v="TERMNC OPTC ASSNNT 12F 16473101-DMX"/>
    <x v="0"/>
    <n v="251"/>
    <n v="1"/>
    <s v="Unidade"/>
    <s v="IMPORTADO"/>
    <s v="RESERVAS PENDENTES"/>
    <s v="EMBRATEL"/>
    <x v="0"/>
  </r>
  <r>
    <x v="110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11"/>
    <s v="11EU"/>
    <x v="0"/>
    <d v="2024-06-06T00:00:00"/>
    <n v="301"/>
    <n v="22007777"/>
    <s v="DGO 19PG P/BAST 36FO C/ 12FBR SC-APC"/>
    <x v="0"/>
    <n v="70"/>
    <n v="1"/>
    <s v="Unidade"/>
    <s v="IMPORTADO"/>
    <s v="RESERVAS PENDENTES"/>
    <s v="EMBRATEL"/>
    <x v="0"/>
  </r>
  <r>
    <x v="112"/>
    <s v="11EU"/>
    <x v="0"/>
    <d v="2024-06-06T00:00:00"/>
    <n v="301"/>
    <n v="30062395"/>
    <s v="TRANSCEIVER SFP 20KM 1G BIDI T14R13 CSCO"/>
    <x v="0"/>
    <n v="10"/>
    <n v="1"/>
    <s v="Unidade"/>
    <s v="AGUARDANDO SEPARAÇÃO"/>
    <s v="RESERVAS PENDENTES"/>
    <s v="EMBRATEL"/>
    <x v="0"/>
  </r>
  <r>
    <x v="112"/>
    <s v="11EU"/>
    <x v="0"/>
    <d v="2024-06-06T00:00:00"/>
    <n v="301"/>
    <n v="30062394"/>
    <s v="TRANSCEIVER SFP 20KM 1G BIDI T13R14 CSCO"/>
    <x v="0"/>
    <n v="10"/>
    <n v="1"/>
    <s v="Unidade"/>
    <s v="AGUARDANDO SEPARAÇÃO"/>
    <s v="RESERVAS PENDENTES"/>
    <s v="EMBRATEL"/>
    <x v="0"/>
  </r>
  <r>
    <x v="113"/>
    <s v="11EU"/>
    <x v="0"/>
    <d v="2024-06-06T00:00:00"/>
    <n v="221"/>
    <n v="22057531"/>
    <s v="CABO DE ENER. P/ FONTE DE ALIMEN."/>
    <x v="0"/>
    <n v="6"/>
    <n v="1"/>
    <s v="Unidade"/>
    <s v="AGUARDANDO SEPARAÇÃO"/>
    <s v="RESERVAS PENDENTES"/>
    <s v="EMBRATEL"/>
    <x v="0"/>
  </r>
  <r>
    <x v="114"/>
    <s v="11EU"/>
    <x v="0"/>
    <d v="2024-06-06T00:00:00"/>
    <n v="221"/>
    <n v="22057531"/>
    <s v="CABO DE ENER. P/ FONTE DE ALIMEN."/>
    <x v="0"/>
    <n v="6"/>
    <n v="1"/>
    <s v="Unidade"/>
    <s v="AGUARDANDO SEPARAÇÃO"/>
    <s v="RESERVAS PENDENTES"/>
    <s v="EMBRATEL"/>
    <x v="0"/>
  </r>
  <r>
    <x v="115"/>
    <s v="11EU"/>
    <x v="0"/>
    <d v="2024-06-06T00:00:00"/>
    <n v="221"/>
    <n v="30055413"/>
    <s v="TILT BRACKET ASSEMBLY - N000045L002A"/>
    <x v="0"/>
    <n v="12"/>
    <n v="1"/>
    <s v="Unidade"/>
    <s v="IMPORTADO"/>
    <s v="RESERVAS PENDENTES"/>
    <s v="EMBRATEL"/>
    <x v="0"/>
  </r>
  <r>
    <x v="116"/>
    <s v="11EU"/>
    <x v="0"/>
    <d v="2024-06-06T00:00:00"/>
    <n v="221"/>
    <n v="30055410"/>
    <s v="GIGABIT SURGE SUPPRESSOR (56V)"/>
    <x v="0"/>
    <n v="10"/>
    <n v="1"/>
    <s v="Unidade"/>
    <s v="IMPORTADO"/>
    <s v="RESERVAS PENDENTES"/>
    <s v="EMBRATEL"/>
    <x v="0"/>
  </r>
  <r>
    <x v="117"/>
    <s v="11EU"/>
    <x v="0"/>
    <d v="2024-06-06T00:00:00"/>
    <n v="221"/>
    <n v="22053516"/>
    <s v="HP X260 E1 RJ45/2BNC 75OHM 3M CBL JH294A"/>
    <x v="0"/>
    <n v="1"/>
    <n v="1"/>
    <s v="Unidade"/>
    <s v="IMPORTADO"/>
    <s v="RESERVAS PENDENTES"/>
    <s v="EMBRATEL"/>
    <x v="0"/>
  </r>
  <r>
    <x v="117"/>
    <s v="11EU"/>
    <x v="0"/>
    <d v="2024-06-06T00:00:00"/>
    <n v="221"/>
    <n v="30054234"/>
    <s v="HP MSR10-02-4 AC ROUTER CHASSIS - JG875A"/>
    <x v="0"/>
    <n v="1"/>
    <n v="1"/>
    <s v="Unidade"/>
    <s v="IMPORTADO"/>
    <s v="RESERVAS PENDENTES"/>
    <s v="EMBRATEL"/>
    <x v="0"/>
  </r>
  <r>
    <x v="117"/>
    <s v="11EU"/>
    <x v="0"/>
    <d v="2024-06-06T00:00:00"/>
    <n v="221"/>
    <n v="30054337"/>
    <s v="HP MSR 1P E1 VOICE SIC MODULE - JH240A"/>
    <x v="0"/>
    <n v="1"/>
    <n v="1"/>
    <s v="Unidade"/>
    <s v="IMPORTADO"/>
    <s v="RESERVAS PENDENTES"/>
    <s v="EMBRATEL"/>
    <x v="0"/>
  </r>
  <r>
    <x v="118"/>
    <s v="11EU"/>
    <x v="0"/>
    <d v="2024-06-06T00:00:00"/>
    <n v="201"/>
    <n v="254487"/>
    <s v="CAIXA EMENDA OPTICA DM 144 FO"/>
    <x v="0"/>
    <n v="26"/>
    <n v="1"/>
    <s v="Unidade"/>
    <s v="IMPORTADO"/>
    <s v="RESERVAS PENDENTES"/>
    <s v="EMBRATEL"/>
    <x v="0"/>
  </r>
  <r>
    <x v="119"/>
    <s v="11EU"/>
    <x v="0"/>
    <d v="2024-06-06T00:00:00"/>
    <n v="201"/>
    <n v="254487"/>
    <s v="CAIXA EMENDA OPTICA DM 144 FO"/>
    <x v="0"/>
    <n v="20"/>
    <n v="1"/>
    <s v="Unidade"/>
    <s v="IMPORTADO"/>
    <s v="RESERVAS PENDENTES"/>
    <s v="EMBRATEL"/>
    <x v="0"/>
  </r>
  <r>
    <x v="120"/>
    <s v="11EU"/>
    <x v="0"/>
    <d v="2024-06-06T00:00:00"/>
    <n v="301"/>
    <n v="22049410"/>
    <s v="TERMNC OPTC ASSNNT 12F 16473101-DMX"/>
    <x v="0"/>
    <n v="10"/>
    <n v="1"/>
    <s v="Unidade"/>
    <s v="IMPORTADO"/>
    <s v="RESERVAS PENDENTES"/>
    <s v="EMBRATEL"/>
    <x v="0"/>
  </r>
  <r>
    <x v="121"/>
    <s v="11EU"/>
    <x v="0"/>
    <d v="2024-06-06T00:00:00"/>
    <n v="301"/>
    <n v="22049410"/>
    <s v="TERMNC OPTC ASSNNT 12F 16473101-DMX"/>
    <x v="0"/>
    <n v="1"/>
    <n v="1"/>
    <s v="Unidade"/>
    <s v="IMPORTADO"/>
    <s v="RESERVAS PENDENTES"/>
    <s v="EMBRATEL"/>
    <x v="0"/>
  </r>
  <r>
    <x v="122"/>
    <s v="11EU"/>
    <x v="0"/>
    <d v="2024-06-06T00:00:00"/>
    <n v="301"/>
    <n v="22049410"/>
    <s v="TERMNC OPTC ASSNNT 12F 16473101-DMX"/>
    <x v="0"/>
    <n v="42"/>
    <n v="1"/>
    <s v="Unidade"/>
    <s v="IMPORTADO"/>
    <s v="RESERVAS PENDENTES"/>
    <s v="EMBRATEL"/>
    <x v="0"/>
  </r>
  <r>
    <x v="123"/>
    <s v="11EU"/>
    <x v="0"/>
    <d v="2024-06-06T00:00:00"/>
    <n v="221"/>
    <n v="16008418"/>
    <s v="FIREWALL FORTIGATE 40F"/>
    <x v="0"/>
    <n v="18"/>
    <n v="1"/>
    <s v="Unidade"/>
    <s v="IMPORTADO"/>
    <s v="RESERVAS PENDENTES"/>
    <s v="EMBRATEL"/>
    <x v="0"/>
  </r>
  <r>
    <x v="124"/>
    <s v="11EU"/>
    <x v="0"/>
    <d v="2024-06-06T00:00:00"/>
    <n v="221"/>
    <n v="30034266"/>
    <s v="CORDOALHA ACO 7FIOS 3/16"/>
    <x v="0"/>
    <n v="5000"/>
    <n v="1"/>
    <s v="Unidade"/>
    <s v="AGUARDANDO SEPARAÇÃO"/>
    <s v="RESERVAS PENDENTES"/>
    <s v="EMBRATEL"/>
    <x v="0"/>
  </r>
  <r>
    <x v="125"/>
    <s v="11EU"/>
    <x v="0"/>
    <d v="2024-06-06T00:00:00"/>
    <n v="221"/>
    <n v="22025957"/>
    <s v="PLACA SINAL FIBRA OPTIC NET TR"/>
    <x v="0"/>
    <n v="3500"/>
    <n v="1"/>
    <s v="Unidade"/>
    <s v="IMPORTADO"/>
    <s v="RESERVAS PENDENTES"/>
    <s v="EMBRATEL"/>
    <x v="0"/>
  </r>
  <r>
    <x v="126"/>
    <s v="11EU"/>
    <x v="0"/>
    <d v="2024-06-06T00:00:00"/>
    <n v="221"/>
    <n v="30034241"/>
    <s v="ABRAC. AJUST. BAP3 C/PARAFUSO"/>
    <x v="0"/>
    <n v="400"/>
    <n v="1"/>
    <s v="Unidade"/>
    <s v="AGUARDANDO SEPARAÇÃO"/>
    <s v="RESERVAS PENDENTES"/>
    <s v="EMBRATEL"/>
    <x v="0"/>
  </r>
  <r>
    <x v="127"/>
    <s v="11EU"/>
    <x v="0"/>
    <d v="2024-06-06T00:00:00"/>
    <n v="221"/>
    <n v="22025957"/>
    <s v="PLACA SINAL FIBRA OPTIC NET TR"/>
    <x v="0"/>
    <n v="1300"/>
    <n v="1"/>
    <s v="Unidade"/>
    <s v="IMPORTADO"/>
    <s v="RESERVAS PENDENTES"/>
    <s v="EMBRATEL"/>
    <x v="0"/>
  </r>
  <r>
    <x v="128"/>
    <s v="11EU"/>
    <x v="1"/>
    <d v="2024-06-07T00:00:00"/>
    <n v="221"/>
    <n v="30052797"/>
    <s v="PLACA FAN C320 GPON"/>
    <x v="0"/>
    <n v="1"/>
    <n v="1"/>
    <s v="Unidade"/>
    <s v="IMPORTADO COM SUCESSO"/>
    <s v="RESERVAS PENDENTES"/>
    <s v="EMBRATEL"/>
    <x v="0"/>
  </r>
  <r>
    <x v="129"/>
    <s v="N193"/>
    <x v="2"/>
    <d v="2024-06-03T00:00:00"/>
    <n v="221"/>
    <n v="22062622"/>
    <s v="TRANSCEIVER SFP 80KM 10G HWEI"/>
    <x v="0"/>
    <n v="20"/>
    <n v="1"/>
    <s v="Unidade"/>
    <s v="CANCELAMENTO DE PEDIDO"/>
    <s v="RESERVAS EM ATRASO"/>
    <s v="NET PROJETOS"/>
    <x v="1"/>
  </r>
  <r>
    <x v="129"/>
    <s v="N193"/>
    <x v="2"/>
    <d v="2024-06-03T00:00:00"/>
    <n v="221"/>
    <n v="22062559"/>
    <s v="TRANSCEIVER SFP 40KM 10G CSCO"/>
    <x v="0"/>
    <n v="6"/>
    <n v="1"/>
    <s v="Unidade"/>
    <s v="CANCELAMENTO DE PEDIDO"/>
    <s v="RESERVAS EM ATRASO"/>
    <s v="NET PROJETOS"/>
    <x v="1"/>
  </r>
  <r>
    <x v="130"/>
    <s v="N193"/>
    <x v="2"/>
    <d v="2024-06-04T00:00:00"/>
    <n v="221"/>
    <n v="22059140"/>
    <s v="CORDAO OPTICO FANOUT MPO 4 LC 8FO 30M"/>
    <x v="0"/>
    <n v="2"/>
    <n v="1"/>
    <s v="Unidade"/>
    <s v="CANCELAMENTO DE PEDIDO"/>
    <s v="RESERVAS EM ATRASO"/>
    <s v="NET PROJETOS"/>
    <x v="1"/>
  </r>
  <r>
    <x v="131"/>
    <s v="N193"/>
    <x v="2"/>
    <d v="2024-06-06T00:00:00"/>
    <n v="301"/>
    <n v="30034557"/>
    <s v="TAP 02S 20DB 1 G FFT2-20P-R TR"/>
    <x v="0"/>
    <n v="1"/>
    <n v="1"/>
    <s v="Unidade"/>
    <s v="CANCELAMENTO DE PEDIDO"/>
    <s v="RESERVAS PENDENTES"/>
    <s v="NET PROJETOS"/>
    <x v="1"/>
  </r>
  <r>
    <x v="132"/>
    <s v="N193"/>
    <x v="2"/>
    <d v="2024-06-06T00:00:00"/>
    <n v="301"/>
    <n v="30035040"/>
    <s v="TAP 4S 23DB 1.2GHZ RMT2124"/>
    <x v="0"/>
    <n v="1"/>
    <n v="1"/>
    <s v="Unidade"/>
    <s v="CANCELAMENTO DE PEDIDO"/>
    <s v="RESERVAS PENDENTES"/>
    <s v="NET PROJETOS"/>
    <x v="1"/>
  </r>
  <r>
    <x v="133"/>
    <s v="N193"/>
    <x v="3"/>
    <d v="2024-06-07T00:00:00"/>
    <n v="221"/>
    <n v="30033468"/>
    <s v="SUPORTE AEREO CE FOSC 100-DM"/>
    <x v="0"/>
    <n v="4"/>
    <n v="1"/>
    <s v="Unidade"/>
    <s v="IMPORTADO COM SUCESSO"/>
    <s v="RESERVAS PENDENTES"/>
    <s v="NET PROJETOS"/>
    <x v="1"/>
  </r>
  <r>
    <x v="134"/>
    <s v="11XD"/>
    <x v="4"/>
    <d v="2024-06-05T00:00:00"/>
    <n v="221"/>
    <n v="22053068"/>
    <s v="IP PHONE YEALINK - SIP-T23G"/>
    <x v="0"/>
    <n v="18"/>
    <n v="1"/>
    <s v="Unidade"/>
    <s v="EM CONFERENCIA"/>
    <s v="PLANO DO DIA"/>
    <s v="TELMEX"/>
    <x v="0"/>
  </r>
  <r>
    <x v="135"/>
    <s v="11XD"/>
    <x v="4"/>
    <d v="2024-06-05T00:00:00"/>
    <n v="221"/>
    <n v="20008882"/>
    <s v="IAD XIP-220 PLUS 16R ANLGC - 8010184029"/>
    <x v="0"/>
    <n v="1"/>
    <n v="1"/>
    <s v="Unidade"/>
    <s v="EM CONFERENCIA"/>
    <s v="PLANO DO DIA"/>
    <s v="TELMEX"/>
    <x v="0"/>
  </r>
  <r>
    <x v="136"/>
    <s v="11XD"/>
    <x v="4"/>
    <d v="2024-06-05T00:00:00"/>
    <n v="221"/>
    <n v="16008581"/>
    <s v="PONTO DE ACESSO INDOOR MERAKI MR36"/>
    <x v="0"/>
    <n v="1"/>
    <n v="1"/>
    <s v="Unidade"/>
    <s v="PEDIDO EM LABORATORIO"/>
    <s v="PLANO DO DIA"/>
    <s v="TELMEX"/>
    <x v="0"/>
  </r>
  <r>
    <x v="136"/>
    <s v="11XD"/>
    <x v="4"/>
    <d v="2024-06-05T00:00:00"/>
    <n v="221"/>
    <n v="22064510"/>
    <s v="INJETOR POE MERAKI POE 802.3AT MA INJ"/>
    <x v="0"/>
    <n v="1"/>
    <n v="1"/>
    <s v="Unidade"/>
    <s v="PEDIDO EM LABORATORIO"/>
    <s v="PLANO DO DIA"/>
    <s v="TELMEX"/>
    <x v="0"/>
  </r>
  <r>
    <x v="137"/>
    <s v="11XD"/>
    <x v="4"/>
    <d v="2024-06-05T00:00:00"/>
    <n v="221"/>
    <n v="22024935"/>
    <s v="AC POWER CORD FOR MX AND MS (BRAZIL PLUG"/>
    <x v="0"/>
    <n v="1"/>
    <n v="1"/>
    <s v="Unidade"/>
    <s v="PEDIDO EM LABORATORIO"/>
    <s v="PLANO DO DIA"/>
    <s v="TELMEX"/>
    <x v="0"/>
  </r>
  <r>
    <x v="138"/>
    <s v="11XD"/>
    <x v="4"/>
    <d v="2024-06-05T00:00:00"/>
    <n v="221"/>
    <n v="16008581"/>
    <s v="PONTO DE ACESSO INDOOR MERAKI MR36"/>
    <x v="0"/>
    <n v="1"/>
    <n v="1"/>
    <s v="Unidade"/>
    <s v="EM CONFERENCIA"/>
    <s v="PLANO DO DIA"/>
    <s v="TELMEX"/>
    <x v="0"/>
  </r>
  <r>
    <x v="138"/>
    <s v="11XD"/>
    <x v="4"/>
    <d v="2024-06-05T00:00:00"/>
    <n v="221"/>
    <n v="22064510"/>
    <s v="INJETOR POE MERAKI POE 802.3AT MA INJ"/>
    <x v="0"/>
    <n v="1"/>
    <n v="1"/>
    <s v="Unidade"/>
    <s v="EM CONFERENCIA"/>
    <s v="PLANO DO DIA"/>
    <s v="TELMEX"/>
    <x v="0"/>
  </r>
  <r>
    <x v="139"/>
    <s v="11XD"/>
    <x v="4"/>
    <d v="2024-06-05T00:00:00"/>
    <n v="221"/>
    <n v="22024935"/>
    <s v="AC POWER CORD FOR MX AND MS (BRAZIL PLUG"/>
    <x v="0"/>
    <n v="1"/>
    <n v="1"/>
    <s v="Unidade"/>
    <s v="EM CONFERENCIA"/>
    <s v="PLANO DO DIA"/>
    <s v="TELMEX"/>
    <x v="0"/>
  </r>
  <r>
    <x v="140"/>
    <s v="11XD"/>
    <x v="4"/>
    <d v="2024-06-05T00:00:00"/>
    <n v="221"/>
    <n v="16008581"/>
    <s v="PONTO DE ACESSO INDOOR MERAKI MR36"/>
    <x v="0"/>
    <n v="1"/>
    <n v="1"/>
    <s v="Unidade"/>
    <s v="EM CONFERENCIA"/>
    <s v="PLANO DO DIA"/>
    <s v="TELMEX"/>
    <x v="0"/>
  </r>
  <r>
    <x v="140"/>
    <s v="11XD"/>
    <x v="4"/>
    <d v="2024-06-05T00:00:00"/>
    <n v="221"/>
    <n v="22064510"/>
    <s v="INJETOR POE MERAKI POE 802.3AT MA INJ"/>
    <x v="0"/>
    <n v="1"/>
    <n v="1"/>
    <s v="Unidade"/>
    <s v="EM CONFERENCIA"/>
    <s v="PLANO DO DIA"/>
    <s v="TELMEX"/>
    <x v="0"/>
  </r>
  <r>
    <x v="141"/>
    <s v="11XD"/>
    <x v="4"/>
    <d v="2024-06-05T00:00:00"/>
    <n v="221"/>
    <n v="22024935"/>
    <s v="AC POWER CORD FOR MX AND MS (BRAZIL PLUG"/>
    <x v="0"/>
    <n v="1"/>
    <n v="1"/>
    <s v="Unidade"/>
    <s v="EM CONFERENCIA"/>
    <s v="PLANO DO DIA"/>
    <s v="TELMEX"/>
    <x v="0"/>
  </r>
  <r>
    <x v="142"/>
    <s v="11XD"/>
    <x v="5"/>
    <d v="2024-06-05T00:00:00"/>
    <n v="221"/>
    <n v="30058493"/>
    <s v="ROTEADOR VELOCLOUD EDGE 510 - VC-EDG-510"/>
    <x v="0"/>
    <n v="11"/>
    <n v="1"/>
    <s v="Unidade"/>
    <s v="EM FATURAMENTO"/>
    <s v="PLANO DO DIA"/>
    <s v="TELMEX"/>
    <x v="0"/>
  </r>
  <r>
    <x v="143"/>
    <s v="11XD"/>
    <x v="5"/>
    <d v="2024-06-05T00:00:00"/>
    <n v="221"/>
    <n v="30061626"/>
    <s v="ROTEADOR EDGE 620"/>
    <x v="0"/>
    <n v="3"/>
    <n v="1"/>
    <s v="Unidade"/>
    <s v="EM FATURAMENTO"/>
    <s v="PLANO DO DIA"/>
    <s v="TELMEX"/>
    <x v="0"/>
  </r>
  <r>
    <x v="144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45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46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47"/>
    <s v="11XD"/>
    <x v="5"/>
    <d v="2024-06-06T00:00:00"/>
    <n v="221"/>
    <n v="40000292"/>
    <s v="ROTEADOR CISCO ISR4321BR/K9 CHASSIS"/>
    <x v="0"/>
    <n v="1"/>
    <n v="1"/>
    <s v="Unidade"/>
    <s v="PEDIDO EM LABORATORIO"/>
    <s v="RESERVAS PENDENTES"/>
    <s v="TELMEX"/>
    <x v="0"/>
  </r>
  <r>
    <x v="148"/>
    <s v="11XD"/>
    <x v="5"/>
    <d v="2024-06-06T00:00:00"/>
    <n v="221"/>
    <n v="40000292"/>
    <s v="ROTEADOR CISCO ISR4321BR/K9 CHASSIS"/>
    <x v="0"/>
    <n v="1"/>
    <n v="1"/>
    <s v="Unidade"/>
    <s v="PEDIDO EM LABORATORIO"/>
    <s v="RESERVAS PENDENTES"/>
    <s v="TELMEX"/>
    <x v="0"/>
  </r>
  <r>
    <x v="149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0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1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2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3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4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55"/>
    <s v="11XD"/>
    <x v="5"/>
    <d v="2024-06-06T00:00:00"/>
    <n v="221"/>
    <n v="30061626"/>
    <s v="ROTEADOR EDGE 620"/>
    <x v="0"/>
    <n v="2"/>
    <n v="1"/>
    <s v="Unidade"/>
    <s v="AGUARDANDO SEPARAÇÃO"/>
    <s v="RESERVAS PENDENTES"/>
    <s v="TELMEX"/>
    <x v="0"/>
  </r>
  <r>
    <x v="156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7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58"/>
    <s v="11XD"/>
    <x v="5"/>
    <d v="2024-06-06T00:00:00"/>
    <n v="221"/>
    <n v="30058493"/>
    <s v="ROTEADOR VELOCLOUD EDGE 510 - VC-EDG-510"/>
    <x v="0"/>
    <n v="1"/>
    <n v="1"/>
    <s v="Unidade"/>
    <s v="EM RESSUPRIMENTO"/>
    <s v="RESERVAS PENDENTES"/>
    <s v="TELMEX"/>
    <x v="0"/>
  </r>
  <r>
    <x v="159"/>
    <s v="11XD"/>
    <x v="5"/>
    <d v="2024-06-06T00:00:00"/>
    <n v="221"/>
    <n v="30058493"/>
    <s v="ROTEADOR VELOCLOUD EDGE 510 - VC-EDG-510"/>
    <x v="0"/>
    <n v="1"/>
    <n v="1"/>
    <s v="Unidade"/>
    <s v="AGUARDANDO SEPARAÇÃO"/>
    <s v="RESERVAS PENDENTES"/>
    <s v="TELMEX"/>
    <x v="0"/>
  </r>
  <r>
    <x v="160"/>
    <s v="11XD"/>
    <x v="5"/>
    <d v="2024-06-06T00:00:00"/>
    <n v="221"/>
    <n v="30058493"/>
    <s v="ROTEADOR VELOCLOUD EDGE 510 - VC-EDG-510"/>
    <x v="0"/>
    <n v="1"/>
    <n v="1"/>
    <s v="Unidade"/>
    <s v="PEDIDO EM LABORATORIO"/>
    <s v="RESERVAS PENDENTES"/>
    <s v="TELMEX"/>
    <x v="0"/>
  </r>
  <r>
    <x v="161"/>
    <s v="11XD"/>
    <x v="5"/>
    <d v="2024-06-06T00:00:00"/>
    <n v="221"/>
    <n v="30061626"/>
    <s v="ROTEADOR EDGE 620"/>
    <x v="0"/>
    <n v="2"/>
    <n v="1"/>
    <s v="Unidade"/>
    <s v="AGUARDANDO SEPARAÇÃO"/>
    <s v="RESERVAS PENDENTES"/>
    <s v="TELMEX"/>
    <x v="0"/>
  </r>
  <r>
    <x v="162"/>
    <s v="11XD"/>
    <x v="5"/>
    <d v="2024-06-06T00:00:00"/>
    <n v="221"/>
    <n v="40000292"/>
    <s v="ROTEADOR CISCO ISR4321BR/K9 CHASSIS"/>
    <x v="0"/>
    <n v="1"/>
    <n v="1"/>
    <s v="Unidade"/>
    <s v="PEDIDO EM LABORATORIO"/>
    <s v="RESERVAS PENDENTES"/>
    <s v="TELMEX"/>
    <x v="0"/>
  </r>
  <r>
    <x v="163"/>
    <s v="11XD"/>
    <x v="5"/>
    <d v="2024-06-06T00:00:00"/>
    <n v="221"/>
    <n v="40000292"/>
    <s v="ROTEADOR CISCO ISR4321BR/K9 CHASSIS"/>
    <x v="0"/>
    <n v="1"/>
    <n v="1"/>
    <s v="Unidade"/>
    <s v="PEDIDO EM LABORATORIO"/>
    <s v="RESERVAS PENDENTES"/>
    <s v="TELMEX"/>
    <x v="0"/>
  </r>
  <r>
    <x v="164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65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66"/>
    <s v="11XD"/>
    <x v="6"/>
    <d v="2024-06-06T00:00:00"/>
    <n v="221"/>
    <n v="16007966"/>
    <s v="MERAKI MX64 - FIREWALL UTM"/>
    <x v="0"/>
    <n v="1"/>
    <n v="1"/>
    <s v="Unidade"/>
    <s v="IMPORTADO"/>
    <s v="RESERVAS PENDENTES"/>
    <s v="TELMEX"/>
    <x v="0"/>
  </r>
  <r>
    <x v="167"/>
    <s v="11XD"/>
    <x v="5"/>
    <d v="2024-06-06T00:00:00"/>
    <n v="221"/>
    <n v="30058493"/>
    <s v="ROTEADOR VELOCLOUD EDGE 510 - VC-EDG-510"/>
    <x v="0"/>
    <n v="1"/>
    <n v="1"/>
    <s v="Unidade"/>
    <s v="PEDIDO EM LABORATORIO"/>
    <s v="RESERVAS PENDENTES"/>
    <s v="TELMEX"/>
    <x v="0"/>
  </r>
  <r>
    <x v="168"/>
    <s v="11XD"/>
    <x v="5"/>
    <d v="2024-06-06T00:00:00"/>
    <n v="221"/>
    <n v="30058493"/>
    <s v="ROTEADOR VELOCLOUD EDGE 510 - VC-EDG-510"/>
    <x v="0"/>
    <n v="1"/>
    <n v="1"/>
    <s v="Unidade"/>
    <s v="PEDIDO EM LABORATORIO"/>
    <s v="RESERVAS PENDENTES"/>
    <s v="TELMEX"/>
    <x v="0"/>
  </r>
  <r>
    <x v="169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70"/>
    <s v="11XD"/>
    <x v="5"/>
    <d v="2024-06-06T00:00:00"/>
    <n v="221"/>
    <n v="10019937"/>
    <s v="NOBREAK LITE 1200BI 115 6T"/>
    <x v="0"/>
    <n v="1"/>
    <n v="1"/>
    <s v="Unidade"/>
    <s v="PEDIDO EM LABORATORIO"/>
    <s v="RESERVAS PENDENTES"/>
    <s v="TELMEX"/>
    <x v="0"/>
  </r>
  <r>
    <x v="171"/>
    <s v="11XD"/>
    <x v="5"/>
    <d v="2024-06-06T00:00:00"/>
    <n v="221"/>
    <n v="16008418"/>
    <s v="FIREWALL FORTIGATE 40F"/>
    <x v="0"/>
    <n v="3"/>
    <n v="1"/>
    <s v="Unidade"/>
    <s v="PEDIDO EM LABORATORIO"/>
    <s v="RESERVAS PENDENTES"/>
    <s v="TELMEX"/>
    <x v="0"/>
  </r>
  <r>
    <x v="172"/>
    <s v="11XD"/>
    <x v="5"/>
    <d v="2024-06-06T00:00:00"/>
    <n v="221"/>
    <n v="16008418"/>
    <s v="FIREWALL FORTIGATE 40F"/>
    <x v="0"/>
    <n v="1"/>
    <n v="1"/>
    <s v="Unidade"/>
    <s v="PEDIDO EM LABORATORIO"/>
    <s v="RESERVAS PENDENTES"/>
    <s v="TELMEX"/>
    <x v="0"/>
  </r>
  <r>
    <x v="173"/>
    <s v="11XD"/>
    <x v="5"/>
    <d v="2024-06-06T00:00:00"/>
    <n v="221"/>
    <n v="16008418"/>
    <s v="FIREWALL FORTIGATE 40F"/>
    <x v="0"/>
    <n v="1"/>
    <n v="1"/>
    <s v="Unidade"/>
    <s v="PEDIDO EM LABORATORIO"/>
    <s v="RESERVAS PENDENTES"/>
    <s v="TELMEX"/>
    <x v="0"/>
  </r>
  <r>
    <x v="174"/>
    <s v="11XD"/>
    <x v="5"/>
    <d v="2024-06-06T00:00:00"/>
    <n v="221"/>
    <n v="16008418"/>
    <s v="FIREWALL FORTIGATE 40F"/>
    <x v="0"/>
    <n v="8"/>
    <n v="1"/>
    <s v="Unidade"/>
    <s v="PEDIDO EM LABORATORIO"/>
    <s v="RESERVAS PENDENTES"/>
    <s v="TELMEX"/>
    <x v="0"/>
  </r>
  <r>
    <x v="175"/>
    <s v="11XD"/>
    <x v="5"/>
    <d v="2024-06-06T00:00:00"/>
    <n v="221"/>
    <n v="16008418"/>
    <s v="FIREWALL FORTIGATE 40F"/>
    <x v="0"/>
    <n v="2"/>
    <n v="1"/>
    <s v="Unidade"/>
    <s v="PEDIDO EM LABORATORIO"/>
    <s v="RESERVAS PENDENTES"/>
    <s v="TELMEX"/>
    <x v="0"/>
  </r>
  <r>
    <x v="176"/>
    <s v="11XD"/>
    <x v="5"/>
    <d v="2024-06-06T00:00:00"/>
    <n v="221"/>
    <n v="16008418"/>
    <s v="FIREWALL FORTIGATE 40F"/>
    <x v="0"/>
    <n v="1"/>
    <n v="1"/>
    <s v="Unidade"/>
    <s v="PEDIDO EM LABORATORIO"/>
    <s v="RESERVAS PENDENTES"/>
    <s v="TELMEX"/>
    <x v="0"/>
  </r>
  <r>
    <x v="177"/>
    <s v="11XD"/>
    <x v="5"/>
    <d v="2024-06-06T00:00:00"/>
    <n v="221"/>
    <n v="16008418"/>
    <s v="FIREWALL FORTIGATE 40F"/>
    <x v="0"/>
    <n v="3"/>
    <n v="1"/>
    <s v="Unidade"/>
    <s v="EM SEPARAÇÃO"/>
    <s v="RESERVAS PENDENTES"/>
    <s v="TELMEX"/>
    <x v="0"/>
  </r>
  <r>
    <x v="178"/>
    <s v="11XD"/>
    <x v="5"/>
    <d v="2024-06-06T00:00:00"/>
    <n v="221"/>
    <n v="16008418"/>
    <s v="FIREWALL FORTIGATE 40F"/>
    <x v="0"/>
    <n v="1"/>
    <n v="1"/>
    <s v="Unidade"/>
    <s v="EM SEPARAÇÃO"/>
    <s v="RESERVAS PENDENTES"/>
    <s v="TELMEX"/>
    <x v="0"/>
  </r>
  <r>
    <x v="179"/>
    <s v="11XD"/>
    <x v="5"/>
    <d v="2024-06-06T00:00:00"/>
    <n v="221"/>
    <n v="16008418"/>
    <s v="FIREWALL FORTIGATE 40F"/>
    <x v="0"/>
    <n v="1"/>
    <n v="1"/>
    <s v="Unidade"/>
    <s v="PEDIDO EM LABORATORIO"/>
    <s v="RESERVAS PENDENTES"/>
    <s v="TELMEX"/>
    <x v="0"/>
  </r>
  <r>
    <x v="180"/>
    <s v="11XD"/>
    <x v="5"/>
    <d v="2024-06-06T00:00:00"/>
    <n v="221"/>
    <n v="16008418"/>
    <s v="FIREWALL FORTIGATE 40F"/>
    <x v="0"/>
    <n v="18"/>
    <n v="1"/>
    <s v="Unidade"/>
    <s v="EM SEPARAÇÃO"/>
    <s v="RESERVAS PENDENTES"/>
    <s v="TELMEX"/>
    <x v="0"/>
  </r>
  <r>
    <x v="181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2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3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4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5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6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7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8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89"/>
    <s v="11XD"/>
    <x v="7"/>
    <d v="2024-06-06T00:00:00"/>
    <n v="221"/>
    <n v="16007966"/>
    <s v="MERAKI MX64 - FIREWALL UTM"/>
    <x v="0"/>
    <n v="1"/>
    <n v="1"/>
    <s v="Unidade"/>
    <s v="PEDIDO EM LABORATORIO"/>
    <s v="RESERVAS PENDENTES"/>
    <s v="TELMEX"/>
    <x v="0"/>
  </r>
  <r>
    <x v="190"/>
    <s v="11XD"/>
    <x v="5"/>
    <d v="2024-06-06T00:00:00"/>
    <n v="221"/>
    <n v="16008416"/>
    <s v="FIREWALL FORTIGATE 600E"/>
    <x v="0"/>
    <n v="2"/>
    <n v="1"/>
    <s v="Unidade"/>
    <s v="PEDIDO EM LABORATORIO"/>
    <s v="RESERVAS PENDENTES"/>
    <s v="TELMEX"/>
    <x v="0"/>
  </r>
  <r>
    <x v="191"/>
    <s v="11XD"/>
    <x v="6"/>
    <d v="2024-06-06T00:00:00"/>
    <n v="221"/>
    <n v="22060460"/>
    <s v="TELEFONE IP GXP1610"/>
    <x v="0"/>
    <n v="12"/>
    <n v="1"/>
    <s v="Unidade"/>
    <s v="EM SEPARAÇÃO"/>
    <s v="RESERVAS PENDENTES"/>
    <s v="TELMEX"/>
    <x v="0"/>
  </r>
  <r>
    <x v="191"/>
    <s v="11XD"/>
    <x v="6"/>
    <d v="2024-06-06T00:00:00"/>
    <n v="221"/>
    <n v="30039628"/>
    <s v="CHAVDR DLINK GERNCVL 8P DES-3010G"/>
    <x v="0"/>
    <n v="20"/>
    <n v="1"/>
    <s v="Unidade"/>
    <s v="EM SEPARAÇÃO"/>
    <s v="RESERVAS PENDENTES"/>
    <s v="TELMEX"/>
    <x v="0"/>
  </r>
  <r>
    <x v="192"/>
    <s v="11XD"/>
    <x v="4"/>
    <d v="2024-06-06T00:00:00"/>
    <n v="221"/>
    <n v="30064968"/>
    <s v="PONTO DE ACESSO R550"/>
    <x v="0"/>
    <n v="3"/>
    <n v="1"/>
    <s v="Unidade"/>
    <s v="AGUARDANDO SEPARAÇÃO"/>
    <s v="RESERVAS PENDENTES"/>
    <s v="TELMEX"/>
    <x v="0"/>
  </r>
  <r>
    <x v="193"/>
    <s v="11XD"/>
    <x v="4"/>
    <d v="2024-06-06T00:00:00"/>
    <n v="221"/>
    <n v="30064968"/>
    <s v="PONTO DE ACESSO R550"/>
    <x v="0"/>
    <n v="3"/>
    <n v="1"/>
    <s v="Unidade"/>
    <s v="AGUARDANDO SEPARAÇÃO"/>
    <s v="RESERVAS PENDENTES"/>
    <s v="TELMEX"/>
    <x v="0"/>
  </r>
  <r>
    <x v="194"/>
    <s v="11XD"/>
    <x v="4"/>
    <d v="2024-06-06T00:00:00"/>
    <n v="221"/>
    <n v="30064968"/>
    <s v="PONTO DE ACESSO R550"/>
    <x v="0"/>
    <n v="4"/>
    <n v="1"/>
    <s v="Unidade"/>
    <s v="AGUARDANDO SEPARAÇÃO"/>
    <s v="RESERVAS PENDENTES"/>
    <s v="TELMEX"/>
    <x v="0"/>
  </r>
  <r>
    <x v="195"/>
    <s v="11XD"/>
    <x v="4"/>
    <d v="2024-06-06T00:00:00"/>
    <n v="221"/>
    <n v="22061906"/>
    <s v="ALIMENTADOR EXTERNO 20W 1GBPS"/>
    <x v="0"/>
    <n v="10"/>
    <n v="1"/>
    <s v="Unidade"/>
    <s v="AGUARDANDO SEPARAÇÃO"/>
    <s v="RESERVAS PENDENTES"/>
    <s v="TELMEX"/>
    <x v="0"/>
  </r>
  <r>
    <x v="196"/>
    <s v="11XD"/>
    <x v="4"/>
    <d v="2024-06-06T00:00:00"/>
    <n v="221"/>
    <n v="30060212"/>
    <s v="RADIO ACCESS POINT ARUBA AP303"/>
    <x v="0"/>
    <n v="1"/>
    <n v="1"/>
    <s v="Unidade"/>
    <s v="IMPORTADO"/>
    <s v="RESERVAS PENDENTES"/>
    <s v="TELMEX"/>
    <x v="0"/>
  </r>
  <r>
    <x v="197"/>
    <s v="11XD"/>
    <x v="4"/>
    <d v="2024-06-06T00:00:00"/>
    <n v="221"/>
    <n v="22062160"/>
    <s v="FONTE DE ALIMENTACAO AP POE AFGE"/>
    <x v="0"/>
    <n v="1"/>
    <n v="1"/>
    <s v="Unidade"/>
    <s v="IMPORTADO"/>
    <s v="RESERVAS PENDENTES"/>
    <s v="TELMEX"/>
    <x v="0"/>
  </r>
  <r>
    <x v="198"/>
    <s v="11XD"/>
    <x v="4"/>
    <d v="2024-06-06T00:00:00"/>
    <n v="221"/>
    <n v="22060458"/>
    <s v="SUPORTE PAREDE AP220 MNT W1W"/>
    <x v="0"/>
    <n v="1"/>
    <n v="1"/>
    <s v="Unidade"/>
    <s v="IMPORTADO"/>
    <s v="RESERVAS PENDENTES"/>
    <s v="TELMEX"/>
    <x v="0"/>
  </r>
  <r>
    <x v="198"/>
    <s v="11XD"/>
    <x v="4"/>
    <d v="2024-06-06T00:00:00"/>
    <n v="221"/>
    <n v="33003931"/>
    <s v="CABO DE FORCA PWR CORD"/>
    <x v="0"/>
    <n v="1"/>
    <n v="1"/>
    <s v="Unidade"/>
    <s v="IMPORTADO"/>
    <s v="RESERVAS PENDENTES"/>
    <s v="TELMEX"/>
    <x v="0"/>
  </r>
  <r>
    <x v="199"/>
    <s v="11XD"/>
    <x v="4"/>
    <d v="2024-06-06T00:00:00"/>
    <n v="221"/>
    <n v="22053068"/>
    <s v="IP PHONE YEALINK - SIP-T23G"/>
    <x v="0"/>
    <n v="6"/>
    <n v="1"/>
    <s v="Unidade"/>
    <s v="IMPORTADO"/>
    <s v="RESERVAS PENDENTES"/>
    <s v="TELMEX"/>
    <x v="0"/>
  </r>
  <r>
    <x v="200"/>
    <s v="11XD"/>
    <x v="4"/>
    <d v="2024-06-06T00:00:00"/>
    <n v="221"/>
    <n v="20008882"/>
    <s v="IAD XIP-220 PLUS 16R ANLGC - 8010184029"/>
    <x v="0"/>
    <n v="1"/>
    <n v="1"/>
    <s v="Unidade"/>
    <s v="IMPORTADO"/>
    <s v="RESERVAS PENDENTES"/>
    <s v="TELMEX"/>
    <x v="0"/>
  </r>
  <r>
    <x v="201"/>
    <s v="11XD"/>
    <x v="4"/>
    <d v="2024-06-06T00:00:00"/>
    <n v="221"/>
    <n v="22064977"/>
    <s v="CAMERA MERAKI MV2 INDOOR FLEX"/>
    <x v="0"/>
    <n v="19"/>
    <n v="1"/>
    <s v="Unidade"/>
    <s v="IMPORTADO"/>
    <s v="RESERVAS PENDENTES"/>
    <s v="TELMEX"/>
    <x v="0"/>
  </r>
  <r>
    <x v="201"/>
    <s v="11XD"/>
    <x v="4"/>
    <d v="2024-06-06T00:00:00"/>
    <n v="221"/>
    <n v="22064978"/>
    <s v="CABO REDE MERAKI ETHERNET ADAPTER MV2"/>
    <x v="0"/>
    <n v="23"/>
    <n v="1"/>
    <s v="Unidade"/>
    <s v="IMPORTADO"/>
    <s v="RESERVAS PENDENTES"/>
    <s v="TELMEX"/>
    <x v="0"/>
  </r>
  <r>
    <x v="202"/>
    <s v="11XD"/>
    <x v="4"/>
    <d v="2024-06-06T00:00:00"/>
    <n v="221"/>
    <n v="22064979"/>
    <s v="CAMERA MERAKI MV12"/>
    <x v="0"/>
    <n v="5"/>
    <n v="1"/>
    <s v="Unidade"/>
    <s v="IMPORTADO"/>
    <s v="RESERVAS PENDENTES"/>
    <s v="TELMEX"/>
    <x v="0"/>
  </r>
  <r>
    <x v="203"/>
    <s v="11XD"/>
    <x v="4"/>
    <d v="2024-06-06T00:00:00"/>
    <n v="221"/>
    <n v="22059129"/>
    <s v="CABO EXTENSOR ALARME MVD IFLEET"/>
    <x v="0"/>
    <n v="36"/>
    <n v="1"/>
    <s v="Unidade"/>
    <s v="IMPORTADO"/>
    <s v="RESERVAS PENDENTES"/>
    <s v="TELMEX"/>
    <x v="0"/>
  </r>
  <r>
    <x v="204"/>
    <s v="11XD"/>
    <x v="4"/>
    <d v="2024-06-06T00:00:00"/>
    <n v="221"/>
    <n v="22059129"/>
    <s v="CABO EXTENSOR ALARME MVD IFLEET"/>
    <x v="0"/>
    <n v="43"/>
    <n v="1"/>
    <s v="Unidade"/>
    <s v="IMPORTADO"/>
    <s v="RESERVAS PENDENTES"/>
    <s v="TELMEX"/>
    <x v="0"/>
  </r>
  <r>
    <x v="205"/>
    <s v="11XD"/>
    <x v="4"/>
    <d v="2024-06-06T00:00:00"/>
    <n v="221"/>
    <n v="22059129"/>
    <s v="CABO EXTENSOR ALARME MVD IFLEET"/>
    <x v="0"/>
    <n v="66"/>
    <n v="1"/>
    <s v="Unidade"/>
    <s v="IMPORTADO"/>
    <s v="RESERVAS PENDENTES"/>
    <s v="TELMEX"/>
    <x v="0"/>
  </r>
  <r>
    <x v="206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07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08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09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10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11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12"/>
    <s v="11XD"/>
    <x v="4"/>
    <d v="2024-06-07T00:00:00"/>
    <n v="221"/>
    <n v="16008418"/>
    <s v="FIREWALL FORTIGATE 40F"/>
    <x v="0"/>
    <n v="1"/>
    <n v="1"/>
    <s v="Unidade"/>
    <s v="IMPORTADO COM SUCESSO"/>
    <s v="RESERVAS PENDENTES"/>
    <s v="TELMEX"/>
    <x v="0"/>
  </r>
  <r>
    <x v="213"/>
    <n v="1196"/>
    <x v="8"/>
    <d v="2024-06-05T00:00:00"/>
    <n v="301"/>
    <n v="30012894"/>
    <s v="UNIDADE DE ENERGIA"/>
    <x v="0"/>
    <n v="1"/>
    <n v="1"/>
    <s v="Unidade"/>
    <s v="EM CONFERENCIA"/>
    <s v="PLANO DO DIA"/>
    <s v="OMR"/>
    <x v="0"/>
  </r>
  <r>
    <x v="214"/>
    <n v="1196"/>
    <x v="5"/>
    <d v="2024-06-05T00:00:00"/>
    <n v="301"/>
    <n v="30014065"/>
    <s v="RADIO FULL OUTDOOR IP-20C-6H-340A-1W4-H"/>
    <x v="0"/>
    <n v="1"/>
    <n v="1"/>
    <s v="Unidade"/>
    <s v="EM CONFERENCIA"/>
    <s v="PLANO DO DIA"/>
    <s v="OMR"/>
    <x v="0"/>
  </r>
  <r>
    <x v="215"/>
    <n v="1196"/>
    <x v="5"/>
    <d v="2024-06-05T00:00:00"/>
    <n v="301"/>
    <n v="30014591"/>
    <s v="RADIO FULL OUTDOOR IP20C-E-18-L-L"/>
    <x v="0"/>
    <n v="1"/>
    <n v="1"/>
    <s v="Unidade"/>
    <s v="EM CONFERENCIA"/>
    <s v="PLANO DO DIA"/>
    <s v="OMR"/>
    <x v="0"/>
  </r>
  <r>
    <x v="216"/>
    <n v="1196"/>
    <x v="8"/>
    <d v="2024-06-05T00:00:00"/>
    <n v="301"/>
    <n v="20000111"/>
    <s v="FILTRO/COMBINADOR CDU 900MHZ"/>
    <x v="0"/>
    <n v="1"/>
    <n v="1"/>
    <s v="Unidade"/>
    <s v="EM CONFERENCIA"/>
    <s v="PLANO DO DIA"/>
    <s v="OMR"/>
    <x v="0"/>
  </r>
  <r>
    <x v="217"/>
    <n v="1196"/>
    <x v="8"/>
    <d v="2024-06-05T00:00:00"/>
    <n v="301"/>
    <n v="30013591"/>
    <s v="MODEM OUT RTN320"/>
    <x v="0"/>
    <n v="3"/>
    <n v="1"/>
    <s v="Unidade"/>
    <s v="EM CONFERENCIA"/>
    <s v="PLANO DO DIA"/>
    <s v="OMR"/>
    <x v="0"/>
  </r>
  <r>
    <x v="218"/>
    <n v="1196"/>
    <x v="8"/>
    <d v="2024-06-05T00:00:00"/>
    <n v="301"/>
    <n v="30013591"/>
    <s v="MODEM OUT RTN320"/>
    <x v="0"/>
    <n v="5"/>
    <n v="1"/>
    <s v="Unidade"/>
    <s v="EM FATURAMENTO"/>
    <s v="PLANO DO DIA"/>
    <s v="OMR"/>
    <x v="0"/>
  </r>
  <r>
    <x v="219"/>
    <n v="1196"/>
    <x v="8"/>
    <d v="2024-06-05T00:00:00"/>
    <n v="301"/>
    <n v="50000136"/>
    <s v="MODULO DIGITAL 3G DUW30"/>
    <x v="0"/>
    <n v="1"/>
    <n v="1"/>
    <s v="Unidade"/>
    <s v="EM CONFERENCIA"/>
    <s v="PLANO DO DIA"/>
    <s v="OMR"/>
    <x v="0"/>
  </r>
  <r>
    <x v="220"/>
    <n v="1196"/>
    <x v="5"/>
    <d v="2024-06-05T00:00:00"/>
    <n v="301"/>
    <n v="30014066"/>
    <s v="RADIO FULL OUTDOOR IP-20C-6H-340A-1W4-L"/>
    <x v="0"/>
    <n v="1"/>
    <n v="1"/>
    <s v="Unidade"/>
    <s v="EM CONFERENCIA"/>
    <s v="PLANO DO DIA"/>
    <s v="OMR"/>
    <x v="0"/>
  </r>
  <r>
    <x v="221"/>
    <n v="1196"/>
    <x v="9"/>
    <d v="2024-06-05T00:00:00"/>
    <n v="301"/>
    <n v="30012204"/>
    <s v="UNIDADE INDOOR IP-20G M2"/>
    <x v="0"/>
    <n v="2"/>
    <n v="1"/>
    <s v="Unidade"/>
    <s v="EM CONFERENCIA"/>
    <s v="PLANO DO DIA"/>
    <s v="OMR"/>
    <x v="0"/>
  </r>
  <r>
    <x v="222"/>
    <n v="1196"/>
    <x v="5"/>
    <d v="2024-06-05T00:00:00"/>
    <n v="301"/>
    <n v="30014591"/>
    <s v="RADIO FULL OUTDOOR IP20C-E-18-L-L"/>
    <x v="0"/>
    <n v="1"/>
    <n v="1"/>
    <s v="Unidade"/>
    <s v="EM CONFERENCIA"/>
    <s v="PLANO DO DIA"/>
    <s v="OMR"/>
    <x v="0"/>
  </r>
  <r>
    <x v="223"/>
    <n v="1196"/>
    <x v="8"/>
    <d v="2024-06-06T00:00:00"/>
    <n v="301"/>
    <n v="50000136"/>
    <s v="MODULO DIGITAL 3G DUW30"/>
    <x v="0"/>
    <n v="2"/>
    <n v="1"/>
    <s v="Unidade"/>
    <s v="EM CONFERENCIA"/>
    <s v="RESERVAS PENDENTES"/>
    <s v="OMR"/>
    <x v="0"/>
  </r>
  <r>
    <x v="224"/>
    <n v="1196"/>
    <x v="8"/>
    <d v="2024-06-06T00:00:00"/>
    <n v="301"/>
    <n v="24000554"/>
    <s v="FLATPACK2 48/3000 HE G2"/>
    <x v="0"/>
    <n v="6"/>
    <n v="1"/>
    <s v="Unidade"/>
    <s v="EM CONFERENCIA"/>
    <s v="RESERVAS PENDENTES"/>
    <s v="OMR"/>
    <x v="0"/>
  </r>
  <r>
    <x v="225"/>
    <n v="1196"/>
    <x v="8"/>
    <d v="2024-06-06T00:00:00"/>
    <n v="301"/>
    <n v="10000463"/>
    <s v="RETIFICADOR FLATPACK2 48/3000W"/>
    <x v="0"/>
    <n v="2"/>
    <n v="1"/>
    <s v="Unidade"/>
    <s v="EM CONFERENCIA"/>
    <s v="RESERVAS PENDENTES"/>
    <s v="OMR"/>
    <x v="0"/>
  </r>
  <r>
    <x v="226"/>
    <n v="1196"/>
    <x v="8"/>
    <d v="2024-06-06T00:00:00"/>
    <n v="301"/>
    <n v="24000554"/>
    <s v="FLATPACK2 48/3000 HE G2"/>
    <x v="0"/>
    <n v="4"/>
    <n v="1"/>
    <s v="Unidade"/>
    <s v="EM CONFERENCIA"/>
    <s v="RESERVAS PENDENTES"/>
    <s v="OMR"/>
    <x v="0"/>
  </r>
  <r>
    <x v="227"/>
    <n v="1196"/>
    <x v="8"/>
    <d v="2024-06-06T00:00:00"/>
    <n v="301"/>
    <n v="50000136"/>
    <s v="MODULO DIGITAL 3G DUW30"/>
    <x v="0"/>
    <n v="3"/>
    <n v="1"/>
    <s v="Unidade"/>
    <s v="PEDIDO EM LABORATORIO"/>
    <s v="RESERVAS PENDENTES"/>
    <s v="OMR"/>
    <x v="0"/>
  </r>
  <r>
    <x v="228"/>
    <n v="1196"/>
    <x v="8"/>
    <d v="2024-06-06T00:00:00"/>
    <n v="301"/>
    <n v="50000210"/>
    <s v="UNIDADE CONTROLE DIGITAL WCDMA DUW31"/>
    <x v="0"/>
    <n v="1"/>
    <n v="1"/>
    <s v="Unidade"/>
    <s v="EM CONFERENCIA"/>
    <s v="RESERVAS PENDENTES"/>
    <s v="OMR"/>
    <x v="0"/>
  </r>
  <r>
    <x v="228"/>
    <n v="1196"/>
    <x v="8"/>
    <d v="2024-06-06T00:00:00"/>
    <n v="301"/>
    <n v="50000136"/>
    <s v="MODULO DIGITAL 3G DUW30"/>
    <x v="0"/>
    <n v="1"/>
    <n v="1"/>
    <s v="Unidade"/>
    <s v="EM CONFERENCIA"/>
    <s v="RESERVAS PENDENTES"/>
    <s v="OMR"/>
    <x v="0"/>
  </r>
  <r>
    <x v="229"/>
    <n v="1196"/>
    <x v="8"/>
    <d v="2024-06-06T00:00:00"/>
    <n v="301"/>
    <n v="50000136"/>
    <s v="MODULO DIGITAL 3G DUW30"/>
    <x v="0"/>
    <n v="1"/>
    <n v="1"/>
    <s v="Unidade"/>
    <s v="EM CONFERENCIA"/>
    <s v="RESERVAS PENDENTES"/>
    <s v="OMR"/>
    <x v="0"/>
  </r>
  <r>
    <x v="230"/>
    <n v="1196"/>
    <x v="8"/>
    <d v="2024-06-06T00:00:00"/>
    <n v="301"/>
    <n v="50000136"/>
    <s v="MODULO DIGITAL 3G DUW30"/>
    <x v="0"/>
    <n v="2"/>
    <n v="1"/>
    <s v="Unidade"/>
    <s v="EM CONFERENCIA"/>
    <s v="RESERVAS PENDENTES"/>
    <s v="OMR"/>
    <x v="0"/>
  </r>
  <r>
    <x v="231"/>
    <n v="1196"/>
    <x v="5"/>
    <d v="2024-06-06T00:00:00"/>
    <n v="301"/>
    <n v="22001090"/>
    <s v="FILTRO GORE CF541237"/>
    <x v="0"/>
    <n v="1"/>
    <n v="1"/>
    <s v="Unidade"/>
    <s v="EM CONFERENCIA"/>
    <s v="RESERVAS PENDENTES"/>
    <s v="OMR"/>
    <x v="0"/>
  </r>
  <r>
    <x v="232"/>
    <n v="1196"/>
    <x v="8"/>
    <d v="2024-06-06T00:00:00"/>
    <n v="301"/>
    <n v="30014577"/>
    <s v="RADIO FULL OUTDOOR IP20C-HP-8-311A-5W8-L"/>
    <x v="0"/>
    <n v="1"/>
    <n v="1"/>
    <s v="Unidade"/>
    <s v="EM CONFERENCIA"/>
    <s v="RESERVAS PENDENTES"/>
    <s v="OMR"/>
    <x v="0"/>
  </r>
  <r>
    <x v="232"/>
    <n v="1196"/>
    <x v="8"/>
    <d v="2024-06-06T00:00:00"/>
    <n v="301"/>
    <n v="10000463"/>
    <s v="RETIFICADOR FLATPACK2 48/3000W"/>
    <x v="0"/>
    <n v="1"/>
    <n v="1"/>
    <s v="Unidade"/>
    <s v="EM CONFERENCIA"/>
    <s v="RESERVAS PENDENTES"/>
    <s v="OMR"/>
    <x v="0"/>
  </r>
  <r>
    <x v="232"/>
    <n v="1196"/>
    <x v="8"/>
    <d v="2024-06-06T00:00:00"/>
    <n v="301"/>
    <n v="24000554"/>
    <s v="FLATPACK2 48/3000 HE G2"/>
    <x v="0"/>
    <n v="1"/>
    <n v="1"/>
    <s v="Unidade"/>
    <s v="EM CONFERENCIA"/>
    <s v="RESERVAS PENDENTES"/>
    <s v="OMR"/>
    <x v="0"/>
  </r>
  <r>
    <x v="233"/>
    <n v="1196"/>
    <x v="8"/>
    <d v="2024-06-06T00:00:00"/>
    <n v="301"/>
    <n v="30062410"/>
    <s v="RADIO FULL OUTDOOR IP 50E DX0H L ESSQ"/>
    <x v="0"/>
    <n v="1"/>
    <n v="1"/>
    <s v="Unidade"/>
    <s v="EM CONFERENCIA"/>
    <s v="RESERVAS PENDENTES"/>
    <s v="OMR"/>
    <x v="0"/>
  </r>
  <r>
    <x v="234"/>
    <n v="1196"/>
    <x v="8"/>
    <d v="2024-06-06T00:00:00"/>
    <n v="301"/>
    <n v="30014087"/>
    <s v="RADIO FULL OUTDOOR IP-20C-F-23-H"/>
    <x v="0"/>
    <n v="1"/>
    <n v="1"/>
    <s v="Unidade"/>
    <s v="EM CONFERENCIA"/>
    <s v="RESERVAS PENDENTES"/>
    <s v="OMR"/>
    <x v="0"/>
  </r>
  <r>
    <x v="234"/>
    <n v="1196"/>
    <x v="8"/>
    <d v="2024-06-06T00:00:00"/>
    <n v="301"/>
    <n v="30062404"/>
    <s v="RADIO FULL OUT IP 20C E 13 266 1W4 L ESS"/>
    <x v="0"/>
    <n v="1"/>
    <n v="1"/>
    <s v="Unidade"/>
    <s v="EM CONFERENCIA"/>
    <s v="RESERVAS PENDENTES"/>
    <s v="OMR"/>
    <x v="0"/>
  </r>
  <r>
    <x v="235"/>
    <n v="1196"/>
    <x v="8"/>
    <d v="2024-06-06T00:00:00"/>
    <n v="301"/>
    <n v="30061416"/>
    <s v="RADIO 4443 1800 2100MHZ KRC161753 1"/>
    <x v="0"/>
    <n v="1"/>
    <n v="1"/>
    <s v="Unidade"/>
    <s v="EM CONFERENCIA"/>
    <s v="RESERVAS PENDENTES"/>
    <s v="OMR"/>
    <x v="0"/>
  </r>
  <r>
    <x v="236"/>
    <n v="1196"/>
    <x v="8"/>
    <d v="2024-06-06T00:00:00"/>
    <n v="301"/>
    <n v="30014293"/>
    <s v="MODULO TRANSCEPTOR 2217 700MHZ"/>
    <x v="0"/>
    <n v="1"/>
    <n v="1"/>
    <s v="Unidade"/>
    <s v="EM CONFERENCIA"/>
    <s v="RESERVAS PENDENTES"/>
    <s v="OMR"/>
    <x v="0"/>
  </r>
  <r>
    <x v="237"/>
    <n v="1196"/>
    <x v="8"/>
    <d v="2024-06-06T00:00:00"/>
    <n v="301"/>
    <n v="30014293"/>
    <s v="MODULO TRANSCEPTOR 2217 700MHZ"/>
    <x v="0"/>
    <n v="1"/>
    <n v="1"/>
    <s v="Unidade"/>
    <s v="EM CONFERENCIA"/>
    <s v="RESERVAS PENDENTES"/>
    <s v="OMR"/>
    <x v="0"/>
  </r>
  <r>
    <x v="238"/>
    <n v="1196"/>
    <x v="8"/>
    <d v="2024-06-06T00:00:00"/>
    <n v="301"/>
    <n v="30014067"/>
    <s v="RADIO FULL OUTDOOR IP-20C-6H-340A-5W8-H"/>
    <x v="0"/>
    <n v="1"/>
    <n v="1"/>
    <s v="Unidade"/>
    <s v="EM CONFERENCIA"/>
    <s v="RESERVAS PENDENTES"/>
    <s v="OMR"/>
    <x v="0"/>
  </r>
  <r>
    <x v="239"/>
    <n v="1196"/>
    <x v="8"/>
    <d v="2024-06-06T00:00:00"/>
    <n v="301"/>
    <n v="30014093"/>
    <s v="RADIO FULL OUTDOOR IP-20S-15-420-1W8-H"/>
    <x v="0"/>
    <n v="1"/>
    <n v="1"/>
    <s v="Unidade"/>
    <s v="EM CONFERENCIA"/>
    <s v="RESERVAS PENDENTES"/>
    <s v="OMR"/>
    <x v="0"/>
  </r>
  <r>
    <x v="240"/>
    <s v="N190"/>
    <x v="7"/>
    <d v="2024-06-03T00:00:00"/>
    <s v="X43"/>
    <n v="22026249"/>
    <s v="CTRL REMOTO DIG. DCR7121 PACE"/>
    <x v="0"/>
    <n v="40"/>
    <n v="1"/>
    <s v="Unidade"/>
    <s v="EM CONFERENCIA"/>
    <s v="RESERVAS EM ATRASO"/>
    <s v="NET MASSIVO"/>
    <x v="1"/>
  </r>
  <r>
    <x v="240"/>
    <s v="N190"/>
    <x v="7"/>
    <d v="2024-06-03T00:00:00"/>
    <s v="X43"/>
    <n v="22057705"/>
    <s v="FONTE CX DIG HD DCR74X1 LITEON"/>
    <x v="0"/>
    <n v="100"/>
    <n v="1"/>
    <s v="Unidade"/>
    <s v="EM CONFERENCIA"/>
    <s v="RESERVAS EM ATRASO"/>
    <s v="NET MASSIVO"/>
    <x v="1"/>
  </r>
  <r>
    <x v="240"/>
    <s v="N190"/>
    <x v="7"/>
    <d v="2024-06-03T00:00:00"/>
    <s v="X43"/>
    <n v="22058239"/>
    <s v="FONTE DE ENERGIA PA11807UD2"/>
    <x v="0"/>
    <n v="40"/>
    <n v="1"/>
    <s v="Unidade"/>
    <s v="EM CONFERENCIA"/>
    <s v="RESERVAS EM ATRASO"/>
    <s v="NET MASSIVO"/>
    <x v="1"/>
  </r>
  <r>
    <x v="240"/>
    <s v="N190"/>
    <x v="10"/>
    <d v="2024-06-03T00:00:00"/>
    <s v="X43"/>
    <n v="22058258"/>
    <s v="PILHA MANGANES AAA 1,5 V"/>
    <x v="0"/>
    <n v="80"/>
    <n v="1"/>
    <s v="Unidade"/>
    <s v="EM CONFERENCIA"/>
    <s v="RESERVAS EM ATRASO"/>
    <s v="NET MASSIVO"/>
    <x v="1"/>
  </r>
  <r>
    <x v="241"/>
    <s v="N190"/>
    <x v="7"/>
    <d v="2024-06-03T00:00:00"/>
    <s v="X41"/>
    <n v="41000805"/>
    <s v="SMART CARD AVULSO SIM CARD"/>
    <x v="0"/>
    <n v="200"/>
    <n v="1"/>
    <s v="Unidade"/>
    <s v="EM CONFERENCIA"/>
    <s v="RESERVAS EM ATRASO"/>
    <s v="NET MASSIVO"/>
    <x v="1"/>
  </r>
  <r>
    <x v="241"/>
    <s v="N190"/>
    <x v="7"/>
    <d v="2024-06-03T00:00:00"/>
    <s v="X41"/>
    <n v="41001048"/>
    <s v="DECODER HD HHDC2"/>
    <x v="0"/>
    <n v="200"/>
    <n v="1"/>
    <s v="Unidade"/>
    <s v="EM CONFERENCIA"/>
    <s v="RESERVAS EM ATRASO"/>
    <s v="NET MASSIVO"/>
    <x v="1"/>
  </r>
  <r>
    <x v="241"/>
    <s v="N190"/>
    <x v="7"/>
    <d v="2024-06-03T00:00:00"/>
    <s v="X41"/>
    <n v="41001294"/>
    <s v="EMTA WIFI 3.0 TC7337NET 16X4"/>
    <x v="0"/>
    <n v="270"/>
    <n v="1"/>
    <s v="Unidade"/>
    <s v="EM CONFERENCIA"/>
    <s v="RESERVAS EM ATRASO"/>
    <s v="NET MASSIVO"/>
    <x v="1"/>
  </r>
  <r>
    <x v="242"/>
    <s v="N190"/>
    <x v="7"/>
    <d v="2024-06-03T00:00:00"/>
    <s v="X41"/>
    <n v="41001294"/>
    <s v="EMTA WIFI 3.0 TC7337NET 16X4"/>
    <x v="0"/>
    <n v="750"/>
    <n v="1"/>
    <s v="Unidade"/>
    <s v="AGUARDANDO SEPARAÇÃO"/>
    <s v="RESERVAS EM ATRASO"/>
    <s v="NET MASSIVO"/>
    <x v="1"/>
  </r>
  <r>
    <x v="242"/>
    <s v="N190"/>
    <x v="7"/>
    <d v="2024-06-03T00:00:00"/>
    <s v="X41"/>
    <n v="41001518"/>
    <s v="TERMINAL DOCSIS 3.1 WIFI HI3120"/>
    <x v="0"/>
    <n v="130"/>
    <n v="1"/>
    <s v="Unidade"/>
    <s v="AGUARDANDO SEPARAÇÃO"/>
    <s v="RESERVAS EM ATRASO"/>
    <s v="NET MASSIVO"/>
    <x v="1"/>
  </r>
  <r>
    <x v="243"/>
    <s v="N190"/>
    <x v="10"/>
    <d v="2024-06-03T00:00:00"/>
    <s v="X43"/>
    <n v="22025072"/>
    <s v="FITA ISOLANTE 3M 33+"/>
    <x v="0"/>
    <n v="21"/>
    <n v="1"/>
    <s v="Unidade"/>
    <s v="EM SEPARAÇÃO"/>
    <s v="RESERVAS EM ATRASO"/>
    <s v="NET MASSIVO"/>
    <x v="1"/>
  </r>
  <r>
    <x v="243"/>
    <s v="N190"/>
    <x v="10"/>
    <d v="2024-06-03T00:00:00"/>
    <s v="X43"/>
    <n v="22025139"/>
    <s v="FIXADOR FIO BR RG6 CIRCUL 7MM"/>
    <x v="0"/>
    <n v="1100"/>
    <n v="1"/>
    <s v="Unidade"/>
    <s v="EM SEPARAÇÃO"/>
    <s v="RESERVAS EM ATRASO"/>
    <s v="NET MASSIVO"/>
    <x v="1"/>
  </r>
  <r>
    <x v="243"/>
    <s v="N190"/>
    <x v="7"/>
    <d v="2024-06-03T00:00:00"/>
    <s v="X43"/>
    <n v="22025250"/>
    <s v="MARCADOR APTO NUM 1 TIPO HO85 AMARELO"/>
    <x v="0"/>
    <n v="100"/>
    <n v="1"/>
    <s v="Unidade"/>
    <s v="EM SEPARAÇÃO"/>
    <s v="RESERVAS EM ATRASO"/>
    <s v="NET MASSIVO"/>
    <x v="1"/>
  </r>
  <r>
    <x v="243"/>
    <s v="N190"/>
    <x v="10"/>
    <d v="2024-06-03T00:00:00"/>
    <s v="X43"/>
    <n v="22026199"/>
    <s v="CONECTOR TERMINACAO 75 OHMS"/>
    <x v="0"/>
    <n v="100"/>
    <n v="1"/>
    <s v="Unidade"/>
    <s v="EM SEPARAÇÃO"/>
    <s v="RESERVAS EM ATRASO"/>
    <s v="NET MASSIVO"/>
    <x v="1"/>
  </r>
  <r>
    <x v="243"/>
    <s v="N190"/>
    <x v="10"/>
    <d v="2024-06-03T00:00:00"/>
    <s v="X43"/>
    <n v="22026223"/>
    <s v="CABO COAXIAL RG6 TRISH COM MENSAG PRETO"/>
    <x v="0"/>
    <n v="9455"/>
    <n v="1"/>
    <s v="Unidade"/>
    <s v="EM SEPARAÇÃO"/>
    <s v="RESERVAS EM ATRASO"/>
    <s v="NET MASSIVO"/>
    <x v="1"/>
  </r>
  <r>
    <x v="243"/>
    <s v="N190"/>
    <x v="10"/>
    <d v="2024-06-03T00:00:00"/>
    <s v="X43"/>
    <n v="22026544"/>
    <s v="SUPORTE GALVANIZADO U SPAN CLAMP"/>
    <x v="0"/>
    <n v="50"/>
    <n v="1"/>
    <s v="Unidade"/>
    <s v="EM SEPARAÇÃO"/>
    <s v="RESERVAS EM ATRASO"/>
    <s v="NET MASSIVO"/>
    <x v="1"/>
  </r>
  <r>
    <x v="243"/>
    <s v="N190"/>
    <x v="10"/>
    <d v="2024-06-03T00:00:00"/>
    <s v="X43"/>
    <n v="22026746"/>
    <s v="DC_RI 1S 09DB 1GHZ H SOLDADO"/>
    <x v="0"/>
    <n v="50"/>
    <n v="1"/>
    <s v="Unidade"/>
    <s v="EM SEPARAÇÃO"/>
    <s v="RESERVAS EM ATRASO"/>
    <s v="NET MASSIVO"/>
    <x v="1"/>
  </r>
  <r>
    <x v="243"/>
    <s v="N190"/>
    <x v="10"/>
    <d v="2024-06-03T00:00:00"/>
    <s v="X43"/>
    <n v="22056332"/>
    <s v="FITA ISOLANTE AUTOFUSAO 3M SCOTCH23 10MT"/>
    <x v="0"/>
    <n v="18"/>
    <n v="1"/>
    <s v="Unidade"/>
    <s v="EM SEPARAÇÃO"/>
    <s v="RESERVAS EM ATRASO"/>
    <s v="NET MASSIVO"/>
    <x v="1"/>
  </r>
  <r>
    <x v="243"/>
    <s v="N190"/>
    <x v="10"/>
    <d v="2024-06-03T00:00:00"/>
    <s v="X43"/>
    <n v="22056334"/>
    <s v="FECHO DE ACO INOX DENTADO 1/2"/>
    <x v="0"/>
    <n v="300"/>
    <n v="1"/>
    <s v="Unidade"/>
    <s v="EM SEPARAÇÃO"/>
    <s v="RESERVAS EM ATRASO"/>
    <s v="NET MASSIVO"/>
    <x v="1"/>
  </r>
  <r>
    <x v="243"/>
    <s v="N190"/>
    <x v="10"/>
    <d v="2024-06-03T00:00:00"/>
    <s v="X43"/>
    <n v="22056344"/>
    <s v="MARCADOR CASA PTO NR 2"/>
    <x v="0"/>
    <n v="100"/>
    <n v="1"/>
    <s v="Unidade"/>
    <s v="EM SEPARAÇÃO"/>
    <s v="RESERVAS EM ATRASO"/>
    <s v="NET MASSIVO"/>
    <x v="1"/>
  </r>
  <r>
    <x v="243"/>
    <s v="N190"/>
    <x v="10"/>
    <d v="2024-06-03T00:00:00"/>
    <s v="X43"/>
    <n v="22056359"/>
    <s v="FITA ACO INOX 1/2 POLEGADA ROLO 25MT"/>
    <x v="0"/>
    <n v="10"/>
    <n v="1"/>
    <s v="Unidade"/>
    <s v="EM SEPARAÇÃO"/>
    <s v="RESERVAS EM ATRASO"/>
    <s v="NET MASSIVO"/>
    <x v="1"/>
  </r>
  <r>
    <x v="243"/>
    <s v="N190"/>
    <x v="10"/>
    <d v="2024-06-03T00:00:00"/>
    <s v="X43"/>
    <n v="22057635"/>
    <s v="FIXADOR FIO PT RG6"/>
    <x v="0"/>
    <n v="200"/>
    <n v="1"/>
    <s v="Unidade"/>
    <s v="EM SEPARAÇÃO"/>
    <s v="RESERVAS EM ATRASO"/>
    <s v="NET MASSIVO"/>
    <x v="1"/>
  </r>
  <r>
    <x v="243"/>
    <s v="N190"/>
    <x v="10"/>
    <d v="2024-06-03T00:00:00"/>
    <s v="X43"/>
    <n v="22057658"/>
    <s v="SUPORTE ROLDANA FO DROP SDA-1"/>
    <x v="0"/>
    <n v="180"/>
    <n v="1"/>
    <s v="Unidade"/>
    <s v="EM SEPARAÇÃO"/>
    <s v="RESERVAS EM ATRASO"/>
    <s v="NET MASSIVO"/>
    <x v="1"/>
  </r>
  <r>
    <x v="243"/>
    <s v="N190"/>
    <x v="10"/>
    <d v="2024-06-03T00:00:00"/>
    <s v="X43"/>
    <n v="22057659"/>
    <s v="ESTICADOR CUNHA PARA DROP OPTICO SRDO"/>
    <x v="0"/>
    <n v="830"/>
    <n v="1"/>
    <s v="Unidade"/>
    <s v="EM SEPARAÇÃO"/>
    <s v="RESERVAS EM ATRASO"/>
    <s v="NET MASSIVO"/>
    <x v="1"/>
  </r>
  <r>
    <x v="243"/>
    <s v="N190"/>
    <x v="7"/>
    <d v="2024-06-03T00:00:00"/>
    <s v="X43"/>
    <n v="22057705"/>
    <s v="FONTE CX DIG HD DCR74X1 LITEON"/>
    <x v="0"/>
    <n v="300"/>
    <n v="1"/>
    <s v="Unidade"/>
    <s v="EM SEPARAÇÃO"/>
    <s v="RESERVAS EM ATRASO"/>
    <s v="NET MASSIVO"/>
    <x v="1"/>
  </r>
  <r>
    <x v="243"/>
    <s v="N190"/>
    <x v="7"/>
    <d v="2024-06-03T00:00:00"/>
    <s v="X43"/>
    <n v="22061434"/>
    <s v="PITAO COM FLANGE E BUCHA S10"/>
    <x v="0"/>
    <n v="59"/>
    <n v="1"/>
    <s v="Unidade"/>
    <s v="EM SEPARAÇÃO"/>
    <s v="RESERVAS EM ATRASO"/>
    <s v="NET MASSIVO"/>
    <x v="1"/>
  </r>
  <r>
    <x v="243"/>
    <s v="N190"/>
    <x v="10"/>
    <d v="2024-06-03T00:00:00"/>
    <s v="X43"/>
    <n v="22061434"/>
    <s v="PITAO COM FLANGE E BUCHA S10"/>
    <x v="0"/>
    <n v="41"/>
    <n v="1"/>
    <s v="Unidade"/>
    <s v="EM SEPARAÇÃO"/>
    <s v="RESERVAS EM ATRASO"/>
    <s v="NET MASSIVO"/>
    <x v="1"/>
  </r>
  <r>
    <x v="243"/>
    <s v="N190"/>
    <x v="10"/>
    <d v="2024-06-03T00:00:00"/>
    <s v="X43"/>
    <n v="22061736"/>
    <s v="CABO DROP 1FO LOW F FIG8 LOW CINZA"/>
    <x v="0"/>
    <n v="13000"/>
    <n v="1"/>
    <s v="Unidade"/>
    <s v="EM SEPARAÇÃO"/>
    <s v="RESERVAS EM ATRASO"/>
    <s v="NET MASSIVO"/>
    <x v="1"/>
  </r>
  <r>
    <x v="243"/>
    <s v="N190"/>
    <x v="10"/>
    <d v="2024-06-03T00:00:00"/>
    <s v="X43"/>
    <n v="22065513"/>
    <s v="CONECTOR FO CAMPO CPO SC APC FRKW"/>
    <x v="0"/>
    <n v="500"/>
    <n v="1"/>
    <s v="Unidade"/>
    <s v="EM SEPARAÇÃO"/>
    <s v="RESERVAS EM ATRASO"/>
    <s v="NET MASSIVO"/>
    <x v="1"/>
  </r>
  <r>
    <x v="243"/>
    <s v="N190"/>
    <x v="10"/>
    <d v="2024-06-03T00:00:00"/>
    <s v="X43"/>
    <n v="22065719"/>
    <s v="MARCADOR CASA PRETO NR 1"/>
    <x v="0"/>
    <n v="100"/>
    <n v="1"/>
    <s v="Unidade"/>
    <s v="EM SEPARAÇÃO"/>
    <s v="RESERVAS EM ATRASO"/>
    <s v="NET MASSIVO"/>
    <x v="1"/>
  </r>
  <r>
    <x v="243"/>
    <s v="N190"/>
    <x v="10"/>
    <d v="2024-06-03T00:00:00"/>
    <s v="X43"/>
    <n v="22065722"/>
    <s v="MARCADOR CASA PRETO NR 4"/>
    <x v="0"/>
    <n v="100"/>
    <n v="1"/>
    <s v="Unidade"/>
    <s v="EM SEPARAÇÃO"/>
    <s v="RESERVAS EM ATRASO"/>
    <s v="NET MASSIVO"/>
    <x v="1"/>
  </r>
  <r>
    <x v="243"/>
    <s v="N190"/>
    <x v="10"/>
    <d v="2024-06-03T00:00:00"/>
    <s v="X43"/>
    <n v="22065725"/>
    <s v="MARCADOR CASA PRETO NR 7"/>
    <x v="0"/>
    <n v="100"/>
    <n v="1"/>
    <s v="Unidade"/>
    <s v="EM SEPARAÇÃO"/>
    <s v="RESERVAS EM ATRASO"/>
    <s v="NET MASSIVO"/>
    <x v="1"/>
  </r>
  <r>
    <x v="244"/>
    <s v="N190"/>
    <x v="7"/>
    <d v="2024-06-03T00:00:00"/>
    <s v="X41"/>
    <n v="41001294"/>
    <s v="EMTA WIFI 3.0 TC7337NET 16X4"/>
    <x v="0"/>
    <n v="300"/>
    <n v="1"/>
    <s v="Unidade"/>
    <s v="EM CONFERENCIA"/>
    <s v="RESERVAS EM ATRASO"/>
    <s v="NET MASSIVO"/>
    <x v="1"/>
  </r>
  <r>
    <x v="244"/>
    <s v="N190"/>
    <x v="10"/>
    <d v="2024-06-03T00:00:00"/>
    <s v="X41"/>
    <n v="41001590"/>
    <s v="TERMINAL GPON ONT WIFI6 F6600P"/>
    <x v="0"/>
    <n v="100"/>
    <n v="1"/>
    <s v="Unidade"/>
    <s v="EM CONFERENCIA"/>
    <s v="RESERVAS EM ATRASO"/>
    <s v="NET MASSIVO"/>
    <x v="1"/>
  </r>
  <r>
    <x v="245"/>
    <s v="N190"/>
    <x v="7"/>
    <d v="2024-06-03T00:00:00"/>
    <s v="X43"/>
    <n v="22026249"/>
    <s v="CTRL REMOTO DIG. DCR7121 PACE"/>
    <x v="0"/>
    <n v="30"/>
    <n v="1"/>
    <s v="Unidade"/>
    <s v="EM CONFERENCIA"/>
    <s v="RESERVAS EM ATRASO"/>
    <s v="NET MASSIVO"/>
    <x v="1"/>
  </r>
  <r>
    <x v="245"/>
    <s v="N190"/>
    <x v="7"/>
    <d v="2024-06-03T00:00:00"/>
    <s v="X43"/>
    <n v="22057705"/>
    <s v="FONTE CX DIG HD DCR74X1 LITEON"/>
    <x v="0"/>
    <n v="420"/>
    <n v="1"/>
    <s v="Unidade"/>
    <s v="EM CONFERENCIA"/>
    <s v="RESERVAS EM ATRASO"/>
    <s v="NET MASSIVO"/>
    <x v="1"/>
  </r>
  <r>
    <x v="245"/>
    <s v="N190"/>
    <x v="7"/>
    <d v="2024-06-03T00:00:00"/>
    <s v="X43"/>
    <n v="22058239"/>
    <s v="FONTE DE ENERGIA PA11807UD2"/>
    <x v="0"/>
    <n v="30"/>
    <n v="1"/>
    <s v="Unidade"/>
    <s v="EM CONFERENCIA"/>
    <s v="RESERVAS EM ATRASO"/>
    <s v="NET MASSIVO"/>
    <x v="1"/>
  </r>
  <r>
    <x v="245"/>
    <s v="N190"/>
    <x v="10"/>
    <d v="2024-06-03T00:00:00"/>
    <s v="X43"/>
    <n v="22058258"/>
    <s v="PILHA MANGANES AAA 1,5 V"/>
    <x v="0"/>
    <n v="60"/>
    <n v="1"/>
    <s v="Unidade"/>
    <s v="EM CONFERENCIA"/>
    <s v="RESERVAS EM ATRASO"/>
    <s v="NET MASSIVO"/>
    <x v="1"/>
  </r>
  <r>
    <x v="246"/>
    <s v="N190"/>
    <x v="7"/>
    <d v="2024-06-03T00:00:00"/>
    <s v="X41"/>
    <n v="41000805"/>
    <s v="SMART CARD AVULSO SIM CARD"/>
    <x v="0"/>
    <n v="30"/>
    <n v="1"/>
    <s v="Unidade"/>
    <s v="AGUARDANDO SEPARAÇÃO"/>
    <s v="RESERVAS EM ATRASO"/>
    <s v="NET MASSIVO"/>
    <x v="1"/>
  </r>
  <r>
    <x v="246"/>
    <s v="N190"/>
    <x v="7"/>
    <d v="2024-06-03T00:00:00"/>
    <s v="X41"/>
    <n v="41001048"/>
    <s v="DECODER HD HHDC2"/>
    <x v="0"/>
    <n v="30"/>
    <n v="1"/>
    <s v="Unidade"/>
    <s v="AGUARDANDO SEPARAÇÃO"/>
    <s v="RESERVAS EM ATRASO"/>
    <s v="NET MASSIVO"/>
    <x v="1"/>
  </r>
  <r>
    <x v="246"/>
    <s v="N190"/>
    <x v="7"/>
    <d v="2024-06-03T00:00:00"/>
    <s v="X41"/>
    <n v="41001294"/>
    <s v="EMTA WIFI 3.0 TC7337NET 16X4"/>
    <x v="0"/>
    <n v="420"/>
    <n v="1"/>
    <s v="Unidade"/>
    <s v="AGUARDANDO SEPARAÇÃO"/>
    <s v="RESERVAS EM ATRASO"/>
    <s v="NET MASSIVO"/>
    <x v="1"/>
  </r>
  <r>
    <x v="247"/>
    <s v="N190"/>
    <x v="10"/>
    <d v="2024-06-03T00:00:00"/>
    <s v="X43"/>
    <n v="22025049"/>
    <s v="VASELINA SOLIDA POTE 410G"/>
    <x v="0"/>
    <n v="6"/>
    <n v="1"/>
    <s v="Unidade"/>
    <s v="AGUARDANDO SEPARAÇÃO"/>
    <s v="RESERVAS EM ATRASO"/>
    <s v="NET MASSIVO"/>
    <x v="1"/>
  </r>
  <r>
    <x v="247"/>
    <s v="N190"/>
    <x v="10"/>
    <d v="2024-06-03T00:00:00"/>
    <s v="X43"/>
    <n v="22025072"/>
    <s v="FITA ISOLANTE 3M 33+"/>
    <x v="0"/>
    <n v="69"/>
    <n v="1"/>
    <s v="Unidade"/>
    <s v="AGUARDANDO SEPARAÇÃO"/>
    <s v="RESERVAS EM ATRASO"/>
    <s v="NET MASSIVO"/>
    <x v="1"/>
  </r>
  <r>
    <x v="247"/>
    <s v="N190"/>
    <x v="10"/>
    <d v="2024-06-03T00:00:00"/>
    <s v="X43"/>
    <n v="22025321"/>
    <s v="ANEL VEDACAO PLASTICA P PORTA F"/>
    <x v="0"/>
    <n v="400"/>
    <n v="1"/>
    <s v="Unidade"/>
    <s v="AGUARDANDO SEPARAÇÃO"/>
    <s v="RESERVAS EM ATRASO"/>
    <s v="NET MASSIVO"/>
    <x v="1"/>
  </r>
  <r>
    <x v="247"/>
    <s v="N190"/>
    <x v="10"/>
    <d v="2024-06-03T00:00:00"/>
    <s v="X43"/>
    <n v="22025349"/>
    <s v="FIXA FIO CABO DROP FO CHATO"/>
    <x v="0"/>
    <n v="1000"/>
    <n v="1"/>
    <s v="Unidade"/>
    <s v="AGUARDANDO SEPARAÇÃO"/>
    <s v="RESERVAS EM ATRASO"/>
    <s v="NET MASSIVO"/>
    <x v="1"/>
  </r>
  <r>
    <x v="247"/>
    <s v="N190"/>
    <x v="10"/>
    <d v="2024-06-03T00:00:00"/>
    <s v="X43"/>
    <n v="22026189"/>
    <s v="CONEC_RI COMPRESSAO F-6"/>
    <x v="0"/>
    <n v="3100"/>
    <n v="1"/>
    <s v="Unidade"/>
    <s v="AGUARDANDO SEPARAÇÃO"/>
    <s v="RESERVAS EM ATRASO"/>
    <s v="NET MASSIVO"/>
    <x v="1"/>
  </r>
  <r>
    <x v="247"/>
    <s v="N190"/>
    <x v="10"/>
    <d v="2024-06-03T00:00:00"/>
    <s v="X43"/>
    <n v="22026199"/>
    <s v="CONECTOR TERMINACAO 75 OHMS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26219"/>
    <s v="CABO COAXIAL RG6 TRISH SEM MENSAG BRANCO"/>
    <x v="0"/>
    <n v="12300"/>
    <n v="1"/>
    <s v="Unidade"/>
    <s v="AGUARDANDO SEPARAÇÃO"/>
    <s v="RESERVAS EM ATRASO"/>
    <s v="NET MASSIVO"/>
    <x v="1"/>
  </r>
  <r>
    <x v="247"/>
    <s v="N190"/>
    <x v="10"/>
    <d v="2024-06-03T00:00:00"/>
    <s v="X43"/>
    <n v="22026223"/>
    <s v="CABO COAXIAL RG6 TRISH COM MENSAG PRETO"/>
    <x v="0"/>
    <n v="7015"/>
    <n v="1"/>
    <s v="Unidade"/>
    <s v="AGUARDANDO SEPARAÇÃO"/>
    <s v="RESERVAS EM ATRASO"/>
    <s v="NET MASSIVO"/>
    <x v="1"/>
  </r>
  <r>
    <x v="247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26809"/>
    <s v="DC_RI 1S 06DB 1GHZ H SOLDADO"/>
    <x v="0"/>
    <n v="150"/>
    <n v="1"/>
    <s v="Unidade"/>
    <s v="AGUARDANDO SEPARAÇÃO"/>
    <s v="RESERVAS EM ATRASO"/>
    <s v="NET MASSIVO"/>
    <x v="1"/>
  </r>
  <r>
    <x v="247"/>
    <s v="N190"/>
    <x v="10"/>
    <d v="2024-06-03T00:00:00"/>
    <s v="X43"/>
    <n v="22056331"/>
    <s v="MARCADOR CASA PTO NR 5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56332"/>
    <s v="FITA ISOLANTE AUTOFUSAO 3M SCOTCH23 10MT"/>
    <x v="0"/>
    <n v="48"/>
    <n v="1"/>
    <s v="Unidade"/>
    <s v="AGUARDANDO SEPARAÇÃO"/>
    <s v="RESERVAS EM ATRASO"/>
    <s v="NET MASSIVO"/>
    <x v="1"/>
  </r>
  <r>
    <x v="247"/>
    <s v="N190"/>
    <x v="10"/>
    <d v="2024-06-03T00:00:00"/>
    <s v="X43"/>
    <n v="22056334"/>
    <s v="FECHO DE ACO INOX DENTADO 1/2"/>
    <x v="0"/>
    <n v="300"/>
    <n v="1"/>
    <s v="Unidade"/>
    <s v="AGUARDANDO SEPARAÇÃO"/>
    <s v="RESERVAS EM ATRASO"/>
    <s v="NET MASSIVO"/>
    <x v="1"/>
  </r>
  <r>
    <x v="247"/>
    <s v="N190"/>
    <x v="7"/>
    <d v="2024-06-03T00:00:00"/>
    <s v="X43"/>
    <n v="22056339"/>
    <s v="MARCADOR CASA PTO NR 9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56345"/>
    <s v="MARCADOR CASA PTO NR 3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56359"/>
    <s v="FITA ACO INOX 1/2 POLEGADA ROLO 25MT"/>
    <x v="0"/>
    <n v="19"/>
    <n v="1"/>
    <s v="Unidade"/>
    <s v="AGUARDANDO SEPARAÇÃO"/>
    <s v="RESERVAS EM ATRASO"/>
    <s v="NET MASSIVO"/>
    <x v="1"/>
  </r>
  <r>
    <x v="247"/>
    <s v="N190"/>
    <x v="10"/>
    <d v="2024-06-03T00:00:00"/>
    <s v="X43"/>
    <n v="22056360"/>
    <s v="FITA ACO INOX 3/4 POLEGADA ROLO 25MT"/>
    <x v="0"/>
    <n v="20"/>
    <n v="1"/>
    <s v="Unidade"/>
    <s v="AGUARDANDO SEPARAÇÃO"/>
    <s v="RESERVAS EM ATRASO"/>
    <s v="NET MASSIVO"/>
    <x v="1"/>
  </r>
  <r>
    <x v="247"/>
    <s v="N190"/>
    <x v="10"/>
    <d v="2024-06-03T00:00:00"/>
    <s v="X43"/>
    <n v="22056365"/>
    <s v="PROTETOR P/MINI ISOLADOR - ACRE1568"/>
    <x v="0"/>
    <n v="150"/>
    <n v="1"/>
    <s v="Unidade"/>
    <s v="AGUARDANDO SEPARAÇÃO"/>
    <s v="RESERVAS EM ATRASO"/>
    <s v="NET MASSIVO"/>
    <x v="1"/>
  </r>
  <r>
    <x v="247"/>
    <s v="N190"/>
    <x v="10"/>
    <d v="2024-06-03T00:00:00"/>
    <s v="X43"/>
    <n v="22056369"/>
    <s v="CABO UTP CAT5E ETHERNET NET"/>
    <x v="0"/>
    <n v="1200"/>
    <n v="1"/>
    <s v="Unidade"/>
    <s v="AGUARDANDO SEPARAÇÃO"/>
    <s v="RESERVAS EM ATRASO"/>
    <s v="NET MASSIVO"/>
    <x v="1"/>
  </r>
  <r>
    <x v="247"/>
    <s v="N190"/>
    <x v="10"/>
    <d v="2024-06-03T00:00:00"/>
    <s v="X43"/>
    <n v="22057658"/>
    <s v="SUPORTE ROLDANA FO DROP SDA-1"/>
    <x v="0"/>
    <n v="160"/>
    <n v="1"/>
    <s v="Unidade"/>
    <s v="AGUARDANDO SEPARAÇÃO"/>
    <s v="RESERVAS EM ATRASO"/>
    <s v="NET MASSIVO"/>
    <x v="1"/>
  </r>
  <r>
    <x v="247"/>
    <s v="N190"/>
    <x v="10"/>
    <d v="2024-06-03T00:00:00"/>
    <s v="X43"/>
    <n v="22057660"/>
    <s v="KIT ENTRADA DROP ECAM S7BR P/NAP 3M"/>
    <x v="0"/>
    <n v="100"/>
    <n v="1"/>
    <s v="Unidade"/>
    <s v="AGUARDANDO SEPARAÇÃO"/>
    <s v="RESERVAS EM ATRASO"/>
    <s v="NET MASSIVO"/>
    <x v="1"/>
  </r>
  <r>
    <x v="247"/>
    <s v="N190"/>
    <x v="7"/>
    <d v="2024-06-03T00:00:00"/>
    <s v="X43"/>
    <n v="22057705"/>
    <s v="FONTE CX DIG HD DCR74X1 LITEON"/>
    <x v="0"/>
    <n v="140"/>
    <n v="1"/>
    <s v="Unidade"/>
    <s v="AGUARDANDO SEPARAÇÃO"/>
    <s v="RESERVAS EM ATRASO"/>
    <s v="NET MASSIVO"/>
    <x v="1"/>
  </r>
  <r>
    <x v="247"/>
    <s v="N190"/>
    <x v="7"/>
    <d v="2024-06-03T00:00:00"/>
    <s v="X43"/>
    <n v="22060290"/>
    <s v="FONTE DE ALIMENTACAO 12V CG3000 MSA C3"/>
    <x v="0"/>
    <n v="50"/>
    <n v="1"/>
    <s v="Unidade"/>
    <s v="AGUARDANDO SEPARAÇÃO"/>
    <s v="RESERVAS EM ATRASO"/>
    <s v="NET MASSIVO"/>
    <x v="1"/>
  </r>
  <r>
    <x v="247"/>
    <s v="N190"/>
    <x v="10"/>
    <d v="2024-06-03T00:00:00"/>
    <s v="X43"/>
    <n v="22060738"/>
    <s v="FIXADOR FIO BR RG6 CIRCUL 7MM"/>
    <x v="0"/>
    <n v="2100"/>
    <n v="1"/>
    <s v="Unidade"/>
    <s v="AGUARDANDO SEPARAÇÃO"/>
    <s v="RESERVAS EM ATRASO"/>
    <s v="NET MASSIVO"/>
    <x v="1"/>
  </r>
  <r>
    <x v="247"/>
    <s v="N190"/>
    <x v="10"/>
    <d v="2024-06-03T00:00:00"/>
    <s v="X43"/>
    <n v="22061811"/>
    <s v="CONECTOR UTP RJ45 M CAT 5 24AWG"/>
    <x v="0"/>
    <n v="200"/>
    <n v="1"/>
    <s v="Unidade"/>
    <s v="AGUARDANDO SEPARAÇÃO"/>
    <s v="RESERVAS EM ATRASO"/>
    <s v="NET MASSIVO"/>
    <x v="1"/>
  </r>
  <r>
    <x v="247"/>
    <s v="N190"/>
    <x v="10"/>
    <d v="2024-06-03T00:00:00"/>
    <s v="X43"/>
    <n v="22065513"/>
    <s v="CONECTOR FO CAMPO CPO SC APC FRKW"/>
    <x v="0"/>
    <n v="1200"/>
    <n v="1"/>
    <s v="Unidade"/>
    <s v="AGUARDANDO SEPARAÇÃO"/>
    <s v="RESERVAS EM ATRASO"/>
    <s v="NET MASSIVO"/>
    <x v="1"/>
  </r>
  <r>
    <x v="247"/>
    <s v="N190"/>
    <x v="10"/>
    <d v="2024-06-03T00:00:00"/>
    <s v="X43"/>
    <n v="22065718"/>
    <s v="MARCADOR CASA PRETO NR 0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65720"/>
    <s v="MARCADOR CASA PRETO NR 2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65722"/>
    <s v="MARCADOR CASA PRETO NR 4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65725"/>
    <s v="MARCADOR CASA PRETO NR 7"/>
    <x v="0"/>
    <n v="100"/>
    <n v="1"/>
    <s v="Unidade"/>
    <s v="AGUARDANDO SEPARAÇÃO"/>
    <s v="RESERVAS EM ATRASO"/>
    <s v="NET MASSIVO"/>
    <x v="1"/>
  </r>
  <r>
    <x v="247"/>
    <s v="N190"/>
    <x v="10"/>
    <d v="2024-06-03T00:00:00"/>
    <s v="X43"/>
    <n v="22066517"/>
    <s v="ISOLADOR CASA SURGE PROTEC LOW COST"/>
    <x v="0"/>
    <n v="300"/>
    <n v="1"/>
    <s v="Unidade"/>
    <s v="AGUARDANDO SEPARAÇÃO"/>
    <s v="RESERVAS EM ATRASO"/>
    <s v="NET MASSIVO"/>
    <x v="1"/>
  </r>
  <r>
    <x v="248"/>
    <s v="N190"/>
    <x v="7"/>
    <d v="2024-06-03T00:00:00"/>
    <s v="X41"/>
    <n v="41001294"/>
    <s v="EMTA WIFI 3.0 TC7337NET 16X4"/>
    <x v="0"/>
    <n v="140"/>
    <n v="1"/>
    <s v="Unidade"/>
    <s v="AGUARDANDO SEPARAÇÃO"/>
    <s v="RESERVAS EM ATRASO"/>
    <s v="NET MASSIVO"/>
    <x v="1"/>
  </r>
  <r>
    <x v="248"/>
    <s v="N190"/>
    <x v="7"/>
    <d v="2024-06-03T00:00:00"/>
    <s v="X41"/>
    <n v="41001486"/>
    <s v="MODEM VOIP EMTA WIFI 3.1 CG3000"/>
    <x v="0"/>
    <n v="50"/>
    <n v="1"/>
    <s v="Unidade"/>
    <s v="AGUARDANDO SEPARAÇÃO"/>
    <s v="RESERVAS EM ATRASO"/>
    <s v="NET MASSIVO"/>
    <x v="1"/>
  </r>
  <r>
    <x v="248"/>
    <s v="N190"/>
    <x v="10"/>
    <d v="2024-06-03T00:00:00"/>
    <s v="X41"/>
    <n v="41001573"/>
    <s v="DECODER CARDLESS 4K UHD S4KCW4S CABO IP"/>
    <x v="0"/>
    <n v="20"/>
    <n v="1"/>
    <s v="Unidade"/>
    <s v="AGUARDANDO SEPARAÇÃO"/>
    <s v="RESERVAS EM ATRASO"/>
    <s v="NET MASSIVO"/>
    <x v="1"/>
  </r>
  <r>
    <x v="249"/>
    <s v="N190"/>
    <x v="7"/>
    <d v="2024-06-03T00:00:00"/>
    <s v="X43"/>
    <n v="22026249"/>
    <s v="CTRL REMOTO DIG. DCR7121 PACE"/>
    <x v="0"/>
    <n v="100"/>
    <n v="1"/>
    <s v="Unidade"/>
    <s v="EM CONFERENCIA"/>
    <s v="RESERVAS EM ATRASO"/>
    <s v="NET MASSIVO"/>
    <x v="1"/>
  </r>
  <r>
    <x v="249"/>
    <s v="N190"/>
    <x v="7"/>
    <d v="2024-06-03T00:00:00"/>
    <s v="X43"/>
    <n v="22058239"/>
    <s v="FONTE DE ENERGIA PA11807UD2"/>
    <x v="0"/>
    <n v="100"/>
    <n v="1"/>
    <s v="Unidade"/>
    <s v="EM CONFERENCIA"/>
    <s v="RESERVAS EM ATRASO"/>
    <s v="NET MASSIVO"/>
    <x v="1"/>
  </r>
  <r>
    <x v="249"/>
    <s v="N190"/>
    <x v="10"/>
    <d v="2024-06-03T00:00:00"/>
    <s v="X43"/>
    <n v="22058258"/>
    <s v="PILHA MANGANES AAA 1,5 V"/>
    <x v="0"/>
    <n v="200"/>
    <n v="1"/>
    <s v="Unidade"/>
    <s v="EM CONFERENCIA"/>
    <s v="RESERVAS EM ATRASO"/>
    <s v="NET MASSIVO"/>
    <x v="1"/>
  </r>
  <r>
    <x v="249"/>
    <s v="N190"/>
    <x v="7"/>
    <d v="2024-06-03T00:00:00"/>
    <s v="X43"/>
    <n v="22058639"/>
    <s v="FONTE ENERGIA MSA C2500IC12.0 30W"/>
    <x v="0"/>
    <n v="550"/>
    <n v="1"/>
    <s v="Unidade"/>
    <s v="EM CONFERENCIA"/>
    <s v="RESERVAS EM ATRASO"/>
    <s v="NET MASSIVO"/>
    <x v="1"/>
  </r>
  <r>
    <x v="250"/>
    <s v="N190"/>
    <x v="7"/>
    <d v="2024-06-03T00:00:00"/>
    <s v="X41"/>
    <n v="41000805"/>
    <s v="SMART CARD AVULSO SIM CARD"/>
    <x v="0"/>
    <n v="100"/>
    <n v="1"/>
    <s v="Unidade"/>
    <s v="EM SEPARAÇÃO"/>
    <s v="RESERVAS EM ATRASO"/>
    <s v="NET MASSIVO"/>
    <x v="1"/>
  </r>
  <r>
    <x v="250"/>
    <s v="N190"/>
    <x v="7"/>
    <d v="2024-06-03T00:00:00"/>
    <s v="X41"/>
    <n v="41001048"/>
    <s v="DECODER HD HHDC2"/>
    <x v="0"/>
    <n v="100"/>
    <n v="1"/>
    <s v="Unidade"/>
    <s v="EM SEPARAÇÃO"/>
    <s v="RESERVAS EM ATRASO"/>
    <s v="NET MASSIVO"/>
    <x v="1"/>
  </r>
  <r>
    <x v="250"/>
    <s v="N190"/>
    <x v="7"/>
    <d v="2024-06-03T00:00:00"/>
    <s v="X41"/>
    <n v="41001095"/>
    <s v="EMTA WIFI 3.0 FST3486 16X4"/>
    <x v="0"/>
    <n v="550"/>
    <n v="1"/>
    <s v="Unidade"/>
    <s v="EM SEPARAÇÃO"/>
    <s v="RESERVAS EM ATRASO"/>
    <s v="NET MASSIVO"/>
    <x v="1"/>
  </r>
  <r>
    <x v="251"/>
    <s v="N190"/>
    <x v="10"/>
    <d v="2024-06-03T00:00:00"/>
    <s v="X43"/>
    <n v="22025072"/>
    <s v="FITA ISOLANTE 3M 33+"/>
    <x v="0"/>
    <n v="10"/>
    <n v="1"/>
    <s v="Unidade"/>
    <s v="EM CONFERENCIA"/>
    <s v="RESERVAS EM ATRASO"/>
    <s v="NET MASSIVO"/>
    <x v="1"/>
  </r>
  <r>
    <x v="251"/>
    <s v="N190"/>
    <x v="10"/>
    <d v="2024-06-03T00:00:00"/>
    <s v="X43"/>
    <n v="22025136"/>
    <s v="BUCHA ACABAMENTO CABO RG6-59 BRANCA"/>
    <x v="0"/>
    <n v="250"/>
    <n v="1"/>
    <s v="Unidade"/>
    <s v="EM CONFERENCIA"/>
    <s v="RESERVAS EM ATRASO"/>
    <s v="NET MASSIVO"/>
    <x v="1"/>
  </r>
  <r>
    <x v="251"/>
    <s v="N190"/>
    <x v="10"/>
    <d v="2024-06-03T00:00:00"/>
    <s v="X43"/>
    <n v="22025244"/>
    <s v="MARCADOR APTO NUM 2 TIPO HO85 AMARELO"/>
    <x v="0"/>
    <n v="100"/>
    <n v="1"/>
    <s v="Unidade"/>
    <s v="EM CONFERENCIA"/>
    <s v="RESERVAS EM ATRASO"/>
    <s v="NET MASSIVO"/>
    <x v="1"/>
  </r>
  <r>
    <x v="251"/>
    <s v="N190"/>
    <x v="7"/>
    <d v="2024-06-03T00:00:00"/>
    <s v="X43"/>
    <n v="22025245"/>
    <s v="MARCADOR APTO NUM 4 TIPO HO85 AMARELO"/>
    <x v="0"/>
    <n v="100"/>
    <n v="1"/>
    <s v="Unidade"/>
    <s v="EM CONFERENCIA"/>
    <s v="RESERVAS EM ATRASO"/>
    <s v="NET MASSIVO"/>
    <x v="1"/>
  </r>
  <r>
    <x v="251"/>
    <s v="N190"/>
    <x v="10"/>
    <d v="2024-06-03T00:00:00"/>
    <s v="X43"/>
    <n v="22026219"/>
    <s v="CABO COAXIAL RG6 TRISH SEM MENSAG BRANCO"/>
    <x v="0"/>
    <n v="3300"/>
    <n v="1"/>
    <s v="Unidade"/>
    <s v="EM CONFERENCIA"/>
    <s v="RESERVAS EM ATRASO"/>
    <s v="NET MASSIVO"/>
    <x v="1"/>
  </r>
  <r>
    <x v="251"/>
    <s v="N190"/>
    <x v="10"/>
    <d v="2024-06-03T00:00:00"/>
    <s v="X43"/>
    <n v="22026223"/>
    <s v="CABO COAXIAL RG6 TRISH COM MENSAG PRETO"/>
    <x v="0"/>
    <n v="3355"/>
    <n v="1"/>
    <s v="Unidade"/>
    <s v="EM CONFERENCIA"/>
    <s v="RESERVAS EM ATRASO"/>
    <s v="NET MASSIVO"/>
    <x v="1"/>
  </r>
  <r>
    <x v="251"/>
    <s v="N190"/>
    <x v="7"/>
    <d v="2024-06-03T00:00:00"/>
    <s v="X43"/>
    <n v="22026249"/>
    <s v="CTRL REMOTO DIG. DCR7121 PACE"/>
    <x v="0"/>
    <n v="220"/>
    <n v="1"/>
    <s v="Unidade"/>
    <s v="EM CONFERENCIA"/>
    <s v="RESERVAS EM ATRASO"/>
    <s v="NET MASSIVO"/>
    <x v="1"/>
  </r>
  <r>
    <x v="251"/>
    <s v="N190"/>
    <x v="10"/>
    <d v="2024-06-03T00:00:00"/>
    <s v="X43"/>
    <n v="22056332"/>
    <s v="FITA ISOLANTE AUTOFUSAO 3M SCOTCH23 10MT"/>
    <x v="0"/>
    <n v="4"/>
    <n v="1"/>
    <s v="Unidade"/>
    <s v="EM CONFERENCIA"/>
    <s v="RESERVAS EM ATRASO"/>
    <s v="NET MASSIVO"/>
    <x v="1"/>
  </r>
  <r>
    <x v="251"/>
    <s v="N190"/>
    <x v="10"/>
    <d v="2024-06-03T00:00:00"/>
    <s v="X43"/>
    <n v="22056369"/>
    <s v="CABO UTP CAT5E ETHERNET NET"/>
    <x v="0"/>
    <n v="600"/>
    <n v="1"/>
    <s v="Unidade"/>
    <s v="EM CONFERENCIA"/>
    <s v="RESERVAS EM ATRASO"/>
    <s v="NET MASSIVO"/>
    <x v="1"/>
  </r>
  <r>
    <x v="251"/>
    <s v="N190"/>
    <x v="10"/>
    <d v="2024-06-03T00:00:00"/>
    <s v="X43"/>
    <n v="22057620"/>
    <s v="CONECTOR FO CAMPO FAST SC/APC"/>
    <x v="0"/>
    <n v="300"/>
    <n v="1"/>
    <s v="Unidade"/>
    <s v="EM CONFERENCIA"/>
    <s v="RESERVAS EM ATRASO"/>
    <s v="NET MASSIVO"/>
    <x v="1"/>
  </r>
  <r>
    <x v="251"/>
    <s v="N190"/>
    <x v="10"/>
    <d v="2024-06-03T00:00:00"/>
    <s v="X43"/>
    <n v="22057635"/>
    <s v="FIXADOR FIO PT RG6"/>
    <x v="0"/>
    <n v="200"/>
    <n v="1"/>
    <s v="Unidade"/>
    <s v="EM CONFERENCIA"/>
    <s v="RESERVAS EM ATRASO"/>
    <s v="NET MASSIVO"/>
    <x v="1"/>
  </r>
  <r>
    <x v="251"/>
    <s v="N190"/>
    <x v="10"/>
    <d v="2024-06-03T00:00:00"/>
    <s v="X43"/>
    <n v="22057658"/>
    <s v="SUPORTE ROLDANA FO DROP SDA-1"/>
    <x v="0"/>
    <n v="20"/>
    <n v="1"/>
    <s v="Unidade"/>
    <s v="EM CONFERENCIA"/>
    <s v="RESERVAS EM ATRASO"/>
    <s v="NET MASSIVO"/>
    <x v="1"/>
  </r>
  <r>
    <x v="251"/>
    <s v="N190"/>
    <x v="10"/>
    <d v="2024-06-03T00:00:00"/>
    <s v="X43"/>
    <n v="22057659"/>
    <s v="ESTICADOR CUNHA PARA DROP OPTICO SRDO"/>
    <x v="0"/>
    <n v="160"/>
    <n v="1"/>
    <s v="Unidade"/>
    <s v="EM CONFERENCIA"/>
    <s v="RESERVAS EM ATRASO"/>
    <s v="NET MASSIVO"/>
    <x v="1"/>
  </r>
  <r>
    <x v="251"/>
    <s v="N190"/>
    <x v="7"/>
    <d v="2024-06-03T00:00:00"/>
    <s v="X43"/>
    <n v="22058239"/>
    <s v="FONTE DE ENERGIA PA11807UD2"/>
    <x v="0"/>
    <n v="220"/>
    <n v="1"/>
    <s v="Unidade"/>
    <s v="EM CONFERENCIA"/>
    <s v="RESERVAS EM ATRASO"/>
    <s v="NET MASSIVO"/>
    <x v="1"/>
  </r>
  <r>
    <x v="251"/>
    <s v="N190"/>
    <x v="10"/>
    <d v="2024-06-03T00:00:00"/>
    <s v="X43"/>
    <n v="22058258"/>
    <s v="PILHA MANGANES AAA 1,5 V"/>
    <x v="0"/>
    <n v="440"/>
    <n v="1"/>
    <s v="Unidade"/>
    <s v="EM CONFERENCIA"/>
    <s v="RESERVAS EM ATRASO"/>
    <s v="NET MASSIVO"/>
    <x v="1"/>
  </r>
  <r>
    <x v="251"/>
    <s v="N190"/>
    <x v="10"/>
    <d v="2024-06-03T00:00:00"/>
    <s v="X43"/>
    <n v="22061736"/>
    <s v="CABO DROP 1FO LOW F FIG8 LOW CINZA"/>
    <x v="0"/>
    <n v="6000"/>
    <n v="1"/>
    <s v="Unidade"/>
    <s v="EM CONFERENCIA"/>
    <s v="RESERVAS EM ATRASO"/>
    <s v="NET MASSIVO"/>
    <x v="1"/>
  </r>
  <r>
    <x v="251"/>
    <s v="N190"/>
    <x v="10"/>
    <d v="2024-06-03T00:00:00"/>
    <s v="X43"/>
    <n v="22061811"/>
    <s v="CONECTOR UTP RJ45 M CAT 5 24AWG"/>
    <x v="0"/>
    <n v="100"/>
    <n v="1"/>
    <s v="Unidade"/>
    <s v="EM CONFERENCIA"/>
    <s v="RESERVAS EM ATRASO"/>
    <s v="NET MASSIVO"/>
    <x v="1"/>
  </r>
  <r>
    <x v="251"/>
    <s v="N190"/>
    <x v="10"/>
    <d v="2024-06-03T00:00:00"/>
    <s v="X43"/>
    <n v="22062576"/>
    <s v="FONTE ALIM 12V 3A ADS 36FKJ 12 12036EPBR"/>
    <x v="0"/>
    <n v="20"/>
    <n v="1"/>
    <s v="Unidade"/>
    <s v="EM CONFERENCIA"/>
    <s v="RESERVAS EM ATRASO"/>
    <s v="NET MASSIVO"/>
    <x v="1"/>
  </r>
  <r>
    <x v="251"/>
    <s v="N190"/>
    <x v="10"/>
    <d v="2024-06-03T00:00:00"/>
    <s v="X43"/>
    <n v="22065720"/>
    <s v="MARCADOR CASA PRETO NR 2"/>
    <x v="0"/>
    <n v="100"/>
    <n v="1"/>
    <s v="Unidade"/>
    <s v="EM CONFERENCIA"/>
    <s v="RESERVAS EM ATRASO"/>
    <s v="NET MASSIVO"/>
    <x v="1"/>
  </r>
  <r>
    <x v="251"/>
    <s v="N190"/>
    <x v="7"/>
    <d v="2024-06-03T00:00:00"/>
    <s v="X43"/>
    <n v="22066258"/>
    <s v="FONTE DE ALIMENTACAO 12V ONT TCG2232 ADS"/>
    <x v="0"/>
    <n v="60"/>
    <n v="1"/>
    <s v="Unidade"/>
    <s v="EM CONFERENCIA"/>
    <s v="RESERVAS EM ATRASO"/>
    <s v="NET MASSIVO"/>
    <x v="1"/>
  </r>
  <r>
    <x v="252"/>
    <s v="N190"/>
    <x v="11"/>
    <d v="2024-06-03T00:00:00"/>
    <s v="X41"/>
    <n v="41001530"/>
    <s v="DECODER 4K UHD IP S4KW3 LINUX VAS COM"/>
    <x v="0"/>
    <n v="180"/>
    <n v="1"/>
    <s v="Unidade"/>
    <s v="AGUARDANDO SEPARAÇÃO"/>
    <s v="RESERVAS EM ATRASO"/>
    <s v="NET MASSIVO"/>
    <x v="1"/>
  </r>
  <r>
    <x v="252"/>
    <s v="N190"/>
    <x v="10"/>
    <d v="2024-06-03T00:00:00"/>
    <s v="X41"/>
    <n v="41001573"/>
    <s v="DECODER CARDLESS 4K UHD S4KCW4S CABO IP"/>
    <x v="0"/>
    <n v="30"/>
    <n v="1"/>
    <s v="Unidade"/>
    <s v="AGUARDANDO SEPARAÇÃO"/>
    <s v="RESERVAS EM ATRASO"/>
    <s v="NET MASSIVO"/>
    <x v="1"/>
  </r>
  <r>
    <x v="253"/>
    <s v="N190"/>
    <x v="7"/>
    <d v="2024-06-03T00:00:00"/>
    <s v="X41"/>
    <n v="41001294"/>
    <s v="EMTA WIFI 3.0 TC7337NET 16X4"/>
    <x v="0"/>
    <n v="40"/>
    <n v="1"/>
    <s v="Unidade"/>
    <s v="EM CONFERENCIA"/>
    <s v="RESERVAS EM ATRASO"/>
    <s v="NET MASSIVO"/>
    <x v="1"/>
  </r>
  <r>
    <x v="253"/>
    <s v="N190"/>
    <x v="11"/>
    <d v="2024-06-03T00:00:00"/>
    <s v="X41"/>
    <n v="41001530"/>
    <s v="DECODER 4K UHD IP S4KW3 LINUX VAS COM"/>
    <x v="0"/>
    <n v="20"/>
    <n v="1"/>
    <s v="Unidade"/>
    <s v="EM CONFERENCIA"/>
    <s v="RESERVAS EM ATRASO"/>
    <s v="NET MASSIVO"/>
    <x v="1"/>
  </r>
  <r>
    <x v="253"/>
    <s v="N190"/>
    <x v="7"/>
    <d v="2024-06-03T00:00:00"/>
    <s v="X41"/>
    <n v="41001535"/>
    <s v="TERMINAL GPON WIFI TCG2232"/>
    <x v="0"/>
    <n v="50"/>
    <n v="1"/>
    <s v="Unidade"/>
    <s v="EM CONFERENCIA"/>
    <s v="RESERVAS EM ATRASO"/>
    <s v="NET MASSIVO"/>
    <x v="1"/>
  </r>
  <r>
    <x v="254"/>
    <s v="N190"/>
    <x v="7"/>
    <d v="2024-06-03T00:00:00"/>
    <s v="X41"/>
    <n v="41001294"/>
    <s v="EMTA WIFI 3.0 TC7337NET 16X4"/>
    <x v="0"/>
    <n v="600"/>
    <n v="1"/>
    <s v="Unidade"/>
    <s v="EM CONFERENCIA"/>
    <s v="RESERVAS EM ATRASO"/>
    <s v="NET MASSIVO"/>
    <x v="1"/>
  </r>
  <r>
    <x v="254"/>
    <s v="N190"/>
    <x v="7"/>
    <d v="2024-06-03T00:00:00"/>
    <s v="X41"/>
    <n v="41001486"/>
    <s v="MODEM VOIP EMTA WIFI 3.1 CG3000"/>
    <x v="0"/>
    <n v="50"/>
    <n v="1"/>
    <s v="Unidade"/>
    <s v="EM CONFERENCIA"/>
    <s v="RESERVAS EM ATRASO"/>
    <s v="NET MASSIVO"/>
    <x v="1"/>
  </r>
  <r>
    <x v="254"/>
    <s v="N190"/>
    <x v="10"/>
    <d v="2024-06-03T00:00:00"/>
    <s v="X41"/>
    <n v="41001573"/>
    <s v="DECODER CARDLESS 4K UHD S4KCW4S CABO IP"/>
    <x v="0"/>
    <n v="20"/>
    <n v="1"/>
    <s v="Unidade"/>
    <s v="EM CONFERENCIA"/>
    <s v="RESERVAS EM ATRASO"/>
    <s v="NET MASSIVO"/>
    <x v="1"/>
  </r>
  <r>
    <x v="255"/>
    <s v="N190"/>
    <x v="7"/>
    <d v="2024-06-03T00:00:00"/>
    <s v="X41"/>
    <n v="41001294"/>
    <s v="EMTA WIFI 3.0 TC7337NET 16X4"/>
    <x v="0"/>
    <n v="330"/>
    <n v="1"/>
    <s v="Unidade"/>
    <s v="AGUARDANDO SEPARAÇÃO"/>
    <s v="RESERVAS EM ATRASO"/>
    <s v="NET MASSIVO"/>
    <x v="1"/>
  </r>
  <r>
    <x v="255"/>
    <s v="N190"/>
    <x v="11"/>
    <d v="2024-06-03T00:00:00"/>
    <s v="X41"/>
    <n v="41001530"/>
    <s v="DECODER 4K UHD IP S4KW3 LINUX VAS COM"/>
    <x v="0"/>
    <n v="50"/>
    <n v="1"/>
    <s v="Unidade"/>
    <s v="AGUARDANDO SEPARAÇÃO"/>
    <s v="RESERVAS EM ATRASO"/>
    <s v="NET MASSIVO"/>
    <x v="1"/>
  </r>
  <r>
    <x v="255"/>
    <s v="N190"/>
    <x v="10"/>
    <d v="2024-06-03T00:00:00"/>
    <s v="X41"/>
    <n v="41001590"/>
    <s v="TERMINAL GPON ONT WIFI6 F6600P"/>
    <x v="0"/>
    <n v="80"/>
    <n v="1"/>
    <s v="Unidade"/>
    <s v="AGUARDANDO SEPARAÇÃO"/>
    <s v="RESERVAS EM ATRASO"/>
    <s v="NET MASSIVO"/>
    <x v="1"/>
  </r>
  <r>
    <x v="256"/>
    <s v="N190"/>
    <x v="7"/>
    <d v="2024-06-03T00:00:00"/>
    <s v="X41"/>
    <n v="41000805"/>
    <s v="SMART CARD AVULSO SIM CARD"/>
    <x v="0"/>
    <n v="60"/>
    <n v="1"/>
    <s v="Unidade"/>
    <s v="EM CONFERENCIA"/>
    <s v="RESERVAS EM ATRASO"/>
    <s v="NET MASSIVO"/>
    <x v="1"/>
  </r>
  <r>
    <x v="256"/>
    <s v="N190"/>
    <x v="7"/>
    <d v="2024-06-03T00:00:00"/>
    <s v="X41"/>
    <n v="41001048"/>
    <s v="DECODER HD HHDC2"/>
    <x v="0"/>
    <n v="60"/>
    <n v="1"/>
    <s v="Unidade"/>
    <s v="EM CONFERENCIA"/>
    <s v="RESERVAS EM ATRASO"/>
    <s v="NET MASSIVO"/>
    <x v="1"/>
  </r>
  <r>
    <x v="256"/>
    <s v="N190"/>
    <x v="7"/>
    <d v="2024-06-03T00:00:00"/>
    <s v="X41"/>
    <n v="41001294"/>
    <s v="EMTA WIFI 3.0 TC7337NET 16X4"/>
    <x v="0"/>
    <n v="200"/>
    <n v="1"/>
    <s v="Unidade"/>
    <s v="EM CONFERENCIA"/>
    <s v="RESERVAS EM ATRASO"/>
    <s v="NET MASSIVO"/>
    <x v="1"/>
  </r>
  <r>
    <x v="256"/>
    <s v="N190"/>
    <x v="11"/>
    <d v="2024-06-03T00:00:00"/>
    <s v="X41"/>
    <n v="41001530"/>
    <s v="DECODER 4K UHD IP S4KW3 LINUX VAS COM"/>
    <x v="0"/>
    <n v="60"/>
    <n v="1"/>
    <s v="Unidade"/>
    <s v="EM CONFERENCIA"/>
    <s v="RESERVAS EM ATRASO"/>
    <s v="NET MASSIVO"/>
    <x v="1"/>
  </r>
  <r>
    <x v="256"/>
    <s v="N190"/>
    <x v="10"/>
    <d v="2024-06-03T00:00:00"/>
    <s v="X41"/>
    <n v="41001573"/>
    <s v="DECODER CARDLESS 4K UHD S4KCW4S CABO IP"/>
    <x v="0"/>
    <n v="30"/>
    <n v="1"/>
    <s v="Unidade"/>
    <s v="EM CONFERENCIA"/>
    <s v="RESERVAS EM ATRASO"/>
    <s v="NET MASSIVO"/>
    <x v="1"/>
  </r>
  <r>
    <x v="257"/>
    <s v="N190"/>
    <x v="7"/>
    <d v="2024-06-03T00:00:00"/>
    <s v="X41"/>
    <n v="41001294"/>
    <s v="EMTA WIFI 3.0 TC7337NET 16X4"/>
    <x v="0"/>
    <n v="700"/>
    <n v="1"/>
    <s v="Unidade"/>
    <s v="AGUARDANDO SEPARAÇÃO"/>
    <s v="RESERVAS EM ATRASO"/>
    <s v="NET MASSIVO"/>
    <x v="1"/>
  </r>
  <r>
    <x v="258"/>
    <s v="N190"/>
    <x v="7"/>
    <d v="2024-06-03T00:00:00"/>
    <s v="X43"/>
    <n v="22026249"/>
    <s v="CTRL REMOTO DIG. DCR7121 PACE"/>
    <x v="0"/>
    <n v="200"/>
    <n v="1"/>
    <s v="Unidade"/>
    <s v="EM SEPARAÇÃO"/>
    <s v="RESERVAS EM ATRASO"/>
    <s v="NET MASSIVO"/>
    <x v="1"/>
  </r>
  <r>
    <x v="258"/>
    <s v="N190"/>
    <x v="7"/>
    <d v="2024-06-03T00:00:00"/>
    <s v="X43"/>
    <n v="22057705"/>
    <s v="FONTE CX DIG HD DCR74X1 LITEON"/>
    <x v="0"/>
    <n v="110"/>
    <n v="1"/>
    <s v="Unidade"/>
    <s v="EM SEPARAÇÃO"/>
    <s v="RESERVAS EM ATRASO"/>
    <s v="NET MASSIVO"/>
    <x v="1"/>
  </r>
  <r>
    <x v="258"/>
    <s v="N190"/>
    <x v="7"/>
    <d v="2024-06-03T00:00:00"/>
    <s v="X43"/>
    <n v="22058239"/>
    <s v="FONTE DE ENERGIA PA11807UD2"/>
    <x v="0"/>
    <n v="200"/>
    <n v="1"/>
    <s v="Unidade"/>
    <s v="EM SEPARAÇÃO"/>
    <s v="RESERVAS EM ATRASO"/>
    <s v="NET MASSIVO"/>
    <x v="1"/>
  </r>
  <r>
    <x v="258"/>
    <s v="N190"/>
    <x v="10"/>
    <d v="2024-06-03T00:00:00"/>
    <s v="X43"/>
    <n v="22058258"/>
    <s v="PILHA MANGANES AAA 1,5 V"/>
    <x v="0"/>
    <n v="400"/>
    <n v="1"/>
    <s v="Unidade"/>
    <s v="EM SEPARAÇÃO"/>
    <s v="RESERVAS EM ATRASO"/>
    <s v="NET MASSIVO"/>
    <x v="1"/>
  </r>
  <r>
    <x v="259"/>
    <s v="N190"/>
    <x v="7"/>
    <d v="2024-06-03T00:00:00"/>
    <s v="X41"/>
    <n v="41000805"/>
    <s v="SMART CARD AVULSO SIM CARD"/>
    <x v="0"/>
    <n v="200"/>
    <n v="1"/>
    <s v="Unidade"/>
    <s v="EM CONFERENCIA"/>
    <s v="RESERVAS EM ATRASO"/>
    <s v="NET MASSIVO"/>
    <x v="1"/>
  </r>
  <r>
    <x v="259"/>
    <s v="N190"/>
    <x v="7"/>
    <d v="2024-06-03T00:00:00"/>
    <s v="X41"/>
    <n v="41001048"/>
    <s v="DECODER HD HHDC2"/>
    <x v="0"/>
    <n v="200"/>
    <n v="1"/>
    <s v="Unidade"/>
    <s v="EM CONFERENCIA"/>
    <s v="RESERVAS EM ATRASO"/>
    <s v="NET MASSIVO"/>
    <x v="1"/>
  </r>
  <r>
    <x v="259"/>
    <s v="N190"/>
    <x v="7"/>
    <d v="2024-06-03T00:00:00"/>
    <s v="X41"/>
    <n v="41001294"/>
    <s v="EMTA WIFI 3.0 TC7337NET 16X4"/>
    <x v="0"/>
    <n v="110"/>
    <n v="1"/>
    <s v="Unidade"/>
    <s v="EM CONFERENCIA"/>
    <s v="RESERVAS EM ATRASO"/>
    <s v="NET MASSIVO"/>
    <x v="1"/>
  </r>
  <r>
    <x v="260"/>
    <s v="N190"/>
    <x v="10"/>
    <d v="2024-06-03T00:00:00"/>
    <s v="X43"/>
    <n v="22025072"/>
    <s v="FITA ISOLANTE 3M 33+"/>
    <x v="0"/>
    <n v="7"/>
    <n v="1"/>
    <s v="Unidade"/>
    <s v="EM SEPARAÇÃO"/>
    <s v="RESERVAS EM ATRASO"/>
    <s v="NET MASSIVO"/>
    <x v="1"/>
  </r>
  <r>
    <x v="260"/>
    <s v="N190"/>
    <x v="10"/>
    <d v="2024-06-03T00:00:00"/>
    <s v="X43"/>
    <n v="22026189"/>
    <s v="CONEC_RI COMPRESSAO F-6"/>
    <x v="0"/>
    <n v="1300"/>
    <n v="1"/>
    <s v="Unidade"/>
    <s v="EM SEPARAÇÃO"/>
    <s v="RESERVAS EM ATRASO"/>
    <s v="NET MASSIVO"/>
    <x v="1"/>
  </r>
  <r>
    <x v="260"/>
    <s v="N190"/>
    <x v="10"/>
    <d v="2024-06-03T00:00:00"/>
    <s v="X43"/>
    <n v="22026219"/>
    <s v="CABO COAXIAL RG6 TRISH SEM MENSAG BRANCO"/>
    <x v="0"/>
    <n v="2900"/>
    <n v="1"/>
    <s v="Unidade"/>
    <s v="EM SEPARAÇÃO"/>
    <s v="RESERVAS EM ATRASO"/>
    <s v="NET MASSIVO"/>
    <x v="1"/>
  </r>
  <r>
    <x v="260"/>
    <s v="N190"/>
    <x v="10"/>
    <d v="2024-06-03T00:00:00"/>
    <s v="X43"/>
    <n v="22026223"/>
    <s v="CABO COAXIAL RG6 TRISH COM MENSAG PRETO"/>
    <x v="0"/>
    <n v="2440"/>
    <n v="1"/>
    <s v="Unidade"/>
    <s v="EM SEPARAÇÃO"/>
    <s v="RESERVAS EM ATRASO"/>
    <s v="NET MASSIVO"/>
    <x v="1"/>
  </r>
  <r>
    <x v="260"/>
    <s v="N190"/>
    <x v="7"/>
    <d v="2024-06-03T00:00:00"/>
    <s v="X43"/>
    <n v="22026249"/>
    <s v="CTRL REMOTO DIG. DCR7121 PACE"/>
    <x v="0"/>
    <n v="110"/>
    <n v="1"/>
    <s v="Unidade"/>
    <s v="EM SEPARAÇÃO"/>
    <s v="RESERVAS EM ATRASO"/>
    <s v="NET MASSIVO"/>
    <x v="1"/>
  </r>
  <r>
    <x v="260"/>
    <s v="N190"/>
    <x v="10"/>
    <d v="2024-06-03T00:00:00"/>
    <s v="X43"/>
    <n v="22026544"/>
    <s v="SUPORTE GALVANIZADO U SPAN CLAMP"/>
    <x v="0"/>
    <n v="50"/>
    <n v="1"/>
    <s v="Unidade"/>
    <s v="EM SEPARAÇÃO"/>
    <s v="RESERVAS EM ATRASO"/>
    <s v="NET MASSIVO"/>
    <x v="1"/>
  </r>
  <r>
    <x v="260"/>
    <s v="N190"/>
    <x v="10"/>
    <d v="2024-06-03T00:00:00"/>
    <s v="X43"/>
    <n v="22026772"/>
    <s v="DIV_RI 2S 1GHZ H SOLDADO"/>
    <x v="0"/>
    <n v="75"/>
    <n v="1"/>
    <s v="Unidade"/>
    <s v="EM SEPARAÇÃO"/>
    <s v="RESERVAS EM ATRASO"/>
    <s v="NET MASSIVO"/>
    <x v="1"/>
  </r>
  <r>
    <x v="260"/>
    <s v="N190"/>
    <x v="10"/>
    <d v="2024-06-03T00:00:00"/>
    <s v="X43"/>
    <n v="22026809"/>
    <s v="DC_RI 1S 06DB 1GHZ H SOLDADO"/>
    <x v="0"/>
    <n v="50"/>
    <n v="1"/>
    <s v="Unidade"/>
    <s v="EM SEPARAÇÃO"/>
    <s v="RESERVAS EM ATRASO"/>
    <s v="NET MASSIVO"/>
    <x v="1"/>
  </r>
  <r>
    <x v="260"/>
    <s v="N190"/>
    <x v="7"/>
    <d v="2024-06-03T00:00:00"/>
    <s v="X43"/>
    <n v="22057705"/>
    <s v="FONTE CX DIG HD DCR74X1 LITEON"/>
    <x v="0"/>
    <n v="120"/>
    <n v="1"/>
    <s v="Unidade"/>
    <s v="EM SEPARAÇÃO"/>
    <s v="RESERVAS EM ATRASO"/>
    <s v="NET MASSIVO"/>
    <x v="1"/>
  </r>
  <r>
    <x v="260"/>
    <s v="N190"/>
    <x v="7"/>
    <d v="2024-06-03T00:00:00"/>
    <s v="X43"/>
    <n v="22058239"/>
    <s v="FONTE DE ENERGIA PA11807UD2"/>
    <x v="0"/>
    <n v="110"/>
    <n v="1"/>
    <s v="Unidade"/>
    <s v="EM SEPARAÇÃO"/>
    <s v="RESERVAS EM ATRASO"/>
    <s v="NET MASSIVO"/>
    <x v="1"/>
  </r>
  <r>
    <x v="260"/>
    <s v="N190"/>
    <x v="10"/>
    <d v="2024-06-03T00:00:00"/>
    <s v="X43"/>
    <n v="22058258"/>
    <s v="PILHA MANGANES AAA 1,5 V"/>
    <x v="0"/>
    <n v="220"/>
    <n v="1"/>
    <s v="Unidade"/>
    <s v="EM SEPARAÇÃO"/>
    <s v="RESERVAS EM ATRASO"/>
    <s v="NET MASSIVO"/>
    <x v="1"/>
  </r>
  <r>
    <x v="260"/>
    <s v="N190"/>
    <x v="7"/>
    <d v="2024-06-03T00:00:00"/>
    <s v="X43"/>
    <n v="22062579"/>
    <s v="FONTE ALIM 12V 3.5A MSGH3500WR120042A0BR"/>
    <x v="0"/>
    <n v="60"/>
    <n v="1"/>
    <s v="Unidade"/>
    <s v="EM SEPARAÇÃO"/>
    <s v="RESERVAS EM ATRASO"/>
    <s v="NET MASSIVO"/>
    <x v="1"/>
  </r>
  <r>
    <x v="260"/>
    <s v="N190"/>
    <x v="10"/>
    <d v="2024-06-03T00:00:00"/>
    <s v="X43"/>
    <n v="22065719"/>
    <s v="MARCADOR CASA PRETO NR 1"/>
    <x v="0"/>
    <n v="100"/>
    <n v="1"/>
    <s v="Unidade"/>
    <s v="EM SEPARAÇÃO"/>
    <s v="RESERVAS EM ATRASO"/>
    <s v="NET MASSIVO"/>
    <x v="1"/>
  </r>
  <r>
    <x v="261"/>
    <s v="N190"/>
    <x v="7"/>
    <d v="2024-06-03T00:00:00"/>
    <s v="X41"/>
    <n v="41000805"/>
    <s v="SMART CARD AVULSO SIM CARD"/>
    <x v="0"/>
    <n v="110"/>
    <n v="1"/>
    <s v="Unidade"/>
    <s v="AGUARDANDO SEPARAÇÃO"/>
    <s v="RESERVAS EM ATRASO"/>
    <s v="NET MASSIVO"/>
    <x v="1"/>
  </r>
  <r>
    <x v="261"/>
    <s v="N190"/>
    <x v="7"/>
    <d v="2024-06-03T00:00:00"/>
    <s v="X41"/>
    <n v="41001048"/>
    <s v="DECODER HD HHDC2"/>
    <x v="0"/>
    <n v="110"/>
    <n v="1"/>
    <s v="Unidade"/>
    <s v="AGUARDANDO SEPARAÇÃO"/>
    <s v="RESERVAS EM ATRASO"/>
    <s v="NET MASSIVO"/>
    <x v="1"/>
  </r>
  <r>
    <x v="261"/>
    <s v="N190"/>
    <x v="7"/>
    <d v="2024-06-03T00:00:00"/>
    <s v="X41"/>
    <n v="41001294"/>
    <s v="EMTA WIFI 3.0 TC7337NET 16X4"/>
    <x v="0"/>
    <n v="120"/>
    <n v="1"/>
    <s v="Unidade"/>
    <s v="AGUARDANDO SEPARAÇÃO"/>
    <s v="RESERVAS EM ATRASO"/>
    <s v="NET MASSIVO"/>
    <x v="1"/>
  </r>
  <r>
    <x v="261"/>
    <s v="N190"/>
    <x v="7"/>
    <d v="2024-06-03T00:00:00"/>
    <s v="X41"/>
    <n v="41001552"/>
    <s v="TERMINAL DOCSIS 3.1 EMTA WIFI6 F@ST3896"/>
    <x v="0"/>
    <n v="60"/>
    <n v="1"/>
    <s v="Unidade"/>
    <s v="AGUARDANDO SEPARAÇÃO"/>
    <s v="RESERVAS EM ATRASO"/>
    <s v="NET MASSIVO"/>
    <x v="1"/>
  </r>
  <r>
    <x v="261"/>
    <s v="N190"/>
    <x v="10"/>
    <d v="2024-06-03T00:00:00"/>
    <s v="X41"/>
    <n v="41001590"/>
    <s v="TERMINAL GPON ONT WIFI6 F6600P"/>
    <x v="0"/>
    <n v="80"/>
    <n v="1"/>
    <s v="Unidade"/>
    <s v="AGUARDANDO SEPARAÇÃO"/>
    <s v="RESERVAS EM ATRASO"/>
    <s v="NET MASSIVO"/>
    <x v="1"/>
  </r>
  <r>
    <x v="262"/>
    <s v="N190"/>
    <x v="10"/>
    <d v="2024-06-03T00:00:00"/>
    <s v="X43"/>
    <n v="22025349"/>
    <s v="FIXA FIO CABO DROP FO CHATO"/>
    <x v="0"/>
    <n v="100"/>
    <n v="1"/>
    <s v="Unidade"/>
    <s v="AGUARDANDO SEPARAÇÃO"/>
    <s v="RESERVAS EM ATRASO"/>
    <s v="NET MASSIVO"/>
    <x v="1"/>
  </r>
  <r>
    <x v="262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262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62"/>
    <s v="N190"/>
    <x v="10"/>
    <d v="2024-06-03T00:00:00"/>
    <s v="X43"/>
    <n v="22026795"/>
    <s v="DIV_RI 3S 1GHZ H SOLD BAL 777"/>
    <x v="0"/>
    <n v="25"/>
    <n v="1"/>
    <s v="Unidade"/>
    <s v="AGUARDANDO SEPARAÇÃO"/>
    <s v="RESERVAS EM ATRASO"/>
    <s v="NET MASSIVO"/>
    <x v="1"/>
  </r>
  <r>
    <x v="262"/>
    <s v="N190"/>
    <x v="10"/>
    <d v="2024-06-03T00:00:00"/>
    <s v="X43"/>
    <n v="22026809"/>
    <s v="DC_RI 1S 06DB 1GHZ H SOLDADO"/>
    <x v="0"/>
    <n v="50"/>
    <n v="1"/>
    <s v="Unidade"/>
    <s v="AGUARDANDO SEPARAÇÃO"/>
    <s v="RESERVAS EM ATRASO"/>
    <s v="NET MASSIVO"/>
    <x v="1"/>
  </r>
  <r>
    <x v="262"/>
    <s v="N190"/>
    <x v="10"/>
    <d v="2024-06-03T00:00:00"/>
    <s v="X43"/>
    <n v="22056360"/>
    <s v="FITA ACO INOX 3/4 POLEGADA ROLO 25MT"/>
    <x v="0"/>
    <n v="10"/>
    <n v="1"/>
    <s v="Unidade"/>
    <s v="AGUARDANDO SEPARAÇÃO"/>
    <s v="RESERVAS EM ATRASO"/>
    <s v="NET MASSIVO"/>
    <x v="1"/>
  </r>
  <r>
    <x v="262"/>
    <s v="N190"/>
    <x v="10"/>
    <d v="2024-06-03T00:00:00"/>
    <s v="X43"/>
    <n v="22057659"/>
    <s v="ESTICADOR CUNHA PARA DROP OPTICO SRDO"/>
    <x v="0"/>
    <n v="90"/>
    <n v="1"/>
    <s v="Unidade"/>
    <s v="AGUARDANDO SEPARAÇÃO"/>
    <s v="RESERVAS EM ATRASO"/>
    <s v="NET MASSIVO"/>
    <x v="1"/>
  </r>
  <r>
    <x v="262"/>
    <s v="N190"/>
    <x v="7"/>
    <d v="2024-06-03T00:00:00"/>
    <s v="X43"/>
    <n v="22057705"/>
    <s v="FONTE CX DIG HD DCR74X1 LITEON"/>
    <x v="0"/>
    <n v="90"/>
    <n v="1"/>
    <s v="Unidade"/>
    <s v="AGUARDANDO SEPARAÇÃO"/>
    <s v="RESERVAS EM ATRASO"/>
    <s v="NET MASSIVO"/>
    <x v="1"/>
  </r>
  <r>
    <x v="262"/>
    <s v="N190"/>
    <x v="10"/>
    <d v="2024-06-03T00:00:00"/>
    <s v="X43"/>
    <n v="22060738"/>
    <s v="FIXADOR FIO BR RG6 CIRCUL 7MM"/>
    <x v="0"/>
    <n v="600"/>
    <n v="1"/>
    <s v="Unidade"/>
    <s v="AGUARDANDO SEPARAÇÃO"/>
    <s v="RESERVAS EM ATRASO"/>
    <s v="NET MASSIVO"/>
    <x v="1"/>
  </r>
  <r>
    <x v="262"/>
    <s v="N190"/>
    <x v="10"/>
    <d v="2024-06-03T00:00:00"/>
    <s v="X43"/>
    <n v="22061736"/>
    <s v="CABO DROP 1FO LOW F FIG8 LOW CINZA"/>
    <x v="0"/>
    <n v="1500"/>
    <n v="1"/>
    <s v="Unidade"/>
    <s v="AGUARDANDO SEPARAÇÃO"/>
    <s v="RESERVAS EM ATRASO"/>
    <s v="NET MASSIVO"/>
    <x v="1"/>
  </r>
  <r>
    <x v="262"/>
    <s v="N190"/>
    <x v="10"/>
    <d v="2024-06-03T00:00:00"/>
    <s v="X43"/>
    <n v="22061811"/>
    <s v="CONECTOR UTP RJ45 M CAT 5 24AWG"/>
    <x v="0"/>
    <n v="50"/>
    <n v="1"/>
    <s v="Unidade"/>
    <s v="AGUARDANDO SEPARAÇÃO"/>
    <s v="RESERVAS EM ATRASO"/>
    <s v="NET MASSIVO"/>
    <x v="1"/>
  </r>
  <r>
    <x v="262"/>
    <s v="N190"/>
    <x v="10"/>
    <d v="2024-06-03T00:00:00"/>
    <s v="X43"/>
    <n v="22065513"/>
    <s v="CONECTOR FO CAMPO CPO SC APC FRKW"/>
    <x v="0"/>
    <n v="100"/>
    <n v="1"/>
    <s v="Unidade"/>
    <s v="AGUARDANDO SEPARAÇÃO"/>
    <s v="RESERVAS EM ATRASO"/>
    <s v="NET MASSIVO"/>
    <x v="1"/>
  </r>
  <r>
    <x v="263"/>
    <s v="N190"/>
    <x v="7"/>
    <d v="2024-06-03T00:00:00"/>
    <s v="X43"/>
    <n v="22026249"/>
    <s v="CTRL REMOTO DIG. DCR7121 PACE"/>
    <x v="0"/>
    <n v="20"/>
    <n v="1"/>
    <s v="Unidade"/>
    <s v="EM CONFERENCIA"/>
    <s v="RESERVAS EM ATRASO"/>
    <s v="NET MASSIVO"/>
    <x v="1"/>
  </r>
  <r>
    <x v="263"/>
    <s v="N190"/>
    <x v="10"/>
    <d v="2024-06-03T00:00:00"/>
    <s v="X43"/>
    <n v="22056360"/>
    <s v="FITA ACO INOX 3/4 POLEGADA ROLO 25MT"/>
    <x v="0"/>
    <n v="10"/>
    <n v="1"/>
    <s v="Unidade"/>
    <s v="EM CONFERENCIA"/>
    <s v="RESERVAS EM ATRASO"/>
    <s v="NET MASSIVO"/>
    <x v="1"/>
  </r>
  <r>
    <x v="263"/>
    <s v="N190"/>
    <x v="7"/>
    <d v="2024-06-03T00:00:00"/>
    <s v="X43"/>
    <n v="22057705"/>
    <s v="FONTE CX DIG HD DCR74X1 LITEON"/>
    <x v="0"/>
    <n v="70"/>
    <n v="1"/>
    <s v="Unidade"/>
    <s v="EM CONFERENCIA"/>
    <s v="RESERVAS EM ATRASO"/>
    <s v="NET MASSIVO"/>
    <x v="1"/>
  </r>
  <r>
    <x v="263"/>
    <s v="N190"/>
    <x v="7"/>
    <d v="2024-06-03T00:00:00"/>
    <s v="X43"/>
    <n v="22058239"/>
    <s v="FONTE DE ENERGIA PA11807UD2"/>
    <x v="0"/>
    <n v="20"/>
    <n v="1"/>
    <s v="Unidade"/>
    <s v="EM CONFERENCIA"/>
    <s v="RESERVAS EM ATRASO"/>
    <s v="NET MASSIVO"/>
    <x v="1"/>
  </r>
  <r>
    <x v="263"/>
    <s v="N190"/>
    <x v="10"/>
    <d v="2024-06-03T00:00:00"/>
    <s v="X43"/>
    <n v="22058258"/>
    <s v="PILHA MANGANES AAA 1,5 V"/>
    <x v="0"/>
    <n v="40"/>
    <n v="1"/>
    <s v="Unidade"/>
    <s v="EM CONFERENCIA"/>
    <s v="RESERVAS EM ATRASO"/>
    <s v="NET MASSIVO"/>
    <x v="1"/>
  </r>
  <r>
    <x v="264"/>
    <s v="N190"/>
    <x v="10"/>
    <d v="2024-06-03T00:00:00"/>
    <s v="X43"/>
    <n v="22025072"/>
    <s v="FITA ISOLANTE 3M 33+"/>
    <x v="0"/>
    <n v="16"/>
    <n v="1"/>
    <s v="Unidade"/>
    <s v="EM CONFERENCIA"/>
    <s v="RESERVAS EM ATRASO"/>
    <s v="NET MASSIVO"/>
    <x v="1"/>
  </r>
  <r>
    <x v="264"/>
    <s v="N190"/>
    <x v="7"/>
    <d v="2024-06-03T00:00:00"/>
    <s v="X43"/>
    <n v="22025242"/>
    <s v="ABRACADEIRA NYLON T18R 10CM PRETA"/>
    <x v="0"/>
    <n v="100"/>
    <n v="1"/>
    <s v="Unidade"/>
    <s v="EM CONFERENCIA"/>
    <s v="RESERVAS EM ATRASO"/>
    <s v="NET MASSIVO"/>
    <x v="1"/>
  </r>
  <r>
    <x v="264"/>
    <s v="N190"/>
    <x v="7"/>
    <d v="2024-06-03T00:00:00"/>
    <s v="X43"/>
    <n v="22026249"/>
    <s v="CTRL REMOTO DIG. DCR7121 PACE"/>
    <x v="0"/>
    <n v="20"/>
    <n v="1"/>
    <s v="Unidade"/>
    <s v="EM CONFERENCIA"/>
    <s v="RESERVAS EM ATRASO"/>
    <s v="NET MASSIVO"/>
    <x v="1"/>
  </r>
  <r>
    <x v="264"/>
    <s v="N190"/>
    <x v="10"/>
    <d v="2024-06-03T00:00:00"/>
    <s v="X43"/>
    <n v="22056332"/>
    <s v="FITA ISOLANTE AUTOFUSAO 3M SCOTCH23 10MT"/>
    <x v="0"/>
    <n v="20"/>
    <n v="1"/>
    <s v="Unidade"/>
    <s v="EM CONFERENCIA"/>
    <s v="RESERVAS EM ATRASO"/>
    <s v="NET MASSIVO"/>
    <x v="1"/>
  </r>
  <r>
    <x v="264"/>
    <s v="N190"/>
    <x v="10"/>
    <d v="2024-06-03T00:00:00"/>
    <s v="X43"/>
    <n v="22056344"/>
    <s v="MARCADOR CASA PTO NR 2"/>
    <x v="0"/>
    <n v="100"/>
    <n v="1"/>
    <s v="Unidade"/>
    <s v="EM CONFERENCIA"/>
    <s v="RESERVAS EM ATRASO"/>
    <s v="NET MASSIVO"/>
    <x v="1"/>
  </r>
  <r>
    <x v="264"/>
    <s v="N190"/>
    <x v="10"/>
    <d v="2024-06-03T00:00:00"/>
    <s v="X43"/>
    <n v="22056369"/>
    <s v="CABO UTP CAT5E ETHERNET NET"/>
    <x v="0"/>
    <n v="600"/>
    <n v="1"/>
    <s v="Unidade"/>
    <s v="EM CONFERENCIA"/>
    <s v="RESERVAS EM ATRASO"/>
    <s v="NET MASSIVO"/>
    <x v="1"/>
  </r>
  <r>
    <x v="264"/>
    <s v="N190"/>
    <x v="7"/>
    <d v="2024-06-03T00:00:00"/>
    <s v="X43"/>
    <n v="22057705"/>
    <s v="FONTE CX DIG HD DCR74X1 LITEON"/>
    <x v="0"/>
    <n v="230"/>
    <n v="1"/>
    <s v="Unidade"/>
    <s v="EM CONFERENCIA"/>
    <s v="RESERVAS EM ATRASO"/>
    <s v="NET MASSIVO"/>
    <x v="1"/>
  </r>
  <r>
    <x v="264"/>
    <s v="N190"/>
    <x v="7"/>
    <d v="2024-06-03T00:00:00"/>
    <s v="X43"/>
    <n v="22058239"/>
    <s v="FONTE DE ENERGIA PA11807UD2"/>
    <x v="0"/>
    <n v="20"/>
    <n v="1"/>
    <s v="Unidade"/>
    <s v="EM CONFERENCIA"/>
    <s v="RESERVAS EM ATRASO"/>
    <s v="NET MASSIVO"/>
    <x v="1"/>
  </r>
  <r>
    <x v="264"/>
    <s v="N190"/>
    <x v="10"/>
    <d v="2024-06-03T00:00:00"/>
    <s v="X43"/>
    <n v="22058258"/>
    <s v="PILHA MANGANES AAA 1,5 V"/>
    <x v="0"/>
    <n v="40"/>
    <n v="1"/>
    <s v="Unidade"/>
    <s v="EM CONFERENCIA"/>
    <s v="RESERVAS EM ATRASO"/>
    <s v="NET MASSIVO"/>
    <x v="1"/>
  </r>
  <r>
    <x v="264"/>
    <s v="N190"/>
    <x v="7"/>
    <d v="2024-06-03T00:00:00"/>
    <s v="X43"/>
    <n v="22060654"/>
    <s v="FONTE DE ALIMENTACAO 12V FAST3895 NBS4"/>
    <x v="0"/>
    <n v="70"/>
    <n v="1"/>
    <s v="Unidade"/>
    <s v="EM CONFERENCIA"/>
    <s v="RESERVAS EM ATRASO"/>
    <s v="NET MASSIVO"/>
    <x v="1"/>
  </r>
  <r>
    <x v="264"/>
    <s v="N190"/>
    <x v="10"/>
    <d v="2024-06-03T00:00:00"/>
    <s v="X43"/>
    <n v="22061811"/>
    <s v="CONECTOR UTP RJ45 M CAT 5 24AWG"/>
    <x v="0"/>
    <n v="100"/>
    <n v="1"/>
    <s v="Unidade"/>
    <s v="EM CONFERENCIA"/>
    <s v="RESERVAS EM ATRASO"/>
    <s v="NET MASSIVO"/>
    <x v="1"/>
  </r>
  <r>
    <x v="264"/>
    <s v="N190"/>
    <x v="7"/>
    <d v="2024-06-03T00:00:00"/>
    <s v="X43"/>
    <n v="22065609"/>
    <s v="FONTE DE ALIMENTACAO AP5541 F18L1"/>
    <x v="0"/>
    <n v="30"/>
    <n v="1"/>
    <s v="Unidade"/>
    <s v="EM CONFERENCIA"/>
    <s v="RESERVAS EM ATRASO"/>
    <s v="NET MASSIVO"/>
    <x v="1"/>
  </r>
  <r>
    <x v="265"/>
    <s v="N190"/>
    <x v="7"/>
    <d v="2024-06-03T00:00:00"/>
    <s v="X41"/>
    <n v="41000805"/>
    <s v="SMART CARD AVULSO SIM CARD"/>
    <x v="0"/>
    <n v="20"/>
    <n v="1"/>
    <s v="Unidade"/>
    <s v="AGUARDANDO SEPARAÇÃO"/>
    <s v="RESERVAS EM ATRASO"/>
    <s v="NET MASSIVO"/>
    <x v="1"/>
  </r>
  <r>
    <x v="265"/>
    <s v="N190"/>
    <x v="7"/>
    <d v="2024-06-03T00:00:00"/>
    <s v="X41"/>
    <n v="41001048"/>
    <s v="DECODER HD HHDC2"/>
    <x v="0"/>
    <n v="20"/>
    <n v="1"/>
    <s v="Unidade"/>
    <s v="AGUARDANDO SEPARAÇÃO"/>
    <s v="RESERVAS EM ATRASO"/>
    <s v="NET MASSIVO"/>
    <x v="1"/>
  </r>
  <r>
    <x v="265"/>
    <s v="N190"/>
    <x v="7"/>
    <d v="2024-06-03T00:00:00"/>
    <s v="X41"/>
    <n v="41001294"/>
    <s v="EMTA WIFI 3.0 TC7337NET 16X4"/>
    <x v="0"/>
    <n v="230"/>
    <n v="1"/>
    <s v="Unidade"/>
    <s v="AGUARDANDO SEPARAÇÃO"/>
    <s v="RESERVAS EM ATRASO"/>
    <s v="NET MASSIVO"/>
    <x v="1"/>
  </r>
  <r>
    <x v="265"/>
    <s v="N190"/>
    <x v="7"/>
    <d v="2024-06-03T00:00:00"/>
    <s v="X41"/>
    <n v="41001523"/>
    <s v="TERMINAL EXTENSOR WIFI MESH AP5541"/>
    <x v="0"/>
    <n v="30"/>
    <n v="1"/>
    <s v="Unidade"/>
    <s v="AGUARDANDO SEPARAÇÃO"/>
    <s v="RESERVAS EM ATRASO"/>
    <s v="NET MASSIVO"/>
    <x v="1"/>
  </r>
  <r>
    <x v="265"/>
    <s v="N190"/>
    <x v="7"/>
    <d v="2024-06-03T00:00:00"/>
    <s v="X41"/>
    <n v="41001552"/>
    <s v="TERMINAL DOCSIS 3.1 EMTA WIFI6 F@ST3896"/>
    <x v="0"/>
    <n v="70"/>
    <n v="1"/>
    <s v="Unidade"/>
    <s v="AGUARDANDO SEPARAÇÃO"/>
    <s v="RESERVAS EM ATRASO"/>
    <s v="NET MASSIVO"/>
    <x v="1"/>
  </r>
  <r>
    <x v="265"/>
    <s v="N190"/>
    <x v="10"/>
    <d v="2024-06-03T00:00:00"/>
    <s v="X41"/>
    <n v="41001573"/>
    <s v="DECODER CARDLESS 4K UHD S4KCW4S CABO IP"/>
    <x v="0"/>
    <n v="20"/>
    <n v="1"/>
    <s v="Unidade"/>
    <s v="AGUARDANDO SEPARAÇÃO"/>
    <s v="RESERVAS EM ATRASO"/>
    <s v="NET MASSIVO"/>
    <x v="1"/>
  </r>
  <r>
    <x v="266"/>
    <s v="N190"/>
    <x v="7"/>
    <d v="2024-06-03T00:00:00"/>
    <s v="X41"/>
    <n v="41000805"/>
    <s v="SMART CARD AVULSO SIM CARD"/>
    <x v="0"/>
    <n v="30"/>
    <n v="1"/>
    <s v="Unidade"/>
    <s v="EM CONFERENCIA"/>
    <s v="RESERVAS EM ATRASO"/>
    <s v="NET MASSIVO"/>
    <x v="1"/>
  </r>
  <r>
    <x v="266"/>
    <s v="N190"/>
    <x v="7"/>
    <d v="2024-06-03T00:00:00"/>
    <s v="X41"/>
    <n v="41001048"/>
    <s v="DECODER HD HHDC2"/>
    <x v="0"/>
    <n v="30"/>
    <n v="1"/>
    <s v="Unidade"/>
    <s v="EM CONFERENCIA"/>
    <s v="RESERVAS EM ATRASO"/>
    <s v="NET MASSIVO"/>
    <x v="1"/>
  </r>
  <r>
    <x v="266"/>
    <s v="N190"/>
    <x v="7"/>
    <d v="2024-06-03T00:00:00"/>
    <s v="X41"/>
    <n v="41001294"/>
    <s v="EMTA WIFI 3.0 TC7337NET 16X4"/>
    <x v="0"/>
    <n v="90"/>
    <n v="1"/>
    <s v="Unidade"/>
    <s v="EM CONFERENCIA"/>
    <s v="RESERVAS EM ATRASO"/>
    <s v="NET MASSIVO"/>
    <x v="1"/>
  </r>
  <r>
    <x v="266"/>
    <s v="N190"/>
    <x v="7"/>
    <d v="2024-06-03T00:00:00"/>
    <s v="X41"/>
    <n v="41001553"/>
    <s v="TERMINAL DOCSIS 3.1 EMTA WIFI6 TC3106"/>
    <x v="0"/>
    <n v="50"/>
    <n v="1"/>
    <s v="Unidade"/>
    <s v="EM CONFERENCIA"/>
    <s v="RESERVAS EM ATRASO"/>
    <s v="NET MASSIVO"/>
    <x v="1"/>
  </r>
  <r>
    <x v="266"/>
    <s v="N190"/>
    <x v="10"/>
    <d v="2024-06-03T00:00:00"/>
    <s v="X41"/>
    <n v="41001590"/>
    <s v="TERMINAL GPON ONT WIFI6 F6600P"/>
    <x v="0"/>
    <n v="20"/>
    <n v="1"/>
    <s v="Unidade"/>
    <s v="EM CONFERENCIA"/>
    <s v="RESERVAS EM ATRASO"/>
    <s v="NET MASSIVO"/>
    <x v="1"/>
  </r>
  <r>
    <x v="267"/>
    <s v="N190"/>
    <x v="7"/>
    <d v="2024-06-03T00:00:00"/>
    <s v="X41"/>
    <n v="41000805"/>
    <s v="SMART CARD AVULSO SIM CARD"/>
    <x v="0"/>
    <n v="290"/>
    <n v="1"/>
    <s v="Unidade"/>
    <s v="EM CONFERENCIA"/>
    <s v="RESERVAS EM ATRASO"/>
    <s v="NET MASSIVO"/>
    <x v="1"/>
  </r>
  <r>
    <x v="267"/>
    <s v="N190"/>
    <x v="7"/>
    <d v="2024-06-03T00:00:00"/>
    <s v="X41"/>
    <n v="41001047"/>
    <s v="DECODER HD THDC4 NET"/>
    <x v="0"/>
    <n v="290"/>
    <n v="1"/>
    <s v="Unidade"/>
    <s v="EM CONFERENCIA"/>
    <s v="RESERVAS EM ATRASO"/>
    <s v="NET MASSIVO"/>
    <x v="1"/>
  </r>
  <r>
    <x v="267"/>
    <s v="N190"/>
    <x v="7"/>
    <d v="2024-06-03T00:00:00"/>
    <s v="X41"/>
    <n v="41001294"/>
    <s v="EMTA WIFI 3.0 TC7337NET 16X4"/>
    <x v="0"/>
    <n v="100"/>
    <n v="1"/>
    <s v="Unidade"/>
    <s v="EM CONFERENCIA"/>
    <s v="RESERVAS EM ATRASO"/>
    <s v="NET MASSIVO"/>
    <x v="1"/>
  </r>
  <r>
    <x v="267"/>
    <s v="N190"/>
    <x v="7"/>
    <d v="2024-06-03T00:00:00"/>
    <s v="X41"/>
    <n v="41001518"/>
    <s v="TERMINAL DOCSIS 3.1 WIFI HI3120"/>
    <x v="0"/>
    <n v="90"/>
    <n v="1"/>
    <s v="Unidade"/>
    <s v="EM CONFERENCIA"/>
    <s v="RESERVAS EM ATRASO"/>
    <s v="NET MASSIVO"/>
    <x v="1"/>
  </r>
  <r>
    <x v="267"/>
    <s v="N190"/>
    <x v="7"/>
    <d v="2024-06-03T00:00:00"/>
    <s v="X41"/>
    <n v="41001523"/>
    <s v="TERMINAL EXTENSOR WIFI MESH AP5541"/>
    <x v="0"/>
    <n v="15"/>
    <n v="1"/>
    <s v="Unidade"/>
    <s v="EM CONFERENCIA"/>
    <s v="RESERVAS EM ATRASO"/>
    <s v="NET MASSIVO"/>
    <x v="1"/>
  </r>
  <r>
    <x v="268"/>
    <s v="N190"/>
    <x v="10"/>
    <d v="2024-06-03T00:00:00"/>
    <s v="X43"/>
    <n v="22023400"/>
    <s v="ABRACADEIRA NYLON T50R 20CM PRETA"/>
    <x v="0"/>
    <n v="100"/>
    <n v="1"/>
    <s v="Unidade"/>
    <s v="AGUARDANDO SEPARAÇÃO"/>
    <s v="RESERVAS EM ATRASO"/>
    <s v="NET MASSIVO"/>
    <x v="1"/>
  </r>
  <r>
    <x v="268"/>
    <s v="N190"/>
    <x v="10"/>
    <d v="2024-06-03T00:00:00"/>
    <s v="X43"/>
    <n v="22025139"/>
    <s v="FIXADOR FIO BR RG6 CIRCUL 7MM"/>
    <x v="0"/>
    <n v="3600"/>
    <n v="1"/>
    <s v="Unidade"/>
    <s v="AGUARDANDO SEPARAÇÃO"/>
    <s v="RESERVAS EM ATRASO"/>
    <s v="NET MASSIVO"/>
    <x v="1"/>
  </r>
  <r>
    <x v="268"/>
    <s v="N190"/>
    <x v="7"/>
    <d v="2024-06-03T00:00:00"/>
    <s v="X43"/>
    <n v="22025162"/>
    <s v="MARCADOR APTO NUM 0 TIPO HO85 AMARELO"/>
    <x v="0"/>
    <n v="100"/>
    <n v="1"/>
    <s v="Unidade"/>
    <s v="AGUARDANDO SEPARAÇÃO"/>
    <s v="RESERVAS EM ATRASO"/>
    <s v="NET MASSIVO"/>
    <x v="1"/>
  </r>
  <r>
    <x v="268"/>
    <s v="N190"/>
    <x v="10"/>
    <d v="2024-06-03T00:00:00"/>
    <s v="X43"/>
    <n v="22025237"/>
    <s v="MARCADOR APTO NUM 5 TIPO HO85 AMARELO"/>
    <x v="0"/>
    <n v="100"/>
    <n v="1"/>
    <s v="Unidade"/>
    <s v="AGUARDANDO SEPARAÇÃO"/>
    <s v="RESERVAS EM ATRASO"/>
    <s v="NET MASSIVO"/>
    <x v="1"/>
  </r>
  <r>
    <x v="268"/>
    <s v="N190"/>
    <x v="7"/>
    <d v="2024-06-03T00:00:00"/>
    <s v="X43"/>
    <n v="22025242"/>
    <s v="ABRACADEIRA NYLON T18R 10CM PRETA"/>
    <x v="0"/>
    <n v="100"/>
    <n v="1"/>
    <s v="Unidade"/>
    <s v="AGUARDANDO SEPARAÇÃO"/>
    <s v="RESERVAS EM ATRASO"/>
    <s v="NET MASSIVO"/>
    <x v="1"/>
  </r>
  <r>
    <x v="268"/>
    <s v="N190"/>
    <x v="7"/>
    <d v="2024-06-03T00:00:00"/>
    <s v="X43"/>
    <n v="22025348"/>
    <s v="FIXA FIO CABO LOW FRICT CHATO"/>
    <x v="0"/>
    <n v="100"/>
    <n v="1"/>
    <s v="Unidade"/>
    <s v="AGUARDANDO SEPARAÇÃO"/>
    <s v="RESERVAS EM ATRASO"/>
    <s v="NET MASSIVO"/>
    <x v="1"/>
  </r>
  <r>
    <x v="268"/>
    <s v="N190"/>
    <x v="7"/>
    <d v="2024-06-03T00:00:00"/>
    <s v="X43"/>
    <n v="22026103"/>
    <s v="CABO HDMI 2MTS BASICO SEM ETHE"/>
    <x v="0"/>
    <n v="20"/>
    <n v="1"/>
    <s v="Unidade"/>
    <s v="AGUARDANDO SEPARAÇÃO"/>
    <s v="RESERVAS EM ATRASO"/>
    <s v="NET MASSIVO"/>
    <x v="1"/>
  </r>
  <r>
    <x v="268"/>
    <s v="N190"/>
    <x v="10"/>
    <d v="2024-06-03T00:00:00"/>
    <s v="X43"/>
    <n v="22026223"/>
    <s v="CABO COAXIAL RG6 TRISH COM MENSAG PRETO"/>
    <x v="0"/>
    <n v="1525"/>
    <n v="1"/>
    <s v="Unidade"/>
    <s v="AGUARDANDO SEPARAÇÃO"/>
    <s v="RESERVAS EM ATRASO"/>
    <s v="NET MASSIVO"/>
    <x v="1"/>
  </r>
  <r>
    <x v="268"/>
    <s v="N190"/>
    <x v="7"/>
    <d v="2024-06-03T00:00:00"/>
    <s v="X43"/>
    <n v="22026249"/>
    <s v="CTRL REMOTO DIG. DCR7121 PACE"/>
    <x v="0"/>
    <n v="70"/>
    <n v="1"/>
    <s v="Unidade"/>
    <s v="AGUARDANDO SEPARAÇÃO"/>
    <s v="RESERVAS EM ATRASO"/>
    <s v="NET MASSIVO"/>
    <x v="1"/>
  </r>
  <r>
    <x v="268"/>
    <s v="N190"/>
    <x v="10"/>
    <d v="2024-06-03T00:00:00"/>
    <s v="X43"/>
    <n v="22026772"/>
    <s v="DIV_RI 2S 1GHZ H SOLDADO"/>
    <x v="0"/>
    <n v="100"/>
    <n v="1"/>
    <s v="Unidade"/>
    <s v="AGUARDANDO SEPARAÇÃO"/>
    <s v="RESERVAS EM ATRASO"/>
    <s v="NET MASSIVO"/>
    <x v="1"/>
  </r>
  <r>
    <x v="268"/>
    <s v="N190"/>
    <x v="10"/>
    <d v="2024-06-03T00:00:00"/>
    <s v="X43"/>
    <n v="22026792"/>
    <s v="DIV_RI 3S 1GHZ H SOLD DESB 488"/>
    <x v="0"/>
    <n v="25"/>
    <n v="1"/>
    <s v="Unidade"/>
    <s v="AGUARDANDO SEPARAÇÃO"/>
    <s v="RESERVAS EM ATRASO"/>
    <s v="NET MASSIVO"/>
    <x v="1"/>
  </r>
  <r>
    <x v="268"/>
    <s v="N190"/>
    <x v="10"/>
    <d v="2024-06-03T00:00:00"/>
    <s v="X43"/>
    <n v="22026795"/>
    <s v="DIV_RI 3S 1GHZ H SOLD BAL 777"/>
    <x v="0"/>
    <n v="75"/>
    <n v="1"/>
    <s v="Unidade"/>
    <s v="AGUARDANDO SEPARAÇÃO"/>
    <s v="RESERVAS EM ATRASO"/>
    <s v="NET MASSIVO"/>
    <x v="1"/>
  </r>
  <r>
    <x v="268"/>
    <s v="N190"/>
    <x v="10"/>
    <d v="2024-06-03T00:00:00"/>
    <s v="X43"/>
    <n v="22026809"/>
    <s v="DC_RI 1S 06DB 1GHZ H SOLDADO"/>
    <x v="0"/>
    <n v="150"/>
    <n v="1"/>
    <s v="Unidade"/>
    <s v="AGUARDANDO SEPARAÇÃO"/>
    <s v="RESERVAS EM ATRASO"/>
    <s v="NET MASSIVO"/>
    <x v="1"/>
  </r>
  <r>
    <x v="268"/>
    <s v="N190"/>
    <x v="10"/>
    <d v="2024-06-03T00:00:00"/>
    <s v="X43"/>
    <n v="22056331"/>
    <s v="MARCADOR CASA PTO NR 5"/>
    <x v="0"/>
    <n v="200"/>
    <n v="1"/>
    <s v="Unidade"/>
    <s v="AGUARDANDO SEPARAÇÃO"/>
    <s v="RESERVAS EM ATRASO"/>
    <s v="NET MASSIVO"/>
    <x v="1"/>
  </r>
  <r>
    <x v="268"/>
    <s v="N190"/>
    <x v="7"/>
    <d v="2024-06-03T00:00:00"/>
    <s v="X43"/>
    <n v="22056336"/>
    <s v="MARCADOR CASA PTO NR 6"/>
    <x v="0"/>
    <n v="100"/>
    <n v="1"/>
    <s v="Unidade"/>
    <s v="AGUARDANDO SEPARAÇÃO"/>
    <s v="RESERVAS EM ATRASO"/>
    <s v="NET MASSIVO"/>
    <x v="1"/>
  </r>
  <r>
    <x v="268"/>
    <s v="N190"/>
    <x v="10"/>
    <d v="2024-06-03T00:00:00"/>
    <s v="X43"/>
    <n v="22056343"/>
    <s v="MARCADOR CASA PTO NR 1"/>
    <x v="0"/>
    <n v="200"/>
    <n v="1"/>
    <s v="Unidade"/>
    <s v="AGUARDANDO SEPARAÇÃO"/>
    <s v="RESERVAS EM ATRASO"/>
    <s v="NET MASSIVO"/>
    <x v="1"/>
  </r>
  <r>
    <x v="268"/>
    <s v="N190"/>
    <x v="10"/>
    <d v="2024-06-03T00:00:00"/>
    <s v="X43"/>
    <n v="22056365"/>
    <s v="PROTETOR P/MINI ISOLADOR - ACRE1568"/>
    <x v="0"/>
    <n v="360"/>
    <n v="1"/>
    <s v="Unidade"/>
    <s v="AGUARDANDO SEPARAÇÃO"/>
    <s v="RESERVAS EM ATRASO"/>
    <s v="NET MASSIVO"/>
    <x v="1"/>
  </r>
  <r>
    <x v="268"/>
    <s v="N190"/>
    <x v="10"/>
    <d v="2024-06-03T00:00:00"/>
    <s v="X43"/>
    <n v="22057659"/>
    <s v="ESTICADOR CUNHA PARA DROP OPTICO SRDO"/>
    <x v="0"/>
    <n v="160"/>
    <n v="1"/>
    <s v="Unidade"/>
    <s v="AGUARDANDO SEPARAÇÃO"/>
    <s v="RESERVAS EM ATRASO"/>
    <s v="NET MASSIVO"/>
    <x v="1"/>
  </r>
  <r>
    <x v="268"/>
    <s v="N190"/>
    <x v="7"/>
    <d v="2024-06-03T00:00:00"/>
    <s v="X43"/>
    <n v="22058239"/>
    <s v="FONTE DE ENERGIA PA11807UD2"/>
    <x v="0"/>
    <n v="70"/>
    <n v="1"/>
    <s v="Unidade"/>
    <s v="AGUARDANDO SEPARAÇÃO"/>
    <s v="RESERVAS EM ATRASO"/>
    <s v="NET MASSIVO"/>
    <x v="1"/>
  </r>
  <r>
    <x v="268"/>
    <s v="N190"/>
    <x v="10"/>
    <d v="2024-06-03T00:00:00"/>
    <s v="X43"/>
    <n v="22058258"/>
    <s v="PILHA MANGANES AAA 1,5 V"/>
    <x v="0"/>
    <n v="140"/>
    <n v="1"/>
    <s v="Unidade"/>
    <s v="AGUARDANDO SEPARAÇÃO"/>
    <s v="RESERVAS EM ATRASO"/>
    <s v="NET MASSIVO"/>
    <x v="1"/>
  </r>
  <r>
    <x v="268"/>
    <s v="N190"/>
    <x v="7"/>
    <d v="2024-06-03T00:00:00"/>
    <s v="X43"/>
    <n v="22058639"/>
    <s v="FONTE ENERGIA MSA C2500IC12.0 30W"/>
    <x v="0"/>
    <n v="20"/>
    <n v="1"/>
    <s v="Unidade"/>
    <s v="AGUARDANDO SEPARAÇÃO"/>
    <s v="RESERVAS EM ATRASO"/>
    <s v="NET MASSIVO"/>
    <x v="1"/>
  </r>
  <r>
    <x v="268"/>
    <s v="N190"/>
    <x v="10"/>
    <d v="2024-06-03T00:00:00"/>
    <s v="X43"/>
    <n v="22063252"/>
    <s v="CONTROLE REMOTO VOZ C GBX RC3394201"/>
    <x v="0"/>
    <n v="20"/>
    <n v="1"/>
    <s v="Unidade"/>
    <s v="AGUARDANDO SEPARAÇÃO"/>
    <s v="RESERVAS EM ATRASO"/>
    <s v="NET MASSIVO"/>
    <x v="1"/>
  </r>
  <r>
    <x v="268"/>
    <s v="N190"/>
    <x v="10"/>
    <d v="2024-06-03T00:00:00"/>
    <s v="X43"/>
    <n v="22065513"/>
    <s v="CONECTOR FO CAMPO CPO SC APC FRKW"/>
    <x v="0"/>
    <n v="300"/>
    <n v="1"/>
    <s v="Unidade"/>
    <s v="AGUARDANDO SEPARAÇÃO"/>
    <s v="RESERVAS EM ATRASO"/>
    <s v="NET MASSIVO"/>
    <x v="1"/>
  </r>
  <r>
    <x v="268"/>
    <s v="N190"/>
    <x v="7"/>
    <d v="2024-06-03T00:00:00"/>
    <s v="X43"/>
    <n v="22065609"/>
    <s v="FONTE DE ALIMENTACAO AP5541 F18L1"/>
    <x v="0"/>
    <n v="35"/>
    <n v="1"/>
    <s v="Unidade"/>
    <s v="AGUARDANDO SEPARAÇÃO"/>
    <s v="RESERVAS EM ATRASO"/>
    <s v="NET MASSIVO"/>
    <x v="1"/>
  </r>
  <r>
    <x v="268"/>
    <s v="N190"/>
    <x v="7"/>
    <d v="2024-06-03T00:00:00"/>
    <s v="X43"/>
    <n v="22066258"/>
    <s v="FONTE DE ALIMENTACAO 12V ONT TCG2232 ADS"/>
    <x v="0"/>
    <n v="40"/>
    <n v="1"/>
    <s v="Unidade"/>
    <s v="AGUARDANDO SEPARAÇÃO"/>
    <s v="RESERVAS EM ATRASO"/>
    <s v="NET MASSIVO"/>
    <x v="1"/>
  </r>
  <r>
    <x v="269"/>
    <s v="N190"/>
    <x v="7"/>
    <d v="2024-06-03T00:00:00"/>
    <s v="X41"/>
    <n v="41000805"/>
    <s v="SMART CARD AVULSO SIM CARD"/>
    <x v="0"/>
    <n v="90"/>
    <n v="1"/>
    <s v="Unidade"/>
    <s v="EM SEPARAÇÃO"/>
    <s v="RESERVAS EM ATRASO"/>
    <s v="NET MASSIVO"/>
    <x v="1"/>
  </r>
  <r>
    <x v="269"/>
    <s v="N190"/>
    <x v="7"/>
    <d v="2024-06-03T00:00:00"/>
    <s v="X41"/>
    <n v="41001048"/>
    <s v="DECODER HD HHDC2"/>
    <x v="0"/>
    <n v="70"/>
    <n v="1"/>
    <s v="Unidade"/>
    <s v="EM SEPARAÇÃO"/>
    <s v="RESERVAS EM ATRASO"/>
    <s v="NET MASSIVO"/>
    <x v="1"/>
  </r>
  <r>
    <x v="269"/>
    <s v="N190"/>
    <x v="7"/>
    <d v="2024-06-03T00:00:00"/>
    <s v="X41"/>
    <n v="41001484"/>
    <s v="DECODER 4K ULTRA HD DGCI363 COM IG"/>
    <x v="0"/>
    <n v="20"/>
    <n v="1"/>
    <s v="Unidade"/>
    <s v="EM SEPARAÇÃO"/>
    <s v="RESERVAS EM ATRASO"/>
    <s v="NET MASSIVO"/>
    <x v="1"/>
  </r>
  <r>
    <x v="269"/>
    <s v="N190"/>
    <x v="7"/>
    <d v="2024-06-03T00:00:00"/>
    <s v="X41"/>
    <n v="41001523"/>
    <s v="TERMINAL EXTENSOR WIFI MESH AP5541"/>
    <x v="0"/>
    <n v="35"/>
    <n v="1"/>
    <s v="Unidade"/>
    <s v="EM SEPARAÇÃO"/>
    <s v="RESERVAS EM ATRASO"/>
    <s v="NET MASSIVO"/>
    <x v="1"/>
  </r>
  <r>
    <x v="269"/>
    <s v="N190"/>
    <x v="7"/>
    <d v="2024-06-03T00:00:00"/>
    <s v="X41"/>
    <n v="41001535"/>
    <s v="TERMINAL GPON WIFI TCG2232"/>
    <x v="0"/>
    <n v="40"/>
    <n v="1"/>
    <s v="Unidade"/>
    <s v="EM SEPARAÇÃO"/>
    <s v="RESERVAS EM ATRASO"/>
    <s v="NET MASSIVO"/>
    <x v="1"/>
  </r>
  <r>
    <x v="270"/>
    <s v="N190"/>
    <x v="10"/>
    <d v="2024-06-03T00:00:00"/>
    <s v="X43"/>
    <n v="22025349"/>
    <s v="FIXA FIO CABO DROP FO CHATO"/>
    <x v="0"/>
    <n v="300"/>
    <n v="1"/>
    <s v="Unidade"/>
    <s v="EM CONFERENCIA"/>
    <s v="RESERVAS EM ATRASO"/>
    <s v="NET MASSIVO"/>
    <x v="1"/>
  </r>
  <r>
    <x v="270"/>
    <s v="N190"/>
    <x v="7"/>
    <d v="2024-06-03T00:00:00"/>
    <s v="X43"/>
    <n v="22026103"/>
    <s v="CABO HDMI 2MTS BASICO SEM ETHE"/>
    <x v="0"/>
    <n v="20"/>
    <n v="1"/>
    <s v="Unidade"/>
    <s v="EM CONFERENCIA"/>
    <s v="RESERVAS EM ATRASO"/>
    <s v="NET MASSIVO"/>
    <x v="1"/>
  </r>
  <r>
    <x v="270"/>
    <s v="N190"/>
    <x v="10"/>
    <d v="2024-06-03T00:00:00"/>
    <s v="X43"/>
    <n v="22026189"/>
    <s v="CONEC_RI COMPRESSAO F-6"/>
    <x v="0"/>
    <n v="4400"/>
    <n v="1"/>
    <s v="Unidade"/>
    <s v="EM CONFERENCIA"/>
    <s v="RESERVAS EM ATRASO"/>
    <s v="NET MASSIVO"/>
    <x v="1"/>
  </r>
  <r>
    <x v="270"/>
    <s v="N190"/>
    <x v="7"/>
    <d v="2024-06-03T00:00:00"/>
    <s v="X43"/>
    <n v="22026249"/>
    <s v="CTRL REMOTO DIG. DCR7121 PACE"/>
    <x v="0"/>
    <n v="120"/>
    <n v="1"/>
    <s v="Unidade"/>
    <s v="EM CONFERENCIA"/>
    <s v="RESERVAS EM ATRASO"/>
    <s v="NET MASSIVO"/>
    <x v="1"/>
  </r>
  <r>
    <x v="270"/>
    <s v="N190"/>
    <x v="10"/>
    <d v="2024-06-03T00:00:00"/>
    <s v="X43"/>
    <n v="22026746"/>
    <s v="DC_RI 1S 09DB 1GHZ H SOLDADO"/>
    <x v="0"/>
    <n v="200"/>
    <n v="1"/>
    <s v="Unidade"/>
    <s v="EM CONFERENCIA"/>
    <s v="RESERVAS EM ATRASO"/>
    <s v="NET MASSIVO"/>
    <x v="1"/>
  </r>
  <r>
    <x v="270"/>
    <s v="N190"/>
    <x v="10"/>
    <d v="2024-06-03T00:00:00"/>
    <s v="X43"/>
    <n v="22026772"/>
    <s v="DIV_RI 2S 1GHZ H SOLDADO"/>
    <x v="0"/>
    <n v="350"/>
    <n v="1"/>
    <s v="Unidade"/>
    <s v="EM CONFERENCIA"/>
    <s v="RESERVAS EM ATRASO"/>
    <s v="NET MASSIVO"/>
    <x v="1"/>
  </r>
  <r>
    <x v="270"/>
    <s v="N190"/>
    <x v="10"/>
    <d v="2024-06-03T00:00:00"/>
    <s v="X43"/>
    <n v="22056332"/>
    <s v="FITA ISOLANTE AUTOFUSAO 3M SCOTCH23 10MT"/>
    <x v="0"/>
    <n v="32"/>
    <n v="1"/>
    <s v="Unidade"/>
    <s v="EM CONFERENCIA"/>
    <s v="RESERVAS EM ATRASO"/>
    <s v="NET MASSIVO"/>
    <x v="1"/>
  </r>
  <r>
    <x v="270"/>
    <s v="N190"/>
    <x v="10"/>
    <d v="2024-06-03T00:00:00"/>
    <s v="X43"/>
    <n v="22056359"/>
    <s v="FITA ACO INOX 1/2 POLEGADA ROLO 25MT"/>
    <x v="0"/>
    <n v="20"/>
    <n v="1"/>
    <s v="Unidade"/>
    <s v="EM CONFERENCIA"/>
    <s v="RESERVAS EM ATRASO"/>
    <s v="NET MASSIVO"/>
    <x v="1"/>
  </r>
  <r>
    <x v="270"/>
    <s v="N190"/>
    <x v="10"/>
    <d v="2024-06-03T00:00:00"/>
    <s v="X43"/>
    <n v="22056369"/>
    <s v="CABO UTP CAT5E ETHERNET NET"/>
    <x v="0"/>
    <n v="1200"/>
    <n v="1"/>
    <s v="Unidade"/>
    <s v="EM CONFERENCIA"/>
    <s v="RESERVAS EM ATRASO"/>
    <s v="NET MASSIVO"/>
    <x v="1"/>
  </r>
  <r>
    <x v="270"/>
    <s v="N190"/>
    <x v="7"/>
    <d v="2024-06-03T00:00:00"/>
    <s v="X43"/>
    <n v="22057705"/>
    <s v="FONTE CX DIG HD DCR74X1 LITEON"/>
    <x v="0"/>
    <n v="230"/>
    <n v="1"/>
    <s v="Unidade"/>
    <s v="EM CONFERENCIA"/>
    <s v="RESERVAS EM ATRASO"/>
    <s v="NET MASSIVO"/>
    <x v="1"/>
  </r>
  <r>
    <x v="270"/>
    <s v="N190"/>
    <x v="7"/>
    <d v="2024-06-03T00:00:00"/>
    <s v="X43"/>
    <n v="22058239"/>
    <s v="FONTE DE ENERGIA PA11807UD2"/>
    <x v="0"/>
    <n v="120"/>
    <n v="1"/>
    <s v="Unidade"/>
    <s v="EM CONFERENCIA"/>
    <s v="RESERVAS EM ATRASO"/>
    <s v="NET MASSIVO"/>
    <x v="1"/>
  </r>
  <r>
    <x v="270"/>
    <s v="N190"/>
    <x v="10"/>
    <d v="2024-06-03T00:00:00"/>
    <s v="X43"/>
    <n v="22058258"/>
    <s v="PILHA MANGANES AAA 1,5 V"/>
    <x v="0"/>
    <n v="240"/>
    <n v="1"/>
    <s v="Unidade"/>
    <s v="EM CONFERENCIA"/>
    <s v="RESERVAS EM ATRASO"/>
    <s v="NET MASSIVO"/>
    <x v="1"/>
  </r>
  <r>
    <x v="270"/>
    <s v="N190"/>
    <x v="7"/>
    <d v="2024-06-03T00:00:00"/>
    <s v="X43"/>
    <n v="22058639"/>
    <s v="FONTE ENERGIA MSA C2500IC12.0 30W"/>
    <x v="0"/>
    <n v="20"/>
    <n v="1"/>
    <s v="Unidade"/>
    <s v="EM CONFERENCIA"/>
    <s v="RESERVAS EM ATRASO"/>
    <s v="NET MASSIVO"/>
    <x v="1"/>
  </r>
  <r>
    <x v="270"/>
    <s v="N190"/>
    <x v="10"/>
    <d v="2024-06-03T00:00:00"/>
    <s v="X43"/>
    <n v="22061736"/>
    <s v="CABO DROP 1FO LOW F FIG8 LOW CINZA"/>
    <x v="0"/>
    <n v="10500"/>
    <n v="1"/>
    <s v="Unidade"/>
    <s v="EM CONFERENCIA"/>
    <s v="RESERVAS EM ATRASO"/>
    <s v="NET MASSIVO"/>
    <x v="1"/>
  </r>
  <r>
    <x v="270"/>
    <s v="N190"/>
    <x v="10"/>
    <d v="2024-06-03T00:00:00"/>
    <s v="X43"/>
    <n v="22063252"/>
    <s v="CONTROLE REMOTO VOZ C GBX RC3394201"/>
    <x v="0"/>
    <n v="20"/>
    <n v="1"/>
    <s v="Unidade"/>
    <s v="EM CONFERENCIA"/>
    <s v="RESERVAS EM ATRASO"/>
    <s v="NET MASSIVO"/>
    <x v="1"/>
  </r>
  <r>
    <x v="270"/>
    <s v="N190"/>
    <x v="10"/>
    <d v="2024-06-03T00:00:00"/>
    <s v="X43"/>
    <n v="22065513"/>
    <s v="CONECTOR FO CAMPO CPO SC APC FRKW"/>
    <x v="0"/>
    <n v="700"/>
    <n v="1"/>
    <s v="Unidade"/>
    <s v="EM CONFERENCIA"/>
    <s v="RESERVAS EM ATRASO"/>
    <s v="NET MASSIVO"/>
    <x v="1"/>
  </r>
  <r>
    <x v="270"/>
    <s v="N190"/>
    <x v="10"/>
    <d v="2024-06-03T00:00:00"/>
    <s v="X43"/>
    <n v="22065728"/>
    <s v="MARCADOR CASA PRETO LETRA A"/>
    <x v="0"/>
    <n v="30"/>
    <n v="1"/>
    <s v="Unidade"/>
    <s v="EM CONFERENCIA"/>
    <s v="RESERVAS EM ATRASO"/>
    <s v="NET MASSIVO"/>
    <x v="1"/>
  </r>
  <r>
    <x v="270"/>
    <s v="N190"/>
    <x v="7"/>
    <d v="2024-06-03T00:00:00"/>
    <s v="X43"/>
    <n v="22066258"/>
    <s v="FONTE DE ALIMENTACAO 12V ONT TCG2232 ADS"/>
    <x v="0"/>
    <n v="30"/>
    <n v="1"/>
    <s v="Unidade"/>
    <s v="EM CONFERENCIA"/>
    <s v="RESERVAS EM ATRASO"/>
    <s v="NET MASSIVO"/>
    <x v="1"/>
  </r>
  <r>
    <x v="271"/>
    <s v="N190"/>
    <x v="7"/>
    <d v="2024-06-03T00:00:00"/>
    <s v="X43"/>
    <n v="22026249"/>
    <s v="CTRL REMOTO DIG. DCR7121 PACE"/>
    <x v="0"/>
    <n v="120"/>
    <n v="1"/>
    <s v="Unidade"/>
    <s v="EM CONFERENCIA"/>
    <s v="RESERVAS EM ATRASO"/>
    <s v="NET MASSIVO"/>
    <x v="1"/>
  </r>
  <r>
    <x v="271"/>
    <s v="N190"/>
    <x v="7"/>
    <d v="2024-06-03T00:00:00"/>
    <s v="X43"/>
    <n v="22057705"/>
    <s v="FONTE CX DIG HD DCR74X1 LITEON"/>
    <x v="0"/>
    <n v="120"/>
    <n v="1"/>
    <s v="Unidade"/>
    <s v="EM CONFERENCIA"/>
    <s v="RESERVAS EM ATRASO"/>
    <s v="NET MASSIVO"/>
    <x v="1"/>
  </r>
  <r>
    <x v="271"/>
    <s v="N190"/>
    <x v="7"/>
    <d v="2024-06-03T00:00:00"/>
    <s v="X43"/>
    <n v="22058239"/>
    <s v="FONTE DE ENERGIA PA11807UD2"/>
    <x v="0"/>
    <n v="120"/>
    <n v="1"/>
    <s v="Unidade"/>
    <s v="EM CONFERENCIA"/>
    <s v="RESERVAS EM ATRASO"/>
    <s v="NET MASSIVO"/>
    <x v="1"/>
  </r>
  <r>
    <x v="271"/>
    <s v="N190"/>
    <x v="10"/>
    <d v="2024-06-03T00:00:00"/>
    <s v="X43"/>
    <n v="22058258"/>
    <s v="PILHA MANGANES AAA 1,5 V"/>
    <x v="0"/>
    <n v="240"/>
    <n v="1"/>
    <s v="Unidade"/>
    <s v="EM CONFERENCIA"/>
    <s v="RESERVAS EM ATRASO"/>
    <s v="NET MASSIVO"/>
    <x v="1"/>
  </r>
  <r>
    <x v="271"/>
    <s v="N190"/>
    <x v="7"/>
    <d v="2024-06-03T00:00:00"/>
    <s v="X43"/>
    <n v="22062078"/>
    <s v="FONTE DE ALIMENTACAO 12V EMTA TG3442 N"/>
    <x v="0"/>
    <n v="30"/>
    <n v="1"/>
    <s v="Unidade"/>
    <s v="EM CONFERENCIA"/>
    <s v="RESERVAS EM ATRASO"/>
    <s v="NET MASSIVO"/>
    <x v="1"/>
  </r>
  <r>
    <x v="271"/>
    <s v="N190"/>
    <x v="10"/>
    <d v="2024-06-03T00:00:00"/>
    <s v="X43"/>
    <n v="22062576"/>
    <s v="FONTE ALIM 12V 3A ADS 36FKJ 12 12036EPBR"/>
    <x v="0"/>
    <n v="40"/>
    <n v="1"/>
    <s v="Unidade"/>
    <s v="EM CONFERENCIA"/>
    <s v="RESERVAS EM ATRASO"/>
    <s v="NET MASSIVO"/>
    <x v="1"/>
  </r>
  <r>
    <x v="272"/>
    <s v="N190"/>
    <x v="7"/>
    <d v="2024-06-03T00:00:00"/>
    <s v="X41"/>
    <n v="41000805"/>
    <s v="SMART CARD AVULSO SIM CARD"/>
    <x v="0"/>
    <n v="120"/>
    <n v="1"/>
    <s v="Unidade"/>
    <s v="AGUARDANDO SEPARAÇÃO"/>
    <s v="RESERVAS EM ATRASO"/>
    <s v="NET MASSIVO"/>
    <x v="1"/>
  </r>
  <r>
    <x v="272"/>
    <s v="N190"/>
    <x v="7"/>
    <d v="2024-06-03T00:00:00"/>
    <s v="X41"/>
    <n v="41001048"/>
    <s v="DECODER HD HHDC2"/>
    <x v="0"/>
    <n v="120"/>
    <n v="1"/>
    <s v="Unidade"/>
    <s v="AGUARDANDO SEPARAÇÃO"/>
    <s v="RESERVAS EM ATRASO"/>
    <s v="NET MASSIVO"/>
    <x v="1"/>
  </r>
  <r>
    <x v="272"/>
    <s v="N190"/>
    <x v="7"/>
    <d v="2024-06-03T00:00:00"/>
    <s v="X41"/>
    <n v="41001294"/>
    <s v="EMTA WIFI 3.0 TC7337NET 16X4"/>
    <x v="0"/>
    <n v="120"/>
    <n v="1"/>
    <s v="Unidade"/>
    <s v="AGUARDANDO SEPARAÇÃO"/>
    <s v="RESERVAS EM ATRASO"/>
    <s v="NET MASSIVO"/>
    <x v="1"/>
  </r>
  <r>
    <x v="272"/>
    <s v="N190"/>
    <x v="7"/>
    <d v="2024-06-03T00:00:00"/>
    <s v="X41"/>
    <n v="41001520"/>
    <s v="TERMINAL DOCSIS 3.1 32X8 EMTA WIF TG3442"/>
    <x v="0"/>
    <n v="30"/>
    <n v="1"/>
    <s v="Unidade"/>
    <s v="AGUARDANDO SEPARAÇÃO"/>
    <s v="RESERVAS EM ATRASO"/>
    <s v="NET MASSIVO"/>
    <x v="1"/>
  </r>
  <r>
    <x v="272"/>
    <s v="N190"/>
    <x v="7"/>
    <d v="2024-06-03T00:00:00"/>
    <s v="X41"/>
    <n v="41001553"/>
    <s v="TERMINAL DOCSIS 3.1 EMTA WIFI6 TC3106"/>
    <x v="0"/>
    <n v="40"/>
    <n v="1"/>
    <s v="Unidade"/>
    <s v="AGUARDANDO SEPARAÇÃO"/>
    <s v="RESERVAS EM ATRASO"/>
    <s v="NET MASSIVO"/>
    <x v="1"/>
  </r>
  <r>
    <x v="273"/>
    <s v="N190"/>
    <x v="10"/>
    <d v="2024-06-03T00:00:00"/>
    <s v="X43"/>
    <n v="22025321"/>
    <s v="ANEL VEDACAO PLASTICA P PORTA F"/>
    <x v="0"/>
    <n v="500"/>
    <n v="1"/>
    <s v="Unidade"/>
    <s v="AGUARDANDO SEPARAÇÃO"/>
    <s v="RESERVAS EM ATRASO"/>
    <s v="NET MASSIVO"/>
    <x v="1"/>
  </r>
  <r>
    <x v="273"/>
    <s v="N190"/>
    <x v="7"/>
    <d v="2024-06-03T00:00:00"/>
    <s v="X43"/>
    <n v="22026249"/>
    <s v="CTRL REMOTO DIG. DCR7121 PACE"/>
    <x v="0"/>
    <n v="90"/>
    <n v="1"/>
    <s v="Unidade"/>
    <s v="AGUARDANDO SEPARAÇÃO"/>
    <s v="RESERVAS EM ATRASO"/>
    <s v="NET MASSIVO"/>
    <x v="1"/>
  </r>
  <r>
    <x v="273"/>
    <s v="N190"/>
    <x v="10"/>
    <d v="2024-06-03T00:00:00"/>
    <s v="X43"/>
    <n v="22026544"/>
    <s v="SUPORTE GALVANIZADO U SPAN CLAMP"/>
    <x v="0"/>
    <n v="50"/>
    <n v="1"/>
    <s v="Unidade"/>
    <s v="AGUARDANDO SEPARAÇÃO"/>
    <s v="RESERVAS EM ATRASO"/>
    <s v="NET MASSIVO"/>
    <x v="1"/>
  </r>
  <r>
    <x v="273"/>
    <s v="N190"/>
    <x v="10"/>
    <d v="2024-06-03T00:00:00"/>
    <s v="X43"/>
    <n v="22026809"/>
    <s v="DC_RI 1S 06DB 1GHZ H SOLDADO"/>
    <x v="0"/>
    <n v="50"/>
    <n v="1"/>
    <s v="Unidade"/>
    <s v="AGUARDANDO SEPARAÇÃO"/>
    <s v="RESERVAS EM ATRASO"/>
    <s v="NET MASSIVO"/>
    <x v="1"/>
  </r>
  <r>
    <x v="273"/>
    <s v="N190"/>
    <x v="10"/>
    <d v="2024-06-03T00:00:00"/>
    <s v="X43"/>
    <n v="22056332"/>
    <s v="FITA ISOLANTE AUTOFUSAO 3M SCOTCH23 10MT"/>
    <x v="0"/>
    <n v="11"/>
    <n v="1"/>
    <s v="Unidade"/>
    <s v="AGUARDANDO SEPARAÇÃO"/>
    <s v="RESERVAS EM ATRASO"/>
    <s v="NET MASSIVO"/>
    <x v="1"/>
  </r>
  <r>
    <x v="273"/>
    <s v="N190"/>
    <x v="10"/>
    <d v="2024-06-03T00:00:00"/>
    <s v="X43"/>
    <n v="22056334"/>
    <s v="FECHO DE ACO INOX DENTADO 1/2"/>
    <x v="0"/>
    <n v="100"/>
    <n v="1"/>
    <s v="Unidade"/>
    <s v="AGUARDANDO SEPARAÇÃO"/>
    <s v="RESERVAS EM ATRASO"/>
    <s v="NET MASSIVO"/>
    <x v="1"/>
  </r>
  <r>
    <x v="273"/>
    <s v="N190"/>
    <x v="7"/>
    <d v="2024-06-03T00:00:00"/>
    <s v="X43"/>
    <n v="22056343"/>
    <s v="MARCADOR CASA PTO NR 1"/>
    <x v="0"/>
    <n v="60"/>
    <n v="1"/>
    <s v="Unidade"/>
    <s v="AGUARDANDO SEPARAÇÃO"/>
    <s v="RESERVAS EM ATRASO"/>
    <s v="NET MASSIVO"/>
    <x v="1"/>
  </r>
  <r>
    <x v="273"/>
    <s v="N190"/>
    <x v="10"/>
    <d v="2024-06-03T00:00:00"/>
    <s v="X43"/>
    <n v="22056365"/>
    <s v="PROTETOR P/MINI ISOLADOR - ACRE1568"/>
    <x v="0"/>
    <n v="330"/>
    <n v="1"/>
    <s v="Unidade"/>
    <s v="AGUARDANDO SEPARAÇÃO"/>
    <s v="RESERVAS EM ATRASO"/>
    <s v="NET MASSIVO"/>
    <x v="1"/>
  </r>
  <r>
    <x v="273"/>
    <s v="N190"/>
    <x v="7"/>
    <d v="2024-06-03T00:00:00"/>
    <s v="X43"/>
    <n v="22057705"/>
    <s v="FONTE CX DIG HD DCR74X1 LITEON"/>
    <x v="0"/>
    <n v="180"/>
    <n v="1"/>
    <s v="Unidade"/>
    <s v="AGUARDANDO SEPARAÇÃO"/>
    <s v="RESERVAS EM ATRASO"/>
    <s v="NET MASSIVO"/>
    <x v="1"/>
  </r>
  <r>
    <x v="273"/>
    <s v="N190"/>
    <x v="7"/>
    <d v="2024-06-03T00:00:00"/>
    <s v="X43"/>
    <n v="22058239"/>
    <s v="FONTE DE ENERGIA PA11807UD2"/>
    <x v="0"/>
    <n v="90"/>
    <n v="1"/>
    <s v="Unidade"/>
    <s v="AGUARDANDO SEPARAÇÃO"/>
    <s v="RESERVAS EM ATRASO"/>
    <s v="NET MASSIVO"/>
    <x v="1"/>
  </r>
  <r>
    <x v="273"/>
    <s v="N190"/>
    <x v="10"/>
    <d v="2024-06-03T00:00:00"/>
    <s v="X43"/>
    <n v="22058258"/>
    <s v="PILHA MANGANES AAA 1,5 V"/>
    <x v="0"/>
    <n v="180"/>
    <n v="1"/>
    <s v="Unidade"/>
    <s v="AGUARDANDO SEPARAÇÃO"/>
    <s v="RESERVAS EM ATRASO"/>
    <s v="NET MASSIVO"/>
    <x v="1"/>
  </r>
  <r>
    <x v="273"/>
    <s v="N190"/>
    <x v="10"/>
    <d v="2024-06-03T00:00:00"/>
    <s v="X43"/>
    <n v="22060738"/>
    <s v="FIXADOR FIO BR RG6 CIRCUL 7MM"/>
    <x v="0"/>
    <n v="3000"/>
    <n v="1"/>
    <s v="Unidade"/>
    <s v="AGUARDANDO SEPARAÇÃO"/>
    <s v="RESERVAS EM ATRASO"/>
    <s v="NET MASSIVO"/>
    <x v="1"/>
  </r>
  <r>
    <x v="273"/>
    <s v="N190"/>
    <x v="10"/>
    <d v="2024-06-03T00:00:00"/>
    <s v="X43"/>
    <n v="22062576"/>
    <s v="FONTE ALIM 12V 3A ADS 36FKJ 12 12036EPBR"/>
    <x v="0"/>
    <n v="30"/>
    <n v="1"/>
    <s v="Unidade"/>
    <s v="AGUARDANDO SEPARAÇÃO"/>
    <s v="RESERVAS EM ATRASO"/>
    <s v="NET MASSIVO"/>
    <x v="1"/>
  </r>
  <r>
    <x v="273"/>
    <s v="N190"/>
    <x v="7"/>
    <d v="2024-06-03T00:00:00"/>
    <s v="X43"/>
    <n v="22065719"/>
    <s v="MARCADOR CASA PRETO NR 1"/>
    <x v="0"/>
    <n v="40"/>
    <n v="1"/>
    <s v="Unidade"/>
    <s v="AGUARDANDO SEPARAÇÃO"/>
    <s v="RESERVAS EM ATRASO"/>
    <s v="NET MASSIVO"/>
    <x v="1"/>
  </r>
  <r>
    <x v="273"/>
    <s v="N190"/>
    <x v="10"/>
    <d v="2024-06-03T00:00:00"/>
    <s v="X43"/>
    <n v="22065721"/>
    <s v="MARCADOR CASA PRETO NR 3"/>
    <x v="0"/>
    <n v="100"/>
    <n v="1"/>
    <s v="Unidade"/>
    <s v="AGUARDANDO SEPARAÇÃO"/>
    <s v="RESERVAS EM ATRASO"/>
    <s v="NET MASSIVO"/>
    <x v="1"/>
  </r>
  <r>
    <x v="274"/>
    <s v="N190"/>
    <x v="7"/>
    <d v="2024-06-03T00:00:00"/>
    <s v="X41"/>
    <n v="41000805"/>
    <s v="SMART CARD AVULSO SIM CARD"/>
    <x v="0"/>
    <n v="90"/>
    <n v="1"/>
    <s v="Unidade"/>
    <s v="AGUARDANDO SEPARAÇÃO"/>
    <s v="RESERVAS EM ATRASO"/>
    <s v="NET MASSIVO"/>
    <x v="1"/>
  </r>
  <r>
    <x v="274"/>
    <s v="N190"/>
    <x v="7"/>
    <d v="2024-06-03T00:00:00"/>
    <s v="X41"/>
    <n v="41001048"/>
    <s v="DECODER HD HHDC2"/>
    <x v="0"/>
    <n v="90"/>
    <n v="1"/>
    <s v="Unidade"/>
    <s v="AGUARDANDO SEPARAÇÃO"/>
    <s v="RESERVAS EM ATRASO"/>
    <s v="NET MASSIVO"/>
    <x v="1"/>
  </r>
  <r>
    <x v="274"/>
    <s v="N190"/>
    <x v="7"/>
    <d v="2024-06-03T00:00:00"/>
    <s v="X41"/>
    <n v="41001294"/>
    <s v="EMTA WIFI 3.0 TC7337NET 16X4"/>
    <x v="0"/>
    <n v="180"/>
    <n v="1"/>
    <s v="Unidade"/>
    <s v="AGUARDANDO SEPARAÇÃO"/>
    <s v="RESERVAS EM ATRASO"/>
    <s v="NET MASSIVO"/>
    <x v="1"/>
  </r>
  <r>
    <x v="274"/>
    <s v="N190"/>
    <x v="7"/>
    <d v="2024-06-03T00:00:00"/>
    <s v="X41"/>
    <n v="41001553"/>
    <s v="TERMINAL DOCSIS 3.1 EMTA WIFI6 TC3106"/>
    <x v="0"/>
    <n v="30"/>
    <n v="1"/>
    <s v="Unidade"/>
    <s v="AGUARDANDO SEPARAÇÃO"/>
    <s v="RESERVAS EM ATRASO"/>
    <s v="NET MASSIVO"/>
    <x v="1"/>
  </r>
  <r>
    <x v="275"/>
    <s v="N190"/>
    <x v="10"/>
    <d v="2024-06-03T00:00:00"/>
    <s v="X43"/>
    <n v="22025136"/>
    <s v="BUCHA ACABAMENTO CABO RG6-59 BRANCA"/>
    <x v="0"/>
    <n v="500"/>
    <n v="1"/>
    <s v="Unidade"/>
    <s v="AGUARDANDO SEPARAÇÃO"/>
    <s v="RESERVAS EM ATRASO"/>
    <s v="NET MASSIVO"/>
    <x v="1"/>
  </r>
  <r>
    <x v="275"/>
    <s v="N190"/>
    <x v="7"/>
    <d v="2024-06-03T00:00:00"/>
    <s v="X43"/>
    <n v="22025239"/>
    <s v="MARCADOR APTO NUM 8 TIPO HO85 AMARELO"/>
    <x v="0"/>
    <n v="100"/>
    <n v="1"/>
    <s v="Unidade"/>
    <s v="AGUARDANDO SEPARAÇÃO"/>
    <s v="RESERVAS EM ATRASO"/>
    <s v="NET MASSIVO"/>
    <x v="1"/>
  </r>
  <r>
    <x v="275"/>
    <s v="N190"/>
    <x v="7"/>
    <d v="2024-06-03T00:00:00"/>
    <s v="X43"/>
    <n v="22025250"/>
    <s v="MARCADOR APTO NUM 1 TIPO HO85 AMARELO"/>
    <x v="0"/>
    <n v="100"/>
    <n v="1"/>
    <s v="Unidade"/>
    <s v="AGUARDANDO SEPARAÇÃO"/>
    <s v="RESERVAS EM ATRASO"/>
    <s v="NET MASSIVO"/>
    <x v="1"/>
  </r>
  <r>
    <x v="275"/>
    <s v="N190"/>
    <x v="10"/>
    <d v="2024-06-03T00:00:00"/>
    <s v="X43"/>
    <n v="22025321"/>
    <s v="ANEL VEDACAO PLASTICA P PORTA F"/>
    <x v="0"/>
    <n v="200"/>
    <n v="1"/>
    <s v="Unidade"/>
    <s v="AGUARDANDO SEPARAÇÃO"/>
    <s v="RESERVAS EM ATRASO"/>
    <s v="NET MASSIVO"/>
    <x v="1"/>
  </r>
  <r>
    <x v="275"/>
    <s v="N190"/>
    <x v="7"/>
    <d v="2024-06-03T00:00:00"/>
    <s v="X43"/>
    <n v="22025348"/>
    <s v="FIXA FIO CABO LOW FRICT CHATO"/>
    <x v="0"/>
    <n v="100"/>
    <n v="1"/>
    <s v="Unidade"/>
    <s v="AGUARDANDO SEPARAÇÃO"/>
    <s v="RESERVAS EM ATRASO"/>
    <s v="NET MASSIVO"/>
    <x v="1"/>
  </r>
  <r>
    <x v="275"/>
    <s v="N190"/>
    <x v="10"/>
    <d v="2024-06-03T00:00:00"/>
    <s v="X43"/>
    <n v="22026189"/>
    <s v="CONEC_RI COMPRESSAO F-6"/>
    <x v="0"/>
    <n v="5400"/>
    <n v="1"/>
    <s v="Unidade"/>
    <s v="AGUARDANDO SEPARAÇÃO"/>
    <s v="RESERVAS EM ATRASO"/>
    <s v="NET MASSIVO"/>
    <x v="1"/>
  </r>
  <r>
    <x v="275"/>
    <s v="N190"/>
    <x v="10"/>
    <d v="2024-06-03T00:00:00"/>
    <s v="X43"/>
    <n v="22026219"/>
    <s v="CABO COAXIAL RG6 TRISH SEM MENSAG BRANCO"/>
    <x v="0"/>
    <n v="25400"/>
    <n v="1"/>
    <s v="Unidade"/>
    <s v="AGUARDANDO SEPARAÇÃO"/>
    <s v="RESERVAS EM ATRASO"/>
    <s v="NET MASSIVO"/>
    <x v="1"/>
  </r>
  <r>
    <x v="275"/>
    <s v="N190"/>
    <x v="10"/>
    <d v="2024-06-03T00:00:00"/>
    <s v="X43"/>
    <n v="22026223"/>
    <s v="CABO COAXIAL RG6 TRISH COM MENSAG PRETO"/>
    <x v="0"/>
    <n v="13725"/>
    <n v="1"/>
    <s v="Unidade"/>
    <s v="AGUARDANDO SEPARAÇÃO"/>
    <s v="RESERVAS EM ATRASO"/>
    <s v="NET MASSIVO"/>
    <x v="1"/>
  </r>
  <r>
    <x v="275"/>
    <s v="N190"/>
    <x v="7"/>
    <d v="2024-06-03T00:00:00"/>
    <s v="X43"/>
    <n v="22026249"/>
    <s v="CTRL REMOTO DIG. DCR7121 PACE"/>
    <x v="0"/>
    <n v="40"/>
    <n v="1"/>
    <s v="Unidade"/>
    <s v="AGUARDANDO SEPARAÇÃO"/>
    <s v="RESERVAS EM ATRASO"/>
    <s v="NET MASSIVO"/>
    <x v="1"/>
  </r>
  <r>
    <x v="275"/>
    <s v="N190"/>
    <x v="10"/>
    <d v="2024-06-03T00:00:00"/>
    <s v="X43"/>
    <n v="22026746"/>
    <s v="DC_RI 1S 09DB 1GHZ H SOLDADO"/>
    <x v="0"/>
    <n v="100"/>
    <n v="1"/>
    <s v="Unidade"/>
    <s v="AGUARDANDO SEPARAÇÃO"/>
    <s v="RESERVAS EM ATRASO"/>
    <s v="NET MASSIVO"/>
    <x v="1"/>
  </r>
  <r>
    <x v="275"/>
    <s v="N190"/>
    <x v="10"/>
    <d v="2024-06-03T00:00:00"/>
    <s v="X43"/>
    <n v="22026792"/>
    <s v="DIV_RI 3S 1GHZ H SOLD DESB 488"/>
    <x v="0"/>
    <n v="75"/>
    <n v="1"/>
    <s v="Unidade"/>
    <s v="AGUARDANDO SEPARAÇÃO"/>
    <s v="RESERVAS EM ATRASO"/>
    <s v="NET MASSIVO"/>
    <x v="1"/>
  </r>
  <r>
    <x v="275"/>
    <s v="N190"/>
    <x v="10"/>
    <d v="2024-06-03T00:00:00"/>
    <s v="X43"/>
    <n v="22026795"/>
    <s v="DIV_RI 3S 1GHZ H SOLD BAL 777"/>
    <x v="0"/>
    <n v="50"/>
    <n v="1"/>
    <s v="Unidade"/>
    <s v="AGUARDANDO SEPARAÇÃO"/>
    <s v="RESERVAS EM ATRASO"/>
    <s v="NET MASSIVO"/>
    <x v="1"/>
  </r>
  <r>
    <x v="275"/>
    <s v="N190"/>
    <x v="10"/>
    <d v="2024-06-03T00:00:00"/>
    <s v="X43"/>
    <n v="22056332"/>
    <s v="FITA ISOLANTE AUTOFUSAO 3M SCOTCH23 10MT"/>
    <x v="0"/>
    <n v="108"/>
    <n v="1"/>
    <s v="Unidade"/>
    <s v="AGUARDANDO SEPARAÇÃO"/>
    <s v="RESERVAS EM ATRASO"/>
    <s v="NET MASSIVO"/>
    <x v="1"/>
  </r>
  <r>
    <x v="275"/>
    <s v="N190"/>
    <x v="10"/>
    <d v="2024-06-03T00:00:00"/>
    <s v="X43"/>
    <n v="22056360"/>
    <s v="FITA ACO INOX 3/4 POLEGADA ROLO 25MT"/>
    <x v="0"/>
    <n v="10"/>
    <n v="1"/>
    <s v="Unidade"/>
    <s v="AGUARDANDO SEPARAÇÃO"/>
    <s v="RESERVAS EM ATRASO"/>
    <s v="NET MASSIVO"/>
    <x v="1"/>
  </r>
  <r>
    <x v="275"/>
    <s v="N190"/>
    <x v="10"/>
    <d v="2024-06-03T00:00:00"/>
    <s v="X43"/>
    <n v="22056364"/>
    <s v="MINI ISOLADOR CPE P/CM DECODER"/>
    <x v="0"/>
    <n v="900"/>
    <n v="1"/>
    <s v="Unidade"/>
    <s v="AGUARDANDO SEPARAÇÃO"/>
    <s v="RESERVAS EM ATRASO"/>
    <s v="NET MASSIVO"/>
    <x v="1"/>
  </r>
  <r>
    <x v="275"/>
    <s v="N190"/>
    <x v="10"/>
    <d v="2024-06-03T00:00:00"/>
    <s v="X43"/>
    <n v="22056369"/>
    <s v="CABO UTP CAT5E ETHERNET NET"/>
    <x v="0"/>
    <n v="2100"/>
    <n v="1"/>
    <s v="Unidade"/>
    <s v="AGUARDANDO SEPARAÇÃO"/>
    <s v="RESERVAS EM ATRASO"/>
    <s v="NET MASSIVO"/>
    <x v="1"/>
  </r>
  <r>
    <x v="275"/>
    <s v="N190"/>
    <x v="7"/>
    <d v="2024-06-03T00:00:00"/>
    <s v="X43"/>
    <n v="22057341"/>
    <s v="CABO COAXIAL RG11 TRI C/M PT"/>
    <x v="0"/>
    <n v="305"/>
    <n v="1"/>
    <s v="Unidade"/>
    <s v="AGUARDANDO SEPARAÇÃO"/>
    <s v="RESERVAS EM ATRASO"/>
    <s v="NET MASSIVO"/>
    <x v="1"/>
  </r>
  <r>
    <x v="275"/>
    <s v="N190"/>
    <x v="10"/>
    <d v="2024-06-03T00:00:00"/>
    <s v="X43"/>
    <n v="22057635"/>
    <s v="FIXADOR FIO PT RG6"/>
    <x v="0"/>
    <n v="2600"/>
    <n v="1"/>
    <s v="Unidade"/>
    <s v="AGUARDANDO SEPARAÇÃO"/>
    <s v="RESERVAS EM ATRASO"/>
    <s v="NET MASSIVO"/>
    <x v="1"/>
  </r>
  <r>
    <x v="275"/>
    <s v="N190"/>
    <x v="10"/>
    <d v="2024-06-03T00:00:00"/>
    <s v="X43"/>
    <n v="22057659"/>
    <s v="ESTICADOR CUNHA PARA DROP OPTICO SRDO"/>
    <x v="0"/>
    <n v="170"/>
    <n v="1"/>
    <s v="Unidade"/>
    <s v="AGUARDANDO SEPARAÇÃO"/>
    <s v="RESERVAS EM ATRASO"/>
    <s v="NET MASSIVO"/>
    <x v="1"/>
  </r>
  <r>
    <x v="275"/>
    <s v="N190"/>
    <x v="7"/>
    <d v="2024-06-03T00:00:00"/>
    <s v="X43"/>
    <n v="22057705"/>
    <s v="FONTE CX DIG HD DCR74X1 LITEON"/>
    <x v="0"/>
    <n v="60"/>
    <n v="1"/>
    <s v="Unidade"/>
    <s v="AGUARDANDO SEPARAÇÃO"/>
    <s v="RESERVAS EM ATRASO"/>
    <s v="NET MASSIVO"/>
    <x v="1"/>
  </r>
  <r>
    <x v="275"/>
    <s v="N190"/>
    <x v="10"/>
    <d v="2024-06-03T00:00:00"/>
    <s v="X43"/>
    <n v="22057866"/>
    <s v="MINI PONTO GPON SC ROSETA APCDPR OT8420"/>
    <x v="0"/>
    <n v="30"/>
    <n v="1"/>
    <s v="Unidade"/>
    <s v="AGUARDANDO SEPARAÇÃO"/>
    <s v="RESERVAS EM ATRASO"/>
    <s v="NET MASSIVO"/>
    <x v="1"/>
  </r>
  <r>
    <x v="275"/>
    <s v="N190"/>
    <x v="7"/>
    <d v="2024-06-03T00:00:00"/>
    <s v="X43"/>
    <n v="22058239"/>
    <s v="FONTE DE ENERGIA PA11807UD2"/>
    <x v="0"/>
    <n v="40"/>
    <n v="1"/>
    <s v="Unidade"/>
    <s v="AGUARDANDO SEPARAÇÃO"/>
    <s v="RESERVAS EM ATRASO"/>
    <s v="NET MASSIVO"/>
    <x v="1"/>
  </r>
  <r>
    <x v="275"/>
    <s v="N190"/>
    <x v="10"/>
    <d v="2024-06-03T00:00:00"/>
    <s v="X43"/>
    <n v="22058258"/>
    <s v="PILHA MANGANES AAA 1,5 V"/>
    <x v="0"/>
    <n v="80"/>
    <n v="1"/>
    <s v="Unidade"/>
    <s v="AGUARDANDO SEPARAÇÃO"/>
    <s v="RESERVAS EM ATRASO"/>
    <s v="NET MASSIVO"/>
    <x v="1"/>
  </r>
  <r>
    <x v="275"/>
    <s v="N190"/>
    <x v="10"/>
    <d v="2024-06-03T00:00:00"/>
    <s v="X43"/>
    <n v="22060738"/>
    <s v="FIXADOR FIO BR RG6 CIRCUL 7MM"/>
    <x v="0"/>
    <n v="7000"/>
    <n v="1"/>
    <s v="Unidade"/>
    <s v="AGUARDANDO SEPARAÇÃO"/>
    <s v="RESERVAS EM ATRASO"/>
    <s v="NET MASSIVO"/>
    <x v="1"/>
  </r>
  <r>
    <x v="275"/>
    <s v="N190"/>
    <x v="10"/>
    <d v="2024-06-03T00:00:00"/>
    <s v="X43"/>
    <n v="22061736"/>
    <s v="CABO DROP 1FO LOW F FIG8 LOW CINZA"/>
    <x v="0"/>
    <n v="6000"/>
    <n v="1"/>
    <s v="Unidade"/>
    <s v="AGUARDANDO SEPARAÇÃO"/>
    <s v="RESERVAS EM ATRASO"/>
    <s v="NET MASSIVO"/>
    <x v="1"/>
  </r>
  <r>
    <x v="275"/>
    <s v="N190"/>
    <x v="10"/>
    <d v="2024-06-03T00:00:00"/>
    <s v="X43"/>
    <n v="22061811"/>
    <s v="CONECTOR UTP RJ45 M CAT 5 24AWG"/>
    <x v="0"/>
    <n v="200"/>
    <n v="1"/>
    <s v="Unidade"/>
    <s v="AGUARDANDO SEPARAÇÃO"/>
    <s v="RESERVAS EM ATRASO"/>
    <s v="NET MASSIVO"/>
    <x v="1"/>
  </r>
  <r>
    <x v="275"/>
    <s v="N190"/>
    <x v="10"/>
    <d v="2024-06-03T00:00:00"/>
    <s v="X43"/>
    <n v="22065513"/>
    <s v="CONECTOR FO CAMPO CPO SC APC FRKW"/>
    <x v="0"/>
    <n v="300"/>
    <n v="1"/>
    <s v="Unidade"/>
    <s v="AGUARDANDO SEPARAÇÃO"/>
    <s v="RESERVAS EM ATRASO"/>
    <s v="NET MASSIVO"/>
    <x v="1"/>
  </r>
  <r>
    <x v="276"/>
    <s v="N190"/>
    <x v="7"/>
    <d v="2024-06-03T00:00:00"/>
    <s v="X41"/>
    <n v="41000805"/>
    <s v="SMART CARD AVULSO SIM CARD"/>
    <x v="0"/>
    <n v="40"/>
    <n v="1"/>
    <s v="Unidade"/>
    <s v="AGUARDANDO SEPARAÇÃO"/>
    <s v="RESERVAS EM ATRASO"/>
    <s v="NET MASSIVO"/>
    <x v="1"/>
  </r>
  <r>
    <x v="276"/>
    <s v="N190"/>
    <x v="7"/>
    <d v="2024-06-03T00:00:00"/>
    <s v="X41"/>
    <n v="41001048"/>
    <s v="DECODER HD HHDC2"/>
    <x v="0"/>
    <n v="40"/>
    <n v="1"/>
    <s v="Unidade"/>
    <s v="AGUARDANDO SEPARAÇÃO"/>
    <s v="RESERVAS EM ATRASO"/>
    <s v="NET MASSIVO"/>
    <x v="1"/>
  </r>
  <r>
    <x v="276"/>
    <s v="N190"/>
    <x v="7"/>
    <d v="2024-06-03T00:00:00"/>
    <s v="X41"/>
    <n v="41001294"/>
    <s v="EMTA WIFI 3.0 TC7337NET 16X4"/>
    <x v="0"/>
    <n v="60"/>
    <n v="1"/>
    <s v="Unidade"/>
    <s v="AGUARDANDO SEPARAÇÃO"/>
    <s v="RESERVAS EM ATRASO"/>
    <s v="NET MASSIVO"/>
    <x v="1"/>
  </r>
  <r>
    <x v="276"/>
    <s v="N190"/>
    <x v="10"/>
    <d v="2024-06-03T00:00:00"/>
    <s v="X41"/>
    <n v="41001590"/>
    <s v="TERMINAL GPON ONT WIFI6 F6600P"/>
    <x v="0"/>
    <n v="40"/>
    <n v="1"/>
    <s v="Unidade"/>
    <s v="AGUARDANDO SEPARAÇÃO"/>
    <s v="RESERVAS EM ATRASO"/>
    <s v="NET MASSIVO"/>
    <x v="1"/>
  </r>
  <r>
    <x v="277"/>
    <s v="N190"/>
    <x v="7"/>
    <d v="2024-06-03T00:00:00"/>
    <s v="X41"/>
    <n v="41000805"/>
    <s v="SMART CARD AVULSO SIM CARD"/>
    <x v="0"/>
    <n v="150"/>
    <n v="1"/>
    <s v="Unidade"/>
    <s v="AGUARDANDO SEPARAÇÃO"/>
    <s v="RESERVAS EM ATRASO"/>
    <s v="NET MASSIVO"/>
    <x v="1"/>
  </r>
  <r>
    <x v="277"/>
    <s v="N190"/>
    <x v="7"/>
    <d v="2024-06-03T00:00:00"/>
    <s v="X41"/>
    <n v="41001047"/>
    <s v="DECODER HD THDC4 NET"/>
    <x v="0"/>
    <n v="150"/>
    <n v="1"/>
    <s v="Unidade"/>
    <s v="AGUARDANDO SEPARAÇÃO"/>
    <s v="RESERVAS EM ATRASO"/>
    <s v="NET MASSIVO"/>
    <x v="1"/>
  </r>
  <r>
    <x v="277"/>
    <s v="N190"/>
    <x v="7"/>
    <d v="2024-06-03T00:00:00"/>
    <s v="X41"/>
    <n v="41001520"/>
    <s v="TERMINAL DOCSIS 3.1 32X8 EMTA WIF TG3442"/>
    <x v="0"/>
    <n v="150"/>
    <n v="1"/>
    <s v="Unidade"/>
    <s v="AGUARDANDO SEPARAÇÃO"/>
    <s v="RESERVAS EM ATRASO"/>
    <s v="NET MASSIVO"/>
    <x v="1"/>
  </r>
  <r>
    <x v="278"/>
    <s v="N190"/>
    <x v="7"/>
    <d v="2024-06-03T00:00:00"/>
    <s v="X41"/>
    <n v="41001294"/>
    <s v="EMTA WIFI 3.0 TC7337NET 16X4"/>
    <x v="0"/>
    <n v="60"/>
    <n v="1"/>
    <s v="Unidade"/>
    <s v="EM CONFERENCIA"/>
    <s v="RESERVAS EM ATRASO"/>
    <s v="NET MASSIVO"/>
    <x v="1"/>
  </r>
  <r>
    <x v="278"/>
    <s v="N190"/>
    <x v="11"/>
    <d v="2024-06-03T00:00:00"/>
    <s v="X41"/>
    <n v="41001530"/>
    <s v="DECODER 4K UHD IP S4KW3 LINUX VAS COM"/>
    <x v="0"/>
    <n v="30"/>
    <n v="1"/>
    <s v="Unidade"/>
    <s v="EM CONFERENCIA"/>
    <s v="RESERVAS EM ATRASO"/>
    <s v="NET MASSIVO"/>
    <x v="1"/>
  </r>
  <r>
    <x v="278"/>
    <s v="N190"/>
    <x v="7"/>
    <d v="2024-06-03T00:00:00"/>
    <s v="X41"/>
    <n v="41001552"/>
    <s v="TERMINAL DOCSIS 3.1 EMTA WIFI6 F@ST3896"/>
    <x v="0"/>
    <n v="30"/>
    <n v="1"/>
    <s v="Unidade"/>
    <s v="EM CONFERENCIA"/>
    <s v="RESERVAS EM ATRASO"/>
    <s v="NET MASSIVO"/>
    <x v="1"/>
  </r>
  <r>
    <x v="278"/>
    <s v="N190"/>
    <x v="10"/>
    <d v="2024-06-03T00:00:00"/>
    <s v="X41"/>
    <n v="41001573"/>
    <s v="DECODER CARDLESS 4K UHD S4KCW4S CABO IP"/>
    <x v="0"/>
    <n v="30"/>
    <n v="1"/>
    <s v="Unidade"/>
    <s v="EM CONFERENCIA"/>
    <s v="RESERVAS EM ATRASO"/>
    <s v="NET MASSIVO"/>
    <x v="1"/>
  </r>
  <r>
    <x v="279"/>
    <s v="N190"/>
    <x v="7"/>
    <d v="2024-06-03T00:00:00"/>
    <s v="X41"/>
    <n v="41000805"/>
    <s v="SMART CARD AVULSO SIM CARD"/>
    <x v="0"/>
    <n v="160"/>
    <n v="1"/>
    <s v="Unidade"/>
    <s v="EM SEPARAÇÃO"/>
    <s v="RESERVAS EM ATRASO"/>
    <s v="NET MASSIVO"/>
    <x v="1"/>
  </r>
  <r>
    <x v="279"/>
    <s v="N190"/>
    <x v="7"/>
    <d v="2024-06-03T00:00:00"/>
    <s v="X41"/>
    <n v="41001047"/>
    <s v="DECODER HD THDC4 NET"/>
    <x v="0"/>
    <n v="120"/>
    <n v="1"/>
    <s v="Unidade"/>
    <s v="EM SEPARAÇÃO"/>
    <s v="RESERVAS EM ATRASO"/>
    <s v="NET MASSIVO"/>
    <x v="1"/>
  </r>
  <r>
    <x v="279"/>
    <s v="N190"/>
    <x v="7"/>
    <d v="2024-06-03T00:00:00"/>
    <s v="X41"/>
    <n v="41001484"/>
    <s v="DECODER 4K ULTRA HD DGCI363 COM IG"/>
    <x v="0"/>
    <n v="40"/>
    <n v="1"/>
    <s v="Unidade"/>
    <s v="EM SEPARAÇÃO"/>
    <s v="RESERVAS EM ATRASO"/>
    <s v="NET MASSIVO"/>
    <x v="1"/>
  </r>
  <r>
    <x v="279"/>
    <s v="N190"/>
    <x v="7"/>
    <d v="2024-06-03T00:00:00"/>
    <s v="X41"/>
    <n v="41001520"/>
    <s v="TERMINAL DOCSIS 3.1 32X8 EMTA WIF TG3442"/>
    <x v="0"/>
    <n v="120"/>
    <n v="1"/>
    <s v="Unidade"/>
    <s v="EM SEPARAÇÃO"/>
    <s v="RESERVAS EM ATRASO"/>
    <s v="NET MASSIVO"/>
    <x v="1"/>
  </r>
  <r>
    <x v="280"/>
    <s v="N190"/>
    <x v="7"/>
    <d v="2024-06-03T00:00:00"/>
    <s v="X41"/>
    <n v="41001294"/>
    <s v="EMTA WIFI 3.0 TC7337NET 16X4"/>
    <x v="0"/>
    <n v="40"/>
    <n v="1"/>
    <s v="Unidade"/>
    <s v="EM CONFERENCIA"/>
    <s v="RESERVAS EM ATRASO"/>
    <s v="NET MASSIVO"/>
    <x v="1"/>
  </r>
  <r>
    <x v="280"/>
    <s v="N190"/>
    <x v="10"/>
    <d v="2024-06-03T00:00:00"/>
    <s v="X41"/>
    <n v="41001573"/>
    <s v="DECODER CARDLESS 4K UHD S4KCW4S CABO IP"/>
    <x v="0"/>
    <n v="20"/>
    <n v="1"/>
    <s v="Unidade"/>
    <s v="EM CONFERENCIA"/>
    <s v="RESERVAS EM ATRASO"/>
    <s v="NET MASSIVO"/>
    <x v="1"/>
  </r>
  <r>
    <x v="281"/>
    <s v="N190"/>
    <x v="7"/>
    <d v="2024-06-03T00:00:00"/>
    <s v="X41"/>
    <n v="41001294"/>
    <s v="EMTA WIFI 3.0 TC7337NET 16X4"/>
    <x v="0"/>
    <n v="320"/>
    <n v="1"/>
    <s v="Unidade"/>
    <s v="EM SEPARAÇÃO"/>
    <s v="RESERVAS EM ATRASO"/>
    <s v="NET MASSIVO"/>
    <x v="1"/>
  </r>
  <r>
    <x v="281"/>
    <s v="N190"/>
    <x v="10"/>
    <d v="2024-06-03T00:00:00"/>
    <s v="X41"/>
    <n v="41001590"/>
    <s v="TERMINAL GPON ONT WIFI6 F6600P"/>
    <x v="0"/>
    <n v="20"/>
    <n v="1"/>
    <s v="Unidade"/>
    <s v="EM SEPARAÇÃO"/>
    <s v="RESERVAS EM ATRASO"/>
    <s v="NET MASSIVO"/>
    <x v="1"/>
  </r>
  <r>
    <x v="282"/>
    <s v="N190"/>
    <x v="7"/>
    <d v="2024-06-03T00:00:00"/>
    <s v="X43"/>
    <n v="22026251"/>
    <s v="CTRL REMOTO DIG. CR2FU UNIVERS"/>
    <x v="0"/>
    <n v="100"/>
    <n v="1"/>
    <s v="Unidade"/>
    <s v="EM CONFERENCIA"/>
    <s v="RESERVAS EM ATRASO"/>
    <s v="NET MASSIVO"/>
    <x v="1"/>
  </r>
  <r>
    <x v="282"/>
    <s v="N190"/>
    <x v="10"/>
    <d v="2024-06-03T00:00:00"/>
    <s v="X43"/>
    <n v="22058258"/>
    <s v="PILHA MANGANES AAA 1,5 V"/>
    <x v="0"/>
    <n v="200"/>
    <n v="1"/>
    <s v="Unidade"/>
    <s v="EM CONFERENCIA"/>
    <s v="RESERVAS EM ATRASO"/>
    <s v="NET MASSIVO"/>
    <x v="1"/>
  </r>
  <r>
    <x v="282"/>
    <s v="N190"/>
    <x v="10"/>
    <d v="2024-06-03T00:00:00"/>
    <s v="X43"/>
    <n v="22060422"/>
    <s v="CONTROLE REMOTO UNIFICADO RC4194202 01B"/>
    <x v="0"/>
    <n v="100"/>
    <n v="1"/>
    <s v="Unidade"/>
    <s v="EM CONFERENCIA"/>
    <s v="RESERVAS EM ATRASO"/>
    <s v="NET MASSIVO"/>
    <x v="1"/>
  </r>
  <r>
    <x v="283"/>
    <s v="N190"/>
    <x v="11"/>
    <d v="2024-06-03T00:00:00"/>
    <s v="X41"/>
    <n v="41001528"/>
    <s v="DECODER CARDLESS 4K UHD S4KCW3 CABO E IP"/>
    <x v="0"/>
    <n v="10"/>
    <n v="1"/>
    <s v="Unidade"/>
    <s v="EM CONFERENCIA"/>
    <s v="RESERVAS EM ATRASO"/>
    <s v="NET MASSIVO"/>
    <x v="1"/>
  </r>
  <r>
    <x v="284"/>
    <s v="N190"/>
    <x v="7"/>
    <d v="2024-06-03T00:00:00"/>
    <s v="X51"/>
    <n v="41000805"/>
    <s v="SMART CARD AVULSO SIM CARD"/>
    <x v="0"/>
    <n v="60"/>
    <n v="1"/>
    <s v="Unidade"/>
    <s v="EM CONFERENCIA"/>
    <s v="RESERVAS EM ATRASO"/>
    <s v="NET MASSIVO"/>
    <x v="1"/>
  </r>
  <r>
    <x v="284"/>
    <s v="N190"/>
    <x v="7"/>
    <d v="2024-06-03T00:00:00"/>
    <s v="X51"/>
    <n v="41001047"/>
    <s v="DECODER HD THDC4 NET"/>
    <x v="0"/>
    <n v="60"/>
    <n v="1"/>
    <s v="Unidade"/>
    <s v="EM CONFERENCIA"/>
    <s v="RESERVAS EM ATRASO"/>
    <s v="NET MASSIVO"/>
    <x v="1"/>
  </r>
  <r>
    <x v="284"/>
    <s v="N190"/>
    <x v="7"/>
    <d v="2024-06-03T00:00:00"/>
    <s v="X51"/>
    <n v="41001486"/>
    <s v="MODEM VOIP EMTA WIFI 3.1 CG3000"/>
    <x v="0"/>
    <n v="40"/>
    <n v="1"/>
    <s v="Unidade"/>
    <s v="EM CONFERENCIA"/>
    <s v="RESERVAS EM ATRASO"/>
    <s v="NET MASSIVO"/>
    <x v="1"/>
  </r>
  <r>
    <x v="284"/>
    <s v="N190"/>
    <x v="10"/>
    <d v="2024-06-03T00:00:00"/>
    <s v="X51"/>
    <n v="41001590"/>
    <s v="TERMINAL GPON ONT WIFI6 F6600P"/>
    <x v="0"/>
    <n v="20"/>
    <n v="1"/>
    <s v="Unidade"/>
    <s v="EM CONFERENCIA"/>
    <s v="RESERVAS EM ATRASO"/>
    <s v="NET MASSIVO"/>
    <x v="1"/>
  </r>
  <r>
    <x v="285"/>
    <s v="N190"/>
    <x v="7"/>
    <d v="2024-06-03T00:00:00"/>
    <s v="X51"/>
    <n v="41000805"/>
    <s v="SMART CARD AVULSO SIM CARD"/>
    <x v="0"/>
    <n v="120"/>
    <n v="1"/>
    <s v="Unidade"/>
    <s v="AGUARDANDO SEPARAÇÃO"/>
    <s v="RESERVAS EM ATRASO"/>
    <s v="NET MASSIVO"/>
    <x v="1"/>
  </r>
  <r>
    <x v="285"/>
    <s v="N190"/>
    <x v="7"/>
    <d v="2024-06-03T00:00:00"/>
    <s v="X51"/>
    <n v="41001047"/>
    <s v="DECODER HD THDC4 NET"/>
    <x v="0"/>
    <n v="100"/>
    <n v="1"/>
    <s v="Unidade"/>
    <s v="AGUARDANDO SEPARAÇÃO"/>
    <s v="RESERVAS EM ATRASO"/>
    <s v="NET MASSIVO"/>
    <x v="1"/>
  </r>
  <r>
    <x v="285"/>
    <s v="N190"/>
    <x v="7"/>
    <d v="2024-06-03T00:00:00"/>
    <s v="X51"/>
    <n v="41001294"/>
    <s v="EMTA WIFI 3.0 TC7337NET 16X4"/>
    <x v="0"/>
    <n v="50"/>
    <n v="1"/>
    <s v="Unidade"/>
    <s v="AGUARDANDO SEPARAÇÃO"/>
    <s v="RESERVAS EM ATRASO"/>
    <s v="NET MASSIVO"/>
    <x v="1"/>
  </r>
  <r>
    <x v="285"/>
    <s v="N190"/>
    <x v="7"/>
    <d v="2024-06-03T00:00:00"/>
    <s v="X51"/>
    <n v="41001484"/>
    <s v="DECODER 4K ULTRA HD DGCI363 COM IG"/>
    <x v="0"/>
    <n v="20"/>
    <n v="1"/>
    <s v="Unidade"/>
    <s v="AGUARDANDO SEPARAÇÃO"/>
    <s v="RESERVAS EM ATRASO"/>
    <s v="NET MASSIVO"/>
    <x v="1"/>
  </r>
  <r>
    <x v="285"/>
    <s v="N190"/>
    <x v="7"/>
    <d v="2024-06-03T00:00:00"/>
    <s v="X51"/>
    <n v="41001486"/>
    <s v="MODEM VOIP EMTA WIFI 3.1 CG3000"/>
    <x v="0"/>
    <n v="180"/>
    <n v="1"/>
    <s v="Unidade"/>
    <s v="AGUARDANDO SEPARAÇÃO"/>
    <s v="RESERVAS EM ATRASO"/>
    <s v="NET MASSIVO"/>
    <x v="1"/>
  </r>
  <r>
    <x v="286"/>
    <s v="N190"/>
    <x v="7"/>
    <d v="2024-06-03T00:00:00"/>
    <s v="X51"/>
    <n v="41001486"/>
    <s v="MODEM VOIP EMTA WIFI 3.1 CG3000"/>
    <x v="0"/>
    <n v="30"/>
    <n v="1"/>
    <s v="Unidade"/>
    <s v="EM CONFERENCIA"/>
    <s v="RESERVAS EM ATRASO"/>
    <s v="NET MASSIVO"/>
    <x v="1"/>
  </r>
  <r>
    <x v="286"/>
    <s v="N190"/>
    <x v="11"/>
    <d v="2024-06-03T00:00:00"/>
    <s v="X51"/>
    <n v="41001528"/>
    <s v="DECODER CARDLESS 4K UHD S4KCW3 CABO E IP"/>
    <x v="0"/>
    <n v="20"/>
    <n v="1"/>
    <s v="Unidade"/>
    <s v="EM CONFERENCIA"/>
    <s v="RESERVAS EM ATRASO"/>
    <s v="NET MASSIVO"/>
    <x v="1"/>
  </r>
  <r>
    <x v="287"/>
    <s v="N190"/>
    <x v="7"/>
    <d v="2024-06-03T00:00:00"/>
    <s v="X51"/>
    <n v="41000805"/>
    <s v="SMART CARD AVULSO SIM CARD"/>
    <x v="0"/>
    <n v="170"/>
    <n v="1"/>
    <s v="Unidade"/>
    <s v="EM CONFERENCIA"/>
    <s v="RESERVAS EM ATRASO"/>
    <s v="NET MASSIVO"/>
    <x v="1"/>
  </r>
  <r>
    <x v="287"/>
    <s v="N190"/>
    <x v="7"/>
    <d v="2024-06-03T00:00:00"/>
    <s v="X51"/>
    <n v="41001047"/>
    <s v="DECODER HD THDC4 NET"/>
    <x v="0"/>
    <n v="170"/>
    <n v="1"/>
    <s v="Unidade"/>
    <s v="EM CONFERENCIA"/>
    <s v="RESERVAS EM ATRASO"/>
    <s v="NET MASSIVO"/>
    <x v="1"/>
  </r>
  <r>
    <x v="287"/>
    <s v="N190"/>
    <x v="7"/>
    <d v="2024-06-03T00:00:00"/>
    <s v="X51"/>
    <n v="41001486"/>
    <s v="MODEM VOIP EMTA WIFI 3.1 CG3000"/>
    <x v="0"/>
    <n v="150"/>
    <n v="1"/>
    <s v="Unidade"/>
    <s v="EM CONFERENCIA"/>
    <s v="RESERVAS EM ATRASO"/>
    <s v="NET MASSIVO"/>
    <x v="1"/>
  </r>
  <r>
    <x v="288"/>
    <s v="N190"/>
    <x v="7"/>
    <d v="2024-06-03T00:00:00"/>
    <s v="X51"/>
    <n v="41000805"/>
    <s v="SMART CARD AVULSO SIM CARD"/>
    <x v="0"/>
    <n v="80"/>
    <n v="1"/>
    <s v="Unidade"/>
    <s v="AGUARDANDO SEPARAÇÃO"/>
    <s v="RESERVAS EM ATRASO"/>
    <s v="NET MASSIVO"/>
    <x v="1"/>
  </r>
  <r>
    <x v="288"/>
    <s v="N190"/>
    <x v="7"/>
    <d v="2024-06-03T00:00:00"/>
    <s v="X51"/>
    <n v="41001047"/>
    <s v="DECODER HD THDC4 NET"/>
    <x v="0"/>
    <n v="80"/>
    <n v="1"/>
    <s v="Unidade"/>
    <s v="AGUARDANDO SEPARAÇÃO"/>
    <s v="RESERVAS EM ATRASO"/>
    <s v="NET MASSIVO"/>
    <x v="1"/>
  </r>
  <r>
    <x v="288"/>
    <s v="N190"/>
    <x v="10"/>
    <d v="2024-06-03T00:00:00"/>
    <s v="X51"/>
    <n v="41001169"/>
    <s v="CAMERA IV ADC522 ALARM COM INT"/>
    <x v="0"/>
    <n v="10"/>
    <n v="1"/>
    <s v="Unidade"/>
    <s v="AGUARDANDO SEPARAÇÃO"/>
    <s v="RESERVAS EM ATRASO"/>
    <s v="NET MASSIVO"/>
    <x v="1"/>
  </r>
  <r>
    <x v="288"/>
    <s v="N190"/>
    <x v="7"/>
    <d v="2024-06-03T00:00:00"/>
    <s v="X51"/>
    <n v="41001486"/>
    <s v="MODEM VOIP EMTA WIFI 3.1 CG3000"/>
    <x v="0"/>
    <n v="230"/>
    <n v="1"/>
    <s v="Unidade"/>
    <s v="AGUARDANDO SEPARAÇÃO"/>
    <s v="RESERVAS EM ATRASO"/>
    <s v="NET MASSIVO"/>
    <x v="1"/>
  </r>
  <r>
    <x v="289"/>
    <s v="N190"/>
    <x v="7"/>
    <d v="2024-06-04T00:00:00"/>
    <s v="X33"/>
    <n v="22057438"/>
    <s v="FILTRO PASSA ALTA 54MHZ-1GHZ"/>
    <x v="0"/>
    <n v="100"/>
    <n v="1"/>
    <s v="Unidade"/>
    <s v="EM RESSUPRIMENTO"/>
    <s v="RESERVAS EM ATRASO"/>
    <s v="NET MASSIVO"/>
    <x v="1"/>
  </r>
  <r>
    <x v="290"/>
    <s v="N190"/>
    <x v="10"/>
    <d v="2024-06-04T00:00:00"/>
    <n v="201"/>
    <n v="254651"/>
    <s v="CONECTOR 5/8 CP110"/>
    <x v="0"/>
    <n v="300"/>
    <n v="1"/>
    <s v="Unidade"/>
    <s v="IMPORTADO"/>
    <s v="RESERVAS EM ATRASO"/>
    <s v="NET MASSIVO"/>
    <x v="1"/>
  </r>
  <r>
    <x v="290"/>
    <s v="N190"/>
    <x v="10"/>
    <d v="2024-06-04T00:00:00"/>
    <n v="201"/>
    <n v="251879"/>
    <s v="FIO ESPINAR ISOLADO SAE1020 FEI-125"/>
    <x v="0"/>
    <n v="810"/>
    <n v="1"/>
    <s v="Unidade"/>
    <s v="IMPORTADO"/>
    <s v="RESERVAS EM ATRASO"/>
    <s v="NET MASSIVO"/>
    <x v="1"/>
  </r>
  <r>
    <x v="291"/>
    <s v="N190"/>
    <x v="10"/>
    <d v="2024-06-04T00:00:00"/>
    <n v="201"/>
    <n v="254379"/>
    <s v="CAIXA EMENDA AZUL FOSC100 BM 24F 4SAIDAS"/>
    <x v="0"/>
    <n v="12"/>
    <n v="1"/>
    <s v="Unidade"/>
    <s v="EM RESSUPRIMENTO"/>
    <s v="RESERVAS EM ATRASO"/>
    <s v="NET MASSIVO"/>
    <x v="1"/>
  </r>
  <r>
    <x v="292"/>
    <s v="N190"/>
    <x v="10"/>
    <d v="2024-06-04T00:00:00"/>
    <n v="221"/>
    <n v="22059033"/>
    <s v="CORDAO OPTICO SM SPLX SC APC LC PC 2M"/>
    <x v="0"/>
    <n v="39"/>
    <n v="1"/>
    <s v="Unidade"/>
    <s v="IMPORTADO COM SUCESSO"/>
    <s v="RESERVAS EM ATRASO"/>
    <s v="NET MASSIVO"/>
    <x v="1"/>
  </r>
  <r>
    <x v="293"/>
    <s v="N190"/>
    <x v="10"/>
    <d v="2024-06-04T00:00:00"/>
    <n v="201"/>
    <n v="254513"/>
    <s v="CAIXA NAP CTO CORDOALHA 16 SAIDAS SEM K7"/>
    <x v="0"/>
    <n v="2"/>
    <n v="1"/>
    <s v="Unidade"/>
    <s v="EM RESSUPRIMENTO"/>
    <s v="RESERVAS EM ATRASO"/>
    <s v="NET MASSIVO"/>
    <x v="1"/>
  </r>
  <r>
    <x v="294"/>
    <s v="N190"/>
    <x v="10"/>
    <d v="2024-06-04T00:00:00"/>
    <n v="201"/>
    <n v="251887"/>
    <s v="TAMPA ARTIC. R2 FERRO NODULAR"/>
    <x v="0"/>
    <n v="4"/>
    <n v="1"/>
    <s v="Unidade"/>
    <s v="EM RESSUPRIMENTO"/>
    <s v="RESERVAS EM ATRASO"/>
    <s v="NET MASSIVO"/>
    <x v="1"/>
  </r>
  <r>
    <x v="294"/>
    <s v="N190"/>
    <x v="10"/>
    <d v="2024-06-04T00:00:00"/>
    <n v="201"/>
    <n v="254651"/>
    <s v="CONECTOR 5/8 CP110"/>
    <x v="0"/>
    <n v="50"/>
    <n v="1"/>
    <s v="Unidade"/>
    <s v="EM RESSUPRIMENTO"/>
    <s v="RESERVAS EM ATRASO"/>
    <s v="NET MASSIVO"/>
    <x v="1"/>
  </r>
  <r>
    <x v="294"/>
    <s v="N190"/>
    <x v="10"/>
    <d v="2024-06-04T00:00:00"/>
    <n v="201"/>
    <n v="251879"/>
    <s v="FIO ESPINAR ISOLADO SAE1020 FEI-125"/>
    <x v="0"/>
    <n v="500"/>
    <n v="1"/>
    <s v="Unidade"/>
    <s v="EM RESSUPRIMENTO"/>
    <s v="RESERVAS EM ATRASO"/>
    <s v="NET MASSIVO"/>
    <x v="1"/>
  </r>
  <r>
    <x v="295"/>
    <s v="N190"/>
    <x v="11"/>
    <d v="2024-06-04T00:00:00"/>
    <s v="X41"/>
    <n v="41001530"/>
    <s v="DECODER 4K UHD IP S4KW3 LINUX VAS COM"/>
    <x v="0"/>
    <n v="100"/>
    <n v="1"/>
    <s v="Unidade"/>
    <s v="IMPORTADO"/>
    <s v="RESERVAS EM ATRASO"/>
    <s v="NET MASSIVO"/>
    <x v="1"/>
  </r>
  <r>
    <x v="296"/>
    <s v="N190"/>
    <x v="11"/>
    <d v="2024-06-04T00:00:00"/>
    <s v="X41"/>
    <n v="41001530"/>
    <s v="DECODER 4K UHD IP S4KW3 LINUX VAS COM"/>
    <x v="0"/>
    <n v="120"/>
    <n v="1"/>
    <s v="Unidade"/>
    <s v="AGUARDANDO SEPARAÇÃO"/>
    <s v="RESERVAS EM ATRASO"/>
    <s v="NET MASSIVO"/>
    <x v="1"/>
  </r>
  <r>
    <x v="297"/>
    <s v="N190"/>
    <x v="10"/>
    <d v="2024-06-04T00:00:00"/>
    <s v="X43"/>
    <n v="22026219"/>
    <s v="CABO COAXIAL RG6 TRISH SEM MENSAG BRANCO"/>
    <x v="0"/>
    <n v="3400"/>
    <n v="1"/>
    <s v="Unidade"/>
    <s v="EM RESSUPRIMENTO"/>
    <s v="RESERVAS EM ATRASO"/>
    <s v="NET MASSIVO"/>
    <x v="1"/>
  </r>
  <r>
    <x v="297"/>
    <s v="N190"/>
    <x v="7"/>
    <d v="2024-06-04T00:00:00"/>
    <s v="X43"/>
    <n v="22026279"/>
    <s v="FONTE CX DIG HD DCR74X1 PACE"/>
    <x v="0"/>
    <n v="90"/>
    <n v="1"/>
    <s v="Unidade"/>
    <s v="EM RESSUPRIMENTO"/>
    <s v="RESERVAS EM ATRASO"/>
    <s v="NET MASSIVO"/>
    <x v="1"/>
  </r>
  <r>
    <x v="297"/>
    <s v="N190"/>
    <x v="10"/>
    <d v="2024-06-04T00:00:00"/>
    <s v="X43"/>
    <n v="22026746"/>
    <s v="DC_RI 1S 09DB 1GHZ H SOLDADO"/>
    <x v="0"/>
    <n v="50"/>
    <n v="1"/>
    <s v="Unidade"/>
    <s v="EM RESSUPRIMENTO"/>
    <s v="RESERVAS EM ATRASO"/>
    <s v="NET MASSIVO"/>
    <x v="1"/>
  </r>
  <r>
    <x v="297"/>
    <s v="N190"/>
    <x v="10"/>
    <d v="2024-06-04T00:00:00"/>
    <s v="X43"/>
    <n v="22056331"/>
    <s v="MARCADOR CASA PTO NR 5"/>
    <x v="0"/>
    <n v="200"/>
    <n v="1"/>
    <s v="Unidade"/>
    <s v="EM RESSUPRIMENTO"/>
    <s v="RESERVAS EM ATRASO"/>
    <s v="NET MASSIVO"/>
    <x v="1"/>
  </r>
  <r>
    <x v="297"/>
    <s v="N190"/>
    <x v="7"/>
    <d v="2024-06-04T00:00:00"/>
    <s v="X43"/>
    <n v="22056339"/>
    <s v="MARCADOR CASA PTO NR 9"/>
    <x v="0"/>
    <n v="200"/>
    <n v="1"/>
    <s v="Unidade"/>
    <s v="EM RESSUPRIMENTO"/>
    <s v="RESERVAS EM ATRASO"/>
    <s v="NET MASSIVO"/>
    <x v="1"/>
  </r>
  <r>
    <x v="297"/>
    <s v="N190"/>
    <x v="10"/>
    <d v="2024-06-04T00:00:00"/>
    <s v="X43"/>
    <n v="22056343"/>
    <s v="MARCADOR CASA PTO NR 1"/>
    <x v="0"/>
    <n v="200"/>
    <n v="1"/>
    <s v="Unidade"/>
    <s v="EM RESSUPRIMENTO"/>
    <s v="RESERVAS EM ATRASO"/>
    <s v="NET MASSIVO"/>
    <x v="1"/>
  </r>
  <r>
    <x v="297"/>
    <s v="N190"/>
    <x v="10"/>
    <d v="2024-06-04T00:00:00"/>
    <s v="X43"/>
    <n v="22056344"/>
    <s v="MARCADOR CASA PTO NR 2"/>
    <x v="0"/>
    <n v="200"/>
    <n v="1"/>
    <s v="Unidade"/>
    <s v="EM RESSUPRIMENTO"/>
    <s v="RESERVAS EM ATRASO"/>
    <s v="NET MASSIVO"/>
    <x v="1"/>
  </r>
  <r>
    <x v="297"/>
    <s v="N190"/>
    <x v="10"/>
    <d v="2024-06-04T00:00:00"/>
    <s v="X43"/>
    <n v="22056364"/>
    <s v="MINI ISOLADOR CPE P/CM DECODER"/>
    <x v="0"/>
    <n v="270"/>
    <n v="1"/>
    <s v="Unidade"/>
    <s v="EM RESSUPRIMENTO"/>
    <s v="RESERVAS EM ATRASO"/>
    <s v="NET MASSIVO"/>
    <x v="1"/>
  </r>
  <r>
    <x v="297"/>
    <s v="N190"/>
    <x v="10"/>
    <d v="2024-06-04T00:00:00"/>
    <s v="X43"/>
    <n v="22056365"/>
    <s v="PROTETOR P/MINI ISOLADOR - ACRE1568"/>
    <x v="0"/>
    <n v="240"/>
    <n v="1"/>
    <s v="Unidade"/>
    <s v="EM RESSUPRIMENTO"/>
    <s v="RESERVAS EM ATRASO"/>
    <s v="NET MASSIVO"/>
    <x v="1"/>
  </r>
  <r>
    <x v="297"/>
    <s v="N190"/>
    <x v="10"/>
    <d v="2024-06-04T00:00:00"/>
    <s v="X43"/>
    <n v="22057620"/>
    <s v="CONECTOR FO CAMPO FAST SC/APC"/>
    <x v="0"/>
    <n v="400"/>
    <n v="1"/>
    <s v="Unidade"/>
    <s v="EM RESSUPRIMENTO"/>
    <s v="RESERVAS EM ATRASO"/>
    <s v="NET MASSIVO"/>
    <x v="1"/>
  </r>
  <r>
    <x v="297"/>
    <s v="N190"/>
    <x v="10"/>
    <d v="2024-06-04T00:00:00"/>
    <s v="X43"/>
    <n v="22060422"/>
    <s v="CONTROLE REMOTO UNIFICADO RC4194202 01B"/>
    <x v="0"/>
    <n v="90"/>
    <n v="1"/>
    <s v="Unidade"/>
    <s v="EM RESSUPRIMENTO"/>
    <s v="RESERVAS EM ATRASO"/>
    <s v="NET MASSIVO"/>
    <x v="1"/>
  </r>
  <r>
    <x v="297"/>
    <s v="N190"/>
    <x v="10"/>
    <d v="2024-06-04T00:00:00"/>
    <s v="X43"/>
    <n v="22060738"/>
    <s v="FIXADOR FIO BR RG6 CIRCUL 7MM"/>
    <x v="0"/>
    <n v="1900"/>
    <n v="1"/>
    <s v="Unidade"/>
    <s v="EM RESSUPRIMENTO"/>
    <s v="RESERVAS EM ATRASO"/>
    <s v="NET MASSIVO"/>
    <x v="1"/>
  </r>
  <r>
    <x v="297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297"/>
    <s v="N190"/>
    <x v="10"/>
    <d v="2024-06-04T00:00:00"/>
    <s v="X43"/>
    <n v="22065722"/>
    <s v="MARCADOR CASA PRETO NR 4"/>
    <x v="0"/>
    <n v="200"/>
    <n v="1"/>
    <s v="Unidade"/>
    <s v="EM RESSUPRIMENTO"/>
    <s v="RESERVAS EM ATRASO"/>
    <s v="NET MASSIVO"/>
    <x v="1"/>
  </r>
  <r>
    <x v="298"/>
    <s v="N190"/>
    <x v="7"/>
    <d v="2024-06-04T00:00:00"/>
    <s v="X41"/>
    <n v="41001234"/>
    <s v="SMART CARD AVULSO PRETO NOVO"/>
    <x v="0"/>
    <n v="90"/>
    <n v="1"/>
    <s v="Unidade"/>
    <s v="EM RESSUPRIMENTO"/>
    <s v="RESERVAS EM ATRASO"/>
    <s v="NET MASSIVO"/>
    <x v="1"/>
  </r>
  <r>
    <x v="298"/>
    <s v="N190"/>
    <x v="7"/>
    <d v="2024-06-04T00:00:00"/>
    <s v="X41"/>
    <n v="41001276"/>
    <s v="DECODER HD HNB100 2T"/>
    <x v="0"/>
    <n v="90"/>
    <n v="1"/>
    <s v="Unidade"/>
    <s v="EM RESSUPRIMENTO"/>
    <s v="RESERVAS EM ATRASO"/>
    <s v="NET MASSIVO"/>
    <x v="1"/>
  </r>
  <r>
    <x v="298"/>
    <s v="N190"/>
    <x v="10"/>
    <d v="2024-06-04T00:00:00"/>
    <s v="X41"/>
    <n v="41001590"/>
    <s v="TERMINAL GPON ONT WIFI6 F6600P"/>
    <x v="0"/>
    <n v="70"/>
    <n v="1"/>
    <s v="Unidade"/>
    <s v="EM RESSUPRIMENTO"/>
    <s v="RESERVAS EM ATRASO"/>
    <s v="NET MASSIVO"/>
    <x v="1"/>
  </r>
  <r>
    <x v="299"/>
    <s v="N190"/>
    <x v="7"/>
    <d v="2024-06-04T00:00:00"/>
    <s v="X43"/>
    <n v="22026279"/>
    <s v="FONTE CX DIG HD DCR74X1 PACE"/>
    <x v="0"/>
    <n v="120"/>
    <n v="1"/>
    <s v="Unidade"/>
    <s v="EM RESSUPRIMENTO"/>
    <s v="RESERVAS EM ATRASO"/>
    <s v="NET MASSIVO"/>
    <x v="1"/>
  </r>
  <r>
    <x v="299"/>
    <s v="N190"/>
    <x v="7"/>
    <d v="2024-06-04T00:00:00"/>
    <s v="X43"/>
    <n v="22026293"/>
    <s v="FONTE EMTA WIFI 3.0 TG1692A 16"/>
    <x v="0"/>
    <n v="160"/>
    <n v="1"/>
    <s v="Unidade"/>
    <s v="EM RESSUPRIMENTO"/>
    <s v="RESERVAS EM ATRASO"/>
    <s v="NET MASSIVO"/>
    <x v="1"/>
  </r>
  <r>
    <x v="299"/>
    <s v="N190"/>
    <x v="10"/>
    <d v="2024-06-04T00:00:00"/>
    <s v="X43"/>
    <n v="22060422"/>
    <s v="CONTROLE REMOTO UNIFICADO RC4194202 01B"/>
    <x v="0"/>
    <n v="120"/>
    <n v="1"/>
    <s v="Unidade"/>
    <s v="EM RESSUPRIMENTO"/>
    <s v="RESERVAS EM ATRASO"/>
    <s v="NET MASSIVO"/>
    <x v="1"/>
  </r>
  <r>
    <x v="300"/>
    <s v="N190"/>
    <x v="7"/>
    <d v="2024-06-04T00:00:00"/>
    <s v="X41"/>
    <n v="41001234"/>
    <s v="SMART CARD AVULSO PRETO NOVO"/>
    <x v="0"/>
    <n v="120"/>
    <n v="1"/>
    <s v="Unidade"/>
    <s v="EM RESSUPRIMENTO"/>
    <s v="RESERVAS EM ATRASO"/>
    <s v="NET MASSIVO"/>
    <x v="1"/>
  </r>
  <r>
    <x v="300"/>
    <s v="N190"/>
    <x v="7"/>
    <d v="2024-06-04T00:00:00"/>
    <s v="X41"/>
    <n v="41001276"/>
    <s v="DECODER HD HNB100 2T"/>
    <x v="0"/>
    <n v="120"/>
    <n v="1"/>
    <s v="Unidade"/>
    <s v="EM RESSUPRIMENTO"/>
    <s v="RESERVAS EM ATRASO"/>
    <s v="NET MASSIVO"/>
    <x v="1"/>
  </r>
  <r>
    <x v="300"/>
    <s v="N190"/>
    <x v="7"/>
    <d v="2024-06-04T00:00:00"/>
    <s v="X41"/>
    <n v="41001292"/>
    <s v="EMTA WIFI 3.0 HGB10R-02 16X4"/>
    <x v="0"/>
    <n v="160"/>
    <n v="1"/>
    <s v="Unidade"/>
    <s v="EM RESSUPRIMENTO"/>
    <s v="RESERVAS EM ATRASO"/>
    <s v="NET MASSIVO"/>
    <x v="1"/>
  </r>
  <r>
    <x v="300"/>
    <s v="N190"/>
    <x v="10"/>
    <d v="2024-06-04T00:00:00"/>
    <s v="X41"/>
    <n v="41001590"/>
    <s v="TERMINAL GPON ONT WIFI6 F6600P"/>
    <x v="0"/>
    <n v="260"/>
    <n v="1"/>
    <s v="Unidade"/>
    <s v="EM RESSUPRIMENTO"/>
    <s v="RESERVAS EM ATRASO"/>
    <s v="NET MASSIVO"/>
    <x v="1"/>
  </r>
  <r>
    <x v="301"/>
    <s v="N190"/>
    <x v="7"/>
    <d v="2024-06-04T00:00:00"/>
    <s v="X43"/>
    <n v="22026279"/>
    <s v="FONTE CX DIG HD DCR74X1 PACE"/>
    <x v="0"/>
    <n v="250"/>
    <n v="1"/>
    <s v="Unidade"/>
    <s v="EM RESSUPRIMENTO"/>
    <s v="RESERVAS EM ATRASO"/>
    <s v="NET MASSIVO"/>
    <x v="1"/>
  </r>
  <r>
    <x v="301"/>
    <s v="N190"/>
    <x v="10"/>
    <d v="2024-06-04T00:00:00"/>
    <s v="X43"/>
    <n v="22060422"/>
    <s v="CONTROLE REMOTO UNIFICADO RC4194202 01B"/>
    <x v="0"/>
    <n v="250"/>
    <n v="1"/>
    <s v="Unidade"/>
    <s v="EM RESSUPRIMENTO"/>
    <s v="RESERVAS EM ATRASO"/>
    <s v="NET MASSIVO"/>
    <x v="1"/>
  </r>
  <r>
    <x v="302"/>
    <s v="N190"/>
    <x v="7"/>
    <d v="2024-06-04T00:00:00"/>
    <s v="X41"/>
    <n v="41001234"/>
    <s v="SMART CARD AVULSO PRETO NOVO"/>
    <x v="0"/>
    <n v="250"/>
    <n v="1"/>
    <s v="Unidade"/>
    <s v="EM RESSUPRIMENTO"/>
    <s v="RESERVAS EM ATRASO"/>
    <s v="NET MASSIVO"/>
    <x v="1"/>
  </r>
  <r>
    <x v="302"/>
    <s v="N190"/>
    <x v="7"/>
    <d v="2024-06-04T00:00:00"/>
    <s v="X41"/>
    <n v="41001276"/>
    <s v="DECODER HD HNB100 2T"/>
    <x v="0"/>
    <n v="250"/>
    <n v="1"/>
    <s v="Unidade"/>
    <s v="EM RESSUPRIMENTO"/>
    <s v="RESERVAS EM ATRASO"/>
    <s v="NET MASSIVO"/>
    <x v="1"/>
  </r>
  <r>
    <x v="302"/>
    <s v="N190"/>
    <x v="10"/>
    <d v="2024-06-04T00:00:00"/>
    <s v="X41"/>
    <n v="41001567"/>
    <s v="TERMINAL EXTENSOR WIFI5 MESH AR2180T"/>
    <x v="0"/>
    <n v="40"/>
    <n v="1"/>
    <s v="Unidade"/>
    <s v="EM RESSUPRIMENTO"/>
    <s v="RESERVAS EM ATRASO"/>
    <s v="NET MASSIVO"/>
    <x v="1"/>
  </r>
  <r>
    <x v="302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02"/>
    <s v="N190"/>
    <x v="10"/>
    <d v="2024-06-04T00:00:00"/>
    <s v="X41"/>
    <n v="41001590"/>
    <s v="TERMINAL GPON ONT WIFI6 F6600P"/>
    <x v="0"/>
    <n v="30"/>
    <n v="1"/>
    <s v="Unidade"/>
    <s v="EM RESSUPRIMENTO"/>
    <s v="RESERVAS EM ATRASO"/>
    <s v="NET MASSIVO"/>
    <x v="1"/>
  </r>
  <r>
    <x v="303"/>
    <s v="N190"/>
    <x v="7"/>
    <d v="2024-06-04T00:00:00"/>
    <s v="X43"/>
    <n v="22026293"/>
    <s v="FONTE EMTA WIFI 3.0 TG1692A 16"/>
    <x v="0"/>
    <n v="230"/>
    <n v="1"/>
    <s v="Unidade"/>
    <s v="EM RESSUPRIMENTO"/>
    <s v="RESERVAS EM ATRASO"/>
    <s v="NET MASSIVO"/>
    <x v="1"/>
  </r>
  <r>
    <x v="303"/>
    <s v="N190"/>
    <x v="7"/>
    <d v="2024-06-04T00:00:00"/>
    <s v="X43"/>
    <n v="22026297"/>
    <s v="FONTE ALIM AC/DC 12V 1,5A"/>
    <x v="0"/>
    <n v="120"/>
    <n v="1"/>
    <s v="Unidade"/>
    <s v="EM RESSUPRIMENTO"/>
    <s v="RESERVAS EM ATRASO"/>
    <s v="NET MASSIVO"/>
    <x v="1"/>
  </r>
  <r>
    <x v="303"/>
    <s v="N190"/>
    <x v="10"/>
    <d v="2024-06-04T00:00:00"/>
    <s v="X43"/>
    <n v="22060422"/>
    <s v="CONTROLE REMOTO UNIFICADO RC4194202 01B"/>
    <x v="0"/>
    <n v="120"/>
    <n v="1"/>
    <s v="Unidade"/>
    <s v="EM RESSUPRIMENTO"/>
    <s v="RESERVAS EM ATRASO"/>
    <s v="NET MASSIVO"/>
    <x v="1"/>
  </r>
  <r>
    <x v="304"/>
    <s v="N190"/>
    <x v="7"/>
    <d v="2024-06-04T00:00:00"/>
    <s v="X41"/>
    <n v="41001234"/>
    <s v="SMART CARD AVULSO PRETO NOVO"/>
    <x v="0"/>
    <n v="120"/>
    <n v="1"/>
    <s v="Unidade"/>
    <s v="EM RESSUPRIMENTO"/>
    <s v="RESERVAS EM ATRASO"/>
    <s v="NET MASSIVO"/>
    <x v="1"/>
  </r>
  <r>
    <x v="304"/>
    <s v="N190"/>
    <x v="7"/>
    <d v="2024-06-04T00:00:00"/>
    <s v="X41"/>
    <n v="41001275"/>
    <s v="DECODER HD DCI738 2T"/>
    <x v="0"/>
    <n v="120"/>
    <n v="1"/>
    <s v="Unidade"/>
    <s v="EM RESSUPRIMENTO"/>
    <s v="RESERVAS EM ATRASO"/>
    <s v="NET MASSIVO"/>
    <x v="1"/>
  </r>
  <r>
    <x v="304"/>
    <s v="N190"/>
    <x v="7"/>
    <d v="2024-06-04T00:00:00"/>
    <s v="X41"/>
    <n v="41001292"/>
    <s v="EMTA WIFI 3.0 HGB10R-02 16X4"/>
    <x v="0"/>
    <n v="230"/>
    <n v="1"/>
    <s v="Unidade"/>
    <s v="EM RESSUPRIMENTO"/>
    <s v="RESERVAS EM ATRASO"/>
    <s v="NET MASSIVO"/>
    <x v="1"/>
  </r>
  <r>
    <x v="304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05"/>
    <s v="N190"/>
    <x v="7"/>
    <d v="2024-06-04T00:00:00"/>
    <s v="X43"/>
    <n v="22026293"/>
    <s v="FONTE EMTA WIFI 3.0 TG1692A 16"/>
    <x v="0"/>
    <n v="140"/>
    <n v="1"/>
    <s v="Unidade"/>
    <s v="EM RESSUPRIMENTO"/>
    <s v="RESERVAS EM ATRASO"/>
    <s v="NET MASSIVO"/>
    <x v="1"/>
  </r>
  <r>
    <x v="305"/>
    <s v="N190"/>
    <x v="7"/>
    <d v="2024-06-04T00:00:00"/>
    <s v="X43"/>
    <n v="22026297"/>
    <s v="FONTE ALIM AC/DC 12V 1,5A"/>
    <x v="0"/>
    <n v="670"/>
    <n v="1"/>
    <s v="Unidade"/>
    <s v="EM RESSUPRIMENTO"/>
    <s v="RESERVAS EM ATRASO"/>
    <s v="NET MASSIVO"/>
    <x v="1"/>
  </r>
  <r>
    <x v="305"/>
    <s v="N190"/>
    <x v="10"/>
    <d v="2024-06-04T00:00:00"/>
    <s v="X43"/>
    <n v="22060422"/>
    <s v="CONTROLE REMOTO UNIFICADO RC4194202 01B"/>
    <x v="0"/>
    <n v="670"/>
    <n v="1"/>
    <s v="Unidade"/>
    <s v="EM RESSUPRIMENTO"/>
    <s v="RESERVAS EM ATRASO"/>
    <s v="NET MASSIVO"/>
    <x v="1"/>
  </r>
  <r>
    <x v="306"/>
    <s v="N190"/>
    <x v="7"/>
    <d v="2024-06-04T00:00:00"/>
    <s v="X41"/>
    <n v="41001234"/>
    <s v="SMART CARD AVULSO PRETO NOVO"/>
    <x v="0"/>
    <n v="670"/>
    <n v="1"/>
    <s v="Unidade"/>
    <s v="IMPORTADO"/>
    <s v="RESERVAS EM ATRASO"/>
    <s v="NET MASSIVO"/>
    <x v="1"/>
  </r>
  <r>
    <x v="306"/>
    <s v="N190"/>
    <x v="7"/>
    <d v="2024-06-04T00:00:00"/>
    <s v="X41"/>
    <n v="41001275"/>
    <s v="DECODER HD DCI738 2T"/>
    <x v="0"/>
    <n v="670"/>
    <n v="1"/>
    <s v="Unidade"/>
    <s v="IMPORTADO"/>
    <s v="RESERVAS EM ATRASO"/>
    <s v="NET MASSIVO"/>
    <x v="1"/>
  </r>
  <r>
    <x v="306"/>
    <s v="N190"/>
    <x v="7"/>
    <d v="2024-06-04T00:00:00"/>
    <s v="X41"/>
    <n v="41001292"/>
    <s v="EMTA WIFI 3.0 HGB10R-02 16X4"/>
    <x v="0"/>
    <n v="140"/>
    <n v="1"/>
    <s v="Unidade"/>
    <s v="IMPORTADO"/>
    <s v="RESERVAS EM ATRASO"/>
    <s v="NET MASSIVO"/>
    <x v="1"/>
  </r>
  <r>
    <x v="307"/>
    <s v="N190"/>
    <x v="7"/>
    <d v="2024-06-04T00:00:00"/>
    <s v="X43"/>
    <n v="22026293"/>
    <s v="FONTE EMTA WIFI 3.0 TG1692A 16"/>
    <x v="0"/>
    <n v="40"/>
    <n v="1"/>
    <s v="Unidade"/>
    <s v="EM RESSUPRIMENTO"/>
    <s v="RESERVAS EM ATRASO"/>
    <s v="NET MASSIVO"/>
    <x v="1"/>
  </r>
  <r>
    <x v="308"/>
    <s v="N190"/>
    <x v="7"/>
    <d v="2024-06-04T00:00:00"/>
    <s v="X41"/>
    <n v="41001292"/>
    <s v="EMTA WIFI 3.0 HGB10R-02 16X4"/>
    <x v="0"/>
    <n v="40"/>
    <n v="1"/>
    <s v="Unidade"/>
    <s v="EM RESSUPRIMENTO"/>
    <s v="RESERVAS EM ATRASO"/>
    <s v="NET MASSIVO"/>
    <x v="1"/>
  </r>
  <r>
    <x v="308"/>
    <s v="N190"/>
    <x v="10"/>
    <d v="2024-06-04T00:00:00"/>
    <s v="X41"/>
    <n v="41001567"/>
    <s v="TERMINAL EXTENSOR WIFI5 MESH AR2180T"/>
    <x v="0"/>
    <n v="20"/>
    <n v="1"/>
    <s v="Unidade"/>
    <s v="EM RESSUPRIMENTO"/>
    <s v="RESERVAS EM ATRASO"/>
    <s v="NET MASSIVO"/>
    <x v="1"/>
  </r>
  <r>
    <x v="309"/>
    <s v="N190"/>
    <x v="7"/>
    <d v="2024-06-04T00:00:00"/>
    <s v="X43"/>
    <n v="22026279"/>
    <s v="FONTE CX DIG HD DCR74X1 PACE"/>
    <x v="0"/>
    <n v="20"/>
    <n v="1"/>
    <s v="Unidade"/>
    <s v="EM RESSUPRIMENTO"/>
    <s v="RESERVAS EM ATRASO"/>
    <s v="NET MASSIVO"/>
    <x v="1"/>
  </r>
  <r>
    <x v="309"/>
    <s v="N190"/>
    <x v="7"/>
    <d v="2024-06-04T00:00:00"/>
    <s v="X43"/>
    <n v="22026293"/>
    <s v="FONTE EMTA WIFI 3.0 TG1692A 16"/>
    <x v="0"/>
    <n v="20"/>
    <n v="1"/>
    <s v="Unidade"/>
    <s v="EM RESSUPRIMENTO"/>
    <s v="RESERVAS EM ATRASO"/>
    <s v="NET MASSIVO"/>
    <x v="1"/>
  </r>
  <r>
    <x v="309"/>
    <s v="N190"/>
    <x v="10"/>
    <d v="2024-06-04T00:00:00"/>
    <s v="X43"/>
    <n v="22060422"/>
    <s v="CONTROLE REMOTO UNIFICADO RC4194202 01B"/>
    <x v="0"/>
    <n v="20"/>
    <n v="1"/>
    <s v="Unidade"/>
    <s v="EM RESSUPRIMENTO"/>
    <s v="RESERVAS EM ATRASO"/>
    <s v="NET MASSIVO"/>
    <x v="1"/>
  </r>
  <r>
    <x v="310"/>
    <s v="N190"/>
    <x v="7"/>
    <d v="2024-06-04T00:00:00"/>
    <s v="X41"/>
    <n v="41001234"/>
    <s v="SMART CARD AVULSO PRETO NOVO"/>
    <x v="0"/>
    <n v="20"/>
    <n v="1"/>
    <s v="Unidade"/>
    <s v="IMPORTADO"/>
    <s v="RESERVAS EM ATRASO"/>
    <s v="NET MASSIVO"/>
    <x v="1"/>
  </r>
  <r>
    <x v="310"/>
    <s v="N190"/>
    <x v="7"/>
    <d v="2024-06-04T00:00:00"/>
    <s v="X41"/>
    <n v="41001276"/>
    <s v="DECODER HD HNB100 2T"/>
    <x v="0"/>
    <n v="20"/>
    <n v="1"/>
    <s v="Unidade"/>
    <s v="IMPORTADO"/>
    <s v="RESERVAS EM ATRASO"/>
    <s v="NET MASSIVO"/>
    <x v="1"/>
  </r>
  <r>
    <x v="310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11"/>
    <s v="N190"/>
    <x v="7"/>
    <d v="2024-06-04T00:00:00"/>
    <s v="X43"/>
    <n v="22026279"/>
    <s v="FONTE CX DIG HD DCR74X1 PACE"/>
    <x v="0"/>
    <n v="30"/>
    <n v="1"/>
    <s v="Unidade"/>
    <s v="EM RESSUPRIMENTO"/>
    <s v="RESERVAS EM ATRASO"/>
    <s v="NET MASSIVO"/>
    <x v="1"/>
  </r>
  <r>
    <x v="311"/>
    <s v="N190"/>
    <x v="7"/>
    <d v="2024-06-04T00:00:00"/>
    <s v="X43"/>
    <n v="22026293"/>
    <s v="FONTE EMTA WIFI 3.0 TG1692A 16"/>
    <x v="0"/>
    <n v="60"/>
    <n v="1"/>
    <s v="Unidade"/>
    <s v="EM RESSUPRIMENTO"/>
    <s v="RESERVAS EM ATRASO"/>
    <s v="NET MASSIVO"/>
    <x v="1"/>
  </r>
  <r>
    <x v="311"/>
    <s v="N190"/>
    <x v="10"/>
    <d v="2024-06-04T00:00:00"/>
    <s v="X43"/>
    <n v="22060422"/>
    <s v="CONTROLE REMOTO UNIFICADO RC4194202 01B"/>
    <x v="0"/>
    <n v="30"/>
    <n v="1"/>
    <s v="Unidade"/>
    <s v="EM RESSUPRIMENTO"/>
    <s v="RESERVAS EM ATRASO"/>
    <s v="NET MASSIVO"/>
    <x v="1"/>
  </r>
  <r>
    <x v="312"/>
    <s v="N190"/>
    <x v="7"/>
    <d v="2024-06-04T00:00:00"/>
    <s v="X41"/>
    <n v="41001234"/>
    <s v="SMART CARD AVULSO PRETO NOVO"/>
    <x v="0"/>
    <n v="30"/>
    <n v="1"/>
    <s v="Unidade"/>
    <s v="IMPORTADO"/>
    <s v="RESERVAS EM ATRASO"/>
    <s v="NET MASSIVO"/>
    <x v="1"/>
  </r>
  <r>
    <x v="312"/>
    <s v="N190"/>
    <x v="7"/>
    <d v="2024-06-04T00:00:00"/>
    <s v="X41"/>
    <n v="41001276"/>
    <s v="DECODER HD HNB100 2T"/>
    <x v="0"/>
    <n v="30"/>
    <n v="1"/>
    <s v="Unidade"/>
    <s v="IMPORTADO"/>
    <s v="RESERVAS EM ATRASO"/>
    <s v="NET MASSIVO"/>
    <x v="1"/>
  </r>
  <r>
    <x v="312"/>
    <s v="N190"/>
    <x v="7"/>
    <d v="2024-06-04T00:00:00"/>
    <s v="X41"/>
    <n v="41001292"/>
    <s v="EMTA WIFI 3.0 HGB10R-02 16X4"/>
    <x v="0"/>
    <n v="60"/>
    <n v="1"/>
    <s v="Unidade"/>
    <s v="IMPORTADO"/>
    <s v="RESERVAS EM ATRASO"/>
    <s v="NET MASSIVO"/>
    <x v="1"/>
  </r>
  <r>
    <x v="312"/>
    <s v="N190"/>
    <x v="10"/>
    <d v="2024-06-04T00:00:00"/>
    <s v="X41"/>
    <n v="41001590"/>
    <s v="TERMINAL GPON ONT WIFI6 F6600P"/>
    <x v="0"/>
    <n v="330"/>
    <n v="1"/>
    <s v="Unidade"/>
    <s v="IMPORTADO"/>
    <s v="RESERVAS EM ATRASO"/>
    <s v="NET MASSIVO"/>
    <x v="1"/>
  </r>
  <r>
    <x v="313"/>
    <s v="N190"/>
    <x v="7"/>
    <d v="2024-06-04T00:00:00"/>
    <s v="X43"/>
    <n v="22026103"/>
    <s v="CABO HDMI 2MTS BASICO SEM ETHE"/>
    <x v="0"/>
    <n v="20"/>
    <n v="1"/>
    <s v="Unidade"/>
    <s v="EM RESSUPRIMENTO"/>
    <s v="RESERVAS EM ATRASO"/>
    <s v="NET MASSIVO"/>
    <x v="1"/>
  </r>
  <r>
    <x v="313"/>
    <s v="N190"/>
    <x v="7"/>
    <d v="2024-06-04T00:00:00"/>
    <s v="X43"/>
    <n v="22026293"/>
    <s v="FONTE EMTA WIFI 3.0 TG1692A 16"/>
    <x v="0"/>
    <n v="250"/>
    <n v="1"/>
    <s v="Unidade"/>
    <s v="EM RESSUPRIMENTO"/>
    <s v="RESERVAS EM ATRASO"/>
    <s v="NET MASSIVO"/>
    <x v="1"/>
  </r>
  <r>
    <x v="313"/>
    <s v="N190"/>
    <x v="7"/>
    <d v="2024-06-04T00:00:00"/>
    <s v="X43"/>
    <n v="22026297"/>
    <s v="FONTE ALIM AC/DC 12V 1,5A"/>
    <x v="0"/>
    <n v="110"/>
    <n v="1"/>
    <s v="Unidade"/>
    <s v="EM RESSUPRIMENTO"/>
    <s v="RESERVAS EM ATRASO"/>
    <s v="NET MASSIVO"/>
    <x v="1"/>
  </r>
  <r>
    <x v="313"/>
    <s v="N190"/>
    <x v="7"/>
    <d v="2024-06-04T00:00:00"/>
    <s v="X43"/>
    <n v="22058639"/>
    <s v="FONTE ENERGIA MSA C2500IC12.0 30W"/>
    <x v="0"/>
    <n v="20"/>
    <n v="1"/>
    <s v="Unidade"/>
    <s v="EM RESSUPRIMENTO"/>
    <s v="RESERVAS EM ATRASO"/>
    <s v="NET MASSIVO"/>
    <x v="1"/>
  </r>
  <r>
    <x v="313"/>
    <s v="N190"/>
    <x v="10"/>
    <d v="2024-06-04T00:00:00"/>
    <s v="X43"/>
    <n v="22060422"/>
    <s v="CONTROLE REMOTO UNIFICADO RC4194202 01B"/>
    <x v="0"/>
    <n v="110"/>
    <n v="1"/>
    <s v="Unidade"/>
    <s v="EM RESSUPRIMENTO"/>
    <s v="RESERVAS EM ATRASO"/>
    <s v="NET MASSIVO"/>
    <x v="1"/>
  </r>
  <r>
    <x v="313"/>
    <s v="N190"/>
    <x v="10"/>
    <d v="2024-06-04T00:00:00"/>
    <s v="X43"/>
    <n v="22064554"/>
    <s v="CONTROLE REMOTO VOZ LINUX UEI AVULSO"/>
    <x v="0"/>
    <n v="20"/>
    <n v="1"/>
    <s v="Unidade"/>
    <s v="EM RESSUPRIMENTO"/>
    <s v="RESERVAS EM ATRASO"/>
    <s v="NET MASSIVO"/>
    <x v="1"/>
  </r>
  <r>
    <x v="314"/>
    <s v="N190"/>
    <x v="7"/>
    <d v="2024-06-04T00:00:00"/>
    <s v="X41"/>
    <n v="41000805"/>
    <s v="SMART CARD AVULSO SIM CARD"/>
    <x v="0"/>
    <n v="20"/>
    <n v="1"/>
    <s v="Unidade"/>
    <s v="IMPORTADO"/>
    <s v="RESERVAS EM ATRASO"/>
    <s v="NET MASSIVO"/>
    <x v="1"/>
  </r>
  <r>
    <x v="314"/>
    <s v="N190"/>
    <x v="7"/>
    <d v="2024-06-04T00:00:00"/>
    <s v="X41"/>
    <n v="41001068"/>
    <s v="DECODER 4K ULTRA HD DGCI362"/>
    <x v="0"/>
    <n v="20"/>
    <n v="1"/>
    <s v="Unidade"/>
    <s v="IMPORTADO"/>
    <s v="RESERVAS EM ATRASO"/>
    <s v="NET MASSIVO"/>
    <x v="1"/>
  </r>
  <r>
    <x v="314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14"/>
    <s v="N190"/>
    <x v="7"/>
    <d v="2024-06-04T00:00:00"/>
    <s v="X41"/>
    <n v="41001275"/>
    <s v="DECODER HD DCI738 2T"/>
    <x v="0"/>
    <n v="110"/>
    <n v="1"/>
    <s v="Unidade"/>
    <s v="IMPORTADO"/>
    <s v="RESERVAS EM ATRASO"/>
    <s v="NET MASSIVO"/>
    <x v="1"/>
  </r>
  <r>
    <x v="314"/>
    <s v="N190"/>
    <x v="7"/>
    <d v="2024-06-04T00:00:00"/>
    <s v="X41"/>
    <n v="41001292"/>
    <s v="EMTA WIFI 3.0 HGB10R-02 16X4"/>
    <x v="0"/>
    <n v="250"/>
    <n v="1"/>
    <s v="Unidade"/>
    <s v="IMPORTADO"/>
    <s v="RESERVAS EM ATRASO"/>
    <s v="NET MASSIVO"/>
    <x v="1"/>
  </r>
  <r>
    <x v="315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16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17"/>
    <s v="N190"/>
    <x v="7"/>
    <d v="2024-06-04T00:00:00"/>
    <s v="X41"/>
    <n v="41000805"/>
    <s v="SMART CARD AVULSO SIM CARD"/>
    <x v="0"/>
    <n v="50"/>
    <n v="1"/>
    <s v="Unidade"/>
    <s v="EM RESSUPRIMENTO"/>
    <s v="RESERVAS EM ATRASO"/>
    <s v="NET MASSIVO"/>
    <x v="1"/>
  </r>
  <r>
    <x v="317"/>
    <s v="N190"/>
    <x v="7"/>
    <d v="2024-06-04T00:00:00"/>
    <s v="X41"/>
    <n v="41001047"/>
    <s v="DECODER HD THDC4 NET"/>
    <x v="0"/>
    <n v="50"/>
    <n v="1"/>
    <s v="Unidade"/>
    <s v="EM RESSUPRIMENTO"/>
    <s v="RESERVAS EM ATRASO"/>
    <s v="NET MASSIVO"/>
    <x v="1"/>
  </r>
  <r>
    <x v="318"/>
    <s v="N190"/>
    <x v="10"/>
    <d v="2024-06-04T00:00:00"/>
    <s v="X43"/>
    <n v="22025049"/>
    <s v="VASELINA SOLIDA POTE 410G"/>
    <x v="0"/>
    <n v="3"/>
    <n v="1"/>
    <s v="Unidade"/>
    <s v="IMPORTADO"/>
    <s v="RESERVAS EM ATRASO"/>
    <s v="NET MASSIVO"/>
    <x v="1"/>
  </r>
  <r>
    <x v="318"/>
    <s v="N190"/>
    <x v="10"/>
    <d v="2024-06-04T00:00:00"/>
    <s v="X43"/>
    <n v="22026189"/>
    <s v="CONEC_RI COMPRESSAO F-6"/>
    <x v="0"/>
    <n v="1350"/>
    <n v="1"/>
    <s v="Unidade"/>
    <s v="IMPORTADO"/>
    <s v="RESERVAS EM ATRASO"/>
    <s v="NET MASSIVO"/>
    <x v="1"/>
  </r>
  <r>
    <x v="318"/>
    <s v="N190"/>
    <x v="10"/>
    <d v="2024-06-04T00:00:00"/>
    <s v="X43"/>
    <n v="22026219"/>
    <s v="CABO COAXIAL RG6 TRISH SEM MENSAG BRANCO"/>
    <x v="0"/>
    <n v="3400"/>
    <n v="1"/>
    <s v="Unidade"/>
    <s v="IMPORTADO"/>
    <s v="RESERVAS EM ATRASO"/>
    <s v="NET MASSIVO"/>
    <x v="1"/>
  </r>
  <r>
    <x v="318"/>
    <s v="N190"/>
    <x v="10"/>
    <d v="2024-06-04T00:00:00"/>
    <s v="X43"/>
    <n v="22026772"/>
    <s v="DIV_RI 2S 1GHZ H SOLDADO"/>
    <x v="0"/>
    <n v="25"/>
    <n v="1"/>
    <s v="Unidade"/>
    <s v="IMPORTADO"/>
    <s v="RESERVAS EM ATRASO"/>
    <s v="NET MASSIVO"/>
    <x v="1"/>
  </r>
  <r>
    <x v="318"/>
    <s v="N190"/>
    <x v="10"/>
    <d v="2024-06-04T00:00:00"/>
    <s v="X43"/>
    <n v="22056331"/>
    <s v="MARCADOR CASA PTO NR 5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56335"/>
    <s v="FECHO DE ACO INOX DENTADO 3/4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56343"/>
    <s v="MARCADOR CASA PTO NR 1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56344"/>
    <s v="MARCADOR CASA PTO NR 2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56345"/>
    <s v="MARCADOR CASA PTO NR 3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56359"/>
    <s v="FITA ACO INOX 1/2 POLEGADA ROLO 25MT"/>
    <x v="0"/>
    <n v="2"/>
    <n v="1"/>
    <s v="Unidade"/>
    <s v="IMPORTADO"/>
    <s v="RESERVAS EM ATRASO"/>
    <s v="NET MASSIVO"/>
    <x v="1"/>
  </r>
  <r>
    <x v="318"/>
    <s v="N190"/>
    <x v="10"/>
    <d v="2024-06-04T00:00:00"/>
    <s v="X43"/>
    <n v="22056364"/>
    <s v="MINI ISOLADOR CPE P/CM DECODER"/>
    <x v="0"/>
    <n v="150"/>
    <n v="1"/>
    <s v="Unidade"/>
    <s v="IMPORTADO"/>
    <s v="RESERVAS EM ATRASO"/>
    <s v="NET MASSIVO"/>
    <x v="1"/>
  </r>
  <r>
    <x v="318"/>
    <s v="N190"/>
    <x v="10"/>
    <d v="2024-06-04T00:00:00"/>
    <s v="X43"/>
    <n v="22056365"/>
    <s v="PROTETOR P/MINI ISOLADOR - ACRE1568"/>
    <x v="0"/>
    <n v="150"/>
    <n v="1"/>
    <s v="Unidade"/>
    <s v="IMPORTADO"/>
    <s v="RESERVAS EM ATRASO"/>
    <s v="NET MASSIVO"/>
    <x v="1"/>
  </r>
  <r>
    <x v="318"/>
    <s v="N190"/>
    <x v="10"/>
    <d v="2024-06-04T00:00:00"/>
    <s v="X43"/>
    <n v="22057620"/>
    <s v="CONECTOR FO CAMPO FAST SC/APC"/>
    <x v="0"/>
    <n v="200"/>
    <n v="1"/>
    <s v="Unidade"/>
    <s v="IMPORTADO"/>
    <s v="RESERVAS EM ATRASO"/>
    <s v="NET MASSIVO"/>
    <x v="1"/>
  </r>
  <r>
    <x v="318"/>
    <s v="N190"/>
    <x v="10"/>
    <d v="2024-06-04T00:00:00"/>
    <s v="X43"/>
    <n v="22057658"/>
    <s v="SUPORTE ROLDANA FO DROP SDA-1"/>
    <x v="0"/>
    <n v="20"/>
    <n v="1"/>
    <s v="Unidade"/>
    <s v="IMPORTADO"/>
    <s v="RESERVAS EM ATRASO"/>
    <s v="NET MASSIVO"/>
    <x v="1"/>
  </r>
  <r>
    <x v="318"/>
    <s v="N190"/>
    <x v="10"/>
    <d v="2024-06-04T00:00:00"/>
    <s v="X43"/>
    <n v="22057659"/>
    <s v="ESTICADOR CUNHA PARA DROP OPTICO SRDO"/>
    <x v="0"/>
    <n v="250"/>
    <n v="1"/>
    <s v="Unidade"/>
    <s v="IMPORTADO"/>
    <s v="RESERVAS EM ATRASO"/>
    <s v="NET MASSIVO"/>
    <x v="1"/>
  </r>
  <r>
    <x v="318"/>
    <s v="N190"/>
    <x v="10"/>
    <d v="2024-06-04T00:00:00"/>
    <s v="X43"/>
    <n v="22060738"/>
    <s v="FIXADOR FIO BR RG6 CIRCUL 7MM"/>
    <x v="0"/>
    <n v="600"/>
    <n v="1"/>
    <s v="Unidade"/>
    <s v="IMPORTADO"/>
    <s v="RESERVAS EM ATRASO"/>
    <s v="NET MASSIVO"/>
    <x v="1"/>
  </r>
  <r>
    <x v="318"/>
    <s v="N190"/>
    <x v="10"/>
    <d v="2024-06-04T00:00:00"/>
    <s v="X43"/>
    <n v="22061736"/>
    <s v="CABO DROP 1FO LOW F FIG8 LOW CINZA"/>
    <x v="0"/>
    <n v="3000"/>
    <n v="1"/>
    <s v="Unidade"/>
    <s v="IMPORTADO"/>
    <s v="RESERVAS EM ATRASO"/>
    <s v="NET MASSIVO"/>
    <x v="1"/>
  </r>
  <r>
    <x v="318"/>
    <s v="N190"/>
    <x v="10"/>
    <d v="2024-06-04T00:00:00"/>
    <s v="X43"/>
    <n v="22065718"/>
    <s v="MARCADOR CASA PRETO NR 0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65726"/>
    <s v="MARCADOR CASA PRETO NR 8"/>
    <x v="0"/>
    <n v="100"/>
    <n v="1"/>
    <s v="Unidade"/>
    <s v="IMPORTADO"/>
    <s v="RESERVAS EM ATRASO"/>
    <s v="NET MASSIVO"/>
    <x v="1"/>
  </r>
  <r>
    <x v="318"/>
    <s v="N190"/>
    <x v="10"/>
    <d v="2024-06-04T00:00:00"/>
    <s v="X43"/>
    <n v="22066517"/>
    <s v="ISOLADOR CASA SURGE PROTEC LOW COST"/>
    <x v="0"/>
    <n v="100"/>
    <n v="1"/>
    <s v="Unidade"/>
    <s v="IMPORTADO"/>
    <s v="RESERVAS EM ATRASO"/>
    <s v="NET MASSIVO"/>
    <x v="1"/>
  </r>
  <r>
    <x v="319"/>
    <s v="N190"/>
    <x v="10"/>
    <d v="2024-06-04T00:00:00"/>
    <s v="X41"/>
    <n v="41001590"/>
    <s v="TERMINAL GPON ONT WIFI6 F6600P"/>
    <x v="0"/>
    <n v="60"/>
    <n v="1"/>
    <s v="Unidade"/>
    <s v="IMPORTADO"/>
    <s v="RESERVAS EM ATRASO"/>
    <s v="NET MASSIVO"/>
    <x v="1"/>
  </r>
  <r>
    <x v="320"/>
    <s v="N190"/>
    <x v="10"/>
    <d v="2024-06-04T00:00:00"/>
    <s v="X41"/>
    <n v="41001590"/>
    <s v="TERMINAL GPON ONT WIFI6 F6600P"/>
    <x v="0"/>
    <n v="140"/>
    <n v="1"/>
    <s v="Unidade"/>
    <s v="IMPORTADO"/>
    <s v="RESERVAS EM ATRASO"/>
    <s v="NET MASSIVO"/>
    <x v="1"/>
  </r>
  <r>
    <x v="321"/>
    <s v="N190"/>
    <x v="7"/>
    <d v="2024-06-04T00:00:00"/>
    <s v="X43"/>
    <n v="22026279"/>
    <s v="FONTE CX DIG HD DCR74X1 PACE"/>
    <x v="0"/>
    <n v="230"/>
    <n v="1"/>
    <s v="Unidade"/>
    <s v="EM RESSUPRIMENTO"/>
    <s v="RESERVAS EM ATRASO"/>
    <s v="NET MASSIVO"/>
    <x v="1"/>
  </r>
  <r>
    <x v="321"/>
    <s v="N190"/>
    <x v="7"/>
    <d v="2024-06-04T00:00:00"/>
    <s v="X43"/>
    <n v="22026293"/>
    <s v="FONTE EMTA WIFI 3.0 TG1692A 16"/>
    <x v="0"/>
    <n v="290"/>
    <n v="1"/>
    <s v="Unidade"/>
    <s v="EM RESSUPRIMENTO"/>
    <s v="RESERVAS EM ATRASO"/>
    <s v="NET MASSIVO"/>
    <x v="1"/>
  </r>
  <r>
    <x v="321"/>
    <s v="N190"/>
    <x v="10"/>
    <d v="2024-06-04T00:00:00"/>
    <s v="X43"/>
    <n v="22060422"/>
    <s v="CONTROLE REMOTO UNIFICADO RC4194202 01B"/>
    <x v="0"/>
    <n v="230"/>
    <n v="1"/>
    <s v="Unidade"/>
    <s v="EM RESSUPRIMENTO"/>
    <s v="RESERVAS EM ATRASO"/>
    <s v="NET MASSIVO"/>
    <x v="1"/>
  </r>
  <r>
    <x v="322"/>
    <s v="N190"/>
    <x v="7"/>
    <d v="2024-06-04T00:00:00"/>
    <s v="X41"/>
    <n v="41001234"/>
    <s v="SMART CARD AVULSO PRETO NOVO"/>
    <x v="0"/>
    <n v="230"/>
    <n v="1"/>
    <s v="Unidade"/>
    <s v="IMPORTADO"/>
    <s v="RESERVAS EM ATRASO"/>
    <s v="NET MASSIVO"/>
    <x v="1"/>
  </r>
  <r>
    <x v="322"/>
    <s v="N190"/>
    <x v="7"/>
    <d v="2024-06-04T00:00:00"/>
    <s v="X41"/>
    <n v="41001276"/>
    <s v="DECODER HD HNB100 2T"/>
    <x v="0"/>
    <n v="230"/>
    <n v="1"/>
    <s v="Unidade"/>
    <s v="IMPORTADO"/>
    <s v="RESERVAS EM ATRASO"/>
    <s v="NET MASSIVO"/>
    <x v="1"/>
  </r>
  <r>
    <x v="322"/>
    <s v="N190"/>
    <x v="7"/>
    <d v="2024-06-04T00:00:00"/>
    <s v="X41"/>
    <n v="41001292"/>
    <s v="EMTA WIFI 3.0 HGB10R-02 16X4"/>
    <x v="0"/>
    <n v="290"/>
    <n v="1"/>
    <s v="Unidade"/>
    <s v="IMPORTADO"/>
    <s v="RESERVAS EM ATRASO"/>
    <s v="NET MASSIVO"/>
    <x v="1"/>
  </r>
  <r>
    <x v="323"/>
    <s v="N190"/>
    <x v="7"/>
    <d v="2024-06-04T00:00:00"/>
    <s v="X43"/>
    <n v="22026279"/>
    <s v="FONTE CX DIG HD DCR74X1 PACE"/>
    <x v="0"/>
    <n v="90"/>
    <n v="1"/>
    <s v="Unidade"/>
    <s v="EM RESSUPRIMENTO"/>
    <s v="RESERVAS EM ATRASO"/>
    <s v="NET MASSIVO"/>
    <x v="1"/>
  </r>
  <r>
    <x v="323"/>
    <s v="N190"/>
    <x v="10"/>
    <d v="2024-06-04T00:00:00"/>
    <s v="X43"/>
    <n v="22060422"/>
    <s v="CONTROLE REMOTO UNIFICADO RC4194202 01B"/>
    <x v="0"/>
    <n v="90"/>
    <n v="1"/>
    <s v="Unidade"/>
    <s v="EM RESSUPRIMENTO"/>
    <s v="RESERVAS EM ATRASO"/>
    <s v="NET MASSIVO"/>
    <x v="1"/>
  </r>
  <r>
    <x v="324"/>
    <s v="N190"/>
    <x v="7"/>
    <d v="2024-06-04T00:00:00"/>
    <s v="X41"/>
    <n v="41001234"/>
    <s v="SMART CARD AVULSO PRETO NOVO"/>
    <x v="0"/>
    <n v="90"/>
    <n v="1"/>
    <s v="Unidade"/>
    <s v="EM RESSUPRIMENTO"/>
    <s v="RESERVAS EM ATRASO"/>
    <s v="NET MASSIVO"/>
    <x v="1"/>
  </r>
  <r>
    <x v="324"/>
    <s v="N190"/>
    <x v="7"/>
    <d v="2024-06-04T00:00:00"/>
    <s v="X41"/>
    <n v="41001276"/>
    <s v="DECODER HD HNB100 2T"/>
    <x v="0"/>
    <n v="90"/>
    <n v="1"/>
    <s v="Unidade"/>
    <s v="EM RESSUPRIMENTO"/>
    <s v="RESERVAS EM ATRASO"/>
    <s v="NET MASSIVO"/>
    <x v="1"/>
  </r>
  <r>
    <x v="324"/>
    <s v="N190"/>
    <x v="10"/>
    <d v="2024-06-04T00:00:00"/>
    <s v="X41"/>
    <n v="41001590"/>
    <s v="TERMINAL GPON ONT WIFI6 F6600P"/>
    <x v="0"/>
    <n v="40"/>
    <n v="1"/>
    <s v="Unidade"/>
    <s v="EM RESSUPRIMENTO"/>
    <s v="RESERVAS EM ATRASO"/>
    <s v="NET MASSIVO"/>
    <x v="1"/>
  </r>
  <r>
    <x v="325"/>
    <s v="N190"/>
    <x v="7"/>
    <d v="2024-06-04T00:00:00"/>
    <s v="X43"/>
    <n v="22026293"/>
    <s v="FONTE EMTA WIFI 3.0 TG1692A 16"/>
    <x v="0"/>
    <n v="40"/>
    <n v="1"/>
    <s v="Unidade"/>
    <s v="EM RESSUPRIMENTO"/>
    <s v="RESERVAS EM ATRASO"/>
    <s v="NET MASSIVO"/>
    <x v="1"/>
  </r>
  <r>
    <x v="326"/>
    <s v="N190"/>
    <x v="7"/>
    <d v="2024-06-04T00:00:00"/>
    <s v="X41"/>
    <n v="41001292"/>
    <s v="EMTA WIFI 3.0 HGB10R-02 16X4"/>
    <x v="0"/>
    <n v="40"/>
    <n v="1"/>
    <s v="Unidade"/>
    <s v="IMPORTADO"/>
    <s v="RESERVAS EM ATRASO"/>
    <s v="NET MASSIVO"/>
    <x v="1"/>
  </r>
  <r>
    <x v="326"/>
    <s v="N190"/>
    <x v="10"/>
    <d v="2024-06-04T00:00:00"/>
    <s v="X41"/>
    <n v="41001590"/>
    <s v="TERMINAL GPON ONT WIFI6 F6600P"/>
    <x v="0"/>
    <n v="400"/>
    <n v="1"/>
    <s v="Unidade"/>
    <s v="IMPORTADO"/>
    <s v="RESERVAS EM ATRASO"/>
    <s v="NET MASSIVO"/>
    <x v="1"/>
  </r>
  <r>
    <x v="327"/>
    <s v="N190"/>
    <x v="7"/>
    <d v="2024-06-04T00:00:00"/>
    <s v="X43"/>
    <n v="22026279"/>
    <s v="FONTE CX DIG HD DCR74X1 PACE"/>
    <x v="0"/>
    <n v="380"/>
    <n v="1"/>
    <s v="Unidade"/>
    <s v="IMPORTADO"/>
    <s v="RESERVAS EM ATRASO"/>
    <s v="NET MASSIVO"/>
    <x v="1"/>
  </r>
  <r>
    <x v="327"/>
    <s v="N190"/>
    <x v="10"/>
    <d v="2024-06-04T00:00:00"/>
    <s v="X43"/>
    <n v="22060422"/>
    <s v="CONTROLE REMOTO UNIFICADO RC4194202 01B"/>
    <x v="0"/>
    <n v="380"/>
    <n v="1"/>
    <s v="Unidade"/>
    <s v="IMPORTADO"/>
    <s v="RESERVAS EM ATRASO"/>
    <s v="NET MASSIVO"/>
    <x v="1"/>
  </r>
  <r>
    <x v="328"/>
    <s v="N190"/>
    <x v="7"/>
    <d v="2024-06-04T00:00:00"/>
    <s v="X41"/>
    <n v="41001234"/>
    <s v="SMART CARD AVULSO PRETO NOVO"/>
    <x v="0"/>
    <n v="380"/>
    <n v="1"/>
    <s v="Unidade"/>
    <s v="EM RESSUPRIMENTO"/>
    <s v="RESERVAS EM ATRASO"/>
    <s v="NET MASSIVO"/>
    <x v="1"/>
  </r>
  <r>
    <x v="328"/>
    <s v="N190"/>
    <x v="7"/>
    <d v="2024-06-04T00:00:00"/>
    <s v="X41"/>
    <n v="41001276"/>
    <s v="DECODER HD HNB100 2T"/>
    <x v="0"/>
    <n v="380"/>
    <n v="1"/>
    <s v="Unidade"/>
    <s v="EM RESSUPRIMENTO"/>
    <s v="RESERVAS EM ATRASO"/>
    <s v="NET MASSIVO"/>
    <x v="1"/>
  </r>
  <r>
    <x v="329"/>
    <s v="N190"/>
    <x v="7"/>
    <d v="2024-06-04T00:00:00"/>
    <s v="X41"/>
    <n v="41000805"/>
    <s v="SMART CARD AVULSO SIM CARD"/>
    <x v="0"/>
    <n v="100"/>
    <n v="1"/>
    <s v="Unidade"/>
    <s v="EM RESSUPRIMENTO"/>
    <s v="RESERVAS EM ATRASO"/>
    <s v="NET MASSIVO"/>
    <x v="1"/>
  </r>
  <r>
    <x v="329"/>
    <s v="N190"/>
    <x v="7"/>
    <d v="2024-06-04T00:00:00"/>
    <s v="X41"/>
    <n v="41001047"/>
    <s v="DECODER HD THDC4 NET"/>
    <x v="0"/>
    <n v="100"/>
    <n v="1"/>
    <s v="Unidade"/>
    <s v="EM RESSUPRIMENTO"/>
    <s v="RESERVAS EM ATRASO"/>
    <s v="NET MASSIVO"/>
    <x v="1"/>
  </r>
  <r>
    <x v="330"/>
    <s v="N190"/>
    <x v="7"/>
    <d v="2024-06-04T00:00:00"/>
    <s v="X43"/>
    <n v="22026293"/>
    <s v="FONTE EMTA WIFI 3.0 TG1692A 16"/>
    <x v="0"/>
    <n v="60"/>
    <n v="1"/>
    <s v="Unidade"/>
    <s v="EM RESSUPRIMENTO"/>
    <s v="RESERVAS EM ATRASO"/>
    <s v="NET MASSIVO"/>
    <x v="1"/>
  </r>
  <r>
    <x v="331"/>
    <s v="N190"/>
    <x v="7"/>
    <d v="2024-06-04T00:00:00"/>
    <s v="X41"/>
    <n v="41001292"/>
    <s v="EMTA WIFI 3.0 HGB10R-02 16X4"/>
    <x v="0"/>
    <n v="60"/>
    <n v="1"/>
    <s v="Unidade"/>
    <s v="EM RESSUPRIMENTO"/>
    <s v="RESERVAS EM ATRASO"/>
    <s v="NET MASSIVO"/>
    <x v="1"/>
  </r>
  <r>
    <x v="331"/>
    <s v="N190"/>
    <x v="10"/>
    <d v="2024-06-04T00:00:00"/>
    <s v="X41"/>
    <n v="41001567"/>
    <s v="TERMINAL EXTENSOR WIFI5 MESH AR2180T"/>
    <x v="0"/>
    <n v="30"/>
    <n v="1"/>
    <s v="Unidade"/>
    <s v="EM RESSUPRIMENTO"/>
    <s v="RESERVAS EM ATRASO"/>
    <s v="NET MASSIVO"/>
    <x v="1"/>
  </r>
  <r>
    <x v="332"/>
    <s v="N190"/>
    <x v="7"/>
    <d v="2024-06-04T00:00:00"/>
    <s v="X43"/>
    <n v="22026279"/>
    <s v="FONTE CX DIG HD DCR74X1 PACE"/>
    <x v="0"/>
    <n v="110"/>
    <n v="1"/>
    <s v="Unidade"/>
    <s v="EM RESSUPRIMENTO"/>
    <s v="RESERVAS EM ATRASO"/>
    <s v="NET MASSIVO"/>
    <x v="1"/>
  </r>
  <r>
    <x v="332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32"/>
    <s v="N190"/>
    <x v="10"/>
    <d v="2024-06-04T00:00:00"/>
    <s v="X43"/>
    <n v="22060422"/>
    <s v="CONTROLE REMOTO UNIFICADO RC4194202 01B"/>
    <x v="0"/>
    <n v="110"/>
    <n v="1"/>
    <s v="Unidade"/>
    <s v="EM RESSUPRIMENTO"/>
    <s v="RESERVAS EM ATRASO"/>
    <s v="NET MASSIVO"/>
    <x v="1"/>
  </r>
  <r>
    <x v="333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33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333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34"/>
    <s v="N190"/>
    <x v="7"/>
    <d v="2024-06-04T00:00:00"/>
    <s v="X43"/>
    <n v="22026279"/>
    <s v="FONTE CX DIG HD DCR74X1 PACE"/>
    <x v="0"/>
    <n v="100"/>
    <n v="1"/>
    <s v="Unidade"/>
    <s v="EM RESSUPRIMENTO"/>
    <s v="RESERVAS EM ATRASO"/>
    <s v="NET MASSIVO"/>
    <x v="1"/>
  </r>
  <r>
    <x v="334"/>
    <s v="N190"/>
    <x v="7"/>
    <d v="2024-06-04T00:00:00"/>
    <s v="X43"/>
    <n v="22026293"/>
    <s v="FONTE EMTA WIFI 3.0 TG1692A 16"/>
    <x v="0"/>
    <n v="160"/>
    <n v="1"/>
    <s v="Unidade"/>
    <s v="EM RESSUPRIMENTO"/>
    <s v="RESERVAS EM ATRASO"/>
    <s v="NET MASSIVO"/>
    <x v="1"/>
  </r>
  <r>
    <x v="334"/>
    <s v="N190"/>
    <x v="10"/>
    <d v="2024-06-04T00:00:00"/>
    <s v="X43"/>
    <n v="22060422"/>
    <s v="CONTROLE REMOTO UNIFICADO RC4194202 01B"/>
    <x v="0"/>
    <n v="100"/>
    <n v="1"/>
    <s v="Unidade"/>
    <s v="EM RESSUPRIMENTO"/>
    <s v="RESERVAS EM ATRASO"/>
    <s v="NET MASSIVO"/>
    <x v="1"/>
  </r>
  <r>
    <x v="335"/>
    <s v="N190"/>
    <x v="7"/>
    <d v="2024-06-04T00:00:00"/>
    <s v="X41"/>
    <n v="41001234"/>
    <s v="SMART CARD AVULSO PRETO NOVO"/>
    <x v="0"/>
    <n v="100"/>
    <n v="1"/>
    <s v="Unidade"/>
    <s v="IMPORTADO"/>
    <s v="RESERVAS EM ATRASO"/>
    <s v="NET MASSIVO"/>
    <x v="1"/>
  </r>
  <r>
    <x v="335"/>
    <s v="N190"/>
    <x v="7"/>
    <d v="2024-06-04T00:00:00"/>
    <s v="X41"/>
    <n v="41001276"/>
    <s v="DECODER HD HNB100 2T"/>
    <x v="0"/>
    <n v="100"/>
    <n v="1"/>
    <s v="Unidade"/>
    <s v="IMPORTADO"/>
    <s v="RESERVAS EM ATRASO"/>
    <s v="NET MASSIVO"/>
    <x v="1"/>
  </r>
  <r>
    <x v="335"/>
    <s v="N190"/>
    <x v="7"/>
    <d v="2024-06-04T00:00:00"/>
    <s v="X41"/>
    <n v="41001292"/>
    <s v="EMTA WIFI 3.0 HGB10R-02 16X4"/>
    <x v="0"/>
    <n v="160"/>
    <n v="1"/>
    <s v="Unidade"/>
    <s v="IMPORTADO"/>
    <s v="RESERVAS EM ATRASO"/>
    <s v="NET MASSIVO"/>
    <x v="1"/>
  </r>
  <r>
    <x v="336"/>
    <s v="N190"/>
    <x v="7"/>
    <d v="2024-06-04T00:00:00"/>
    <s v="X43"/>
    <n v="22026103"/>
    <s v="CABO HDMI 2MTS BASICO SEM ETHE"/>
    <x v="0"/>
    <n v="60"/>
    <n v="1"/>
    <s v="Unidade"/>
    <s v="IMPORTADO"/>
    <s v="RESERVAS EM ATRASO"/>
    <s v="NET MASSIVO"/>
    <x v="1"/>
  </r>
  <r>
    <x v="336"/>
    <s v="N190"/>
    <x v="7"/>
    <d v="2024-06-04T00:00:00"/>
    <s v="X43"/>
    <n v="22026279"/>
    <s v="FONTE CX DIG HD DCR74X1 PACE"/>
    <x v="0"/>
    <n v="390"/>
    <n v="1"/>
    <s v="Unidade"/>
    <s v="IMPORTADO"/>
    <s v="RESERVAS EM ATRASO"/>
    <s v="NET MASSIVO"/>
    <x v="1"/>
  </r>
  <r>
    <x v="336"/>
    <s v="N190"/>
    <x v="7"/>
    <d v="2024-06-04T00:00:00"/>
    <s v="X43"/>
    <n v="22026293"/>
    <s v="FONTE EMTA WIFI 3.0 TG1692A 16"/>
    <x v="0"/>
    <n v="100"/>
    <n v="1"/>
    <s v="Unidade"/>
    <s v="IMPORTADO"/>
    <s v="RESERVAS EM ATRASO"/>
    <s v="NET MASSIVO"/>
    <x v="1"/>
  </r>
  <r>
    <x v="336"/>
    <s v="N190"/>
    <x v="7"/>
    <d v="2024-06-04T00:00:00"/>
    <s v="X43"/>
    <n v="22058639"/>
    <s v="FONTE ENERGIA MSA C2500IC12.0 30W"/>
    <x v="0"/>
    <n v="60"/>
    <n v="1"/>
    <s v="Unidade"/>
    <s v="IMPORTADO"/>
    <s v="RESERVAS EM ATRASO"/>
    <s v="NET MASSIVO"/>
    <x v="1"/>
  </r>
  <r>
    <x v="336"/>
    <s v="N190"/>
    <x v="10"/>
    <d v="2024-06-04T00:00:00"/>
    <s v="X43"/>
    <n v="22060422"/>
    <s v="CONTROLE REMOTO UNIFICADO RC4194202 01B"/>
    <x v="0"/>
    <n v="390"/>
    <n v="1"/>
    <s v="Unidade"/>
    <s v="IMPORTADO"/>
    <s v="RESERVAS EM ATRASO"/>
    <s v="NET MASSIVO"/>
    <x v="1"/>
  </r>
  <r>
    <x v="336"/>
    <s v="N190"/>
    <x v="10"/>
    <d v="2024-06-04T00:00:00"/>
    <s v="X43"/>
    <n v="22064554"/>
    <s v="CONTROLE REMOTO VOZ LINUX UEI AVULSO"/>
    <x v="0"/>
    <n v="60"/>
    <n v="1"/>
    <s v="Unidade"/>
    <s v="IMPORTADO"/>
    <s v="RESERVAS EM ATRASO"/>
    <s v="NET MASSIVO"/>
    <x v="1"/>
  </r>
  <r>
    <x v="337"/>
    <s v="N190"/>
    <x v="7"/>
    <d v="2024-06-04T00:00:00"/>
    <s v="X41"/>
    <n v="41000805"/>
    <s v="SMART CARD AVULSO SIM CARD"/>
    <x v="0"/>
    <n v="60"/>
    <n v="1"/>
    <s v="Unidade"/>
    <s v="IMPORTADO"/>
    <s v="RESERVAS EM ATRASO"/>
    <s v="NET MASSIVO"/>
    <x v="1"/>
  </r>
  <r>
    <x v="337"/>
    <s v="N190"/>
    <x v="7"/>
    <d v="2024-06-04T00:00:00"/>
    <s v="X41"/>
    <n v="41001068"/>
    <s v="DECODER 4K ULTRA HD DGCI362"/>
    <x v="0"/>
    <n v="60"/>
    <n v="1"/>
    <s v="Unidade"/>
    <s v="IMPORTADO"/>
    <s v="RESERVAS EM ATRASO"/>
    <s v="NET MASSIVO"/>
    <x v="1"/>
  </r>
  <r>
    <x v="337"/>
    <s v="N190"/>
    <x v="7"/>
    <d v="2024-06-04T00:00:00"/>
    <s v="X41"/>
    <n v="41001234"/>
    <s v="SMART CARD AVULSO PRETO NOVO"/>
    <x v="0"/>
    <n v="390"/>
    <n v="1"/>
    <s v="Unidade"/>
    <s v="IMPORTADO"/>
    <s v="RESERVAS EM ATRASO"/>
    <s v="NET MASSIVO"/>
    <x v="1"/>
  </r>
  <r>
    <x v="337"/>
    <s v="N190"/>
    <x v="7"/>
    <d v="2024-06-04T00:00:00"/>
    <s v="X41"/>
    <n v="41001276"/>
    <s v="DECODER HD HNB100 2T"/>
    <x v="0"/>
    <n v="390"/>
    <n v="1"/>
    <s v="Unidade"/>
    <s v="IMPORTADO"/>
    <s v="RESERVAS EM ATRASO"/>
    <s v="NET MASSIVO"/>
    <x v="1"/>
  </r>
  <r>
    <x v="337"/>
    <s v="N190"/>
    <x v="7"/>
    <d v="2024-06-04T00:00:00"/>
    <s v="X41"/>
    <n v="41001292"/>
    <s v="EMTA WIFI 3.0 HGB10R-02 16X4"/>
    <x v="0"/>
    <n v="100"/>
    <n v="1"/>
    <s v="Unidade"/>
    <s v="IMPORTADO"/>
    <s v="RESERVAS EM ATRASO"/>
    <s v="NET MASSIVO"/>
    <x v="1"/>
  </r>
  <r>
    <x v="338"/>
    <s v="N190"/>
    <x v="10"/>
    <d v="2024-06-04T00:00:00"/>
    <s v="X41"/>
    <n v="41001590"/>
    <s v="TERMINAL GPON ONT WIFI6 F6600P"/>
    <x v="0"/>
    <n v="410"/>
    <n v="1"/>
    <s v="Unidade"/>
    <s v="IMPORTADO"/>
    <s v="RESERVAS EM ATRASO"/>
    <s v="NET MASSIVO"/>
    <x v="1"/>
  </r>
  <r>
    <x v="339"/>
    <s v="N190"/>
    <x v="7"/>
    <d v="2024-06-04T00:00:00"/>
    <s v="X43"/>
    <n v="22026279"/>
    <s v="FONTE CX DIG HD DCR74X1 PACE"/>
    <x v="0"/>
    <n v="30"/>
    <n v="1"/>
    <s v="Unidade"/>
    <s v="EM RESSUPRIMENTO"/>
    <s v="RESERVAS EM ATRASO"/>
    <s v="NET MASSIVO"/>
    <x v="1"/>
  </r>
  <r>
    <x v="339"/>
    <s v="N190"/>
    <x v="7"/>
    <d v="2024-06-04T00:00:00"/>
    <s v="X43"/>
    <n v="22026293"/>
    <s v="FONTE EMTA WIFI 3.0 TG1692A 16"/>
    <x v="0"/>
    <n v="50"/>
    <n v="1"/>
    <s v="Unidade"/>
    <s v="EM RESSUPRIMENTO"/>
    <s v="RESERVAS EM ATRASO"/>
    <s v="NET MASSIVO"/>
    <x v="1"/>
  </r>
  <r>
    <x v="339"/>
    <s v="N190"/>
    <x v="10"/>
    <d v="2024-06-04T00:00:00"/>
    <s v="X43"/>
    <n v="22060422"/>
    <s v="CONTROLE REMOTO UNIFICADO RC4194202 01B"/>
    <x v="0"/>
    <n v="30"/>
    <n v="1"/>
    <s v="Unidade"/>
    <s v="EM RESSUPRIMENTO"/>
    <s v="RESERVAS EM ATRASO"/>
    <s v="NET MASSIVO"/>
    <x v="1"/>
  </r>
  <r>
    <x v="340"/>
    <s v="N190"/>
    <x v="7"/>
    <d v="2024-06-04T00:00:00"/>
    <s v="X41"/>
    <n v="41001234"/>
    <s v="SMART CARD AVULSO PRETO NOVO"/>
    <x v="0"/>
    <n v="30"/>
    <n v="1"/>
    <s v="Unidade"/>
    <s v="IMPORTADO"/>
    <s v="RESERVAS EM ATRASO"/>
    <s v="NET MASSIVO"/>
    <x v="1"/>
  </r>
  <r>
    <x v="340"/>
    <s v="N190"/>
    <x v="7"/>
    <d v="2024-06-04T00:00:00"/>
    <s v="X41"/>
    <n v="41001276"/>
    <s v="DECODER HD HNB100 2T"/>
    <x v="0"/>
    <n v="30"/>
    <n v="1"/>
    <s v="Unidade"/>
    <s v="IMPORTADO"/>
    <s v="RESERVAS EM ATRASO"/>
    <s v="NET MASSIVO"/>
    <x v="1"/>
  </r>
  <r>
    <x v="340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41"/>
    <s v="N190"/>
    <x v="7"/>
    <d v="2024-06-04T00:00:00"/>
    <s v="X43"/>
    <n v="22026279"/>
    <s v="FONTE CX DIG HD DCR74X1 PACE"/>
    <x v="0"/>
    <n v="20"/>
    <n v="1"/>
    <s v="Unidade"/>
    <s v="EM RESSUPRIMENTO"/>
    <s v="RESERVAS EM ATRASO"/>
    <s v="NET MASSIVO"/>
    <x v="1"/>
  </r>
  <r>
    <x v="341"/>
    <s v="N190"/>
    <x v="10"/>
    <d v="2024-06-04T00:00:00"/>
    <s v="X43"/>
    <n v="22060422"/>
    <s v="CONTROLE REMOTO UNIFICADO RC4194202 01B"/>
    <x v="0"/>
    <n v="20"/>
    <n v="1"/>
    <s v="Unidade"/>
    <s v="EM RESSUPRIMENTO"/>
    <s v="RESERVAS EM ATRASO"/>
    <s v="NET MASSIVO"/>
    <x v="1"/>
  </r>
  <r>
    <x v="342"/>
    <s v="N190"/>
    <x v="7"/>
    <d v="2024-06-04T00:00:00"/>
    <s v="X41"/>
    <n v="41001234"/>
    <s v="SMART CARD AVULSO PRETO NOVO"/>
    <x v="0"/>
    <n v="20"/>
    <n v="1"/>
    <s v="Unidade"/>
    <s v="EM RESSUPRIMENTO"/>
    <s v="RESERVAS EM ATRASO"/>
    <s v="NET MASSIVO"/>
    <x v="1"/>
  </r>
  <r>
    <x v="342"/>
    <s v="N190"/>
    <x v="7"/>
    <d v="2024-06-04T00:00:00"/>
    <s v="X41"/>
    <n v="41001276"/>
    <s v="DECODER HD HNB100 2T"/>
    <x v="0"/>
    <n v="20"/>
    <n v="1"/>
    <s v="Unidade"/>
    <s v="EM RESSUPRIMENTO"/>
    <s v="RESERVAS EM ATRASO"/>
    <s v="NET MASSIVO"/>
    <x v="1"/>
  </r>
  <r>
    <x v="342"/>
    <s v="N190"/>
    <x v="10"/>
    <d v="2024-06-04T00:00:00"/>
    <s v="X41"/>
    <n v="41001567"/>
    <s v="TERMINAL EXTENSOR WIFI5 MESH AR2180T"/>
    <x v="0"/>
    <n v="20"/>
    <n v="1"/>
    <s v="Unidade"/>
    <s v="EM RESSUPRIMENTO"/>
    <s v="RESERVAS EM ATRASO"/>
    <s v="NET MASSIVO"/>
    <x v="1"/>
  </r>
  <r>
    <x v="342"/>
    <s v="N190"/>
    <x v="10"/>
    <d v="2024-06-04T00:00:00"/>
    <s v="X41"/>
    <n v="41001573"/>
    <s v="DECODER CARDLESS 4K UHD S4KCW4S CABO IP"/>
    <x v="0"/>
    <n v="20"/>
    <n v="1"/>
    <s v="Unidade"/>
    <s v="EM RESSUPRIMENTO"/>
    <s v="RESERVAS EM ATRASO"/>
    <s v="NET MASSIVO"/>
    <x v="1"/>
  </r>
  <r>
    <x v="342"/>
    <s v="N190"/>
    <x v="10"/>
    <d v="2024-06-04T00:00:00"/>
    <s v="X41"/>
    <n v="41001590"/>
    <s v="TERMINAL GPON ONT WIFI6 F6600P"/>
    <x v="0"/>
    <n v="30"/>
    <n v="1"/>
    <s v="Unidade"/>
    <s v="EM RESSUPRIMENTO"/>
    <s v="RESERVAS EM ATRASO"/>
    <s v="NET MASSIVO"/>
    <x v="1"/>
  </r>
  <r>
    <x v="343"/>
    <s v="N190"/>
    <x v="7"/>
    <d v="2024-06-04T00:00:00"/>
    <s v="X43"/>
    <n v="22026279"/>
    <s v="FONTE CX DIG HD DCR74X1 PACE"/>
    <x v="0"/>
    <n v="70"/>
    <n v="1"/>
    <s v="Unidade"/>
    <s v="IMPORTADO"/>
    <s v="RESERVAS EM ATRASO"/>
    <s v="NET MASSIVO"/>
    <x v="1"/>
  </r>
  <r>
    <x v="343"/>
    <s v="N190"/>
    <x v="7"/>
    <d v="2024-06-04T00:00:00"/>
    <s v="X43"/>
    <n v="22026293"/>
    <s v="FONTE EMTA WIFI 3.0 TG1692A 16"/>
    <x v="0"/>
    <n v="20"/>
    <n v="1"/>
    <s v="Unidade"/>
    <s v="IMPORTADO"/>
    <s v="RESERVAS EM ATRASO"/>
    <s v="NET MASSIVO"/>
    <x v="1"/>
  </r>
  <r>
    <x v="343"/>
    <s v="N190"/>
    <x v="10"/>
    <d v="2024-06-04T00:00:00"/>
    <s v="X43"/>
    <n v="22060422"/>
    <s v="CONTROLE REMOTO UNIFICADO RC4194202 01B"/>
    <x v="0"/>
    <n v="70"/>
    <n v="1"/>
    <s v="Unidade"/>
    <s v="IMPORTADO"/>
    <s v="RESERVAS EM ATRASO"/>
    <s v="NET MASSIVO"/>
    <x v="1"/>
  </r>
  <r>
    <x v="344"/>
    <s v="N190"/>
    <x v="7"/>
    <d v="2024-06-04T00:00:00"/>
    <s v="X41"/>
    <n v="41001234"/>
    <s v="SMART CARD AVULSO PRETO NOVO"/>
    <x v="0"/>
    <n v="70"/>
    <n v="1"/>
    <s v="Unidade"/>
    <s v="IMPORTADO"/>
    <s v="RESERVAS EM ATRASO"/>
    <s v="NET MASSIVO"/>
    <x v="1"/>
  </r>
  <r>
    <x v="344"/>
    <s v="N190"/>
    <x v="7"/>
    <d v="2024-06-04T00:00:00"/>
    <s v="X41"/>
    <n v="41001276"/>
    <s v="DECODER HD HNB100 2T"/>
    <x v="0"/>
    <n v="70"/>
    <n v="1"/>
    <s v="Unidade"/>
    <s v="IMPORTADO"/>
    <s v="RESERVAS EM ATRASO"/>
    <s v="NET MASSIVO"/>
    <x v="1"/>
  </r>
  <r>
    <x v="344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45"/>
    <s v="N190"/>
    <x v="7"/>
    <d v="2024-06-04T00:00:00"/>
    <s v="X41"/>
    <n v="41000805"/>
    <s v="SMART CARD AVULSO SIM CARD"/>
    <x v="0"/>
    <n v="20"/>
    <n v="1"/>
    <s v="Unidade"/>
    <s v="IMPORTADO"/>
    <s v="RESERVAS EM ATRASO"/>
    <s v="NET MASSIVO"/>
    <x v="1"/>
  </r>
  <r>
    <x v="345"/>
    <s v="N190"/>
    <x v="7"/>
    <d v="2024-06-04T00:00:00"/>
    <s v="X41"/>
    <n v="41001234"/>
    <s v="SMART CARD AVULSO PRETO NOVO"/>
    <x v="0"/>
    <n v="60"/>
    <n v="1"/>
    <s v="Unidade"/>
    <s v="IMPORTADO"/>
    <s v="RESERVAS EM ATRASO"/>
    <s v="NET MASSIVO"/>
    <x v="1"/>
  </r>
  <r>
    <x v="345"/>
    <s v="N190"/>
    <x v="7"/>
    <d v="2024-06-04T00:00:00"/>
    <s v="X41"/>
    <n v="41001276"/>
    <s v="DECODER HD HNB100 2T"/>
    <x v="0"/>
    <n v="60"/>
    <n v="1"/>
    <s v="Unidade"/>
    <s v="IMPORTADO"/>
    <s v="RESERVAS EM ATRASO"/>
    <s v="NET MASSIVO"/>
    <x v="1"/>
  </r>
  <r>
    <x v="345"/>
    <s v="N190"/>
    <x v="7"/>
    <d v="2024-06-04T00:00:00"/>
    <s v="X41"/>
    <n v="41001484"/>
    <s v="DECODER 4K ULTRA HD DGCI363 COM IG"/>
    <x v="0"/>
    <n v="20"/>
    <n v="1"/>
    <s v="Unidade"/>
    <s v="IMPORTADO"/>
    <s v="RESERVAS EM ATRASO"/>
    <s v="NET MASSIVO"/>
    <x v="1"/>
  </r>
  <r>
    <x v="346"/>
    <s v="N190"/>
    <x v="7"/>
    <d v="2024-06-04T00:00:00"/>
    <s v="X43"/>
    <n v="22026279"/>
    <s v="FONTE CX DIG HD DCR74X1 PACE"/>
    <x v="0"/>
    <n v="40"/>
    <n v="1"/>
    <s v="Unidade"/>
    <s v="EM RESSUPRIMENTO"/>
    <s v="RESERVAS EM ATRASO"/>
    <s v="NET MASSIVO"/>
    <x v="1"/>
  </r>
  <r>
    <x v="346"/>
    <s v="N190"/>
    <x v="7"/>
    <d v="2024-06-04T00:00:00"/>
    <s v="X43"/>
    <n v="22026293"/>
    <s v="FONTE EMTA WIFI 3.0 TG1692A 16"/>
    <x v="0"/>
    <n v="70"/>
    <n v="1"/>
    <s v="Unidade"/>
    <s v="EM RESSUPRIMENTO"/>
    <s v="RESERVAS EM ATRASO"/>
    <s v="NET MASSIVO"/>
    <x v="1"/>
  </r>
  <r>
    <x v="346"/>
    <s v="N190"/>
    <x v="10"/>
    <d v="2024-06-04T00:00:00"/>
    <s v="X43"/>
    <n v="22060422"/>
    <s v="CONTROLE REMOTO UNIFICADO RC4194202 01B"/>
    <x v="0"/>
    <n v="40"/>
    <n v="1"/>
    <s v="Unidade"/>
    <s v="EM RESSUPRIMENTO"/>
    <s v="RESERVAS EM ATRASO"/>
    <s v="NET MASSIVO"/>
    <x v="1"/>
  </r>
  <r>
    <x v="347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47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47"/>
    <s v="N190"/>
    <x v="7"/>
    <d v="2024-06-04T00:00:00"/>
    <s v="X41"/>
    <n v="41001292"/>
    <s v="EMTA WIFI 3.0 HGB10R-02 16X4"/>
    <x v="0"/>
    <n v="70"/>
    <n v="1"/>
    <s v="Unidade"/>
    <s v="IMPORTADO"/>
    <s v="RESERVAS EM ATRASO"/>
    <s v="NET MASSIVO"/>
    <x v="1"/>
  </r>
  <r>
    <x v="348"/>
    <s v="N190"/>
    <x v="10"/>
    <d v="2024-06-04T00:00:00"/>
    <s v="X43"/>
    <n v="22023400"/>
    <s v="ABRACADEIRA NYLON T50R 20CM PRETA"/>
    <x v="0"/>
    <n v="400"/>
    <n v="1"/>
    <s v="Unidade"/>
    <s v="EM RESSUPRIMENTO"/>
    <s v="RESERVAS EM ATRASO"/>
    <s v="NET MASSIVO"/>
    <x v="1"/>
  </r>
  <r>
    <x v="348"/>
    <s v="N190"/>
    <x v="10"/>
    <d v="2024-06-04T00:00:00"/>
    <s v="X43"/>
    <n v="22025242"/>
    <s v="ABRACADEIRA NYLON T18R 10CM PRETA"/>
    <x v="0"/>
    <n v="100"/>
    <n v="1"/>
    <s v="Unidade"/>
    <s v="EM RESSUPRIMENTO"/>
    <s v="RESERVAS EM ATRASO"/>
    <s v="NET MASSIVO"/>
    <x v="1"/>
  </r>
  <r>
    <x v="348"/>
    <s v="N190"/>
    <x v="7"/>
    <d v="2024-06-04T00:00:00"/>
    <s v="X43"/>
    <n v="22026095"/>
    <s v="PATCH CORD ETHERNET LAN 2MT"/>
    <x v="0"/>
    <n v="100"/>
    <n v="1"/>
    <s v="Unidade"/>
    <s v="EM RESSUPRIMENTO"/>
    <s v="RESERVAS EM ATRASO"/>
    <s v="NET MASSIVO"/>
    <x v="1"/>
  </r>
  <r>
    <x v="348"/>
    <s v="N190"/>
    <x v="7"/>
    <d v="2024-06-04T00:00:00"/>
    <s v="X43"/>
    <n v="22026293"/>
    <s v="FONTE EMTA WIFI 3.0 TG1692A 16"/>
    <x v="0"/>
    <n v="20"/>
    <n v="1"/>
    <s v="Unidade"/>
    <s v="EM RESSUPRIMENTO"/>
    <s v="RESERVAS EM ATRASO"/>
    <s v="NET MASSIVO"/>
    <x v="1"/>
  </r>
  <r>
    <x v="349"/>
    <s v="N190"/>
    <x v="7"/>
    <d v="2024-06-04T00:00:00"/>
    <s v="X41"/>
    <n v="41001292"/>
    <s v="EMTA WIFI 3.0 HGB10R-02 16X4"/>
    <x v="0"/>
    <n v="20"/>
    <n v="1"/>
    <s v="Unidade"/>
    <s v="IMPORTADO"/>
    <s v="RESERVAS EM ATRASO"/>
    <s v="NET MASSIVO"/>
    <x v="1"/>
  </r>
  <r>
    <x v="349"/>
    <s v="N190"/>
    <x v="10"/>
    <d v="2024-06-04T00:00:00"/>
    <s v="X41"/>
    <n v="41001567"/>
    <s v="TERMINAL EXTENSOR WIFI5 MESH AR2180T"/>
    <x v="0"/>
    <n v="80"/>
    <n v="1"/>
    <s v="Unidade"/>
    <s v="IMPORTADO"/>
    <s v="RESERVAS EM ATRASO"/>
    <s v="NET MASSIVO"/>
    <x v="1"/>
  </r>
  <r>
    <x v="349"/>
    <s v="N190"/>
    <x v="10"/>
    <d v="2024-06-04T00:00:00"/>
    <s v="X41"/>
    <n v="41001590"/>
    <s v="TERMINAL GPON ONT WIFI6 F6600P"/>
    <x v="0"/>
    <n v="120"/>
    <n v="1"/>
    <s v="Unidade"/>
    <s v="IMPORTADO"/>
    <s v="RESERVAS EM ATRASO"/>
    <s v="NET MASSIVO"/>
    <x v="1"/>
  </r>
  <r>
    <x v="350"/>
    <s v="N190"/>
    <x v="7"/>
    <d v="2024-06-04T00:00:00"/>
    <s v="X43"/>
    <n v="22026279"/>
    <s v="FONTE CX DIG HD DCR74X1 PACE"/>
    <x v="0"/>
    <n v="90"/>
    <n v="1"/>
    <s v="Unidade"/>
    <s v="IMPORTADO"/>
    <s v="RESERVAS EM ATRASO"/>
    <s v="NET MASSIVO"/>
    <x v="1"/>
  </r>
  <r>
    <x v="350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50"/>
    <s v="N190"/>
    <x v="10"/>
    <d v="2024-06-04T00:00:00"/>
    <s v="X43"/>
    <n v="22060422"/>
    <s v="CONTROLE REMOTO UNIFICADO RC4194202 01B"/>
    <x v="0"/>
    <n v="90"/>
    <n v="1"/>
    <s v="Unidade"/>
    <s v="IMPORTADO"/>
    <s v="RESERVAS EM ATRASO"/>
    <s v="NET MASSIVO"/>
    <x v="1"/>
  </r>
  <r>
    <x v="351"/>
    <s v="N190"/>
    <x v="7"/>
    <d v="2024-06-04T00:00:00"/>
    <s v="X41"/>
    <n v="41001234"/>
    <s v="SMART CARD AVULSO PRETO NOVO"/>
    <x v="0"/>
    <n v="90"/>
    <n v="1"/>
    <s v="Unidade"/>
    <s v="IMPORTADO"/>
    <s v="RESERVAS EM ATRASO"/>
    <s v="NET MASSIVO"/>
    <x v="1"/>
  </r>
  <r>
    <x v="351"/>
    <s v="N190"/>
    <x v="7"/>
    <d v="2024-06-04T00:00:00"/>
    <s v="X41"/>
    <n v="41001276"/>
    <s v="DECODER HD HNB100 2T"/>
    <x v="0"/>
    <n v="90"/>
    <n v="1"/>
    <s v="Unidade"/>
    <s v="IMPORTADO"/>
    <s v="RESERVAS EM ATRASO"/>
    <s v="NET MASSIVO"/>
    <x v="1"/>
  </r>
  <r>
    <x v="351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51"/>
    <s v="N190"/>
    <x v="10"/>
    <d v="2024-06-04T00:00:00"/>
    <s v="X41"/>
    <n v="41001567"/>
    <s v="TERMINAL EXTENSOR WIFI5 MESH AR2180T"/>
    <x v="0"/>
    <n v="90"/>
    <n v="1"/>
    <s v="Unidade"/>
    <s v="IMPORTADO"/>
    <s v="RESERVAS EM ATRASO"/>
    <s v="NET MASSIVO"/>
    <x v="1"/>
  </r>
  <r>
    <x v="351"/>
    <s v="N190"/>
    <x v="10"/>
    <d v="2024-06-04T00:00:00"/>
    <s v="X41"/>
    <n v="41001590"/>
    <s v="TERMINAL GPON ONT WIFI6 F6600P"/>
    <x v="0"/>
    <n v="40"/>
    <n v="1"/>
    <s v="Unidade"/>
    <s v="IMPORTADO"/>
    <s v="RESERVAS EM ATRASO"/>
    <s v="NET MASSIVO"/>
    <x v="1"/>
  </r>
  <r>
    <x v="352"/>
    <s v="N190"/>
    <x v="7"/>
    <d v="2024-06-04T00:00:00"/>
    <s v="X41"/>
    <n v="41000805"/>
    <s v="SMART CARD AVULSO SIM CARD"/>
    <x v="0"/>
    <n v="160"/>
    <n v="1"/>
    <s v="Unidade"/>
    <s v="EM RESSUPRIMENTO"/>
    <s v="RESERVAS EM ATRASO"/>
    <s v="NET MASSIVO"/>
    <x v="1"/>
  </r>
  <r>
    <x v="352"/>
    <s v="N190"/>
    <x v="7"/>
    <d v="2024-06-04T00:00:00"/>
    <s v="X41"/>
    <n v="41001047"/>
    <s v="DECODER HD THDC4 NET"/>
    <x v="0"/>
    <n v="160"/>
    <n v="1"/>
    <s v="Unidade"/>
    <s v="EM RESSUPRIMENTO"/>
    <s v="RESERVAS EM ATRASO"/>
    <s v="NET MASSIVO"/>
    <x v="1"/>
  </r>
  <r>
    <x v="353"/>
    <s v="N190"/>
    <x v="7"/>
    <d v="2024-06-04T00:00:00"/>
    <s v="X43"/>
    <n v="22026279"/>
    <s v="FONTE CX DIG HD DCR74X1 PACE"/>
    <x v="0"/>
    <n v="40"/>
    <n v="1"/>
    <s v="Unidade"/>
    <s v="IMPORTADO"/>
    <s v="RESERVAS EM ATRASO"/>
    <s v="NET MASSIVO"/>
    <x v="1"/>
  </r>
  <r>
    <x v="353"/>
    <s v="N190"/>
    <x v="10"/>
    <d v="2024-06-04T00:00:00"/>
    <s v="X43"/>
    <n v="22056332"/>
    <s v="FITA ISOLANTE AUTOFUSAO 3M SCOTCH23 10MT"/>
    <x v="0"/>
    <n v="14"/>
    <n v="1"/>
    <s v="Unidade"/>
    <s v="IMPORTADO"/>
    <s v="RESERVAS EM ATRASO"/>
    <s v="NET MASSIVO"/>
    <x v="1"/>
  </r>
  <r>
    <x v="353"/>
    <s v="N190"/>
    <x v="10"/>
    <d v="2024-06-04T00:00:00"/>
    <s v="X43"/>
    <n v="22060422"/>
    <s v="CONTROLE REMOTO UNIFICADO RC4194202 01B"/>
    <x v="0"/>
    <n v="40"/>
    <n v="1"/>
    <s v="Unidade"/>
    <s v="IMPORTADO"/>
    <s v="RESERVAS EM ATRASO"/>
    <s v="NET MASSIVO"/>
    <x v="1"/>
  </r>
  <r>
    <x v="354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54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55"/>
    <s v="N190"/>
    <x v="7"/>
    <d v="2024-06-04T00:00:00"/>
    <s v="X43"/>
    <n v="22026279"/>
    <s v="FONTE CX DIG HD DCR74X1 PACE"/>
    <x v="0"/>
    <n v="110"/>
    <n v="1"/>
    <s v="Unidade"/>
    <s v="IMPORTADO"/>
    <s v="RESERVAS EM ATRASO"/>
    <s v="NET MASSIVO"/>
    <x v="1"/>
  </r>
  <r>
    <x v="355"/>
    <s v="N190"/>
    <x v="10"/>
    <d v="2024-06-04T00:00:00"/>
    <s v="X43"/>
    <n v="22060422"/>
    <s v="CONTROLE REMOTO UNIFICADO RC4194202 01B"/>
    <x v="0"/>
    <n v="110"/>
    <n v="1"/>
    <s v="Unidade"/>
    <s v="IMPORTADO"/>
    <s v="RESERVAS EM ATRASO"/>
    <s v="NET MASSIVO"/>
    <x v="1"/>
  </r>
  <r>
    <x v="356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56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356"/>
    <s v="N190"/>
    <x v="10"/>
    <d v="2024-06-04T00:00:00"/>
    <s v="X41"/>
    <n v="41001567"/>
    <s v="TERMINAL EXTENSOR WIFI5 MESH AR2180T"/>
    <x v="0"/>
    <n v="90"/>
    <n v="1"/>
    <s v="Unidade"/>
    <s v="IMPORTADO"/>
    <s v="RESERVAS EM ATRASO"/>
    <s v="NET MASSIVO"/>
    <x v="1"/>
  </r>
  <r>
    <x v="356"/>
    <s v="N190"/>
    <x v="10"/>
    <d v="2024-06-04T00:00:00"/>
    <s v="X41"/>
    <n v="41001590"/>
    <s v="TERMINAL GPON ONT WIFI6 F6600P"/>
    <x v="0"/>
    <n v="370"/>
    <n v="1"/>
    <s v="Unidade"/>
    <s v="IMPORTADO"/>
    <s v="RESERVAS EM ATRASO"/>
    <s v="NET MASSIVO"/>
    <x v="1"/>
  </r>
  <r>
    <x v="357"/>
    <s v="N190"/>
    <x v="7"/>
    <d v="2024-06-04T00:00:00"/>
    <s v="X43"/>
    <n v="22026279"/>
    <s v="FONTE CX DIG HD DCR74X1 PACE"/>
    <x v="0"/>
    <n v="200"/>
    <n v="1"/>
    <s v="Unidade"/>
    <s v="IMPORTADO"/>
    <s v="RESERVAS EM ATRASO"/>
    <s v="NET MASSIVO"/>
    <x v="1"/>
  </r>
  <r>
    <x v="357"/>
    <s v="N190"/>
    <x v="7"/>
    <d v="2024-06-04T00:00:00"/>
    <s v="X43"/>
    <n v="22026293"/>
    <s v="FONTE EMTA WIFI 3.0 TG1692A 16"/>
    <x v="0"/>
    <n v="30"/>
    <n v="1"/>
    <s v="Unidade"/>
    <s v="IMPORTADO"/>
    <s v="RESERVAS EM ATRASO"/>
    <s v="NET MASSIVO"/>
    <x v="1"/>
  </r>
  <r>
    <x v="357"/>
    <s v="N190"/>
    <x v="10"/>
    <d v="2024-06-04T00:00:00"/>
    <s v="X43"/>
    <n v="22060422"/>
    <s v="CONTROLE REMOTO UNIFICADO RC4194202 01B"/>
    <x v="0"/>
    <n v="200"/>
    <n v="1"/>
    <s v="Unidade"/>
    <s v="IMPORTADO"/>
    <s v="RESERVAS EM ATRASO"/>
    <s v="NET MASSIVO"/>
    <x v="1"/>
  </r>
  <r>
    <x v="358"/>
    <s v="N190"/>
    <x v="7"/>
    <d v="2024-06-04T00:00:00"/>
    <s v="X41"/>
    <n v="41001234"/>
    <s v="SMART CARD AVULSO PRETO NOVO"/>
    <x v="0"/>
    <n v="200"/>
    <n v="1"/>
    <s v="Unidade"/>
    <s v="IMPORTADO"/>
    <s v="RESERVAS EM ATRASO"/>
    <s v="NET MASSIVO"/>
    <x v="1"/>
  </r>
  <r>
    <x v="358"/>
    <s v="N190"/>
    <x v="7"/>
    <d v="2024-06-04T00:00:00"/>
    <s v="X41"/>
    <n v="41001276"/>
    <s v="DECODER HD HNB100 2T"/>
    <x v="0"/>
    <n v="200"/>
    <n v="1"/>
    <s v="Unidade"/>
    <s v="IMPORTADO"/>
    <s v="RESERVAS EM ATRASO"/>
    <s v="NET MASSIVO"/>
    <x v="1"/>
  </r>
  <r>
    <x v="358"/>
    <s v="N190"/>
    <x v="7"/>
    <d v="2024-06-04T00:00:00"/>
    <s v="X41"/>
    <n v="41001292"/>
    <s v="EMTA WIFI 3.0 HGB10R-02 16X4"/>
    <x v="0"/>
    <n v="30"/>
    <n v="1"/>
    <s v="Unidade"/>
    <s v="IMPORTADO"/>
    <s v="RESERVAS EM ATRASO"/>
    <s v="NET MASSIVO"/>
    <x v="1"/>
  </r>
  <r>
    <x v="358"/>
    <s v="N190"/>
    <x v="10"/>
    <d v="2024-06-04T00:00:00"/>
    <s v="X41"/>
    <n v="41001567"/>
    <s v="TERMINAL EXTENSOR WIFI5 MESH AR2180T"/>
    <x v="0"/>
    <n v="50"/>
    <n v="1"/>
    <s v="Unidade"/>
    <s v="IMPORTADO"/>
    <s v="RESERVAS EM ATRASO"/>
    <s v="NET MASSIVO"/>
    <x v="1"/>
  </r>
  <r>
    <x v="358"/>
    <s v="N190"/>
    <x v="10"/>
    <d v="2024-06-04T00:00:00"/>
    <s v="X41"/>
    <n v="41001590"/>
    <s v="TERMINAL GPON ONT WIFI6 F6600P"/>
    <x v="0"/>
    <n v="180"/>
    <n v="1"/>
    <s v="Unidade"/>
    <s v="IMPORTADO"/>
    <s v="RESERVAS EM ATRASO"/>
    <s v="NET MASSIVO"/>
    <x v="1"/>
  </r>
  <r>
    <x v="359"/>
    <s v="N190"/>
    <x v="7"/>
    <d v="2024-06-04T00:00:00"/>
    <s v="X43"/>
    <n v="22026279"/>
    <s v="FONTE CX DIG HD DCR74X1 PACE"/>
    <x v="0"/>
    <n v="50"/>
    <n v="1"/>
    <s v="Unidade"/>
    <s v="IMPORTADO"/>
    <s v="RESERVAS EM ATRASO"/>
    <s v="NET MASSIVO"/>
    <x v="1"/>
  </r>
  <r>
    <x v="359"/>
    <s v="N190"/>
    <x v="10"/>
    <d v="2024-06-04T00:00:00"/>
    <s v="X43"/>
    <n v="22060422"/>
    <s v="CONTROLE REMOTO UNIFICADO RC4194202 01B"/>
    <x v="0"/>
    <n v="50"/>
    <n v="1"/>
    <s v="Unidade"/>
    <s v="IMPORTADO"/>
    <s v="RESERVAS EM ATRASO"/>
    <s v="NET MASSIVO"/>
    <x v="1"/>
  </r>
  <r>
    <x v="360"/>
    <s v="N190"/>
    <x v="7"/>
    <d v="2024-06-04T00:00:00"/>
    <s v="X41"/>
    <n v="41001234"/>
    <s v="SMART CARD AVULSO PRETO NOVO"/>
    <x v="0"/>
    <n v="50"/>
    <n v="1"/>
    <s v="Unidade"/>
    <s v="IMPORTADO"/>
    <s v="RESERVAS EM ATRASO"/>
    <s v="NET MASSIVO"/>
    <x v="1"/>
  </r>
  <r>
    <x v="360"/>
    <s v="N190"/>
    <x v="7"/>
    <d v="2024-06-04T00:00:00"/>
    <s v="X41"/>
    <n v="41001276"/>
    <s v="DECODER HD HNB100 2T"/>
    <x v="0"/>
    <n v="50"/>
    <n v="1"/>
    <s v="Unidade"/>
    <s v="IMPORTADO"/>
    <s v="RESERVAS EM ATRASO"/>
    <s v="NET MASSIVO"/>
    <x v="1"/>
  </r>
  <r>
    <x v="360"/>
    <s v="N190"/>
    <x v="10"/>
    <d v="2024-06-04T00:00:00"/>
    <s v="X41"/>
    <n v="41001590"/>
    <s v="TERMINAL GPON ONT WIFI6 F6600P"/>
    <x v="0"/>
    <n v="120"/>
    <n v="1"/>
    <s v="Unidade"/>
    <s v="IMPORTADO"/>
    <s v="RESERVAS EM ATRASO"/>
    <s v="NET MASSIVO"/>
    <x v="1"/>
  </r>
  <r>
    <x v="361"/>
    <s v="N190"/>
    <x v="7"/>
    <d v="2024-06-04T00:00:00"/>
    <s v="X43"/>
    <n v="22026279"/>
    <s v="FONTE CX DIG HD DCR74X1 PACE"/>
    <x v="0"/>
    <n v="70"/>
    <n v="1"/>
    <s v="Unidade"/>
    <s v="IMPORTADO"/>
    <s v="RESERVAS EM ATRASO"/>
    <s v="NET MASSIVO"/>
    <x v="1"/>
  </r>
  <r>
    <x v="361"/>
    <s v="N190"/>
    <x v="10"/>
    <d v="2024-06-04T00:00:00"/>
    <s v="X43"/>
    <n v="22060422"/>
    <s v="CONTROLE REMOTO UNIFICADO RC4194202 01B"/>
    <x v="0"/>
    <n v="70"/>
    <n v="1"/>
    <s v="Unidade"/>
    <s v="IMPORTADO"/>
    <s v="RESERVAS EM ATRASO"/>
    <s v="NET MASSIVO"/>
    <x v="1"/>
  </r>
  <r>
    <x v="362"/>
    <s v="N190"/>
    <x v="7"/>
    <d v="2024-06-04T00:00:00"/>
    <s v="X41"/>
    <n v="41001234"/>
    <s v="SMART CARD AVULSO PRETO NOVO"/>
    <x v="0"/>
    <n v="70"/>
    <n v="1"/>
    <s v="Unidade"/>
    <s v="IMPORTADO"/>
    <s v="RESERVAS EM ATRASO"/>
    <s v="NET MASSIVO"/>
    <x v="1"/>
  </r>
  <r>
    <x v="362"/>
    <s v="N190"/>
    <x v="7"/>
    <d v="2024-06-04T00:00:00"/>
    <s v="X41"/>
    <n v="41001276"/>
    <s v="DECODER HD HNB100 2T"/>
    <x v="0"/>
    <n v="70"/>
    <n v="1"/>
    <s v="Unidade"/>
    <s v="IMPORTADO"/>
    <s v="RESERVAS EM ATRASO"/>
    <s v="NET MASSIVO"/>
    <x v="1"/>
  </r>
  <r>
    <x v="362"/>
    <s v="N190"/>
    <x v="10"/>
    <d v="2024-06-04T00:00:00"/>
    <s v="X41"/>
    <n v="41001590"/>
    <s v="TERMINAL GPON ONT WIFI6 F6600P"/>
    <x v="0"/>
    <n v="20"/>
    <n v="1"/>
    <s v="Unidade"/>
    <s v="IMPORTADO"/>
    <s v="RESERVAS EM ATRASO"/>
    <s v="NET MASSIVO"/>
    <x v="1"/>
  </r>
  <r>
    <x v="363"/>
    <s v="N190"/>
    <x v="7"/>
    <d v="2024-06-04T00:00:00"/>
    <s v="X43"/>
    <n v="22026279"/>
    <s v="FONTE CX DIG HD DCR74X1 PACE"/>
    <x v="0"/>
    <n v="230"/>
    <n v="1"/>
    <s v="Unidade"/>
    <s v="IMPORTADO"/>
    <s v="RESERVAS EM ATRASO"/>
    <s v="NET MASSIVO"/>
    <x v="1"/>
  </r>
  <r>
    <x v="363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63"/>
    <s v="N190"/>
    <x v="10"/>
    <d v="2024-06-04T00:00:00"/>
    <s v="X43"/>
    <n v="22060422"/>
    <s v="CONTROLE REMOTO UNIFICADO RC4194202 01B"/>
    <x v="0"/>
    <n v="230"/>
    <n v="1"/>
    <s v="Unidade"/>
    <s v="IMPORTADO"/>
    <s v="RESERVAS EM ATRASO"/>
    <s v="NET MASSIVO"/>
    <x v="1"/>
  </r>
  <r>
    <x v="364"/>
    <s v="N190"/>
    <x v="7"/>
    <d v="2024-06-04T00:00:00"/>
    <s v="X41"/>
    <n v="41001234"/>
    <s v="SMART CARD AVULSO PRETO NOVO"/>
    <x v="0"/>
    <n v="230"/>
    <n v="1"/>
    <s v="Unidade"/>
    <s v="IMPORTADO"/>
    <s v="RESERVAS EM ATRASO"/>
    <s v="NET MASSIVO"/>
    <x v="1"/>
  </r>
  <r>
    <x v="364"/>
    <s v="N190"/>
    <x v="7"/>
    <d v="2024-06-04T00:00:00"/>
    <s v="X41"/>
    <n v="41001276"/>
    <s v="DECODER HD HNB100 2T"/>
    <x v="0"/>
    <n v="230"/>
    <n v="1"/>
    <s v="Unidade"/>
    <s v="IMPORTADO"/>
    <s v="RESERVAS EM ATRASO"/>
    <s v="NET MASSIVO"/>
    <x v="1"/>
  </r>
  <r>
    <x v="364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65"/>
    <s v="N190"/>
    <x v="7"/>
    <d v="2024-06-04T00:00:00"/>
    <s v="X43"/>
    <n v="22026279"/>
    <s v="FONTE CX DIG HD DCR74X1 PACE"/>
    <x v="0"/>
    <n v="40"/>
    <n v="1"/>
    <s v="Unidade"/>
    <s v="IMPORTADO"/>
    <s v="RESERVAS EM ATRASO"/>
    <s v="NET MASSIVO"/>
    <x v="1"/>
  </r>
  <r>
    <x v="365"/>
    <s v="N190"/>
    <x v="7"/>
    <d v="2024-06-04T00:00:00"/>
    <s v="X43"/>
    <n v="22026293"/>
    <s v="FONTE EMTA WIFI 3.0 TG1692A 16"/>
    <x v="0"/>
    <n v="50"/>
    <n v="1"/>
    <s v="Unidade"/>
    <s v="IMPORTADO"/>
    <s v="RESERVAS EM ATRASO"/>
    <s v="NET MASSIVO"/>
    <x v="1"/>
  </r>
  <r>
    <x v="365"/>
    <s v="N190"/>
    <x v="10"/>
    <d v="2024-06-04T00:00:00"/>
    <s v="X43"/>
    <n v="22060422"/>
    <s v="CONTROLE REMOTO UNIFICADO RC4194202 01B"/>
    <x v="0"/>
    <n v="40"/>
    <n v="1"/>
    <s v="Unidade"/>
    <s v="IMPORTADO"/>
    <s v="RESERVAS EM ATRASO"/>
    <s v="NET MASSIVO"/>
    <x v="1"/>
  </r>
  <r>
    <x v="366"/>
    <s v="N190"/>
    <x v="7"/>
    <d v="2024-06-04T00:00:00"/>
    <s v="X41"/>
    <n v="41001234"/>
    <s v="SMART CARD AVULSO PRETO NOVO"/>
    <x v="0"/>
    <n v="40"/>
    <n v="1"/>
    <s v="Unidade"/>
    <s v="IMPORTADO"/>
    <s v="RESERVAS EM ATRASO"/>
    <s v="NET MASSIVO"/>
    <x v="1"/>
  </r>
  <r>
    <x v="366"/>
    <s v="N190"/>
    <x v="7"/>
    <d v="2024-06-04T00:00:00"/>
    <s v="X41"/>
    <n v="41001276"/>
    <s v="DECODER HD HNB100 2T"/>
    <x v="0"/>
    <n v="40"/>
    <n v="1"/>
    <s v="Unidade"/>
    <s v="IMPORTADO"/>
    <s v="RESERVAS EM ATRASO"/>
    <s v="NET MASSIVO"/>
    <x v="1"/>
  </r>
  <r>
    <x v="366"/>
    <s v="N190"/>
    <x v="7"/>
    <d v="2024-06-04T00:00:00"/>
    <s v="X41"/>
    <n v="41001292"/>
    <s v="EMTA WIFI 3.0 HGB10R-02 16X4"/>
    <x v="0"/>
    <n v="50"/>
    <n v="1"/>
    <s v="Unidade"/>
    <s v="IMPORTADO"/>
    <s v="RESERVAS EM ATRASO"/>
    <s v="NET MASSIVO"/>
    <x v="1"/>
  </r>
  <r>
    <x v="366"/>
    <s v="N190"/>
    <x v="10"/>
    <d v="2024-06-04T00:00:00"/>
    <s v="X41"/>
    <n v="41001590"/>
    <s v="TERMINAL GPON ONT WIFI6 F6600P"/>
    <x v="0"/>
    <n v="60"/>
    <n v="1"/>
    <s v="Unidade"/>
    <s v="IMPORTADO"/>
    <s v="RESERVAS EM ATRASO"/>
    <s v="NET MASSIVO"/>
    <x v="1"/>
  </r>
  <r>
    <x v="367"/>
    <s v="N190"/>
    <x v="7"/>
    <d v="2024-06-04T00:00:00"/>
    <s v="X43"/>
    <n v="22025114"/>
    <s v="MARCADOR CASA PTO LETRA A"/>
    <x v="0"/>
    <n v="50"/>
    <n v="1"/>
    <s v="Unidade"/>
    <s v="EM RESSUPRIMENTO"/>
    <s v="RESERVAS EM ATRASO"/>
    <s v="NET MASSIVO"/>
    <x v="1"/>
  </r>
  <r>
    <x v="367"/>
    <s v="N190"/>
    <x v="10"/>
    <d v="2024-06-04T00:00:00"/>
    <s v="X43"/>
    <n v="22025139"/>
    <s v="FIXADOR FIO BR RG6 CIRCUL 7MM"/>
    <x v="0"/>
    <n v="1000"/>
    <n v="1"/>
    <s v="Unidade"/>
    <s v="EM RESSUPRIMENTO"/>
    <s v="RESERVAS EM ATRASO"/>
    <s v="NET MASSIVO"/>
    <x v="1"/>
  </r>
  <r>
    <x v="367"/>
    <s v="N190"/>
    <x v="7"/>
    <d v="2024-06-04T00:00:00"/>
    <s v="X43"/>
    <n v="22026103"/>
    <s v="CABO HDMI 2MTS BASICO SEM ETHE"/>
    <x v="0"/>
    <n v="5"/>
    <n v="1"/>
    <s v="Unidade"/>
    <s v="EM RESSUPRIMENTO"/>
    <s v="RESERVAS EM ATRASO"/>
    <s v="NET MASSIVO"/>
    <x v="1"/>
  </r>
  <r>
    <x v="367"/>
    <s v="N190"/>
    <x v="10"/>
    <d v="2024-06-04T00:00:00"/>
    <s v="X43"/>
    <n v="22026189"/>
    <s v="CONEC_RI COMPRESSAO F-6"/>
    <x v="0"/>
    <n v="2650"/>
    <n v="1"/>
    <s v="Unidade"/>
    <s v="EM RESSUPRIMENTO"/>
    <s v="RESERVAS EM ATRASO"/>
    <s v="NET MASSIVO"/>
    <x v="1"/>
  </r>
  <r>
    <x v="367"/>
    <s v="N190"/>
    <x v="10"/>
    <d v="2024-06-04T00:00:00"/>
    <s v="X43"/>
    <n v="22026746"/>
    <s v="DC_RI 1S 09DB 1GHZ H SOLDADO"/>
    <x v="0"/>
    <n v="150"/>
    <n v="1"/>
    <s v="Unidade"/>
    <s v="EM RESSUPRIMENTO"/>
    <s v="RESERVAS EM ATRASO"/>
    <s v="NET MASSIVO"/>
    <x v="1"/>
  </r>
  <r>
    <x v="367"/>
    <s v="N190"/>
    <x v="10"/>
    <d v="2024-06-04T00:00:00"/>
    <s v="X43"/>
    <n v="22026792"/>
    <s v="DIV_RI 3S 1GHZ H SOLD DESB 488"/>
    <x v="0"/>
    <n v="50"/>
    <n v="1"/>
    <s v="Unidade"/>
    <s v="EM RESSUPRIMENTO"/>
    <s v="RESERVAS EM ATRASO"/>
    <s v="NET MASSIVO"/>
    <x v="1"/>
  </r>
  <r>
    <x v="367"/>
    <s v="N190"/>
    <x v="10"/>
    <d v="2024-06-04T00:00:00"/>
    <s v="X43"/>
    <n v="22026795"/>
    <s v="DIV_RI 3S 1GHZ H SOLD BAL 777"/>
    <x v="0"/>
    <n v="50"/>
    <n v="1"/>
    <s v="Unidade"/>
    <s v="EM RESSUPRIMENTO"/>
    <s v="RESERVAS EM ATRASO"/>
    <s v="NET MASSIVO"/>
    <x v="1"/>
  </r>
  <r>
    <x v="367"/>
    <s v="N190"/>
    <x v="10"/>
    <d v="2024-06-04T00:00:00"/>
    <s v="X43"/>
    <n v="22056331"/>
    <s v="MARCADOR CASA PTO NR 5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32"/>
    <s v="FITA ISOLANTE AUTOFUSAO 3M SCOTCH23 10MT"/>
    <x v="0"/>
    <n v="4"/>
    <n v="1"/>
    <s v="Unidade"/>
    <s v="EM RESSUPRIMENTO"/>
    <s v="RESERVAS EM ATRASO"/>
    <s v="NET MASSIVO"/>
    <x v="1"/>
  </r>
  <r>
    <x v="367"/>
    <s v="N190"/>
    <x v="10"/>
    <d v="2024-06-04T00:00:00"/>
    <s v="X43"/>
    <n v="22056336"/>
    <s v="MARCADOR CASA PTO NR 6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37"/>
    <s v="MARCADOR CASA PTO NR 8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39"/>
    <s v="MARCADOR CASA PTO NR 9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43"/>
    <s v="MARCADOR CASA PTO NR 1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44"/>
    <s v="MARCADOR CASA PTO NR 2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45"/>
    <s v="MARCADOR CASA PTO NR 3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56369"/>
    <s v="CABO UTP CAT5E ETHERNET NET"/>
    <x v="0"/>
    <n v="200"/>
    <n v="1"/>
    <s v="Unidade"/>
    <s v="EM RESSUPRIMENTO"/>
    <s v="RESERVAS EM ATRASO"/>
    <s v="NET MASSIVO"/>
    <x v="1"/>
  </r>
  <r>
    <x v="367"/>
    <s v="N190"/>
    <x v="10"/>
    <d v="2024-06-04T00:00:00"/>
    <s v="X43"/>
    <n v="22057635"/>
    <s v="FIXADOR FIO PT RG6"/>
    <x v="0"/>
    <n v="500"/>
    <n v="1"/>
    <s v="Unidade"/>
    <s v="EM RESSUPRIMENTO"/>
    <s v="RESERVAS EM ATRASO"/>
    <s v="NET MASSIVO"/>
    <x v="1"/>
  </r>
  <r>
    <x v="367"/>
    <s v="N190"/>
    <x v="7"/>
    <d v="2024-06-04T00:00:00"/>
    <s v="X43"/>
    <n v="22057705"/>
    <s v="FONTE CX DIG HD DCR74X1 LITEON"/>
    <x v="0"/>
    <n v="2"/>
    <n v="1"/>
    <s v="Unidade"/>
    <s v="EM RESSUPRIMENTO"/>
    <s v="RESERVAS EM ATRASO"/>
    <s v="NET MASSIVO"/>
    <x v="1"/>
  </r>
  <r>
    <x v="367"/>
    <s v="N190"/>
    <x v="10"/>
    <d v="2024-06-04T00:00:00"/>
    <s v="X43"/>
    <n v="22060738"/>
    <s v="FIXADOR FIO BR RG6 CIRCUL 7MM"/>
    <x v="0"/>
    <n v="200"/>
    <n v="1"/>
    <s v="Unidade"/>
    <s v="EM RESSUPRIMENTO"/>
    <s v="RESERVAS EM ATRASO"/>
    <s v="NET MASSIVO"/>
    <x v="1"/>
  </r>
  <r>
    <x v="367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65722"/>
    <s v="MARCADOR CASA PRETO NR 4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65725"/>
    <s v="MARCADOR CASA PRETO NR 7"/>
    <x v="0"/>
    <n v="100"/>
    <n v="1"/>
    <s v="Unidade"/>
    <s v="EM RESSUPRIMENTO"/>
    <s v="RESERVAS EM ATRASO"/>
    <s v="NET MASSIVO"/>
    <x v="1"/>
  </r>
  <r>
    <x v="367"/>
    <s v="N190"/>
    <x v="10"/>
    <d v="2024-06-04T00:00:00"/>
    <s v="X43"/>
    <n v="22065726"/>
    <s v="MARCADOR CASA PRETO NR 8"/>
    <x v="0"/>
    <n v="100"/>
    <n v="1"/>
    <s v="Unidade"/>
    <s v="EM RESSUPRIMENTO"/>
    <s v="RESERVAS EM ATRASO"/>
    <s v="NET MASSIVO"/>
    <x v="1"/>
  </r>
  <r>
    <x v="368"/>
    <s v="N190"/>
    <x v="7"/>
    <d v="2024-06-04T00:00:00"/>
    <s v="X41"/>
    <n v="41000805"/>
    <s v="SMART CARD AVULSO SIM CARD"/>
    <x v="0"/>
    <n v="230"/>
    <n v="1"/>
    <s v="Unidade"/>
    <s v="EM RESSUPRIMENTO"/>
    <s v="RESERVAS EM ATRASO"/>
    <s v="NET MASSIVO"/>
    <x v="1"/>
  </r>
  <r>
    <x v="368"/>
    <s v="N190"/>
    <x v="7"/>
    <d v="2024-06-04T00:00:00"/>
    <s v="X41"/>
    <n v="41001047"/>
    <s v="DECODER HD THDC4 NET"/>
    <x v="0"/>
    <n v="230"/>
    <n v="1"/>
    <s v="Unidade"/>
    <s v="EM RESSUPRIMENTO"/>
    <s v="RESERVAS EM ATRASO"/>
    <s v="NET MASSIVO"/>
    <x v="1"/>
  </r>
  <r>
    <x v="369"/>
    <s v="N190"/>
    <x v="7"/>
    <d v="2024-06-04T00:00:00"/>
    <s v="X43"/>
    <n v="22026279"/>
    <s v="FONTE CX DIG HD DCR74X1 PACE"/>
    <x v="0"/>
    <n v="90"/>
    <n v="1"/>
    <s v="Unidade"/>
    <s v="IMPORTADO"/>
    <s v="RESERVAS EM ATRASO"/>
    <s v="NET MASSIVO"/>
    <x v="1"/>
  </r>
  <r>
    <x v="369"/>
    <s v="N190"/>
    <x v="10"/>
    <d v="2024-06-04T00:00:00"/>
    <s v="X43"/>
    <n v="22060422"/>
    <s v="CONTROLE REMOTO UNIFICADO RC4194202 01B"/>
    <x v="0"/>
    <n v="90"/>
    <n v="1"/>
    <s v="Unidade"/>
    <s v="IMPORTADO"/>
    <s v="RESERVAS EM ATRASO"/>
    <s v="NET MASSIVO"/>
    <x v="1"/>
  </r>
  <r>
    <x v="370"/>
    <s v="N190"/>
    <x v="7"/>
    <d v="2024-06-04T00:00:00"/>
    <s v="X41"/>
    <n v="41001234"/>
    <s v="SMART CARD AVULSO PRETO NOVO"/>
    <x v="0"/>
    <n v="90"/>
    <n v="1"/>
    <s v="Unidade"/>
    <s v="IMPORTADO"/>
    <s v="RESERVAS EM ATRASO"/>
    <s v="NET MASSIVO"/>
    <x v="1"/>
  </r>
  <r>
    <x v="370"/>
    <s v="N190"/>
    <x v="7"/>
    <d v="2024-06-04T00:00:00"/>
    <s v="X41"/>
    <n v="41001276"/>
    <s v="DECODER HD HNB100 2T"/>
    <x v="0"/>
    <n v="90"/>
    <n v="1"/>
    <s v="Unidade"/>
    <s v="IMPORTADO"/>
    <s v="RESERVAS EM ATRASO"/>
    <s v="NET MASSIVO"/>
    <x v="1"/>
  </r>
  <r>
    <x v="370"/>
    <s v="N190"/>
    <x v="10"/>
    <d v="2024-06-04T00:00:00"/>
    <s v="X41"/>
    <n v="41001590"/>
    <s v="TERMINAL GPON ONT WIFI6 F6600P"/>
    <x v="0"/>
    <n v="260"/>
    <n v="1"/>
    <s v="Unidade"/>
    <s v="IMPORTADO"/>
    <s v="RESERVAS EM ATRASO"/>
    <s v="NET MASSIVO"/>
    <x v="1"/>
  </r>
  <r>
    <x v="371"/>
    <s v="N190"/>
    <x v="7"/>
    <d v="2024-06-04T00:00:00"/>
    <s v="X41"/>
    <n v="41000805"/>
    <s v="SMART CARD AVULSO SIM CARD"/>
    <x v="0"/>
    <n v="280"/>
    <n v="1"/>
    <s v="Unidade"/>
    <s v="EM RESSUPRIMENTO"/>
    <s v="RESERVAS EM ATRASO"/>
    <s v="NET MASSIVO"/>
    <x v="1"/>
  </r>
  <r>
    <x v="371"/>
    <s v="N190"/>
    <x v="7"/>
    <d v="2024-06-04T00:00:00"/>
    <s v="X41"/>
    <n v="41001047"/>
    <s v="DECODER HD THDC4 NET"/>
    <x v="0"/>
    <n v="260"/>
    <n v="1"/>
    <s v="Unidade"/>
    <s v="EM RESSUPRIMENTO"/>
    <s v="RESERVAS EM ATRASO"/>
    <s v="NET MASSIVO"/>
    <x v="1"/>
  </r>
  <r>
    <x v="371"/>
    <s v="N190"/>
    <x v="7"/>
    <d v="2024-06-04T00:00:00"/>
    <s v="X41"/>
    <n v="41001484"/>
    <s v="DECODER 4K ULTRA HD DGCI363 COM IG"/>
    <x v="0"/>
    <n v="20"/>
    <n v="1"/>
    <s v="Unidade"/>
    <s v="EM RESSUPRIMENTO"/>
    <s v="RESERVAS EM ATRASO"/>
    <s v="NET MASSIVO"/>
    <x v="1"/>
  </r>
  <r>
    <x v="372"/>
    <s v="N190"/>
    <x v="7"/>
    <d v="2024-06-04T00:00:00"/>
    <s v="X43"/>
    <n v="22025116"/>
    <s v="MARCADOR CASA PTO LETRA C"/>
    <x v="0"/>
    <n v="30"/>
    <n v="1"/>
    <s v="Unidade"/>
    <s v="EM RESSUPRIMENTO"/>
    <s v="RESERVAS EM ATRASO"/>
    <s v="NET MASSIVO"/>
    <x v="1"/>
  </r>
  <r>
    <x v="372"/>
    <s v="N190"/>
    <x v="10"/>
    <d v="2024-06-04T00:00:00"/>
    <s v="X43"/>
    <n v="22025136"/>
    <s v="BUCHA ACABAMENTO CABO RG6-59 BRANCA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25139"/>
    <s v="FIXADOR FIO BR RG6 CIRCUL 7MM"/>
    <x v="0"/>
    <n v="700"/>
    <n v="1"/>
    <s v="Unidade"/>
    <s v="EM RESSUPRIMENTO"/>
    <s v="RESERVAS EM ATRASO"/>
    <s v="NET MASSIVO"/>
    <x v="1"/>
  </r>
  <r>
    <x v="372"/>
    <s v="N190"/>
    <x v="10"/>
    <d v="2024-06-04T00:00:00"/>
    <s v="X43"/>
    <n v="22025162"/>
    <s v="MARCADOR APTO NUM 0 TIPO HO85 AMARELO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25241"/>
    <s v="MARCADOR APTO NUM 3 TIPO HO85 AMARELO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25250"/>
    <s v="MARCADOR APTO NUM 1 TIPO HO85 AMARELO"/>
    <x v="0"/>
    <n v="100"/>
    <n v="1"/>
    <s v="Unidade"/>
    <s v="EM RESSUPRIMENTO"/>
    <s v="RESERVAS EM ATRASO"/>
    <s v="NET MASSIVO"/>
    <x v="1"/>
  </r>
  <r>
    <x v="372"/>
    <s v="N190"/>
    <x v="7"/>
    <d v="2024-06-04T00:00:00"/>
    <s v="X43"/>
    <n v="22026103"/>
    <s v="CABO HDMI 2MTS BASICO SEM ETHE"/>
    <x v="0"/>
    <n v="5"/>
    <n v="1"/>
    <s v="Unidade"/>
    <s v="EM RESSUPRIMENTO"/>
    <s v="RESERVAS EM ATRASO"/>
    <s v="NET MASSIVO"/>
    <x v="1"/>
  </r>
  <r>
    <x v="372"/>
    <s v="N190"/>
    <x v="10"/>
    <d v="2024-06-04T00:00:00"/>
    <s v="X43"/>
    <n v="22026544"/>
    <s v="SUPORTE GALVANIZADO U SPAN CLAMP"/>
    <x v="0"/>
    <n v="50"/>
    <n v="1"/>
    <s v="Unidade"/>
    <s v="EM RESSUPRIMENTO"/>
    <s v="RESERVAS EM ATRASO"/>
    <s v="NET MASSIVO"/>
    <x v="1"/>
  </r>
  <r>
    <x v="372"/>
    <s v="N190"/>
    <x v="10"/>
    <d v="2024-06-04T00:00:00"/>
    <s v="X43"/>
    <n v="22026792"/>
    <s v="DIV_RI 3S 1GHZ H SOLD DESB 488"/>
    <x v="0"/>
    <n v="50"/>
    <n v="1"/>
    <s v="Unidade"/>
    <s v="EM RESSUPRIMENTO"/>
    <s v="RESERVAS EM ATRASO"/>
    <s v="NET MASSIVO"/>
    <x v="1"/>
  </r>
  <r>
    <x v="372"/>
    <s v="N190"/>
    <x v="10"/>
    <d v="2024-06-04T00:00:00"/>
    <s v="X43"/>
    <n v="22026795"/>
    <s v="DIV_RI 3S 1GHZ H SOLD BAL 777"/>
    <x v="0"/>
    <n v="50"/>
    <n v="1"/>
    <s v="Unidade"/>
    <s v="EM RESSUPRIMENTO"/>
    <s v="RESERVAS EM ATRASO"/>
    <s v="NET MASSIVO"/>
    <x v="1"/>
  </r>
  <r>
    <x v="372"/>
    <s v="N190"/>
    <x v="10"/>
    <d v="2024-06-04T00:00:00"/>
    <s v="X43"/>
    <n v="22026809"/>
    <s v="DC_RI 1S 06DB 1GHZ H SOLDADO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31"/>
    <s v="MARCADOR CASA PTO NR 5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36"/>
    <s v="MARCADOR CASA PTO NR 6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37"/>
    <s v="MARCADOR CASA PTO NR 8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39"/>
    <s v="MARCADOR CASA PTO NR 9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43"/>
    <s v="MARCADOR CASA PTO NR 1"/>
    <x v="0"/>
    <n v="150"/>
    <n v="1"/>
    <s v="Unidade"/>
    <s v="EM RESSUPRIMENTO"/>
    <s v="RESERVAS EM ATRASO"/>
    <s v="NET MASSIVO"/>
    <x v="1"/>
  </r>
  <r>
    <x v="372"/>
    <s v="N190"/>
    <x v="10"/>
    <d v="2024-06-04T00:00:00"/>
    <s v="X43"/>
    <n v="22056344"/>
    <s v="MARCADOR CASA PTO NR 2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45"/>
    <s v="MARCADOR CASA PTO NR 3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56369"/>
    <s v="CABO UTP CAT5E ETHERNET NET"/>
    <x v="0"/>
    <n v="300"/>
    <n v="1"/>
    <s v="Unidade"/>
    <s v="EM RESSUPRIMENTO"/>
    <s v="RESERVAS EM ATRASO"/>
    <s v="NET MASSIVO"/>
    <x v="1"/>
  </r>
  <r>
    <x v="372"/>
    <s v="N190"/>
    <x v="10"/>
    <d v="2024-06-04T00:00:00"/>
    <s v="X43"/>
    <n v="22057635"/>
    <s v="FIXADOR FIO PT RG6"/>
    <x v="0"/>
    <n v="500"/>
    <n v="1"/>
    <s v="Unidade"/>
    <s v="EM RESSUPRIMENTO"/>
    <s v="RESERVAS EM ATRASO"/>
    <s v="NET MASSIVO"/>
    <x v="1"/>
  </r>
  <r>
    <x v="372"/>
    <s v="N190"/>
    <x v="7"/>
    <d v="2024-06-04T00:00:00"/>
    <s v="X43"/>
    <n v="22057705"/>
    <s v="FONTE CX DIG HD DCR74X1 LITEON"/>
    <x v="0"/>
    <n v="2"/>
    <n v="1"/>
    <s v="Unidade"/>
    <s v="EM RESSUPRIMENTO"/>
    <s v="RESERVAS EM ATRASO"/>
    <s v="NET MASSIVO"/>
    <x v="1"/>
  </r>
  <r>
    <x v="372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65718"/>
    <s v="MARCADOR CASA PRETO NR 0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65720"/>
    <s v="MARCADOR CASA PRETO NR 2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65722"/>
    <s v="MARCADOR CASA PRETO NR 4"/>
    <x v="0"/>
    <n v="100"/>
    <n v="1"/>
    <s v="Unidade"/>
    <s v="EM RESSUPRIMENTO"/>
    <s v="RESERVAS EM ATRASO"/>
    <s v="NET MASSIVO"/>
    <x v="1"/>
  </r>
  <r>
    <x v="372"/>
    <s v="N190"/>
    <x v="10"/>
    <d v="2024-06-04T00:00:00"/>
    <s v="X43"/>
    <n v="22065725"/>
    <s v="MARCADOR CASA PRETO NR 7"/>
    <x v="0"/>
    <n v="100"/>
    <n v="1"/>
    <s v="Unidade"/>
    <s v="EM RESSUPRIMENTO"/>
    <s v="RESERVAS EM ATRASO"/>
    <s v="NET MASSIVO"/>
    <x v="1"/>
  </r>
  <r>
    <x v="373"/>
    <s v="N190"/>
    <x v="7"/>
    <d v="2024-06-04T00:00:00"/>
    <s v="X41"/>
    <n v="41000805"/>
    <s v="SMART CARD AVULSO SIM CARD"/>
    <x v="0"/>
    <n v="140"/>
    <n v="1"/>
    <s v="Unidade"/>
    <s v="EM RESSUPRIMENTO"/>
    <s v="RESERVAS EM ATRASO"/>
    <s v="NET MASSIVO"/>
    <x v="1"/>
  </r>
  <r>
    <x v="373"/>
    <s v="N190"/>
    <x v="7"/>
    <d v="2024-06-04T00:00:00"/>
    <s v="X41"/>
    <n v="41001047"/>
    <s v="DECODER HD THDC4 NET"/>
    <x v="0"/>
    <n v="120"/>
    <n v="1"/>
    <s v="Unidade"/>
    <s v="EM RESSUPRIMENTO"/>
    <s v="RESERVAS EM ATRASO"/>
    <s v="NET MASSIVO"/>
    <x v="1"/>
  </r>
  <r>
    <x v="373"/>
    <s v="N190"/>
    <x v="7"/>
    <d v="2024-06-04T00:00:00"/>
    <s v="X41"/>
    <n v="41001484"/>
    <s v="DECODER 4K ULTRA HD DGCI363 COM IG"/>
    <x v="0"/>
    <n v="20"/>
    <n v="1"/>
    <s v="Unidade"/>
    <s v="EM RESSUPRIMENTO"/>
    <s v="RESERVAS EM ATRASO"/>
    <s v="NET MASSIVO"/>
    <x v="1"/>
  </r>
  <r>
    <x v="374"/>
    <s v="N190"/>
    <x v="7"/>
    <d v="2024-06-04T00:00:00"/>
    <s v="X43"/>
    <n v="22026279"/>
    <s v="FONTE CX DIG HD DCR74X1 PACE"/>
    <x v="0"/>
    <n v="110"/>
    <n v="1"/>
    <s v="Unidade"/>
    <s v="IMPORTADO"/>
    <s v="RESERVAS EM ATRASO"/>
    <s v="NET MASSIVO"/>
    <x v="1"/>
  </r>
  <r>
    <x v="374"/>
    <s v="N190"/>
    <x v="7"/>
    <d v="2024-06-04T00:00:00"/>
    <s v="X43"/>
    <n v="22026293"/>
    <s v="FONTE EMTA WIFI 3.0 TG1692A 16"/>
    <x v="0"/>
    <n v="70"/>
    <n v="1"/>
    <s v="Unidade"/>
    <s v="IMPORTADO"/>
    <s v="RESERVAS EM ATRASO"/>
    <s v="NET MASSIVO"/>
    <x v="1"/>
  </r>
  <r>
    <x v="374"/>
    <s v="N190"/>
    <x v="10"/>
    <d v="2024-06-04T00:00:00"/>
    <s v="X43"/>
    <n v="22060422"/>
    <s v="CONTROLE REMOTO UNIFICADO RC4194202 01B"/>
    <x v="0"/>
    <n v="110"/>
    <n v="1"/>
    <s v="Unidade"/>
    <s v="IMPORTADO"/>
    <s v="RESERVAS EM ATRASO"/>
    <s v="NET MASSIVO"/>
    <x v="1"/>
  </r>
  <r>
    <x v="375"/>
    <s v="N190"/>
    <x v="7"/>
    <d v="2024-06-04T00:00:00"/>
    <s v="X41"/>
    <n v="41001234"/>
    <s v="SMART CARD AVULSO PRETO NOVO"/>
    <x v="0"/>
    <n v="110"/>
    <n v="1"/>
    <s v="Unidade"/>
    <s v="IMPORTADO"/>
    <s v="RESERVAS EM ATRASO"/>
    <s v="NET MASSIVO"/>
    <x v="1"/>
  </r>
  <r>
    <x v="375"/>
    <s v="N190"/>
    <x v="7"/>
    <d v="2024-06-04T00:00:00"/>
    <s v="X41"/>
    <n v="41001276"/>
    <s v="DECODER HD HNB100 2T"/>
    <x v="0"/>
    <n v="110"/>
    <n v="1"/>
    <s v="Unidade"/>
    <s v="IMPORTADO"/>
    <s v="RESERVAS EM ATRASO"/>
    <s v="NET MASSIVO"/>
    <x v="1"/>
  </r>
  <r>
    <x v="375"/>
    <s v="N190"/>
    <x v="7"/>
    <d v="2024-06-04T00:00:00"/>
    <s v="X41"/>
    <n v="41001292"/>
    <s v="EMTA WIFI 3.0 HGB10R-02 16X4"/>
    <x v="0"/>
    <n v="70"/>
    <n v="1"/>
    <s v="Unidade"/>
    <s v="IMPORTADO"/>
    <s v="RESERVAS EM ATRASO"/>
    <s v="NET MASSIVO"/>
    <x v="1"/>
  </r>
  <r>
    <x v="375"/>
    <s v="N190"/>
    <x v="10"/>
    <d v="2024-06-04T00:00:00"/>
    <s v="X41"/>
    <n v="41001567"/>
    <s v="TERMINAL EXTENSOR WIFI5 MESH AR2180T"/>
    <x v="0"/>
    <n v="100"/>
    <n v="1"/>
    <s v="Unidade"/>
    <s v="IMPORTADO"/>
    <s v="RESERVAS EM ATRASO"/>
    <s v="NET MASSIVO"/>
    <x v="1"/>
  </r>
  <r>
    <x v="375"/>
    <s v="N190"/>
    <x v="10"/>
    <d v="2024-06-04T00:00:00"/>
    <s v="X41"/>
    <n v="41001590"/>
    <s v="TERMINAL GPON ONT WIFI6 F6600P"/>
    <x v="0"/>
    <n v="180"/>
    <n v="1"/>
    <s v="Unidade"/>
    <s v="IMPORTADO"/>
    <s v="RESERVAS EM ATRASO"/>
    <s v="NET MASSIVO"/>
    <x v="1"/>
  </r>
  <r>
    <x v="376"/>
    <s v="N190"/>
    <x v="7"/>
    <d v="2024-06-04T00:00:00"/>
    <s v="X51"/>
    <n v="41000805"/>
    <s v="SMART CARD AVULSO SIM CARD"/>
    <x v="0"/>
    <n v="40"/>
    <n v="1"/>
    <s v="Unidade"/>
    <s v="IMPORTADO"/>
    <s v="RESERVAS EM ATRASO"/>
    <s v="NET MASSIVO"/>
    <x v="1"/>
  </r>
  <r>
    <x v="376"/>
    <s v="N190"/>
    <x v="7"/>
    <d v="2024-06-04T00:00:00"/>
    <s v="X51"/>
    <n v="41001047"/>
    <s v="DECODER HD THDC4 NET"/>
    <x v="0"/>
    <n v="40"/>
    <n v="1"/>
    <s v="Unidade"/>
    <s v="IMPORTADO"/>
    <s v="RESERVAS EM ATRASO"/>
    <s v="NET MASSIVO"/>
    <x v="1"/>
  </r>
  <r>
    <x v="377"/>
    <s v="N190"/>
    <x v="7"/>
    <d v="2024-06-04T00:00:00"/>
    <s v="X43"/>
    <n v="22025114"/>
    <s v="MARCADOR CASA PTO LETRA A"/>
    <x v="0"/>
    <n v="20"/>
    <n v="1"/>
    <s v="Unidade"/>
    <s v="EM RESSUPRIMENTO"/>
    <s v="RESERVAS EM ATRASO"/>
    <s v="NET MASSIVO"/>
    <x v="1"/>
  </r>
  <r>
    <x v="377"/>
    <s v="N190"/>
    <x v="7"/>
    <d v="2024-06-04T00:00:00"/>
    <s v="X43"/>
    <n v="22025135"/>
    <s v="BUCHA ACABAMENTO CABO RG6-59 PRETA"/>
    <x v="0"/>
    <n v="30"/>
    <n v="1"/>
    <s v="Unidade"/>
    <s v="EM RESSUPRIMENTO"/>
    <s v="RESERVAS EM ATRASO"/>
    <s v="NET MASSIVO"/>
    <x v="1"/>
  </r>
  <r>
    <x v="377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377"/>
    <s v="N190"/>
    <x v="7"/>
    <d v="2024-06-04T00:00:00"/>
    <s v="X43"/>
    <n v="22025240"/>
    <s v="MARCADOR APTO NUM 9 TIPO HO85 AMARELO"/>
    <x v="0"/>
    <n v="20"/>
    <n v="1"/>
    <s v="Unidade"/>
    <s v="EM RESSUPRIMENTO"/>
    <s v="RESERVAS EM ATRASO"/>
    <s v="NET MASSIVO"/>
    <x v="1"/>
  </r>
  <r>
    <x v="377"/>
    <s v="N190"/>
    <x v="7"/>
    <d v="2024-06-04T00:00:00"/>
    <s v="X43"/>
    <n v="22026147"/>
    <s v="CONEC_RI COMPRESSAO F-11"/>
    <x v="0"/>
    <n v="25"/>
    <n v="1"/>
    <s v="Unidade"/>
    <s v="EM RESSUPRIMENTO"/>
    <s v="RESERVAS EM ATRASO"/>
    <s v="NET MASSIVO"/>
    <x v="1"/>
  </r>
  <r>
    <x v="377"/>
    <s v="N190"/>
    <x v="10"/>
    <d v="2024-06-04T00:00:00"/>
    <s v="X43"/>
    <n v="22026189"/>
    <s v="CONEC_RI COMPRESSAO F-6"/>
    <x v="0"/>
    <n v="700"/>
    <n v="1"/>
    <s v="Unidade"/>
    <s v="EM RESSUPRIMENTO"/>
    <s v="RESERVAS EM ATRASO"/>
    <s v="NET MASSIVO"/>
    <x v="1"/>
  </r>
  <r>
    <x v="377"/>
    <s v="N190"/>
    <x v="10"/>
    <d v="2024-06-04T00:00:00"/>
    <s v="X43"/>
    <n v="22026219"/>
    <s v="CABO COAXIAL RG6 TRISH SEM MENSAG BRANCO"/>
    <x v="0"/>
    <n v="200"/>
    <n v="1"/>
    <s v="Unidade"/>
    <s v="EM RESSUPRIMENTO"/>
    <s v="RESERVAS EM ATRASO"/>
    <s v="NET MASSIVO"/>
    <x v="1"/>
  </r>
  <r>
    <x v="377"/>
    <s v="N190"/>
    <x v="10"/>
    <d v="2024-06-04T00:00:00"/>
    <s v="X43"/>
    <n v="22026223"/>
    <s v="CABO COAXIAL RG6 TRISH COM MENSAG PRETO"/>
    <x v="0"/>
    <n v="915"/>
    <n v="1"/>
    <s v="Unidade"/>
    <s v="EM RESSUPRIMENTO"/>
    <s v="RESERVAS EM ATRASO"/>
    <s v="NET MASSIVO"/>
    <x v="1"/>
  </r>
  <r>
    <x v="377"/>
    <s v="N190"/>
    <x v="7"/>
    <d v="2024-06-04T00:00:00"/>
    <s v="X43"/>
    <n v="22026251"/>
    <s v="CTRL REMOTO DIG. CR2FU UNIVERS"/>
    <x v="0"/>
    <n v="12"/>
    <n v="1"/>
    <s v="Unidade"/>
    <s v="EM RESSUPRIMENTO"/>
    <s v="RESERVAS EM ATRASO"/>
    <s v="NET MASSIVO"/>
    <x v="1"/>
  </r>
  <r>
    <x v="377"/>
    <s v="N190"/>
    <x v="10"/>
    <d v="2024-06-04T00:00:00"/>
    <s v="X43"/>
    <n v="22026746"/>
    <s v="DC_RI 1S 09DB 1GHZ H SOLDADO"/>
    <x v="0"/>
    <n v="50"/>
    <n v="1"/>
    <s v="Unidade"/>
    <s v="EM RESSUPRIMENTO"/>
    <s v="RESERVAS EM ATRASO"/>
    <s v="NET MASSIVO"/>
    <x v="1"/>
  </r>
  <r>
    <x v="377"/>
    <s v="N190"/>
    <x v="10"/>
    <d v="2024-06-04T00:00:00"/>
    <s v="X43"/>
    <n v="22026772"/>
    <s v="DIV_RI 2S 1GHZ H SOLDADO"/>
    <x v="0"/>
    <n v="75"/>
    <n v="1"/>
    <s v="Unidade"/>
    <s v="EM RESSUPRIMENTO"/>
    <s v="RESERVAS EM ATRASO"/>
    <s v="NET MASSIVO"/>
    <x v="1"/>
  </r>
  <r>
    <x v="377"/>
    <s v="N190"/>
    <x v="10"/>
    <d v="2024-06-04T00:00:00"/>
    <s v="X43"/>
    <n v="22026795"/>
    <s v="DIV_RI 3S 1GHZ H SOLD BAL 777"/>
    <x v="0"/>
    <n v="25"/>
    <n v="1"/>
    <s v="Unidade"/>
    <s v="EM RESSUPRIMENTO"/>
    <s v="RESERVAS EM ATRASO"/>
    <s v="NET MASSIVO"/>
    <x v="1"/>
  </r>
  <r>
    <x v="378"/>
    <s v="N190"/>
    <x v="10"/>
    <d v="2024-06-04T00:00:00"/>
    <s v="X51"/>
    <n v="41001567"/>
    <s v="TERMINAL EXTENSOR WIFI5 MESH AR2180T"/>
    <x v="0"/>
    <n v="20"/>
    <n v="1"/>
    <s v="Unidade"/>
    <s v="IMPORTADO"/>
    <s v="RESERVAS EM ATRASO"/>
    <s v="NET MASSIVO"/>
    <x v="1"/>
  </r>
  <r>
    <x v="379"/>
    <s v="N190"/>
    <x v="10"/>
    <d v="2024-06-04T00:00:00"/>
    <s v="X51"/>
    <n v="41001573"/>
    <s v="DECODER CARDLESS 4K UHD S4KCW4S CABO IP"/>
    <x v="0"/>
    <n v="5"/>
    <n v="1"/>
    <s v="Unidade"/>
    <s v="EM RESSUPRIMENTO"/>
    <s v="RESERVAS EM ATRASO"/>
    <s v="NET MASSIVO"/>
    <x v="1"/>
  </r>
  <r>
    <x v="380"/>
    <s v="N190"/>
    <x v="7"/>
    <d v="2024-06-04T00:00:00"/>
    <s v="X51"/>
    <n v="41000805"/>
    <s v="SMART CARD AVULSO SIM CARD"/>
    <x v="0"/>
    <n v="120"/>
    <n v="1"/>
    <s v="Unidade"/>
    <s v="IMPORTADO"/>
    <s v="RESERVAS EM ATRASO"/>
    <s v="NET MASSIVO"/>
    <x v="1"/>
  </r>
  <r>
    <x v="380"/>
    <s v="N190"/>
    <x v="7"/>
    <d v="2024-06-04T00:00:00"/>
    <s v="X51"/>
    <n v="41001047"/>
    <s v="DECODER HD THDC4 NET"/>
    <x v="0"/>
    <n v="100"/>
    <n v="1"/>
    <s v="Unidade"/>
    <s v="IMPORTADO"/>
    <s v="RESERVAS EM ATRASO"/>
    <s v="NET MASSIVO"/>
    <x v="1"/>
  </r>
  <r>
    <x v="380"/>
    <s v="N190"/>
    <x v="7"/>
    <d v="2024-06-04T00:00:00"/>
    <s v="X51"/>
    <n v="41001484"/>
    <s v="DECODER 4K ULTRA HD DGCI363 COM IG"/>
    <x v="0"/>
    <n v="20"/>
    <n v="1"/>
    <s v="Unidade"/>
    <s v="IMPORTADO"/>
    <s v="RESERVAS EM ATRASO"/>
    <s v="NET MASSIVO"/>
    <x v="1"/>
  </r>
  <r>
    <x v="381"/>
    <s v="N190"/>
    <x v="7"/>
    <d v="2024-06-04T00:00:00"/>
    <s v="X43"/>
    <n v="22026199"/>
    <s v="CONECTOR TERMINACAO 75 OHMS"/>
    <x v="0"/>
    <n v="10"/>
    <n v="1"/>
    <s v="Unidade"/>
    <s v="EM RESSUPRIMENTO"/>
    <s v="RESERVAS EM ATRASO"/>
    <s v="NET MASSIVO"/>
    <x v="1"/>
  </r>
  <r>
    <x v="381"/>
    <s v="N190"/>
    <x v="10"/>
    <d v="2024-06-04T00:00:00"/>
    <s v="X43"/>
    <n v="22026809"/>
    <s v="DC_RI 1S 06DB 1GHZ H SOLDADO"/>
    <x v="0"/>
    <n v="25"/>
    <n v="1"/>
    <s v="Unidade"/>
    <s v="EM RESSUPRIMENTO"/>
    <s v="RESERVAS EM ATRASO"/>
    <s v="NET MASSIVO"/>
    <x v="1"/>
  </r>
  <r>
    <x v="381"/>
    <s v="N190"/>
    <x v="10"/>
    <d v="2024-06-04T00:00:00"/>
    <s v="X43"/>
    <n v="22056333"/>
    <s v="ABRACADEIRA NYLON T18R 10CM BRANCA"/>
    <x v="0"/>
    <n v="20"/>
    <n v="1"/>
    <s v="Unidade"/>
    <s v="EM RESSUPRIMENTO"/>
    <s v="RESERVAS EM ATRASO"/>
    <s v="NET MASSIVO"/>
    <x v="1"/>
  </r>
  <r>
    <x v="381"/>
    <s v="N190"/>
    <x v="7"/>
    <d v="2024-06-04T00:00:00"/>
    <s v="X43"/>
    <n v="22058174"/>
    <s v="CORDAO OPTICO SM BLI SC APC 1,5M"/>
    <x v="0"/>
    <n v="3"/>
    <n v="1"/>
    <s v="Unidade"/>
    <s v="EM RESSUPRIMENTO"/>
    <s v="RESERVAS EM ATRASO"/>
    <s v="NET MASSIVO"/>
    <x v="1"/>
  </r>
  <r>
    <x v="382"/>
    <s v="N190"/>
    <x v="7"/>
    <d v="2024-06-04T00:00:00"/>
    <s v="X51"/>
    <n v="41000805"/>
    <s v="SMART CARD AVULSO SIM CARD"/>
    <x v="0"/>
    <n v="50"/>
    <n v="1"/>
    <s v="Unidade"/>
    <s v="IMPORTADO"/>
    <s v="RESERVAS EM ATRASO"/>
    <s v="NET MASSIVO"/>
    <x v="1"/>
  </r>
  <r>
    <x v="382"/>
    <s v="N190"/>
    <x v="7"/>
    <d v="2024-06-04T00:00:00"/>
    <s v="X51"/>
    <n v="41001047"/>
    <s v="DECODER HD THDC4 NET"/>
    <x v="0"/>
    <n v="50"/>
    <n v="1"/>
    <s v="Unidade"/>
    <s v="IMPORTADO"/>
    <s v="RESERVAS EM ATRASO"/>
    <s v="NET MASSIVO"/>
    <x v="1"/>
  </r>
  <r>
    <x v="383"/>
    <s v="N190"/>
    <x v="10"/>
    <d v="2024-06-04T00:00:00"/>
    <s v="X43"/>
    <n v="22056369"/>
    <s v="CABO UTP CAT5E ETHERNET NET"/>
    <x v="0"/>
    <n v="100"/>
    <n v="1"/>
    <s v="Unidade"/>
    <s v="EM RESSUPRIMENTO"/>
    <s v="RESERVAS EM ATRASO"/>
    <s v="NET MASSIVO"/>
    <x v="1"/>
  </r>
  <r>
    <x v="384"/>
    <s v="N190"/>
    <x v="7"/>
    <d v="2024-06-04T00:00:00"/>
    <s v="X51"/>
    <n v="41000805"/>
    <s v="SMART CARD AVULSO SIM CARD"/>
    <x v="0"/>
    <n v="20"/>
    <n v="1"/>
    <s v="Unidade"/>
    <s v="IMPORTADO"/>
    <s v="RESERVAS EM ATRASO"/>
    <s v="NET MASSIVO"/>
    <x v="1"/>
  </r>
  <r>
    <x v="384"/>
    <s v="N190"/>
    <x v="7"/>
    <d v="2024-06-04T00:00:00"/>
    <s v="X51"/>
    <n v="41001047"/>
    <s v="DECODER HD THDC4 NET"/>
    <x v="0"/>
    <n v="20"/>
    <n v="1"/>
    <s v="Unidade"/>
    <s v="IMPORTADO"/>
    <s v="RESERVAS EM ATRASO"/>
    <s v="NET MASSIVO"/>
    <x v="1"/>
  </r>
  <r>
    <x v="385"/>
    <s v="N190"/>
    <x v="7"/>
    <d v="2024-06-04T00:00:00"/>
    <s v="X51"/>
    <n v="41000805"/>
    <s v="SMART CARD AVULSO SIM CARD"/>
    <x v="0"/>
    <n v="30"/>
    <n v="1"/>
    <s v="Unidade"/>
    <s v="IMPORTADO"/>
    <s v="RESERVAS EM ATRASO"/>
    <s v="NET MASSIVO"/>
    <x v="1"/>
  </r>
  <r>
    <x v="385"/>
    <s v="N190"/>
    <x v="7"/>
    <d v="2024-06-04T00:00:00"/>
    <s v="X51"/>
    <n v="41001047"/>
    <s v="DECODER HD THDC4 NET"/>
    <x v="0"/>
    <n v="30"/>
    <n v="1"/>
    <s v="Unidade"/>
    <s v="IMPORTADO"/>
    <s v="RESERVAS EM ATRASO"/>
    <s v="NET MASSIVO"/>
    <x v="1"/>
  </r>
  <r>
    <x v="386"/>
    <s v="N190"/>
    <x v="10"/>
    <d v="2024-06-04T00:00:00"/>
    <s v="X43"/>
    <n v="22026158"/>
    <s v="CONEC_ RI EMENDA G-F81F FEMEA"/>
    <x v="0"/>
    <n v="20"/>
    <n v="1"/>
    <s v="Unidade"/>
    <s v="EM RESSUPRIMENTO"/>
    <s v="RESERVAS EM ATRASO"/>
    <s v="NET MASSIVO"/>
    <x v="1"/>
  </r>
  <r>
    <x v="386"/>
    <s v="N190"/>
    <x v="10"/>
    <d v="2024-06-04T00:00:00"/>
    <s v="X43"/>
    <n v="22026223"/>
    <s v="CABO COAXIAL RG6 TRISH COM MENSAG PRETO"/>
    <x v="0"/>
    <n v="305"/>
    <n v="1"/>
    <s v="Unidade"/>
    <s v="EM RESSUPRIMENTO"/>
    <s v="RESERVAS EM ATRASO"/>
    <s v="NET MASSIVO"/>
    <x v="1"/>
  </r>
  <r>
    <x v="386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386"/>
    <s v="N190"/>
    <x v="10"/>
    <d v="2024-06-04T00:00:00"/>
    <s v="X43"/>
    <n v="22056366"/>
    <s v="ISOLADOR COAXIAL QUADRADO - CISP-HR"/>
    <x v="0"/>
    <n v="100"/>
    <n v="1"/>
    <s v="Unidade"/>
    <s v="EM RESSUPRIMENTO"/>
    <s v="RESERVAS EM ATRASO"/>
    <s v="NET MASSIVO"/>
    <x v="1"/>
  </r>
  <r>
    <x v="387"/>
    <s v="N190"/>
    <x v="7"/>
    <d v="2024-06-04T00:00:00"/>
    <s v="X43"/>
    <n v="22025119"/>
    <s v="MARCADOR CASA PTO LETRA E"/>
    <x v="0"/>
    <n v="20"/>
    <n v="1"/>
    <s v="Unidade"/>
    <s v="EM RESSUPRIMENTO"/>
    <s v="RESERVAS EM ATRASO"/>
    <s v="NET MASSIVO"/>
    <x v="1"/>
  </r>
  <r>
    <x v="387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387"/>
    <s v="N190"/>
    <x v="7"/>
    <d v="2024-06-04T00:00:00"/>
    <s v="X43"/>
    <n v="22025348"/>
    <s v="FIXA FIO CABO LOW FRICT CHATO"/>
    <x v="0"/>
    <n v="20"/>
    <n v="1"/>
    <s v="Unidade"/>
    <s v="EM RESSUPRIMENTO"/>
    <s v="RESERVAS EM ATRASO"/>
    <s v="NET MASSIVO"/>
    <x v="1"/>
  </r>
  <r>
    <x v="387"/>
    <s v="N190"/>
    <x v="10"/>
    <d v="2024-06-04T00:00:00"/>
    <s v="X43"/>
    <n v="22056335"/>
    <s v="FECHO DE ACO INOX DENTADO 3/4"/>
    <x v="0"/>
    <n v="100"/>
    <n v="1"/>
    <s v="Unidade"/>
    <s v="EM RESSUPRIMENTO"/>
    <s v="RESERVAS EM ATRASO"/>
    <s v="NET MASSIVO"/>
    <x v="1"/>
  </r>
  <r>
    <x v="387"/>
    <s v="N190"/>
    <x v="7"/>
    <d v="2024-06-04T00:00:00"/>
    <s v="X43"/>
    <n v="22058239"/>
    <s v="FONTE DE ENERGIA PA11807UD2"/>
    <x v="0"/>
    <n v="50"/>
    <n v="1"/>
    <s v="Unidade"/>
    <s v="EM RESSUPRIMENTO"/>
    <s v="RESERVAS EM ATRASO"/>
    <s v="NET MASSIVO"/>
    <x v="1"/>
  </r>
  <r>
    <x v="387"/>
    <s v="N190"/>
    <x v="10"/>
    <d v="2024-06-04T00:00:00"/>
    <s v="X43"/>
    <n v="22061736"/>
    <s v="CABO DROP 1FO LOW F FIG8 LOW CINZA"/>
    <x v="0"/>
    <n v="500"/>
    <n v="1"/>
    <s v="Unidade"/>
    <s v="EM RESSUPRIMENTO"/>
    <s v="RESERVAS EM ATRASO"/>
    <s v="NET MASSIVO"/>
    <x v="1"/>
  </r>
  <r>
    <x v="388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389"/>
    <s v="N190"/>
    <x v="7"/>
    <d v="2024-06-04T00:00:00"/>
    <s v="X51"/>
    <n v="41000805"/>
    <s v="SMART CARD AVULSO SIM CARD"/>
    <x v="0"/>
    <n v="30"/>
    <n v="1"/>
    <s v="Unidade"/>
    <s v="IMPORTADO"/>
    <s v="RESERVAS EM ATRASO"/>
    <s v="NET MASSIVO"/>
    <x v="1"/>
  </r>
  <r>
    <x v="389"/>
    <s v="N190"/>
    <x v="7"/>
    <d v="2024-06-04T00:00:00"/>
    <s v="X51"/>
    <n v="41001047"/>
    <s v="DECODER HD THDC4 NET"/>
    <x v="0"/>
    <n v="30"/>
    <n v="1"/>
    <s v="Unidade"/>
    <s v="IMPORTADO"/>
    <s v="RESERVAS EM ATRASO"/>
    <s v="NET MASSIVO"/>
    <x v="1"/>
  </r>
  <r>
    <x v="390"/>
    <s v="N190"/>
    <x v="7"/>
    <d v="2024-06-04T00:00:00"/>
    <s v="X51"/>
    <n v="41000805"/>
    <s v="SMART CARD AVULSO SIM CARD"/>
    <x v="0"/>
    <n v="240"/>
    <n v="1"/>
    <s v="Unidade"/>
    <s v="IMPORTADO"/>
    <s v="RESERVAS EM ATRASO"/>
    <s v="NET MASSIVO"/>
    <x v="1"/>
  </r>
  <r>
    <x v="390"/>
    <s v="N190"/>
    <x v="7"/>
    <d v="2024-06-04T00:00:00"/>
    <s v="X51"/>
    <n v="41001047"/>
    <s v="DECODER HD THDC4 NET"/>
    <x v="0"/>
    <n v="240"/>
    <n v="1"/>
    <s v="Unidade"/>
    <s v="IMPORTADO"/>
    <s v="RESERVAS EM ATRASO"/>
    <s v="NET MASSIVO"/>
    <x v="1"/>
  </r>
  <r>
    <x v="390"/>
    <s v="N190"/>
    <x v="7"/>
    <d v="2024-06-04T00:00:00"/>
    <s v="X51"/>
    <n v="41001292"/>
    <s v="EMTA WIFI 3.0 HGB10R-02 16X4"/>
    <x v="0"/>
    <n v="70"/>
    <n v="1"/>
    <s v="Unidade"/>
    <s v="IMPORTADO"/>
    <s v="RESERVAS EM ATRASO"/>
    <s v="NET MASSIVO"/>
    <x v="1"/>
  </r>
  <r>
    <x v="391"/>
    <s v="N190"/>
    <x v="7"/>
    <d v="2024-06-04T00:00:00"/>
    <s v="X43"/>
    <n v="22025239"/>
    <s v="MARCADOR APTO NUM 8 TIPO HO85 AMARELO"/>
    <x v="0"/>
    <n v="10"/>
    <n v="1"/>
    <s v="Unidade"/>
    <s v="EM RESSUPRIMENTO"/>
    <s v="RESERVAS EM ATRASO"/>
    <s v="NET MASSIVO"/>
    <x v="1"/>
  </r>
  <r>
    <x v="391"/>
    <s v="N190"/>
    <x v="10"/>
    <d v="2024-06-04T00:00:00"/>
    <s v="X43"/>
    <n v="22026158"/>
    <s v="CONEC_ RI EMENDA G-F81F FEMEA"/>
    <x v="0"/>
    <n v="10"/>
    <n v="1"/>
    <s v="Unidade"/>
    <s v="EM RESSUPRIMENTO"/>
    <s v="RESERVAS EM ATRASO"/>
    <s v="NET MASSIVO"/>
    <x v="1"/>
  </r>
  <r>
    <x v="391"/>
    <s v="N190"/>
    <x v="10"/>
    <d v="2024-06-04T00:00:00"/>
    <s v="X43"/>
    <n v="22026772"/>
    <s v="DIV_RI 2S 1GHZ H SOLDADO"/>
    <x v="0"/>
    <n v="25"/>
    <n v="1"/>
    <s v="Unidade"/>
    <s v="EM RESSUPRIMENTO"/>
    <s v="RESERVAS EM ATRASO"/>
    <s v="NET MASSIVO"/>
    <x v="1"/>
  </r>
  <r>
    <x v="391"/>
    <s v="N190"/>
    <x v="10"/>
    <d v="2024-06-04T00:00:00"/>
    <s v="X43"/>
    <n v="22056365"/>
    <s v="PROTETOR P/MINI ISOLADOR - ACRE1568"/>
    <x v="0"/>
    <n v="60"/>
    <n v="1"/>
    <s v="Unidade"/>
    <s v="EM RESSUPRIMENTO"/>
    <s v="RESERVAS EM ATRASO"/>
    <s v="NET MASSIVO"/>
    <x v="1"/>
  </r>
  <r>
    <x v="392"/>
    <s v="N190"/>
    <x v="7"/>
    <d v="2024-06-04T00:00:00"/>
    <s v="X51"/>
    <n v="41000805"/>
    <s v="SMART CARD AVULSO SIM CARD"/>
    <x v="0"/>
    <n v="40"/>
    <n v="1"/>
    <s v="Unidade"/>
    <s v="IMPORTADO"/>
    <s v="RESERVAS EM ATRASO"/>
    <s v="NET MASSIVO"/>
    <x v="1"/>
  </r>
  <r>
    <x v="392"/>
    <s v="N190"/>
    <x v="7"/>
    <d v="2024-06-04T00:00:00"/>
    <s v="X51"/>
    <n v="41001047"/>
    <s v="DECODER HD THDC4 NET"/>
    <x v="0"/>
    <n v="40"/>
    <n v="1"/>
    <s v="Unidade"/>
    <s v="IMPORTADO"/>
    <s v="RESERVAS EM ATRASO"/>
    <s v="NET MASSIVO"/>
    <x v="1"/>
  </r>
  <r>
    <x v="393"/>
    <s v="N190"/>
    <x v="10"/>
    <d v="2024-06-04T00:00:00"/>
    <s v="X43"/>
    <n v="22026223"/>
    <s v="CABO COAXIAL RG6 TRISH COM MENSAG PRETO"/>
    <x v="0"/>
    <n v="610"/>
    <n v="1"/>
    <s v="Unidade"/>
    <s v="EM RESSUPRIMENTO"/>
    <s v="RESERVAS EM ATRASO"/>
    <s v="NET MASSIVO"/>
    <x v="1"/>
  </r>
  <r>
    <x v="393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393"/>
    <s v="N190"/>
    <x v="10"/>
    <d v="2024-06-04T00:00:00"/>
    <s v="X43"/>
    <n v="22061736"/>
    <s v="CABO DROP 1FO LOW F FIG8 LOW CINZA"/>
    <x v="0"/>
    <n v="500"/>
    <n v="1"/>
    <s v="Unidade"/>
    <s v="EM RESSUPRIMENTO"/>
    <s v="RESERVAS EM ATRASO"/>
    <s v="NET MASSIVO"/>
    <x v="1"/>
  </r>
  <r>
    <x v="394"/>
    <s v="N190"/>
    <x v="10"/>
    <d v="2024-06-04T00:00:00"/>
    <s v="X51"/>
    <n v="41001567"/>
    <s v="TERMINAL EXTENSOR WIFI5 MESH AR2180T"/>
    <x v="0"/>
    <n v="20"/>
    <n v="1"/>
    <s v="Unidade"/>
    <s v="IMPORTADO"/>
    <s v="RESERVAS EM ATRASO"/>
    <s v="NET MASSIVO"/>
    <x v="1"/>
  </r>
  <r>
    <x v="395"/>
    <s v="N190"/>
    <x v="10"/>
    <d v="2024-06-04T00:00:00"/>
    <s v="X43"/>
    <n v="22026158"/>
    <s v="CONEC_ RI EMENDA G-F81F FEMEA"/>
    <x v="0"/>
    <n v="20"/>
    <n v="1"/>
    <s v="Unidade"/>
    <s v="EM RESSUPRIMENTO"/>
    <s v="RESERVAS EM ATRASO"/>
    <s v="NET MASSIVO"/>
    <x v="1"/>
  </r>
  <r>
    <x v="395"/>
    <s v="N190"/>
    <x v="7"/>
    <d v="2024-06-04T00:00:00"/>
    <s v="X43"/>
    <n v="22026251"/>
    <s v="CTRL REMOTO DIG. CR2FU UNIVERS"/>
    <x v="0"/>
    <n v="26"/>
    <n v="1"/>
    <s v="Unidade"/>
    <s v="EM RESSUPRIMENTO"/>
    <s v="RESERVAS EM ATRASO"/>
    <s v="NET MASSIVO"/>
    <x v="1"/>
  </r>
  <r>
    <x v="395"/>
    <s v="N190"/>
    <x v="7"/>
    <d v="2024-06-04T00:00:00"/>
    <s v="X43"/>
    <n v="22057438"/>
    <s v="FILTRO PASSA ALTA 54MHZ-1GHZ"/>
    <x v="0"/>
    <n v="10"/>
    <n v="1"/>
    <s v="Unidade"/>
    <s v="EM RESSUPRIMENTO"/>
    <s v="RESERVAS EM ATRASO"/>
    <s v="NET MASSIVO"/>
    <x v="1"/>
  </r>
  <r>
    <x v="396"/>
    <s v="N190"/>
    <x v="7"/>
    <d v="2024-06-04T00:00:00"/>
    <s v="X51"/>
    <n v="41000805"/>
    <s v="SMART CARD AVULSO SIM CARD"/>
    <x v="0"/>
    <n v="90"/>
    <n v="1"/>
    <s v="Unidade"/>
    <s v="EM RESSUPRIMENTO"/>
    <s v="RESERVAS EM ATRASO"/>
    <s v="NET MASSIVO"/>
    <x v="1"/>
  </r>
  <r>
    <x v="396"/>
    <s v="N190"/>
    <x v="7"/>
    <d v="2024-06-04T00:00:00"/>
    <s v="X51"/>
    <n v="41001047"/>
    <s v="DECODER HD THDC4 NET"/>
    <x v="0"/>
    <n v="90"/>
    <n v="1"/>
    <s v="Unidade"/>
    <s v="EM RESSUPRIMENTO"/>
    <s v="RESERVAS EM ATRASO"/>
    <s v="NET MASSIVO"/>
    <x v="1"/>
  </r>
  <r>
    <x v="396"/>
    <s v="N190"/>
    <x v="10"/>
    <d v="2024-06-04T00:00:00"/>
    <s v="X51"/>
    <n v="41001573"/>
    <s v="DECODER CARDLESS 4K UHD S4KCW4S CABO IP"/>
    <x v="0"/>
    <n v="10"/>
    <n v="1"/>
    <s v="Unidade"/>
    <s v="EM RESSUPRIMENTO"/>
    <s v="RESERVAS EM ATRASO"/>
    <s v="NET MASSIVO"/>
    <x v="1"/>
  </r>
  <r>
    <x v="397"/>
    <s v="N190"/>
    <x v="10"/>
    <d v="2024-06-04T00:00:00"/>
    <s v="X43"/>
    <n v="22023400"/>
    <s v="ABRACADEIRA NYLON T50R 20CM PRETA"/>
    <x v="0"/>
    <n v="50"/>
    <n v="1"/>
    <s v="Unidade"/>
    <s v="EM RESSUPRIMENTO"/>
    <s v="RESERVAS EM ATRASO"/>
    <s v="NET MASSIVO"/>
    <x v="1"/>
  </r>
  <r>
    <x v="397"/>
    <s v="N190"/>
    <x v="7"/>
    <d v="2024-06-04T00:00:00"/>
    <s v="X43"/>
    <n v="22026251"/>
    <s v="CTRL REMOTO DIG. CR2FU UNIVERS"/>
    <x v="0"/>
    <n v="50"/>
    <n v="1"/>
    <s v="Unidade"/>
    <s v="EM RESSUPRIMENTO"/>
    <s v="RESERVAS EM ATRASO"/>
    <s v="NET MASSIVO"/>
    <x v="1"/>
  </r>
  <r>
    <x v="397"/>
    <s v="N190"/>
    <x v="10"/>
    <d v="2024-06-04T00:00:00"/>
    <s v="X43"/>
    <n v="22026792"/>
    <s v="DIV_RI 3S 1GHZ H SOLD DESB 488"/>
    <x v="0"/>
    <n v="25"/>
    <n v="1"/>
    <s v="Unidade"/>
    <s v="EM RESSUPRIMENTO"/>
    <s v="RESERVAS EM ATRASO"/>
    <s v="NET MASSIVO"/>
    <x v="1"/>
  </r>
  <r>
    <x v="397"/>
    <s v="N190"/>
    <x v="10"/>
    <d v="2024-06-04T00:00:00"/>
    <s v="X43"/>
    <n v="22056343"/>
    <s v="MARCADOR CASA PTO NR 1"/>
    <x v="0"/>
    <n v="20"/>
    <n v="1"/>
    <s v="Unidade"/>
    <s v="EM RESSUPRIMENTO"/>
    <s v="RESERVAS EM ATRASO"/>
    <s v="NET MASSIVO"/>
    <x v="1"/>
  </r>
  <r>
    <x v="397"/>
    <s v="N190"/>
    <x v="7"/>
    <d v="2024-06-04T00:00:00"/>
    <s v="X43"/>
    <n v="22060290"/>
    <s v="FONTE DE ALIMENTACAO 12V CG3000 MSA C3"/>
    <x v="0"/>
    <n v="50"/>
    <n v="1"/>
    <s v="Unidade"/>
    <s v="EM RESSUPRIMENTO"/>
    <s v="RESERVAS EM ATRASO"/>
    <s v="NET MASSIVO"/>
    <x v="1"/>
  </r>
  <r>
    <x v="398"/>
    <s v="N190"/>
    <x v="7"/>
    <d v="2024-06-04T00:00:00"/>
    <s v="X51"/>
    <n v="41000805"/>
    <s v="SMART CARD AVULSO SIM CARD"/>
    <x v="0"/>
    <n v="220"/>
    <n v="1"/>
    <s v="Unidade"/>
    <s v="IMPORTADO"/>
    <s v="RESERVAS EM ATRASO"/>
    <s v="NET MASSIVO"/>
    <x v="1"/>
  </r>
  <r>
    <x v="398"/>
    <s v="N190"/>
    <x v="7"/>
    <d v="2024-06-04T00:00:00"/>
    <s v="X51"/>
    <n v="41001047"/>
    <s v="DECODER HD THDC4 NET"/>
    <x v="0"/>
    <n v="220"/>
    <n v="1"/>
    <s v="Unidade"/>
    <s v="IMPORTADO"/>
    <s v="RESERVAS EM ATRASO"/>
    <s v="NET MASSIVO"/>
    <x v="1"/>
  </r>
  <r>
    <x v="399"/>
    <s v="N190"/>
    <x v="10"/>
    <d v="2024-06-04T00:00:00"/>
    <s v="X43"/>
    <n v="22025091"/>
    <s v="FIXADOR FIO TELEF BR"/>
    <x v="0"/>
    <n v="50"/>
    <n v="1"/>
    <s v="Unidade"/>
    <s v="AGUARDANDO SEPARAÇÃO"/>
    <s v="RESERVAS EM ATRASO"/>
    <s v="NET MASSIVO"/>
    <x v="1"/>
  </r>
  <r>
    <x v="399"/>
    <s v="N190"/>
    <x v="10"/>
    <d v="2024-06-04T00:00:00"/>
    <s v="X43"/>
    <n v="22025139"/>
    <s v="FIXADOR FIO BR RG6 CIRCUL 7MM"/>
    <x v="0"/>
    <n v="20"/>
    <n v="1"/>
    <s v="Unidade"/>
    <s v="AGUARDANDO SEPARAÇÃO"/>
    <s v="RESERVAS EM ATRASO"/>
    <s v="NET MASSIVO"/>
    <x v="1"/>
  </r>
  <r>
    <x v="399"/>
    <s v="N190"/>
    <x v="7"/>
    <d v="2024-06-04T00:00:00"/>
    <s v="X43"/>
    <n v="22025162"/>
    <s v="MARCADOR APTO NUM 0 TIPO HO85 AMARELO"/>
    <x v="0"/>
    <n v="20"/>
    <n v="1"/>
    <s v="Unidade"/>
    <s v="AGUARDANDO SEPARAÇÃO"/>
    <s v="RESERVAS EM ATRASO"/>
    <s v="NET MASSIVO"/>
    <x v="1"/>
  </r>
  <r>
    <x v="399"/>
    <s v="N190"/>
    <x v="7"/>
    <d v="2024-06-04T00:00:00"/>
    <s v="X43"/>
    <n v="22025182"/>
    <s v="MARCADOR APTO LETRA B TIPO HO85 AMARELO"/>
    <x v="0"/>
    <n v="20"/>
    <n v="1"/>
    <s v="Unidade"/>
    <s v="AGUARDANDO SEPARAÇÃO"/>
    <s v="RESERVAS EM ATRASO"/>
    <s v="NET MASSIVO"/>
    <x v="1"/>
  </r>
  <r>
    <x v="399"/>
    <s v="N190"/>
    <x v="7"/>
    <d v="2024-06-04T00:00:00"/>
    <s v="X43"/>
    <n v="22025183"/>
    <s v="MARCADOR APTO LETRA C TIPO HO85 AMARELO"/>
    <x v="0"/>
    <n v="20"/>
    <n v="1"/>
    <s v="Unidade"/>
    <s v="AGUARDANDO SEPARAÇÃO"/>
    <s v="RESERVAS EM ATRASO"/>
    <s v="NET MASSIVO"/>
    <x v="1"/>
  </r>
  <r>
    <x v="399"/>
    <s v="N190"/>
    <x v="7"/>
    <d v="2024-06-04T00:00:00"/>
    <s v="X43"/>
    <n v="22025238"/>
    <s v="MARCADOR APTO NUM 7 TIPO HO85 AMARELO"/>
    <x v="0"/>
    <n v="20"/>
    <n v="1"/>
    <s v="Unidade"/>
    <s v="AGUARDANDO SEPARAÇÃO"/>
    <s v="RESERVAS EM ATRASO"/>
    <s v="NET MASSIVO"/>
    <x v="1"/>
  </r>
  <r>
    <x v="399"/>
    <s v="N190"/>
    <x v="7"/>
    <d v="2024-06-04T00:00:00"/>
    <s v="X43"/>
    <n v="22025243"/>
    <s v="MARCADOR APTO NUM 6 TIPO HO85 AMARELO"/>
    <x v="0"/>
    <n v="10"/>
    <n v="1"/>
    <s v="Unidade"/>
    <s v="AGUARDANDO SEPARAÇÃO"/>
    <s v="RESERVAS EM ATRASO"/>
    <s v="NET MASSIVO"/>
    <x v="1"/>
  </r>
  <r>
    <x v="399"/>
    <s v="N190"/>
    <x v="7"/>
    <d v="2024-06-04T00:00:00"/>
    <s v="X43"/>
    <n v="22025245"/>
    <s v="MARCADOR APTO NUM 4 TIPO HO85 AMARELO"/>
    <x v="0"/>
    <n v="20"/>
    <n v="1"/>
    <s v="Unidade"/>
    <s v="AGUARDANDO SEPARAÇÃO"/>
    <s v="RESERVAS EM ATRASO"/>
    <s v="NET MASSIVO"/>
    <x v="1"/>
  </r>
  <r>
    <x v="399"/>
    <s v="N190"/>
    <x v="10"/>
    <d v="2024-06-04T00:00:00"/>
    <s v="X43"/>
    <n v="22026158"/>
    <s v="CONEC_ RI EMENDA G-F81F FEMEA"/>
    <x v="0"/>
    <n v="20"/>
    <n v="1"/>
    <s v="Unidade"/>
    <s v="AGUARDANDO SEPARAÇÃO"/>
    <s v="RESERVAS EM ATRASO"/>
    <s v="NET MASSIVO"/>
    <x v="1"/>
  </r>
  <r>
    <x v="399"/>
    <s v="N190"/>
    <x v="10"/>
    <d v="2024-06-04T00:00:00"/>
    <s v="X43"/>
    <n v="22026189"/>
    <s v="CONEC_RI COMPRESSAO F-6"/>
    <x v="0"/>
    <n v="400"/>
    <n v="1"/>
    <s v="Unidade"/>
    <s v="AGUARDANDO SEPARAÇÃO"/>
    <s v="RESERVAS EM ATRASO"/>
    <s v="NET MASSIVO"/>
    <x v="1"/>
  </r>
  <r>
    <x v="399"/>
    <s v="N190"/>
    <x v="10"/>
    <d v="2024-06-04T00:00:00"/>
    <s v="X43"/>
    <n v="22026199"/>
    <s v="CONECTOR TERMINACAO 75 OHMS"/>
    <x v="0"/>
    <n v="100"/>
    <n v="1"/>
    <s v="Unidade"/>
    <s v="AGUARDANDO SEPARAÇÃO"/>
    <s v="RESERVAS EM ATRASO"/>
    <s v="NET MASSIVO"/>
    <x v="1"/>
  </r>
  <r>
    <x v="399"/>
    <s v="N190"/>
    <x v="10"/>
    <d v="2024-06-04T00:00:00"/>
    <s v="X43"/>
    <n v="22026223"/>
    <s v="CABO COAXIAL RG6 TRISH COM MENSAG PRETO"/>
    <x v="0"/>
    <n v="610"/>
    <n v="1"/>
    <s v="Unidade"/>
    <s v="AGUARDANDO SEPARAÇÃO"/>
    <s v="RESERVAS EM ATRASO"/>
    <s v="NET MASSIVO"/>
    <x v="1"/>
  </r>
  <r>
    <x v="399"/>
    <s v="N190"/>
    <x v="10"/>
    <d v="2024-06-04T00:00:00"/>
    <s v="X43"/>
    <n v="22026772"/>
    <s v="DIV_RI 2S 1GHZ H SOLDADO"/>
    <x v="0"/>
    <n v="25"/>
    <n v="1"/>
    <s v="Unidade"/>
    <s v="AGUARDANDO SEPARAÇÃO"/>
    <s v="RESERVAS EM ATRASO"/>
    <s v="NET MASSIVO"/>
    <x v="1"/>
  </r>
  <r>
    <x v="399"/>
    <s v="N190"/>
    <x v="10"/>
    <d v="2024-06-04T00:00:00"/>
    <s v="X43"/>
    <n v="22026792"/>
    <s v="DIV_RI 3S 1GHZ H SOLD DESB 488"/>
    <x v="0"/>
    <n v="25"/>
    <n v="1"/>
    <s v="Unidade"/>
    <s v="AGUARDANDO SEPARAÇÃO"/>
    <s v="RESERVAS EM ATRASO"/>
    <s v="NET MASSIVO"/>
    <x v="1"/>
  </r>
  <r>
    <x v="399"/>
    <s v="N190"/>
    <x v="10"/>
    <d v="2024-06-04T00:00:00"/>
    <s v="X43"/>
    <n v="22060422"/>
    <s v="CONTROLE REMOTO UNIFICADO RC4194202 01B"/>
    <x v="0"/>
    <n v="150"/>
    <n v="1"/>
    <s v="Unidade"/>
    <s v="AGUARDANDO SEPARAÇÃO"/>
    <s v="RESERVAS EM ATRASO"/>
    <s v="NET MASSIVO"/>
    <x v="1"/>
  </r>
  <r>
    <x v="399"/>
    <s v="N190"/>
    <x v="7"/>
    <d v="2024-06-04T00:00:00"/>
    <s v="X43"/>
    <n v="22065722"/>
    <s v="MARCADOR CASA PRETO NR 4"/>
    <x v="0"/>
    <n v="20"/>
    <n v="1"/>
    <s v="Unidade"/>
    <s v="AGUARDANDO SEPARAÇÃO"/>
    <s v="RESERVAS EM ATRASO"/>
    <s v="NET MASSIVO"/>
    <x v="1"/>
  </r>
  <r>
    <x v="400"/>
    <s v="N190"/>
    <x v="7"/>
    <d v="2024-06-04T00:00:00"/>
    <s v="X43"/>
    <n v="22025081"/>
    <s v="DISTRIBUIDOR T P/TEL RJ11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14"/>
    <s v="MARCADOR CASA PTO LETRA A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15"/>
    <s v="MARCADOR CASA PTO LETRA B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62"/>
    <s v="MARCADOR APTO NUM 0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82"/>
    <s v="MARCADOR APTO LETRA B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183"/>
    <s v="MARCADOR APTO LETRA C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38"/>
    <s v="MARCADOR APTO NUM 7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40"/>
    <s v="MARCADOR APTO NUM 9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41"/>
    <s v="MARCADOR APTO NUM 3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43"/>
    <s v="MARCADOR APTO NUM 6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44"/>
    <s v="MARCADOR APTO NUM 2 TIPO HO85 AMARELO"/>
    <x v="0"/>
    <n v="10"/>
    <n v="1"/>
    <s v="Unidade"/>
    <s v="EM RESSUPRIMENTO"/>
    <s v="RESERVAS EM ATRASO"/>
    <s v="NET MASSIVO"/>
    <x v="1"/>
  </r>
  <r>
    <x v="400"/>
    <s v="N190"/>
    <x v="7"/>
    <d v="2024-06-04T00:00:00"/>
    <s v="X43"/>
    <n v="22025245"/>
    <s v="MARCADOR APTO NUM 4 TIPO HO85 AMARELO"/>
    <x v="0"/>
    <n v="20"/>
    <n v="1"/>
    <s v="Unidade"/>
    <s v="EM RESSUPRIMENTO"/>
    <s v="RESERVAS EM ATRASO"/>
    <s v="NET MASSIVO"/>
    <x v="1"/>
  </r>
  <r>
    <x v="400"/>
    <s v="N190"/>
    <x v="7"/>
    <d v="2024-06-04T00:00:00"/>
    <s v="X43"/>
    <n v="22025250"/>
    <s v="MARCADOR APTO NUM 1 TIPO HO85 AMARELO"/>
    <x v="0"/>
    <n v="20"/>
    <n v="1"/>
    <s v="Unidade"/>
    <s v="EM RESSUPRIMENTO"/>
    <s v="RESERVAS EM ATRASO"/>
    <s v="NET MASSIVO"/>
    <x v="1"/>
  </r>
  <r>
    <x v="400"/>
    <s v="N190"/>
    <x v="10"/>
    <d v="2024-06-04T00:00:00"/>
    <s v="X43"/>
    <n v="22026223"/>
    <s v="CABO COAXIAL RG6 TRISH COM MENSAG PRETO"/>
    <x v="0"/>
    <n v="610"/>
    <n v="1"/>
    <s v="Unidade"/>
    <s v="EM RESSUPRIMENTO"/>
    <s v="RESERVAS EM ATRASO"/>
    <s v="NET MASSIVO"/>
    <x v="1"/>
  </r>
  <r>
    <x v="400"/>
    <s v="N190"/>
    <x v="10"/>
    <d v="2024-06-04T00:00:00"/>
    <s v="X43"/>
    <n v="22057659"/>
    <s v="ESTICADOR CUNHA PARA DROP OPTICO SRDO"/>
    <x v="0"/>
    <n v="60"/>
    <n v="1"/>
    <s v="Unidade"/>
    <s v="EM RESSUPRIMENTO"/>
    <s v="RESERVAS EM ATRASO"/>
    <s v="NET MASSIVO"/>
    <x v="1"/>
  </r>
  <r>
    <x v="400"/>
    <s v="N190"/>
    <x v="10"/>
    <d v="2024-06-04T00:00:00"/>
    <s v="X43"/>
    <n v="22057866"/>
    <s v="MINI PONTO GPON SC ROSETA APCDPR OT8420"/>
    <x v="0"/>
    <n v="10"/>
    <n v="1"/>
    <s v="Unidade"/>
    <s v="EM RESSUPRIMENTO"/>
    <s v="RESERVAS EM ATRASO"/>
    <s v="NET MASSIVO"/>
    <x v="1"/>
  </r>
  <r>
    <x v="400"/>
    <s v="N190"/>
    <x v="10"/>
    <d v="2024-06-04T00:00:00"/>
    <s v="X43"/>
    <n v="22061736"/>
    <s v="CABO DROP 1FO LOW F FIG8 LOW CINZA"/>
    <x v="0"/>
    <n v="1000"/>
    <n v="1"/>
    <s v="Unidade"/>
    <s v="EM RESSUPRIMENTO"/>
    <s v="RESERVAS EM ATRASO"/>
    <s v="NET MASSIVO"/>
    <x v="1"/>
  </r>
  <r>
    <x v="401"/>
    <s v="N190"/>
    <x v="7"/>
    <d v="2024-06-04T00:00:00"/>
    <s v="X51"/>
    <n v="41000805"/>
    <s v="SMART CARD AVULSO SIM CARD"/>
    <x v="0"/>
    <n v="110"/>
    <n v="1"/>
    <s v="Unidade"/>
    <s v="IMPORTADO"/>
    <s v="RESERVAS EM ATRASO"/>
    <s v="NET MASSIVO"/>
    <x v="1"/>
  </r>
  <r>
    <x v="401"/>
    <s v="N190"/>
    <x v="7"/>
    <d v="2024-06-04T00:00:00"/>
    <s v="X51"/>
    <n v="41001047"/>
    <s v="DECODER HD THDC4 NET"/>
    <x v="0"/>
    <n v="110"/>
    <n v="1"/>
    <s v="Unidade"/>
    <s v="IMPORTADO"/>
    <s v="RESERVAS EM ATRASO"/>
    <s v="NET MASSIVO"/>
    <x v="1"/>
  </r>
  <r>
    <x v="401"/>
    <s v="N190"/>
    <x v="7"/>
    <d v="2024-06-04T00:00:00"/>
    <s v="X51"/>
    <n v="41001536"/>
    <s v="ROTEADOR ZTE WIFI5 ZXHN H196A MESH BCO"/>
    <x v="0"/>
    <n v="20"/>
    <n v="1"/>
    <s v="Unidade"/>
    <s v="IMPORTADO"/>
    <s v="RESERVAS EM ATRASO"/>
    <s v="NET MASSIVO"/>
    <x v="1"/>
  </r>
  <r>
    <x v="402"/>
    <s v="N190"/>
    <x v="10"/>
    <d v="2024-06-04T00:00:00"/>
    <s v="X43"/>
    <n v="22060422"/>
    <s v="CONTROLE REMOTO UNIFICADO RC4194202 01B"/>
    <x v="0"/>
    <n v="150"/>
    <n v="1"/>
    <s v="Unidade"/>
    <s v="IMPORTADO"/>
    <s v="RESERVAS EM ATRASO"/>
    <s v="NET MASSIVO"/>
    <x v="1"/>
  </r>
  <r>
    <x v="403"/>
    <s v="N190"/>
    <x v="7"/>
    <d v="2024-06-04T00:00:00"/>
    <s v="X51"/>
    <n v="41000805"/>
    <s v="SMART CARD AVULSO SIM CARD"/>
    <x v="0"/>
    <n v="50"/>
    <n v="1"/>
    <s v="Unidade"/>
    <s v="IMPORTADO"/>
    <s v="RESERVAS EM ATRASO"/>
    <s v="NET MASSIVO"/>
    <x v="1"/>
  </r>
  <r>
    <x v="403"/>
    <s v="N190"/>
    <x v="7"/>
    <d v="2024-06-04T00:00:00"/>
    <s v="X51"/>
    <n v="41001047"/>
    <s v="DECODER HD THDC4 NET"/>
    <x v="0"/>
    <n v="50"/>
    <n v="1"/>
    <s v="Unidade"/>
    <s v="IMPORTADO"/>
    <s v="RESERVAS EM ATRASO"/>
    <s v="NET MASSIVO"/>
    <x v="1"/>
  </r>
  <r>
    <x v="404"/>
    <s v="N190"/>
    <x v="7"/>
    <d v="2024-06-04T00:00:00"/>
    <s v="X51"/>
    <n v="41000805"/>
    <s v="SMART CARD AVULSO SIM CARD"/>
    <x v="0"/>
    <n v="140"/>
    <n v="1"/>
    <s v="Unidade"/>
    <s v="IMPORTADO"/>
    <s v="RESERVAS EM ATRASO"/>
    <s v="NET MASSIVO"/>
    <x v="1"/>
  </r>
  <r>
    <x v="404"/>
    <s v="N190"/>
    <x v="7"/>
    <d v="2024-06-04T00:00:00"/>
    <s v="X51"/>
    <n v="41001047"/>
    <s v="DECODER HD THDC4 NET"/>
    <x v="0"/>
    <n v="140"/>
    <n v="1"/>
    <s v="Unidade"/>
    <s v="IMPORTADO"/>
    <s v="RESERVAS EM ATRASO"/>
    <s v="NET MASSIVO"/>
    <x v="1"/>
  </r>
  <r>
    <x v="404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405"/>
    <s v="N190"/>
    <x v="7"/>
    <d v="2024-06-04T00:00:00"/>
    <s v="X51"/>
    <n v="41000805"/>
    <s v="SMART CARD AVULSO SIM CARD"/>
    <x v="0"/>
    <n v="170"/>
    <n v="1"/>
    <s v="Unidade"/>
    <s v="IMPORTADO"/>
    <s v="RESERVAS EM ATRASO"/>
    <s v="NET MASSIVO"/>
    <x v="1"/>
  </r>
  <r>
    <x v="405"/>
    <s v="N190"/>
    <x v="7"/>
    <d v="2024-06-04T00:00:00"/>
    <s v="X51"/>
    <n v="41001047"/>
    <s v="DECODER HD THDC4 NET"/>
    <x v="0"/>
    <n v="170"/>
    <n v="1"/>
    <s v="Unidade"/>
    <s v="IMPORTADO"/>
    <s v="RESERVAS EM ATRASO"/>
    <s v="NET MASSIVO"/>
    <x v="1"/>
  </r>
  <r>
    <x v="406"/>
    <s v="N190"/>
    <x v="10"/>
    <d v="2024-06-04T00:00:00"/>
    <s v="X43"/>
    <n v="22025321"/>
    <s v="ANEL VEDACAO PLASTICA P PORTA F"/>
    <x v="0"/>
    <n v="20"/>
    <n v="1"/>
    <s v="Unidade"/>
    <s v="IMPORTADO"/>
    <s v="RESERVAS EM ATRASO"/>
    <s v="NET MASSIVO"/>
    <x v="1"/>
  </r>
  <r>
    <x v="406"/>
    <s v="N190"/>
    <x v="10"/>
    <d v="2024-06-04T00:00:00"/>
    <s v="X43"/>
    <n v="22026809"/>
    <s v="DC_RI 1S 06DB 1GHZ H SOLDADO"/>
    <x v="0"/>
    <n v="50"/>
    <n v="1"/>
    <s v="Unidade"/>
    <s v="IMPORTADO"/>
    <s v="RESERVAS EM ATRASO"/>
    <s v="NET MASSIVO"/>
    <x v="1"/>
  </r>
  <r>
    <x v="406"/>
    <s v="N190"/>
    <x v="10"/>
    <d v="2024-06-04T00:00:00"/>
    <s v="X43"/>
    <n v="22060422"/>
    <s v="CONTROLE REMOTO UNIFICADO RC4194202 01B"/>
    <x v="0"/>
    <n v="150"/>
    <n v="1"/>
    <s v="Unidade"/>
    <s v="IMPORTADO"/>
    <s v="RESERVAS EM ATRASO"/>
    <s v="NET MASSIVO"/>
    <x v="1"/>
  </r>
  <r>
    <x v="407"/>
    <s v="N190"/>
    <x v="7"/>
    <d v="2024-06-04T00:00:00"/>
    <s v="X51"/>
    <n v="41000805"/>
    <s v="SMART CARD AVULSO SIM CARD"/>
    <x v="0"/>
    <n v="140"/>
    <n v="1"/>
    <s v="Unidade"/>
    <s v="IMPORTADO"/>
    <s v="RESERVAS EM ATRASO"/>
    <s v="NET MASSIVO"/>
    <x v="1"/>
  </r>
  <r>
    <x v="407"/>
    <s v="N190"/>
    <x v="7"/>
    <d v="2024-06-04T00:00:00"/>
    <s v="X51"/>
    <n v="41001047"/>
    <s v="DECODER HD THDC4 NET"/>
    <x v="0"/>
    <n v="140"/>
    <n v="1"/>
    <s v="Unidade"/>
    <s v="IMPORTADO"/>
    <s v="RESERVAS EM ATRASO"/>
    <s v="NET MASSIVO"/>
    <x v="1"/>
  </r>
  <r>
    <x v="408"/>
    <s v="N190"/>
    <x v="7"/>
    <d v="2024-06-04T00:00:00"/>
    <s v="X43"/>
    <n v="22025162"/>
    <s v="MARCADOR APTO NUM 0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181"/>
    <s v="MARCADOR APTO LETRA A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182"/>
    <s v="MARCADOR APTO LETRA B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183"/>
    <s v="MARCADOR APTO LETRA C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38"/>
    <s v="MARCADOR APTO NUM 7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39"/>
    <s v="MARCADOR APTO NUM 8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40"/>
    <s v="MARCADOR APTO NUM 9 TIPO HO85 AMARELO"/>
    <x v="0"/>
    <n v="100"/>
    <n v="1"/>
    <s v="Unidade"/>
    <s v="EM RESSUPRIMENTO"/>
    <s v="RESERVAS EM ATRASO"/>
    <s v="NET MASSIVO"/>
    <x v="1"/>
  </r>
  <r>
    <x v="408"/>
    <s v="N190"/>
    <x v="7"/>
    <d v="2024-06-04T00:00:00"/>
    <s v="X43"/>
    <n v="22025241"/>
    <s v="MARCADOR APTO NUM 3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42"/>
    <s v="ABRACADEIRA NYLON T18R 10CM PRETA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43"/>
    <s v="MARCADOR APTO NUM 6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45"/>
    <s v="MARCADOR APTO NUM 4 TIPO HO85 AMARELO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5250"/>
    <s v="MARCADOR APTO NUM 1 TIPO HO85 AMARELO"/>
    <x v="0"/>
    <n v="20"/>
    <n v="1"/>
    <s v="Unidade"/>
    <s v="EM RESSUPRIMENTO"/>
    <s v="RESERVAS EM ATRASO"/>
    <s v="NET MASSIVO"/>
    <x v="1"/>
  </r>
  <r>
    <x v="408"/>
    <s v="N190"/>
    <x v="10"/>
    <d v="2024-06-04T00:00:00"/>
    <s v="X43"/>
    <n v="22026196"/>
    <s v="CONECTOR SEGURANCA GTP"/>
    <x v="0"/>
    <n v="20"/>
    <n v="1"/>
    <s v="Unidade"/>
    <s v="EM RESSUPRIMENTO"/>
    <s v="RESERVAS EM ATRASO"/>
    <s v="NET MASSIVO"/>
    <x v="1"/>
  </r>
  <r>
    <x v="408"/>
    <s v="N190"/>
    <x v="7"/>
    <d v="2024-06-04T00:00:00"/>
    <s v="X43"/>
    <n v="22026750"/>
    <s v="DIV_RI 8S 1GHZ H SOLDADO"/>
    <x v="0"/>
    <n v="9"/>
    <n v="1"/>
    <s v="Unidade"/>
    <s v="EM RESSUPRIMENTO"/>
    <s v="RESERVAS EM ATRASO"/>
    <s v="NET MASSIVO"/>
    <x v="1"/>
  </r>
  <r>
    <x v="408"/>
    <s v="N190"/>
    <x v="10"/>
    <d v="2024-06-04T00:00:00"/>
    <s v="X43"/>
    <n v="22026758"/>
    <s v="DIV_RI 4S 1GHZ H SOLDADO"/>
    <x v="0"/>
    <n v="10"/>
    <n v="1"/>
    <s v="Unidade"/>
    <s v="EM RESSUPRIMENTO"/>
    <s v="RESERVAS EM ATRASO"/>
    <s v="NET MASSIVO"/>
    <x v="1"/>
  </r>
  <r>
    <x v="408"/>
    <s v="N190"/>
    <x v="10"/>
    <d v="2024-06-04T00:00:00"/>
    <s v="X43"/>
    <n v="22056364"/>
    <s v="MINI ISOLADOR CPE P/CM DECODER"/>
    <x v="0"/>
    <n v="180"/>
    <n v="1"/>
    <s v="Unidade"/>
    <s v="EM RESSUPRIMENTO"/>
    <s v="RESERVAS EM ATRASO"/>
    <s v="NET MASSIVO"/>
    <x v="1"/>
  </r>
  <r>
    <x v="408"/>
    <s v="N190"/>
    <x v="10"/>
    <d v="2024-06-04T00:00:00"/>
    <s v="X43"/>
    <n v="22056366"/>
    <s v="ISOLADOR COAXIAL QUADRADO - CISP-HR"/>
    <x v="0"/>
    <n v="40"/>
    <n v="1"/>
    <s v="Unidade"/>
    <s v="EM RESSUPRIMENTO"/>
    <s v="RESERVAS EM ATRASO"/>
    <s v="NET MASSIVO"/>
    <x v="1"/>
  </r>
  <r>
    <x v="408"/>
    <s v="N190"/>
    <x v="10"/>
    <d v="2024-06-04T00:00:00"/>
    <s v="X43"/>
    <n v="22057620"/>
    <s v="CONECTOR FO CAMPO FAST SC/APC"/>
    <x v="0"/>
    <n v="25"/>
    <n v="1"/>
    <s v="Unidade"/>
    <s v="EM RESSUPRIMENTO"/>
    <s v="RESERVAS EM ATRASO"/>
    <s v="NET MASSIVO"/>
    <x v="1"/>
  </r>
  <r>
    <x v="408"/>
    <s v="N190"/>
    <x v="10"/>
    <d v="2024-06-04T00:00:00"/>
    <s v="X43"/>
    <n v="22061811"/>
    <s v="CONECTOR UTP RJ45 M CAT 5 24AWG"/>
    <x v="0"/>
    <n v="100"/>
    <n v="1"/>
    <s v="Unidade"/>
    <s v="EM RESSUPRIMENTO"/>
    <s v="RESERVAS EM ATRASO"/>
    <s v="NET MASSIVO"/>
    <x v="1"/>
  </r>
  <r>
    <x v="409"/>
    <s v="N190"/>
    <x v="7"/>
    <d v="2024-06-04T00:00:00"/>
    <s v="X51"/>
    <n v="41000805"/>
    <s v="SMART CARD AVULSO SIM CARD"/>
    <x v="0"/>
    <n v="100"/>
    <n v="1"/>
    <s v="Unidade"/>
    <s v="IMPORTADO"/>
    <s v="RESERVAS EM ATRASO"/>
    <s v="NET MASSIVO"/>
    <x v="1"/>
  </r>
  <r>
    <x v="409"/>
    <s v="N190"/>
    <x v="7"/>
    <d v="2024-06-04T00:00:00"/>
    <s v="X51"/>
    <n v="41001047"/>
    <s v="DECODER HD THDC4 NET"/>
    <x v="0"/>
    <n v="100"/>
    <n v="1"/>
    <s v="Unidade"/>
    <s v="IMPORTADO"/>
    <s v="RESERVAS EM ATRASO"/>
    <s v="NET MASSIVO"/>
    <x v="1"/>
  </r>
  <r>
    <x v="409"/>
    <s v="N190"/>
    <x v="7"/>
    <d v="2024-06-04T00:00:00"/>
    <s v="X51"/>
    <n v="41001292"/>
    <s v="EMTA WIFI 3.0 HGB10R-02 16X4"/>
    <x v="0"/>
    <n v="20"/>
    <n v="1"/>
    <s v="Unidade"/>
    <s v="IMPORTADO"/>
    <s v="RESERVAS EM ATRASO"/>
    <s v="NET MASSIVO"/>
    <x v="1"/>
  </r>
  <r>
    <x v="409"/>
    <s v="N190"/>
    <x v="7"/>
    <d v="2024-06-04T00:00:00"/>
    <s v="X51"/>
    <n v="41001536"/>
    <s v="ROTEADOR ZTE WIFI5 ZXHN H196A MESH BCO"/>
    <x v="0"/>
    <n v="60"/>
    <n v="1"/>
    <s v="Unidade"/>
    <s v="IMPORTADO"/>
    <s v="RESERVAS EM ATRASO"/>
    <s v="NET MASSIVO"/>
    <x v="1"/>
  </r>
  <r>
    <x v="410"/>
    <s v="N190"/>
    <x v="7"/>
    <d v="2024-06-04T00:00:00"/>
    <s v="X43"/>
    <n v="22026251"/>
    <s v="CTRL REMOTO DIG. CR2FU UNIVERS"/>
    <x v="0"/>
    <n v="30"/>
    <n v="1"/>
    <s v="Unidade"/>
    <s v="EM RESSUPRIMENTO"/>
    <s v="RESERVAS EM ATRASO"/>
    <s v="NET MASSIVO"/>
    <x v="1"/>
  </r>
  <r>
    <x v="410"/>
    <s v="N190"/>
    <x v="10"/>
    <d v="2024-06-04T00:00:00"/>
    <s v="X43"/>
    <n v="22056366"/>
    <s v="ISOLADOR COAXIAL QUADRADO - CISP-HR"/>
    <x v="0"/>
    <n v="20"/>
    <n v="1"/>
    <s v="Unidade"/>
    <s v="EM RESSUPRIMENTO"/>
    <s v="RESERVAS EM ATRASO"/>
    <s v="NET MASSIVO"/>
    <x v="1"/>
  </r>
  <r>
    <x v="410"/>
    <s v="N190"/>
    <x v="7"/>
    <d v="2024-06-04T00:00:00"/>
    <s v="X43"/>
    <n v="22057438"/>
    <s v="FILTRO PASSA ALTA 54MHZ-1GHZ"/>
    <x v="0"/>
    <n v="7"/>
    <n v="1"/>
    <s v="Unidade"/>
    <s v="EM RESSUPRIMENTO"/>
    <s v="RESERVAS EM ATRASO"/>
    <s v="NET MASSIVO"/>
    <x v="1"/>
  </r>
  <r>
    <x v="411"/>
    <s v="N190"/>
    <x v="7"/>
    <d v="2024-06-04T00:00:00"/>
    <s v="X51"/>
    <n v="41000805"/>
    <s v="SMART CARD AVULSO SIM CARD"/>
    <x v="0"/>
    <n v="20"/>
    <n v="1"/>
    <s v="Unidade"/>
    <s v="EM RESSUPRIMENTO"/>
    <s v="RESERVAS EM ATRASO"/>
    <s v="NET MASSIVO"/>
    <x v="1"/>
  </r>
  <r>
    <x v="411"/>
    <s v="N190"/>
    <x v="7"/>
    <d v="2024-06-04T00:00:00"/>
    <s v="X51"/>
    <n v="41001484"/>
    <s v="DECODER 4K ULTRA HD DGCI363 COM IG"/>
    <x v="0"/>
    <n v="20"/>
    <n v="1"/>
    <s v="Unidade"/>
    <s v="EM RESSUPRIMENTO"/>
    <s v="RESERVAS EM ATRASO"/>
    <s v="NET MASSIVO"/>
    <x v="1"/>
  </r>
  <r>
    <x v="412"/>
    <s v="N190"/>
    <x v="10"/>
    <d v="2024-06-04T00:00:00"/>
    <s v="X51"/>
    <n v="41001590"/>
    <s v="TERMINAL GPON ONT WIFI6 F6600P"/>
    <x v="0"/>
    <n v="20"/>
    <n v="1"/>
    <s v="Unidade"/>
    <s v="IMPORTADO"/>
    <s v="RESERVAS EM ATRASO"/>
    <s v="NET MASSIVO"/>
    <x v="1"/>
  </r>
  <r>
    <x v="413"/>
    <s v="N190"/>
    <x v="7"/>
    <d v="2024-06-04T00:00:00"/>
    <s v="X51"/>
    <n v="41000805"/>
    <s v="SMART CARD AVULSO SIM CARD"/>
    <x v="0"/>
    <n v="20"/>
    <n v="1"/>
    <s v="Unidade"/>
    <s v="IMPORTADO"/>
    <s v="RESERVAS EM ATRASO"/>
    <s v="NET MASSIVO"/>
    <x v="1"/>
  </r>
  <r>
    <x v="413"/>
    <s v="N190"/>
    <x v="7"/>
    <d v="2024-06-04T00:00:00"/>
    <s v="X51"/>
    <n v="41001047"/>
    <s v="DECODER HD THDC4 NET"/>
    <x v="0"/>
    <n v="20"/>
    <n v="1"/>
    <s v="Unidade"/>
    <s v="IMPORTADO"/>
    <s v="RESERVAS EM ATRASO"/>
    <s v="NET MASSIVO"/>
    <x v="1"/>
  </r>
  <r>
    <x v="414"/>
    <s v="N190"/>
    <x v="10"/>
    <d v="2024-06-05T00:00:00"/>
    <n v="201"/>
    <n v="22026189"/>
    <s v="CONEC_RI COMPRESSAO F-6"/>
    <x v="0"/>
    <n v="100"/>
    <n v="1"/>
    <s v="Unidade"/>
    <s v="IMPORTADO COM SUCESSO"/>
    <s v="PLANO DO DIA"/>
    <s v="NET MASSIVO"/>
    <x v="1"/>
  </r>
  <r>
    <x v="415"/>
    <s v="N190"/>
    <x v="10"/>
    <d v="2024-06-05T00:00:00"/>
    <n v="201"/>
    <n v="22026189"/>
    <s v="CONEC_RI COMPRESSAO F-6"/>
    <x v="0"/>
    <n v="50"/>
    <n v="1"/>
    <s v="Unidade"/>
    <s v="IMPORTADO COM SUCESSO"/>
    <s v="PLANO DO DIA"/>
    <s v="NET MASSIVO"/>
    <x v="1"/>
  </r>
  <r>
    <x v="415"/>
    <s v="N190"/>
    <x v="10"/>
    <d v="2024-06-05T00:00:00"/>
    <n v="201"/>
    <n v="22026809"/>
    <s v="DC_RI 1S 06DB 1GHZ H SOLDADO"/>
    <x v="0"/>
    <n v="50"/>
    <n v="1"/>
    <s v="Unidade"/>
    <s v="IMPORTADO COM SUCESSO"/>
    <s v="PLANO DO DIA"/>
    <s v="NET MASSIVO"/>
    <x v="1"/>
  </r>
  <r>
    <x v="415"/>
    <s v="N190"/>
    <x v="10"/>
    <d v="2024-06-05T00:00:00"/>
    <n v="201"/>
    <n v="22026758"/>
    <s v="DIV_RI 4S 1GHZ H SOLDADO"/>
    <x v="0"/>
    <n v="5"/>
    <n v="1"/>
    <s v="Unidade"/>
    <s v="IMPORTADO COM SUCESSO"/>
    <s v="PLANO DO DIA"/>
    <s v="NET MASSIVO"/>
    <x v="1"/>
  </r>
  <r>
    <x v="416"/>
    <s v="N190"/>
    <x v="10"/>
    <d v="2024-06-05T00:00:00"/>
    <n v="201"/>
    <n v="22026223"/>
    <s v="CABO COAXIAL RG6 TRISH COM MENSAG PRETO"/>
    <x v="0"/>
    <n v="305"/>
    <n v="1"/>
    <s v="Unidade"/>
    <s v="IMPORTADO COM SUCESSO"/>
    <s v="PLANO DO DIA"/>
    <s v="NET MASSIVO"/>
    <x v="1"/>
  </r>
  <r>
    <x v="416"/>
    <s v="N190"/>
    <x v="10"/>
    <d v="2024-06-05T00:00:00"/>
    <n v="201"/>
    <n v="22026189"/>
    <s v="CONEC_RI COMPRESSAO F-6"/>
    <x v="0"/>
    <n v="100"/>
    <n v="1"/>
    <s v="Unidade"/>
    <s v="IMPORTADO COM SUCESSO"/>
    <s v="PLANO DO DIA"/>
    <s v="NET MASSIVO"/>
    <x v="1"/>
  </r>
  <r>
    <x v="417"/>
    <s v="N190"/>
    <x v="10"/>
    <d v="2024-06-05T00:00:00"/>
    <n v="201"/>
    <n v="252792"/>
    <s v="TAP 1.2 GHZ 08S 23DB RW20DB"/>
    <x v="0"/>
    <n v="6"/>
    <n v="1"/>
    <s v="Unidade"/>
    <s v="IMPORTADO COM SUCESSO"/>
    <s v="PLANO DO DIA"/>
    <s v="NET MASSIVO"/>
    <x v="1"/>
  </r>
  <r>
    <x v="417"/>
    <s v="N190"/>
    <x v="10"/>
    <d v="2024-06-05T00:00:00"/>
    <n v="201"/>
    <n v="253655"/>
    <s v="CABO COAXIAL RE QR 540 SM PT"/>
    <x v="0"/>
    <n v="1500"/>
    <n v="1"/>
    <s v="Unidade"/>
    <s v="IMPORTADO COM SUCESSO"/>
    <s v="PLANO DO DIA"/>
    <s v="NET MASSIVO"/>
    <x v="1"/>
  </r>
  <r>
    <x v="417"/>
    <s v="N190"/>
    <x v="10"/>
    <d v="2024-06-05T00:00:00"/>
    <n v="201"/>
    <n v="252166"/>
    <s v="CABO COAXIAL RE P3 .500 S/M PT"/>
    <x v="0"/>
    <n v="750"/>
    <n v="1"/>
    <s v="Unidade"/>
    <s v="IMPORTADO COM SUCESSO"/>
    <s v="PLANO DO DIA"/>
    <s v="NET MASSIVO"/>
    <x v="1"/>
  </r>
  <r>
    <x v="417"/>
    <s v="N190"/>
    <x v="10"/>
    <d v="2024-06-05T00:00:00"/>
    <n v="201"/>
    <n v="251879"/>
    <s v="FIO ESPINAR ISOLADO SAE1020 FEI-125"/>
    <x v="0"/>
    <n v="200"/>
    <n v="1"/>
    <s v="Unidade"/>
    <s v="IMPORTADO COM SUCESSO"/>
    <s v="PLANO DO DIA"/>
    <s v="NET MASSIVO"/>
    <x v="1"/>
  </r>
  <r>
    <x v="418"/>
    <s v="N190"/>
    <x v="10"/>
    <d v="2024-06-05T00:00:00"/>
    <n v="201"/>
    <n v="254011"/>
    <s v="BANDEJA CAIXA EMND MINIFOSC 24F 82298888"/>
    <x v="0"/>
    <n v="40"/>
    <n v="1"/>
    <s v="Unidade"/>
    <s v="IMPORTADO COM SUCESSO"/>
    <s v="PLANO DO DIA"/>
    <s v="NET MASSIVO"/>
    <x v="1"/>
  </r>
  <r>
    <x v="418"/>
    <s v="N190"/>
    <x v="10"/>
    <d v="2024-06-05T00:00:00"/>
    <n v="201"/>
    <n v="253994"/>
    <s v="ALCA PREFORMADA FO AS PLP 1020 9,0 A 10"/>
    <x v="0"/>
    <n v="20"/>
    <n v="1"/>
    <s v="Unidade"/>
    <s v="IMPORTADO COM SUCESSO"/>
    <s v="PLANO DO DIA"/>
    <s v="NET MASSIVO"/>
    <x v="1"/>
  </r>
  <r>
    <x v="418"/>
    <s v="N190"/>
    <x v="10"/>
    <d v="2024-06-05T00:00:00"/>
    <n v="201"/>
    <n v="253995"/>
    <s v="ALCA PREFORMADA FO AS PLP 1024 10,0A10,8"/>
    <x v="0"/>
    <n v="20"/>
    <n v="1"/>
    <s v="Unidade"/>
    <s v="IMPORTADO COM SUCESSO"/>
    <s v="PLANO DO DIA"/>
    <s v="NET MASSIVO"/>
    <x v="1"/>
  </r>
  <r>
    <x v="418"/>
    <s v="N190"/>
    <x v="10"/>
    <d v="2024-06-05T00:00:00"/>
    <n v="201"/>
    <n v="254014"/>
    <s v="CORDOALHA DIELETRICA 1/4 6,4MM"/>
    <x v="0"/>
    <n v="500"/>
    <n v="1"/>
    <s v="Unidade"/>
    <s v="IMPORTADO COM SUCESSO"/>
    <s v="PLANO DO DIA"/>
    <s v="NET MASSIVO"/>
    <x v="1"/>
  </r>
  <r>
    <x v="418"/>
    <s v="N190"/>
    <x v="10"/>
    <d v="2024-06-05T00:00:00"/>
    <n v="201"/>
    <n v="253993"/>
    <s v="SUPORTE DE CABO FO SCO 1"/>
    <x v="0"/>
    <n v="20"/>
    <n v="1"/>
    <s v="Unidade"/>
    <s v="IMPORTADO COM SUCESSO"/>
    <s v="PLANO DO DIA"/>
    <s v="NET MASSIVO"/>
    <x v="1"/>
  </r>
  <r>
    <x v="419"/>
    <s v="N190"/>
    <x v="10"/>
    <d v="2024-06-05T00:00:00"/>
    <n v="201"/>
    <n v="251879"/>
    <s v="FIO ESPINAR ISOLADO SAE1020 FEI-125"/>
    <x v="0"/>
    <n v="5"/>
    <n v="1"/>
    <s v="Unidade"/>
    <s v="IMPORTADO COM SUCESSO"/>
    <s v="PLANO DO DIA"/>
    <s v="NET MASSIVO"/>
    <x v="1"/>
  </r>
  <r>
    <x v="419"/>
    <s v="N190"/>
    <x v="10"/>
    <d v="2024-06-05T00:00:00"/>
    <n v="201"/>
    <n v="254380"/>
    <s v="MANTA DERIVACAO SEM ZIPER FOSC BM E DM"/>
    <x v="0"/>
    <n v="2"/>
    <n v="1"/>
    <s v="Unidade"/>
    <s v="IMPORTADO COM SUCESSO"/>
    <s v="PLANO DO DIA"/>
    <s v="NET MASSIVO"/>
    <x v="1"/>
  </r>
  <r>
    <x v="420"/>
    <s v="N190"/>
    <x v="10"/>
    <d v="2024-06-05T00:00:00"/>
    <n v="201"/>
    <n v="251879"/>
    <s v="FIO ESPINAR ISOLADO SAE1020 FEI-125"/>
    <x v="0"/>
    <n v="5"/>
    <n v="1"/>
    <s v="Unidade"/>
    <s v="IMPORTADO COM SUCESSO"/>
    <s v="PLANO DO DIA"/>
    <s v="NET MASSIVO"/>
    <x v="1"/>
  </r>
  <r>
    <x v="420"/>
    <s v="N190"/>
    <x v="10"/>
    <d v="2024-06-05T00:00:00"/>
    <n v="201"/>
    <n v="254380"/>
    <s v="MANTA DERIVACAO SEM ZIPER FOSC BM E DM"/>
    <x v="0"/>
    <n v="2"/>
    <n v="1"/>
    <s v="Unidade"/>
    <s v="IMPORTADO COM SUCESSO"/>
    <s v="PLANO DO DIA"/>
    <s v="NET MASSIVO"/>
    <x v="1"/>
  </r>
  <r>
    <x v="421"/>
    <s v="N190"/>
    <x v="10"/>
    <d v="2024-06-05T00:00:00"/>
    <n v="201"/>
    <n v="254380"/>
    <s v="MANTA DERIVACAO SEM ZIPER FOSC BM E DM"/>
    <x v="0"/>
    <n v="5"/>
    <n v="1"/>
    <s v="Unidade"/>
    <s v="IMPORTADO COM SUCESSO"/>
    <s v="PLANO DO DIA"/>
    <s v="NET MASSIVO"/>
    <x v="1"/>
  </r>
  <r>
    <x v="422"/>
    <s v="N190"/>
    <x v="10"/>
    <d v="2024-06-05T00:00:00"/>
    <n v="201"/>
    <n v="252815"/>
    <s v="ABRACADEIRA NYLON T50R 20CM PRETA"/>
    <x v="0"/>
    <n v="500"/>
    <n v="1"/>
    <s v="Unidade"/>
    <s v="IMPORTADO COM SUCESSO"/>
    <s v="PLANO DO DIA"/>
    <s v="NET MASSIVO"/>
    <x v="1"/>
  </r>
  <r>
    <x v="422"/>
    <s v="N190"/>
    <x v="10"/>
    <d v="2024-06-05T00:00:00"/>
    <n v="201"/>
    <n v="254512"/>
    <s v="CAIXA NAP CTO CORDOALHA 08 SAIDAS SEM K7"/>
    <x v="0"/>
    <n v="1"/>
    <n v="1"/>
    <s v="Unidade"/>
    <s v="IMPORTADO COM SUCESSO"/>
    <s v="PLANO DO DIA"/>
    <s v="NET MASSIVO"/>
    <x v="1"/>
  </r>
  <r>
    <x v="422"/>
    <s v="N190"/>
    <x v="10"/>
    <d v="2024-06-05T00:00:00"/>
    <n v="201"/>
    <n v="254020"/>
    <s v="CAIXA NAP 08 FO SC APC"/>
    <x v="0"/>
    <n v="1"/>
    <n v="1"/>
    <s v="Unidade"/>
    <s v="IMPORTADO COM SUCESSO"/>
    <s v="PLANO DO DIA"/>
    <s v="NET MASSIVO"/>
    <x v="1"/>
  </r>
  <r>
    <x v="422"/>
    <s v="N190"/>
    <x v="10"/>
    <d v="2024-06-05T00:00:00"/>
    <n v="201"/>
    <n v="254380"/>
    <s v="MANTA DERIVACAO SEM ZIPER FOSC BM E DM"/>
    <x v="0"/>
    <n v="5"/>
    <n v="1"/>
    <s v="Unidade"/>
    <s v="IMPORTADO COM SUCESSO"/>
    <s v="PLANO DO DIA"/>
    <s v="NET MASSIVO"/>
    <x v="1"/>
  </r>
  <r>
    <x v="422"/>
    <s v="N190"/>
    <x v="10"/>
    <d v="2024-06-05T00:00:00"/>
    <n v="201"/>
    <n v="251879"/>
    <s v="FIO ESPINAR ISOLADO SAE1020 FEI-125"/>
    <x v="0"/>
    <n v="10"/>
    <n v="1"/>
    <s v="Unidade"/>
    <s v="IMPORTADO COM SUCESSO"/>
    <s v="PLANO DO DIA"/>
    <s v="NET MASSIVO"/>
    <x v="1"/>
  </r>
  <r>
    <x v="423"/>
    <s v="N190"/>
    <x v="10"/>
    <d v="2024-06-05T00:00:00"/>
    <n v="221"/>
    <n v="22059033"/>
    <s v="CORDAO OPTICO SM SPLX SC APC LC PC 2M"/>
    <x v="0"/>
    <n v="15"/>
    <n v="1"/>
    <s v="Unidade"/>
    <s v="IMPORTADO COM SUCESSO"/>
    <s v="PLANO DO DIA"/>
    <s v="NET MASSIVO"/>
    <x v="1"/>
  </r>
  <r>
    <x v="423"/>
    <s v="N190"/>
    <x v="10"/>
    <d v="2024-06-05T00:00:00"/>
    <n v="221"/>
    <n v="22059033"/>
    <s v="CORDAO OPTICO SM SPLX SC APC LC PC 2M"/>
    <x v="0"/>
    <n v="4"/>
    <n v="1"/>
    <s v="Unidade"/>
    <s v="IMPORTADO COM SUCESSO"/>
    <s v="PLANO DO DIA"/>
    <s v="NET MASSIVO"/>
    <x v="1"/>
  </r>
  <r>
    <x v="424"/>
    <s v="N190"/>
    <x v="7"/>
    <d v="2024-06-05T00:00:00"/>
    <s v="X43"/>
    <n v="22056336"/>
    <s v="MARCADOR CASA PTO NR 6"/>
    <x v="0"/>
    <n v="100"/>
    <n v="1"/>
    <s v="Unidade"/>
    <s v="IMPORTADO COM SUCESSO"/>
    <s v="PLANO DO DIA"/>
    <s v="NET MASSIVO"/>
    <x v="1"/>
  </r>
  <r>
    <x v="425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25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26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27"/>
    <s v="N190"/>
    <x v="10"/>
    <d v="2024-06-05T00:00:00"/>
    <s v="X41"/>
    <n v="41001536"/>
    <s v="ROTEADOR ZTE WIFI5 ZXHN H196A MESH BCO"/>
    <x v="0"/>
    <n v="220"/>
    <n v="1"/>
    <s v="Unidade"/>
    <s v="IMPORTADO COM SUCESSO"/>
    <s v="PLANO DO DIA"/>
    <s v="NET MASSIVO"/>
    <x v="1"/>
  </r>
  <r>
    <x v="427"/>
    <s v="N190"/>
    <x v="10"/>
    <d v="2024-06-05T00:00:00"/>
    <s v="X41"/>
    <n v="41001553"/>
    <s v="TERMINAL DOCSIS 3.1 EMTA WIFI6 TC3106"/>
    <x v="0"/>
    <n v="450"/>
    <n v="1"/>
    <s v="Unidade"/>
    <s v="IMPORTADO COM SUCESSO"/>
    <s v="PLANO DO DIA"/>
    <s v="NET MASSIVO"/>
    <x v="1"/>
  </r>
  <r>
    <x v="428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28"/>
    <s v="N190"/>
    <x v="10"/>
    <d v="2024-06-05T00:00:00"/>
    <s v="X41"/>
    <n v="41001536"/>
    <s v="ROTEADOR ZTE WIFI5 ZXHN H196A MESH BCO"/>
    <x v="0"/>
    <n v="50"/>
    <n v="1"/>
    <s v="Unidade"/>
    <s v="IMPORTADO COM SUCESSO"/>
    <s v="PLANO DO DIA"/>
    <s v="NET MASSIVO"/>
    <x v="1"/>
  </r>
  <r>
    <x v="428"/>
    <s v="N190"/>
    <x v="10"/>
    <d v="2024-06-05T00:00:00"/>
    <s v="X41"/>
    <n v="41001553"/>
    <s v="TERMINAL DOCSIS 3.1 EMTA WIFI6 TC3106"/>
    <x v="0"/>
    <n v="70"/>
    <n v="1"/>
    <s v="Unidade"/>
    <s v="IMPORTADO COM SUCESSO"/>
    <s v="PLANO DO DIA"/>
    <s v="NET MASSIVO"/>
    <x v="1"/>
  </r>
  <r>
    <x v="429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30"/>
    <s v="N190"/>
    <x v="11"/>
    <d v="2024-06-05T00:00:00"/>
    <s v="X41"/>
    <n v="41001530"/>
    <s v="DECODER 4K UHD IP S4KW3 LINUX VAS COM"/>
    <x v="0"/>
    <n v="100"/>
    <n v="1"/>
    <s v="Unidade"/>
    <s v="IMPORTADO COM SUCESSO"/>
    <s v="PLANO DO DIA"/>
    <s v="NET MASSIVO"/>
    <x v="1"/>
  </r>
  <r>
    <x v="430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30"/>
    <s v="N190"/>
    <x v="10"/>
    <d v="2024-06-05T00:00:00"/>
    <s v="X41"/>
    <n v="41001552"/>
    <s v="TERMINAL DOCSIS 3.1 EMTA WIFI6 F@ST3896"/>
    <x v="0"/>
    <n v="250"/>
    <n v="1"/>
    <s v="Unidade"/>
    <s v="IMPORTADO COM SUCESSO"/>
    <s v="PLANO DO DIA"/>
    <s v="NET MASSIVO"/>
    <x v="1"/>
  </r>
  <r>
    <x v="431"/>
    <s v="N190"/>
    <x v="11"/>
    <d v="2024-06-05T00:00:00"/>
    <s v="X41"/>
    <n v="41001530"/>
    <s v="DECODER 4K UHD IP S4KW3 LINUX VAS COM"/>
    <x v="0"/>
    <n v="300"/>
    <n v="1"/>
    <s v="Unidade"/>
    <s v="IMPORTADO COM SUCESSO"/>
    <s v="PLANO DO DIA"/>
    <s v="NET MASSIVO"/>
    <x v="1"/>
  </r>
  <r>
    <x v="432"/>
    <s v="N190"/>
    <x v="7"/>
    <d v="2024-06-05T00:00:00"/>
    <s v="X43"/>
    <n v="22025162"/>
    <s v="MARCADOR APTO NUM 0 TIPO HO85 AMARELO"/>
    <x v="0"/>
    <n v="300"/>
    <n v="1"/>
    <s v="Unidade"/>
    <s v="IMPORTADO COM SUCESSO"/>
    <s v="PLANO DO DIA"/>
    <s v="NET MASSIVO"/>
    <x v="1"/>
  </r>
  <r>
    <x v="432"/>
    <s v="N190"/>
    <x v="10"/>
    <d v="2024-06-05T00:00:00"/>
    <s v="X43"/>
    <n v="22025170"/>
    <s v="CABO TELEFONICO CCI50 2P 200MT"/>
    <x v="0"/>
    <n v="200"/>
    <n v="1"/>
    <s v="Unidade"/>
    <s v="IMPORTADO COM SUCESSO"/>
    <s v="PLANO DO DIA"/>
    <s v="NET MASSIVO"/>
    <x v="1"/>
  </r>
  <r>
    <x v="432"/>
    <s v="N190"/>
    <x v="10"/>
    <d v="2024-06-05T00:00:00"/>
    <s v="X43"/>
    <n v="22057866"/>
    <s v="MINI PONTO GPON SC ROSETA APCDPR OT8420"/>
    <x v="0"/>
    <n v="100"/>
    <n v="1"/>
    <s v="Unidade"/>
    <s v="IMPORTADO COM SUCESSO"/>
    <s v="PLANO DO DIA"/>
    <s v="NET MASSIVO"/>
    <x v="1"/>
  </r>
  <r>
    <x v="433"/>
    <s v="N190"/>
    <x v="10"/>
    <d v="2024-06-05T00:00:00"/>
    <s v="X41"/>
    <n v="41001552"/>
    <s v="TERMINAL DOCSIS 3.1 EMTA WIFI6 F@ST3896"/>
    <x v="0"/>
    <n v="650"/>
    <n v="1"/>
    <s v="Unidade"/>
    <s v="IMPORTADO COM SUCESSO"/>
    <s v="PLANO DO DIA"/>
    <s v="NET MASSIVO"/>
    <x v="1"/>
  </r>
  <r>
    <x v="434"/>
    <s v="N190"/>
    <x v="10"/>
    <d v="2024-06-05T00:00:00"/>
    <s v="X41"/>
    <n v="41001536"/>
    <s v="ROTEADOR ZTE WIFI5 ZXHN H196A MESH BCO"/>
    <x v="0"/>
    <n v="50"/>
    <n v="1"/>
    <s v="Unidade"/>
    <s v="IMPORTADO COM SUCESSO"/>
    <s v="PLANO DO DIA"/>
    <s v="NET MASSIVO"/>
    <x v="1"/>
  </r>
  <r>
    <x v="434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35"/>
    <s v="N190"/>
    <x v="10"/>
    <d v="2024-06-05T00:00:00"/>
    <s v="X43"/>
    <n v="22025072"/>
    <s v="FITA ISOLANTE 3M 33+"/>
    <x v="0"/>
    <n v="10"/>
    <n v="1"/>
    <s v="Unidade"/>
    <s v="IMPORTADO COM SUCESSO"/>
    <s v="PLANO DO DIA"/>
    <s v="NET MASSIVO"/>
    <x v="1"/>
  </r>
  <r>
    <x v="435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435"/>
    <s v="N190"/>
    <x v="10"/>
    <d v="2024-06-05T00:00:00"/>
    <s v="X43"/>
    <n v="22056332"/>
    <s v="FITA ISOLANTE AUTOFUSAO 3M SCOTCH23 10MT"/>
    <x v="0"/>
    <n v="1"/>
    <n v="1"/>
    <s v="Unidade"/>
    <s v="IMPORTADO COM SUCESSO"/>
    <s v="PLANO DO DIA"/>
    <s v="NET MASSIVO"/>
    <x v="1"/>
  </r>
  <r>
    <x v="435"/>
    <s v="N190"/>
    <x v="10"/>
    <d v="2024-06-05T00:00:00"/>
    <s v="X43"/>
    <n v="22056364"/>
    <s v="MINI ISOLADOR CPE P/CM DECODER"/>
    <x v="0"/>
    <n v="90"/>
    <n v="1"/>
    <s v="Unidade"/>
    <s v="IMPORTADO COM SUCESSO"/>
    <s v="PLANO DO DIA"/>
    <s v="NET MASSIVO"/>
    <x v="1"/>
  </r>
  <r>
    <x v="435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36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37"/>
    <s v="N190"/>
    <x v="10"/>
    <d v="2024-06-05T00:00:00"/>
    <s v="X43"/>
    <n v="22025072"/>
    <s v="FITA ISOLANTE 3M 33+"/>
    <x v="0"/>
    <n v="19"/>
    <n v="1"/>
    <s v="Unidade"/>
    <s v="IMPORTADO COM SUCESSO"/>
    <s v="PLANO DO DIA"/>
    <s v="NET MASSIVO"/>
    <x v="1"/>
  </r>
  <r>
    <x v="437"/>
    <s v="N190"/>
    <x v="7"/>
    <d v="2024-06-05T00:00:00"/>
    <s v="X43"/>
    <n v="22025242"/>
    <s v="ABRACADEIRA NYLON T18R 10CM PRETA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25349"/>
    <s v="FIXA FIO CABO DROP FO CHATO"/>
    <x v="0"/>
    <n v="300"/>
    <n v="1"/>
    <s v="Unidade"/>
    <s v="IMPORTADO COM SUCESSO"/>
    <s v="PLANO DO DIA"/>
    <s v="NET MASSIVO"/>
    <x v="1"/>
  </r>
  <r>
    <x v="437"/>
    <s v="N190"/>
    <x v="10"/>
    <d v="2024-06-05T00:00:00"/>
    <s v="X43"/>
    <n v="22026189"/>
    <s v="CONEC_RI COMPRESSAO F-6"/>
    <x v="0"/>
    <n v="950"/>
    <n v="1"/>
    <s v="Unidade"/>
    <s v="IMPORTADO COM SUCESSO"/>
    <s v="PLANO DO DIA"/>
    <s v="NET MASSIVO"/>
    <x v="1"/>
  </r>
  <r>
    <x v="437"/>
    <s v="N190"/>
    <x v="10"/>
    <d v="2024-06-05T00:00:00"/>
    <s v="X43"/>
    <n v="22026502"/>
    <s v="PITAO GANCHO COM BUCHA S8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37"/>
    <s v="N190"/>
    <x v="10"/>
    <d v="2024-06-05T00:00:00"/>
    <s v="X43"/>
    <n v="22056331"/>
    <s v="MARCADOR CASA PTO NR 5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56359"/>
    <s v="FITA ACO INOX 1/2 POLEGADA ROLO 25MT"/>
    <x v="0"/>
    <n v="28"/>
    <n v="1"/>
    <s v="Unidade"/>
    <s v="IMPORTADO COM SUCESSO"/>
    <s v="PLANO DO DIA"/>
    <s v="NET MASSIVO"/>
    <x v="1"/>
  </r>
  <r>
    <x v="437"/>
    <s v="N190"/>
    <x v="10"/>
    <d v="2024-06-05T00:00:00"/>
    <s v="X43"/>
    <n v="22056364"/>
    <s v="MINI ISOLADOR CPE P/CM DECODER"/>
    <x v="0"/>
    <n v="150"/>
    <n v="1"/>
    <s v="Unidade"/>
    <s v="IMPORTADO COM SUCESSO"/>
    <s v="PLANO DO DIA"/>
    <s v="NET MASSIVO"/>
    <x v="1"/>
  </r>
  <r>
    <x v="437"/>
    <s v="N190"/>
    <x v="10"/>
    <d v="2024-06-05T00:00:00"/>
    <s v="X43"/>
    <n v="22057620"/>
    <s v="CONECTOR FO CAMPO FAST SC/APC"/>
    <x v="0"/>
    <n v="1000"/>
    <n v="1"/>
    <s v="Unidade"/>
    <s v="IMPORTADO COM SUCESSO"/>
    <s v="PLANO DO DIA"/>
    <s v="NET MASSIVO"/>
    <x v="1"/>
  </r>
  <r>
    <x v="437"/>
    <s v="N190"/>
    <x v="10"/>
    <d v="2024-06-05T00:00:00"/>
    <s v="X43"/>
    <n v="22057658"/>
    <s v="SUPORTE ROLDANA FO DROP SDA-1"/>
    <x v="0"/>
    <n v="140"/>
    <n v="1"/>
    <s v="Unidade"/>
    <s v="IMPORTADO COM SUCESSO"/>
    <s v="PLANO DO DIA"/>
    <s v="NET MASSIVO"/>
    <x v="1"/>
  </r>
  <r>
    <x v="437"/>
    <s v="N190"/>
    <x v="10"/>
    <d v="2024-06-05T00:00:00"/>
    <s v="X43"/>
    <n v="22057659"/>
    <s v="ESTICADOR CUNHA PARA DROP OPTICO SRDO"/>
    <x v="0"/>
    <n v="1570"/>
    <n v="1"/>
    <s v="Unidade"/>
    <s v="IMPORTADO COM SUCESSO"/>
    <s v="PLANO DO DIA"/>
    <s v="NET MASSIVO"/>
    <x v="1"/>
  </r>
  <r>
    <x v="437"/>
    <s v="N190"/>
    <x v="10"/>
    <d v="2024-06-05T00:00:00"/>
    <s v="X43"/>
    <n v="22057660"/>
    <s v="KIT ENTRADA DROP ECAM S7BR P/NAP 3M"/>
    <x v="0"/>
    <n v="200"/>
    <n v="1"/>
    <s v="Unidade"/>
    <s v="IMPORTADO COM SUCESSO"/>
    <s v="PLANO DO DIA"/>
    <s v="NET MASSIVO"/>
    <x v="1"/>
  </r>
  <r>
    <x v="437"/>
    <s v="N190"/>
    <x v="10"/>
    <d v="2024-06-05T00:00:00"/>
    <s v="X43"/>
    <n v="22061736"/>
    <s v="CABO DROP 1FO LOW F FIG8 LOW CINZA"/>
    <x v="0"/>
    <n v="22500"/>
    <n v="1"/>
    <s v="Unidade"/>
    <s v="IMPORTADO COM SUCESSO"/>
    <s v="PLANO DO DIA"/>
    <s v="NET MASSIVO"/>
    <x v="1"/>
  </r>
  <r>
    <x v="437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37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437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438"/>
    <s v="N190"/>
    <x v="10"/>
    <d v="2024-06-05T00:00:00"/>
    <s v="X41"/>
    <n v="41001536"/>
    <s v="ROTEADOR ZTE WIFI5 ZXHN H196A MESH BCO"/>
    <x v="0"/>
    <n v="100"/>
    <n v="1"/>
    <s v="Unidade"/>
    <s v="IMPORTADO COM SUCESSO"/>
    <s v="PLANO DO DIA"/>
    <s v="NET MASSIVO"/>
    <x v="1"/>
  </r>
  <r>
    <x v="438"/>
    <s v="N190"/>
    <x v="10"/>
    <d v="2024-06-05T00:00:00"/>
    <s v="X41"/>
    <n v="41001553"/>
    <s v="TERMINAL DOCSIS 3.1 EMTA WIFI6 TC3106"/>
    <x v="0"/>
    <n v="70"/>
    <n v="1"/>
    <s v="Unidade"/>
    <s v="IMPORTADO COM SUCESSO"/>
    <s v="PLANO DO DIA"/>
    <s v="NET MASSIVO"/>
    <x v="1"/>
  </r>
  <r>
    <x v="439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40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40"/>
    <s v="N190"/>
    <x v="10"/>
    <d v="2024-06-05T00:00:00"/>
    <s v="X41"/>
    <n v="41001552"/>
    <s v="TERMINAL DOCSIS 3.1 EMTA WIFI6 F@ST3896"/>
    <x v="0"/>
    <n v="270"/>
    <n v="1"/>
    <s v="Unidade"/>
    <s v="IMPORTADO COM SUCESSO"/>
    <s v="PLANO DO DIA"/>
    <s v="NET MASSIVO"/>
    <x v="1"/>
  </r>
  <r>
    <x v="441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42"/>
    <s v="N190"/>
    <x v="11"/>
    <d v="2024-06-05T00:00:00"/>
    <s v="X41"/>
    <n v="41001530"/>
    <s v="DECODER 4K UHD IP S4KW3 LINUX VAS COM"/>
    <x v="0"/>
    <n v="280"/>
    <n v="1"/>
    <s v="Unidade"/>
    <s v="IMPORTADO COM SUCESSO"/>
    <s v="PLANO DO DIA"/>
    <s v="NET MASSIVO"/>
    <x v="1"/>
  </r>
  <r>
    <x v="443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43"/>
    <s v="N190"/>
    <x v="10"/>
    <d v="2024-06-05T00:00:00"/>
    <s v="X41"/>
    <n v="41001553"/>
    <s v="TERMINAL DOCSIS 3.1 EMTA WIFI6 TC3106"/>
    <x v="0"/>
    <n v="90"/>
    <n v="1"/>
    <s v="Unidade"/>
    <s v="IMPORTADO COM SUCESSO"/>
    <s v="PLANO DO DIA"/>
    <s v="NET MASSIVO"/>
    <x v="1"/>
  </r>
  <r>
    <x v="444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45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45"/>
    <s v="N190"/>
    <x v="10"/>
    <d v="2024-06-05T00:00:00"/>
    <s v="X41"/>
    <n v="41001553"/>
    <s v="TERMINAL DOCSIS 3.1 EMTA WIFI6 TC3106"/>
    <x v="0"/>
    <n v="30"/>
    <n v="1"/>
    <s v="Unidade"/>
    <s v="IMPORTADO COM SUCESSO"/>
    <s v="PLANO DO DIA"/>
    <s v="NET MASSIVO"/>
    <x v="1"/>
  </r>
  <r>
    <x v="446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446"/>
    <s v="N190"/>
    <x v="10"/>
    <d v="2024-06-05T00:00:00"/>
    <s v="X43"/>
    <n v="22056331"/>
    <s v="MARCADOR CASA PTO NR 5"/>
    <x v="0"/>
    <n v="100"/>
    <n v="1"/>
    <s v="Unidade"/>
    <s v="IMPORTADO COM SUCESSO"/>
    <s v="PLANO DO DIA"/>
    <s v="NET MASSIVO"/>
    <x v="1"/>
  </r>
  <r>
    <x v="446"/>
    <s v="N190"/>
    <x v="7"/>
    <d v="2024-06-05T00:00:00"/>
    <s v="X43"/>
    <n v="22056336"/>
    <s v="MARCADOR CASA PTO NR 6"/>
    <x v="0"/>
    <n v="100"/>
    <n v="1"/>
    <s v="Unidade"/>
    <s v="IMPORTADO COM SUCESSO"/>
    <s v="PLANO DO DIA"/>
    <s v="NET MASSIVO"/>
    <x v="1"/>
  </r>
  <r>
    <x v="446"/>
    <s v="N190"/>
    <x v="10"/>
    <d v="2024-06-05T00:00:00"/>
    <s v="X43"/>
    <n v="22056359"/>
    <s v="FITA ACO INOX 1/2 POLEGADA ROLO 25MT"/>
    <x v="0"/>
    <n v="5"/>
    <n v="1"/>
    <s v="Unidade"/>
    <s v="IMPORTADO COM SUCESSO"/>
    <s v="PLANO DO DIA"/>
    <s v="NET MASSIVO"/>
    <x v="1"/>
  </r>
  <r>
    <x v="446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446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47"/>
    <s v="N190"/>
    <x v="10"/>
    <d v="2024-06-05T00:00:00"/>
    <s v="X41"/>
    <n v="41001536"/>
    <s v="ROTEADOR ZTE WIFI5 ZXHN H196A MESH BCO"/>
    <x v="0"/>
    <n v="270"/>
    <n v="1"/>
    <s v="Unidade"/>
    <s v="IMPORTADO COM SUCESSO"/>
    <s v="PLANO DO DIA"/>
    <s v="NET MASSIVO"/>
    <x v="1"/>
  </r>
  <r>
    <x v="447"/>
    <s v="N190"/>
    <x v="10"/>
    <d v="2024-06-05T00:00:00"/>
    <s v="X41"/>
    <n v="41001552"/>
    <s v="TERMINAL DOCSIS 3.1 EMTA WIFI6 F@ST3896"/>
    <x v="0"/>
    <n v="700"/>
    <n v="1"/>
    <s v="Unidade"/>
    <s v="IMPORTADO COM SUCESSO"/>
    <s v="PLANO DO DIA"/>
    <s v="NET MASSIVO"/>
    <x v="1"/>
  </r>
  <r>
    <x v="448"/>
    <s v="N190"/>
    <x v="7"/>
    <d v="2024-06-05T00:00:00"/>
    <s v="X43"/>
    <n v="22025114"/>
    <s v="MARCADOR CASA PTO LETRA A"/>
    <x v="0"/>
    <n v="50"/>
    <n v="1"/>
    <s v="Unidade"/>
    <s v="IMPORTADO COM SUCESSO"/>
    <s v="PLANO DO DIA"/>
    <s v="NET MASSIVO"/>
    <x v="1"/>
  </r>
  <r>
    <x v="448"/>
    <s v="N190"/>
    <x v="7"/>
    <d v="2024-06-05T00:00:00"/>
    <s v="X43"/>
    <n v="22025117"/>
    <s v="MARCADOR CASA PTO LETRA D"/>
    <x v="0"/>
    <n v="50"/>
    <n v="1"/>
    <s v="Unidade"/>
    <s v="IMPORTADO COM SUCESSO"/>
    <s v="PLANO DO DIA"/>
    <s v="NET MASSIVO"/>
    <x v="1"/>
  </r>
  <r>
    <x v="448"/>
    <s v="N190"/>
    <x v="7"/>
    <d v="2024-06-05T00:00:00"/>
    <s v="X43"/>
    <n v="22025119"/>
    <s v="MARCADOR CASA PTO LETRA E"/>
    <x v="0"/>
    <n v="50"/>
    <n v="1"/>
    <s v="Unidade"/>
    <s v="IMPORTADO COM SUCESSO"/>
    <s v="PLANO DO DIA"/>
    <s v="NET MASSIVO"/>
    <x v="1"/>
  </r>
  <r>
    <x v="448"/>
    <s v="N190"/>
    <x v="7"/>
    <d v="2024-06-05T00:00:00"/>
    <s v="X43"/>
    <n v="22025162"/>
    <s v="MARCADOR APTO NUM 0 TIPO HO85 AMARELO"/>
    <x v="0"/>
    <n v="100"/>
    <n v="1"/>
    <s v="Unidade"/>
    <s v="IMPORTADO COM SUCESSO"/>
    <s v="PLANO DO DIA"/>
    <s v="NET MASSIVO"/>
    <x v="1"/>
  </r>
  <r>
    <x v="448"/>
    <s v="N190"/>
    <x v="7"/>
    <d v="2024-06-05T00:00:00"/>
    <s v="X43"/>
    <n v="22025182"/>
    <s v="MARCADOR APTO LETRA B TIPO HO85 AMARELO"/>
    <x v="0"/>
    <n v="50"/>
    <n v="1"/>
    <s v="Unidade"/>
    <s v="IMPORTADO COM SUCESSO"/>
    <s v="PLANO DO DIA"/>
    <s v="NET MASSIVO"/>
    <x v="1"/>
  </r>
  <r>
    <x v="448"/>
    <s v="N190"/>
    <x v="7"/>
    <d v="2024-06-05T00:00:00"/>
    <s v="X43"/>
    <n v="22025238"/>
    <s v="MARCADOR APTO NUM 7 TIPO HO85 AMARELO"/>
    <x v="0"/>
    <n v="100"/>
    <n v="1"/>
    <s v="Unidade"/>
    <s v="IMPORTADO COM SUCESSO"/>
    <s v="PLANO DO DIA"/>
    <s v="NET MASSIVO"/>
    <x v="1"/>
  </r>
  <r>
    <x v="448"/>
    <s v="N190"/>
    <x v="7"/>
    <d v="2024-06-05T00:00:00"/>
    <s v="X43"/>
    <n v="22025239"/>
    <s v="MARCADOR APTO NUM 8 TIPO HO85 AMARELO"/>
    <x v="0"/>
    <n v="100"/>
    <n v="1"/>
    <s v="Unidade"/>
    <s v="IMPORTADO COM SUCESSO"/>
    <s v="PLANO DO DIA"/>
    <s v="NET MASSIVO"/>
    <x v="1"/>
  </r>
  <r>
    <x v="448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448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448"/>
    <s v="N190"/>
    <x v="7"/>
    <d v="2024-06-05T00:00:00"/>
    <s v="X43"/>
    <n v="22025245"/>
    <s v="MARCADOR APTO NUM 4 TIPO HO85 AMARELO"/>
    <x v="0"/>
    <n v="100"/>
    <n v="1"/>
    <s v="Unidade"/>
    <s v="IMPORTADO COM SUCESSO"/>
    <s v="PLANO DO DIA"/>
    <s v="NET MASSIVO"/>
    <x v="1"/>
  </r>
  <r>
    <x v="448"/>
    <s v="N190"/>
    <x v="10"/>
    <d v="2024-06-05T00:00:00"/>
    <s v="X43"/>
    <n v="22025250"/>
    <s v="MARCADOR APTO NUM 1 TIPO HO85 AMARELO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26189"/>
    <s v="CONEC_RI COMPRESSAO F-6"/>
    <x v="0"/>
    <n v="1400"/>
    <n v="1"/>
    <s v="Unidade"/>
    <s v="IMPORTADO COM SUCESSO"/>
    <s v="PLANO DO DIA"/>
    <s v="NET MASSIVO"/>
    <x v="1"/>
  </r>
  <r>
    <x v="448"/>
    <s v="N190"/>
    <x v="10"/>
    <d v="2024-06-05T00:00:00"/>
    <s v="X43"/>
    <n v="22026265"/>
    <s v="CABO DROP FO LOW F FIG0 BRANCO"/>
    <x v="0"/>
    <n v="1000"/>
    <n v="1"/>
    <s v="Unidade"/>
    <s v="IMPORTADO COM SUCESSO"/>
    <s v="PLANO DO DIA"/>
    <s v="NET MASSIVO"/>
    <x v="1"/>
  </r>
  <r>
    <x v="448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48"/>
    <s v="N190"/>
    <x v="10"/>
    <d v="2024-06-05T00:00:00"/>
    <s v="X43"/>
    <n v="22056331"/>
    <s v="MARCADOR CASA PTO NR 5"/>
    <x v="0"/>
    <n v="200"/>
    <n v="1"/>
    <s v="Unidade"/>
    <s v="IMPORTADO COM SUCESSO"/>
    <s v="PLANO DO DIA"/>
    <s v="NET MASSIVO"/>
    <x v="1"/>
  </r>
  <r>
    <x v="448"/>
    <s v="N190"/>
    <x v="7"/>
    <d v="2024-06-05T00:00:00"/>
    <s v="X43"/>
    <n v="22056339"/>
    <s v="MARCADOR CASA PTO NR 9"/>
    <x v="0"/>
    <n v="100"/>
    <n v="1"/>
    <s v="Unidade"/>
    <s v="IMPORTADO COM SUCESSO"/>
    <s v="PLANO DO DIA"/>
    <s v="NET MASSIVO"/>
    <x v="1"/>
  </r>
  <r>
    <x v="448"/>
    <s v="N190"/>
    <x v="10"/>
    <d v="2024-06-05T00:00:00"/>
    <s v="X43"/>
    <n v="22065718"/>
    <s v="MARCADOR CASA PRETO NR 0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19"/>
    <s v="MARCADOR CASA PRETO NR 1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0"/>
    <s v="MARCADOR CASA PRETO NR 2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1"/>
    <s v="MARCADOR CASA PRETO NR 3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2"/>
    <s v="MARCADOR CASA PRETO NR 4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4"/>
    <s v="MARCADOR CASA PRETO NR 6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448"/>
    <s v="N190"/>
    <x v="10"/>
    <d v="2024-06-05T00:00:00"/>
    <s v="X43"/>
    <n v="22065726"/>
    <s v="MARCADOR CASA PRETO NR 8"/>
    <x v="0"/>
    <n v="200"/>
    <n v="1"/>
    <s v="Unidade"/>
    <s v="IMPORTADO COM SUCESSO"/>
    <s v="PLANO DO DIA"/>
    <s v="NET MASSIVO"/>
    <x v="1"/>
  </r>
  <r>
    <x v="448"/>
    <s v="N190"/>
    <x v="10"/>
    <d v="2024-06-05T00:00:00"/>
    <s v="X43"/>
    <n v="22065727"/>
    <s v="MARCADOR CASA PRETO NR 9"/>
    <x v="0"/>
    <n v="200"/>
    <n v="1"/>
    <s v="Unidade"/>
    <s v="IMPORTADO COM SUCESSO"/>
    <s v="PLANO DO DIA"/>
    <s v="NET MASSIVO"/>
    <x v="1"/>
  </r>
  <r>
    <x v="449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450"/>
    <s v="N190"/>
    <x v="11"/>
    <d v="2024-06-05T00:00:00"/>
    <s v="X41"/>
    <n v="41001530"/>
    <s v="DECODER 4K UHD IP S4KW3 LINUX VAS COM"/>
    <x v="0"/>
    <n v="50"/>
    <n v="1"/>
    <s v="Unidade"/>
    <s v="IMPORTADO COM SUCESSO"/>
    <s v="PLANO DO DIA"/>
    <s v="NET MASSIVO"/>
    <x v="1"/>
  </r>
  <r>
    <x v="451"/>
    <s v="N190"/>
    <x v="10"/>
    <d v="2024-06-05T00:00:00"/>
    <s v="X43"/>
    <n v="22025072"/>
    <s v="FITA ISOLANTE 3M 33+"/>
    <x v="0"/>
    <n v="51"/>
    <n v="1"/>
    <s v="Unidade"/>
    <s v="IMPORTADO COM SUCESSO"/>
    <s v="PLANO DO DIA"/>
    <s v="NET MASSIVO"/>
    <x v="1"/>
  </r>
  <r>
    <x v="451"/>
    <s v="N190"/>
    <x v="10"/>
    <d v="2024-06-05T00:00:00"/>
    <s v="X43"/>
    <n v="22026219"/>
    <s v="CABO COAXIAL RG6 TRISH SEM MENSAG BRANCO"/>
    <x v="0"/>
    <n v="3500"/>
    <n v="1"/>
    <s v="Unidade"/>
    <s v="IMPORTADO COM SUCESSO"/>
    <s v="PLANO DO DIA"/>
    <s v="NET MASSIVO"/>
    <x v="1"/>
  </r>
  <r>
    <x v="451"/>
    <s v="N190"/>
    <x v="10"/>
    <d v="2024-06-05T00:00:00"/>
    <s v="X43"/>
    <n v="22056369"/>
    <s v="CABO UTP CAT5E ETHERNET NET"/>
    <x v="0"/>
    <n v="1800"/>
    <n v="1"/>
    <s v="Unidade"/>
    <s v="IMPORTADO COM SUCESSO"/>
    <s v="PLANO DO DIA"/>
    <s v="NET MASSIVO"/>
    <x v="1"/>
  </r>
  <r>
    <x v="451"/>
    <s v="N190"/>
    <x v="10"/>
    <d v="2024-06-05T00:00:00"/>
    <s v="X43"/>
    <n v="22057620"/>
    <s v="CONECTOR FO CAMPO FAST SC/APC"/>
    <x v="0"/>
    <n v="700"/>
    <n v="1"/>
    <s v="Unidade"/>
    <s v="IMPORTADO COM SUCESSO"/>
    <s v="PLANO DO DIA"/>
    <s v="NET MASSIVO"/>
    <x v="1"/>
  </r>
  <r>
    <x v="452"/>
    <s v="N190"/>
    <x v="10"/>
    <d v="2024-06-05T00:00:00"/>
    <s v="X41"/>
    <n v="41001536"/>
    <s v="ROTEADOR ZTE WIFI5 ZXHN H196A MESH BCO"/>
    <x v="0"/>
    <n v="120"/>
    <n v="1"/>
    <s v="Unidade"/>
    <s v="IMPORTADO COM SUCESSO"/>
    <s v="PLANO DO DIA"/>
    <s v="NET MASSIVO"/>
    <x v="1"/>
  </r>
  <r>
    <x v="452"/>
    <s v="N190"/>
    <x v="10"/>
    <d v="2024-06-05T00:00:00"/>
    <s v="X41"/>
    <n v="41001553"/>
    <s v="TERMINAL DOCSIS 3.1 EMTA WIFI6 TC3106"/>
    <x v="0"/>
    <n v="300"/>
    <n v="1"/>
    <s v="Unidade"/>
    <s v="IMPORTADO COM SUCESSO"/>
    <s v="PLANO DO DIA"/>
    <s v="NET MASSIVO"/>
    <x v="1"/>
  </r>
  <r>
    <x v="453"/>
    <s v="N190"/>
    <x v="10"/>
    <d v="2024-06-05T00:00:00"/>
    <s v="X43"/>
    <n v="22026219"/>
    <s v="CABO COAXIAL RG6 TRISH SEM MENSAG BRANCO"/>
    <x v="0"/>
    <n v="7200"/>
    <n v="1"/>
    <s v="Unidade"/>
    <s v="IMPORTADO COM SUCESSO"/>
    <s v="PLANO DO DIA"/>
    <s v="NET MASSIVO"/>
    <x v="1"/>
  </r>
  <r>
    <x v="454"/>
    <s v="N190"/>
    <x v="10"/>
    <d v="2024-06-05T00:00:00"/>
    <s v="X41"/>
    <n v="41001553"/>
    <s v="TERMINAL DOCSIS 3.1 EMTA WIFI6 TC3106"/>
    <x v="0"/>
    <n v="150"/>
    <n v="1"/>
    <s v="Unidade"/>
    <s v="IMPORTADO COM SUCESSO"/>
    <s v="PLANO DO DIA"/>
    <s v="NET MASSIVO"/>
    <x v="1"/>
  </r>
  <r>
    <x v="455"/>
    <s v="N190"/>
    <x v="10"/>
    <d v="2024-06-05T00:00:00"/>
    <s v="X43"/>
    <n v="22026265"/>
    <s v="CABO DROP FO LOW F FIG0 BRANCO"/>
    <x v="0"/>
    <n v="500"/>
    <n v="1"/>
    <s v="Unidade"/>
    <s v="IMPORTADO COM SUCESSO"/>
    <s v="PLANO DO DIA"/>
    <s v="NET MASSIVO"/>
    <x v="1"/>
  </r>
  <r>
    <x v="455"/>
    <s v="N190"/>
    <x v="10"/>
    <d v="2024-06-05T00:00:00"/>
    <s v="X43"/>
    <n v="22026544"/>
    <s v="SUPORTE GALVANIZADO U SPAN CLAMP"/>
    <x v="0"/>
    <n v="200"/>
    <n v="1"/>
    <s v="Unidade"/>
    <s v="IMPORTADO COM SUCESSO"/>
    <s v="PLANO DO DIA"/>
    <s v="NET MASSIVO"/>
    <x v="1"/>
  </r>
  <r>
    <x v="455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455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455"/>
    <s v="N190"/>
    <x v="10"/>
    <d v="2024-06-05T00:00:00"/>
    <s v="X43"/>
    <n v="22056344"/>
    <s v="MARCADOR CASA PTO NR 2"/>
    <x v="0"/>
    <n v="100"/>
    <n v="1"/>
    <s v="Unidade"/>
    <s v="IMPORTADO COM SUCESSO"/>
    <s v="PLANO DO DIA"/>
    <s v="NET MASSIVO"/>
    <x v="1"/>
  </r>
  <r>
    <x v="455"/>
    <s v="N190"/>
    <x v="10"/>
    <d v="2024-06-05T00:00:00"/>
    <s v="X43"/>
    <n v="22056359"/>
    <s v="FITA ACO INOX 1/2 POLEGADA ROLO 25MT"/>
    <x v="0"/>
    <n v="11"/>
    <n v="1"/>
    <s v="Unidade"/>
    <s v="IMPORTADO COM SUCESSO"/>
    <s v="PLANO DO DIA"/>
    <s v="NET MASSIVO"/>
    <x v="1"/>
  </r>
  <r>
    <x v="455"/>
    <s v="N190"/>
    <x v="10"/>
    <d v="2024-06-05T00:00:00"/>
    <s v="X43"/>
    <n v="22056365"/>
    <s v="PROTETOR P/MINI ISOLADOR - ACRE1568"/>
    <x v="0"/>
    <n v="300"/>
    <n v="1"/>
    <s v="Unidade"/>
    <s v="IMPORTADO COM SUCESSO"/>
    <s v="PLANO DO DIA"/>
    <s v="NET MASSIVO"/>
    <x v="1"/>
  </r>
  <r>
    <x v="455"/>
    <s v="N190"/>
    <x v="10"/>
    <d v="2024-06-05T00:00:00"/>
    <s v="X43"/>
    <n v="22060738"/>
    <s v="FIXADOR FIO BR RG6 CIRCUL 7MM"/>
    <x v="0"/>
    <n v="1800"/>
    <n v="1"/>
    <s v="Unidade"/>
    <s v="IMPORTADO COM SUCESSO"/>
    <s v="PLANO DO DIA"/>
    <s v="NET MASSIVO"/>
    <x v="1"/>
  </r>
  <r>
    <x v="455"/>
    <s v="N190"/>
    <x v="10"/>
    <d v="2024-06-05T00:00:00"/>
    <s v="X43"/>
    <n v="22062001"/>
    <s v="CABO DROP PRECON HW DOMEX 50M"/>
    <x v="0"/>
    <n v="12"/>
    <n v="1"/>
    <s v="Unidade"/>
    <s v="IMPORTADO COM SUCESSO"/>
    <s v="PLANO DO DIA"/>
    <s v="NET MASSIVO"/>
    <x v="1"/>
  </r>
  <r>
    <x v="455"/>
    <s v="N190"/>
    <x v="10"/>
    <d v="2024-06-05T00:00:00"/>
    <s v="X43"/>
    <n v="22062005"/>
    <s v="CABO DROP PRECON HW DOMEX 150M"/>
    <x v="0"/>
    <n v="4"/>
    <n v="1"/>
    <s v="Unidade"/>
    <s v="IMPORTADO COM SUCESSO"/>
    <s v="PLANO DO DIA"/>
    <s v="NET MASSIVO"/>
    <x v="1"/>
  </r>
  <r>
    <x v="455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455"/>
    <s v="N190"/>
    <x v="10"/>
    <d v="2024-06-05T00:00:00"/>
    <s v="X43"/>
    <n v="22065722"/>
    <s v="MARCADOR CASA PRETO NR 4"/>
    <x v="0"/>
    <n v="100"/>
    <n v="1"/>
    <s v="Unidade"/>
    <s v="IMPORTADO COM SUCESSO"/>
    <s v="PLANO DO DIA"/>
    <s v="NET MASSIVO"/>
    <x v="1"/>
  </r>
  <r>
    <x v="456"/>
    <s v="N190"/>
    <x v="11"/>
    <d v="2024-06-05T00:00:00"/>
    <s v="X41"/>
    <n v="41001530"/>
    <s v="DECODER 4K UHD IP S4KW3 LINUX VAS COM"/>
    <x v="0"/>
    <n v="120"/>
    <n v="1"/>
    <s v="Unidade"/>
    <s v="IMPORTADO COM SUCESSO"/>
    <s v="PLANO DO DIA"/>
    <s v="NET MASSIVO"/>
    <x v="1"/>
  </r>
  <r>
    <x v="457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58"/>
    <s v="N190"/>
    <x v="10"/>
    <d v="2024-06-05T00:00:00"/>
    <s v="X41"/>
    <n v="41001536"/>
    <s v="ROTEADOR ZTE WIFI5 ZXHN H196A MESH BCO"/>
    <x v="0"/>
    <n v="360"/>
    <n v="1"/>
    <s v="Unidade"/>
    <s v="IMPORTADO COM SUCESSO"/>
    <s v="PLANO DO DIA"/>
    <s v="NET MASSIVO"/>
    <x v="1"/>
  </r>
  <r>
    <x v="458"/>
    <s v="N190"/>
    <x v="10"/>
    <d v="2024-06-05T00:00:00"/>
    <s v="X41"/>
    <n v="41001552"/>
    <s v="TERMINAL DOCSIS 3.1 EMTA WIFI6 F@ST3896"/>
    <x v="0"/>
    <n v="240"/>
    <n v="1"/>
    <s v="Unidade"/>
    <s v="IMPORTADO COM SUCESSO"/>
    <s v="PLANO DO DIA"/>
    <s v="NET MASSIVO"/>
    <x v="1"/>
  </r>
  <r>
    <x v="459"/>
    <s v="N190"/>
    <x v="10"/>
    <d v="2024-06-05T00:00:00"/>
    <s v="X43"/>
    <n v="22057866"/>
    <s v="MINI PONTO GPON SC ROSETA APCDPR OT8420"/>
    <x v="0"/>
    <n v="50"/>
    <n v="1"/>
    <s v="Unidade"/>
    <s v="IMPORTADO COM SUCESSO"/>
    <s v="PLANO DO DIA"/>
    <s v="NET MASSIVO"/>
    <x v="1"/>
  </r>
  <r>
    <x v="460"/>
    <s v="N190"/>
    <x v="10"/>
    <d v="2024-06-05T00:00:00"/>
    <s v="X41"/>
    <n v="41001536"/>
    <s v="ROTEADOR ZTE WIFI5 ZXHN H196A MESH BCO"/>
    <x v="0"/>
    <n v="520"/>
    <n v="1"/>
    <s v="Unidade"/>
    <s v="IMPORTADO COM SUCESSO"/>
    <s v="PLANO DO DIA"/>
    <s v="NET MASSIVO"/>
    <x v="1"/>
  </r>
  <r>
    <x v="460"/>
    <s v="N190"/>
    <x v="10"/>
    <d v="2024-06-05T00:00:00"/>
    <s v="X41"/>
    <n v="41001552"/>
    <s v="TERMINAL DOCSIS 3.1 EMTA WIFI6 F@ST3896"/>
    <x v="0"/>
    <n v="500"/>
    <n v="1"/>
    <s v="Unidade"/>
    <s v="IMPORTADO COM SUCESSO"/>
    <s v="PLANO DO DIA"/>
    <s v="NET MASSIVO"/>
    <x v="1"/>
  </r>
  <r>
    <x v="461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462"/>
    <s v="N190"/>
    <x v="11"/>
    <d v="2024-06-05T00:00:00"/>
    <s v="X41"/>
    <n v="41001530"/>
    <s v="DECODER 4K UHD IP S4KW3 LINUX VAS COM"/>
    <x v="0"/>
    <n v="40"/>
    <n v="1"/>
    <s v="Unidade"/>
    <s v="IMPORTADO COM SUCESSO"/>
    <s v="PLANO DO DIA"/>
    <s v="NET MASSIVO"/>
    <x v="1"/>
  </r>
  <r>
    <x v="463"/>
    <s v="N190"/>
    <x v="10"/>
    <d v="2024-06-05T00:00:00"/>
    <s v="X41"/>
    <n v="41001553"/>
    <s v="TERMINAL DOCSIS 3.1 EMTA WIFI6 TC3106"/>
    <x v="0"/>
    <n v="20"/>
    <n v="1"/>
    <s v="Unidade"/>
    <s v="IMPORTADO COM SUCESSO"/>
    <s v="PLANO DO DIA"/>
    <s v="NET MASSIVO"/>
    <x v="1"/>
  </r>
  <r>
    <x v="464"/>
    <s v="N190"/>
    <x v="10"/>
    <d v="2024-06-05T00:00:00"/>
    <s v="X43"/>
    <n v="22057866"/>
    <s v="MINI PONTO GPON SC ROSETA APCDPR OT8420"/>
    <x v="0"/>
    <n v="150"/>
    <n v="1"/>
    <s v="Unidade"/>
    <s v="IMPORTADO COM SUCESSO"/>
    <s v="PLANO DO DIA"/>
    <s v="NET MASSIVO"/>
    <x v="1"/>
  </r>
  <r>
    <x v="465"/>
    <s v="N190"/>
    <x v="11"/>
    <d v="2024-06-05T00:00:00"/>
    <s v="X41"/>
    <n v="41001530"/>
    <s v="DECODER 4K UHD IP S4KW3 LINUX VAS COM"/>
    <x v="0"/>
    <n v="80"/>
    <n v="1"/>
    <s v="Unidade"/>
    <s v="IMPORTADO COM SUCESSO"/>
    <s v="PLANO DO DIA"/>
    <s v="NET MASSIVO"/>
    <x v="1"/>
  </r>
  <r>
    <x v="466"/>
    <s v="N190"/>
    <x v="7"/>
    <d v="2024-06-05T00:00:00"/>
    <s v="X43"/>
    <n v="22025239"/>
    <s v="MARCADOR APTO NUM 8 TIPO HO85 AMARELO"/>
    <x v="0"/>
    <n v="300"/>
    <n v="1"/>
    <s v="Unidade"/>
    <s v="IMPORTADO COM SUCESSO"/>
    <s v="PLANO DO DIA"/>
    <s v="NET MASSIVO"/>
    <x v="1"/>
  </r>
  <r>
    <x v="466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25348"/>
    <s v="FIXA FIO CABO LOW FRICT CHATO"/>
    <x v="0"/>
    <n v="200"/>
    <n v="1"/>
    <s v="Unidade"/>
    <s v="IMPORTADO COM SUCESSO"/>
    <s v="PLANO DO DIA"/>
    <s v="NET MASSIVO"/>
    <x v="1"/>
  </r>
  <r>
    <x v="466"/>
    <s v="N190"/>
    <x v="10"/>
    <d v="2024-06-05T00:00:00"/>
    <s v="X43"/>
    <n v="22026502"/>
    <s v="PITAO GANCHO COM BUCHA S8"/>
    <x v="0"/>
    <n v="100"/>
    <n v="1"/>
    <s v="Unidade"/>
    <s v="IMPORTADO COM SUCESSO"/>
    <s v="PLANO DO DIA"/>
    <s v="NET MASSIVO"/>
    <x v="1"/>
  </r>
  <r>
    <x v="466"/>
    <s v="N190"/>
    <x v="10"/>
    <d v="2024-06-05T00:00:00"/>
    <s v="X43"/>
    <n v="22056334"/>
    <s v="FECHO DE ACO INOX DENTADO 1/2"/>
    <x v="0"/>
    <n v="200"/>
    <n v="1"/>
    <s v="Unidade"/>
    <s v="IMPORTADO COM SUCESSO"/>
    <s v="PLANO DO DIA"/>
    <s v="NET MASSIVO"/>
    <x v="1"/>
  </r>
  <r>
    <x v="467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68"/>
    <s v="N190"/>
    <x v="10"/>
    <d v="2024-06-05T00:00:00"/>
    <s v="X43"/>
    <n v="22025348"/>
    <s v="FIXA FIO CABO LOW FRICT CHATO"/>
    <x v="0"/>
    <n v="200"/>
    <n v="1"/>
    <s v="Unidade"/>
    <s v="IMPORTADO COM SUCESSO"/>
    <s v="PLANO DO DIA"/>
    <s v="NET MASSIVO"/>
    <x v="1"/>
  </r>
  <r>
    <x v="468"/>
    <s v="N190"/>
    <x v="10"/>
    <d v="2024-06-05T00:00:00"/>
    <s v="X43"/>
    <n v="22025349"/>
    <s v="FIXA FIO CABO DROP FO CHATO"/>
    <x v="0"/>
    <n v="500"/>
    <n v="1"/>
    <s v="Unidade"/>
    <s v="IMPORTADO COM SUCESSO"/>
    <s v="PLANO DO DIA"/>
    <s v="NET MASSIVO"/>
    <x v="1"/>
  </r>
  <r>
    <x v="468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68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468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468"/>
    <s v="N190"/>
    <x v="10"/>
    <d v="2024-06-05T00:00:00"/>
    <s v="X43"/>
    <n v="22056332"/>
    <s v="FITA ISOLANTE AUTOFUSAO 3M SCOTCH23 10MT"/>
    <x v="0"/>
    <n v="6"/>
    <n v="1"/>
    <s v="Unidade"/>
    <s v="IMPORTADO COM SUCESSO"/>
    <s v="PLANO DO DIA"/>
    <s v="NET MASSIVO"/>
    <x v="1"/>
  </r>
  <r>
    <x v="468"/>
    <s v="N190"/>
    <x v="10"/>
    <d v="2024-06-05T00:00:00"/>
    <s v="X43"/>
    <n v="22056359"/>
    <s v="FITA ACO INOX 1/2 POLEGADA ROLO 25MT"/>
    <x v="0"/>
    <n v="8"/>
    <n v="1"/>
    <s v="Unidade"/>
    <s v="IMPORTADO COM SUCESSO"/>
    <s v="PLANO DO DIA"/>
    <s v="NET MASSIVO"/>
    <x v="1"/>
  </r>
  <r>
    <x v="468"/>
    <s v="N190"/>
    <x v="10"/>
    <d v="2024-06-05T00:00:00"/>
    <s v="X43"/>
    <n v="22057635"/>
    <s v="FIXADOR FIO PT RG6"/>
    <x v="0"/>
    <n v="400"/>
    <n v="1"/>
    <s v="Unidade"/>
    <s v="IMPORTADO COM SUCESSO"/>
    <s v="PLANO DO DIA"/>
    <s v="NET MASSIVO"/>
    <x v="1"/>
  </r>
  <r>
    <x v="468"/>
    <s v="N190"/>
    <x v="10"/>
    <d v="2024-06-05T00:00:00"/>
    <s v="X43"/>
    <n v="22057658"/>
    <s v="SUPORTE ROLDANA FO DROP SDA-1"/>
    <x v="0"/>
    <n v="20"/>
    <n v="1"/>
    <s v="Unidade"/>
    <s v="IMPORTADO COM SUCESSO"/>
    <s v="PLANO DO DIA"/>
    <s v="NET MASSIVO"/>
    <x v="1"/>
  </r>
  <r>
    <x v="468"/>
    <s v="N190"/>
    <x v="10"/>
    <d v="2024-06-05T00:00:00"/>
    <s v="X43"/>
    <n v="22057659"/>
    <s v="ESTICADOR CUNHA PARA DROP OPTICO SRDO"/>
    <x v="0"/>
    <n v="140"/>
    <n v="1"/>
    <s v="Unidade"/>
    <s v="IMPORTADO COM SUCESSO"/>
    <s v="PLANO DO DIA"/>
    <s v="NET MASSIVO"/>
    <x v="1"/>
  </r>
  <r>
    <x v="468"/>
    <s v="N190"/>
    <x v="10"/>
    <d v="2024-06-05T00:00:00"/>
    <s v="X43"/>
    <n v="22061811"/>
    <s v="CONECTOR UTP RJ45 M CAT 5 24AWG"/>
    <x v="0"/>
    <n v="50"/>
    <n v="1"/>
    <s v="Unidade"/>
    <s v="IMPORTADO COM SUCESSO"/>
    <s v="PLANO DO DIA"/>
    <s v="NET MASSIVO"/>
    <x v="1"/>
  </r>
  <r>
    <x v="468"/>
    <s v="N190"/>
    <x v="10"/>
    <d v="2024-06-05T00:00:00"/>
    <s v="X43"/>
    <n v="22062003"/>
    <s v="CABO DROP PRECON HW DOMEX 100M"/>
    <x v="0"/>
    <n v="6"/>
    <n v="1"/>
    <s v="Unidade"/>
    <s v="IMPORTADO COM SUCESSO"/>
    <s v="PLANO DO DIA"/>
    <s v="NET MASSIVO"/>
    <x v="1"/>
  </r>
  <r>
    <x v="468"/>
    <s v="N190"/>
    <x v="10"/>
    <d v="2024-06-05T00:00:00"/>
    <s v="X43"/>
    <n v="22062004"/>
    <s v="CABO DROP PRECON HW DOMEX 120M"/>
    <x v="0"/>
    <n v="4"/>
    <n v="1"/>
    <s v="Unidade"/>
    <s v="IMPORTADO COM SUCESSO"/>
    <s v="PLANO DO DIA"/>
    <s v="NET MASSIVO"/>
    <x v="1"/>
  </r>
  <r>
    <x v="468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69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69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70"/>
    <s v="N190"/>
    <x v="10"/>
    <d v="2024-06-05T00:00:00"/>
    <s v="X43"/>
    <n v="22026189"/>
    <s v="CONEC_RI COMPRESSAO F-6"/>
    <x v="0"/>
    <n v="700"/>
    <n v="1"/>
    <s v="Unidade"/>
    <s v="IMPORTADO COM SUCESSO"/>
    <s v="PLANO DO DIA"/>
    <s v="NET MASSIVO"/>
    <x v="1"/>
  </r>
  <r>
    <x v="470"/>
    <s v="N190"/>
    <x v="10"/>
    <d v="2024-06-05T00:00:00"/>
    <s v="X43"/>
    <n v="22026219"/>
    <s v="CABO COAXIAL RG6 TRISH SEM MENSAG BRANCO"/>
    <x v="0"/>
    <n v="1500"/>
    <n v="1"/>
    <s v="Unidade"/>
    <s v="IMPORTADO COM SUCESSO"/>
    <s v="PLANO DO DIA"/>
    <s v="NET MASSIVO"/>
    <x v="1"/>
  </r>
  <r>
    <x v="470"/>
    <s v="N190"/>
    <x v="10"/>
    <d v="2024-06-05T00:00:00"/>
    <s v="X43"/>
    <n v="22026223"/>
    <s v="CABO COAXIAL RG6 TRISH COM MENSAG PRETO"/>
    <x v="0"/>
    <n v="2440"/>
    <n v="1"/>
    <s v="Unidade"/>
    <s v="IMPORTADO COM SUCESSO"/>
    <s v="PLANO DO DIA"/>
    <s v="NET MASSIVO"/>
    <x v="1"/>
  </r>
  <r>
    <x v="470"/>
    <s v="N190"/>
    <x v="10"/>
    <d v="2024-06-05T00:00:00"/>
    <s v="X43"/>
    <n v="22026772"/>
    <s v="DIV_RI 2S 1GHZ H SOLDADO"/>
    <x v="0"/>
    <n v="25"/>
    <n v="1"/>
    <s v="Unidade"/>
    <s v="IMPORTADO COM SUCESSO"/>
    <s v="PLANO DO DIA"/>
    <s v="NET MASSIVO"/>
    <x v="1"/>
  </r>
  <r>
    <x v="471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71"/>
    <s v="N190"/>
    <x v="10"/>
    <d v="2024-06-05T00:00:00"/>
    <s v="X41"/>
    <n v="41001536"/>
    <s v="ROTEADOR ZTE WIFI5 ZXHN H196A MESH BCO"/>
    <x v="0"/>
    <n v="80"/>
    <n v="1"/>
    <s v="Unidade"/>
    <s v="IMPORTADO COM SUCESSO"/>
    <s v="PLANO DO DIA"/>
    <s v="NET MASSIVO"/>
    <x v="1"/>
  </r>
  <r>
    <x v="471"/>
    <s v="N190"/>
    <x v="10"/>
    <d v="2024-06-05T00:00:00"/>
    <s v="X41"/>
    <n v="41001553"/>
    <s v="TERMINAL DOCSIS 3.1 EMTA WIFI6 TC3106"/>
    <x v="0"/>
    <n v="100"/>
    <n v="1"/>
    <s v="Unidade"/>
    <s v="IMPORTADO COM SUCESSO"/>
    <s v="PLANO DO DIA"/>
    <s v="NET MASSIVO"/>
    <x v="1"/>
  </r>
  <r>
    <x v="472"/>
    <s v="N190"/>
    <x v="10"/>
    <d v="2024-06-05T00:00:00"/>
    <s v="X41"/>
    <n v="41001536"/>
    <s v="ROTEADOR ZTE WIFI5 ZXHN H196A MESH BCO"/>
    <x v="0"/>
    <n v="90"/>
    <n v="1"/>
    <s v="Unidade"/>
    <s v="IMPORTADO COM SUCESSO"/>
    <s v="PLANO DO DIA"/>
    <s v="NET MASSIVO"/>
    <x v="1"/>
  </r>
  <r>
    <x v="473"/>
    <s v="N190"/>
    <x v="10"/>
    <d v="2024-06-05T00:00:00"/>
    <s v="X43"/>
    <n v="22025049"/>
    <s v="VASELINA SOLIDA POTE 410G"/>
    <x v="0"/>
    <n v="2"/>
    <n v="1"/>
    <s v="Unidade"/>
    <s v="IMPORTADO COM SUCESSO"/>
    <s v="PLANO DO DIA"/>
    <s v="NET MASSIVO"/>
    <x v="1"/>
  </r>
  <r>
    <x v="473"/>
    <s v="N190"/>
    <x v="10"/>
    <d v="2024-06-05T00:00:00"/>
    <s v="X43"/>
    <n v="22025139"/>
    <s v="FIXADOR FIO BR RG6 CIRCUL 7MM"/>
    <x v="0"/>
    <n v="200"/>
    <n v="1"/>
    <s v="Unidade"/>
    <s v="IMPORTADO COM SUCESSO"/>
    <s v="PLANO DO DIA"/>
    <s v="NET MASSIVO"/>
    <x v="1"/>
  </r>
  <r>
    <x v="473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473"/>
    <s v="N190"/>
    <x v="10"/>
    <d v="2024-06-05T00:00:00"/>
    <s v="X43"/>
    <n v="22057635"/>
    <s v="FIXADOR FIO PT RG6"/>
    <x v="0"/>
    <n v="100"/>
    <n v="1"/>
    <s v="Unidade"/>
    <s v="IMPORTADO COM SUCESSO"/>
    <s v="PLANO DO DIA"/>
    <s v="NET MASSIVO"/>
    <x v="1"/>
  </r>
  <r>
    <x v="473"/>
    <s v="N190"/>
    <x v="10"/>
    <d v="2024-06-05T00:00:00"/>
    <s v="X43"/>
    <n v="22057659"/>
    <s v="ESTICADOR CUNHA PARA DROP OPTICO SRDO"/>
    <x v="0"/>
    <n v="390"/>
    <n v="1"/>
    <s v="Unidade"/>
    <s v="IMPORTADO COM SUCESSO"/>
    <s v="PLANO DO DIA"/>
    <s v="NET MASSIVO"/>
    <x v="1"/>
  </r>
  <r>
    <x v="474"/>
    <s v="N190"/>
    <x v="10"/>
    <d v="2024-06-05T00:00:00"/>
    <s v="X41"/>
    <n v="41001553"/>
    <s v="TERMINAL DOCSIS 3.1 EMTA WIFI6 TC3106"/>
    <x v="0"/>
    <n v="50"/>
    <n v="1"/>
    <s v="Unidade"/>
    <s v="IMPORTADO COM SUCESSO"/>
    <s v="PLANO DO DIA"/>
    <s v="NET MASSIVO"/>
    <x v="1"/>
  </r>
  <r>
    <x v="475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476"/>
    <s v="N190"/>
    <x v="10"/>
    <d v="2024-06-05T00:00:00"/>
    <s v="X43"/>
    <n v="22026189"/>
    <s v="CONEC_RI COMPRESSAO F-6"/>
    <x v="0"/>
    <n v="1100"/>
    <n v="1"/>
    <s v="Unidade"/>
    <s v="IMPORTADO COM SUCESSO"/>
    <s v="PLANO DO DIA"/>
    <s v="NET MASSIVO"/>
    <x v="1"/>
  </r>
  <r>
    <x v="476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476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476"/>
    <s v="N190"/>
    <x v="10"/>
    <d v="2024-06-05T00:00:00"/>
    <s v="X43"/>
    <n v="22057659"/>
    <s v="ESTICADOR CUNHA PARA DROP OPTICO SRDO"/>
    <x v="0"/>
    <n v="60"/>
    <n v="1"/>
    <s v="Unidade"/>
    <s v="IMPORTADO COM SUCESSO"/>
    <s v="PLANO DO DIA"/>
    <s v="NET MASSIVO"/>
    <x v="1"/>
  </r>
  <r>
    <x v="476"/>
    <s v="N190"/>
    <x v="10"/>
    <d v="2024-06-05T00:00:00"/>
    <s v="X43"/>
    <n v="22061736"/>
    <s v="CABO DROP 1FO LOW F FIG8 LOW CINZA"/>
    <x v="0"/>
    <n v="1000"/>
    <n v="1"/>
    <s v="Unidade"/>
    <s v="IMPORTADO COM SUCESSO"/>
    <s v="PLANO DO DIA"/>
    <s v="NET MASSIVO"/>
    <x v="1"/>
  </r>
  <r>
    <x v="476"/>
    <s v="N190"/>
    <x v="10"/>
    <d v="2024-06-05T00:00:00"/>
    <s v="X43"/>
    <n v="22065719"/>
    <s v="MARCADOR CASA PRETO NR 1"/>
    <x v="0"/>
    <n v="100"/>
    <n v="1"/>
    <s v="Unidade"/>
    <s v="IMPORTADO COM SUCESSO"/>
    <s v="PLANO DO DIA"/>
    <s v="NET MASSIVO"/>
    <x v="1"/>
  </r>
  <r>
    <x v="477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77"/>
    <s v="N190"/>
    <x v="10"/>
    <d v="2024-06-05T00:00:00"/>
    <s v="X41"/>
    <n v="41001552"/>
    <s v="TERMINAL DOCSIS 3.1 EMTA WIFI6 F@ST3896"/>
    <x v="0"/>
    <n v="30"/>
    <n v="1"/>
    <s v="Unidade"/>
    <s v="IMPORTADO COM SUCESSO"/>
    <s v="PLANO DO DIA"/>
    <s v="NET MASSIVO"/>
    <x v="1"/>
  </r>
  <r>
    <x v="478"/>
    <s v="N190"/>
    <x v="10"/>
    <d v="2024-06-05T00:00:00"/>
    <s v="X41"/>
    <n v="41001536"/>
    <s v="ROTEADOR ZTE WIFI5 ZXHN H196A MESH BCO"/>
    <x v="0"/>
    <n v="100"/>
    <n v="1"/>
    <s v="Unidade"/>
    <s v="IMPORTADO COM SUCESSO"/>
    <s v="PLANO DO DIA"/>
    <s v="NET MASSIVO"/>
    <x v="1"/>
  </r>
  <r>
    <x v="479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479"/>
    <s v="N190"/>
    <x v="10"/>
    <d v="2024-06-05T00:00:00"/>
    <s v="X43"/>
    <n v="22026189"/>
    <s v="CONEC_RI COMPRESSAO F-6"/>
    <x v="0"/>
    <n v="3100"/>
    <n v="1"/>
    <s v="Unidade"/>
    <s v="IMPORTADO COM SUCESSO"/>
    <s v="PLANO DO DIA"/>
    <s v="NET MASSIVO"/>
    <x v="1"/>
  </r>
  <r>
    <x v="479"/>
    <s v="N190"/>
    <x v="10"/>
    <d v="2024-06-05T00:00:00"/>
    <s v="X43"/>
    <n v="22026219"/>
    <s v="CABO COAXIAL RG6 TRISH SEM MENSAG BRANCO"/>
    <x v="0"/>
    <n v="7900"/>
    <n v="1"/>
    <s v="Unidade"/>
    <s v="IMPORTADO COM SUCESSO"/>
    <s v="PLANO DO DIA"/>
    <s v="NET MASSIVO"/>
    <x v="1"/>
  </r>
  <r>
    <x v="479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479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479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479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479"/>
    <s v="N190"/>
    <x v="10"/>
    <d v="2024-06-05T00:00:00"/>
    <s v="X43"/>
    <n v="22056343"/>
    <s v="MARCADOR CASA PTO NR 1"/>
    <x v="0"/>
    <n v="100"/>
    <n v="1"/>
    <s v="Unidade"/>
    <s v="IMPORTADO COM SUCESSO"/>
    <s v="PLANO DO DIA"/>
    <s v="NET MASSIVO"/>
    <x v="1"/>
  </r>
  <r>
    <x v="479"/>
    <s v="N190"/>
    <x v="10"/>
    <d v="2024-06-05T00:00:00"/>
    <s v="X43"/>
    <n v="22056364"/>
    <s v="MINI ISOLADOR CPE P/CM DECODER"/>
    <x v="0"/>
    <n v="270"/>
    <n v="1"/>
    <s v="Unidade"/>
    <s v="IMPORTADO COM SUCESSO"/>
    <s v="PLANO DO DIA"/>
    <s v="NET MASSIVO"/>
    <x v="1"/>
  </r>
  <r>
    <x v="479"/>
    <s v="N190"/>
    <x v="10"/>
    <d v="2024-06-05T00:00:00"/>
    <s v="X43"/>
    <n v="22056365"/>
    <s v="PROTETOR P/MINI ISOLADOR - ACRE1568"/>
    <x v="0"/>
    <n v="270"/>
    <n v="1"/>
    <s v="Unidade"/>
    <s v="IMPORTADO COM SUCESSO"/>
    <s v="PLANO DO DIA"/>
    <s v="NET MASSIVO"/>
    <x v="1"/>
  </r>
  <r>
    <x v="479"/>
    <s v="N190"/>
    <x v="10"/>
    <d v="2024-06-05T00:00:00"/>
    <s v="X43"/>
    <n v="22056369"/>
    <s v="CABO UTP CAT5E ETHERNET NET"/>
    <x v="0"/>
    <n v="900"/>
    <n v="1"/>
    <s v="Unidade"/>
    <s v="IMPORTADO COM SUCESSO"/>
    <s v="PLANO DO DIA"/>
    <s v="NET MASSIVO"/>
    <x v="1"/>
  </r>
  <r>
    <x v="479"/>
    <s v="N190"/>
    <x v="10"/>
    <d v="2024-06-05T00:00:00"/>
    <s v="X43"/>
    <n v="22057620"/>
    <s v="CONECTOR FO CAMPO FAST SC/APC"/>
    <x v="0"/>
    <n v="400"/>
    <n v="1"/>
    <s v="Unidade"/>
    <s v="IMPORTADO COM SUCESSO"/>
    <s v="PLANO DO DIA"/>
    <s v="NET MASSIVO"/>
    <x v="1"/>
  </r>
  <r>
    <x v="479"/>
    <s v="N190"/>
    <x v="10"/>
    <d v="2024-06-05T00:00:00"/>
    <s v="X43"/>
    <n v="22057659"/>
    <s v="ESTICADOR CUNHA PARA DROP OPTICO SRDO"/>
    <x v="0"/>
    <n v="250"/>
    <n v="1"/>
    <s v="Unidade"/>
    <s v="IMPORTADO COM SUCESSO"/>
    <s v="PLANO DO DIA"/>
    <s v="NET MASSIVO"/>
    <x v="1"/>
  </r>
  <r>
    <x v="479"/>
    <s v="N190"/>
    <x v="10"/>
    <d v="2024-06-05T00:00:00"/>
    <s v="X43"/>
    <n v="22060738"/>
    <s v="FIXADOR FIO BR RG6 CIRCUL 7MM"/>
    <x v="0"/>
    <n v="3200"/>
    <n v="1"/>
    <s v="Unidade"/>
    <s v="IMPORTADO COM SUCESSO"/>
    <s v="PLANO DO DIA"/>
    <s v="NET MASSIVO"/>
    <x v="1"/>
  </r>
  <r>
    <x v="479"/>
    <s v="N190"/>
    <x v="10"/>
    <d v="2024-06-05T00:00:00"/>
    <s v="X43"/>
    <n v="22061736"/>
    <s v="CABO DROP 1FO LOW F FIG8 LOW CINZA"/>
    <x v="0"/>
    <n v="5500"/>
    <n v="1"/>
    <s v="Unidade"/>
    <s v="IMPORTADO COM SUCESSO"/>
    <s v="PLANO DO DIA"/>
    <s v="NET MASSIVO"/>
    <x v="1"/>
  </r>
  <r>
    <x v="479"/>
    <s v="N190"/>
    <x v="10"/>
    <d v="2024-06-05T00:00:00"/>
    <s v="X43"/>
    <n v="22061811"/>
    <s v="CONECTOR UTP RJ45 M CAT 5 24AWG"/>
    <x v="0"/>
    <n v="200"/>
    <n v="1"/>
    <s v="Unidade"/>
    <s v="IMPORTADO COM SUCESSO"/>
    <s v="PLANO DO DIA"/>
    <s v="NET MASSIVO"/>
    <x v="1"/>
  </r>
  <r>
    <x v="479"/>
    <s v="N190"/>
    <x v="10"/>
    <d v="2024-06-05T00:00:00"/>
    <s v="X43"/>
    <n v="22065724"/>
    <s v="MARCADOR CASA PRETO NR 6"/>
    <x v="0"/>
    <n v="100"/>
    <n v="1"/>
    <s v="Unidade"/>
    <s v="IMPORTADO COM SUCESSO"/>
    <s v="PLANO DO DIA"/>
    <s v="NET MASSIVO"/>
    <x v="1"/>
  </r>
  <r>
    <x v="479"/>
    <s v="N190"/>
    <x v="10"/>
    <d v="2024-06-05T00:00:00"/>
    <s v="X43"/>
    <n v="22065726"/>
    <s v="MARCADOR CASA PRETO NR 8"/>
    <x v="0"/>
    <n v="100"/>
    <n v="1"/>
    <s v="Unidade"/>
    <s v="IMPORTADO COM SUCESSO"/>
    <s v="PLANO DO DIA"/>
    <s v="NET MASSIVO"/>
    <x v="1"/>
  </r>
  <r>
    <x v="479"/>
    <s v="N190"/>
    <x v="10"/>
    <d v="2024-06-05T00:00:00"/>
    <s v="X43"/>
    <n v="22066517"/>
    <s v="ISOLADOR CASA SURGE PROTEC LOW COST"/>
    <x v="0"/>
    <n v="300"/>
    <n v="1"/>
    <s v="Unidade"/>
    <s v="IMPORTADO COM SUCESSO"/>
    <s v="PLANO DO DIA"/>
    <s v="NET MASSIVO"/>
    <x v="1"/>
  </r>
  <r>
    <x v="480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480"/>
    <s v="N190"/>
    <x v="10"/>
    <d v="2024-06-05T00:00:00"/>
    <s v="X41"/>
    <n v="41001553"/>
    <s v="TERMINAL DOCSIS 3.1 EMTA WIFI6 TC3106"/>
    <x v="0"/>
    <n v="180"/>
    <n v="1"/>
    <s v="Unidade"/>
    <s v="IMPORTADO COM SUCESSO"/>
    <s v="PLANO DO DIA"/>
    <s v="NET MASSIVO"/>
    <x v="1"/>
  </r>
  <r>
    <x v="481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82"/>
    <s v="N190"/>
    <x v="10"/>
    <d v="2024-06-05T00:00:00"/>
    <s v="X43"/>
    <n v="22025049"/>
    <s v="VASELINA SOLIDA POTE 410G"/>
    <x v="0"/>
    <n v="12"/>
    <n v="1"/>
    <s v="Unidade"/>
    <s v="IMPORTADO COM SUCESSO"/>
    <s v="PLANO DO DIA"/>
    <s v="NET MASSIVO"/>
    <x v="1"/>
  </r>
  <r>
    <x v="482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482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482"/>
    <s v="N190"/>
    <x v="10"/>
    <d v="2024-06-05T00:00:00"/>
    <s v="X43"/>
    <n v="22026189"/>
    <s v="CONEC_RI COMPRESSAO F-6"/>
    <x v="0"/>
    <n v="1350"/>
    <n v="1"/>
    <s v="Unidade"/>
    <s v="IMPORTADO COM SUCESSO"/>
    <s v="PLANO DO DIA"/>
    <s v="NET MASSIVO"/>
    <x v="1"/>
  </r>
  <r>
    <x v="482"/>
    <s v="N190"/>
    <x v="10"/>
    <d v="2024-06-05T00:00:00"/>
    <s v="X43"/>
    <n v="22026219"/>
    <s v="CABO COAXIAL RG6 TRISH SEM MENSAG BRANCO"/>
    <x v="0"/>
    <n v="5100"/>
    <n v="1"/>
    <s v="Unidade"/>
    <s v="IMPORTADO COM SUCESSO"/>
    <s v="PLANO DO DIA"/>
    <s v="NET MASSIVO"/>
    <x v="1"/>
  </r>
  <r>
    <x v="482"/>
    <s v="N190"/>
    <x v="10"/>
    <d v="2024-06-05T00:00:00"/>
    <s v="X43"/>
    <n v="22026223"/>
    <s v="CABO COAXIAL RG6 TRISH COM MENSAG PRETO"/>
    <x v="0"/>
    <n v="3355"/>
    <n v="1"/>
    <s v="Unidade"/>
    <s v="IMPORTADO COM SUCESSO"/>
    <s v="PLANO DO DIA"/>
    <s v="NET MASSIVO"/>
    <x v="1"/>
  </r>
  <r>
    <x v="482"/>
    <s v="N190"/>
    <x v="10"/>
    <d v="2024-06-05T00:00:00"/>
    <s v="X43"/>
    <n v="22026772"/>
    <s v="DIV_RI 2S 1GHZ H SOLDADO"/>
    <x v="0"/>
    <n v="50"/>
    <n v="1"/>
    <s v="Unidade"/>
    <s v="IMPORTADO COM SUCESSO"/>
    <s v="PLANO DO DIA"/>
    <s v="NET MASSIVO"/>
    <x v="1"/>
  </r>
  <r>
    <x v="482"/>
    <s v="N190"/>
    <x v="10"/>
    <d v="2024-06-05T00:00:00"/>
    <s v="X43"/>
    <n v="22056332"/>
    <s v="FITA ISOLANTE AUTOFUSAO 3M SCOTCH23 10MT"/>
    <x v="0"/>
    <n v="14"/>
    <n v="1"/>
    <s v="Unidade"/>
    <s v="IMPORTADO COM SUCESSO"/>
    <s v="PLANO DO DIA"/>
    <s v="NET MASSIVO"/>
    <x v="1"/>
  </r>
  <r>
    <x v="482"/>
    <s v="N190"/>
    <x v="10"/>
    <d v="2024-06-05T00:00:00"/>
    <s v="X43"/>
    <n v="22056359"/>
    <s v="FITA ACO INOX 1/2 POLEGADA ROLO 25MT"/>
    <x v="0"/>
    <n v="9"/>
    <n v="1"/>
    <s v="Unidade"/>
    <s v="IMPORTADO COM SUCESSO"/>
    <s v="PLANO DO DIA"/>
    <s v="NET MASSIVO"/>
    <x v="1"/>
  </r>
  <r>
    <x v="482"/>
    <s v="N190"/>
    <x v="10"/>
    <d v="2024-06-05T00:00:00"/>
    <s v="X43"/>
    <n v="22056365"/>
    <s v="PROTETOR P/MINI ISOLADOR - ACRE1568"/>
    <x v="0"/>
    <n v="180"/>
    <n v="1"/>
    <s v="Unidade"/>
    <s v="IMPORTADO COM SUCESSO"/>
    <s v="PLANO DO DIA"/>
    <s v="NET MASSIVO"/>
    <x v="1"/>
  </r>
  <r>
    <x v="482"/>
    <s v="N190"/>
    <x v="10"/>
    <d v="2024-06-05T00:00:00"/>
    <s v="X43"/>
    <n v="22056369"/>
    <s v="CABO UTP CAT5E ETHERNET NET"/>
    <x v="0"/>
    <n v="1200"/>
    <n v="1"/>
    <s v="Unidade"/>
    <s v="IMPORTADO COM SUCESSO"/>
    <s v="PLANO DO DIA"/>
    <s v="NET MASSIVO"/>
    <x v="1"/>
  </r>
  <r>
    <x v="482"/>
    <s v="N190"/>
    <x v="10"/>
    <d v="2024-06-05T00:00:00"/>
    <s v="X43"/>
    <n v="22057659"/>
    <s v="ESTICADOR CUNHA PARA DROP OPTICO SRDO"/>
    <x v="0"/>
    <n v="70"/>
    <n v="1"/>
    <s v="Unidade"/>
    <s v="IMPORTADO COM SUCESSO"/>
    <s v="PLANO DO DIA"/>
    <s v="NET MASSIVO"/>
    <x v="1"/>
  </r>
  <r>
    <x v="482"/>
    <s v="N190"/>
    <x v="10"/>
    <d v="2024-06-05T00:00:00"/>
    <s v="X43"/>
    <n v="22061736"/>
    <s v="CABO DROP 1FO LOW F FIG8 LOW CINZA"/>
    <x v="0"/>
    <n v="2500"/>
    <n v="1"/>
    <s v="Unidade"/>
    <s v="IMPORTADO COM SUCESSO"/>
    <s v="PLANO DO DIA"/>
    <s v="NET MASSIVO"/>
    <x v="1"/>
  </r>
  <r>
    <x v="482"/>
    <s v="N190"/>
    <x v="10"/>
    <d v="2024-06-05T00:00:00"/>
    <s v="X43"/>
    <n v="22065725"/>
    <s v="MARCADOR CASA PRETO NR 7"/>
    <x v="0"/>
    <n v="100"/>
    <n v="1"/>
    <s v="Unidade"/>
    <s v="IMPORTADO COM SUCESSO"/>
    <s v="PLANO DO DIA"/>
    <s v="NET MASSIVO"/>
    <x v="1"/>
  </r>
  <r>
    <x v="483"/>
    <s v="N190"/>
    <x v="10"/>
    <d v="2024-06-05T00:00:00"/>
    <s v="X41"/>
    <n v="41001552"/>
    <s v="TERMINAL DOCSIS 3.1 EMTA WIFI6 F@ST3896"/>
    <x v="0"/>
    <n v="100"/>
    <n v="1"/>
    <s v="Unidade"/>
    <s v="IMPORTADO COM SUCESSO"/>
    <s v="PLANO DO DIA"/>
    <s v="NET MASSIVO"/>
    <x v="1"/>
  </r>
  <r>
    <x v="484"/>
    <s v="N190"/>
    <x v="10"/>
    <d v="2024-06-05T00:00:00"/>
    <s v="X43"/>
    <n v="22026189"/>
    <s v="CONEC_RI COMPRESSAO F-6"/>
    <x v="0"/>
    <n v="1700"/>
    <n v="1"/>
    <s v="Unidade"/>
    <s v="IMPORTADO COM SUCESSO"/>
    <s v="PLANO DO DIA"/>
    <s v="NET MASSIVO"/>
    <x v="1"/>
  </r>
  <r>
    <x v="484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84"/>
    <s v="N190"/>
    <x v="10"/>
    <d v="2024-06-05T00:00:00"/>
    <s v="X43"/>
    <n v="22026772"/>
    <s v="DIV_RI 2S 1GHZ H SOLDADO"/>
    <x v="0"/>
    <n v="175"/>
    <n v="1"/>
    <s v="Unidade"/>
    <s v="IMPORTADO COM SUCESSO"/>
    <s v="PLANO DO DIA"/>
    <s v="NET MASSIVO"/>
    <x v="1"/>
  </r>
  <r>
    <x v="484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484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484"/>
    <s v="N190"/>
    <x v="10"/>
    <d v="2024-06-05T00:00:00"/>
    <s v="X43"/>
    <n v="22026809"/>
    <s v="DC_RI 1S 06DB 1GHZ H SOLDADO"/>
    <x v="0"/>
    <n v="200"/>
    <n v="1"/>
    <s v="Unidade"/>
    <s v="IMPORTADO COM SUCESSO"/>
    <s v="PLANO DO DIA"/>
    <s v="NET MASSIVO"/>
    <x v="1"/>
  </r>
  <r>
    <x v="484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85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486"/>
    <s v="N190"/>
    <x v="10"/>
    <d v="2024-06-05T00:00:00"/>
    <s v="X43"/>
    <n v="22025049"/>
    <s v="VASELINA SOLIDA POTE 410G"/>
    <x v="0"/>
    <n v="6"/>
    <n v="1"/>
    <s v="Unidade"/>
    <s v="IMPORTADO COM SUCESSO"/>
    <s v="PLANO DO DIA"/>
    <s v="NET MASSIVO"/>
    <x v="1"/>
  </r>
  <r>
    <x v="486"/>
    <s v="N190"/>
    <x v="10"/>
    <d v="2024-06-05T00:00:00"/>
    <s v="X43"/>
    <n v="22025072"/>
    <s v="FITA ISOLANTE 3M 33+"/>
    <x v="0"/>
    <n v="6"/>
    <n v="1"/>
    <s v="Unidade"/>
    <s v="IMPORTADO COM SUCESSO"/>
    <s v="PLANO DO DIA"/>
    <s v="NET MASSIVO"/>
    <x v="1"/>
  </r>
  <r>
    <x v="486"/>
    <s v="N190"/>
    <x v="7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486"/>
    <s v="N190"/>
    <x v="10"/>
    <d v="2024-06-05T00:00:00"/>
    <s v="X43"/>
    <n v="22026189"/>
    <s v="CONEC_RI COMPRESSAO F-6"/>
    <x v="0"/>
    <n v="2700"/>
    <n v="1"/>
    <s v="Unidade"/>
    <s v="IMPORTADO COM SUCESSO"/>
    <s v="PLANO DO DIA"/>
    <s v="NET MASSIVO"/>
    <x v="1"/>
  </r>
  <r>
    <x v="486"/>
    <s v="N190"/>
    <x v="10"/>
    <d v="2024-06-05T00:00:00"/>
    <s v="X43"/>
    <n v="22026219"/>
    <s v="CABO COAXIAL RG6 TRISH SEM MENSAG BRANCO"/>
    <x v="0"/>
    <n v="8200"/>
    <n v="1"/>
    <s v="Unidade"/>
    <s v="IMPORTADO COM SUCESSO"/>
    <s v="PLANO DO DIA"/>
    <s v="NET MASSIVO"/>
    <x v="1"/>
  </r>
  <r>
    <x v="486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486"/>
    <s v="N190"/>
    <x v="10"/>
    <d v="2024-06-05T00:00:00"/>
    <s v="X43"/>
    <n v="22056359"/>
    <s v="FITA ACO INOX 1/2 POLEGADA ROLO 25MT"/>
    <x v="0"/>
    <n v="3"/>
    <n v="1"/>
    <s v="Unidade"/>
    <s v="IMPORTADO COM SUCESSO"/>
    <s v="PLANO DO DIA"/>
    <s v="NET MASSIVO"/>
    <x v="1"/>
  </r>
  <r>
    <x v="486"/>
    <s v="N190"/>
    <x v="10"/>
    <d v="2024-06-05T00:00:00"/>
    <s v="X43"/>
    <n v="22056364"/>
    <s v="MINI ISOLADOR CPE P/CM DECODER"/>
    <x v="0"/>
    <n v="330"/>
    <n v="1"/>
    <s v="Unidade"/>
    <s v="IMPORTADO COM SUCESSO"/>
    <s v="PLANO DO DIA"/>
    <s v="NET MASSIVO"/>
    <x v="1"/>
  </r>
  <r>
    <x v="486"/>
    <s v="N190"/>
    <x v="10"/>
    <d v="2024-06-05T00:00:00"/>
    <s v="X43"/>
    <n v="22056369"/>
    <s v="CABO UTP CAT5E ETHERNET NET"/>
    <x v="0"/>
    <n v="4300"/>
    <n v="1"/>
    <s v="Unidade"/>
    <s v="IMPORTADO COM SUCESSO"/>
    <s v="PLANO DO DIA"/>
    <s v="NET MASSIVO"/>
    <x v="1"/>
  </r>
  <r>
    <x v="486"/>
    <s v="N190"/>
    <x v="10"/>
    <d v="2024-06-05T00:00:00"/>
    <s v="X43"/>
    <n v="22061736"/>
    <s v="CABO DROP 1FO LOW F FIG8 LOW CINZA"/>
    <x v="0"/>
    <n v="4000"/>
    <n v="1"/>
    <s v="Unidade"/>
    <s v="IMPORTADO COM SUCESSO"/>
    <s v="PLANO DO DIA"/>
    <s v="NET MASSIVO"/>
    <x v="1"/>
  </r>
  <r>
    <x v="486"/>
    <s v="N190"/>
    <x v="10"/>
    <d v="2024-06-05T00:00:00"/>
    <s v="X43"/>
    <n v="22061811"/>
    <s v="CONECTOR UTP RJ45 M CAT 5 24AWG"/>
    <x v="0"/>
    <n v="600"/>
    <n v="1"/>
    <s v="Unidade"/>
    <s v="IMPORTADO COM SUCESSO"/>
    <s v="PLANO DO DIA"/>
    <s v="NET MASSIVO"/>
    <x v="1"/>
  </r>
  <r>
    <x v="486"/>
    <s v="N190"/>
    <x v="10"/>
    <d v="2024-06-05T00:00:00"/>
    <s v="X43"/>
    <n v="22065721"/>
    <s v="MARCADOR CASA PRETO NR 3"/>
    <x v="0"/>
    <n v="100"/>
    <n v="1"/>
    <s v="Unidade"/>
    <s v="IMPORTADO COM SUCESSO"/>
    <s v="PLANO DO DIA"/>
    <s v="NET MASSIVO"/>
    <x v="1"/>
  </r>
  <r>
    <x v="486"/>
    <s v="N190"/>
    <x v="10"/>
    <d v="2024-06-05T00:00:00"/>
    <s v="X43"/>
    <n v="22065722"/>
    <s v="MARCADOR CASA PRETO NR 4"/>
    <x v="0"/>
    <n v="100"/>
    <n v="1"/>
    <s v="Unidade"/>
    <s v="IMPORTADO COM SUCESSO"/>
    <s v="PLANO DO DIA"/>
    <s v="NET MASSIVO"/>
    <x v="1"/>
  </r>
  <r>
    <x v="487"/>
    <s v="N190"/>
    <x v="10"/>
    <d v="2024-06-05T00:00:00"/>
    <s v="X41"/>
    <n v="41001536"/>
    <s v="ROTEADOR ZTE WIFI5 ZXHN H196A MESH BCO"/>
    <x v="0"/>
    <n v="300"/>
    <n v="1"/>
    <s v="Unidade"/>
    <s v="IMPORTADO COM SUCESSO"/>
    <s v="PLANO DO DIA"/>
    <s v="NET MASSIVO"/>
    <x v="1"/>
  </r>
  <r>
    <x v="487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88"/>
    <s v="N190"/>
    <x v="10"/>
    <d v="2024-06-05T00:00:00"/>
    <s v="X43"/>
    <n v="22025072"/>
    <s v="FITA ISOLANTE 3M 33+"/>
    <x v="0"/>
    <n v="42"/>
    <n v="1"/>
    <s v="Unidade"/>
    <s v="IMPORTADO COM SUCESSO"/>
    <s v="PLANO DO DIA"/>
    <s v="NET MASSIVO"/>
    <x v="1"/>
  </r>
  <r>
    <x v="488"/>
    <s v="N190"/>
    <x v="7"/>
    <d v="2024-06-05T00:00:00"/>
    <s v="X43"/>
    <n v="22025238"/>
    <s v="MARCADOR APTO NUM 7 TIPO HO85 AMARELO"/>
    <x v="0"/>
    <n v="100"/>
    <n v="1"/>
    <s v="Unidade"/>
    <s v="IMPORTADO COM SUCESSO"/>
    <s v="PLANO DO DIA"/>
    <s v="NET MASSIVO"/>
    <x v="1"/>
  </r>
  <r>
    <x v="488"/>
    <s v="N190"/>
    <x v="7"/>
    <d v="2024-06-05T00:00:00"/>
    <s v="X43"/>
    <n v="22025240"/>
    <s v="MARCADOR APTO NUM 9 TIPO HO85 AMARELO"/>
    <x v="0"/>
    <n v="100"/>
    <n v="1"/>
    <s v="Unidade"/>
    <s v="IMPORTADO COM SUCESSO"/>
    <s v="PLANO DO DIA"/>
    <s v="NET MASSIVO"/>
    <x v="1"/>
  </r>
  <r>
    <x v="488"/>
    <s v="N190"/>
    <x v="10"/>
    <d v="2024-06-05T00:00:00"/>
    <s v="X43"/>
    <n v="22026265"/>
    <s v="CABO DROP FO LOW F FIG0 BRANCO"/>
    <x v="0"/>
    <n v="1500"/>
    <n v="1"/>
    <s v="Unidade"/>
    <s v="IMPORTADO COM SUCESSO"/>
    <s v="PLANO DO DIA"/>
    <s v="NET MASSIVO"/>
    <x v="1"/>
  </r>
  <r>
    <x v="488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488"/>
    <s v="N190"/>
    <x v="10"/>
    <d v="2024-06-05T00:00:00"/>
    <s v="X43"/>
    <n v="22057658"/>
    <s v="SUPORTE ROLDANA FO DROP SDA-1"/>
    <x v="0"/>
    <n v="20"/>
    <n v="1"/>
    <s v="Unidade"/>
    <s v="IMPORTADO COM SUCESSO"/>
    <s v="PLANO DO DIA"/>
    <s v="NET MASSIVO"/>
    <x v="1"/>
  </r>
  <r>
    <x v="489"/>
    <s v="N190"/>
    <x v="10"/>
    <d v="2024-06-05T00:00:00"/>
    <s v="X41"/>
    <n v="41001536"/>
    <s v="ROTEADOR ZTE WIFI5 ZXHN H196A MESH BCO"/>
    <x v="0"/>
    <n v="30"/>
    <n v="1"/>
    <s v="Unidade"/>
    <s v="IMPORTADO COM SUCESSO"/>
    <s v="PLANO DO DIA"/>
    <s v="NET MASSIVO"/>
    <x v="1"/>
  </r>
  <r>
    <x v="490"/>
    <s v="N190"/>
    <x v="10"/>
    <d v="2024-06-05T00:00:00"/>
    <s v="X43"/>
    <n v="22025049"/>
    <s v="VASELINA SOLIDA POTE 410G"/>
    <x v="0"/>
    <n v="3"/>
    <n v="1"/>
    <s v="Unidade"/>
    <s v="IMPORTADO COM SUCESSO"/>
    <s v="PLANO DO DIA"/>
    <s v="NET MASSIVO"/>
    <x v="1"/>
  </r>
  <r>
    <x v="490"/>
    <s v="N190"/>
    <x v="10"/>
    <d v="2024-06-05T00:00:00"/>
    <s v="X43"/>
    <n v="22025072"/>
    <s v="FITA ISOLANTE 3M 33+"/>
    <x v="0"/>
    <n v="12"/>
    <n v="1"/>
    <s v="Unidade"/>
    <s v="IMPORTADO COM SUCESSO"/>
    <s v="PLANO DO DIA"/>
    <s v="NET MASSIVO"/>
    <x v="1"/>
  </r>
  <r>
    <x v="490"/>
    <s v="N190"/>
    <x v="10"/>
    <d v="2024-06-05T00:00:00"/>
    <s v="X43"/>
    <n v="22025139"/>
    <s v="FIXADOR FIO BR RG6 CIRCUL 7MM"/>
    <x v="0"/>
    <n v="700"/>
    <n v="1"/>
    <s v="Unidade"/>
    <s v="IMPORTADO COM SUCESSO"/>
    <s v="PLANO DO DIA"/>
    <s v="NET MASSIVO"/>
    <x v="1"/>
  </r>
  <r>
    <x v="490"/>
    <s v="N190"/>
    <x v="7"/>
    <d v="2024-06-05T00:00:00"/>
    <s v="X43"/>
    <n v="22025243"/>
    <s v="MARCADOR APTO NUM 6 TIPO HO85 AMARELO"/>
    <x v="0"/>
    <n v="100"/>
    <n v="1"/>
    <s v="Unidade"/>
    <s v="IMPORTADO COM SUCESSO"/>
    <s v="PLANO DO DIA"/>
    <s v="NET MASSIVO"/>
    <x v="1"/>
  </r>
  <r>
    <x v="490"/>
    <s v="N190"/>
    <x v="7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490"/>
    <s v="N190"/>
    <x v="10"/>
    <d v="2024-06-05T00:00:00"/>
    <s v="X43"/>
    <n v="22026199"/>
    <s v="CONECTOR TERMINACAO 75 OHMS"/>
    <x v="0"/>
    <n v="100"/>
    <n v="1"/>
    <s v="Unidade"/>
    <s v="IMPORTADO COM SUCESSO"/>
    <s v="PLANO DO DIA"/>
    <s v="NET MASSIVO"/>
    <x v="1"/>
  </r>
  <r>
    <x v="490"/>
    <s v="N190"/>
    <x v="10"/>
    <d v="2024-06-05T00:00:00"/>
    <s v="X43"/>
    <n v="22026219"/>
    <s v="CABO COAXIAL RG6 TRISH SEM MENSAG BRANCO"/>
    <x v="0"/>
    <n v="6500"/>
    <n v="1"/>
    <s v="Unidade"/>
    <s v="IMPORTADO COM SUCESSO"/>
    <s v="PLANO DO DIA"/>
    <s v="NET MASSIVO"/>
    <x v="1"/>
  </r>
  <r>
    <x v="490"/>
    <s v="N190"/>
    <x v="10"/>
    <d v="2024-06-05T00:00:00"/>
    <s v="X43"/>
    <n v="22026223"/>
    <s v="CABO COAXIAL RG6 TRISH COM MENSAG PRETO"/>
    <x v="0"/>
    <n v="6100"/>
    <n v="1"/>
    <s v="Unidade"/>
    <s v="IMPORTADO COM SUCESSO"/>
    <s v="PLANO DO DIA"/>
    <s v="NET MASSIVO"/>
    <x v="1"/>
  </r>
  <r>
    <x v="490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490"/>
    <s v="N190"/>
    <x v="10"/>
    <d v="2024-06-05T00:00:00"/>
    <s v="X43"/>
    <n v="22026792"/>
    <s v="DIV_RI 3S 1GHZ H SOLD DESB 488"/>
    <x v="0"/>
    <n v="100"/>
    <n v="1"/>
    <s v="Unidade"/>
    <s v="IMPORTADO COM SUCESSO"/>
    <s v="PLANO DO DIA"/>
    <s v="NET MASSIVO"/>
    <x v="1"/>
  </r>
  <r>
    <x v="490"/>
    <s v="N190"/>
    <x v="10"/>
    <d v="2024-06-05T00:00:00"/>
    <s v="X43"/>
    <n v="22056365"/>
    <s v="PROTETOR P/MINI ISOLADOR - ACRE1568"/>
    <x v="0"/>
    <n v="90"/>
    <n v="1"/>
    <s v="Unidade"/>
    <s v="IMPORTADO COM SUCESSO"/>
    <s v="PLANO DO DIA"/>
    <s v="NET MASSIVO"/>
    <x v="1"/>
  </r>
  <r>
    <x v="490"/>
    <s v="N190"/>
    <x v="10"/>
    <d v="2024-06-05T00:00:00"/>
    <s v="X43"/>
    <n v="22056369"/>
    <s v="CABO UTP CAT5E ETHERNET NET"/>
    <x v="0"/>
    <n v="1200"/>
    <n v="1"/>
    <s v="Unidade"/>
    <s v="IMPORTADO COM SUCESSO"/>
    <s v="PLANO DO DIA"/>
    <s v="NET MASSIVO"/>
    <x v="1"/>
  </r>
  <r>
    <x v="490"/>
    <s v="N190"/>
    <x v="10"/>
    <d v="2024-06-05T00:00:00"/>
    <s v="X43"/>
    <n v="22057620"/>
    <s v="CONECTOR FO CAMPO FAST SC/APC"/>
    <x v="0"/>
    <n v="200"/>
    <n v="1"/>
    <s v="Unidade"/>
    <s v="IMPORTADO COM SUCESSO"/>
    <s v="PLANO DO DIA"/>
    <s v="NET MASSIVO"/>
    <x v="1"/>
  </r>
  <r>
    <x v="490"/>
    <s v="N190"/>
    <x v="10"/>
    <d v="2024-06-05T00:00:00"/>
    <s v="X43"/>
    <n v="22057635"/>
    <s v="FIXADOR FIO PT RG6"/>
    <x v="0"/>
    <n v="700"/>
    <n v="1"/>
    <s v="Unidade"/>
    <s v="IMPORTADO COM SUCESSO"/>
    <s v="PLANO DO DIA"/>
    <s v="NET MASSIVO"/>
    <x v="1"/>
  </r>
  <r>
    <x v="490"/>
    <s v="N190"/>
    <x v="10"/>
    <d v="2024-06-05T00:00:00"/>
    <s v="X43"/>
    <n v="22057659"/>
    <s v="ESTICADOR CUNHA PARA DROP OPTICO SRDO"/>
    <x v="0"/>
    <n v="120"/>
    <n v="1"/>
    <s v="Unidade"/>
    <s v="IMPORTADO COM SUCESSO"/>
    <s v="PLANO DO DIA"/>
    <s v="NET MASSIVO"/>
    <x v="1"/>
  </r>
  <r>
    <x v="490"/>
    <s v="N190"/>
    <x v="10"/>
    <d v="2024-06-05T00:00:00"/>
    <s v="X43"/>
    <n v="22061811"/>
    <s v="CONECTOR UTP RJ45 M CAT 5 24AWG"/>
    <x v="0"/>
    <n v="50"/>
    <n v="1"/>
    <s v="Unidade"/>
    <s v="IMPORTADO COM SUCESSO"/>
    <s v="PLANO DO DIA"/>
    <s v="NET MASSIVO"/>
    <x v="1"/>
  </r>
  <r>
    <x v="491"/>
    <s v="N190"/>
    <x v="11"/>
    <d v="2024-06-05T00:00:00"/>
    <s v="X41"/>
    <n v="41001530"/>
    <s v="DECODER 4K UHD IP S4KW3 LINUX VAS COM"/>
    <x v="0"/>
    <n v="20"/>
    <n v="1"/>
    <s v="Unidade"/>
    <s v="IMPORTADO COM SUCESSO"/>
    <s v="PLANO DO DIA"/>
    <s v="NET MASSIVO"/>
    <x v="1"/>
  </r>
  <r>
    <x v="491"/>
    <s v="N190"/>
    <x v="10"/>
    <d v="2024-06-05T00:00:00"/>
    <s v="X41"/>
    <n v="41001536"/>
    <s v="ROTEADOR ZTE WIFI5 ZXHN H196A MESH BCO"/>
    <x v="0"/>
    <n v="20"/>
    <n v="1"/>
    <s v="Unidade"/>
    <s v="IMPORTADO COM SUCESSO"/>
    <s v="PLANO DO DIA"/>
    <s v="NET MASSIVO"/>
    <x v="1"/>
  </r>
  <r>
    <x v="491"/>
    <s v="N190"/>
    <x v="10"/>
    <d v="2024-06-05T00:00:00"/>
    <s v="X41"/>
    <n v="41001552"/>
    <s v="TERMINAL DOCSIS 3.1 EMTA WIFI6 F@ST3896"/>
    <x v="0"/>
    <n v="50"/>
    <n v="1"/>
    <s v="Unidade"/>
    <s v="IMPORTADO COM SUCESSO"/>
    <s v="PLANO DO DIA"/>
    <s v="NET MASSIVO"/>
    <x v="1"/>
  </r>
  <r>
    <x v="492"/>
    <s v="N190"/>
    <x v="10"/>
    <d v="2024-06-05T00:00:00"/>
    <s v="X43"/>
    <n v="22026189"/>
    <s v="CONEC_RI COMPRESSAO F-6"/>
    <x v="0"/>
    <n v="3000"/>
    <n v="1"/>
    <s v="Unidade"/>
    <s v="IMPORTADO COM SUCESSO"/>
    <s v="PLANO DO DIA"/>
    <s v="NET MASSIVO"/>
    <x v="1"/>
  </r>
  <r>
    <x v="492"/>
    <s v="N190"/>
    <x v="10"/>
    <d v="2024-06-05T00:00:00"/>
    <s v="X43"/>
    <n v="22026746"/>
    <s v="DC_RI 1S 09DB 1GHZ H SOLDADO"/>
    <x v="0"/>
    <n v="150"/>
    <n v="1"/>
    <s v="Unidade"/>
    <s v="IMPORTADO COM SUCESSO"/>
    <s v="PLANO DO DIA"/>
    <s v="NET MASSIVO"/>
    <x v="1"/>
  </r>
  <r>
    <x v="492"/>
    <s v="N190"/>
    <x v="10"/>
    <d v="2024-06-05T00:00:00"/>
    <s v="X43"/>
    <n v="22026772"/>
    <s v="DIV_RI 2S 1GHZ H SOLDADO"/>
    <x v="0"/>
    <n v="375"/>
    <n v="1"/>
    <s v="Unidade"/>
    <s v="IMPORTADO COM SUCESSO"/>
    <s v="PLANO DO DIA"/>
    <s v="NET MASSIVO"/>
    <x v="1"/>
  </r>
  <r>
    <x v="492"/>
    <s v="N190"/>
    <x v="10"/>
    <d v="2024-06-05T00:00:00"/>
    <s v="X43"/>
    <n v="22026792"/>
    <s v="DIV_RI 3S 1GHZ H SOLD DESB 488"/>
    <x v="0"/>
    <n v="50"/>
    <n v="1"/>
    <s v="Unidade"/>
    <s v="IMPORTADO COM SUCESSO"/>
    <s v="PLANO DO DIA"/>
    <s v="NET MASSIVO"/>
    <x v="1"/>
  </r>
  <r>
    <x v="492"/>
    <s v="N190"/>
    <x v="10"/>
    <d v="2024-06-05T00:00:00"/>
    <s v="X43"/>
    <n v="22026809"/>
    <s v="DC_RI 1S 06DB 1GHZ H SOLDADO"/>
    <x v="0"/>
    <n v="150"/>
    <n v="1"/>
    <s v="Unidade"/>
    <s v="IMPORTADO COM SUCESSO"/>
    <s v="PLANO DO DIA"/>
    <s v="NET MASSIVO"/>
    <x v="1"/>
  </r>
  <r>
    <x v="492"/>
    <s v="N190"/>
    <x v="10"/>
    <d v="2024-06-05T00:00:00"/>
    <s v="X43"/>
    <n v="22056364"/>
    <s v="MINI ISOLADOR CPE P/CM DECODER"/>
    <x v="0"/>
    <n v="30"/>
    <n v="1"/>
    <s v="Unidade"/>
    <s v="IMPORTADO COM SUCESSO"/>
    <s v="PLANO DO DIA"/>
    <s v="NET MASSIVO"/>
    <x v="1"/>
  </r>
  <r>
    <x v="492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492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93"/>
    <s v="N190"/>
    <x v="10"/>
    <d v="2024-06-05T00:00:00"/>
    <s v="X41"/>
    <n v="41001553"/>
    <s v="TERMINAL DOCSIS 3.1 EMTA WIFI6 TC3106"/>
    <x v="0"/>
    <n v="60"/>
    <n v="1"/>
    <s v="Unidade"/>
    <s v="IMPORTADO COM SUCESSO"/>
    <s v="PLANO DO DIA"/>
    <s v="NET MASSIVO"/>
    <x v="1"/>
  </r>
  <r>
    <x v="494"/>
    <s v="N190"/>
    <x v="10"/>
    <d v="2024-06-05T00:00:00"/>
    <s v="X43"/>
    <n v="22025049"/>
    <s v="VASELINA SOLIDA POTE 410G"/>
    <x v="0"/>
    <n v="11"/>
    <n v="1"/>
    <s v="Unidade"/>
    <s v="IMPORTADO COM SUCESSO"/>
    <s v="PLANO DO DIA"/>
    <s v="NET MASSIVO"/>
    <x v="1"/>
  </r>
  <r>
    <x v="494"/>
    <s v="N190"/>
    <x v="10"/>
    <d v="2024-06-05T00:00:00"/>
    <s v="X43"/>
    <n v="22025136"/>
    <s v="BUCHA ACABAMENTO CABO RG6-59 BRANCA"/>
    <x v="0"/>
    <n v="250"/>
    <n v="1"/>
    <s v="Unidade"/>
    <s v="IMPORTADO COM SUCESSO"/>
    <s v="PLANO DO DIA"/>
    <s v="NET MASSIVO"/>
    <x v="1"/>
  </r>
  <r>
    <x v="494"/>
    <s v="N190"/>
    <x v="10"/>
    <d v="2024-06-05T00:00:00"/>
    <s v="X43"/>
    <n v="22025139"/>
    <s v="FIXADOR FIO BR RG6 CIRCUL 7MM"/>
    <x v="0"/>
    <n v="4500"/>
    <n v="1"/>
    <s v="Unidade"/>
    <s v="IMPORTADO COM SUCESSO"/>
    <s v="PLANO DO DIA"/>
    <s v="NET MASSIVO"/>
    <x v="1"/>
  </r>
  <r>
    <x v="494"/>
    <s v="N190"/>
    <x v="10"/>
    <d v="2024-06-05T00:00:00"/>
    <s v="X43"/>
    <n v="22025349"/>
    <s v="FIXA FIO CABO DROP FO CHATO"/>
    <x v="0"/>
    <n v="100"/>
    <n v="1"/>
    <s v="Unidade"/>
    <s v="IMPORTADO COM SUCESSO"/>
    <s v="PLANO DO DIA"/>
    <s v="NET MASSIVO"/>
    <x v="1"/>
  </r>
  <r>
    <x v="494"/>
    <s v="N190"/>
    <x v="10"/>
    <d v="2024-06-05T00:00:00"/>
    <s v="X43"/>
    <n v="22026189"/>
    <s v="CONEC_RI COMPRESSAO F-6"/>
    <x v="0"/>
    <n v="3350"/>
    <n v="1"/>
    <s v="Unidade"/>
    <s v="IMPORTADO COM SUCESSO"/>
    <s v="PLANO DO DIA"/>
    <s v="NET MASSIVO"/>
    <x v="1"/>
  </r>
  <r>
    <x v="494"/>
    <s v="N190"/>
    <x v="10"/>
    <d v="2024-06-05T00:00:00"/>
    <s v="X43"/>
    <n v="22026219"/>
    <s v="CABO COAXIAL RG6 TRISH SEM MENSAG BRANCO"/>
    <x v="0"/>
    <n v="11500"/>
    <n v="1"/>
    <s v="Unidade"/>
    <s v="IMPORTADO COM SUCESSO"/>
    <s v="PLANO DO DIA"/>
    <s v="NET MASSIVO"/>
    <x v="1"/>
  </r>
  <r>
    <x v="494"/>
    <s v="N190"/>
    <x v="10"/>
    <d v="2024-06-05T00:00:00"/>
    <s v="X43"/>
    <n v="22026223"/>
    <s v="CABO COAXIAL RG6 TRISH COM MENSAG PRETO"/>
    <x v="0"/>
    <n v="6405"/>
    <n v="1"/>
    <s v="Unidade"/>
    <s v="IMPORTADO COM SUCESSO"/>
    <s v="PLANO DO DIA"/>
    <s v="NET MASSIVO"/>
    <x v="1"/>
  </r>
  <r>
    <x v="494"/>
    <s v="N190"/>
    <x v="10"/>
    <d v="2024-06-05T00:00:00"/>
    <s v="X43"/>
    <n v="22026544"/>
    <s v="SUPORTE GALVANIZADO U SPAN CLAMP"/>
    <x v="0"/>
    <n v="50"/>
    <n v="1"/>
    <s v="Unidade"/>
    <s v="IMPORTADO COM SUCESSO"/>
    <s v="PLANO DO DIA"/>
    <s v="NET MASSIVO"/>
    <x v="1"/>
  </r>
  <r>
    <x v="494"/>
    <s v="N190"/>
    <x v="10"/>
    <d v="2024-06-05T00:00:00"/>
    <s v="X43"/>
    <n v="22026772"/>
    <s v="DIV_RI 2S 1GHZ H SOLDADO"/>
    <x v="0"/>
    <n v="125"/>
    <n v="1"/>
    <s v="Unidade"/>
    <s v="IMPORTADO COM SUCESSO"/>
    <s v="PLANO DO DIA"/>
    <s v="NET MASSIVO"/>
    <x v="1"/>
  </r>
  <r>
    <x v="494"/>
    <s v="N190"/>
    <x v="10"/>
    <d v="2024-06-05T00:00:00"/>
    <s v="X43"/>
    <n v="22056332"/>
    <s v="FITA ISOLANTE AUTOFUSAO 3M SCOTCH23 10MT"/>
    <x v="0"/>
    <n v="21"/>
    <n v="1"/>
    <s v="Unidade"/>
    <s v="IMPORTADO COM SUCESSO"/>
    <s v="PLANO DO DIA"/>
    <s v="NET MASSIVO"/>
    <x v="1"/>
  </r>
  <r>
    <x v="494"/>
    <s v="N190"/>
    <x v="10"/>
    <d v="2024-06-05T00:00:00"/>
    <s v="X43"/>
    <n v="22056364"/>
    <s v="MINI ISOLADOR CPE P/CM DECODER"/>
    <x v="0"/>
    <n v="510"/>
    <n v="1"/>
    <s v="Unidade"/>
    <s v="IMPORTADO COM SUCESSO"/>
    <s v="PLANO DO DIA"/>
    <s v="NET MASSIVO"/>
    <x v="1"/>
  </r>
  <r>
    <x v="494"/>
    <s v="N190"/>
    <x v="10"/>
    <d v="2024-06-05T00:00:00"/>
    <s v="X43"/>
    <n v="22056365"/>
    <s v="PROTETOR P/MINI ISOLADOR - ACRE1568"/>
    <x v="0"/>
    <n v="360"/>
    <n v="1"/>
    <s v="Unidade"/>
    <s v="IMPORTADO COM SUCESSO"/>
    <s v="PLANO DO DIA"/>
    <s v="NET MASSIVO"/>
    <x v="1"/>
  </r>
  <r>
    <x v="494"/>
    <s v="N190"/>
    <x v="10"/>
    <d v="2024-06-05T00:00:00"/>
    <s v="X43"/>
    <n v="22056369"/>
    <s v="CABO UTP CAT5E ETHERNET NET"/>
    <x v="0"/>
    <n v="600"/>
    <n v="1"/>
    <s v="Unidade"/>
    <s v="IMPORTADO COM SUCESSO"/>
    <s v="PLANO DO DIA"/>
    <s v="NET MASSIVO"/>
    <x v="1"/>
  </r>
  <r>
    <x v="494"/>
    <s v="N190"/>
    <x v="10"/>
    <d v="2024-06-05T00:00:00"/>
    <s v="X43"/>
    <n v="22057620"/>
    <s v="CONECTOR FO CAMPO FAST SC/APC"/>
    <x v="0"/>
    <n v="100"/>
    <n v="1"/>
    <s v="Unidade"/>
    <s v="IMPORTADO COM SUCESSO"/>
    <s v="PLANO DO DIA"/>
    <s v="NET MASSIVO"/>
    <x v="1"/>
  </r>
  <r>
    <x v="494"/>
    <s v="N190"/>
    <x v="10"/>
    <d v="2024-06-05T00:00:00"/>
    <s v="X43"/>
    <n v="22057635"/>
    <s v="FIXADOR FIO PT RG6"/>
    <x v="0"/>
    <n v="1500"/>
    <n v="1"/>
    <s v="Unidade"/>
    <s v="IMPORTADO COM SUCESSO"/>
    <s v="PLANO DO DIA"/>
    <s v="NET MASSIVO"/>
    <x v="1"/>
  </r>
  <r>
    <x v="494"/>
    <s v="N190"/>
    <x v="10"/>
    <d v="2024-06-05T00:00:00"/>
    <s v="X43"/>
    <n v="22057866"/>
    <s v="MINI PONTO GPON SC ROSETA APCDPR OT8420"/>
    <x v="0"/>
    <n v="30"/>
    <n v="1"/>
    <s v="Unidade"/>
    <s v="IMPORTADO COM SUCESSO"/>
    <s v="PLANO DO DIA"/>
    <s v="NET MASSIVO"/>
    <x v="1"/>
  </r>
  <r>
    <x v="494"/>
    <s v="N190"/>
    <x v="10"/>
    <d v="2024-06-05T00:00:00"/>
    <s v="X43"/>
    <n v="22065720"/>
    <s v="MARCADOR CASA PRETO NR 2"/>
    <x v="0"/>
    <n v="100"/>
    <n v="1"/>
    <s v="Unidade"/>
    <s v="IMPORTADO COM SUCESSO"/>
    <s v="PLANO DO DIA"/>
    <s v="NET MASSIVO"/>
    <x v="1"/>
  </r>
  <r>
    <x v="494"/>
    <s v="N190"/>
    <x v="10"/>
    <d v="2024-06-05T00:00:00"/>
    <s v="X43"/>
    <n v="22066517"/>
    <s v="ISOLADOR CASA SURGE PROTEC LOW COST"/>
    <x v="0"/>
    <n v="150"/>
    <n v="1"/>
    <s v="Unidade"/>
    <s v="IMPORTADO COM SUCESSO"/>
    <s v="PLANO DO DIA"/>
    <s v="NET MASSIVO"/>
    <x v="1"/>
  </r>
  <r>
    <x v="495"/>
    <s v="N190"/>
    <x v="10"/>
    <d v="2024-06-05T00:00:00"/>
    <s v="X41"/>
    <n v="41001553"/>
    <s v="TERMINAL DOCSIS 3.1 EMTA WIFI6 TC3106"/>
    <x v="0"/>
    <n v="300"/>
    <n v="1"/>
    <s v="Unidade"/>
    <s v="IMPORTADO COM SUCESSO"/>
    <s v="PLANO DO DIA"/>
    <s v="NET MASSIVO"/>
    <x v="1"/>
  </r>
  <r>
    <x v="496"/>
    <s v="N190"/>
    <x v="7"/>
    <d v="2024-06-05T00:00:00"/>
    <s v="X43"/>
    <n v="22025116"/>
    <s v="MARCADOR CASA PTO LETRA C"/>
    <x v="0"/>
    <n v="20"/>
    <n v="1"/>
    <s v="Unidade"/>
    <s v="IMPORTADO COM SUCESSO"/>
    <s v="PLANO DO DIA"/>
    <s v="NET MASSIVO"/>
    <x v="1"/>
  </r>
  <r>
    <x v="496"/>
    <s v="N190"/>
    <x v="10"/>
    <d v="2024-06-05T00:00:00"/>
    <s v="X43"/>
    <n v="22025250"/>
    <s v="MARCADOR APTO NUM 1 TIPO HO85 AMARELO"/>
    <x v="0"/>
    <n v="100"/>
    <n v="1"/>
    <s v="Unidade"/>
    <s v="IMPORTADO COM SUCESSO"/>
    <s v="PLANO DO DIA"/>
    <s v="NET MASSIVO"/>
    <x v="1"/>
  </r>
  <r>
    <x v="496"/>
    <s v="N190"/>
    <x v="10"/>
    <d v="2024-06-05T00:00:00"/>
    <s v="X43"/>
    <n v="22026189"/>
    <s v="CONEC_RI COMPRESSAO F-6"/>
    <x v="0"/>
    <n v="2300"/>
    <n v="1"/>
    <s v="Unidade"/>
    <s v="IMPORTADO COM SUCESSO"/>
    <s v="PLANO DO DIA"/>
    <s v="NET MASSIVO"/>
    <x v="1"/>
  </r>
  <r>
    <x v="496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496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496"/>
    <s v="N190"/>
    <x v="10"/>
    <d v="2024-06-05T00:00:00"/>
    <s v="X43"/>
    <n v="22056359"/>
    <s v="FITA ACO INOX 1/2 POLEGADA ROLO 25MT"/>
    <x v="0"/>
    <n v="6"/>
    <n v="1"/>
    <s v="Unidade"/>
    <s v="IMPORTADO COM SUCESSO"/>
    <s v="PLANO DO DIA"/>
    <s v="NET MASSIVO"/>
    <x v="1"/>
  </r>
  <r>
    <x v="496"/>
    <s v="N190"/>
    <x v="10"/>
    <d v="2024-06-05T00:00:00"/>
    <s v="X43"/>
    <n v="22056364"/>
    <s v="MINI ISOLADOR CPE P/CM DECODER"/>
    <x v="0"/>
    <n v="420"/>
    <n v="1"/>
    <s v="Unidade"/>
    <s v="IMPORTADO COM SUCESSO"/>
    <s v="PLANO DO DIA"/>
    <s v="NET MASSIVO"/>
    <x v="1"/>
  </r>
  <r>
    <x v="496"/>
    <s v="N190"/>
    <x v="10"/>
    <d v="2024-06-05T00:00:00"/>
    <s v="X43"/>
    <n v="22065720"/>
    <s v="MARCADOR CASA PRETO NR 2"/>
    <x v="0"/>
    <n v="100"/>
    <n v="1"/>
    <s v="Unidade"/>
    <s v="IMPORTADO COM SUCESSO"/>
    <s v="PLANO DO DIA"/>
    <s v="NET MASSIVO"/>
    <x v="1"/>
  </r>
  <r>
    <x v="497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497"/>
    <s v="N190"/>
    <x v="10"/>
    <d v="2024-06-05T00:00:00"/>
    <s v="X41"/>
    <n v="41001553"/>
    <s v="TERMINAL DOCSIS 3.1 EMTA WIFI6 TC3106"/>
    <x v="0"/>
    <n v="140"/>
    <n v="1"/>
    <s v="Unidade"/>
    <s v="IMPORTADO COM SUCESSO"/>
    <s v="PLANO DO DIA"/>
    <s v="NET MASSIVO"/>
    <x v="1"/>
  </r>
  <r>
    <x v="498"/>
    <s v="N190"/>
    <x v="7"/>
    <d v="2024-06-05T00:00:00"/>
    <s v="X43"/>
    <n v="22025241"/>
    <s v="MARCADOR APTO NUM 3 TIPO HO85 AMARELO"/>
    <x v="0"/>
    <n v="100"/>
    <n v="1"/>
    <s v="Unidade"/>
    <s v="IMPORTADO COM SUCESSO"/>
    <s v="PLANO DO DIA"/>
    <s v="NET MASSIVO"/>
    <x v="1"/>
  </r>
  <r>
    <x v="498"/>
    <s v="N190"/>
    <x v="10"/>
    <d v="2024-06-05T00:00:00"/>
    <s v="X43"/>
    <n v="22026265"/>
    <s v="CABO DROP FO LOW F FIG0 BRANCO"/>
    <x v="0"/>
    <n v="1000"/>
    <n v="1"/>
    <s v="Unidade"/>
    <s v="IMPORTADO COM SUCESSO"/>
    <s v="PLANO DO DIA"/>
    <s v="NET MASSIVO"/>
    <x v="1"/>
  </r>
  <r>
    <x v="498"/>
    <s v="N190"/>
    <x v="10"/>
    <d v="2024-06-05T00:00:00"/>
    <s v="X43"/>
    <n v="22056334"/>
    <s v="FECHO DE ACO INOX DENTADO 1/2"/>
    <x v="0"/>
    <n v="100"/>
    <n v="1"/>
    <s v="Unidade"/>
    <s v="IMPORTADO COM SUCESSO"/>
    <s v="PLANO DO DIA"/>
    <s v="NET MASSIVO"/>
    <x v="1"/>
  </r>
  <r>
    <x v="498"/>
    <s v="N190"/>
    <x v="10"/>
    <d v="2024-06-05T00:00:00"/>
    <s v="X43"/>
    <n v="22065726"/>
    <s v="MARCADOR CASA PRETO NR 8"/>
    <x v="0"/>
    <n v="100"/>
    <n v="1"/>
    <s v="Unidade"/>
    <s v="IMPORTADO COM SUCESSO"/>
    <s v="PLANO DO DIA"/>
    <s v="NET MASSIVO"/>
    <x v="1"/>
  </r>
  <r>
    <x v="499"/>
    <s v="N190"/>
    <x v="11"/>
    <d v="2024-06-05T00:00:00"/>
    <s v="X41"/>
    <n v="41001530"/>
    <s v="DECODER 4K UHD IP S4KW3 LINUX VAS COM"/>
    <x v="0"/>
    <n v="90"/>
    <n v="1"/>
    <s v="Unidade"/>
    <s v="IMPORTADO COM SUCESSO"/>
    <s v="PLANO DO DIA"/>
    <s v="NET MASSIVO"/>
    <x v="1"/>
  </r>
  <r>
    <x v="499"/>
    <s v="N190"/>
    <x v="10"/>
    <d v="2024-06-05T00:00:00"/>
    <s v="X41"/>
    <n v="41001552"/>
    <s v="TERMINAL DOCSIS 3.1 EMTA WIFI6 F@ST3896"/>
    <x v="0"/>
    <n v="90"/>
    <n v="1"/>
    <s v="Unidade"/>
    <s v="IMPORTADO COM SUCESSO"/>
    <s v="PLANO DO DIA"/>
    <s v="NET MASSIVO"/>
    <x v="1"/>
  </r>
  <r>
    <x v="500"/>
    <s v="N190"/>
    <x v="10"/>
    <d v="2024-06-05T00:00:00"/>
    <s v="X41"/>
    <n v="41001536"/>
    <s v="ROTEADOR ZTE WIFI5 ZXHN H196A MESH BCO"/>
    <x v="0"/>
    <n v="140"/>
    <n v="1"/>
    <s v="Unidade"/>
    <s v="IMPORTADO COM SUCESSO"/>
    <s v="PLANO DO DIA"/>
    <s v="NET MASSIVO"/>
    <x v="1"/>
  </r>
  <r>
    <x v="500"/>
    <s v="N190"/>
    <x v="10"/>
    <d v="2024-06-05T00:00:00"/>
    <s v="X41"/>
    <n v="41001553"/>
    <s v="TERMINAL DOCSIS 3.1 EMTA WIFI6 TC3106"/>
    <x v="0"/>
    <n v="200"/>
    <n v="1"/>
    <s v="Unidade"/>
    <s v="IMPORTADO COM SUCESSO"/>
    <s v="PLANO DO DIA"/>
    <s v="NET MASSIVO"/>
    <x v="1"/>
  </r>
  <r>
    <x v="501"/>
    <s v="N190"/>
    <x v="11"/>
    <d v="2024-06-05T00:00:00"/>
    <s v="X41"/>
    <n v="41001530"/>
    <s v="DECODER 4K UHD IP S4KW3 LINUX VAS COM"/>
    <x v="0"/>
    <n v="30"/>
    <n v="1"/>
    <s v="Unidade"/>
    <s v="IMPORTADO COM SUCESSO"/>
    <s v="PLANO DO DIA"/>
    <s v="NET MASSIVO"/>
    <x v="1"/>
  </r>
  <r>
    <x v="501"/>
    <s v="N190"/>
    <x v="10"/>
    <d v="2024-06-05T00:00:00"/>
    <s v="X41"/>
    <n v="41001536"/>
    <s v="ROTEADOR ZTE WIFI5 ZXHN H196A MESH BCO"/>
    <x v="0"/>
    <n v="280"/>
    <n v="1"/>
    <s v="Unidade"/>
    <s v="IMPORTADO COM SUCESSO"/>
    <s v="PLANO DO DIA"/>
    <s v="NET MASSIVO"/>
    <x v="1"/>
  </r>
  <r>
    <x v="501"/>
    <s v="N190"/>
    <x v="10"/>
    <d v="2024-06-05T00:00:00"/>
    <s v="X41"/>
    <n v="41001553"/>
    <s v="TERMINAL DOCSIS 3.1 EMTA WIFI6 TC3106"/>
    <x v="0"/>
    <n v="130"/>
    <n v="1"/>
    <s v="Unidade"/>
    <s v="IMPORTADO COM SUCESSO"/>
    <s v="PLANO DO DIA"/>
    <s v="NET MASSIVO"/>
    <x v="1"/>
  </r>
  <r>
    <x v="502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02"/>
    <s v="N190"/>
    <x v="10"/>
    <d v="2024-06-05T00:00:00"/>
    <s v="X43"/>
    <n v="22026809"/>
    <s v="DC_RI 1S 06DB 1GHZ H SOLDADO"/>
    <x v="0"/>
    <n v="100"/>
    <n v="1"/>
    <s v="Unidade"/>
    <s v="IMPORTADO COM SUCESSO"/>
    <s v="PLANO DO DIA"/>
    <s v="NET MASSIVO"/>
    <x v="1"/>
  </r>
  <r>
    <x v="502"/>
    <s v="N190"/>
    <x v="10"/>
    <d v="2024-06-05T00:00:00"/>
    <s v="X43"/>
    <n v="22056366"/>
    <s v="ISOLADOR COAXIAL QUADRADO - CISP-HR"/>
    <x v="0"/>
    <n v="20"/>
    <n v="1"/>
    <s v="Unidade"/>
    <s v="IMPORTADO COM SUCESSO"/>
    <s v="PLANO DO DIA"/>
    <s v="NET MASSIVO"/>
    <x v="1"/>
  </r>
  <r>
    <x v="503"/>
    <s v="N190"/>
    <x v="7"/>
    <d v="2024-06-05T00:00:00"/>
    <s v="X51"/>
    <n v="41001481"/>
    <s v="MODEM VOIP EMTA WIFI 3.1 HGJ310"/>
    <x v="0"/>
    <n v="60"/>
    <n v="1"/>
    <s v="Unidade"/>
    <s v="IMPORTADO COM SUCESSO"/>
    <s v="PLANO DO DIA"/>
    <s v="NET MASSIVO"/>
    <x v="1"/>
  </r>
  <r>
    <x v="504"/>
    <s v="N190"/>
    <x v="7"/>
    <d v="2024-06-05T00:00:00"/>
    <s v="X43"/>
    <n v="22025116"/>
    <s v="MARCADOR CASA PTO LETRA C"/>
    <x v="0"/>
    <n v="20"/>
    <n v="1"/>
    <s v="Unidade"/>
    <s v="IMPORTADO COM SUCESSO"/>
    <s v="PLANO DO DIA"/>
    <s v="NET MASSIVO"/>
    <x v="1"/>
  </r>
  <r>
    <x v="504"/>
    <s v="N190"/>
    <x v="7"/>
    <d v="2024-06-05T00:00:00"/>
    <s v="X43"/>
    <n v="22025241"/>
    <s v="MARCADOR APTO NUM 3 TIPO HO85 AMARELO"/>
    <x v="0"/>
    <n v="25"/>
    <n v="1"/>
    <s v="Unidade"/>
    <s v="IMPORTADO COM SUCESSO"/>
    <s v="PLANO DO DIA"/>
    <s v="NET MASSIVO"/>
    <x v="1"/>
  </r>
  <r>
    <x v="504"/>
    <s v="N190"/>
    <x v="7"/>
    <d v="2024-06-05T00:00:00"/>
    <s v="X43"/>
    <n v="22025321"/>
    <s v="ANEL VEDACAO PLASTICA P PORTA F"/>
    <x v="0"/>
    <n v="10"/>
    <n v="1"/>
    <s v="Unidade"/>
    <s v="IMPORTADO COM SUCESSO"/>
    <s v="PLANO DO DIA"/>
    <s v="NET MASSIVO"/>
    <x v="1"/>
  </r>
  <r>
    <x v="504"/>
    <s v="N190"/>
    <x v="7"/>
    <d v="2024-06-05T00:00:00"/>
    <s v="X43"/>
    <n v="22026149"/>
    <s v="CONEC_TEL RJ11 6 X 4"/>
    <x v="0"/>
    <n v="100"/>
    <n v="1"/>
    <s v="Unidade"/>
    <s v="IMPORTADO COM SUCESSO"/>
    <s v="PLANO DO DIA"/>
    <s v="NET MASSIVO"/>
    <x v="1"/>
  </r>
  <r>
    <x v="504"/>
    <s v="N190"/>
    <x v="10"/>
    <d v="2024-06-05T00:00:00"/>
    <s v="X43"/>
    <n v="22026199"/>
    <s v="CONECTOR TERMINACAO 75 OHMS"/>
    <x v="0"/>
    <n v="20"/>
    <n v="1"/>
    <s v="Unidade"/>
    <s v="IMPORTADO COM SUCESSO"/>
    <s v="PLANO DO DIA"/>
    <s v="NET MASSIVO"/>
    <x v="1"/>
  </r>
  <r>
    <x v="504"/>
    <s v="N190"/>
    <x v="7"/>
    <d v="2024-06-05T00:00:00"/>
    <s v="X43"/>
    <n v="22026251"/>
    <s v="CTRL REMOTO DIG. CR2FU UNIVERS"/>
    <x v="0"/>
    <n v="6"/>
    <n v="1"/>
    <s v="Unidade"/>
    <s v="IMPORTADO COM SUCESSO"/>
    <s v="PLANO DO DIA"/>
    <s v="NET MASSIVO"/>
    <x v="1"/>
  </r>
  <r>
    <x v="504"/>
    <s v="N190"/>
    <x v="10"/>
    <d v="2024-06-05T00:00:00"/>
    <s v="X43"/>
    <n v="22026772"/>
    <s v="DIV_RI 2S 1GHZ H SOLDADO"/>
    <x v="0"/>
    <n v="75"/>
    <n v="1"/>
    <s v="Unidade"/>
    <s v="IMPORTADO COM SUCESSO"/>
    <s v="PLANO DO DIA"/>
    <s v="NET MASSIVO"/>
    <x v="1"/>
  </r>
  <r>
    <x v="504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04"/>
    <s v="N190"/>
    <x v="10"/>
    <d v="2024-06-05T00:00:00"/>
    <s v="X43"/>
    <n v="22026795"/>
    <s v="DIV_RI 3S 1GHZ H SOLD BAL 777"/>
    <x v="0"/>
    <n v="25"/>
    <n v="1"/>
    <s v="Unidade"/>
    <s v="IMPORTADO COM SUCESSO"/>
    <s v="PLANO DO DIA"/>
    <s v="NET MASSIVO"/>
    <x v="1"/>
  </r>
  <r>
    <x v="504"/>
    <s v="N190"/>
    <x v="10"/>
    <d v="2024-06-05T00:00:00"/>
    <s v="X43"/>
    <n v="22026809"/>
    <s v="DC_RI 1S 06DB 1GHZ H SOLDADO"/>
    <x v="0"/>
    <n v="50"/>
    <n v="1"/>
    <s v="Unidade"/>
    <s v="IMPORTADO COM SUCESSO"/>
    <s v="PLANO DO DIA"/>
    <s v="NET MASSIVO"/>
    <x v="1"/>
  </r>
  <r>
    <x v="504"/>
    <s v="N190"/>
    <x v="10"/>
    <d v="2024-06-05T00:00:00"/>
    <s v="X43"/>
    <n v="22056339"/>
    <s v="MARCADOR CASA PTO NR 9"/>
    <x v="0"/>
    <n v="50"/>
    <n v="1"/>
    <s v="Unidade"/>
    <s v="IMPORTADO COM SUCESSO"/>
    <s v="PLANO DO DIA"/>
    <s v="NET MASSIVO"/>
    <x v="1"/>
  </r>
  <r>
    <x v="504"/>
    <s v="N190"/>
    <x v="10"/>
    <d v="2024-06-05T00:00:00"/>
    <s v="X43"/>
    <n v="22056345"/>
    <s v="MARCADOR CASA PTO NR 3"/>
    <x v="0"/>
    <n v="50"/>
    <n v="1"/>
    <s v="Unidade"/>
    <s v="IMPORTADO COM SUCESSO"/>
    <s v="PLANO DO DIA"/>
    <s v="NET MASSIVO"/>
    <x v="1"/>
  </r>
  <r>
    <x v="504"/>
    <s v="N190"/>
    <x v="10"/>
    <d v="2024-06-05T00:00:00"/>
    <s v="X43"/>
    <n v="22056364"/>
    <s v="MINI ISOLADOR CPE P/CM DECODER"/>
    <x v="0"/>
    <n v="30"/>
    <n v="1"/>
    <s v="Unidade"/>
    <s v="IMPORTADO COM SUCESSO"/>
    <s v="PLANO DO DIA"/>
    <s v="NET MASSIVO"/>
    <x v="1"/>
  </r>
  <r>
    <x v="504"/>
    <s v="N190"/>
    <x v="10"/>
    <d v="2024-06-05T00:00:00"/>
    <s v="X43"/>
    <n v="22057866"/>
    <s v="MINI PONTO GPON SC ROSETA APCDPR OT8420"/>
    <x v="0"/>
    <n v="20"/>
    <n v="1"/>
    <s v="Unidade"/>
    <s v="IMPORTADO COM SUCESSO"/>
    <s v="PLANO DO DIA"/>
    <s v="NET MASSIVO"/>
    <x v="1"/>
  </r>
  <r>
    <x v="505"/>
    <s v="N190"/>
    <x v="10"/>
    <d v="2024-06-05T00:00:00"/>
    <s v="X43"/>
    <n v="22026152"/>
    <s v="CONECTOR ATENUADOR 06DB"/>
    <x v="0"/>
    <n v="100"/>
    <n v="1"/>
    <s v="Unidade"/>
    <s v="IMPORTADO COM SUCESSO"/>
    <s v="PLANO DO DIA"/>
    <s v="NET MASSIVO"/>
    <x v="1"/>
  </r>
  <r>
    <x v="505"/>
    <s v="N190"/>
    <x v="10"/>
    <d v="2024-06-05T00:00:00"/>
    <s v="X43"/>
    <n v="22026158"/>
    <s v="CONEC_ RI EMENDA G-F81F FEMEA"/>
    <x v="0"/>
    <n v="36"/>
    <n v="1"/>
    <s v="Unidade"/>
    <s v="IMPORTADO COM SUCESSO"/>
    <s v="PLANO DO DIA"/>
    <s v="NET MASSIVO"/>
    <x v="1"/>
  </r>
  <r>
    <x v="505"/>
    <s v="N190"/>
    <x v="10"/>
    <d v="2024-06-05T00:00:00"/>
    <s v="X43"/>
    <n v="22026189"/>
    <s v="CONEC_RI COMPRESSAO F-6"/>
    <x v="0"/>
    <n v="1200"/>
    <n v="1"/>
    <s v="Unidade"/>
    <s v="IMPORTADO COM SUCESSO"/>
    <s v="PLANO DO DIA"/>
    <s v="NET MASSIVO"/>
    <x v="1"/>
  </r>
  <r>
    <x v="505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505"/>
    <s v="N190"/>
    <x v="10"/>
    <d v="2024-06-05T00:00:00"/>
    <s v="X43"/>
    <n v="22061736"/>
    <s v="CABO DROP 1FO LOW F FIG8 LOW CINZA"/>
    <x v="0"/>
    <n v="500"/>
    <n v="1"/>
    <s v="Unidade"/>
    <s v="IMPORTADO COM SUCESSO"/>
    <s v="PLANO DO DIA"/>
    <s v="NET MASSIVO"/>
    <x v="1"/>
  </r>
  <r>
    <x v="506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07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08"/>
    <s v="N190"/>
    <x v="7"/>
    <d v="2024-06-05T00:00:00"/>
    <s v="X43"/>
    <n v="22026147"/>
    <s v="CONEC_RI COMPRESSAO F-11"/>
    <x v="0"/>
    <n v="25"/>
    <n v="1"/>
    <s v="Unidade"/>
    <s v="IMPORTADO COM SUCESSO"/>
    <s v="PLANO DO DIA"/>
    <s v="NET MASSIVO"/>
    <x v="1"/>
  </r>
  <r>
    <x v="508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09"/>
    <s v="N190"/>
    <x v="7"/>
    <d v="2024-06-05T00:00:00"/>
    <s v="X51"/>
    <n v="41001481"/>
    <s v="MODEM VOIP EMTA WIFI 3.1 HGJ310"/>
    <x v="0"/>
    <n v="60"/>
    <n v="1"/>
    <s v="Unidade"/>
    <s v="IMPORTADO COM SUCESSO"/>
    <s v="PLANO DO DIA"/>
    <s v="NET MASSIVO"/>
    <x v="1"/>
  </r>
  <r>
    <x v="510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11"/>
    <s v="N190"/>
    <x v="10"/>
    <d v="2024-06-05T00:00:00"/>
    <s v="X43"/>
    <n v="22023400"/>
    <s v="ABRACADEIRA NYLON T50R 20CM PRETA"/>
    <x v="0"/>
    <n v="100"/>
    <n v="1"/>
    <s v="Unidade"/>
    <s v="IMPORTADO COM SUCESSO"/>
    <s v="PLANO DO DIA"/>
    <s v="NET MASSIVO"/>
    <x v="1"/>
  </r>
  <r>
    <x v="511"/>
    <s v="N190"/>
    <x v="10"/>
    <d v="2024-06-05T00:00:00"/>
    <s v="X43"/>
    <n v="22026223"/>
    <s v="CABO COAXIAL RG6 TRISH COM MENSAG PRETO"/>
    <x v="0"/>
    <n v="305"/>
    <n v="1"/>
    <s v="Unidade"/>
    <s v="IMPORTADO COM SUCESSO"/>
    <s v="PLANO DO DIA"/>
    <s v="NET MASSIVO"/>
    <x v="1"/>
  </r>
  <r>
    <x v="511"/>
    <s v="N190"/>
    <x v="7"/>
    <d v="2024-06-05T00:00:00"/>
    <s v="X43"/>
    <n v="22026251"/>
    <s v="CTRL REMOTO DIG. CR2FU UNIVERS"/>
    <x v="0"/>
    <n v="20"/>
    <n v="1"/>
    <s v="Unidade"/>
    <s v="IMPORTADO COM SUCESSO"/>
    <s v="PLANO DO DIA"/>
    <s v="NET MASSIVO"/>
    <x v="1"/>
  </r>
  <r>
    <x v="511"/>
    <s v="N190"/>
    <x v="10"/>
    <d v="2024-06-05T00:00:00"/>
    <s v="X43"/>
    <n v="22065513"/>
    <s v="CONECTOR FO CAMPO CPO SC APC FRKW"/>
    <x v="0"/>
    <n v="20"/>
    <n v="1"/>
    <s v="Unidade"/>
    <s v="IMPORTADO COM SUCESSO"/>
    <s v="PLANO DO DIA"/>
    <s v="NET MASSIVO"/>
    <x v="1"/>
  </r>
  <r>
    <x v="512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13"/>
    <s v="N190"/>
    <x v="7"/>
    <d v="2024-06-05T00:00:00"/>
    <s v="X51"/>
    <n v="41001481"/>
    <s v="MODEM VOIP EMTA WIFI 3.1 HGJ310"/>
    <x v="0"/>
    <n v="90"/>
    <n v="1"/>
    <s v="Unidade"/>
    <s v="IMPORTADO COM SUCESSO"/>
    <s v="PLANO DO DIA"/>
    <s v="NET MASSIVO"/>
    <x v="1"/>
  </r>
  <r>
    <x v="514"/>
    <s v="N190"/>
    <x v="7"/>
    <d v="2024-06-05T00:00:00"/>
    <s v="X43"/>
    <n v="22026251"/>
    <s v="CTRL REMOTO DIG. CR2FU UNIVERS"/>
    <x v="0"/>
    <n v="60"/>
    <n v="1"/>
    <s v="Unidade"/>
    <s v="IMPORTADO COM SUCESSO"/>
    <s v="PLANO DO DIA"/>
    <s v="NET MASSIVO"/>
    <x v="1"/>
  </r>
  <r>
    <x v="515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16"/>
    <s v="N190"/>
    <x v="7"/>
    <d v="2024-06-05T00:00:00"/>
    <s v="X43"/>
    <n v="22025320"/>
    <s v="EMENDA CABO TELEFONE 101-E GEL"/>
    <x v="0"/>
    <n v="10"/>
    <n v="1"/>
    <s v="Unidade"/>
    <s v="IMPORTADO COM SUCESSO"/>
    <s v="PLANO DO DIA"/>
    <s v="NET MASSIVO"/>
    <x v="1"/>
  </r>
  <r>
    <x v="516"/>
    <s v="N190"/>
    <x v="10"/>
    <d v="2024-06-05T00:00:00"/>
    <s v="X43"/>
    <n v="22026158"/>
    <s v="CONEC_ RI EMENDA G-F81F FEMEA"/>
    <x v="0"/>
    <n v="20"/>
    <n v="1"/>
    <s v="Unidade"/>
    <s v="IMPORTADO COM SUCESSO"/>
    <s v="PLANO DO DIA"/>
    <s v="NET MASSIVO"/>
    <x v="1"/>
  </r>
  <r>
    <x v="516"/>
    <s v="N190"/>
    <x v="10"/>
    <d v="2024-06-05T00:00:00"/>
    <s v="X43"/>
    <n v="22026189"/>
    <s v="CONEC_RI COMPRESSAO F-6"/>
    <x v="0"/>
    <n v="800"/>
    <n v="1"/>
    <s v="Unidade"/>
    <s v="IMPORTADO COM SUCESSO"/>
    <s v="PLANO DO DIA"/>
    <s v="NET MASSIVO"/>
    <x v="1"/>
  </r>
  <r>
    <x v="516"/>
    <s v="N190"/>
    <x v="7"/>
    <d v="2024-06-05T00:00:00"/>
    <s v="X43"/>
    <n v="22026251"/>
    <s v="CTRL REMOTO DIG. CR2FU UNIVERS"/>
    <x v="0"/>
    <n v="30"/>
    <n v="1"/>
    <s v="Unidade"/>
    <s v="IMPORTADO COM SUCESSO"/>
    <s v="PLANO DO DIA"/>
    <s v="NET MASSIVO"/>
    <x v="1"/>
  </r>
  <r>
    <x v="516"/>
    <s v="N190"/>
    <x v="10"/>
    <d v="2024-06-05T00:00:00"/>
    <s v="X43"/>
    <n v="22026746"/>
    <s v="DC_RI 1S 09DB 1GHZ H SOLDADO"/>
    <x v="0"/>
    <n v="50"/>
    <n v="1"/>
    <s v="Unidade"/>
    <s v="IMPORTADO COM SUCESSO"/>
    <s v="PLANO DO DIA"/>
    <s v="NET MASSIVO"/>
    <x v="1"/>
  </r>
  <r>
    <x v="516"/>
    <s v="N190"/>
    <x v="10"/>
    <d v="2024-06-05T00:00:00"/>
    <s v="X43"/>
    <n v="22026772"/>
    <s v="DIV_RI 2S 1GHZ H SOLDADO"/>
    <x v="0"/>
    <n v="100"/>
    <n v="1"/>
    <s v="Unidade"/>
    <s v="IMPORTADO COM SUCESSO"/>
    <s v="PLANO DO DIA"/>
    <s v="NET MASSIVO"/>
    <x v="1"/>
  </r>
  <r>
    <x v="516"/>
    <s v="N190"/>
    <x v="10"/>
    <d v="2024-06-05T00:00:00"/>
    <s v="X43"/>
    <n v="22026792"/>
    <s v="DIV_RI 3S 1GHZ H SOLD DESB 488"/>
    <x v="0"/>
    <n v="25"/>
    <n v="1"/>
    <s v="Unidade"/>
    <s v="IMPORTADO COM SUCESSO"/>
    <s v="PLANO DO DIA"/>
    <s v="NET MASSIVO"/>
    <x v="1"/>
  </r>
  <r>
    <x v="516"/>
    <s v="N190"/>
    <x v="10"/>
    <d v="2024-06-05T00:00:00"/>
    <s v="X43"/>
    <n v="22026809"/>
    <s v="DC_RI 1S 06DB 1GHZ H SOLDADO"/>
    <x v="0"/>
    <n v="100"/>
    <n v="1"/>
    <s v="Unidade"/>
    <s v="IMPORTADO COM SUCESSO"/>
    <s v="PLANO DO DIA"/>
    <s v="NET MASSIVO"/>
    <x v="1"/>
  </r>
  <r>
    <x v="516"/>
    <s v="N190"/>
    <x v="10"/>
    <d v="2024-06-05T00:00:00"/>
    <s v="X43"/>
    <n v="22056366"/>
    <s v="ISOLADOR COAXIAL QUADRADO - CISP-HR"/>
    <x v="0"/>
    <n v="20"/>
    <n v="1"/>
    <s v="Unidade"/>
    <s v="IMPORTADO COM SUCESSO"/>
    <s v="PLANO DO DIA"/>
    <s v="NET MASSIVO"/>
    <x v="1"/>
  </r>
  <r>
    <x v="516"/>
    <s v="N190"/>
    <x v="10"/>
    <d v="2024-06-05T00:00:00"/>
    <s v="X43"/>
    <n v="22056369"/>
    <s v="CABO UTP CAT5E ETHERNET NET"/>
    <x v="0"/>
    <n v="100"/>
    <n v="1"/>
    <s v="Unidade"/>
    <s v="IMPORTADO COM SUCESSO"/>
    <s v="PLANO DO DIA"/>
    <s v="NET MASSIVO"/>
    <x v="1"/>
  </r>
  <r>
    <x v="516"/>
    <s v="N190"/>
    <x v="10"/>
    <d v="2024-06-05T00:00:00"/>
    <s v="X43"/>
    <n v="22061811"/>
    <s v="CONECTOR UTP RJ45 M CAT 5 24AWG"/>
    <x v="0"/>
    <n v="100"/>
    <n v="1"/>
    <s v="Unidade"/>
    <s v="IMPORTADO COM SUCESSO"/>
    <s v="PLANO DO DIA"/>
    <s v="NET MASSIVO"/>
    <x v="1"/>
  </r>
  <r>
    <x v="516"/>
    <s v="N190"/>
    <x v="10"/>
    <d v="2024-06-05T00:00:00"/>
    <s v="X43"/>
    <n v="22065513"/>
    <s v="CONECTOR FO CAMPO CPO SC APC FRKW"/>
    <x v="0"/>
    <n v="30"/>
    <n v="1"/>
    <s v="Unidade"/>
    <s v="IMPORTADO COM SUCESSO"/>
    <s v="PLANO DO DIA"/>
    <s v="NET MASSIVO"/>
    <x v="1"/>
  </r>
  <r>
    <x v="517"/>
    <s v="N190"/>
    <x v="7"/>
    <d v="2024-06-05T00:00:00"/>
    <s v="X51"/>
    <n v="41001481"/>
    <s v="MODEM VOIP EMTA WIFI 3.1 HGJ310"/>
    <x v="0"/>
    <n v="30"/>
    <n v="1"/>
    <s v="Unidade"/>
    <s v="IMPORTADO COM SUCESSO"/>
    <s v="PLANO DO DIA"/>
    <s v="NET MASSIVO"/>
    <x v="1"/>
  </r>
  <r>
    <x v="517"/>
    <s v="N190"/>
    <x v="10"/>
    <d v="2024-06-05T00:00:00"/>
    <s v="X51"/>
    <n v="41001536"/>
    <s v="ROTEADOR ZTE WIFI5 ZXHN H196A MESH BCO"/>
    <x v="0"/>
    <n v="20"/>
    <n v="1"/>
    <s v="Unidade"/>
    <s v="IMPORTADO COM SUCESSO"/>
    <s v="PLANO DO DIA"/>
    <s v="NET MASSIVO"/>
    <x v="1"/>
  </r>
  <r>
    <x v="518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19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20"/>
    <s v="N190"/>
    <x v="7"/>
    <d v="2024-06-05T00:00:00"/>
    <s v="X51"/>
    <n v="41001481"/>
    <s v="MODEM VOIP EMTA WIFI 3.1 HGJ310"/>
    <x v="0"/>
    <n v="30"/>
    <n v="1"/>
    <s v="Unidade"/>
    <s v="IMPORTADO COM SUCESSO"/>
    <s v="PLANO DO DIA"/>
    <s v="NET MASSIVO"/>
    <x v="1"/>
  </r>
  <r>
    <x v="520"/>
    <s v="N190"/>
    <x v="10"/>
    <d v="2024-06-05T00:00:00"/>
    <s v="X51"/>
    <n v="41001553"/>
    <s v="TERMINAL DOCSIS 3.1 EMTA WIFI6 TC3106"/>
    <x v="0"/>
    <n v="20"/>
    <n v="1"/>
    <s v="Unidade"/>
    <s v="IMPORTADO COM SUCESSO"/>
    <s v="PLANO DO DIA"/>
    <s v="NET MASSIVO"/>
    <x v="1"/>
  </r>
  <r>
    <x v="521"/>
    <s v="N190"/>
    <x v="7"/>
    <d v="2024-06-05T00:00:00"/>
    <s v="X51"/>
    <n v="41001481"/>
    <s v="MODEM VOIP EMTA WIFI 3.1 HGJ310"/>
    <x v="0"/>
    <n v="100"/>
    <n v="1"/>
    <s v="Unidade"/>
    <s v="IMPORTADO COM SUCESSO"/>
    <s v="PLANO DO DIA"/>
    <s v="NET MASSIVO"/>
    <x v="1"/>
  </r>
  <r>
    <x v="522"/>
    <s v="N190"/>
    <x v="10"/>
    <d v="2024-06-05T00:00:00"/>
    <s v="X43"/>
    <n v="22026219"/>
    <s v="CABO COAXIAL RG6 TRISH SEM MENSAG BRANCO"/>
    <x v="0"/>
    <n v="300"/>
    <n v="1"/>
    <s v="Unidade"/>
    <s v="IMPORTADO COM SUCESSO"/>
    <s v="PLANO DO DIA"/>
    <s v="NET MASSIVO"/>
    <x v="1"/>
  </r>
  <r>
    <x v="523"/>
    <s v="N190"/>
    <x v="7"/>
    <d v="2024-06-05T00:00:00"/>
    <s v="X51"/>
    <n v="41001481"/>
    <s v="MODEM VOIP EMTA WIFI 3.1 HGJ310"/>
    <x v="0"/>
    <n v="50"/>
    <n v="1"/>
    <s v="Unidade"/>
    <s v="IMPORTADO COM SUCESSO"/>
    <s v="PLANO DO DIA"/>
    <s v="NET MASSIVO"/>
    <x v="1"/>
  </r>
  <r>
    <x v="524"/>
    <s v="N190"/>
    <x v="7"/>
    <d v="2024-06-05T00:00:00"/>
    <s v="X51"/>
    <n v="41001481"/>
    <s v="MODEM VOIP EMTA WIFI 3.1 HGJ310"/>
    <x v="0"/>
    <n v="130"/>
    <n v="1"/>
    <s v="Unidade"/>
    <s v="IMPORTADO COM SUCESSO"/>
    <s v="PLANO DO DIA"/>
    <s v="NET MASSIVO"/>
    <x v="1"/>
  </r>
  <r>
    <x v="525"/>
    <s v="N190"/>
    <x v="7"/>
    <d v="2024-06-05T00:00:00"/>
    <s v="X51"/>
    <n v="41001481"/>
    <s v="MODEM VOIP EMTA WIFI 3.1 HGJ310"/>
    <x v="0"/>
    <n v="170"/>
    <n v="1"/>
    <s v="Unidade"/>
    <s v="IMPORTADO COM SUCESSO"/>
    <s v="PLANO DO DIA"/>
    <s v="NET MASSIVO"/>
    <x v="1"/>
  </r>
  <r>
    <x v="526"/>
    <s v="N190"/>
    <x v="7"/>
    <d v="2024-06-05T00:00:00"/>
    <s v="X51"/>
    <n v="41001481"/>
    <s v="MODEM VOIP EMTA WIFI 3.1 HGJ310"/>
    <x v="0"/>
    <n v="170"/>
    <n v="1"/>
    <s v="Unidade"/>
    <s v="IMPORTADO COM SUCESSO"/>
    <s v="PLANO DO DIA"/>
    <s v="NET MASSIVO"/>
    <x v="1"/>
  </r>
  <r>
    <x v="527"/>
    <s v="N190"/>
    <x v="7"/>
    <d v="2024-06-05T00:00:00"/>
    <s v="X51"/>
    <n v="41001481"/>
    <s v="MODEM VOIP EMTA WIFI 3.1 HGJ310"/>
    <x v="0"/>
    <n v="200"/>
    <n v="1"/>
    <s v="Unidade"/>
    <s v="IMPORTADO COM SUCESSO"/>
    <s v="PLANO DO DIA"/>
    <s v="NET MASSIVO"/>
    <x v="1"/>
  </r>
  <r>
    <x v="528"/>
    <s v="N190"/>
    <x v="7"/>
    <d v="2024-06-05T00:00:00"/>
    <s v="X51"/>
    <n v="41001481"/>
    <s v="MODEM VOIP EMTA WIFI 3.1 HGJ310"/>
    <x v="0"/>
    <n v="160"/>
    <n v="1"/>
    <s v="Unidade"/>
    <s v="IMPORTADO COM SUCESSO"/>
    <s v="PLANO DO DIA"/>
    <s v="NET MASSIVO"/>
    <x v="1"/>
  </r>
  <r>
    <x v="529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30"/>
    <s v="N190"/>
    <x v="10"/>
    <d v="2024-06-05T00:00:00"/>
    <s v="X43"/>
    <n v="22026189"/>
    <s v="CONEC_RI COMPRESSAO F-6"/>
    <x v="0"/>
    <n v="100"/>
    <n v="1"/>
    <s v="Unidade"/>
    <s v="IMPORTADO COM SUCESSO"/>
    <s v="PLANO DO DIA"/>
    <s v="NET MASSIVO"/>
    <x v="1"/>
  </r>
  <r>
    <x v="530"/>
    <s v="N190"/>
    <x v="7"/>
    <d v="2024-06-05T00:00:00"/>
    <s v="X43"/>
    <n v="22026251"/>
    <s v="CTRL REMOTO DIG. CR2FU UNIVERS"/>
    <x v="0"/>
    <n v="30"/>
    <n v="1"/>
    <s v="Unidade"/>
    <s v="IMPORTADO COM SUCESSO"/>
    <s v="PLANO DO DIA"/>
    <s v="NET MASSIVO"/>
    <x v="1"/>
  </r>
  <r>
    <x v="531"/>
    <s v="N190"/>
    <x v="7"/>
    <d v="2024-06-05T00:00:00"/>
    <s v="X51"/>
    <n v="41001481"/>
    <s v="MODEM VOIP EMTA WIFI 3.1 HGJ310"/>
    <x v="0"/>
    <n v="20"/>
    <n v="1"/>
    <s v="Unidade"/>
    <s v="IMPORTADO COM SUCESSO"/>
    <s v="PLANO DO DIA"/>
    <s v="NET MASSIVO"/>
    <x v="1"/>
  </r>
  <r>
    <x v="532"/>
    <s v="N190"/>
    <x v="10"/>
    <d v="2024-06-06T00:00:00"/>
    <n v="201"/>
    <n v="252815"/>
    <s v="ABRACADEIRA NYLON T50R 20CM PRETA"/>
    <x v="0"/>
    <n v="400"/>
    <n v="1"/>
    <s v="Unidade"/>
    <s v="IMPORTADO COM SUCESSO"/>
    <s v="RESERVAS PENDENTES"/>
    <s v="NET MASSIVO"/>
    <x v="1"/>
  </r>
  <r>
    <x v="533"/>
    <s v="N190"/>
    <x v="10"/>
    <d v="2024-06-06T00:00:00"/>
    <n v="221"/>
    <n v="22056815"/>
    <s v="DIV_RI 3S 1GHZ H SOLD BAL 777"/>
    <x v="0"/>
    <n v="11"/>
    <n v="1"/>
    <s v="Unidade"/>
    <s v="IMPORTADO COM SUCESSO"/>
    <s v="RESERVAS PENDENTES"/>
    <s v="NET MASSIVO"/>
    <x v="1"/>
  </r>
  <r>
    <x v="534"/>
    <s v="N190"/>
    <x v="10"/>
    <d v="2024-06-06T00:00:00"/>
    <s v="X33"/>
    <n v="22062001"/>
    <s v="CABO DROP PRECON HW DOMEX 50M"/>
    <x v="0"/>
    <n v="2000"/>
    <n v="1"/>
    <s v="Unidade"/>
    <s v="IMPORTADO COM SUCESSO"/>
    <s v="RESERVAS PENDENTES"/>
    <s v="NET MASSIVO"/>
    <x v="1"/>
  </r>
  <r>
    <x v="535"/>
    <s v="N190"/>
    <x v="7"/>
    <d v="2024-06-06T00:00:00"/>
    <s v="X43"/>
    <n v="22026096"/>
    <s v="CABO FORCA 250V 2.5A 2MT"/>
    <x v="0"/>
    <n v="320"/>
    <n v="1"/>
    <s v="Unidade"/>
    <s v="IMPORTADO COM SUCESSO"/>
    <s v="RESERVAS PENDENTES"/>
    <s v="NET MASSIVO"/>
    <x v="1"/>
  </r>
  <r>
    <x v="535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535"/>
    <s v="N190"/>
    <x v="7"/>
    <d v="2024-06-06T00:00:00"/>
    <s v="X43"/>
    <n v="22060287"/>
    <s v="FONTE DE ALIMENTACAO 12V HGJ310 ADS 48"/>
    <x v="0"/>
    <n v="320"/>
    <n v="1"/>
    <s v="Unidade"/>
    <s v="IMPORTADO COM SUCESSO"/>
    <s v="RESERVAS PENDENTES"/>
    <s v="NET MASSIVO"/>
    <x v="1"/>
  </r>
  <r>
    <x v="536"/>
    <s v="N190"/>
    <x v="7"/>
    <d v="2024-06-06T00:00:00"/>
    <s v="X41"/>
    <n v="41001095"/>
    <s v="EMTA WIFI 3.0 FST3486 16X4"/>
    <x v="0"/>
    <n v="60"/>
    <n v="1"/>
    <s v="Unidade"/>
    <s v="IMPORTADO COM SUCESSO"/>
    <s v="RESERVAS PENDENTES"/>
    <s v="NET MASSIVO"/>
    <x v="1"/>
  </r>
  <r>
    <x v="536"/>
    <s v="N190"/>
    <x v="7"/>
    <d v="2024-06-06T00:00:00"/>
    <s v="X41"/>
    <n v="41001481"/>
    <s v="MODEM VOIP EMTA WIFI 3.1 HGJ310"/>
    <x v="0"/>
    <n v="320"/>
    <n v="1"/>
    <s v="Unidade"/>
    <s v="IMPORTADO COM SUCESSO"/>
    <s v="RESERVAS PENDENTES"/>
    <s v="NET MASSIVO"/>
    <x v="1"/>
  </r>
  <r>
    <x v="536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37"/>
    <s v="N190"/>
    <x v="7"/>
    <d v="2024-06-06T00:00:00"/>
    <s v="X43"/>
    <n v="22026096"/>
    <s v="CABO FORCA 250V 2.5A 2MT"/>
    <x v="0"/>
    <n v="110"/>
    <n v="1"/>
    <s v="Unidade"/>
    <s v="IMPORTADO COM SUCESSO"/>
    <s v="RESERVAS PENDENTES"/>
    <s v="NET MASSIVO"/>
    <x v="1"/>
  </r>
  <r>
    <x v="537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537"/>
    <s v="N190"/>
    <x v="7"/>
    <d v="2024-06-06T00:00:00"/>
    <s v="X43"/>
    <n v="22060287"/>
    <s v="FONTE DE ALIMENTACAO 12V HGJ310 ADS 48"/>
    <x v="0"/>
    <n v="110"/>
    <n v="1"/>
    <s v="Unidade"/>
    <s v="IMPORTADO COM SUCESSO"/>
    <s v="RESERVAS PENDENTES"/>
    <s v="NET MASSIVO"/>
    <x v="1"/>
  </r>
  <r>
    <x v="537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538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538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538"/>
    <s v="N190"/>
    <x v="7"/>
    <d v="2024-06-06T00:00:00"/>
    <s v="X41"/>
    <n v="41001481"/>
    <s v="MODEM VOIP EMTA WIFI 3.1 HGJ310"/>
    <x v="0"/>
    <n v="110"/>
    <n v="1"/>
    <s v="Unidade"/>
    <s v="IMPORTADO COM SUCESSO"/>
    <s v="RESERVAS PENDENTES"/>
    <s v="NET MASSIVO"/>
    <x v="1"/>
  </r>
  <r>
    <x v="538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39"/>
    <s v="N190"/>
    <x v="7"/>
    <d v="2024-06-06T00:00:00"/>
    <s v="X43"/>
    <n v="22026279"/>
    <s v="FONTE CX DIG HD DCR74X1 PACE"/>
    <x v="0"/>
    <n v="240"/>
    <n v="1"/>
    <s v="Unidade"/>
    <s v="IMPORTADO COM SUCESSO"/>
    <s v="RESERVAS PENDENTES"/>
    <s v="NET MASSIVO"/>
    <x v="1"/>
  </r>
  <r>
    <x v="539"/>
    <s v="N190"/>
    <x v="7"/>
    <d v="2024-06-06T00:00:00"/>
    <s v="X43"/>
    <n v="22026293"/>
    <s v="FONTE EMTA WIFI 3.0 TG1692A 16"/>
    <x v="0"/>
    <n v="210"/>
    <n v="1"/>
    <s v="Unidade"/>
    <s v="IMPORTADO COM SUCESSO"/>
    <s v="RESERVAS PENDENTES"/>
    <s v="NET MASSIVO"/>
    <x v="1"/>
  </r>
  <r>
    <x v="539"/>
    <s v="N190"/>
    <x v="10"/>
    <d v="2024-06-06T00:00:00"/>
    <s v="X43"/>
    <n v="22060422"/>
    <s v="CONTROLE REMOTO UNIFICADO RC4194202 01B"/>
    <x v="0"/>
    <n v="210"/>
    <n v="1"/>
    <s v="Unidade"/>
    <s v="IMPORTADO COM SUCESSO"/>
    <s v="RESERVAS PENDENTES"/>
    <s v="NET MASSIVO"/>
    <x v="1"/>
  </r>
  <r>
    <x v="539"/>
    <s v="N190"/>
    <x v="10"/>
    <d v="2024-06-06T00:00:00"/>
    <s v="X43"/>
    <n v="22062577"/>
    <s v="FONTE ALIMENT 12V 3.5A F42L1 120350SPAE"/>
    <x v="0"/>
    <n v="140"/>
    <n v="1"/>
    <s v="Unidade"/>
    <s v="IMPORTADO COM SUCESSO"/>
    <s v="RESERVAS PENDENTES"/>
    <s v="NET MASSIVO"/>
    <x v="1"/>
  </r>
  <r>
    <x v="540"/>
    <s v="N190"/>
    <x v="7"/>
    <d v="2024-06-06T00:00:00"/>
    <s v="X41"/>
    <n v="41001234"/>
    <s v="SMART CARD AVULSO PRETO NOVO"/>
    <x v="0"/>
    <n v="210"/>
    <n v="1"/>
    <s v="Unidade"/>
    <s v="IMPORTADO COM SUCESSO"/>
    <s v="RESERVAS PENDENTES"/>
    <s v="NET MASSIVO"/>
    <x v="1"/>
  </r>
  <r>
    <x v="540"/>
    <s v="N190"/>
    <x v="7"/>
    <d v="2024-06-06T00:00:00"/>
    <s v="X41"/>
    <n v="41001277"/>
    <s v="DECODER HD DXC5000 2T"/>
    <x v="0"/>
    <n v="210"/>
    <n v="1"/>
    <s v="Unidade"/>
    <s v="IMPORTADO COM SUCESSO"/>
    <s v="RESERVAS PENDENTES"/>
    <s v="NET MASSIVO"/>
    <x v="1"/>
  </r>
  <r>
    <x v="540"/>
    <s v="N190"/>
    <x v="7"/>
    <d v="2024-06-06T00:00:00"/>
    <s v="X41"/>
    <n v="41001293"/>
    <s v="EMTA WIFI 3.0 TG1692A 16X4"/>
    <x v="0"/>
    <n v="240"/>
    <n v="1"/>
    <s v="Unidade"/>
    <s v="IMPORTADO COM SUCESSO"/>
    <s v="RESERVAS PENDENTES"/>
    <s v="NET MASSIVO"/>
    <x v="1"/>
  </r>
  <r>
    <x v="540"/>
    <s v="N190"/>
    <x v="7"/>
    <d v="2024-06-06T00:00:00"/>
    <s v="X41"/>
    <n v="41001485"/>
    <s v="MODEM VOIP EMTA WIFI 3.1 CH8568"/>
    <x v="0"/>
    <n v="140"/>
    <n v="1"/>
    <s v="Unidade"/>
    <s v="IMPORTADO COM SUCESSO"/>
    <s v="RESERVAS PENDENTES"/>
    <s v="NET MASSIVO"/>
    <x v="1"/>
  </r>
  <r>
    <x v="540"/>
    <s v="N190"/>
    <x v="11"/>
    <d v="2024-06-06T00:00:00"/>
    <s v="X41"/>
    <n v="41001530"/>
    <s v="DECODER 4K UHD IP S4KW3 LINUX VAS COM"/>
    <x v="0"/>
    <n v="70"/>
    <n v="1"/>
    <s v="Unidade"/>
    <s v="IMPORTADO COM SUCESSO"/>
    <s v="RESERVAS PENDENTES"/>
    <s v="NET MASSIVO"/>
    <x v="1"/>
  </r>
  <r>
    <x v="540"/>
    <s v="N190"/>
    <x v="10"/>
    <d v="2024-06-06T00:00:00"/>
    <s v="X41"/>
    <n v="41001573"/>
    <s v="DECODER CARDLESS 4K UHD S4KCW4S CABO IP"/>
    <x v="0"/>
    <n v="40"/>
    <n v="1"/>
    <s v="Unidade"/>
    <s v="IMPORTADO COM SUCESSO"/>
    <s v="RESERVAS PENDENTES"/>
    <s v="NET MASSIVO"/>
    <x v="1"/>
  </r>
  <r>
    <x v="541"/>
    <s v="N190"/>
    <x v="7"/>
    <d v="2024-06-06T00:00:00"/>
    <s v="X43"/>
    <n v="22026279"/>
    <s v="FONTE CX DIG HD DCR74X1 PACE"/>
    <x v="0"/>
    <n v="300"/>
    <n v="1"/>
    <s v="Unidade"/>
    <s v="IMPORTADO COM SUCESSO"/>
    <s v="RESERVAS PENDENTES"/>
    <s v="NET MASSIVO"/>
    <x v="1"/>
  </r>
  <r>
    <x v="541"/>
    <s v="N190"/>
    <x v="7"/>
    <d v="2024-06-06T00:00:00"/>
    <s v="X43"/>
    <n v="22026293"/>
    <s v="FONTE EMTA WIFI 3.0 TG1692A 16"/>
    <x v="0"/>
    <n v="100"/>
    <n v="1"/>
    <s v="Unidade"/>
    <s v="IMPORTADO COM SUCESSO"/>
    <s v="RESERVAS PENDENTES"/>
    <s v="NET MASSIVO"/>
    <x v="1"/>
  </r>
  <r>
    <x v="541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541"/>
    <s v="N190"/>
    <x v="10"/>
    <d v="2024-06-06T00:00:00"/>
    <s v="X43"/>
    <n v="22062577"/>
    <s v="FONTE ALIMENT 12V 3.5A F42L1 120350SPAE"/>
    <x v="0"/>
    <n v="800"/>
    <n v="1"/>
    <s v="Unidade"/>
    <s v="IMPORTADO COM SUCESSO"/>
    <s v="RESERVAS PENDENTES"/>
    <s v="NET MASSIVO"/>
    <x v="1"/>
  </r>
  <r>
    <x v="542"/>
    <s v="N190"/>
    <x v="7"/>
    <d v="2024-06-06T00:00:00"/>
    <s v="X41"/>
    <n v="41001234"/>
    <s v="SMART CARD AVULSO PRETO NOVO"/>
    <x v="0"/>
    <n v="100"/>
    <n v="1"/>
    <s v="Unidade"/>
    <s v="IMPORTADO COM SUCESSO"/>
    <s v="RESERVAS PENDENTES"/>
    <s v="NET MASSIVO"/>
    <x v="1"/>
  </r>
  <r>
    <x v="542"/>
    <s v="N190"/>
    <x v="7"/>
    <d v="2024-06-06T00:00:00"/>
    <s v="X41"/>
    <n v="41001277"/>
    <s v="DECODER HD DXC5000 2T"/>
    <x v="0"/>
    <n v="100"/>
    <n v="1"/>
    <s v="Unidade"/>
    <s v="IMPORTADO COM SUCESSO"/>
    <s v="RESERVAS PENDENTES"/>
    <s v="NET MASSIVO"/>
    <x v="1"/>
  </r>
  <r>
    <x v="542"/>
    <s v="N190"/>
    <x v="7"/>
    <d v="2024-06-06T00:00:00"/>
    <s v="X41"/>
    <n v="41001293"/>
    <s v="EMTA WIFI 3.0 TG1692A 16X4"/>
    <x v="0"/>
    <n v="300"/>
    <n v="1"/>
    <s v="Unidade"/>
    <s v="IMPORTADO COM SUCESSO"/>
    <s v="RESERVAS PENDENTES"/>
    <s v="NET MASSIVO"/>
    <x v="1"/>
  </r>
  <r>
    <x v="542"/>
    <s v="N190"/>
    <x v="7"/>
    <d v="2024-06-06T00:00:00"/>
    <s v="X41"/>
    <n v="41001485"/>
    <s v="MODEM VOIP EMTA WIFI 3.1 CH8568"/>
    <x v="0"/>
    <n v="800"/>
    <n v="1"/>
    <s v="Unidade"/>
    <s v="IMPORTADO COM SUCESSO"/>
    <s v="RESERVAS PENDENTES"/>
    <s v="NET MASSIVO"/>
    <x v="1"/>
  </r>
  <r>
    <x v="542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543"/>
    <s v="N190"/>
    <x v="7"/>
    <d v="2024-06-06T00:00:00"/>
    <s v="X43"/>
    <n v="22026096"/>
    <s v="CABO FORCA 250V 2.5A 2MT"/>
    <x v="0"/>
    <n v="80"/>
    <n v="1"/>
    <s v="Unidade"/>
    <s v="IMPORTADO COM SUCESSO"/>
    <s v="RESERVAS PENDENTES"/>
    <s v="NET MASSIVO"/>
    <x v="1"/>
  </r>
  <r>
    <x v="543"/>
    <s v="N190"/>
    <x v="10"/>
    <d v="2024-06-06T00:00:00"/>
    <s v="X43"/>
    <n v="22026189"/>
    <s v="CONEC_RI COMPRESSAO F-6"/>
    <x v="0"/>
    <n v="250"/>
    <n v="1"/>
    <s v="Unidade"/>
    <s v="IMPORTADO COM SUCESSO"/>
    <s v="RESERVAS PENDENTES"/>
    <s v="NET MASSIVO"/>
    <x v="1"/>
  </r>
  <r>
    <x v="543"/>
    <s v="N190"/>
    <x v="10"/>
    <d v="2024-06-06T00:00:00"/>
    <s v="X43"/>
    <n v="22026219"/>
    <s v="CABO COAXIAL RG6 TRISH SEM MENSAG BRANCO"/>
    <x v="0"/>
    <n v="800"/>
    <n v="1"/>
    <s v="Unidade"/>
    <s v="IMPORTADO COM SUCESSO"/>
    <s v="RESERVAS PENDENTES"/>
    <s v="NET MASSIVO"/>
    <x v="1"/>
  </r>
  <r>
    <x v="543"/>
    <s v="N190"/>
    <x v="10"/>
    <d v="2024-06-06T00:00:00"/>
    <s v="X43"/>
    <n v="22056342"/>
    <s v="MARCADOR CASA PTO NR 0"/>
    <x v="0"/>
    <n v="100"/>
    <n v="1"/>
    <s v="Unidade"/>
    <s v="IMPORTADO COM SUCESSO"/>
    <s v="RESERVAS PENDENTES"/>
    <s v="NET MASSIVO"/>
    <x v="1"/>
  </r>
  <r>
    <x v="543"/>
    <s v="N190"/>
    <x v="10"/>
    <d v="2024-06-06T00:00:00"/>
    <s v="X43"/>
    <n v="22056344"/>
    <s v="MARCADOR CASA PTO NR 2"/>
    <x v="0"/>
    <n v="100"/>
    <n v="1"/>
    <s v="Unidade"/>
    <s v="IMPORTADO COM SUCESSO"/>
    <s v="RESERVAS PENDENTES"/>
    <s v="NET MASSIVO"/>
    <x v="1"/>
  </r>
  <r>
    <x v="543"/>
    <s v="N190"/>
    <x v="7"/>
    <d v="2024-06-06T00:00:00"/>
    <s v="X43"/>
    <n v="22060287"/>
    <s v="FONTE DE ALIMENTACAO 12V HGJ310 ADS 48"/>
    <x v="0"/>
    <n v="80"/>
    <n v="1"/>
    <s v="Unidade"/>
    <s v="IMPORTADO COM SUCESSO"/>
    <s v="RESERVAS PENDENTES"/>
    <s v="NET MASSIVO"/>
    <x v="1"/>
  </r>
  <r>
    <x v="543"/>
    <s v="N190"/>
    <x v="10"/>
    <d v="2024-06-06T00:00:00"/>
    <s v="X43"/>
    <n v="22061736"/>
    <s v="CABO DROP 1FO LOW F FIG8 LOW CINZA"/>
    <x v="0"/>
    <n v="3000"/>
    <n v="1"/>
    <s v="Unidade"/>
    <s v="IMPORTADO COM SUCESSO"/>
    <s v="RESERVAS PENDENTES"/>
    <s v="NET MASSIVO"/>
    <x v="1"/>
  </r>
  <r>
    <x v="543"/>
    <s v="N190"/>
    <x v="10"/>
    <d v="2024-06-06T00:00:00"/>
    <s v="X43"/>
    <n v="22065722"/>
    <s v="MARCADOR CASA PRETO NR 4"/>
    <x v="0"/>
    <n v="100"/>
    <n v="1"/>
    <s v="Unidade"/>
    <s v="IMPORTADO COM SUCESSO"/>
    <s v="RESERVAS PENDENTES"/>
    <s v="NET MASSIVO"/>
    <x v="1"/>
  </r>
  <r>
    <x v="543"/>
    <s v="N190"/>
    <x v="10"/>
    <d v="2024-06-06T00:00:00"/>
    <s v="X43"/>
    <n v="22065725"/>
    <s v="MARCADOR CASA PRETO NR 7"/>
    <x v="0"/>
    <n v="100"/>
    <n v="1"/>
    <s v="Unidade"/>
    <s v="IMPORTADO COM SUCESSO"/>
    <s v="RESERVAS PENDENTES"/>
    <s v="NET MASSIVO"/>
    <x v="1"/>
  </r>
  <r>
    <x v="544"/>
    <s v="N190"/>
    <x v="7"/>
    <d v="2024-06-06T00:00:00"/>
    <s v="X41"/>
    <n v="41001481"/>
    <s v="MODEM VOIP EMTA WIFI 3.1 HGJ310"/>
    <x v="0"/>
    <n v="80"/>
    <n v="1"/>
    <s v="Unidade"/>
    <s v="IMPORTADO COM SUCESSO"/>
    <s v="RESERVAS PENDENTES"/>
    <s v="NET MASSIVO"/>
    <x v="1"/>
  </r>
  <r>
    <x v="545"/>
    <s v="N190"/>
    <x v="7"/>
    <d v="2024-06-06T00:00:00"/>
    <s v="X43"/>
    <n v="22025241"/>
    <s v="MARCADOR APTO NUM 3 TIPO HO85 AMARELO"/>
    <x v="0"/>
    <n v="100"/>
    <n v="1"/>
    <s v="Unidade"/>
    <s v="IMPORTADO COM SUCESSO"/>
    <s v="RESERVAS PENDENTES"/>
    <s v="NET MASSIVO"/>
    <x v="1"/>
  </r>
  <r>
    <x v="545"/>
    <s v="N190"/>
    <x v="7"/>
    <d v="2024-06-06T00:00:00"/>
    <s v="X43"/>
    <n v="22025242"/>
    <s v="ABRACADEIRA NYLON T18R 10CM PRETA"/>
    <x v="0"/>
    <n v="100"/>
    <n v="1"/>
    <s v="Unidade"/>
    <s v="IMPORTADO COM SUCESSO"/>
    <s v="RESERVAS PENDENTES"/>
    <s v="NET MASSIVO"/>
    <x v="1"/>
  </r>
  <r>
    <x v="545"/>
    <s v="N190"/>
    <x v="10"/>
    <d v="2024-06-06T00:00:00"/>
    <s v="X43"/>
    <n v="22026189"/>
    <s v="CONEC_RI COMPRESSAO F-6"/>
    <x v="0"/>
    <n v="3100"/>
    <n v="1"/>
    <s v="Unidade"/>
    <s v="IMPORTADO COM SUCESSO"/>
    <s v="RESERVAS PENDENTES"/>
    <s v="NET MASSIVO"/>
    <x v="1"/>
  </r>
  <r>
    <x v="545"/>
    <s v="N190"/>
    <x v="10"/>
    <d v="2024-06-06T00:00:00"/>
    <s v="X43"/>
    <n v="22026219"/>
    <s v="CABO COAXIAL RG6 TRISH SEM MENSAG BRANCO"/>
    <x v="0"/>
    <n v="4500"/>
    <n v="1"/>
    <s v="Unidade"/>
    <s v="IMPORTADO COM SUCESSO"/>
    <s v="RESERVAS PENDENTES"/>
    <s v="NET MASSIVO"/>
    <x v="1"/>
  </r>
  <r>
    <x v="545"/>
    <s v="N190"/>
    <x v="7"/>
    <d v="2024-06-06T00:00:00"/>
    <s v="X43"/>
    <n v="22026293"/>
    <s v="FONTE EMTA WIFI 3.0 TG1692A 16"/>
    <x v="0"/>
    <n v="20"/>
    <n v="1"/>
    <s v="Unidade"/>
    <s v="IMPORTADO COM SUCESSO"/>
    <s v="RESERVAS PENDENTES"/>
    <s v="NET MASSIVO"/>
    <x v="1"/>
  </r>
  <r>
    <x v="545"/>
    <s v="N190"/>
    <x v="10"/>
    <d v="2024-06-06T00:00:00"/>
    <s v="X43"/>
    <n v="22026746"/>
    <s v="DC_RI 1S 09DB 1GHZ H SOLDADO"/>
    <x v="0"/>
    <n v="50"/>
    <n v="1"/>
    <s v="Unidade"/>
    <s v="IMPORTADO COM SUCESSO"/>
    <s v="RESERVAS PENDENTES"/>
    <s v="NET MASSIVO"/>
    <x v="1"/>
  </r>
  <r>
    <x v="545"/>
    <s v="N190"/>
    <x v="10"/>
    <d v="2024-06-06T00:00:00"/>
    <s v="X43"/>
    <n v="22026772"/>
    <s v="DIV_RI 2S 1GHZ H SOLDADO"/>
    <x v="0"/>
    <n v="75"/>
    <n v="1"/>
    <s v="Unidade"/>
    <s v="IMPORTADO COM SUCESSO"/>
    <s v="RESERVAS PENDENTES"/>
    <s v="NET MASSIVO"/>
    <x v="1"/>
  </r>
  <r>
    <x v="545"/>
    <s v="N190"/>
    <x v="7"/>
    <d v="2024-06-06T00:00:00"/>
    <s v="X43"/>
    <n v="22056339"/>
    <s v="MARCADOR CASA PTO NR 9"/>
    <x v="0"/>
    <n v="100"/>
    <n v="1"/>
    <s v="Unidade"/>
    <s v="IMPORTADO COM SUCESSO"/>
    <s v="RESERVAS PENDENTES"/>
    <s v="NET MASSIVO"/>
    <x v="1"/>
  </r>
  <r>
    <x v="545"/>
    <s v="N190"/>
    <x v="10"/>
    <d v="2024-06-06T00:00:00"/>
    <s v="X43"/>
    <n v="22056359"/>
    <s v="FITA ACO INOX 1/2 POLEGADA ROLO 25MT"/>
    <x v="0"/>
    <n v="15"/>
    <n v="1"/>
    <s v="Unidade"/>
    <s v="IMPORTADO COM SUCESSO"/>
    <s v="RESERVAS PENDENTES"/>
    <s v="NET MASSIVO"/>
    <x v="1"/>
  </r>
  <r>
    <x v="545"/>
    <s v="N190"/>
    <x v="10"/>
    <d v="2024-06-06T00:00:00"/>
    <s v="X43"/>
    <n v="22056364"/>
    <s v="MINI ISOLADOR CPE P/CM DECODER"/>
    <x v="0"/>
    <n v="240"/>
    <n v="1"/>
    <s v="Unidade"/>
    <s v="IMPORTADO COM SUCESSO"/>
    <s v="RESERVAS PENDENTES"/>
    <s v="NET MASSIVO"/>
    <x v="1"/>
  </r>
  <r>
    <x v="545"/>
    <s v="N190"/>
    <x v="10"/>
    <d v="2024-06-06T00:00:00"/>
    <s v="X43"/>
    <n v="22060422"/>
    <s v="CONTROLE REMOTO UNIFICADO RC4194202 01B"/>
    <x v="0"/>
    <n v="20"/>
    <n v="1"/>
    <s v="Unidade"/>
    <s v="IMPORTADO COM SUCESSO"/>
    <s v="RESERVAS PENDENTES"/>
    <s v="NET MASSIVO"/>
    <x v="1"/>
  </r>
  <r>
    <x v="546"/>
    <s v="N190"/>
    <x v="7"/>
    <d v="2024-06-06T00:00:00"/>
    <s v="X41"/>
    <n v="41001234"/>
    <s v="SMART CARD AVULSO PRETO NOVO"/>
    <x v="0"/>
    <n v="20"/>
    <n v="1"/>
    <s v="Unidade"/>
    <s v="IMPORTADO COM SUCESSO"/>
    <s v="RESERVAS PENDENTES"/>
    <s v="NET MASSIVO"/>
    <x v="1"/>
  </r>
  <r>
    <x v="546"/>
    <s v="N190"/>
    <x v="7"/>
    <d v="2024-06-06T00:00:00"/>
    <s v="X41"/>
    <n v="41001277"/>
    <s v="DECODER HD DXC5000 2T"/>
    <x v="0"/>
    <n v="20"/>
    <n v="1"/>
    <s v="Unidade"/>
    <s v="IMPORTADO COM SUCESSO"/>
    <s v="RESERVAS PENDENTES"/>
    <s v="NET MASSIVO"/>
    <x v="1"/>
  </r>
  <r>
    <x v="547"/>
    <s v="N190"/>
    <x v="7"/>
    <d v="2024-06-06T00:00:00"/>
    <s v="X43"/>
    <n v="22026096"/>
    <s v="CABO FORCA 250V 2.5A 2MT"/>
    <x v="0"/>
    <n v="20"/>
    <n v="1"/>
    <s v="Unidade"/>
    <s v="IMPORTADO COM SUCESSO"/>
    <s v="RESERVAS PENDENTES"/>
    <s v="NET MASSIVO"/>
    <x v="1"/>
  </r>
  <r>
    <x v="547"/>
    <s v="N190"/>
    <x v="7"/>
    <d v="2024-06-06T00:00:00"/>
    <s v="X43"/>
    <n v="22058639"/>
    <s v="FONTE ENERGIA MSA C2500IC12.0 30W"/>
    <x v="0"/>
    <n v="80"/>
    <n v="1"/>
    <s v="Unidade"/>
    <s v="IMPORTADO COM SUCESSO"/>
    <s v="RESERVAS PENDENTES"/>
    <s v="NET MASSIVO"/>
    <x v="1"/>
  </r>
  <r>
    <x v="547"/>
    <s v="N190"/>
    <x v="7"/>
    <d v="2024-06-06T00:00:00"/>
    <s v="X43"/>
    <n v="22060287"/>
    <s v="FONTE DE ALIMENTACAO 12V HGJ310 ADS 48"/>
    <x v="0"/>
    <n v="20"/>
    <n v="1"/>
    <s v="Unidade"/>
    <s v="IMPORTADO COM SUCESSO"/>
    <s v="RESERVAS PENDENTES"/>
    <s v="NET MASSIVO"/>
    <x v="1"/>
  </r>
  <r>
    <x v="548"/>
    <s v="N190"/>
    <x v="7"/>
    <d v="2024-06-06T00:00:00"/>
    <s v="X41"/>
    <n v="41001095"/>
    <s v="EMTA WIFI 3.0 FST3486 16X4"/>
    <x v="0"/>
    <n v="80"/>
    <n v="1"/>
    <s v="Unidade"/>
    <s v="IMPORTADO COM SUCESSO"/>
    <s v="RESERVAS PENDENTES"/>
    <s v="NET MASSIVO"/>
    <x v="1"/>
  </r>
  <r>
    <x v="548"/>
    <s v="N190"/>
    <x v="7"/>
    <d v="2024-06-06T00:00:00"/>
    <s v="X41"/>
    <n v="41001481"/>
    <s v="MODEM VOIP EMTA WIFI 3.1 HGJ310"/>
    <x v="0"/>
    <n v="20"/>
    <n v="1"/>
    <s v="Unidade"/>
    <s v="IMPORTADO COM SUCESSO"/>
    <s v="RESERVAS PENDENTES"/>
    <s v="NET MASSIVO"/>
    <x v="1"/>
  </r>
  <r>
    <x v="549"/>
    <s v="N190"/>
    <x v="7"/>
    <d v="2024-06-06T00:00:00"/>
    <s v="X43"/>
    <n v="22026096"/>
    <s v="CABO FORCA 250V 2.5A 2MT"/>
    <x v="0"/>
    <n v="150"/>
    <n v="1"/>
    <s v="Unidade"/>
    <s v="IMPORTADO COM SUCESSO"/>
    <s v="RESERVAS PENDENTES"/>
    <s v="NET MASSIVO"/>
    <x v="1"/>
  </r>
  <r>
    <x v="549"/>
    <s v="N190"/>
    <x v="7"/>
    <d v="2024-06-06T00:00:00"/>
    <s v="X43"/>
    <n v="22026293"/>
    <s v="FONTE EMTA WIFI 3.0 TG1692A 16"/>
    <x v="0"/>
    <n v="160"/>
    <n v="1"/>
    <s v="Unidade"/>
    <s v="IMPORTADO COM SUCESSO"/>
    <s v="RESERVAS PENDENTES"/>
    <s v="NET MASSIVO"/>
    <x v="1"/>
  </r>
  <r>
    <x v="549"/>
    <s v="N190"/>
    <x v="7"/>
    <d v="2024-06-06T00:00:00"/>
    <s v="X43"/>
    <n v="22060287"/>
    <s v="FONTE DE ALIMENTACAO 12V HGJ310 ADS 48"/>
    <x v="0"/>
    <n v="150"/>
    <n v="1"/>
    <s v="Unidade"/>
    <s v="IMPORTADO COM SUCESSO"/>
    <s v="RESERVAS PENDENTES"/>
    <s v="NET MASSIVO"/>
    <x v="1"/>
  </r>
  <r>
    <x v="549"/>
    <s v="N190"/>
    <x v="10"/>
    <d v="2024-06-06T00:00:00"/>
    <s v="X43"/>
    <n v="22060422"/>
    <s v="CONTROLE REMOTO UNIFICADO RC4194202 01B"/>
    <x v="0"/>
    <n v="160"/>
    <n v="1"/>
    <s v="Unidade"/>
    <s v="IMPORTADO COM SUCESSO"/>
    <s v="RESERVAS PENDENTES"/>
    <s v="NET MASSIVO"/>
    <x v="1"/>
  </r>
  <r>
    <x v="550"/>
    <s v="N190"/>
    <x v="7"/>
    <d v="2024-06-06T00:00:00"/>
    <s v="X41"/>
    <n v="41001234"/>
    <s v="SMART CARD AVULSO PRETO NOVO"/>
    <x v="0"/>
    <n v="160"/>
    <n v="1"/>
    <s v="Unidade"/>
    <s v="IMPORTADO COM SUCESSO"/>
    <s v="RESERVAS PENDENTES"/>
    <s v="NET MASSIVO"/>
    <x v="1"/>
  </r>
  <r>
    <x v="550"/>
    <s v="N190"/>
    <x v="7"/>
    <d v="2024-06-06T00:00:00"/>
    <s v="X41"/>
    <n v="41001277"/>
    <s v="DECODER HD DXC5000 2T"/>
    <x v="0"/>
    <n v="160"/>
    <n v="1"/>
    <s v="Unidade"/>
    <s v="IMPORTADO COM SUCESSO"/>
    <s v="RESERVAS PENDENTES"/>
    <s v="NET MASSIVO"/>
    <x v="1"/>
  </r>
  <r>
    <x v="550"/>
    <s v="N190"/>
    <x v="7"/>
    <d v="2024-06-06T00:00:00"/>
    <s v="X41"/>
    <n v="41001481"/>
    <s v="MODEM VOIP EMTA WIFI 3.1 HGJ310"/>
    <x v="0"/>
    <n v="150"/>
    <n v="1"/>
    <s v="Unidade"/>
    <s v="IMPORTADO COM SUCESSO"/>
    <s v="RESERVAS PENDENTES"/>
    <s v="NET MASSIVO"/>
    <x v="1"/>
  </r>
  <r>
    <x v="550"/>
    <s v="N190"/>
    <x v="10"/>
    <d v="2024-06-06T00:00:00"/>
    <s v="X41"/>
    <n v="41001535"/>
    <s v="TERMINAL GPON WIFI TCG2232"/>
    <x v="0"/>
    <n v="90"/>
    <n v="1"/>
    <s v="Unidade"/>
    <s v="IMPORTADO COM SUCESSO"/>
    <s v="RESERVAS PENDENTES"/>
    <s v="NET MASSIVO"/>
    <x v="1"/>
  </r>
  <r>
    <x v="551"/>
    <s v="N190"/>
    <x v="7"/>
    <d v="2024-06-06T00:00:00"/>
    <s v="X43"/>
    <n v="22026279"/>
    <s v="FONTE CX DIG HD DCR74X1 PACE"/>
    <x v="0"/>
    <n v="310"/>
    <n v="1"/>
    <s v="Unidade"/>
    <s v="IMPORTADO COM SUCESSO"/>
    <s v="RESERVAS PENDENTES"/>
    <s v="NET MASSIVO"/>
    <x v="1"/>
  </r>
  <r>
    <x v="552"/>
    <s v="N190"/>
    <x v="7"/>
    <d v="2024-06-06T00:00:00"/>
    <s v="X41"/>
    <n v="41001293"/>
    <s v="EMTA WIFI 3.0 TG1692A 16X4"/>
    <x v="0"/>
    <n v="310"/>
    <n v="1"/>
    <s v="Unidade"/>
    <s v="IMPORTADO COM SUCESSO"/>
    <s v="RESERVAS PENDENTES"/>
    <s v="NET MASSIVO"/>
    <x v="1"/>
  </r>
  <r>
    <x v="552"/>
    <s v="N190"/>
    <x v="11"/>
    <d v="2024-06-06T00:00:00"/>
    <s v="X41"/>
    <n v="41001530"/>
    <s v="DECODER 4K UHD IP S4KW3 LINUX VAS COM"/>
    <x v="0"/>
    <n v="100"/>
    <n v="1"/>
    <s v="Unidade"/>
    <s v="IMPORTADO COM SUCESSO"/>
    <s v="RESERVAS PENDENTES"/>
    <s v="NET MASSIVO"/>
    <x v="1"/>
  </r>
  <r>
    <x v="553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553"/>
    <s v="N190"/>
    <x v="10"/>
    <d v="2024-06-06T00:00:00"/>
    <s v="X43"/>
    <n v="22026219"/>
    <s v="CABO COAXIAL RG6 TRISH SEM MENSAG BRANCO"/>
    <x v="0"/>
    <n v="7500"/>
    <n v="1"/>
    <s v="Unidade"/>
    <s v="IMPORTADO COM SUCESSO"/>
    <s v="RESERVAS PENDENTES"/>
    <s v="NET MASSIVO"/>
    <x v="1"/>
  </r>
  <r>
    <x v="553"/>
    <s v="N190"/>
    <x v="10"/>
    <d v="2024-06-06T00:00:00"/>
    <s v="X43"/>
    <n v="22026223"/>
    <s v="CABO COAXIAL RG6 TRISH COM MENSAG PRETO"/>
    <x v="0"/>
    <n v="4880"/>
    <n v="1"/>
    <s v="Unidade"/>
    <s v="IMPORTADO COM SUCESSO"/>
    <s v="RESERVAS PENDENTES"/>
    <s v="NET MASSIVO"/>
    <x v="1"/>
  </r>
  <r>
    <x v="553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553"/>
    <s v="N190"/>
    <x v="10"/>
    <d v="2024-06-06T00:00:00"/>
    <s v="X43"/>
    <n v="22026795"/>
    <s v="DIV_RI 3S 1GHZ H SOLD BAL 777"/>
    <x v="0"/>
    <n v="25"/>
    <n v="1"/>
    <s v="Unidade"/>
    <s v="IMPORTADO COM SUCESSO"/>
    <s v="RESERVAS PENDENTES"/>
    <s v="NET MASSIVO"/>
    <x v="1"/>
  </r>
  <r>
    <x v="553"/>
    <s v="N190"/>
    <x v="7"/>
    <d v="2024-06-06T00:00:00"/>
    <s v="X43"/>
    <n v="22056339"/>
    <s v="MARCADOR CASA PTO NR 9"/>
    <x v="0"/>
    <n v="100"/>
    <n v="1"/>
    <s v="Unidade"/>
    <s v="IMPORTADO COM SUCESSO"/>
    <s v="RESERVAS PENDENTES"/>
    <s v="NET MASSIVO"/>
    <x v="1"/>
  </r>
  <r>
    <x v="553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553"/>
    <s v="N190"/>
    <x v="7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554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554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554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554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54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554"/>
    <s v="N190"/>
    <x v="10"/>
    <d v="2024-06-06T00:00:00"/>
    <s v="X41"/>
    <n v="41001553"/>
    <s v="TERMINAL DOCSIS 3.1 EMTA WIFI6 TC3106"/>
    <x v="0"/>
    <n v="20"/>
    <n v="1"/>
    <s v="Unidade"/>
    <s v="IMPORTADO COM SUCESSO"/>
    <s v="RESERVAS PENDENTES"/>
    <s v="NET MASSIVO"/>
    <x v="1"/>
  </r>
  <r>
    <x v="555"/>
    <s v="N190"/>
    <x v="10"/>
    <d v="2024-06-06T00:00:00"/>
    <s v="X43"/>
    <n v="22062577"/>
    <s v="FONTE ALIMENT 12V 3.5A F42L1 120350SPAE"/>
    <x v="0"/>
    <n v="240"/>
    <n v="1"/>
    <s v="Unidade"/>
    <s v="IMPORTADO COM SUCESSO"/>
    <s v="RESERVAS PENDENTES"/>
    <s v="NET MASSIVO"/>
    <x v="1"/>
  </r>
  <r>
    <x v="556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56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56"/>
    <s v="N190"/>
    <x v="7"/>
    <d v="2024-06-06T00:00:00"/>
    <s v="X41"/>
    <n v="41001485"/>
    <s v="MODEM VOIP EMTA WIFI 3.1 CH8568"/>
    <x v="0"/>
    <n v="240"/>
    <n v="1"/>
    <s v="Unidade"/>
    <s v="IMPORTADO COM SUCESSO"/>
    <s v="RESERVAS PENDENTES"/>
    <s v="NET MASSIVO"/>
    <x v="1"/>
  </r>
  <r>
    <x v="557"/>
    <s v="N190"/>
    <x v="7"/>
    <d v="2024-06-06T00:00:00"/>
    <s v="X43"/>
    <n v="22026096"/>
    <s v="CABO FORCA 250V 2.5A 2MT"/>
    <x v="0"/>
    <n v="120"/>
    <n v="1"/>
    <s v="Unidade"/>
    <s v="IMPORTADO COM SUCESSO"/>
    <s v="RESERVAS PENDENTES"/>
    <s v="NET MASSIVO"/>
    <x v="1"/>
  </r>
  <r>
    <x v="557"/>
    <s v="N190"/>
    <x v="7"/>
    <d v="2024-06-06T00:00:00"/>
    <s v="X43"/>
    <n v="22062556"/>
    <s v="FONTE ALIMEN 12V 4A ADS 48PI 12N 212048E"/>
    <x v="0"/>
    <n v="120"/>
    <n v="1"/>
    <s v="Unidade"/>
    <s v="IMPORTADO COM SUCESSO"/>
    <s v="RESERVAS PENDENTES"/>
    <s v="NET MASSIVO"/>
    <x v="1"/>
  </r>
  <r>
    <x v="558"/>
    <s v="N190"/>
    <x v="7"/>
    <d v="2024-06-06T00:00:00"/>
    <s v="X41"/>
    <n v="41001481"/>
    <s v="MODEM VOIP EMTA WIFI 3.1 HGJ310"/>
    <x v="0"/>
    <n v="120"/>
    <n v="1"/>
    <s v="Unidade"/>
    <s v="IMPORTADO COM SUCESSO"/>
    <s v="RESERVAS PENDENTES"/>
    <s v="NET MASSIVO"/>
    <x v="1"/>
  </r>
  <r>
    <x v="558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559"/>
    <s v="N190"/>
    <x v="10"/>
    <d v="2024-06-06T00:00:00"/>
    <s v="X43"/>
    <n v="22025136"/>
    <s v="BUCHA ACABAMENTO CABO RG6-59 BRANCA"/>
    <x v="0"/>
    <n v="250"/>
    <n v="1"/>
    <s v="Unidade"/>
    <s v="IMPORTADO COM SUCESSO"/>
    <s v="RESERVAS PENDENTES"/>
    <s v="NET MASSIVO"/>
    <x v="1"/>
  </r>
  <r>
    <x v="559"/>
    <s v="N190"/>
    <x v="7"/>
    <d v="2024-06-06T00:00:00"/>
    <s v="X43"/>
    <n v="22025242"/>
    <s v="ABRACADEIRA NYLON T18R 10CM PRETA"/>
    <x v="0"/>
    <n v="100"/>
    <n v="1"/>
    <s v="Unidade"/>
    <s v="IMPORTADO COM SUCESSO"/>
    <s v="RESERVAS PENDENTES"/>
    <s v="NET MASSIVO"/>
    <x v="1"/>
  </r>
  <r>
    <x v="559"/>
    <s v="N190"/>
    <x v="7"/>
    <d v="2024-06-06T00:00:00"/>
    <s v="X43"/>
    <n v="22026096"/>
    <s v="CABO FORCA 250V 2.5A 2MT"/>
    <x v="0"/>
    <n v="250"/>
    <n v="1"/>
    <s v="Unidade"/>
    <s v="IMPORTADO COM SUCESSO"/>
    <s v="RESERVAS PENDENTES"/>
    <s v="NET MASSIVO"/>
    <x v="1"/>
  </r>
  <r>
    <x v="559"/>
    <s v="N190"/>
    <x v="10"/>
    <d v="2024-06-06T00:00:00"/>
    <s v="X43"/>
    <n v="22026746"/>
    <s v="DC_RI 1S 09DB 1GHZ H SOLDADO"/>
    <x v="0"/>
    <n v="50"/>
    <n v="1"/>
    <s v="Unidade"/>
    <s v="IMPORTADO COM SUCESSO"/>
    <s v="RESERVAS PENDENTES"/>
    <s v="NET MASSIVO"/>
    <x v="1"/>
  </r>
  <r>
    <x v="559"/>
    <s v="N190"/>
    <x v="10"/>
    <d v="2024-06-06T00:00:00"/>
    <s v="X43"/>
    <n v="22056343"/>
    <s v="MARCADOR CASA PTO NR 1"/>
    <x v="0"/>
    <n v="200"/>
    <n v="1"/>
    <s v="Unidade"/>
    <s v="IMPORTADO COM SUCESSO"/>
    <s v="RESERVAS PENDENTES"/>
    <s v="NET MASSIVO"/>
    <x v="1"/>
  </r>
  <r>
    <x v="559"/>
    <s v="N190"/>
    <x v="10"/>
    <d v="2024-06-06T00:00:00"/>
    <s v="X43"/>
    <n v="22056364"/>
    <s v="MINI ISOLADOR CPE P/CM DECODER"/>
    <x v="0"/>
    <n v="150"/>
    <n v="1"/>
    <s v="Unidade"/>
    <s v="IMPORTADO COM SUCESSO"/>
    <s v="RESERVAS PENDENTES"/>
    <s v="NET MASSIVO"/>
    <x v="1"/>
  </r>
  <r>
    <x v="559"/>
    <s v="N190"/>
    <x v="10"/>
    <d v="2024-06-06T00:00:00"/>
    <s v="X43"/>
    <n v="22057635"/>
    <s v="FIXADOR FIO PT RG6"/>
    <x v="0"/>
    <n v="300"/>
    <n v="1"/>
    <s v="Unidade"/>
    <s v="IMPORTADO COM SUCESSO"/>
    <s v="RESERVAS PENDENTES"/>
    <s v="NET MASSIVO"/>
    <x v="1"/>
  </r>
  <r>
    <x v="559"/>
    <s v="N190"/>
    <x v="7"/>
    <d v="2024-06-06T00:00:00"/>
    <s v="X43"/>
    <n v="22058639"/>
    <s v="FONTE ENERGIA MSA C2500IC12.0 30W"/>
    <x v="0"/>
    <n v="110"/>
    <n v="1"/>
    <s v="Unidade"/>
    <s v="IMPORTADO COM SUCESSO"/>
    <s v="RESERVAS PENDENTES"/>
    <s v="NET MASSIVO"/>
    <x v="1"/>
  </r>
  <r>
    <x v="559"/>
    <s v="N190"/>
    <x v="7"/>
    <d v="2024-06-06T00:00:00"/>
    <s v="X43"/>
    <n v="22062556"/>
    <s v="FONTE ALIMEN 12V 4A ADS 48PI 12N 212048E"/>
    <x v="0"/>
    <n v="250"/>
    <n v="1"/>
    <s v="Unidade"/>
    <s v="IMPORTADO COM SUCESSO"/>
    <s v="RESERVAS PENDENTES"/>
    <s v="NET MASSIVO"/>
    <x v="1"/>
  </r>
  <r>
    <x v="560"/>
    <s v="N190"/>
    <x v="7"/>
    <d v="2024-06-06T00:00:00"/>
    <s v="X41"/>
    <n v="41001095"/>
    <s v="EMTA WIFI 3.0 FST3486 16X4"/>
    <x v="0"/>
    <n v="110"/>
    <n v="1"/>
    <s v="Unidade"/>
    <s v="IMPORTADO COM SUCESSO"/>
    <s v="RESERVAS PENDENTES"/>
    <s v="NET MASSIVO"/>
    <x v="1"/>
  </r>
  <r>
    <x v="560"/>
    <s v="N190"/>
    <x v="7"/>
    <d v="2024-06-06T00:00:00"/>
    <s v="X41"/>
    <n v="41001481"/>
    <s v="MODEM VOIP EMTA WIFI 3.1 HGJ310"/>
    <x v="0"/>
    <n v="250"/>
    <n v="1"/>
    <s v="Unidade"/>
    <s v="IMPORTADO COM SUCESSO"/>
    <s v="RESERVAS PENDENTES"/>
    <s v="NET MASSIVO"/>
    <x v="1"/>
  </r>
  <r>
    <x v="560"/>
    <s v="N190"/>
    <x v="10"/>
    <d v="2024-06-06T00:00:00"/>
    <s v="X41"/>
    <n v="41001535"/>
    <s v="TERMINAL GPON WIFI TCG2232"/>
    <x v="0"/>
    <n v="130"/>
    <n v="1"/>
    <s v="Unidade"/>
    <s v="IMPORTADO COM SUCESSO"/>
    <s v="RESERVAS PENDENTES"/>
    <s v="NET MASSIVO"/>
    <x v="1"/>
  </r>
  <r>
    <x v="561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561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562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62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62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563"/>
    <s v="N190"/>
    <x v="7"/>
    <d v="2024-06-06T00:00:00"/>
    <s v="X43"/>
    <n v="22026279"/>
    <s v="FONTE CX DIG HD DCR74X1 PACE"/>
    <x v="0"/>
    <n v="570"/>
    <n v="1"/>
    <s v="Unidade"/>
    <s v="IMPORTADO COM SUCESSO"/>
    <s v="RESERVAS PENDENTES"/>
    <s v="NET MASSIVO"/>
    <x v="1"/>
  </r>
  <r>
    <x v="563"/>
    <s v="N190"/>
    <x v="7"/>
    <d v="2024-06-06T00:00:00"/>
    <s v="X43"/>
    <n v="22026293"/>
    <s v="FONTE EMTA WIFI 3.0 TG1692A 16"/>
    <x v="0"/>
    <n v="60"/>
    <n v="1"/>
    <s v="Unidade"/>
    <s v="IMPORTADO COM SUCESSO"/>
    <s v="RESERVAS PENDENTES"/>
    <s v="NET MASSIVO"/>
    <x v="1"/>
  </r>
  <r>
    <x v="563"/>
    <s v="N190"/>
    <x v="10"/>
    <d v="2024-06-06T00:00:00"/>
    <s v="X43"/>
    <n v="22060422"/>
    <s v="CONTROLE REMOTO UNIFICADO RC4194202 01B"/>
    <x v="0"/>
    <n v="60"/>
    <n v="1"/>
    <s v="Unidade"/>
    <s v="IMPORTADO COM SUCESSO"/>
    <s v="RESERVAS PENDENTES"/>
    <s v="NET MASSIVO"/>
    <x v="1"/>
  </r>
  <r>
    <x v="563"/>
    <s v="N190"/>
    <x v="10"/>
    <d v="2024-06-06T00:00:00"/>
    <s v="X43"/>
    <n v="22062577"/>
    <s v="FONTE ALIMENT 12V 3.5A F42L1 120350SPAE"/>
    <x v="0"/>
    <n v="330"/>
    <n v="1"/>
    <s v="Unidade"/>
    <s v="IMPORTADO COM SUCESSO"/>
    <s v="RESERVAS PENDENTES"/>
    <s v="NET MASSIVO"/>
    <x v="1"/>
  </r>
  <r>
    <x v="564"/>
    <s v="N190"/>
    <x v="7"/>
    <d v="2024-06-06T00:00:00"/>
    <s v="X41"/>
    <n v="41001234"/>
    <s v="SMART CARD AVULSO PRETO NOVO"/>
    <x v="0"/>
    <n v="60"/>
    <n v="1"/>
    <s v="Unidade"/>
    <s v="IMPORTADO COM SUCESSO"/>
    <s v="RESERVAS PENDENTES"/>
    <s v="NET MASSIVO"/>
    <x v="1"/>
  </r>
  <r>
    <x v="564"/>
    <s v="N190"/>
    <x v="7"/>
    <d v="2024-06-06T00:00:00"/>
    <s v="X41"/>
    <n v="41001277"/>
    <s v="DECODER HD DXC5000 2T"/>
    <x v="0"/>
    <n v="60"/>
    <n v="1"/>
    <s v="Unidade"/>
    <s v="IMPORTADO COM SUCESSO"/>
    <s v="RESERVAS PENDENTES"/>
    <s v="NET MASSIVO"/>
    <x v="1"/>
  </r>
  <r>
    <x v="564"/>
    <s v="N190"/>
    <x v="7"/>
    <d v="2024-06-06T00:00:00"/>
    <s v="X41"/>
    <n v="41001293"/>
    <s v="EMTA WIFI 3.0 TG1692A 16X4"/>
    <x v="0"/>
    <n v="570"/>
    <n v="1"/>
    <s v="Unidade"/>
    <s v="IMPORTADO COM SUCESSO"/>
    <s v="RESERVAS PENDENTES"/>
    <s v="NET MASSIVO"/>
    <x v="1"/>
  </r>
  <r>
    <x v="564"/>
    <s v="N190"/>
    <x v="7"/>
    <d v="2024-06-06T00:00:00"/>
    <s v="X41"/>
    <n v="41001485"/>
    <s v="MODEM VOIP EMTA WIFI 3.1 CH8568"/>
    <x v="0"/>
    <n v="330"/>
    <n v="1"/>
    <s v="Unidade"/>
    <s v="IMPORTADO COM SUCESSO"/>
    <s v="RESERVAS PENDENTES"/>
    <s v="NET MASSIVO"/>
    <x v="1"/>
  </r>
  <r>
    <x v="564"/>
    <s v="N190"/>
    <x v="10"/>
    <d v="2024-06-06T00:00:00"/>
    <s v="X41"/>
    <n v="41001573"/>
    <s v="DECODER CARDLESS 4K UHD S4KCW4S CABO IP"/>
    <x v="0"/>
    <n v="30"/>
    <n v="1"/>
    <s v="Unidade"/>
    <s v="IMPORTADO COM SUCESSO"/>
    <s v="RESERVAS PENDENTES"/>
    <s v="NET MASSIVO"/>
    <x v="1"/>
  </r>
  <r>
    <x v="565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65"/>
    <s v="N190"/>
    <x v="10"/>
    <d v="2024-06-06T00:00:00"/>
    <s v="X41"/>
    <n v="41001536"/>
    <s v="ROTEADOR ZTE WIFI5 ZXHN H196A MESH BCO"/>
    <x v="0"/>
    <n v="70"/>
    <n v="1"/>
    <s v="Unidade"/>
    <s v="IMPORTADO COM SUCESSO"/>
    <s v="RESERVAS PENDENTES"/>
    <s v="NET MASSIVO"/>
    <x v="1"/>
  </r>
  <r>
    <x v="565"/>
    <s v="N190"/>
    <x v="10"/>
    <d v="2024-06-06T00:00:00"/>
    <s v="X41"/>
    <n v="41001590"/>
    <s v="TERMINAL GPON ONT WIFI6 F6600P"/>
    <x v="0"/>
    <n v="40"/>
    <n v="1"/>
    <s v="Unidade"/>
    <s v="IMPORTADO COM SUCESSO"/>
    <s v="RESERVAS PENDENTES"/>
    <s v="NET MASSIVO"/>
    <x v="1"/>
  </r>
  <r>
    <x v="566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67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567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567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567"/>
    <s v="N190"/>
    <x v="10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568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568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568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568"/>
    <s v="N190"/>
    <x v="11"/>
    <d v="2024-06-06T00:00:00"/>
    <s v="X41"/>
    <n v="41001530"/>
    <s v="DECODER 4K UHD IP S4KW3 LINUX VAS COM"/>
    <x v="0"/>
    <n v="20"/>
    <n v="1"/>
    <s v="Unidade"/>
    <s v="IMPORTADO COM SUCESSO"/>
    <s v="RESERVAS PENDENTES"/>
    <s v="NET MASSIVO"/>
    <x v="1"/>
  </r>
  <r>
    <x v="568"/>
    <s v="N190"/>
    <x v="10"/>
    <d v="2024-06-06T00:00:00"/>
    <s v="X41"/>
    <n v="41001535"/>
    <s v="TERMINAL GPON WIFI TCG2232"/>
    <x v="0"/>
    <n v="50"/>
    <n v="1"/>
    <s v="Unidade"/>
    <s v="IMPORTADO COM SUCESSO"/>
    <s v="RESERVAS PENDENTES"/>
    <s v="NET MASSIVO"/>
    <x v="1"/>
  </r>
  <r>
    <x v="569"/>
    <s v="N190"/>
    <x v="7"/>
    <d v="2024-06-06T00:00:00"/>
    <s v="X43"/>
    <n v="22026096"/>
    <s v="CABO FORCA 250V 2.5A 2MT"/>
    <x v="0"/>
    <n v="140"/>
    <n v="1"/>
    <s v="Unidade"/>
    <s v="IMPORTADO COM SUCESSO"/>
    <s v="RESERVAS PENDENTES"/>
    <s v="NET MASSIVO"/>
    <x v="1"/>
  </r>
  <r>
    <x v="569"/>
    <s v="N190"/>
    <x v="7"/>
    <d v="2024-06-06T00:00:00"/>
    <s v="X43"/>
    <n v="22026293"/>
    <s v="FONTE EMTA WIFI 3.0 TG1692A 16"/>
    <x v="0"/>
    <n v="140"/>
    <n v="1"/>
    <s v="Unidade"/>
    <s v="IMPORTADO COM SUCESSO"/>
    <s v="RESERVAS PENDENTES"/>
    <s v="NET MASSIVO"/>
    <x v="1"/>
  </r>
  <r>
    <x v="569"/>
    <s v="N190"/>
    <x v="7"/>
    <d v="2024-06-06T00:00:00"/>
    <s v="X43"/>
    <n v="22058639"/>
    <s v="FONTE ENERGIA MSA C2500IC12.0 30W"/>
    <x v="0"/>
    <n v="70"/>
    <n v="1"/>
    <s v="Unidade"/>
    <s v="IMPORTADO COM SUCESSO"/>
    <s v="RESERVAS PENDENTES"/>
    <s v="NET MASSIVO"/>
    <x v="1"/>
  </r>
  <r>
    <x v="569"/>
    <s v="N190"/>
    <x v="10"/>
    <d v="2024-06-06T00:00:00"/>
    <s v="X43"/>
    <n v="22060422"/>
    <s v="CONTROLE REMOTO UNIFICADO RC4194202 01B"/>
    <x v="0"/>
    <n v="140"/>
    <n v="1"/>
    <s v="Unidade"/>
    <s v="IMPORTADO COM SUCESSO"/>
    <s v="RESERVAS PENDENTES"/>
    <s v="NET MASSIVO"/>
    <x v="1"/>
  </r>
  <r>
    <x v="569"/>
    <s v="N190"/>
    <x v="10"/>
    <d v="2024-06-06T00:00:00"/>
    <s v="X43"/>
    <n v="22062556"/>
    <s v="FONTE ALIMEN 12V 4A ADS 48PI 12N 212048E"/>
    <x v="0"/>
    <n v="140"/>
    <n v="1"/>
    <s v="Unidade"/>
    <s v="IMPORTADO COM SUCESSO"/>
    <s v="RESERVAS PENDENTES"/>
    <s v="NET MASSIVO"/>
    <x v="1"/>
  </r>
  <r>
    <x v="570"/>
    <s v="N190"/>
    <x v="7"/>
    <d v="2024-06-06T00:00:00"/>
    <s v="X41"/>
    <n v="41001095"/>
    <s v="EMTA WIFI 3.0 FST3486 16X4"/>
    <x v="0"/>
    <n v="70"/>
    <n v="1"/>
    <s v="Unidade"/>
    <s v="IMPORTADO COM SUCESSO"/>
    <s v="RESERVAS PENDENTES"/>
    <s v="NET MASSIVO"/>
    <x v="1"/>
  </r>
  <r>
    <x v="570"/>
    <s v="N190"/>
    <x v="7"/>
    <d v="2024-06-06T00:00:00"/>
    <s v="X41"/>
    <n v="41001234"/>
    <s v="SMART CARD AVULSO PRETO NOVO"/>
    <x v="0"/>
    <n v="140"/>
    <n v="1"/>
    <s v="Unidade"/>
    <s v="IMPORTADO COM SUCESSO"/>
    <s v="RESERVAS PENDENTES"/>
    <s v="NET MASSIVO"/>
    <x v="1"/>
  </r>
  <r>
    <x v="570"/>
    <s v="N190"/>
    <x v="7"/>
    <d v="2024-06-06T00:00:00"/>
    <s v="X41"/>
    <n v="41001277"/>
    <s v="DECODER HD DXC5000 2T"/>
    <x v="0"/>
    <n v="140"/>
    <n v="1"/>
    <s v="Unidade"/>
    <s v="IMPORTADO COM SUCESSO"/>
    <s v="RESERVAS PENDENTES"/>
    <s v="NET MASSIVO"/>
    <x v="1"/>
  </r>
  <r>
    <x v="570"/>
    <s v="N190"/>
    <x v="7"/>
    <d v="2024-06-06T00:00:00"/>
    <s v="X41"/>
    <n v="41001481"/>
    <s v="MODEM VOIP EMTA WIFI 3.1 HGJ310"/>
    <x v="0"/>
    <n v="140"/>
    <n v="1"/>
    <s v="Unidade"/>
    <s v="IMPORTADO COM SUCESSO"/>
    <s v="RESERVAS PENDENTES"/>
    <s v="NET MASSIVO"/>
    <x v="1"/>
  </r>
  <r>
    <x v="570"/>
    <s v="N190"/>
    <x v="10"/>
    <d v="2024-06-06T00:00:00"/>
    <s v="X41"/>
    <n v="41001573"/>
    <s v="DECODER CARDLESS 4K UHD S4KCW4S CABO IP"/>
    <x v="0"/>
    <n v="30"/>
    <n v="1"/>
    <s v="Unidade"/>
    <s v="IMPORTADO COM SUCESSO"/>
    <s v="RESERVAS PENDENTES"/>
    <s v="NET MASSIVO"/>
    <x v="1"/>
  </r>
  <r>
    <x v="571"/>
    <s v="N190"/>
    <x v="10"/>
    <d v="2024-06-06T00:00:00"/>
    <s v="X43"/>
    <n v="22062577"/>
    <s v="FONTE ALIMENT 12V 3.5A F42L1 120350SPAE"/>
    <x v="0"/>
    <n v="200"/>
    <n v="1"/>
    <s v="Unidade"/>
    <s v="IMPORTADO COM SUCESSO"/>
    <s v="RESERVAS PENDENTES"/>
    <s v="NET MASSIVO"/>
    <x v="1"/>
  </r>
  <r>
    <x v="572"/>
    <s v="N190"/>
    <x v="7"/>
    <d v="2024-06-06T00:00:00"/>
    <s v="X41"/>
    <n v="41001485"/>
    <s v="MODEM VOIP EMTA WIFI 3.1 CH8568"/>
    <x v="0"/>
    <n v="200"/>
    <n v="1"/>
    <s v="Unidade"/>
    <s v="IMPORTADO COM SUCESSO"/>
    <s v="RESERVAS PENDENTES"/>
    <s v="NET MASSIVO"/>
    <x v="1"/>
  </r>
  <r>
    <x v="573"/>
    <s v="N190"/>
    <x v="7"/>
    <d v="2024-06-06T00:00:00"/>
    <s v="X43"/>
    <n v="22026096"/>
    <s v="CABO FORCA 250V 2.5A 2MT"/>
    <x v="0"/>
    <n v="60"/>
    <n v="1"/>
    <s v="Unidade"/>
    <s v="IMPORTADO COM SUCESSO"/>
    <s v="RESERVAS PENDENTES"/>
    <s v="NET MASSIVO"/>
    <x v="1"/>
  </r>
  <r>
    <x v="573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573"/>
    <s v="N190"/>
    <x v="7"/>
    <d v="2024-06-06T00:00:00"/>
    <s v="X43"/>
    <n v="22026293"/>
    <s v="FONTE EMTA WIFI 3.0 TG1692A 16"/>
    <x v="0"/>
    <n v="130"/>
    <n v="1"/>
    <s v="Unidade"/>
    <s v="IMPORTADO COM SUCESSO"/>
    <s v="RESERVAS PENDENTES"/>
    <s v="NET MASSIVO"/>
    <x v="1"/>
  </r>
  <r>
    <x v="573"/>
    <s v="N190"/>
    <x v="7"/>
    <d v="2024-06-06T00:00:00"/>
    <s v="X43"/>
    <n v="22058639"/>
    <s v="FONTE ENERGIA MSA C2500IC12.0 30W"/>
    <x v="0"/>
    <n v="20"/>
    <n v="1"/>
    <s v="Unidade"/>
    <s v="IMPORTADO COM SUCESSO"/>
    <s v="RESERVAS PENDENTES"/>
    <s v="NET MASSIVO"/>
    <x v="1"/>
  </r>
  <r>
    <x v="573"/>
    <s v="N190"/>
    <x v="7"/>
    <d v="2024-06-06T00:00:00"/>
    <s v="X43"/>
    <n v="22060287"/>
    <s v="FONTE DE ALIMENTACAO 12V HGJ310 ADS 48"/>
    <x v="0"/>
    <n v="60"/>
    <n v="1"/>
    <s v="Unidade"/>
    <s v="IMPORTADO COM SUCESSO"/>
    <s v="RESERVAS PENDENTES"/>
    <s v="NET MASSIVO"/>
    <x v="1"/>
  </r>
  <r>
    <x v="573"/>
    <s v="N190"/>
    <x v="10"/>
    <d v="2024-06-06T00:00:00"/>
    <s v="X43"/>
    <n v="22060422"/>
    <s v="CONTROLE REMOTO UNIFICADO RC4194202 01B"/>
    <x v="0"/>
    <n v="130"/>
    <n v="1"/>
    <s v="Unidade"/>
    <s v="IMPORTADO COM SUCESSO"/>
    <s v="RESERVAS PENDENTES"/>
    <s v="NET MASSIVO"/>
    <x v="1"/>
  </r>
  <r>
    <x v="573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574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574"/>
    <s v="N190"/>
    <x v="7"/>
    <d v="2024-06-06T00:00:00"/>
    <s v="X41"/>
    <n v="41001234"/>
    <s v="SMART CARD AVULSO PRETO NOVO"/>
    <x v="0"/>
    <n v="130"/>
    <n v="1"/>
    <s v="Unidade"/>
    <s v="IMPORTADO COM SUCESSO"/>
    <s v="RESERVAS PENDENTES"/>
    <s v="NET MASSIVO"/>
    <x v="1"/>
  </r>
  <r>
    <x v="574"/>
    <s v="N190"/>
    <x v="7"/>
    <d v="2024-06-06T00:00:00"/>
    <s v="X41"/>
    <n v="41001277"/>
    <s v="DECODER HD DXC5000 2T"/>
    <x v="0"/>
    <n v="130"/>
    <n v="1"/>
    <s v="Unidade"/>
    <s v="IMPORTADO COM SUCESSO"/>
    <s v="RESERVAS PENDENTES"/>
    <s v="NET MASSIVO"/>
    <x v="1"/>
  </r>
  <r>
    <x v="574"/>
    <s v="N190"/>
    <x v="7"/>
    <d v="2024-06-06T00:00:00"/>
    <s v="X41"/>
    <n v="41001481"/>
    <s v="MODEM VOIP EMTA WIFI 3.1 HGJ310"/>
    <x v="0"/>
    <n v="60"/>
    <n v="1"/>
    <s v="Unidade"/>
    <s v="IMPORTADO COM SUCESSO"/>
    <s v="RESERVAS PENDENTES"/>
    <s v="NET MASSIVO"/>
    <x v="1"/>
  </r>
  <r>
    <x v="574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574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575"/>
    <s v="N190"/>
    <x v="7"/>
    <d v="2024-06-06T00:00:00"/>
    <s v="X43"/>
    <n v="22026096"/>
    <s v="CABO FORCA 250V 2.5A 2MT"/>
    <x v="0"/>
    <n v="160"/>
    <n v="1"/>
    <s v="Unidade"/>
    <s v="IMPORTADO COM SUCESSO"/>
    <s v="RESERVAS PENDENTES"/>
    <s v="NET MASSIVO"/>
    <x v="1"/>
  </r>
  <r>
    <x v="575"/>
    <s v="N190"/>
    <x v="7"/>
    <d v="2024-06-06T00:00:00"/>
    <s v="X43"/>
    <n v="22058639"/>
    <s v="FONTE ENERGIA MSA C2500IC12.0 30W"/>
    <x v="0"/>
    <n v="100"/>
    <n v="1"/>
    <s v="Unidade"/>
    <s v="IMPORTADO COM SUCESSO"/>
    <s v="RESERVAS PENDENTES"/>
    <s v="NET MASSIVO"/>
    <x v="1"/>
  </r>
  <r>
    <x v="575"/>
    <s v="N190"/>
    <x v="10"/>
    <d v="2024-06-06T00:00:00"/>
    <s v="X43"/>
    <n v="22062556"/>
    <s v="FONTE ALIMEN 12V 4A ADS 48PI 12N 212048E"/>
    <x v="0"/>
    <n v="160"/>
    <n v="1"/>
    <s v="Unidade"/>
    <s v="IMPORTADO COM SUCESSO"/>
    <s v="RESERVAS PENDENTES"/>
    <s v="NET MASSIVO"/>
    <x v="1"/>
  </r>
  <r>
    <x v="576"/>
    <s v="N190"/>
    <x v="7"/>
    <d v="2024-06-06T00:00:00"/>
    <s v="X41"/>
    <n v="41001095"/>
    <s v="EMTA WIFI 3.0 FST3486 16X4"/>
    <x v="0"/>
    <n v="100"/>
    <n v="1"/>
    <s v="Unidade"/>
    <s v="IMPORTADO COM SUCESSO"/>
    <s v="RESERVAS PENDENTES"/>
    <s v="NET MASSIVO"/>
    <x v="1"/>
  </r>
  <r>
    <x v="576"/>
    <s v="N190"/>
    <x v="7"/>
    <d v="2024-06-06T00:00:00"/>
    <s v="X41"/>
    <n v="41001481"/>
    <s v="MODEM VOIP EMTA WIFI 3.1 HGJ310"/>
    <x v="0"/>
    <n v="160"/>
    <n v="1"/>
    <s v="Unidade"/>
    <s v="IMPORTADO COM SUCESSO"/>
    <s v="RESERVAS PENDENTES"/>
    <s v="NET MASSIVO"/>
    <x v="1"/>
  </r>
  <r>
    <x v="576"/>
    <s v="N190"/>
    <x v="10"/>
    <d v="2024-06-06T00:00:00"/>
    <s v="X41"/>
    <n v="41001535"/>
    <s v="TERMINAL GPON WIFI TCG2232"/>
    <x v="0"/>
    <n v="110"/>
    <n v="1"/>
    <s v="Unidade"/>
    <s v="IMPORTADO COM SUCESSO"/>
    <s v="RESERVAS PENDENTES"/>
    <s v="NET MASSIVO"/>
    <x v="1"/>
  </r>
  <r>
    <x v="577"/>
    <s v="N190"/>
    <x v="7"/>
    <d v="2024-06-06T00:00:00"/>
    <s v="X43"/>
    <n v="22026279"/>
    <s v="FONTE CX DIG HD DCR74X1 PACE"/>
    <x v="0"/>
    <n v="100"/>
    <n v="1"/>
    <s v="Unidade"/>
    <s v="IMPORTADO COM SUCESSO"/>
    <s v="RESERVAS PENDENTES"/>
    <s v="NET MASSIVO"/>
    <x v="1"/>
  </r>
  <r>
    <x v="577"/>
    <s v="N190"/>
    <x v="7"/>
    <d v="2024-06-06T00:00:00"/>
    <s v="X43"/>
    <n v="22026293"/>
    <s v="FONTE EMTA WIFI 3.0 TG1692A 16"/>
    <x v="0"/>
    <n v="230"/>
    <n v="1"/>
    <s v="Unidade"/>
    <s v="IMPORTADO COM SUCESSO"/>
    <s v="RESERVAS PENDENTES"/>
    <s v="NET MASSIVO"/>
    <x v="1"/>
  </r>
  <r>
    <x v="577"/>
    <s v="N190"/>
    <x v="10"/>
    <d v="2024-06-06T00:00:00"/>
    <s v="X43"/>
    <n v="22060422"/>
    <s v="CONTROLE REMOTO UNIFICADO RC4194202 01B"/>
    <x v="0"/>
    <n v="230"/>
    <n v="1"/>
    <s v="Unidade"/>
    <s v="IMPORTADO COM SUCESSO"/>
    <s v="RESERVAS PENDENTES"/>
    <s v="NET MASSIVO"/>
    <x v="1"/>
  </r>
  <r>
    <x v="577"/>
    <s v="N190"/>
    <x v="10"/>
    <d v="2024-06-06T00:00:00"/>
    <s v="X43"/>
    <n v="22062577"/>
    <s v="FONTE ALIMENT 12V 3.5A F42L1 120350SPAE"/>
    <x v="0"/>
    <n v="590"/>
    <n v="1"/>
    <s v="Unidade"/>
    <s v="IMPORTADO COM SUCESSO"/>
    <s v="RESERVAS PENDENTES"/>
    <s v="NET MASSIVO"/>
    <x v="1"/>
  </r>
  <r>
    <x v="578"/>
    <s v="N190"/>
    <x v="7"/>
    <d v="2024-06-06T00:00:00"/>
    <s v="X41"/>
    <n v="41001234"/>
    <s v="SMART CARD AVULSO PRETO NOVO"/>
    <x v="0"/>
    <n v="230"/>
    <n v="1"/>
    <s v="Unidade"/>
    <s v="IMPORTADO COM SUCESSO"/>
    <s v="RESERVAS PENDENTES"/>
    <s v="NET MASSIVO"/>
    <x v="1"/>
  </r>
  <r>
    <x v="578"/>
    <s v="N190"/>
    <x v="7"/>
    <d v="2024-06-06T00:00:00"/>
    <s v="X41"/>
    <n v="41001277"/>
    <s v="DECODER HD DXC5000 2T"/>
    <x v="0"/>
    <n v="230"/>
    <n v="1"/>
    <s v="Unidade"/>
    <s v="IMPORTADO COM SUCESSO"/>
    <s v="RESERVAS PENDENTES"/>
    <s v="NET MASSIVO"/>
    <x v="1"/>
  </r>
  <r>
    <x v="578"/>
    <s v="N190"/>
    <x v="7"/>
    <d v="2024-06-06T00:00:00"/>
    <s v="X41"/>
    <n v="41001293"/>
    <s v="EMTA WIFI 3.0 TG1692A 16X4"/>
    <x v="0"/>
    <n v="100"/>
    <n v="1"/>
    <s v="Unidade"/>
    <s v="IMPORTADO COM SUCESSO"/>
    <s v="RESERVAS PENDENTES"/>
    <s v="NET MASSIVO"/>
    <x v="1"/>
  </r>
  <r>
    <x v="578"/>
    <s v="N190"/>
    <x v="7"/>
    <d v="2024-06-06T00:00:00"/>
    <s v="X41"/>
    <n v="41001485"/>
    <s v="MODEM VOIP EMTA WIFI 3.1 CH8568"/>
    <x v="0"/>
    <n v="590"/>
    <n v="1"/>
    <s v="Unidade"/>
    <s v="IMPORTADO COM SUCESSO"/>
    <s v="RESERVAS PENDENTES"/>
    <s v="NET MASSIVO"/>
    <x v="1"/>
  </r>
  <r>
    <x v="578"/>
    <s v="N190"/>
    <x v="11"/>
    <d v="2024-06-06T00:00:00"/>
    <s v="X41"/>
    <n v="41001530"/>
    <s v="DECODER 4K UHD IP S4KW3 LINUX VAS COM"/>
    <x v="0"/>
    <n v="50"/>
    <n v="1"/>
    <s v="Unidade"/>
    <s v="IMPORTADO COM SUCESSO"/>
    <s v="RESERVAS PENDENTES"/>
    <s v="NET MASSIVO"/>
    <x v="1"/>
  </r>
  <r>
    <x v="578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579"/>
    <s v="N190"/>
    <x v="7"/>
    <d v="2024-06-06T00:00:00"/>
    <s v="X43"/>
    <n v="22026293"/>
    <s v="FONTE EMTA WIFI 3.0 TG1692A 16"/>
    <x v="0"/>
    <n v="220"/>
    <n v="1"/>
    <s v="Unidade"/>
    <s v="IMPORTADO COM SUCESSO"/>
    <s v="RESERVAS PENDENTES"/>
    <s v="NET MASSIVO"/>
    <x v="1"/>
  </r>
  <r>
    <x v="579"/>
    <s v="N190"/>
    <x v="7"/>
    <d v="2024-06-06T00:00:00"/>
    <s v="X43"/>
    <n v="22058639"/>
    <s v="FONTE ENERGIA MSA C2500IC12.0 30W"/>
    <x v="0"/>
    <n v="50"/>
    <n v="1"/>
    <s v="Unidade"/>
    <s v="IMPORTADO COM SUCESSO"/>
    <s v="RESERVAS PENDENTES"/>
    <s v="NET MASSIVO"/>
    <x v="1"/>
  </r>
  <r>
    <x v="579"/>
    <s v="N190"/>
    <x v="10"/>
    <d v="2024-06-06T00:00:00"/>
    <s v="X43"/>
    <n v="22060422"/>
    <s v="CONTROLE REMOTO UNIFICADO RC4194202 01B"/>
    <x v="0"/>
    <n v="220"/>
    <n v="1"/>
    <s v="Unidade"/>
    <s v="IMPORTADO COM SUCESSO"/>
    <s v="RESERVAS PENDENTES"/>
    <s v="NET MASSIVO"/>
    <x v="1"/>
  </r>
  <r>
    <x v="580"/>
    <s v="N190"/>
    <x v="7"/>
    <d v="2024-06-06T00:00:00"/>
    <s v="X41"/>
    <n v="41001095"/>
    <s v="EMTA WIFI 3.0 FST3486 16X4"/>
    <x v="0"/>
    <n v="50"/>
    <n v="1"/>
    <s v="Unidade"/>
    <s v="IMPORTADO COM SUCESSO"/>
    <s v="RESERVAS PENDENTES"/>
    <s v="NET MASSIVO"/>
    <x v="1"/>
  </r>
  <r>
    <x v="580"/>
    <s v="N190"/>
    <x v="7"/>
    <d v="2024-06-06T00:00:00"/>
    <s v="X41"/>
    <n v="41001234"/>
    <s v="SMART CARD AVULSO PRETO NOVO"/>
    <x v="0"/>
    <n v="220"/>
    <n v="1"/>
    <s v="Unidade"/>
    <s v="IMPORTADO COM SUCESSO"/>
    <s v="RESERVAS PENDENTES"/>
    <s v="NET MASSIVO"/>
    <x v="1"/>
  </r>
  <r>
    <x v="580"/>
    <s v="N190"/>
    <x v="7"/>
    <d v="2024-06-06T00:00:00"/>
    <s v="X41"/>
    <n v="41001277"/>
    <s v="DECODER HD DXC5000 2T"/>
    <x v="0"/>
    <n v="220"/>
    <n v="1"/>
    <s v="Unidade"/>
    <s v="IMPORTADO COM SUCESSO"/>
    <s v="RESERVAS PENDENTES"/>
    <s v="NET MASSIVO"/>
    <x v="1"/>
  </r>
  <r>
    <x v="581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581"/>
    <s v="N190"/>
    <x v="10"/>
    <d v="2024-06-06T00:00:00"/>
    <s v="X43"/>
    <n v="22065722"/>
    <s v="MARCADOR CASA PRETO NR 4"/>
    <x v="0"/>
    <n v="100"/>
    <n v="1"/>
    <s v="Unidade"/>
    <s v="IMPORTADO COM SUCESSO"/>
    <s v="RESERVAS PENDENTES"/>
    <s v="NET MASSIVO"/>
    <x v="1"/>
  </r>
  <r>
    <x v="582"/>
    <s v="N190"/>
    <x v="7"/>
    <d v="2024-06-06T00:00:00"/>
    <s v="X41"/>
    <n v="41001095"/>
    <s v="EMTA WIFI 3.0 FST3486 16X4"/>
    <x v="0"/>
    <n v="40"/>
    <n v="1"/>
    <s v="Unidade"/>
    <s v="IMPORTADO COM SUCESSO"/>
    <s v="RESERVAS PENDENTES"/>
    <s v="NET MASSIVO"/>
    <x v="1"/>
  </r>
  <r>
    <x v="583"/>
    <s v="N190"/>
    <x v="7"/>
    <d v="2024-06-06T00:00:00"/>
    <s v="X43"/>
    <n v="22026103"/>
    <s v="CABO HDMI 2MTS BASICO SEM ETHE"/>
    <x v="0"/>
    <n v="40"/>
    <n v="1"/>
    <s v="Unidade"/>
    <s v="IMPORTADO COM SUCESSO"/>
    <s v="RESERVAS PENDENTES"/>
    <s v="NET MASSIVO"/>
    <x v="1"/>
  </r>
  <r>
    <x v="583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583"/>
    <s v="N190"/>
    <x v="10"/>
    <d v="2024-06-06T00:00:00"/>
    <s v="X43"/>
    <n v="22063252"/>
    <s v="CONTROLE REMOTO VOZ C GBX RC3394201"/>
    <x v="0"/>
    <n v="40"/>
    <n v="1"/>
    <s v="Unidade"/>
    <s v="IMPORTADO COM SUCESSO"/>
    <s v="RESERVAS PENDENTES"/>
    <s v="NET MASSIVO"/>
    <x v="1"/>
  </r>
  <r>
    <x v="584"/>
    <s v="N190"/>
    <x v="7"/>
    <d v="2024-06-06T00:00:00"/>
    <s v="X41"/>
    <n v="41000805"/>
    <s v="SMART CARD AVULSO SIM CARD"/>
    <x v="0"/>
    <n v="40"/>
    <n v="1"/>
    <s v="Unidade"/>
    <s v="IMPORTADO COM SUCESSO"/>
    <s v="RESERVAS PENDENTES"/>
    <s v="NET MASSIVO"/>
    <x v="1"/>
  </r>
  <r>
    <x v="584"/>
    <s v="N190"/>
    <x v="7"/>
    <d v="2024-06-06T00:00:00"/>
    <s v="X41"/>
    <n v="41001484"/>
    <s v="DECODER 4K ULTRA HD DGCI363 COM IG"/>
    <x v="0"/>
    <n v="40"/>
    <n v="1"/>
    <s v="Unidade"/>
    <s v="IMPORTADO COM SUCESSO"/>
    <s v="RESERVAS PENDENTES"/>
    <s v="NET MASSIVO"/>
    <x v="1"/>
  </r>
  <r>
    <x v="584"/>
    <s v="N190"/>
    <x v="10"/>
    <d v="2024-06-06T00:00:00"/>
    <s v="X41"/>
    <n v="41001535"/>
    <s v="TERMINAL GPON WIFI TCG2232"/>
    <x v="0"/>
    <n v="50"/>
    <n v="1"/>
    <s v="Unidade"/>
    <s v="IMPORTADO COM SUCESSO"/>
    <s v="RESERVAS PENDENTES"/>
    <s v="NET MASSIVO"/>
    <x v="1"/>
  </r>
  <r>
    <x v="585"/>
    <s v="N190"/>
    <x v="7"/>
    <d v="2024-06-06T00:00:00"/>
    <s v="X43"/>
    <n v="22026293"/>
    <s v="FONTE EMTA WIFI 3.0 TG1692A 16"/>
    <x v="0"/>
    <n v="40"/>
    <n v="1"/>
    <s v="Unidade"/>
    <s v="IMPORTADO COM SUCESSO"/>
    <s v="RESERVAS PENDENTES"/>
    <s v="NET MASSIVO"/>
    <x v="1"/>
  </r>
  <r>
    <x v="585"/>
    <s v="N190"/>
    <x v="10"/>
    <d v="2024-06-06T00:00:00"/>
    <s v="X43"/>
    <n v="22060422"/>
    <s v="CONTROLE REMOTO UNIFICADO RC4194202 01B"/>
    <x v="0"/>
    <n v="40"/>
    <n v="1"/>
    <s v="Unidade"/>
    <s v="IMPORTADO COM SUCESSO"/>
    <s v="RESERVAS PENDENTES"/>
    <s v="NET MASSIVO"/>
    <x v="1"/>
  </r>
  <r>
    <x v="586"/>
    <s v="N190"/>
    <x v="7"/>
    <d v="2024-06-06T00:00:00"/>
    <s v="X41"/>
    <n v="41001234"/>
    <s v="SMART CARD AVULSO PRETO NOVO"/>
    <x v="0"/>
    <n v="40"/>
    <n v="1"/>
    <s v="Unidade"/>
    <s v="IMPORTADO COM SUCESSO"/>
    <s v="RESERVAS PENDENTES"/>
    <s v="NET MASSIVO"/>
    <x v="1"/>
  </r>
  <r>
    <x v="586"/>
    <s v="N190"/>
    <x v="7"/>
    <d v="2024-06-06T00:00:00"/>
    <s v="X41"/>
    <n v="41001277"/>
    <s v="DECODER HD DXC5000 2T"/>
    <x v="0"/>
    <n v="40"/>
    <n v="1"/>
    <s v="Unidade"/>
    <s v="IMPORTADO COM SUCESSO"/>
    <s v="RESERVAS PENDENTES"/>
    <s v="NET MASSIVO"/>
    <x v="1"/>
  </r>
  <r>
    <x v="587"/>
    <s v="N190"/>
    <x v="7"/>
    <d v="2024-06-06T00:00:00"/>
    <s v="X43"/>
    <n v="22026096"/>
    <s v="CABO FORCA 250V 2.5A 2MT"/>
    <x v="0"/>
    <n v="50"/>
    <n v="1"/>
    <s v="Unidade"/>
    <s v="IMPORTADO COM SUCESSO"/>
    <s v="RESERVAS PENDENTES"/>
    <s v="NET MASSIVO"/>
    <x v="1"/>
  </r>
  <r>
    <x v="587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587"/>
    <s v="N190"/>
    <x v="10"/>
    <d v="2024-06-06T00:00:00"/>
    <s v="X43"/>
    <n v="22062556"/>
    <s v="FONTE ALIMEN 12V 4A ADS 48PI 12N 212048E"/>
    <x v="0"/>
    <n v="50"/>
    <n v="1"/>
    <s v="Unidade"/>
    <s v="IMPORTADO COM SUCESSO"/>
    <s v="RESERVAS PENDENTES"/>
    <s v="NET MASSIVO"/>
    <x v="1"/>
  </r>
  <r>
    <x v="588"/>
    <s v="N190"/>
    <x v="7"/>
    <d v="2024-06-06T00:00:00"/>
    <s v="X41"/>
    <n v="41001095"/>
    <s v="EMTA WIFI 3.0 FST3486 16X4"/>
    <x v="0"/>
    <n v="40"/>
    <n v="1"/>
    <s v="Unidade"/>
    <s v="IMPORTADO COM SUCESSO"/>
    <s v="RESERVAS PENDENTES"/>
    <s v="NET MASSIVO"/>
    <x v="1"/>
  </r>
  <r>
    <x v="588"/>
    <s v="N190"/>
    <x v="7"/>
    <d v="2024-06-06T00:00:00"/>
    <s v="X41"/>
    <n v="41001481"/>
    <s v="MODEM VOIP EMTA WIFI 3.1 HGJ310"/>
    <x v="0"/>
    <n v="50"/>
    <n v="1"/>
    <s v="Unidade"/>
    <s v="IMPORTADO COM SUCESSO"/>
    <s v="RESERVAS PENDENTES"/>
    <s v="NET MASSIVO"/>
    <x v="1"/>
  </r>
  <r>
    <x v="588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589"/>
    <s v="N190"/>
    <x v="7"/>
    <d v="2024-06-06T00:00:00"/>
    <s v="X43"/>
    <n v="22026103"/>
    <s v="CABO HDMI 2MTS BASICO SEM ETHE"/>
    <x v="0"/>
    <n v="60"/>
    <n v="1"/>
    <s v="Unidade"/>
    <s v="IMPORTADO COM SUCESSO"/>
    <s v="RESERVAS PENDENTES"/>
    <s v="NET MASSIVO"/>
    <x v="1"/>
  </r>
  <r>
    <x v="589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589"/>
    <s v="N190"/>
    <x v="10"/>
    <d v="2024-06-06T00:00:00"/>
    <s v="X43"/>
    <n v="22063252"/>
    <s v="CONTROLE REMOTO VOZ C GBX RC3394201"/>
    <x v="0"/>
    <n v="60"/>
    <n v="1"/>
    <s v="Unidade"/>
    <s v="IMPORTADO COM SUCESSO"/>
    <s v="RESERVAS PENDENTES"/>
    <s v="NET MASSIVO"/>
    <x v="1"/>
  </r>
  <r>
    <x v="590"/>
    <s v="N190"/>
    <x v="7"/>
    <d v="2024-06-06T00:00:00"/>
    <s v="X41"/>
    <n v="41000805"/>
    <s v="SMART CARD AVULSO SIM CARD"/>
    <x v="0"/>
    <n v="60"/>
    <n v="1"/>
    <s v="Unidade"/>
    <s v="IMPORTADO COM SUCESSO"/>
    <s v="RESERVAS PENDENTES"/>
    <s v="NET MASSIVO"/>
    <x v="1"/>
  </r>
  <r>
    <x v="590"/>
    <s v="N190"/>
    <x v="7"/>
    <d v="2024-06-06T00:00:00"/>
    <s v="X41"/>
    <n v="41001484"/>
    <s v="DECODER 4K ULTRA HD DGCI363 COM IG"/>
    <x v="0"/>
    <n v="60"/>
    <n v="1"/>
    <s v="Unidade"/>
    <s v="IMPORTADO COM SUCESSO"/>
    <s v="RESERVAS PENDENTES"/>
    <s v="NET MASSIVO"/>
    <x v="1"/>
  </r>
  <r>
    <x v="590"/>
    <s v="N190"/>
    <x v="10"/>
    <d v="2024-06-06T00:00:00"/>
    <s v="X41"/>
    <n v="41001590"/>
    <s v="TERMINAL GPON ONT WIFI6 F6600P"/>
    <x v="0"/>
    <n v="20"/>
    <n v="1"/>
    <s v="Unidade"/>
    <s v="IMPORTADO COM SUCESSO"/>
    <s v="RESERVAS PENDENTES"/>
    <s v="NET MASSIVO"/>
    <x v="1"/>
  </r>
  <r>
    <x v="591"/>
    <s v="N190"/>
    <x v="7"/>
    <d v="2024-06-06T00:00:00"/>
    <s v="X43"/>
    <n v="22026096"/>
    <s v="CABO FORCA 250V 2.5A 2MT"/>
    <x v="0"/>
    <n v="120"/>
    <n v="1"/>
    <s v="Unidade"/>
    <s v="IMPORTADO COM SUCESSO"/>
    <s v="RESERVAS PENDENTES"/>
    <s v="NET MASSIVO"/>
    <x v="1"/>
  </r>
  <r>
    <x v="591"/>
    <s v="N190"/>
    <x v="7"/>
    <d v="2024-06-06T00:00:00"/>
    <s v="X43"/>
    <n v="22058639"/>
    <s v="FONTE ENERGIA MSA C2500IC12.0 30W"/>
    <x v="0"/>
    <n v="50"/>
    <n v="1"/>
    <s v="Unidade"/>
    <s v="IMPORTADO COM SUCESSO"/>
    <s v="RESERVAS PENDENTES"/>
    <s v="NET MASSIVO"/>
    <x v="1"/>
  </r>
  <r>
    <x v="591"/>
    <s v="N190"/>
    <x v="7"/>
    <d v="2024-06-06T00:00:00"/>
    <s v="X43"/>
    <n v="22060287"/>
    <s v="FONTE DE ALIMENTACAO 12V HGJ310 ADS 48"/>
    <x v="0"/>
    <n v="120"/>
    <n v="1"/>
    <s v="Unidade"/>
    <s v="IMPORTADO COM SUCESSO"/>
    <s v="RESERVAS PENDENTES"/>
    <s v="NET MASSIVO"/>
    <x v="1"/>
  </r>
  <r>
    <x v="592"/>
    <s v="N190"/>
    <x v="7"/>
    <d v="2024-06-06T00:00:00"/>
    <s v="X41"/>
    <n v="41001095"/>
    <s v="EMTA WIFI 3.0 FST3486 16X4"/>
    <x v="0"/>
    <n v="50"/>
    <n v="1"/>
    <s v="Unidade"/>
    <s v="IMPORTADO COM SUCESSO"/>
    <s v="RESERVAS PENDENTES"/>
    <s v="NET MASSIVO"/>
    <x v="1"/>
  </r>
  <r>
    <x v="592"/>
    <s v="N190"/>
    <x v="7"/>
    <d v="2024-06-06T00:00:00"/>
    <s v="X41"/>
    <n v="41001481"/>
    <s v="MODEM VOIP EMTA WIFI 3.1 HGJ310"/>
    <x v="0"/>
    <n v="120"/>
    <n v="1"/>
    <s v="Unidade"/>
    <s v="IMPORTADO COM SUCESSO"/>
    <s v="RESERVAS PENDENTES"/>
    <s v="NET MASSIVO"/>
    <x v="1"/>
  </r>
  <r>
    <x v="593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593"/>
    <s v="N190"/>
    <x v="7"/>
    <d v="2024-06-06T00:00:00"/>
    <s v="X43"/>
    <n v="22026293"/>
    <s v="FONTE EMTA WIFI 3.0 TG1692A 16"/>
    <x v="0"/>
    <n v="50"/>
    <n v="1"/>
    <s v="Unidade"/>
    <s v="IMPORTADO COM SUCESSO"/>
    <s v="RESERVAS PENDENTES"/>
    <s v="NET MASSIVO"/>
    <x v="1"/>
  </r>
  <r>
    <x v="593"/>
    <s v="N190"/>
    <x v="7"/>
    <d v="2024-06-06T00:00:00"/>
    <s v="X43"/>
    <n v="22058639"/>
    <s v="FONTE ENERGIA MSA C2500IC12.0 30W"/>
    <x v="0"/>
    <n v="60"/>
    <n v="1"/>
    <s v="Unidade"/>
    <s v="IMPORTADO COM SUCESSO"/>
    <s v="RESERVAS PENDENTES"/>
    <s v="NET MASSIVO"/>
    <x v="1"/>
  </r>
  <r>
    <x v="593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593"/>
    <s v="N190"/>
    <x v="10"/>
    <d v="2024-06-06T00:00:00"/>
    <s v="X43"/>
    <n v="22062556"/>
    <s v="FONTE ALIMEN 12V 4A ADS 48PI 12N 212048E"/>
    <x v="0"/>
    <n v="40"/>
    <n v="1"/>
    <s v="Unidade"/>
    <s v="IMPORTADO COM SUCESSO"/>
    <s v="RESERVAS PENDENTES"/>
    <s v="NET MASSIVO"/>
    <x v="1"/>
  </r>
  <r>
    <x v="594"/>
    <s v="N190"/>
    <x v="7"/>
    <d v="2024-06-06T00:00:00"/>
    <s v="X41"/>
    <n v="41001095"/>
    <s v="EMTA WIFI 3.0 FST3486 16X4"/>
    <x v="0"/>
    <n v="60"/>
    <n v="1"/>
    <s v="Unidade"/>
    <s v="IMPORTADO COM SUCESSO"/>
    <s v="RESERVAS PENDENTES"/>
    <s v="NET MASSIVO"/>
    <x v="1"/>
  </r>
  <r>
    <x v="594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594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594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594"/>
    <s v="N190"/>
    <x v="11"/>
    <d v="2024-06-06T00:00:00"/>
    <s v="X41"/>
    <n v="41001530"/>
    <s v="DECODER 4K UHD IP S4KW3 LINUX VAS COM"/>
    <x v="0"/>
    <n v="60"/>
    <n v="1"/>
    <s v="Unidade"/>
    <s v="IMPORTADO COM SUCESSO"/>
    <s v="RESERVAS PENDENTES"/>
    <s v="NET MASSIVO"/>
    <x v="1"/>
  </r>
  <r>
    <x v="594"/>
    <s v="N190"/>
    <x v="10"/>
    <d v="2024-06-06T00:00:00"/>
    <s v="X41"/>
    <n v="41001535"/>
    <s v="TERMINAL GPON WIFI TCG2232"/>
    <x v="0"/>
    <n v="110"/>
    <n v="1"/>
    <s v="Unidade"/>
    <s v="IMPORTADO COM SUCESSO"/>
    <s v="RESERVAS PENDENTES"/>
    <s v="NET MASSIVO"/>
    <x v="1"/>
  </r>
  <r>
    <x v="595"/>
    <s v="N190"/>
    <x v="10"/>
    <d v="2024-06-06T00:00:00"/>
    <s v="X43"/>
    <n v="22025348"/>
    <s v="FIXA FIO CABO LOW FRICT CHATO"/>
    <x v="0"/>
    <n v="100"/>
    <n v="1"/>
    <s v="Unidade"/>
    <s v="IMPORTADO COM SUCESSO"/>
    <s v="RESERVAS PENDENTES"/>
    <s v="NET MASSIVO"/>
    <x v="1"/>
  </r>
  <r>
    <x v="595"/>
    <s v="N190"/>
    <x v="7"/>
    <d v="2024-06-06T00:00:00"/>
    <s v="X43"/>
    <n v="22026096"/>
    <s v="CABO FORCA 250V 2.5A 2MT"/>
    <x v="0"/>
    <n v="30"/>
    <n v="1"/>
    <s v="Unidade"/>
    <s v="IMPORTADO COM SUCESSO"/>
    <s v="RESERVAS PENDENTES"/>
    <s v="NET MASSIVO"/>
    <x v="1"/>
  </r>
  <r>
    <x v="595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595"/>
    <s v="N190"/>
    <x v="10"/>
    <d v="2024-06-06T00:00:00"/>
    <s v="X43"/>
    <n v="22026223"/>
    <s v="CABO COAXIAL RG6 TRISH COM MENSAG PRETO"/>
    <x v="0"/>
    <n v="2745"/>
    <n v="1"/>
    <s v="Unidade"/>
    <s v="IMPORTADO COM SUCESSO"/>
    <s v="RESERVAS PENDENTES"/>
    <s v="NET MASSIVO"/>
    <x v="1"/>
  </r>
  <r>
    <x v="595"/>
    <s v="N190"/>
    <x v="10"/>
    <d v="2024-06-06T00:00:00"/>
    <s v="X43"/>
    <n v="22056364"/>
    <s v="MINI ISOLADOR CPE P/CM DECODER"/>
    <x v="0"/>
    <n v="150"/>
    <n v="1"/>
    <s v="Unidade"/>
    <s v="IMPORTADO COM SUCESSO"/>
    <s v="RESERVAS PENDENTES"/>
    <s v="NET MASSIVO"/>
    <x v="1"/>
  </r>
  <r>
    <x v="595"/>
    <s v="N190"/>
    <x v="7"/>
    <d v="2024-06-06T00:00:00"/>
    <s v="X43"/>
    <n v="22058639"/>
    <s v="FONTE ENERGIA MSA C2500IC12.0 30W"/>
    <x v="0"/>
    <n v="20"/>
    <n v="1"/>
    <s v="Unidade"/>
    <s v="IMPORTADO COM SUCESSO"/>
    <s v="RESERVAS PENDENTES"/>
    <s v="NET MASSIVO"/>
    <x v="1"/>
  </r>
  <r>
    <x v="595"/>
    <s v="N190"/>
    <x v="10"/>
    <d v="2024-06-06T00:00:00"/>
    <s v="X43"/>
    <n v="22062556"/>
    <s v="FONTE ALIMEN 12V 4A ADS 48PI 12N 212048E"/>
    <x v="0"/>
    <n v="30"/>
    <n v="1"/>
    <s v="Unidade"/>
    <s v="IMPORTADO COM SUCESSO"/>
    <s v="RESERVAS PENDENTES"/>
    <s v="NET MASSIVO"/>
    <x v="1"/>
  </r>
  <r>
    <x v="595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595"/>
    <s v="N190"/>
    <x v="10"/>
    <d v="2024-06-06T00:00:00"/>
    <s v="X43"/>
    <n v="22065720"/>
    <s v="MARCADOR CASA PRETO NR 2"/>
    <x v="0"/>
    <n v="100"/>
    <n v="1"/>
    <s v="Unidade"/>
    <s v="IMPORTADO COM SUCESSO"/>
    <s v="RESERVAS PENDENTES"/>
    <s v="NET MASSIVO"/>
    <x v="1"/>
  </r>
  <r>
    <x v="596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596"/>
    <s v="N190"/>
    <x v="7"/>
    <d v="2024-06-06T00:00:00"/>
    <s v="X41"/>
    <n v="41001481"/>
    <s v="MODEM VOIP EMTA WIFI 3.1 HGJ310"/>
    <x v="0"/>
    <n v="30"/>
    <n v="1"/>
    <s v="Unidade"/>
    <s v="IMPORTADO COM SUCESSO"/>
    <s v="RESERVAS PENDENTES"/>
    <s v="NET MASSIVO"/>
    <x v="1"/>
  </r>
  <r>
    <x v="596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597"/>
    <s v="N190"/>
    <x v="10"/>
    <d v="2024-06-06T00:00:00"/>
    <s v="X43"/>
    <n v="22062577"/>
    <s v="FONTE ALIMENT 12V 3.5A F42L1 120350SPAE"/>
    <x v="0"/>
    <n v="120"/>
    <n v="1"/>
    <s v="Unidade"/>
    <s v="IMPORTADO COM SUCESSO"/>
    <s v="RESERVAS PENDENTES"/>
    <s v="NET MASSIVO"/>
    <x v="1"/>
  </r>
  <r>
    <x v="598"/>
    <s v="N190"/>
    <x v="7"/>
    <d v="2024-06-06T00:00:00"/>
    <s v="X41"/>
    <n v="41001485"/>
    <s v="MODEM VOIP EMTA WIFI 3.1 CH8568"/>
    <x v="0"/>
    <n v="120"/>
    <n v="1"/>
    <s v="Unidade"/>
    <s v="IMPORTADO COM SUCESSO"/>
    <s v="RESERVAS PENDENTES"/>
    <s v="NET MASSIVO"/>
    <x v="1"/>
  </r>
  <r>
    <x v="599"/>
    <s v="N190"/>
    <x v="10"/>
    <d v="2024-06-06T00:00:00"/>
    <s v="X41"/>
    <n v="41001590"/>
    <s v="TERMINAL GPON ONT WIFI6 F6600P"/>
    <x v="0"/>
    <n v="80"/>
    <n v="1"/>
    <s v="Unidade"/>
    <s v="IMPORTADO COM SUCESSO"/>
    <s v="RESERVAS PENDENTES"/>
    <s v="NET MASSIVO"/>
    <x v="1"/>
  </r>
  <r>
    <x v="600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00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01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01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01"/>
    <s v="N190"/>
    <x v="10"/>
    <d v="2024-06-06T00:00:00"/>
    <s v="X41"/>
    <n v="41001553"/>
    <s v="TERMINAL DOCSIS 3.1 EMTA WIFI6 TC3106"/>
    <x v="0"/>
    <n v="20"/>
    <n v="1"/>
    <s v="Unidade"/>
    <s v="IMPORTADO COM SUCESSO"/>
    <s v="RESERVAS PENDENTES"/>
    <s v="NET MASSIVO"/>
    <x v="1"/>
  </r>
  <r>
    <x v="602"/>
    <s v="N190"/>
    <x v="10"/>
    <d v="2024-06-06T00:00:00"/>
    <s v="X43"/>
    <n v="22062577"/>
    <s v="FONTE ALIMENT 12V 3.5A F42L1 120350SPAE"/>
    <x v="0"/>
    <n v="350"/>
    <n v="1"/>
    <s v="Unidade"/>
    <s v="IMPORTADO COM SUCESSO"/>
    <s v="RESERVAS PENDENTES"/>
    <s v="NET MASSIVO"/>
    <x v="1"/>
  </r>
  <r>
    <x v="603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603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603"/>
    <s v="N190"/>
    <x v="7"/>
    <d v="2024-06-06T00:00:00"/>
    <s v="X41"/>
    <n v="41001293"/>
    <s v="EMTA WIFI 3.0 TG1692A 16X4"/>
    <x v="0"/>
    <n v="30"/>
    <n v="1"/>
    <s v="Unidade"/>
    <s v="IMPORTADO COM SUCESSO"/>
    <s v="RESERVAS PENDENTES"/>
    <s v="NET MASSIVO"/>
    <x v="1"/>
  </r>
  <r>
    <x v="603"/>
    <s v="N190"/>
    <x v="7"/>
    <d v="2024-06-06T00:00:00"/>
    <s v="X41"/>
    <n v="41001485"/>
    <s v="MODEM VOIP EMTA WIFI 3.1 CH8568"/>
    <x v="0"/>
    <n v="350"/>
    <n v="1"/>
    <s v="Unidade"/>
    <s v="IMPORTADO COM SUCESSO"/>
    <s v="RESERVAS PENDENTES"/>
    <s v="NET MASSIVO"/>
    <x v="1"/>
  </r>
  <r>
    <x v="604"/>
    <s v="N190"/>
    <x v="7"/>
    <d v="2024-06-06T00:00:00"/>
    <s v="X43"/>
    <n v="22026096"/>
    <s v="CABO FORCA 250V 2.5A 2MT"/>
    <x v="0"/>
    <n v="20"/>
    <n v="1"/>
    <s v="Unidade"/>
    <s v="IMPORTADO COM SUCESSO"/>
    <s v="RESERVAS PENDENTES"/>
    <s v="NET MASSIVO"/>
    <x v="1"/>
  </r>
  <r>
    <x v="604"/>
    <s v="N190"/>
    <x v="7"/>
    <d v="2024-06-06T00:00:00"/>
    <s v="X43"/>
    <n v="22058639"/>
    <s v="FONTE ENERGIA MSA C2500IC12.0 30W"/>
    <x v="0"/>
    <n v="130"/>
    <n v="1"/>
    <s v="Unidade"/>
    <s v="IMPORTADO COM SUCESSO"/>
    <s v="RESERVAS PENDENTES"/>
    <s v="NET MASSIVO"/>
    <x v="1"/>
  </r>
  <r>
    <x v="604"/>
    <s v="N190"/>
    <x v="10"/>
    <d v="2024-06-06T00:00:00"/>
    <s v="X43"/>
    <n v="22062556"/>
    <s v="FONTE ALIMEN 12V 4A ADS 48PI 12N 212048E"/>
    <x v="0"/>
    <n v="20"/>
    <n v="1"/>
    <s v="Unidade"/>
    <s v="IMPORTADO COM SUCESSO"/>
    <s v="RESERVAS PENDENTES"/>
    <s v="NET MASSIVO"/>
    <x v="1"/>
  </r>
  <r>
    <x v="605"/>
    <s v="N190"/>
    <x v="7"/>
    <d v="2024-06-06T00:00:00"/>
    <s v="X41"/>
    <n v="41001095"/>
    <s v="EMTA WIFI 3.0 FST3486 16X4"/>
    <x v="0"/>
    <n v="130"/>
    <n v="1"/>
    <s v="Unidade"/>
    <s v="IMPORTADO COM SUCESSO"/>
    <s v="RESERVAS PENDENTES"/>
    <s v="NET MASSIVO"/>
    <x v="1"/>
  </r>
  <r>
    <x v="605"/>
    <s v="N190"/>
    <x v="7"/>
    <d v="2024-06-06T00:00:00"/>
    <s v="X41"/>
    <n v="41001481"/>
    <s v="MODEM VOIP EMTA WIFI 3.1 HGJ310"/>
    <x v="0"/>
    <n v="20"/>
    <n v="1"/>
    <s v="Unidade"/>
    <s v="IMPORTADO COM SUCESSO"/>
    <s v="RESERVAS PENDENTES"/>
    <s v="NET MASSIVO"/>
    <x v="1"/>
  </r>
  <r>
    <x v="605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606"/>
    <s v="N190"/>
    <x v="7"/>
    <d v="2024-06-06T00:00:00"/>
    <s v="X43"/>
    <n v="22026096"/>
    <s v="CABO FORCA 250V 2.5A 2MT"/>
    <x v="0"/>
    <n v="150"/>
    <n v="1"/>
    <s v="Unidade"/>
    <s v="IMPORTADO COM SUCESSO"/>
    <s v="RESERVAS PENDENTES"/>
    <s v="NET MASSIVO"/>
    <x v="1"/>
  </r>
  <r>
    <x v="606"/>
    <s v="N190"/>
    <x v="7"/>
    <d v="2024-06-06T00:00:00"/>
    <s v="X43"/>
    <n v="22026103"/>
    <s v="CABO HDMI 2MTS BASICO SEM ETHE"/>
    <x v="0"/>
    <n v="20"/>
    <n v="1"/>
    <s v="Unidade"/>
    <s v="IMPORTADO COM SUCESSO"/>
    <s v="RESERVAS PENDENTES"/>
    <s v="NET MASSIVO"/>
    <x v="1"/>
  </r>
  <r>
    <x v="606"/>
    <s v="N190"/>
    <x v="7"/>
    <d v="2024-06-06T00:00:00"/>
    <s v="X43"/>
    <n v="22026293"/>
    <s v="FONTE EMTA WIFI 3.0 TG1692A 16"/>
    <x v="0"/>
    <n v="40"/>
    <n v="1"/>
    <s v="Unidade"/>
    <s v="IMPORTADO COM SUCESSO"/>
    <s v="RESERVAS PENDENTES"/>
    <s v="NET MASSIVO"/>
    <x v="1"/>
  </r>
  <r>
    <x v="606"/>
    <s v="N190"/>
    <x v="7"/>
    <d v="2024-06-06T00:00:00"/>
    <s v="X43"/>
    <n v="22058639"/>
    <s v="FONTE ENERGIA MSA C2500IC12.0 30W"/>
    <x v="0"/>
    <n v="160"/>
    <n v="1"/>
    <s v="Unidade"/>
    <s v="IMPORTADO COM SUCESSO"/>
    <s v="RESERVAS PENDENTES"/>
    <s v="NET MASSIVO"/>
    <x v="1"/>
  </r>
  <r>
    <x v="606"/>
    <s v="N190"/>
    <x v="10"/>
    <d v="2024-06-06T00:00:00"/>
    <s v="X43"/>
    <n v="22060422"/>
    <s v="CONTROLE REMOTO UNIFICADO RC4194202 01B"/>
    <x v="0"/>
    <n v="40"/>
    <n v="1"/>
    <s v="Unidade"/>
    <s v="IMPORTADO COM SUCESSO"/>
    <s v="RESERVAS PENDENTES"/>
    <s v="NET MASSIVO"/>
    <x v="1"/>
  </r>
  <r>
    <x v="606"/>
    <s v="N190"/>
    <x v="10"/>
    <d v="2024-06-06T00:00:00"/>
    <s v="X43"/>
    <n v="22062556"/>
    <s v="FONTE ALIMEN 12V 4A ADS 48PI 12N 212048E"/>
    <x v="0"/>
    <n v="150"/>
    <n v="1"/>
    <s v="Unidade"/>
    <s v="IMPORTADO COM SUCESSO"/>
    <s v="RESERVAS PENDENTES"/>
    <s v="NET MASSIVO"/>
    <x v="1"/>
  </r>
  <r>
    <x v="606"/>
    <s v="N190"/>
    <x v="10"/>
    <d v="2024-06-06T00:00:00"/>
    <s v="X43"/>
    <n v="22063252"/>
    <s v="CONTROLE REMOTO VOZ C GBX RC3394201"/>
    <x v="0"/>
    <n v="20"/>
    <n v="1"/>
    <s v="Unidade"/>
    <s v="IMPORTADO COM SUCESSO"/>
    <s v="RESERVAS PENDENTES"/>
    <s v="NET MASSIVO"/>
    <x v="1"/>
  </r>
  <r>
    <x v="607"/>
    <s v="N190"/>
    <x v="7"/>
    <d v="2024-06-06T00:00:00"/>
    <s v="X41"/>
    <n v="41000805"/>
    <s v="SMART CARD AVULSO SIM CARD"/>
    <x v="0"/>
    <n v="20"/>
    <n v="1"/>
    <s v="Unidade"/>
    <s v="IMPORTADO COM SUCESSO"/>
    <s v="RESERVAS PENDENTES"/>
    <s v="NET MASSIVO"/>
    <x v="1"/>
  </r>
  <r>
    <x v="607"/>
    <s v="N190"/>
    <x v="7"/>
    <d v="2024-06-06T00:00:00"/>
    <s v="X41"/>
    <n v="41001095"/>
    <s v="EMTA WIFI 3.0 FST3486 16X4"/>
    <x v="0"/>
    <n v="140"/>
    <n v="1"/>
    <s v="Unidade"/>
    <s v="IMPORTADO COM SUCESSO"/>
    <s v="RESERVAS PENDENTES"/>
    <s v="NET MASSIVO"/>
    <x v="1"/>
  </r>
  <r>
    <x v="607"/>
    <s v="N190"/>
    <x v="7"/>
    <d v="2024-06-06T00:00:00"/>
    <s v="X41"/>
    <n v="41001234"/>
    <s v="SMART CARD AVULSO PRETO NOVO"/>
    <x v="0"/>
    <n v="40"/>
    <n v="1"/>
    <s v="Unidade"/>
    <s v="IMPORTADO COM SUCESSO"/>
    <s v="RESERVAS PENDENTES"/>
    <s v="NET MASSIVO"/>
    <x v="1"/>
  </r>
  <r>
    <x v="607"/>
    <s v="N190"/>
    <x v="7"/>
    <d v="2024-06-06T00:00:00"/>
    <s v="X41"/>
    <n v="41001277"/>
    <s v="DECODER HD DXC5000 2T"/>
    <x v="0"/>
    <n v="40"/>
    <n v="1"/>
    <s v="Unidade"/>
    <s v="IMPORTADO COM SUCESSO"/>
    <s v="RESERVAS PENDENTES"/>
    <s v="NET MASSIVO"/>
    <x v="1"/>
  </r>
  <r>
    <x v="607"/>
    <s v="N190"/>
    <x v="7"/>
    <d v="2024-06-06T00:00:00"/>
    <s v="X41"/>
    <n v="41001481"/>
    <s v="MODEM VOIP EMTA WIFI 3.1 HGJ310"/>
    <x v="0"/>
    <n v="150"/>
    <n v="1"/>
    <s v="Unidade"/>
    <s v="IMPORTADO COM SUCESSO"/>
    <s v="RESERVAS PENDENTES"/>
    <s v="NET MASSIVO"/>
    <x v="1"/>
  </r>
  <r>
    <x v="607"/>
    <s v="N190"/>
    <x v="7"/>
    <d v="2024-06-06T00:00:00"/>
    <s v="X41"/>
    <n v="41001484"/>
    <s v="DECODER 4K ULTRA HD DGCI363 COM IG"/>
    <x v="0"/>
    <n v="20"/>
    <n v="1"/>
    <s v="Unidade"/>
    <s v="IMPORTADO COM SUCESSO"/>
    <s v="RESERVAS PENDENTES"/>
    <s v="NET MASSIVO"/>
    <x v="1"/>
  </r>
  <r>
    <x v="607"/>
    <s v="N190"/>
    <x v="10"/>
    <d v="2024-06-06T00:00:00"/>
    <s v="X41"/>
    <n v="41001535"/>
    <s v="TERMINAL GPON WIFI TCG2232"/>
    <x v="0"/>
    <n v="60"/>
    <n v="1"/>
    <s v="Unidade"/>
    <s v="IMPORTADO COM SUCESSO"/>
    <s v="RESERVAS PENDENTES"/>
    <s v="NET MASSIVO"/>
    <x v="1"/>
  </r>
  <r>
    <x v="607"/>
    <s v="N190"/>
    <x v="10"/>
    <d v="2024-06-06T00:00:00"/>
    <s v="X41"/>
    <n v="41001573"/>
    <s v="DECODER CARDLESS 4K UHD S4KCW4S CABO IP"/>
    <x v="0"/>
    <n v="20"/>
    <n v="1"/>
    <s v="Unidade"/>
    <s v="IMPORTADO COM SUCESSO"/>
    <s v="RESERVAS PENDENTES"/>
    <s v="NET MASSIVO"/>
    <x v="1"/>
  </r>
  <r>
    <x v="608"/>
    <s v="N190"/>
    <x v="7"/>
    <d v="2024-06-06T00:00:00"/>
    <s v="X43"/>
    <n v="22026103"/>
    <s v="CABO HDMI 2MTS BASICO SEM ETHE"/>
    <x v="0"/>
    <n v="30"/>
    <n v="1"/>
    <s v="Unidade"/>
    <s v="IMPORTADO COM SUCESSO"/>
    <s v="RESERVAS PENDENTES"/>
    <s v="NET MASSIVO"/>
    <x v="1"/>
  </r>
  <r>
    <x v="608"/>
    <s v="N190"/>
    <x v="7"/>
    <d v="2024-06-06T00:00:00"/>
    <s v="X43"/>
    <n v="22026279"/>
    <s v="FONTE CX DIG HD DCR74X1 PACE"/>
    <x v="0"/>
    <n v="20"/>
    <n v="1"/>
    <s v="Unidade"/>
    <s v="IMPORTADO COM SUCESSO"/>
    <s v="RESERVAS PENDENTES"/>
    <s v="NET MASSIVO"/>
    <x v="1"/>
  </r>
  <r>
    <x v="608"/>
    <s v="N190"/>
    <x v="7"/>
    <d v="2024-06-06T00:00:00"/>
    <s v="X43"/>
    <n v="22058639"/>
    <s v="FONTE ENERGIA MSA C2500IC12.0 30W"/>
    <x v="0"/>
    <n v="30"/>
    <n v="1"/>
    <s v="Unidade"/>
    <s v="IMPORTADO COM SUCESSO"/>
    <s v="RESERVAS PENDENTES"/>
    <s v="NET MASSIVO"/>
    <x v="1"/>
  </r>
  <r>
    <x v="608"/>
    <s v="N190"/>
    <x v="10"/>
    <d v="2024-06-06T00:00:00"/>
    <s v="X43"/>
    <n v="22063252"/>
    <s v="CONTROLE REMOTO VOZ C GBX RC3394201"/>
    <x v="0"/>
    <n v="30"/>
    <n v="1"/>
    <s v="Unidade"/>
    <s v="IMPORTADO COM SUCESSO"/>
    <s v="RESERVAS PENDENTES"/>
    <s v="NET MASSIVO"/>
    <x v="1"/>
  </r>
  <r>
    <x v="608"/>
    <s v="N190"/>
    <x v="10"/>
    <d v="2024-06-06T00:00:00"/>
    <s v="X43"/>
    <n v="22065064"/>
    <s v="FONTE DE ALIMENTACAO 12V EMTA TG3442"/>
    <x v="0"/>
    <n v="40"/>
    <n v="1"/>
    <s v="Unidade"/>
    <s v="IMPORTADO COM SUCESSO"/>
    <s v="RESERVAS PENDENTES"/>
    <s v="NET MASSIVO"/>
    <x v="1"/>
  </r>
  <r>
    <x v="609"/>
    <s v="N190"/>
    <x v="7"/>
    <d v="2024-06-06T00:00:00"/>
    <s v="X41"/>
    <n v="41000805"/>
    <s v="SMART CARD AVULSO SIM CARD"/>
    <x v="0"/>
    <n v="30"/>
    <n v="1"/>
    <s v="Unidade"/>
    <s v="IMPORTADO COM SUCESSO"/>
    <s v="RESERVAS PENDENTES"/>
    <s v="NET MASSIVO"/>
    <x v="1"/>
  </r>
  <r>
    <x v="609"/>
    <s v="N190"/>
    <x v="7"/>
    <d v="2024-06-06T00:00:00"/>
    <s v="X41"/>
    <n v="41001293"/>
    <s v="EMTA WIFI 3.0 TG1692A 16X4"/>
    <x v="0"/>
    <n v="20"/>
    <n v="1"/>
    <s v="Unidade"/>
    <s v="IMPORTADO COM SUCESSO"/>
    <s v="RESERVAS PENDENTES"/>
    <s v="NET MASSIVO"/>
    <x v="1"/>
  </r>
  <r>
    <x v="609"/>
    <s v="N190"/>
    <x v="7"/>
    <d v="2024-06-06T00:00:00"/>
    <s v="X41"/>
    <n v="41001484"/>
    <s v="DECODER 4K ULTRA HD DGCI363 COM IG"/>
    <x v="0"/>
    <n v="30"/>
    <n v="1"/>
    <s v="Unidade"/>
    <s v="IMPORTADO COM SUCESSO"/>
    <s v="RESERVAS PENDENTES"/>
    <s v="NET MASSIVO"/>
    <x v="1"/>
  </r>
  <r>
    <x v="609"/>
    <s v="N190"/>
    <x v="7"/>
    <d v="2024-06-06T00:00:00"/>
    <s v="X41"/>
    <n v="41001520"/>
    <s v="TERMINAL DOCSIS 3.1 32X8 EMTA WIF TG3442"/>
    <x v="0"/>
    <n v="40"/>
    <n v="1"/>
    <s v="Unidade"/>
    <s v="IMPORTADO COM SUCESSO"/>
    <s v="RESERVAS PENDENTES"/>
    <s v="NET MASSIVO"/>
    <x v="1"/>
  </r>
  <r>
    <x v="609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610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10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10"/>
    <s v="N190"/>
    <x v="10"/>
    <d v="2024-06-06T00:00:00"/>
    <s v="X43"/>
    <n v="22065064"/>
    <s v="FONTE DE ALIMENTACAO 12V EMTA TG3442"/>
    <x v="0"/>
    <n v="280"/>
    <n v="1"/>
    <s v="Unidade"/>
    <s v="IMPORTADO COM SUCESSO"/>
    <s v="RESERVAS PENDENTES"/>
    <s v="NET MASSIVO"/>
    <x v="1"/>
  </r>
  <r>
    <x v="611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11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11"/>
    <s v="N190"/>
    <x v="7"/>
    <d v="2024-06-06T00:00:00"/>
    <s v="X41"/>
    <n v="41001520"/>
    <s v="TERMINAL DOCSIS 3.1 32X8 EMTA WIF TG3442"/>
    <x v="0"/>
    <n v="280"/>
    <n v="1"/>
    <s v="Unidade"/>
    <s v="IMPORTADO COM SUCESSO"/>
    <s v="RESERVAS PENDENTES"/>
    <s v="NET MASSIVO"/>
    <x v="1"/>
  </r>
  <r>
    <x v="611"/>
    <s v="N190"/>
    <x v="10"/>
    <d v="2024-06-06T00:00:00"/>
    <s v="X41"/>
    <n v="41001535"/>
    <s v="TERMINAL GPON WIFI TCG2232"/>
    <x v="0"/>
    <n v="20"/>
    <n v="1"/>
    <s v="Unidade"/>
    <s v="IMPORTADO COM SUCESSO"/>
    <s v="RESERVAS PENDENTES"/>
    <s v="NET MASSIVO"/>
    <x v="1"/>
  </r>
  <r>
    <x v="612"/>
    <s v="N190"/>
    <x v="7"/>
    <d v="2024-06-06T00:00:00"/>
    <s v="X43"/>
    <n v="22026279"/>
    <s v="FONTE CX DIG HD DCR74X1 PACE"/>
    <x v="0"/>
    <n v="170"/>
    <n v="1"/>
    <s v="Unidade"/>
    <s v="IMPORTADO COM SUCESSO"/>
    <s v="RESERVAS PENDENTES"/>
    <s v="NET MASSIVO"/>
    <x v="1"/>
  </r>
  <r>
    <x v="612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12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12"/>
    <s v="N190"/>
    <x v="10"/>
    <d v="2024-06-06T00:00:00"/>
    <s v="X43"/>
    <n v="22065064"/>
    <s v="FONTE DE ALIMENTACAO 12V EMTA TG3442"/>
    <x v="0"/>
    <n v="20"/>
    <n v="1"/>
    <s v="Unidade"/>
    <s v="IMPORTADO COM SUCESSO"/>
    <s v="RESERVAS PENDENTES"/>
    <s v="NET MASSIVO"/>
    <x v="1"/>
  </r>
  <r>
    <x v="613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13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13"/>
    <s v="N190"/>
    <x v="7"/>
    <d v="2024-06-06T00:00:00"/>
    <s v="X41"/>
    <n v="41001293"/>
    <s v="EMTA WIFI 3.0 TG1692A 16X4"/>
    <x v="0"/>
    <n v="170"/>
    <n v="1"/>
    <s v="Unidade"/>
    <s v="IMPORTADO COM SUCESSO"/>
    <s v="RESERVAS PENDENTES"/>
    <s v="NET MASSIVO"/>
    <x v="1"/>
  </r>
  <r>
    <x v="613"/>
    <s v="N190"/>
    <x v="7"/>
    <d v="2024-06-06T00:00:00"/>
    <s v="X41"/>
    <n v="41001520"/>
    <s v="TERMINAL DOCSIS 3.1 32X8 EMTA WIF TG3442"/>
    <x v="0"/>
    <n v="20"/>
    <n v="1"/>
    <s v="Unidade"/>
    <s v="IMPORTADO COM SUCESSO"/>
    <s v="RESERVAS PENDENTES"/>
    <s v="NET MASSIVO"/>
    <x v="1"/>
  </r>
  <r>
    <x v="614"/>
    <s v="N190"/>
    <x v="10"/>
    <d v="2024-06-06T00:00:00"/>
    <s v="X43"/>
    <n v="22025136"/>
    <s v="BUCHA ACABAMENTO CABO RG6-59 BRANCA"/>
    <x v="0"/>
    <n v="250"/>
    <n v="1"/>
    <s v="Unidade"/>
    <s v="IMPORTADO COM SUCESSO"/>
    <s v="RESERVAS PENDENTES"/>
    <s v="NET MASSIVO"/>
    <x v="1"/>
  </r>
  <r>
    <x v="614"/>
    <s v="N190"/>
    <x v="10"/>
    <d v="2024-06-06T00:00:00"/>
    <s v="X43"/>
    <n v="22026219"/>
    <s v="CABO COAXIAL RG6 TRISH SEM MENSAG BRANCO"/>
    <x v="0"/>
    <n v="10500"/>
    <n v="1"/>
    <s v="Unidade"/>
    <s v="IMPORTADO COM SUCESSO"/>
    <s v="RESERVAS PENDENTES"/>
    <s v="NET MASSIVO"/>
    <x v="1"/>
  </r>
  <r>
    <x v="614"/>
    <s v="N190"/>
    <x v="7"/>
    <d v="2024-06-06T00:00:00"/>
    <s v="X43"/>
    <n v="22026293"/>
    <s v="FONTE EMTA WIFI 3.0 TG1692A 16"/>
    <x v="0"/>
    <n v="80"/>
    <n v="1"/>
    <s v="Unidade"/>
    <s v="IMPORTADO COM SUCESSO"/>
    <s v="RESERVAS PENDENTES"/>
    <s v="NET MASSIVO"/>
    <x v="1"/>
  </r>
  <r>
    <x v="614"/>
    <s v="N190"/>
    <x v="10"/>
    <d v="2024-06-06T00:00:00"/>
    <s v="X43"/>
    <n v="22056332"/>
    <s v="FITA ISOLANTE AUTOFUSAO 3M SCOTCH23 10MT"/>
    <x v="0"/>
    <n v="20"/>
    <n v="1"/>
    <s v="Unidade"/>
    <s v="IMPORTADO COM SUCESSO"/>
    <s v="RESERVAS PENDENTES"/>
    <s v="NET MASSIVO"/>
    <x v="1"/>
  </r>
  <r>
    <x v="614"/>
    <s v="N190"/>
    <x v="10"/>
    <d v="2024-06-06T00:00:00"/>
    <s v="X43"/>
    <n v="22060422"/>
    <s v="CONTROLE REMOTO UNIFICADO RC4194202 01B"/>
    <x v="0"/>
    <n v="80"/>
    <n v="1"/>
    <s v="Unidade"/>
    <s v="IMPORTADO COM SUCESSO"/>
    <s v="RESERVAS PENDENTES"/>
    <s v="NET MASSIVO"/>
    <x v="1"/>
  </r>
  <r>
    <x v="614"/>
    <s v="N190"/>
    <x v="10"/>
    <d v="2024-06-06T00:00:00"/>
    <s v="X43"/>
    <n v="22065064"/>
    <s v="FONTE DE ALIMENTACAO 12V EMTA TG3442"/>
    <x v="0"/>
    <n v="30"/>
    <n v="1"/>
    <s v="Unidade"/>
    <s v="IMPORTADO COM SUCESSO"/>
    <s v="RESERVAS PENDENTES"/>
    <s v="NET MASSIVO"/>
    <x v="1"/>
  </r>
  <r>
    <x v="615"/>
    <s v="N190"/>
    <x v="7"/>
    <d v="2024-06-06T00:00:00"/>
    <s v="X41"/>
    <n v="41001234"/>
    <s v="SMART CARD AVULSO PRETO NOVO"/>
    <x v="0"/>
    <n v="80"/>
    <n v="1"/>
    <s v="Unidade"/>
    <s v="IMPORTADO COM SUCESSO"/>
    <s v="RESERVAS PENDENTES"/>
    <s v="NET MASSIVO"/>
    <x v="1"/>
  </r>
  <r>
    <x v="615"/>
    <s v="N190"/>
    <x v="7"/>
    <d v="2024-06-06T00:00:00"/>
    <s v="X41"/>
    <n v="41001277"/>
    <s v="DECODER HD DXC5000 2T"/>
    <x v="0"/>
    <n v="80"/>
    <n v="1"/>
    <s v="Unidade"/>
    <s v="IMPORTADO COM SUCESSO"/>
    <s v="RESERVAS PENDENTES"/>
    <s v="NET MASSIVO"/>
    <x v="1"/>
  </r>
  <r>
    <x v="615"/>
    <s v="N190"/>
    <x v="7"/>
    <d v="2024-06-06T00:00:00"/>
    <s v="X41"/>
    <n v="41001520"/>
    <s v="TERMINAL DOCSIS 3.1 32X8 EMTA WIF TG3442"/>
    <x v="0"/>
    <n v="30"/>
    <n v="1"/>
    <s v="Unidade"/>
    <s v="IMPORTADO COM SUCESSO"/>
    <s v="RESERVAS PENDENTES"/>
    <s v="NET MASSIVO"/>
    <x v="1"/>
  </r>
  <r>
    <x v="616"/>
    <s v="N190"/>
    <x v="7"/>
    <d v="2024-06-06T00:00:00"/>
    <s v="X43"/>
    <n v="22026103"/>
    <s v="CABO HDMI 2MTS BASICO SEM ETHE"/>
    <x v="0"/>
    <n v="40"/>
    <n v="1"/>
    <s v="Unidade"/>
    <s v="IMPORTADO COM SUCESSO"/>
    <s v="RESERVAS PENDENTES"/>
    <s v="NET MASSIVO"/>
    <x v="1"/>
  </r>
  <r>
    <x v="616"/>
    <s v="N190"/>
    <x v="7"/>
    <d v="2024-06-06T00:00:00"/>
    <s v="X43"/>
    <n v="22026279"/>
    <s v="FONTE CX DIG HD DCR74X1 PACE"/>
    <x v="0"/>
    <n v="270"/>
    <n v="1"/>
    <s v="Unidade"/>
    <s v="IMPORTADO COM SUCESSO"/>
    <s v="RESERVAS PENDENTES"/>
    <s v="NET MASSIVO"/>
    <x v="1"/>
  </r>
  <r>
    <x v="616"/>
    <s v="N190"/>
    <x v="7"/>
    <d v="2024-06-06T00:00:00"/>
    <s v="X43"/>
    <n v="22026293"/>
    <s v="FONTE EMTA WIFI 3.0 TG1692A 16"/>
    <x v="0"/>
    <n v="30"/>
    <n v="1"/>
    <s v="Unidade"/>
    <s v="IMPORTADO COM SUCESSO"/>
    <s v="RESERVAS PENDENTES"/>
    <s v="NET MASSIVO"/>
    <x v="1"/>
  </r>
  <r>
    <x v="616"/>
    <s v="N190"/>
    <x v="7"/>
    <d v="2024-06-06T00:00:00"/>
    <s v="X43"/>
    <n v="22058639"/>
    <s v="FONTE ENERGIA MSA C2500IC12.0 30W"/>
    <x v="0"/>
    <n v="40"/>
    <n v="1"/>
    <s v="Unidade"/>
    <s v="IMPORTADO COM SUCESSO"/>
    <s v="RESERVAS PENDENTES"/>
    <s v="NET MASSIVO"/>
    <x v="1"/>
  </r>
  <r>
    <x v="616"/>
    <s v="N190"/>
    <x v="10"/>
    <d v="2024-06-06T00:00:00"/>
    <s v="X43"/>
    <n v="22060422"/>
    <s v="CONTROLE REMOTO UNIFICADO RC4194202 01B"/>
    <x v="0"/>
    <n v="30"/>
    <n v="1"/>
    <s v="Unidade"/>
    <s v="IMPORTADO COM SUCESSO"/>
    <s v="RESERVAS PENDENTES"/>
    <s v="NET MASSIVO"/>
    <x v="1"/>
  </r>
  <r>
    <x v="616"/>
    <s v="N190"/>
    <x v="10"/>
    <d v="2024-06-06T00:00:00"/>
    <s v="X43"/>
    <n v="22063252"/>
    <s v="CONTROLE REMOTO VOZ C GBX RC3394201"/>
    <x v="0"/>
    <n v="40"/>
    <n v="1"/>
    <s v="Unidade"/>
    <s v="IMPORTADO COM SUCESSO"/>
    <s v="RESERVAS PENDENTES"/>
    <s v="NET MASSIVO"/>
    <x v="1"/>
  </r>
  <r>
    <x v="617"/>
    <s v="N190"/>
    <x v="7"/>
    <d v="2024-06-06T00:00:00"/>
    <s v="X41"/>
    <n v="41000805"/>
    <s v="SMART CARD AVULSO SIM CARD"/>
    <x v="0"/>
    <n v="40"/>
    <n v="1"/>
    <s v="Unidade"/>
    <s v="IMPORTADO COM SUCESSO"/>
    <s v="RESERVAS PENDENTES"/>
    <s v="NET MASSIVO"/>
    <x v="1"/>
  </r>
  <r>
    <x v="617"/>
    <s v="N190"/>
    <x v="7"/>
    <d v="2024-06-06T00:00:00"/>
    <s v="X41"/>
    <n v="41001234"/>
    <s v="SMART CARD AVULSO PRETO NOVO"/>
    <x v="0"/>
    <n v="30"/>
    <n v="1"/>
    <s v="Unidade"/>
    <s v="IMPORTADO COM SUCESSO"/>
    <s v="RESERVAS PENDENTES"/>
    <s v="NET MASSIVO"/>
    <x v="1"/>
  </r>
  <r>
    <x v="617"/>
    <s v="N190"/>
    <x v="7"/>
    <d v="2024-06-06T00:00:00"/>
    <s v="X41"/>
    <n v="41001277"/>
    <s v="DECODER HD DXC5000 2T"/>
    <x v="0"/>
    <n v="30"/>
    <n v="1"/>
    <s v="Unidade"/>
    <s v="IMPORTADO COM SUCESSO"/>
    <s v="RESERVAS PENDENTES"/>
    <s v="NET MASSIVO"/>
    <x v="1"/>
  </r>
  <r>
    <x v="617"/>
    <s v="N190"/>
    <x v="7"/>
    <d v="2024-06-06T00:00:00"/>
    <s v="X41"/>
    <n v="41001293"/>
    <s v="EMTA WIFI 3.0 TG1692A 16X4"/>
    <x v="0"/>
    <n v="270"/>
    <n v="1"/>
    <s v="Unidade"/>
    <s v="IMPORTADO COM SUCESSO"/>
    <s v="RESERVAS PENDENTES"/>
    <s v="NET MASSIVO"/>
    <x v="1"/>
  </r>
  <r>
    <x v="617"/>
    <s v="N190"/>
    <x v="7"/>
    <d v="2024-06-06T00:00:00"/>
    <s v="X41"/>
    <n v="41001484"/>
    <s v="DECODER 4K ULTRA HD DGCI363 COM IG"/>
    <x v="0"/>
    <n v="40"/>
    <n v="1"/>
    <s v="Unidade"/>
    <s v="IMPORTADO COM SUCESSO"/>
    <s v="RESERVAS PENDENTES"/>
    <s v="NET MASSIVO"/>
    <x v="1"/>
  </r>
  <r>
    <x v="617"/>
    <s v="N190"/>
    <x v="11"/>
    <d v="2024-06-06T00:00:00"/>
    <s v="X41"/>
    <n v="41001530"/>
    <s v="DECODER 4K UHD IP S4KW3 LINUX VAS COM"/>
    <x v="0"/>
    <n v="50"/>
    <n v="1"/>
    <s v="Unidade"/>
    <s v="IMPORTADO COM SUCESSO"/>
    <s v="RESERVAS PENDENTES"/>
    <s v="NET MASSIVO"/>
    <x v="1"/>
  </r>
  <r>
    <x v="617"/>
    <s v="N190"/>
    <x v="10"/>
    <d v="2024-06-06T00:00:00"/>
    <s v="X41"/>
    <n v="41001590"/>
    <s v="TERMINAL GPON ONT WIFI6 F6600P"/>
    <x v="0"/>
    <n v="50"/>
    <n v="1"/>
    <s v="Unidade"/>
    <s v="IMPORTADO COM SUCESSO"/>
    <s v="RESERVAS PENDENTES"/>
    <s v="NET MASSIVO"/>
    <x v="1"/>
  </r>
  <r>
    <x v="618"/>
    <s v="N190"/>
    <x v="10"/>
    <d v="2024-06-06T00:00:00"/>
    <s v="X43"/>
    <n v="22062577"/>
    <s v="FONTE ALIMENT 12V 3.5A F42L1 120350SPAE"/>
    <x v="0"/>
    <n v="500"/>
    <n v="1"/>
    <s v="Unidade"/>
    <s v="IMPORTADO COM SUCESSO"/>
    <s v="RESERVAS PENDENTES"/>
    <s v="NET MASSIVO"/>
    <x v="1"/>
  </r>
  <r>
    <x v="619"/>
    <s v="N190"/>
    <x v="7"/>
    <d v="2024-06-06T00:00:00"/>
    <s v="X41"/>
    <n v="41001234"/>
    <s v="SMART CARD AVULSO PRETO NOVO"/>
    <x v="0"/>
    <n v="50"/>
    <n v="1"/>
    <s v="Unidade"/>
    <s v="IMPORTADO COM SUCESSO"/>
    <s v="RESERVAS PENDENTES"/>
    <s v="NET MASSIVO"/>
    <x v="1"/>
  </r>
  <r>
    <x v="619"/>
    <s v="N190"/>
    <x v="7"/>
    <d v="2024-06-06T00:00:00"/>
    <s v="X41"/>
    <n v="41001277"/>
    <s v="DECODER HD DXC5000 2T"/>
    <x v="0"/>
    <n v="50"/>
    <n v="1"/>
    <s v="Unidade"/>
    <s v="IMPORTADO COM SUCESSO"/>
    <s v="RESERVAS PENDENTES"/>
    <s v="NET MASSIVO"/>
    <x v="1"/>
  </r>
  <r>
    <x v="619"/>
    <s v="N190"/>
    <x v="7"/>
    <d v="2024-06-06T00:00:00"/>
    <s v="X41"/>
    <n v="41001518"/>
    <s v="TERMINAL DOCSIS 3.1 WIFI HI3120"/>
    <x v="0"/>
    <n v="500"/>
    <n v="1"/>
    <s v="Unidade"/>
    <s v="IMPORTADO COM SUCESSO"/>
    <s v="RESERVAS PENDENTES"/>
    <s v="NET MASSIVO"/>
    <x v="1"/>
  </r>
  <r>
    <x v="620"/>
    <s v="N190"/>
    <x v="7"/>
    <d v="2024-06-06T00:00:00"/>
    <s v="X43"/>
    <n v="22026279"/>
    <s v="FONTE CX DIG HD DCR74X1 PACE"/>
    <x v="0"/>
    <n v="240"/>
    <n v="1"/>
    <s v="Unidade"/>
    <s v="IMPORTADO COM SUCESSO"/>
    <s v="RESERVAS PENDENTES"/>
    <s v="NET MASSIVO"/>
    <x v="1"/>
  </r>
  <r>
    <x v="620"/>
    <s v="N190"/>
    <x v="7"/>
    <d v="2024-06-06T00:00:00"/>
    <s v="X43"/>
    <n v="22026293"/>
    <s v="FONTE EMTA WIFI 3.0 TG1692A 16"/>
    <x v="0"/>
    <n v="60"/>
    <n v="1"/>
    <s v="Unidade"/>
    <s v="IMPORTADO COM SUCESSO"/>
    <s v="RESERVAS PENDENTES"/>
    <s v="NET MASSIVO"/>
    <x v="1"/>
  </r>
  <r>
    <x v="620"/>
    <s v="N190"/>
    <x v="10"/>
    <d v="2024-06-06T00:00:00"/>
    <s v="X43"/>
    <n v="22060422"/>
    <s v="CONTROLE REMOTO UNIFICADO RC4194202 01B"/>
    <x v="0"/>
    <n v="60"/>
    <n v="1"/>
    <s v="Unidade"/>
    <s v="IMPORTADO COM SUCESSO"/>
    <s v="RESERVAS PENDENTES"/>
    <s v="NET MASSIVO"/>
    <x v="1"/>
  </r>
  <r>
    <x v="620"/>
    <s v="N190"/>
    <x v="10"/>
    <d v="2024-06-06T00:00:00"/>
    <s v="X43"/>
    <n v="22062577"/>
    <s v="FONTE ALIMENT 12V 3.5A F42L1 120350SPAE"/>
    <x v="0"/>
    <n v="40"/>
    <n v="1"/>
    <s v="Unidade"/>
    <s v="IMPORTADO COM SUCESSO"/>
    <s v="RESERVAS PENDENTES"/>
    <s v="NET MASSIVO"/>
    <x v="1"/>
  </r>
  <r>
    <x v="621"/>
    <s v="N190"/>
    <x v="7"/>
    <d v="2024-06-06T00:00:00"/>
    <s v="X41"/>
    <n v="41001234"/>
    <s v="SMART CARD AVULSO PRETO NOVO"/>
    <x v="0"/>
    <n v="60"/>
    <n v="1"/>
    <s v="Unidade"/>
    <s v="IMPORTADO COM SUCESSO"/>
    <s v="RESERVAS PENDENTES"/>
    <s v="NET MASSIVO"/>
    <x v="1"/>
  </r>
  <r>
    <x v="621"/>
    <s v="N190"/>
    <x v="7"/>
    <d v="2024-06-06T00:00:00"/>
    <s v="X41"/>
    <n v="41001277"/>
    <s v="DECODER HD DXC5000 2T"/>
    <x v="0"/>
    <n v="60"/>
    <n v="1"/>
    <s v="Unidade"/>
    <s v="IMPORTADO COM SUCESSO"/>
    <s v="RESERVAS PENDENTES"/>
    <s v="NET MASSIVO"/>
    <x v="1"/>
  </r>
  <r>
    <x v="621"/>
    <s v="N190"/>
    <x v="7"/>
    <d v="2024-06-06T00:00:00"/>
    <s v="X41"/>
    <n v="41001293"/>
    <s v="EMTA WIFI 3.0 TG1692A 16X4"/>
    <x v="0"/>
    <n v="240"/>
    <n v="1"/>
    <s v="Unidade"/>
    <s v="IMPORTADO COM SUCESSO"/>
    <s v="RESERVAS PENDENTES"/>
    <s v="NET MASSIVO"/>
    <x v="1"/>
  </r>
  <r>
    <x v="621"/>
    <s v="N190"/>
    <x v="7"/>
    <d v="2024-06-06T00:00:00"/>
    <s v="X41"/>
    <n v="41001518"/>
    <s v="TERMINAL DOCSIS 3.1 WIFI HI3120"/>
    <x v="0"/>
    <n v="40"/>
    <n v="1"/>
    <s v="Unidade"/>
    <s v="IMPORTADO COM SUCESSO"/>
    <s v="RESERVAS PENDENTES"/>
    <s v="NET MASSIVO"/>
    <x v="1"/>
  </r>
  <r>
    <x v="621"/>
    <s v="N190"/>
    <x v="11"/>
    <d v="2024-06-06T00:00:00"/>
    <s v="X41"/>
    <n v="41001530"/>
    <s v="DECODER 4K UHD IP S4KW3 LINUX VAS COM"/>
    <x v="0"/>
    <n v="30"/>
    <n v="1"/>
    <s v="Unidade"/>
    <s v="IMPORTADO COM SUCESSO"/>
    <s v="RESERVAS PENDENTES"/>
    <s v="NET MASSIVO"/>
    <x v="1"/>
  </r>
  <r>
    <x v="621"/>
    <s v="N190"/>
    <x v="10"/>
    <d v="2024-06-06T00:00:00"/>
    <s v="X41"/>
    <n v="41001535"/>
    <s v="TERMINAL GPON WIFI TCG2232"/>
    <x v="0"/>
    <n v="140"/>
    <n v="1"/>
    <s v="Unidade"/>
    <s v="IMPORTADO COM SUCESSO"/>
    <s v="RESERVAS PENDENTES"/>
    <s v="NET MASSIVO"/>
    <x v="1"/>
  </r>
  <r>
    <x v="622"/>
    <s v="N190"/>
    <x v="10"/>
    <d v="2024-06-06T00:00:00"/>
    <s v="X43"/>
    <n v="22062577"/>
    <s v="FONTE ALIMENT 12V 3.5A F42L1 120350SPAE"/>
    <x v="0"/>
    <n v="110"/>
    <n v="1"/>
    <s v="Unidade"/>
    <s v="IMPORTADO COM SUCESSO"/>
    <s v="RESERVAS PENDENTES"/>
    <s v="NET MASSIVO"/>
    <x v="1"/>
  </r>
  <r>
    <x v="623"/>
    <s v="N190"/>
    <x v="7"/>
    <d v="2024-06-06T00:00:00"/>
    <s v="X41"/>
    <n v="41001518"/>
    <s v="TERMINAL DOCSIS 3.1 WIFI HI3120"/>
    <x v="0"/>
    <n v="110"/>
    <n v="1"/>
    <s v="Unidade"/>
    <s v="IMPORTADO COM SUCESSO"/>
    <s v="RESERVAS PENDENTES"/>
    <s v="NET MASSIVO"/>
    <x v="1"/>
  </r>
  <r>
    <x v="624"/>
    <s v="N190"/>
    <x v="7"/>
    <d v="2024-06-06T00:00:00"/>
    <s v="X43"/>
    <n v="22026096"/>
    <s v="CABO FORCA 250V 2.5A 2MT"/>
    <x v="0"/>
    <n v="50"/>
    <n v="1"/>
    <s v="Unidade"/>
    <s v="IMPORTADO COM SUCESSO"/>
    <s v="RESERVAS PENDENTES"/>
    <s v="NET MASSIVO"/>
    <x v="1"/>
  </r>
  <r>
    <x v="624"/>
    <s v="N190"/>
    <x v="7"/>
    <d v="2024-06-06T00:00:00"/>
    <s v="X43"/>
    <n v="22060287"/>
    <s v="FONTE DE ALIMENTACAO 12V HGJ310 ADS 48"/>
    <x v="0"/>
    <n v="50"/>
    <n v="1"/>
    <s v="Unidade"/>
    <s v="IMPORTADO COM SUCESSO"/>
    <s v="RESERVAS PENDENTES"/>
    <s v="NET MASSIVO"/>
    <x v="1"/>
  </r>
  <r>
    <x v="625"/>
    <s v="N190"/>
    <x v="7"/>
    <d v="2024-06-06T00:00:00"/>
    <s v="X41"/>
    <n v="41001095"/>
    <s v="EMTA WIFI 3.0 FST3486 16X4"/>
    <x v="0"/>
    <n v="20"/>
    <n v="1"/>
    <s v="Unidade"/>
    <s v="IMPORTADO COM SUCESSO"/>
    <s v="RESERVAS PENDENTES"/>
    <s v="NET MASSIVO"/>
    <x v="1"/>
  </r>
  <r>
    <x v="625"/>
    <s v="N190"/>
    <x v="7"/>
    <d v="2024-06-06T00:00:00"/>
    <s v="X41"/>
    <n v="41001234"/>
    <s v="SMART CARD AVULSO PRETO NOVO"/>
    <x v="0"/>
    <n v="150"/>
    <n v="1"/>
    <s v="Unidade"/>
    <s v="IMPORTADO COM SUCESSO"/>
    <s v="RESERVAS PENDENTES"/>
    <s v="NET MASSIVO"/>
    <x v="1"/>
  </r>
  <r>
    <x v="625"/>
    <s v="N190"/>
    <x v="7"/>
    <d v="2024-06-06T00:00:00"/>
    <s v="X41"/>
    <n v="41001277"/>
    <s v="DECODER HD DXC5000 2T"/>
    <x v="0"/>
    <n v="150"/>
    <n v="1"/>
    <s v="Unidade"/>
    <s v="IMPORTADO COM SUCESSO"/>
    <s v="RESERVAS PENDENTES"/>
    <s v="NET MASSIVO"/>
    <x v="1"/>
  </r>
  <r>
    <x v="625"/>
    <s v="N190"/>
    <x v="7"/>
    <d v="2024-06-06T00:00:00"/>
    <s v="X41"/>
    <n v="41001481"/>
    <s v="MODEM VOIP EMTA WIFI 3.1 HGJ310"/>
    <x v="0"/>
    <n v="50"/>
    <n v="1"/>
    <s v="Unidade"/>
    <s v="IMPORTADO COM SUCESSO"/>
    <s v="RESERVAS PENDENTES"/>
    <s v="NET MASSIVO"/>
    <x v="1"/>
  </r>
  <r>
    <x v="626"/>
    <s v="N190"/>
    <x v="10"/>
    <d v="2024-06-06T00:00:00"/>
    <s v="X43"/>
    <n v="22025136"/>
    <s v="BUCHA ACABAMENTO CABO RG6-59 BRANCA"/>
    <x v="0"/>
    <n v="500"/>
    <n v="1"/>
    <s v="Unidade"/>
    <s v="IMPORTADO COM SUCESSO"/>
    <s v="RESERVAS PENDENTES"/>
    <s v="NET MASSIVO"/>
    <x v="1"/>
  </r>
  <r>
    <x v="626"/>
    <s v="N190"/>
    <x v="10"/>
    <d v="2024-06-06T00:00:00"/>
    <s v="X43"/>
    <n v="22025348"/>
    <s v="FIXA FIO CABO LOW FRICT CHATO"/>
    <x v="0"/>
    <n v="200"/>
    <n v="1"/>
    <s v="Unidade"/>
    <s v="IMPORTADO COM SUCESSO"/>
    <s v="RESERVAS PENDENTES"/>
    <s v="NET MASSIVO"/>
    <x v="1"/>
  </r>
  <r>
    <x v="626"/>
    <s v="N190"/>
    <x v="7"/>
    <d v="2024-06-06T00:00:00"/>
    <s v="X43"/>
    <n v="22026096"/>
    <s v="CABO FORCA 250V 2.5A 2MT"/>
    <x v="0"/>
    <n v="40"/>
    <n v="1"/>
    <s v="Unidade"/>
    <s v="IMPORTADO COM SUCESSO"/>
    <s v="RESERVAS PENDENTES"/>
    <s v="NET MASSIVO"/>
    <x v="1"/>
  </r>
  <r>
    <x v="626"/>
    <s v="N190"/>
    <x v="10"/>
    <d v="2024-06-06T00:00:00"/>
    <s v="X43"/>
    <n v="22026189"/>
    <s v="CONEC_RI COMPRESSAO F-6"/>
    <x v="0"/>
    <n v="4700"/>
    <n v="1"/>
    <s v="Unidade"/>
    <s v="IMPORTADO COM SUCESSO"/>
    <s v="RESERVAS PENDENTES"/>
    <s v="NET MASSIVO"/>
    <x v="1"/>
  </r>
  <r>
    <x v="626"/>
    <s v="N190"/>
    <x v="7"/>
    <d v="2024-06-06T00:00:00"/>
    <s v="X43"/>
    <n v="22026293"/>
    <s v="FONTE EMTA WIFI 3.0 TG1692A 16"/>
    <x v="0"/>
    <n v="150"/>
    <n v="1"/>
    <s v="Unidade"/>
    <s v="IMPORTADO COM SUCESSO"/>
    <s v="RESERVAS PENDENTES"/>
    <s v="NET MASSIVO"/>
    <x v="1"/>
  </r>
  <r>
    <x v="626"/>
    <s v="N190"/>
    <x v="10"/>
    <d v="2024-06-06T00:00:00"/>
    <s v="X43"/>
    <n v="22026544"/>
    <s v="SUPORTE GALVANIZADO U SPAN CLAMP"/>
    <x v="0"/>
    <n v="50"/>
    <n v="1"/>
    <s v="Unidade"/>
    <s v="IMPORTADO COM SUCESSO"/>
    <s v="RESERVAS PENDENTES"/>
    <s v="NET MASSIVO"/>
    <x v="1"/>
  </r>
  <r>
    <x v="626"/>
    <s v="N190"/>
    <x v="10"/>
    <d v="2024-06-06T00:00:00"/>
    <s v="X43"/>
    <n v="22026772"/>
    <s v="DIV_RI 2S 1GHZ H SOLDADO"/>
    <x v="0"/>
    <n v="225"/>
    <n v="1"/>
    <s v="Unidade"/>
    <s v="IMPORTADO COM SUCESSO"/>
    <s v="RESERVAS PENDENTES"/>
    <s v="NET MASSIVO"/>
    <x v="1"/>
  </r>
  <r>
    <x v="626"/>
    <s v="N190"/>
    <x v="10"/>
    <d v="2024-06-06T00:00:00"/>
    <s v="X43"/>
    <n v="22026809"/>
    <s v="DC_RI 1S 06DB 1GHZ H SOLDADO"/>
    <x v="0"/>
    <n v="150"/>
    <n v="1"/>
    <s v="Unidade"/>
    <s v="IMPORTADO COM SUCESSO"/>
    <s v="RESERVAS PENDENTES"/>
    <s v="NET MASSIVO"/>
    <x v="1"/>
  </r>
  <r>
    <x v="626"/>
    <s v="N190"/>
    <x v="10"/>
    <d v="2024-06-06T00:00:00"/>
    <s v="X43"/>
    <n v="22056359"/>
    <s v="FITA ACO INOX 1/2 POLEGADA ROLO 25MT"/>
    <x v="0"/>
    <n v="14"/>
    <n v="1"/>
    <s v="Unidade"/>
    <s v="IMPORTADO COM SUCESSO"/>
    <s v="RESERVAS PENDENTES"/>
    <s v="NET MASSIVO"/>
    <x v="1"/>
  </r>
  <r>
    <x v="626"/>
    <s v="N190"/>
    <x v="10"/>
    <d v="2024-06-06T00:00:00"/>
    <s v="X43"/>
    <n v="22056364"/>
    <s v="MINI ISOLADOR CPE P/CM DECODER"/>
    <x v="0"/>
    <n v="720"/>
    <n v="1"/>
    <s v="Unidade"/>
    <s v="IMPORTADO COM SUCESSO"/>
    <s v="RESERVAS PENDENTES"/>
    <s v="NET MASSIVO"/>
    <x v="1"/>
  </r>
  <r>
    <x v="626"/>
    <s v="N190"/>
    <x v="10"/>
    <d v="2024-06-06T00:00:00"/>
    <s v="X43"/>
    <n v="22056369"/>
    <s v="CABO UTP CAT5E ETHERNET NET"/>
    <x v="0"/>
    <n v="2200"/>
    <n v="1"/>
    <s v="Unidade"/>
    <s v="IMPORTADO COM SUCESSO"/>
    <s v="RESERVAS PENDENTES"/>
    <s v="NET MASSIVO"/>
    <x v="1"/>
  </r>
  <r>
    <x v="626"/>
    <s v="N190"/>
    <x v="10"/>
    <d v="2024-06-06T00:00:00"/>
    <s v="X43"/>
    <n v="22057635"/>
    <s v="FIXADOR FIO PT RG6"/>
    <x v="0"/>
    <n v="2400"/>
    <n v="1"/>
    <s v="Unidade"/>
    <s v="IMPORTADO COM SUCESSO"/>
    <s v="RESERVAS PENDENTES"/>
    <s v="NET MASSIVO"/>
    <x v="1"/>
  </r>
  <r>
    <x v="626"/>
    <s v="N190"/>
    <x v="10"/>
    <d v="2024-06-06T00:00:00"/>
    <s v="X43"/>
    <n v="22057866"/>
    <s v="MINI PONTO GPON SC ROSETA APCDPR OT8420"/>
    <x v="0"/>
    <n v="30"/>
    <n v="1"/>
    <s v="Unidade"/>
    <s v="IMPORTADO COM SUCESSO"/>
    <s v="RESERVAS PENDENTES"/>
    <s v="NET MASSIVO"/>
    <x v="1"/>
  </r>
  <r>
    <x v="626"/>
    <s v="N190"/>
    <x v="7"/>
    <d v="2024-06-06T00:00:00"/>
    <s v="X43"/>
    <n v="22058639"/>
    <s v="FONTE ENERGIA MSA C2500IC12.0 30W"/>
    <x v="0"/>
    <n v="220"/>
    <n v="1"/>
    <s v="Unidade"/>
    <s v="IMPORTADO COM SUCESSO"/>
    <s v="RESERVAS PENDENTES"/>
    <s v="NET MASSIVO"/>
    <x v="1"/>
  </r>
  <r>
    <x v="626"/>
    <s v="N190"/>
    <x v="7"/>
    <d v="2024-06-06T00:00:00"/>
    <s v="X43"/>
    <n v="22060287"/>
    <s v="FONTE DE ALIMENTACAO 12V HGJ310 ADS 48"/>
    <x v="0"/>
    <n v="40"/>
    <n v="1"/>
    <s v="Unidade"/>
    <s v="IMPORTADO COM SUCESSO"/>
    <s v="RESERVAS PENDENTES"/>
    <s v="NET MASSIVO"/>
    <x v="1"/>
  </r>
  <r>
    <x v="626"/>
    <s v="N190"/>
    <x v="10"/>
    <d v="2024-06-06T00:00:00"/>
    <s v="X43"/>
    <n v="22060422"/>
    <s v="CONTROLE REMOTO UNIFICADO RC4194202 01B"/>
    <x v="0"/>
    <n v="150"/>
    <n v="1"/>
    <s v="Unidade"/>
    <s v="IMPORTADO COM SUCESSO"/>
    <s v="RESERVAS PENDENTES"/>
    <s v="NET MASSIVO"/>
    <x v="1"/>
  </r>
  <r>
    <x v="626"/>
    <s v="N190"/>
    <x v="10"/>
    <d v="2024-06-06T00:00:00"/>
    <s v="X43"/>
    <n v="22061736"/>
    <s v="CABO DROP 1FO LOW F FIG8 LOW CINZA"/>
    <x v="0"/>
    <n v="6500"/>
    <n v="1"/>
    <s v="Unidade"/>
    <s v="IMPORTADO COM SUCESSO"/>
    <s v="RESERVAS PENDENTES"/>
    <s v="NET MASSIVO"/>
    <x v="1"/>
  </r>
  <r>
    <x v="627"/>
    <s v="N190"/>
    <x v="7"/>
    <d v="2024-06-06T00:00:00"/>
    <s v="X41"/>
    <n v="41001095"/>
    <s v="EMTA WIFI 3.0 FST3486 16X4"/>
    <x v="0"/>
    <n v="220"/>
    <n v="1"/>
    <s v="Unidade"/>
    <s v="IMPORTADO COM SUCESSO"/>
    <s v="RESERVAS PENDENTES"/>
    <s v="NET MASSIVO"/>
    <x v="1"/>
  </r>
  <r>
    <x v="627"/>
    <s v="N190"/>
    <x v="7"/>
    <d v="2024-06-06T00:00:00"/>
    <s v="X41"/>
    <n v="41001234"/>
    <s v="SMART CARD AVULSO PRETO NOVO"/>
    <x v="0"/>
    <n v="150"/>
    <n v="1"/>
    <s v="Unidade"/>
    <s v="IMPORTADO COM SUCESSO"/>
    <s v="RESERVAS PENDENTES"/>
    <s v="NET MASSIVO"/>
    <x v="1"/>
  </r>
  <r>
    <x v="627"/>
    <s v="N190"/>
    <x v="7"/>
    <d v="2024-06-06T00:00:00"/>
    <s v="X41"/>
    <n v="41001277"/>
    <s v="DECODER HD DXC5000 2T"/>
    <x v="0"/>
    <n v="150"/>
    <n v="1"/>
    <s v="Unidade"/>
    <s v="IMPORTADO COM SUCESSO"/>
    <s v="RESERVAS PENDENTES"/>
    <s v="NET MASSIVO"/>
    <x v="1"/>
  </r>
  <r>
    <x v="627"/>
    <s v="N190"/>
    <x v="7"/>
    <d v="2024-06-06T00:00:00"/>
    <s v="X41"/>
    <n v="41001481"/>
    <s v="MODEM VOIP EMTA WIFI 3.1 HGJ310"/>
    <x v="0"/>
    <n v="40"/>
    <n v="1"/>
    <s v="Unidade"/>
    <s v="IMPORTADO COM SUCESSO"/>
    <s v="RESERVAS PENDENTES"/>
    <s v="NET MASSIVO"/>
    <x v="1"/>
  </r>
  <r>
    <x v="627"/>
    <s v="N190"/>
    <x v="11"/>
    <d v="2024-06-06T00:00:00"/>
    <s v="X41"/>
    <n v="41001530"/>
    <s v="DECODER 4K UHD IP S4KW3 LINUX VAS COM"/>
    <x v="0"/>
    <n v="40"/>
    <n v="1"/>
    <s v="Unidade"/>
    <s v="IMPORTADO COM SUCESSO"/>
    <s v="RESERVAS PENDENTES"/>
    <s v="NET MASSIVO"/>
    <x v="1"/>
  </r>
  <r>
    <x v="627"/>
    <s v="N190"/>
    <x v="10"/>
    <d v="2024-06-06T00:00:00"/>
    <s v="X41"/>
    <n v="41001535"/>
    <s v="TERMINAL GPON WIFI TCG2232"/>
    <x v="0"/>
    <n v="100"/>
    <n v="1"/>
    <s v="Unidade"/>
    <s v="IMPORTADO COM SUCESSO"/>
    <s v="RESERVAS PENDENTES"/>
    <s v="NET MASSIVO"/>
    <x v="1"/>
  </r>
  <r>
    <x v="627"/>
    <s v="N190"/>
    <x v="10"/>
    <d v="2024-06-06T00:00:00"/>
    <s v="X41"/>
    <n v="41001553"/>
    <s v="TERMINAL DOCSIS 3.1 EMTA WIFI6 TC3106"/>
    <x v="0"/>
    <n v="50"/>
    <n v="1"/>
    <s v="Unidade"/>
    <s v="IMPORTADO COM SUCESSO"/>
    <s v="RESERVAS PENDENTES"/>
    <s v="NET MASSIVO"/>
    <x v="1"/>
  </r>
  <r>
    <x v="628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28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29"/>
    <s v="N190"/>
    <x v="7"/>
    <d v="2024-06-06T00:00:00"/>
    <s v="X43"/>
    <n v="22026251"/>
    <s v="CTRL REMOTO DIG. CR2FU UNIVERS"/>
    <x v="0"/>
    <n v="150"/>
    <n v="1"/>
    <s v="Unidade"/>
    <s v="IMPORTADO COM SUCESSO"/>
    <s v="RESERVAS PENDENTES"/>
    <s v="NET MASSIVO"/>
    <x v="1"/>
  </r>
  <r>
    <x v="629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0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30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1"/>
    <s v="N190"/>
    <x v="10"/>
    <d v="2024-06-06T00:00:00"/>
    <s v="X43"/>
    <n v="22060422"/>
    <s v="CONTROLE REMOTO UNIFICADO RC4194202 01B"/>
    <x v="0"/>
    <n v="70"/>
    <n v="1"/>
    <s v="Unidade"/>
    <s v="IMPORTADO COM SUCESSO"/>
    <s v="RESERVAS PENDENTES"/>
    <s v="NET MASSIVO"/>
    <x v="1"/>
  </r>
  <r>
    <x v="632"/>
    <s v="N190"/>
    <x v="7"/>
    <d v="2024-06-06T00:00:00"/>
    <s v="X43"/>
    <n v="22026251"/>
    <s v="CTRL REMOTO DIG. CR2FU UNIVERS"/>
    <x v="0"/>
    <n v="50"/>
    <n v="1"/>
    <s v="Unidade"/>
    <s v="IMPORTADO COM SUCESSO"/>
    <s v="RESERVAS PENDENTES"/>
    <s v="NET MASSIVO"/>
    <x v="1"/>
  </r>
  <r>
    <x v="632"/>
    <s v="N190"/>
    <x v="10"/>
    <d v="2024-06-06T00:00:00"/>
    <s v="X43"/>
    <n v="22060422"/>
    <s v="CONTROLE REMOTO UNIFICADO RC4194202 01B"/>
    <x v="0"/>
    <n v="50"/>
    <n v="1"/>
    <s v="Unidade"/>
    <s v="IMPORTADO COM SUCESSO"/>
    <s v="RESERVAS PENDENTES"/>
    <s v="NET MASSIVO"/>
    <x v="1"/>
  </r>
  <r>
    <x v="633"/>
    <s v="N190"/>
    <x v="11"/>
    <d v="2024-06-06T00:00:00"/>
    <s v="X41"/>
    <n v="41001483"/>
    <s v="DECODER IP 4K ULTRA HD ZAPPER S4KW2 DDR3"/>
    <x v="0"/>
    <n v="10"/>
    <n v="1"/>
    <s v="Unidade"/>
    <s v="IMPORTADO COM SUCESSO"/>
    <s v="RESERVAS PENDENTES"/>
    <s v="NET MASSIVO"/>
    <x v="1"/>
  </r>
  <r>
    <x v="634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34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5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35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6"/>
    <s v="N190"/>
    <x v="7"/>
    <d v="2024-06-06T00:00:00"/>
    <s v="X43"/>
    <n v="22026251"/>
    <s v="CTRL REMOTO DIG. CR2FU UNIVERS"/>
    <x v="0"/>
    <n v="200"/>
    <n v="1"/>
    <s v="Unidade"/>
    <s v="IMPORTADO COM SUCESSO"/>
    <s v="RESERVAS PENDENTES"/>
    <s v="NET MASSIVO"/>
    <x v="1"/>
  </r>
  <r>
    <x v="636"/>
    <s v="N190"/>
    <x v="10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7"/>
    <s v="N190"/>
    <x v="7"/>
    <d v="2024-06-06T00:00:00"/>
    <s v="X43"/>
    <n v="22026251"/>
    <s v="CTRL REMOTO DIG. CR2FU UNIVERS"/>
    <x v="0"/>
    <n v="100"/>
    <n v="1"/>
    <s v="Unidade"/>
    <s v="IMPORTADO COM SUCESSO"/>
    <s v="RESERVAS PENDENTES"/>
    <s v="NET MASSIVO"/>
    <x v="1"/>
  </r>
  <r>
    <x v="637"/>
    <s v="N190"/>
    <x v="7"/>
    <d v="2024-06-06T00:00:00"/>
    <s v="X43"/>
    <n v="22060422"/>
    <s v="CONTROLE REMOTO UNIFICADO RC4194202 01B"/>
    <x v="0"/>
    <n v="100"/>
    <n v="1"/>
    <s v="Unidade"/>
    <s v="IMPORTADO COM SUCESSO"/>
    <s v="RESERVAS PENDENTES"/>
    <s v="NET MASSIVO"/>
    <x v="1"/>
  </r>
  <r>
    <x v="638"/>
    <s v="N190"/>
    <x v="7"/>
    <d v="2024-06-06T00:00:00"/>
    <s v="X51"/>
    <n v="41001234"/>
    <s v="SMART CARD AVULSO PRETO NOVO"/>
    <x v="0"/>
    <n v="50"/>
    <n v="1"/>
    <s v="Unidade"/>
    <s v="IMPORTADO COM SUCESSO"/>
    <s v="RESERVAS PENDENTES"/>
    <s v="NET MASSIVO"/>
    <x v="1"/>
  </r>
  <r>
    <x v="638"/>
    <s v="N190"/>
    <x v="7"/>
    <d v="2024-06-06T00:00:00"/>
    <s v="X51"/>
    <n v="41001277"/>
    <s v="DECODER HD DXC5000 2T"/>
    <x v="0"/>
    <n v="50"/>
    <n v="1"/>
    <s v="Unidade"/>
    <s v="IMPORTADO COM SUCESSO"/>
    <s v="RESERVAS PENDENTES"/>
    <s v="NET MASSIVO"/>
    <x v="1"/>
  </r>
  <r>
    <x v="638"/>
    <s v="N190"/>
    <x v="7"/>
    <d v="2024-06-06T00:00:00"/>
    <s v="X51"/>
    <n v="41001482"/>
    <s v="MODEM VOIPEMTA WIFI 3.1 CGA4233CLB"/>
    <x v="0"/>
    <n v="60"/>
    <n v="1"/>
    <s v="Unidade"/>
    <s v="IMPORTADO COM SUCESSO"/>
    <s v="RESERVAS PENDENTES"/>
    <s v="NET MASSIVO"/>
    <x v="1"/>
  </r>
  <r>
    <x v="639"/>
    <s v="N190"/>
    <x v="7"/>
    <d v="2024-06-06T00:00:00"/>
    <s v="X43"/>
    <n v="22025116"/>
    <s v="MARCADOR CASA PTO LETRA C"/>
    <x v="0"/>
    <n v="30"/>
    <n v="1"/>
    <s v="Unidade"/>
    <s v="IMPORTADO COM SUCESSO"/>
    <s v="RESERVAS PENDENTES"/>
    <s v="NET MASSIVO"/>
    <x v="1"/>
  </r>
  <r>
    <x v="639"/>
    <s v="N190"/>
    <x v="7"/>
    <d v="2024-06-06T00:00:00"/>
    <s v="X43"/>
    <n v="22060422"/>
    <s v="CONTROLE REMOTO UNIFICADO RC4194202 01B"/>
    <x v="0"/>
    <n v="20"/>
    <n v="1"/>
    <s v="Unidade"/>
    <s v="IMPORTADO COM SUCESSO"/>
    <s v="RESERVAS PENDENTES"/>
    <s v="NET MASSIVO"/>
    <x v="1"/>
  </r>
  <r>
    <x v="639"/>
    <s v="N190"/>
    <x v="10"/>
    <d v="2024-06-06T00:00:00"/>
    <s v="X43"/>
    <n v="22062558"/>
    <s v="CABO HDMI 4K ETH 30V 1.8M KFH120081302"/>
    <x v="0"/>
    <n v="20"/>
    <n v="1"/>
    <s v="Unidade"/>
    <s v="IMPORTADO COM SUCESSO"/>
    <s v="RESERVAS PENDENTES"/>
    <s v="NET MASSIVO"/>
    <x v="1"/>
  </r>
  <r>
    <x v="640"/>
    <s v="N190"/>
    <x v="7"/>
    <d v="2024-06-06T00:00:00"/>
    <s v="X51"/>
    <n v="41001234"/>
    <s v="SMART CARD AVULSO PRETO NOVO"/>
    <x v="0"/>
    <n v="30"/>
    <n v="1"/>
    <s v="Unidade"/>
    <s v="IMPORTADO COM SUCESSO"/>
    <s v="RESERVAS PENDENTES"/>
    <s v="NET MASSIVO"/>
    <x v="1"/>
  </r>
  <r>
    <x v="640"/>
    <s v="N190"/>
    <x v="7"/>
    <d v="2024-06-06T00:00:00"/>
    <s v="X51"/>
    <n v="41001277"/>
    <s v="DECODER HD DXC5000 2T"/>
    <x v="0"/>
    <n v="30"/>
    <n v="1"/>
    <s v="Unidade"/>
    <s v="IMPORTADO COM SUCESSO"/>
    <s v="RESERVAS PENDENTES"/>
    <s v="NET MASSIVO"/>
    <x v="1"/>
  </r>
  <r>
    <x v="641"/>
    <s v="N190"/>
    <x v="10"/>
    <d v="2024-06-06T00:00:00"/>
    <s v="X51"/>
    <n v="41001573"/>
    <s v="DECODER CARDLESS 4K UHD S4KCW4S CABO IP"/>
    <x v="0"/>
    <n v="10"/>
    <n v="1"/>
    <s v="Unidade"/>
    <s v="IMPORTADO COM SUCESSO"/>
    <s v="RESERVAS PENDENTES"/>
    <s v="NET MASSIVO"/>
    <x v="1"/>
  </r>
  <r>
    <x v="642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42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42"/>
    <s v="N190"/>
    <x v="7"/>
    <d v="2024-06-06T00:00:00"/>
    <s v="X51"/>
    <n v="41001482"/>
    <s v="MODEM VOIPEMTA WIFI 3.1 CGA4233CLB"/>
    <x v="0"/>
    <n v="30"/>
    <n v="1"/>
    <s v="Unidade"/>
    <s v="IMPORTADO COM SUCESSO"/>
    <s v="RESERVAS PENDENTES"/>
    <s v="NET MASSIVO"/>
    <x v="1"/>
  </r>
  <r>
    <x v="643"/>
    <s v="N190"/>
    <x v="7"/>
    <d v="2024-06-06T00:00:00"/>
    <s v="X51"/>
    <n v="41001234"/>
    <s v="SMART CARD AVULSO PRETO NOVO"/>
    <x v="0"/>
    <n v="60"/>
    <n v="1"/>
    <s v="Unidade"/>
    <s v="IMPORTADO COM SUCESSO"/>
    <s v="RESERVAS PENDENTES"/>
    <s v="NET MASSIVO"/>
    <x v="1"/>
  </r>
  <r>
    <x v="643"/>
    <s v="N190"/>
    <x v="7"/>
    <d v="2024-06-06T00:00:00"/>
    <s v="X51"/>
    <n v="41001277"/>
    <s v="DECODER HD DXC5000 2T"/>
    <x v="0"/>
    <n v="60"/>
    <n v="1"/>
    <s v="Unidade"/>
    <s v="IMPORTADO COM SUCESSO"/>
    <s v="RESERVAS PENDENTES"/>
    <s v="NET MASSIVO"/>
    <x v="1"/>
  </r>
  <r>
    <x v="643"/>
    <s v="N190"/>
    <x v="7"/>
    <d v="2024-06-06T00:00:00"/>
    <s v="X51"/>
    <n v="41001293"/>
    <s v="EMTA WIFI 3.0 TG1692A 16X4"/>
    <x v="0"/>
    <n v="20"/>
    <n v="1"/>
    <s v="Unidade"/>
    <s v="IMPORTADO COM SUCESSO"/>
    <s v="RESERVAS PENDENTES"/>
    <s v="NET MASSIVO"/>
    <x v="1"/>
  </r>
  <r>
    <x v="644"/>
    <s v="N190"/>
    <x v="7"/>
    <d v="2024-06-06T00:00:00"/>
    <s v="X51"/>
    <n v="41001234"/>
    <s v="SMART CARD AVULSO PRETO NOVO"/>
    <x v="0"/>
    <n v="90"/>
    <n v="1"/>
    <s v="Unidade"/>
    <s v="IMPORTADO COM SUCESSO"/>
    <s v="RESERVAS PENDENTES"/>
    <s v="NET MASSIVO"/>
    <x v="1"/>
  </r>
  <r>
    <x v="644"/>
    <s v="N190"/>
    <x v="7"/>
    <d v="2024-06-06T00:00:00"/>
    <s v="X51"/>
    <n v="41001277"/>
    <s v="DECODER HD DXC5000 2T"/>
    <x v="0"/>
    <n v="90"/>
    <n v="1"/>
    <s v="Unidade"/>
    <s v="IMPORTADO COM SUCESSO"/>
    <s v="RESERVAS PENDENTES"/>
    <s v="NET MASSIVO"/>
    <x v="1"/>
  </r>
  <r>
    <x v="645"/>
    <s v="N190"/>
    <x v="7"/>
    <d v="2024-06-06T00:00:00"/>
    <s v="X51"/>
    <n v="41001482"/>
    <s v="MODEM VOIPEMTA WIFI 3.1 CGA4233CLB"/>
    <x v="0"/>
    <n v="30"/>
    <n v="1"/>
    <s v="Unidade"/>
    <s v="IMPORTADO COM SUCESSO"/>
    <s v="RESERVAS PENDENTES"/>
    <s v="NET MASSIVO"/>
    <x v="1"/>
  </r>
  <r>
    <x v="645"/>
    <s v="N190"/>
    <x v="10"/>
    <d v="2024-06-06T00:00:00"/>
    <s v="X51"/>
    <n v="41001553"/>
    <s v="TERMINAL DOCSIS 3.1 EMTA WIFI6 TC3106"/>
    <x v="0"/>
    <n v="20"/>
    <n v="1"/>
    <s v="Unidade"/>
    <s v="IMPORTADO COM SUCESSO"/>
    <s v="RESERVAS PENDENTES"/>
    <s v="NET MASSIVO"/>
    <x v="1"/>
  </r>
  <r>
    <x v="646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46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47"/>
    <s v="N190"/>
    <x v="7"/>
    <d v="2024-06-06T00:00:00"/>
    <s v="X43"/>
    <n v="22060290"/>
    <s v="FONTE DE ALIMENTACAO 12V CG3000 MSA C3"/>
    <x v="0"/>
    <n v="100"/>
    <n v="1"/>
    <s v="Unidade"/>
    <s v="IMPORTADO COM SUCESSO"/>
    <s v="RESERVAS PENDENTES"/>
    <s v="NET MASSIVO"/>
    <x v="1"/>
  </r>
  <r>
    <x v="647"/>
    <s v="N190"/>
    <x v="7"/>
    <d v="2024-06-06T00:00:00"/>
    <s v="X43"/>
    <n v="22062579"/>
    <s v="FONTE ALIM 12V 3.5A MSGH3500WR120042A0BR"/>
    <x v="0"/>
    <n v="82"/>
    <n v="1"/>
    <s v="Unidade"/>
    <s v="IMPORTADO COM SUCESSO"/>
    <s v="RESERVAS PENDENTES"/>
    <s v="NET MASSIVO"/>
    <x v="1"/>
  </r>
  <r>
    <x v="647"/>
    <s v="N190"/>
    <x v="10"/>
    <d v="2024-06-06T00:00:00"/>
    <s v="X43"/>
    <n v="22062579"/>
    <s v="FONTE ALIM 12V 3.5A MSGH3500WR120042A0BR"/>
    <x v="0"/>
    <n v="4"/>
    <n v="1"/>
    <s v="Unidade"/>
    <s v="IMPORTADO COM SUCESSO"/>
    <s v="RESERVAS PENDENTES"/>
    <s v="NET MASSIVO"/>
    <x v="1"/>
  </r>
  <r>
    <x v="648"/>
    <s v="N190"/>
    <x v="7"/>
    <d v="2024-06-06T00:00:00"/>
    <s v="X51"/>
    <n v="41001234"/>
    <s v="SMART CARD AVULSO PRETO NOVO"/>
    <x v="0"/>
    <n v="170"/>
    <n v="1"/>
    <s v="Unidade"/>
    <s v="IMPORTADO COM SUCESSO"/>
    <s v="RESERVAS PENDENTES"/>
    <s v="NET MASSIVO"/>
    <x v="1"/>
  </r>
  <r>
    <x v="648"/>
    <s v="N190"/>
    <x v="7"/>
    <d v="2024-06-06T00:00:00"/>
    <s v="X51"/>
    <n v="41001277"/>
    <s v="DECODER HD DXC5000 2T"/>
    <x v="0"/>
    <n v="170"/>
    <n v="1"/>
    <s v="Unidade"/>
    <s v="IMPORTADO COM SUCESSO"/>
    <s v="RESERVAS PENDENTES"/>
    <s v="NET MASSIVO"/>
    <x v="1"/>
  </r>
  <r>
    <x v="648"/>
    <s v="N190"/>
    <x v="7"/>
    <d v="2024-06-06T00:00:00"/>
    <s v="X51"/>
    <n v="41001293"/>
    <s v="EMTA WIFI 3.0 TG1692A 16X4"/>
    <x v="0"/>
    <n v="30"/>
    <n v="1"/>
    <s v="Unidade"/>
    <s v="IMPORTADO COM SUCESSO"/>
    <s v="RESERVAS PENDENTES"/>
    <s v="NET MASSIVO"/>
    <x v="1"/>
  </r>
  <r>
    <x v="649"/>
    <s v="N190"/>
    <x v="10"/>
    <d v="2024-06-06T00:00:00"/>
    <s v="X43"/>
    <n v="22026265"/>
    <s v="CABO DROP FO LOW F FIG0 BRANCO"/>
    <x v="0"/>
    <n v="1000"/>
    <n v="1"/>
    <s v="Unidade"/>
    <s v="IMPORTADO COM SUCESSO"/>
    <s v="RESERVAS PENDENTES"/>
    <s v="NET MASSIVO"/>
    <x v="1"/>
  </r>
  <r>
    <x v="649"/>
    <s v="N190"/>
    <x v="10"/>
    <d v="2024-06-06T00:00:00"/>
    <s v="X43"/>
    <n v="22057620"/>
    <s v="CONECTOR FO CAMPO FAST SC/APC"/>
    <x v="0"/>
    <n v="100"/>
    <n v="1"/>
    <s v="Unidade"/>
    <s v="IMPORTADO COM SUCESSO"/>
    <s v="RESERVAS PENDENTES"/>
    <s v="NET MASSIVO"/>
    <x v="1"/>
  </r>
  <r>
    <x v="649"/>
    <s v="N190"/>
    <x v="10"/>
    <d v="2024-06-06T00:00:00"/>
    <s v="X43"/>
    <n v="22061736"/>
    <s v="CABO DROP 1FO LOW F FIG8 LOW CINZA"/>
    <x v="0"/>
    <n v="3000"/>
    <n v="1"/>
    <s v="Unidade"/>
    <s v="IMPORTADO COM SUCESSO"/>
    <s v="RESERVAS PENDENTES"/>
    <s v="NET MASSIVO"/>
    <x v="1"/>
  </r>
  <r>
    <x v="650"/>
    <s v="N190"/>
    <x v="7"/>
    <d v="2024-06-06T00:00:00"/>
    <s v="X51"/>
    <n v="41001234"/>
    <s v="SMART CARD AVULSO PRETO NOVO"/>
    <x v="0"/>
    <n v="40"/>
    <n v="1"/>
    <s v="Unidade"/>
    <s v="IMPORTADO COM SUCESSO"/>
    <s v="RESERVAS PENDENTES"/>
    <s v="NET MASSIVO"/>
    <x v="1"/>
  </r>
  <r>
    <x v="650"/>
    <s v="N190"/>
    <x v="7"/>
    <d v="2024-06-06T00:00:00"/>
    <s v="X51"/>
    <n v="41001277"/>
    <s v="DECODER HD DXC5000 2T"/>
    <x v="0"/>
    <n v="40"/>
    <n v="1"/>
    <s v="Unidade"/>
    <s v="IMPORTADO COM SUCESSO"/>
    <s v="RESERVAS PENDENTES"/>
    <s v="NET MASSIVO"/>
    <x v="1"/>
  </r>
  <r>
    <x v="651"/>
    <s v="N190"/>
    <x v="7"/>
    <d v="2024-06-06T00:00:00"/>
    <s v="X51"/>
    <n v="41001234"/>
    <s v="SMART CARD AVULSO PRETO NOVO"/>
    <x v="0"/>
    <n v="150"/>
    <n v="1"/>
    <s v="Unidade"/>
    <s v="IMPORTADO COM SUCESSO"/>
    <s v="RESERVAS PENDENTES"/>
    <s v="NET MASSIVO"/>
    <x v="1"/>
  </r>
  <r>
    <x v="651"/>
    <s v="N190"/>
    <x v="7"/>
    <d v="2024-06-06T00:00:00"/>
    <s v="X51"/>
    <n v="41001277"/>
    <s v="DECODER HD DXC5000 2T"/>
    <x v="0"/>
    <n v="150"/>
    <n v="1"/>
    <s v="Unidade"/>
    <s v="IMPORTADO COM SUCESSO"/>
    <s v="RESERVAS PENDENTES"/>
    <s v="NET MASSIVO"/>
    <x v="1"/>
  </r>
  <r>
    <x v="652"/>
    <s v="N190"/>
    <x v="7"/>
    <d v="2024-06-06T00:00:00"/>
    <s v="X51"/>
    <n v="41001234"/>
    <s v="SMART CARD AVULSO PRETO NOVO"/>
    <x v="0"/>
    <n v="20"/>
    <n v="1"/>
    <s v="Unidade"/>
    <s v="IMPORTADO COM SUCESSO"/>
    <s v="RESERVAS PENDENTES"/>
    <s v="NET MASSIVO"/>
    <x v="1"/>
  </r>
  <r>
    <x v="652"/>
    <s v="N190"/>
    <x v="7"/>
    <d v="2024-06-06T00:00:00"/>
    <s v="X51"/>
    <n v="41001277"/>
    <s v="DECODER HD DXC5000 2T"/>
    <x v="0"/>
    <n v="20"/>
    <n v="1"/>
    <s v="Unidade"/>
    <s v="IMPORTADO COM SUCESSO"/>
    <s v="RESERVAS PENDENTES"/>
    <s v="NET MASSIVO"/>
    <x v="1"/>
  </r>
  <r>
    <x v="653"/>
    <s v="N190"/>
    <x v="7"/>
    <d v="2024-06-06T00:00:00"/>
    <s v="X43"/>
    <n v="22026297"/>
    <s v="FONTE ALIM AC/DC 12V 1,5A"/>
    <x v="0"/>
    <n v="50"/>
    <n v="1"/>
    <s v="Unidade"/>
    <s v="IMPORTADO COM SUCESSO"/>
    <s v="RESERVAS PENDENTES"/>
    <s v="NET MASSIVO"/>
    <x v="1"/>
  </r>
  <r>
    <x v="653"/>
    <s v="N190"/>
    <x v="7"/>
    <d v="2024-06-06T00:00:00"/>
    <s v="X43"/>
    <n v="22060652"/>
    <s v="FONTE DE ALIMENTACAO 12V FAST3895 MSG"/>
    <x v="0"/>
    <n v="54"/>
    <n v="1"/>
    <s v="Unidade"/>
    <s v="IMPORTADO COM SUCESSO"/>
    <s v="RESERVAS PENDENTES"/>
    <s v="NET MASSIVO"/>
    <x v="1"/>
  </r>
  <r>
    <x v="653"/>
    <s v="N190"/>
    <x v="7"/>
    <d v="2024-06-06T00:00:00"/>
    <s v="X43"/>
    <n v="22062579"/>
    <s v="FONTE ALIM 12V 3.5A MSGH3500WR120042A0BR"/>
    <x v="0"/>
    <n v="26"/>
    <n v="1"/>
    <s v="Unidade"/>
    <s v="IMPORTADO COM SUCESSO"/>
    <s v="RESERVAS PENDENTES"/>
    <s v="NET MASSIVO"/>
    <x v="1"/>
  </r>
  <r>
    <x v="654"/>
    <s v="N190"/>
    <x v="7"/>
    <d v="2024-06-06T00:00:00"/>
    <s v="X51"/>
    <n v="41001234"/>
    <s v="SMART CARD AVULSO PRETO NOVO"/>
    <x v="0"/>
    <n v="240"/>
    <n v="1"/>
    <s v="Unidade"/>
    <s v="IMPORTADO COM SUCESSO"/>
    <s v="RESERVAS PENDENTES"/>
    <s v="NET MASSIVO"/>
    <x v="1"/>
  </r>
  <r>
    <x v="654"/>
    <s v="N190"/>
    <x v="7"/>
    <d v="2024-06-06T00:00:00"/>
    <s v="X51"/>
    <n v="41001277"/>
    <s v="DECODER HD DXC5000 2T"/>
    <x v="0"/>
    <n v="240"/>
    <n v="1"/>
    <s v="Unidade"/>
    <s v="IMPORTADO COM SUCESSO"/>
    <s v="RESERVAS PENDENTES"/>
    <s v="NET MASSIVO"/>
    <x v="1"/>
  </r>
  <r>
    <x v="655"/>
    <s v="N190"/>
    <x v="7"/>
    <d v="2024-06-06T00:00:00"/>
    <s v="X43"/>
    <n v="22026297"/>
    <s v="FONTE ALIM AC/DC 12V 1,5A"/>
    <x v="0"/>
    <n v="50"/>
    <n v="1"/>
    <s v="Unidade"/>
    <s v="IMPORTADO COM SUCESSO"/>
    <s v="RESERVAS PENDENTES"/>
    <s v="NET MASSIVO"/>
    <x v="1"/>
  </r>
  <r>
    <x v="655"/>
    <s v="N190"/>
    <x v="7"/>
    <d v="2024-06-06T00:00:00"/>
    <s v="X43"/>
    <n v="22060652"/>
    <s v="FONTE DE ALIMENTACAO 12V FAST3895 MSG"/>
    <x v="0"/>
    <n v="80"/>
    <n v="1"/>
    <s v="Unidade"/>
    <s v="IMPORTADO COM SUCESSO"/>
    <s v="RESERVAS PENDENTES"/>
    <s v="NET MASSIVO"/>
    <x v="1"/>
  </r>
  <r>
    <x v="656"/>
    <s v="N190"/>
    <x v="7"/>
    <d v="2024-06-06T00:00:00"/>
    <s v="X51"/>
    <n v="41001234"/>
    <s v="SMART CARD AVULSO PRETO NOVO"/>
    <x v="0"/>
    <n v="180"/>
    <n v="1"/>
    <s v="Unidade"/>
    <s v="IMPORTADO COM SUCESSO"/>
    <s v="RESERVAS PENDENTES"/>
    <s v="NET MASSIVO"/>
    <x v="1"/>
  </r>
  <r>
    <x v="656"/>
    <s v="N190"/>
    <x v="7"/>
    <d v="2024-06-06T00:00:00"/>
    <s v="X51"/>
    <n v="41001277"/>
    <s v="DECODER HD DXC5000 2T"/>
    <x v="0"/>
    <n v="180"/>
    <n v="1"/>
    <s v="Unidade"/>
    <s v="IMPORTADO COM SUCESSO"/>
    <s v="RESERVAS PENDENTES"/>
    <s v="NET MASSIVO"/>
    <x v="1"/>
  </r>
  <r>
    <x v="657"/>
    <s v="N190"/>
    <x v="10"/>
    <d v="2024-06-06T00:00:00"/>
    <s v="X43"/>
    <n v="22026219"/>
    <s v="CABO COAXIAL RG6 TRISH SEM MENSAG BRANCO"/>
    <x v="0"/>
    <n v="300"/>
    <n v="1"/>
    <s v="Unidade"/>
    <s v="IMPORTADO COM SUCESSO"/>
    <s v="RESERVAS PENDENTES"/>
    <s v="NET MASSIVO"/>
    <x v="1"/>
  </r>
  <r>
    <x v="658"/>
    <s v="N190"/>
    <x v="7"/>
    <d v="2024-06-06T00:00:00"/>
    <s v="X51"/>
    <n v="41001234"/>
    <s v="SMART CARD AVULSO PRETO NOVO"/>
    <x v="0"/>
    <n v="80"/>
    <n v="1"/>
    <s v="Unidade"/>
    <s v="IMPORTADO COM SUCESSO"/>
    <s v="RESERVAS PENDENTES"/>
    <s v="NET MASSIVO"/>
    <x v="1"/>
  </r>
  <r>
    <x v="658"/>
    <s v="N190"/>
    <x v="7"/>
    <d v="2024-06-06T00:00:00"/>
    <s v="X51"/>
    <n v="41001277"/>
    <s v="DECODER HD DXC5000 2T"/>
    <x v="0"/>
    <n v="80"/>
    <n v="1"/>
    <s v="Unidade"/>
    <s v="IMPORTADO COM SUCESSO"/>
    <s v="RESERVAS PENDENTES"/>
    <s v="NET MASSIVO"/>
    <x v="1"/>
  </r>
  <r>
    <x v="658"/>
    <s v="N190"/>
    <x v="7"/>
    <d v="2024-06-06T00:00:00"/>
    <s v="X51"/>
    <n v="41001482"/>
    <s v="MODEM VOIPEMTA WIFI 3.1 CGA4233CLB"/>
    <x v="0"/>
    <n v="110"/>
    <n v="1"/>
    <s v="Unidade"/>
    <s v="IMPORTADO COM SUCESSO"/>
    <s v="RESERVAS PENDENTES"/>
    <s v="NET MASSIVO"/>
    <x v="1"/>
  </r>
  <r>
    <x v="659"/>
    <s v="N190"/>
    <x v="7"/>
    <d v="2024-06-06T00:00:00"/>
    <s v="X51"/>
    <n v="41001234"/>
    <s v="SMART CARD AVULSO PRETO NOVO"/>
    <x v="0"/>
    <n v="100"/>
    <n v="1"/>
    <s v="Unidade"/>
    <s v="IMPORTADO COM SUCESSO"/>
    <s v="RESERVAS PENDENTES"/>
    <s v="NET MASSIVO"/>
    <x v="1"/>
  </r>
  <r>
    <x v="659"/>
    <s v="N190"/>
    <x v="7"/>
    <d v="2024-06-06T00:00:00"/>
    <s v="X51"/>
    <n v="41001277"/>
    <s v="DECODER HD DXC5000 2T"/>
    <x v="0"/>
    <n v="100"/>
    <n v="1"/>
    <s v="Unidade"/>
    <s v="IMPORTADO COM SUCESSO"/>
    <s v="RESERVAS PENDENTES"/>
    <s v="NET MASSIVO"/>
    <x v="1"/>
  </r>
  <r>
    <x v="659"/>
    <s v="N190"/>
    <x v="7"/>
    <d v="2024-06-06T00:00:00"/>
    <s v="X51"/>
    <n v="41001482"/>
    <s v="MODEM VOIPEMTA WIFI 3.1 CGA4233CLB"/>
    <x v="0"/>
    <n v="120"/>
    <n v="1"/>
    <s v="Unidade"/>
    <s v="IMPORTADO COM SUCESSO"/>
    <s v="RESERVAS PENDENTES"/>
    <s v="NET MASSIVO"/>
    <x v="1"/>
  </r>
  <r>
    <x v="660"/>
    <s v="N190"/>
    <x v="10"/>
    <d v="2024-06-06T00:00:00"/>
    <s v="X51"/>
    <n v="41001535"/>
    <s v="TERMINAL GPON WIFI TCG2232"/>
    <x v="0"/>
    <n v="10"/>
    <n v="1"/>
    <s v="Unidade"/>
    <s v="IMPORTADO COM SUCESSO"/>
    <s v="RESERVAS PENDENTES"/>
    <s v="NET MASSIVO"/>
    <x v="1"/>
  </r>
  <r>
    <x v="661"/>
    <s v="N190"/>
    <x v="10"/>
    <d v="2024-06-06T00:00:00"/>
    <s v="X43"/>
    <n v="22026265"/>
    <s v="CABO DROP FO LOW F FIG0 BRANCO"/>
    <x v="0"/>
    <n v="500"/>
    <n v="1"/>
    <s v="Unidade"/>
    <s v="IMPORTADO COM SUCESSO"/>
    <s v="RESERVAS PENDENTES"/>
    <s v="NET MASSIVO"/>
    <x v="1"/>
  </r>
  <r>
    <x v="661"/>
    <s v="N190"/>
    <x v="10"/>
    <d v="2024-06-06T00:00:00"/>
    <s v="X43"/>
    <n v="22056369"/>
    <s v="CABO UTP CAT5E ETHERNET NET"/>
    <x v="0"/>
    <n v="400"/>
    <n v="1"/>
    <s v="Unidade"/>
    <s v="IMPORTADO COM SUCESSO"/>
    <s v="RESERVAS PENDENTES"/>
    <s v="NET MASSIVO"/>
    <x v="1"/>
  </r>
  <r>
    <x v="661"/>
    <s v="N190"/>
    <x v="10"/>
    <d v="2024-06-06T00:00:00"/>
    <s v="X43"/>
    <n v="22057620"/>
    <s v="CONECTOR FO CAMPO FAST SC/APC"/>
    <x v="0"/>
    <n v="200"/>
    <n v="1"/>
    <s v="Unidade"/>
    <s v="IMPORTADO COM SUCESSO"/>
    <s v="RESERVAS PENDENTES"/>
    <s v="NET MASSIVO"/>
    <x v="1"/>
  </r>
  <r>
    <x v="661"/>
    <s v="N190"/>
    <x v="10"/>
    <d v="2024-06-06T00:00:00"/>
    <s v="X43"/>
    <n v="22061736"/>
    <s v="CABO DROP 1FO LOW F FIG8 LOW CINZA"/>
    <x v="0"/>
    <n v="500"/>
    <n v="1"/>
    <s v="Unidade"/>
    <s v="IMPORTADO COM SUCESSO"/>
    <s v="RESERVAS PENDENTES"/>
    <s v="NET MASSIVO"/>
    <x v="1"/>
  </r>
  <r>
    <x v="661"/>
    <s v="N190"/>
    <x v="10"/>
    <d v="2024-06-06T00:00:00"/>
    <s v="X43"/>
    <n v="22061811"/>
    <s v="CONECTOR UTP RJ45 M CAT 5 24AWG"/>
    <x v="0"/>
    <n v="200"/>
    <n v="1"/>
    <s v="Unidade"/>
    <s v="IMPORTADO COM SUCESSO"/>
    <s v="RESERVAS PENDENTES"/>
    <s v="NET MASSIVO"/>
    <x v="1"/>
  </r>
  <r>
    <x v="662"/>
    <s v="N190"/>
    <x v="12"/>
    <d v="2024-06-07T00:00:00"/>
    <s v="Z71"/>
    <n v="30030530"/>
    <s v="MODULO TRANS RET SG4000 0DB TR"/>
    <x v="0"/>
    <n v="4"/>
    <n v="1"/>
    <s v="Unidade"/>
    <s v="IMPORTADO COM SUCESSO"/>
    <s v="RESERVAS PENDENTES"/>
    <s v="NET MASSIVO"/>
    <x v="1"/>
  </r>
  <r>
    <x v="662"/>
    <s v="N190"/>
    <x v="12"/>
    <d v="2024-06-07T00:00:00"/>
    <s v="Z71"/>
    <n v="30030910"/>
    <s v="MODULO RECEPTOR_FO SG4000 1GHZ"/>
    <x v="0"/>
    <n v="3"/>
    <n v="1"/>
    <s v="Unidade"/>
    <s v="IMPORTADO COM SUCESSO"/>
    <s v="RESERVAS PENDENTES"/>
    <s v="NET MASSIVO"/>
    <x v="1"/>
  </r>
  <r>
    <x v="662"/>
    <s v="N190"/>
    <x v="12"/>
    <d v="2024-06-07T00:00:00"/>
    <s v="Z71"/>
    <n v="30031088"/>
    <s v="MOD 1G/85MHZ RF SG4000 N GAN"/>
    <x v="0"/>
    <n v="10"/>
    <n v="1"/>
    <s v="Unidade"/>
    <s v="IMPORTADO COM SUCESSO"/>
    <s v="RESERVAS PENDENTES"/>
    <s v="NET MASSIVO"/>
    <x v="1"/>
  </r>
  <r>
    <x v="663"/>
    <s v="N190"/>
    <x v="12"/>
    <d v="2024-06-07T00:00:00"/>
    <s v="Z71"/>
    <n v="30034057"/>
    <s v="MODULO INVERSOR XM2 SERIES TR"/>
    <x v="0"/>
    <n v="9"/>
    <n v="1"/>
    <s v="Unidade"/>
    <s v="IMPORTADO COM SUCESSO"/>
    <s v="RESERVAS PENDENTES"/>
    <s v="NET MASSIVO"/>
    <x v="1"/>
  </r>
  <r>
    <x v="664"/>
    <s v="N190"/>
    <x v="12"/>
    <d v="2024-06-07T00:00:00"/>
    <s v="Z71"/>
    <n v="30030828"/>
    <s v="MODULO 1G/42MHZ HGBT GM"/>
    <x v="0"/>
    <n v="4"/>
    <n v="1"/>
    <s v="Unidade"/>
    <s v="IMPORTADO COM SUCESSO"/>
    <s v="RESERVAS PENDENTES"/>
    <s v="NET MASSIVO"/>
    <x v="1"/>
  </r>
  <r>
    <x v="664"/>
    <s v="N190"/>
    <x v="12"/>
    <d v="2024-06-07T00:00:00"/>
    <s v="Z71"/>
    <n v="30030830"/>
    <s v="MODULO 1G/42MHZ HGD GM"/>
    <x v="0"/>
    <n v="13"/>
    <n v="1"/>
    <s v="Unidade"/>
    <s v="IMPORTADO COM SUCESSO"/>
    <s v="RESERVAS PENDENTES"/>
    <s v="NET MASSIVO"/>
    <x v="1"/>
  </r>
  <r>
    <x v="664"/>
    <s v="N190"/>
    <x v="12"/>
    <d v="2024-06-07T00:00:00"/>
    <s v="Z71"/>
    <n v="30030989"/>
    <s v="AMP 1G/85MHZ HGD RF GM"/>
    <x v="0"/>
    <n v="7"/>
    <n v="1"/>
    <s v="Unidade"/>
    <s v="IMPORTADO COM SUCESSO"/>
    <s v="RESERVAS PENDENTES"/>
    <s v="NET MASSIVO"/>
    <x v="1"/>
  </r>
  <r>
    <x v="664"/>
    <s v="N190"/>
    <x v="12"/>
    <d v="2024-06-07T00:00:00"/>
    <s v="Z71"/>
    <n v="30030990"/>
    <s v="AMP 1G/85MHZ HGBT RF GM"/>
    <x v="0"/>
    <n v="4"/>
    <n v="1"/>
    <s v="Unidade"/>
    <s v="IMPORTADO COM SUCESSO"/>
    <s v="RESERVAS PENDENTES"/>
    <s v="NET MASSIVO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1000000}" name="TrackingPedidosNet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51:AA59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axis="axisRow" showAll="0">
      <items count="13">
        <item x="5"/>
        <item x="1"/>
        <item x="0"/>
        <item x="4"/>
        <item x="3"/>
        <item x="2"/>
        <item x="6"/>
        <item x="7"/>
        <item x="8"/>
        <item m="1" x="11"/>
        <item m="1" x="9"/>
        <item m="1" x="10"/>
        <item t="default"/>
      </items>
    </pivotField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7"/>
  </rowFields>
  <rowItems count="8">
    <i>
      <x/>
    </i>
    <i>
      <x v="1"/>
    </i>
    <i>
      <x v="3"/>
    </i>
    <i>
      <x v="4"/>
    </i>
    <i>
      <x v="6"/>
    </i>
    <i>
      <x v="7"/>
    </i>
    <i>
      <x v="8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4" baseItem="0"/>
  </dataFields>
  <formats count="4"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EvoluçãoHR" cacheId="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26">
  <location ref="H13:H18" firstHeaderRow="1" firstDataRow="1" firstDataCol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showAll="0">
      <items count="5">
        <item m="1" x="3"/>
        <item x="0"/>
        <item m="1" x="2"/>
        <item m="1" x="1"/>
        <item t="default"/>
      </items>
    </pivotField>
    <pivotField showAll="0" defaultSubtotal="0"/>
    <pivotField showAll="0"/>
    <pivotField axis="axisRow" showAll="0" sortType="ascending" defaultSubtotal="0">
      <items count="24">
        <item m="1" x="18"/>
        <item m="1" x="19"/>
        <item m="1" x="20"/>
        <item m="1" x="22"/>
        <item m="1" x="21"/>
        <item m="1" x="23"/>
        <item m="1" x="17"/>
        <item x="2"/>
        <item x="3"/>
        <item x="1"/>
        <item x="0"/>
        <item m="1" x="8"/>
        <item m="1" x="13"/>
        <item m="1" x="11"/>
        <item m="1" x="12"/>
        <item m="1" x="10"/>
        <item m="1" x="6"/>
        <item m="1" x="5"/>
        <item m="1" x="9"/>
        <item m="1" x="4"/>
        <item m="1" x="7"/>
        <item m="1" x="14"/>
        <item m="1" x="15"/>
        <item m="1" x="16"/>
      </items>
    </pivotField>
  </pivotFields>
  <rowFields count="1">
    <field x="10"/>
  </rowFields>
  <rowItems count="5">
    <i>
      <x v="7"/>
    </i>
    <i>
      <x v="8"/>
    </i>
    <i>
      <x v="9"/>
    </i>
    <i>
      <x v="10"/>
    </i>
    <i t="grand">
      <x/>
    </i>
  </rowItems>
  <colItems count="1">
    <i/>
  </colItems>
  <formats count="5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outline="0" axis="axisValues" fieldPosition="0"/>
    </format>
    <format dxfId="23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F000000}" name="TotalReservasGeral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74:AA77" firstHeaderRow="1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Contagem de Reserva" fld="0" subtotal="count" baseField="12" baseItem="0"/>
  </dataFields>
  <formats count="4"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C000000}" name="Tabela dinâmica3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90:AA92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axis="axisRow" showAll="0" defaultSubtotal="0">
      <items count="1">
        <item x="0"/>
      </items>
    </pivotField>
  </pivotFields>
  <rowFields count="1">
    <field x="16"/>
  </rowFields>
  <rowItems count="2">
    <i>
      <x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2" baseItem="0"/>
  </dataFields>
  <formats count="4">
    <format dxfId="35">
      <pivotArea type="all" dataOnly="0" outline="0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D000000}" name="Tabela dinâmica4" cacheId="24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 chartFormat="4">
  <location ref="AR96:AR526" firstHeaderRow="1" firstDataRow="1" firstDataCol="1" rowPageCount="1" colPageCount="1"/>
  <pivotFields count="15">
    <pivotField axis="axisRow" showAll="0">
      <items count="8001">
        <item m="1" x="7958"/>
        <item m="1" x="7954"/>
        <item m="1" x="7848"/>
        <item m="1" x="7959"/>
        <item m="1" x="7952"/>
        <item m="1" x="7921"/>
        <item m="1" x="7947"/>
        <item m="1" x="7922"/>
        <item m="1" x="7879"/>
        <item m="1" x="7940"/>
        <item m="1" x="7923"/>
        <item m="1" x="7924"/>
        <item m="1" x="7925"/>
        <item m="1" x="7926"/>
        <item m="1" x="7927"/>
        <item m="1" x="7928"/>
        <item m="1" x="7929"/>
        <item m="1" x="7955"/>
        <item m="1" x="7956"/>
        <item m="1" x="7957"/>
        <item m="1" x="7960"/>
        <item m="1" x="7961"/>
        <item m="1" x="7962"/>
        <item m="1" x="7933"/>
        <item m="1" x="7963"/>
        <item m="1" x="7934"/>
        <item m="1" x="7916"/>
        <item m="1" x="7935"/>
        <item m="1" x="7936"/>
        <item m="1" x="7964"/>
        <item m="1" x="7937"/>
        <item m="1" x="7917"/>
        <item m="1" x="7965"/>
        <item m="1" x="7849"/>
        <item m="1" x="7892"/>
        <item m="1" x="7918"/>
        <item m="1" x="7941"/>
        <item m="1" x="7796"/>
        <item m="1" x="7797"/>
        <item m="1" x="7966"/>
        <item m="1" x="7967"/>
        <item m="1" x="7850"/>
        <item m="1" x="7949"/>
        <item m="1" x="7893"/>
        <item m="1" x="7867"/>
        <item m="1" x="7851"/>
        <item m="1" x="7798"/>
        <item m="1" x="7968"/>
        <item m="1" x="7894"/>
        <item m="1" x="7852"/>
        <item m="1" x="7969"/>
        <item m="1" x="7799"/>
        <item m="1" x="7895"/>
        <item m="1" x="7800"/>
        <item m="1" x="7801"/>
        <item m="1" x="7970"/>
        <item m="1" x="7971"/>
        <item m="1" x="7853"/>
        <item m="1" x="7896"/>
        <item m="1" x="7897"/>
        <item m="1" x="7898"/>
        <item m="1" x="7802"/>
        <item m="1" x="7972"/>
        <item m="1" x="7973"/>
        <item m="1" x="7803"/>
        <item m="1" x="7804"/>
        <item m="1" x="7942"/>
        <item m="1" x="7868"/>
        <item m="1" x="7869"/>
        <item m="1" x="7899"/>
        <item m="1" x="7900"/>
        <item m="1" x="7854"/>
        <item m="1" x="7943"/>
        <item m="1" x="7855"/>
        <item m="1" x="7856"/>
        <item m="1" x="7974"/>
        <item m="1" x="7975"/>
        <item m="1" x="7722"/>
        <item m="1" x="7805"/>
        <item m="1" x="7976"/>
        <item m="1" x="7977"/>
        <item m="1" x="7919"/>
        <item m="1" x="7901"/>
        <item m="1" x="7944"/>
        <item m="1" x="7870"/>
        <item m="1" x="7986"/>
        <item m="1" x="7902"/>
        <item m="1" x="7806"/>
        <item m="1" x="7945"/>
        <item m="1" x="7987"/>
        <item m="1" x="7903"/>
        <item m="1" x="7904"/>
        <item m="1" x="7807"/>
        <item m="1" x="7938"/>
        <item m="1" x="7905"/>
        <item m="1" x="7808"/>
        <item m="1" x="7906"/>
        <item m="1" x="7809"/>
        <item m="1" x="7857"/>
        <item m="1" x="7810"/>
        <item m="1" x="7950"/>
        <item m="1" x="7811"/>
        <item m="1" x="7920"/>
        <item m="1" x="7812"/>
        <item m="1" x="7978"/>
        <item m="1" x="7813"/>
        <item m="1" x="7939"/>
        <item m="1" x="7814"/>
        <item m="1" x="7946"/>
        <item m="1" x="7815"/>
        <item m="1" x="7907"/>
        <item m="1" x="7908"/>
        <item m="1" x="7847"/>
        <item m="1" x="7723"/>
        <item m="1" x="7724"/>
        <item m="1" x="7725"/>
        <item m="1" x="7726"/>
        <item m="1" x="7727"/>
        <item m="1" x="7988"/>
        <item m="1" x="7989"/>
        <item m="1" x="7990"/>
        <item m="1" x="7991"/>
        <item m="1" x="7992"/>
        <item m="1" x="7993"/>
        <item m="1" x="7873"/>
        <item m="1" x="7994"/>
        <item m="1" x="7874"/>
        <item m="1" x="7995"/>
        <item m="1" x="7996"/>
        <item m="1" x="7997"/>
        <item m="1" x="7998"/>
        <item m="1" x="7999"/>
        <item m="1" x="7875"/>
        <item m="1" x="7859"/>
        <item m="1" x="7578"/>
        <item m="1" x="7579"/>
        <item m="1" x="7580"/>
        <item m="1" x="7860"/>
        <item m="1" x="7880"/>
        <item m="1" x="7881"/>
        <item m="1" x="7882"/>
        <item m="1" x="7883"/>
        <item m="1" x="7884"/>
        <item m="1" x="7885"/>
        <item m="1" x="7886"/>
        <item m="1" x="7887"/>
        <item m="1" x="7845"/>
        <item m="1" x="7846"/>
        <item m="1" x="7861"/>
        <item m="1" x="7862"/>
        <item m="1" x="7888"/>
        <item m="1" x="7863"/>
        <item m="1" x="7864"/>
        <item m="1" x="7865"/>
        <item m="1" x="7866"/>
        <item m="1" x="7545"/>
        <item m="1" x="7911"/>
        <item m="1" x="7912"/>
        <item m="1" x="7889"/>
        <item m="1" x="7876"/>
        <item m="1" x="7909"/>
        <item m="1" x="7910"/>
        <item m="1" x="7599"/>
        <item m="1" x="7979"/>
        <item m="1" x="7980"/>
        <item m="1" x="7981"/>
        <item m="1" x="7829"/>
        <item m="1" x="7830"/>
        <item m="1" x="7890"/>
        <item m="1" x="7953"/>
        <item m="1" x="7816"/>
        <item m="1" x="7817"/>
        <item m="1" x="7755"/>
        <item m="1" x="7818"/>
        <item m="1" x="7827"/>
        <item m="1" x="7872"/>
        <item m="1" x="7828"/>
        <item m="1" x="7913"/>
        <item m="1" x="7877"/>
        <item m="1" x="7819"/>
        <item m="1" x="7728"/>
        <item m="1" x="7729"/>
        <item m="1" x="7451"/>
        <item m="1" x="7412"/>
        <item m="1" x="7756"/>
        <item m="1" x="7757"/>
        <item m="1" x="7758"/>
        <item m="1" x="7496"/>
        <item m="1" x="7688"/>
        <item m="1" x="7497"/>
        <item m="1" x="7452"/>
        <item m="1" x="7759"/>
        <item m="1" x="7546"/>
        <item m="1" x="7760"/>
        <item m="1" x="7453"/>
        <item m="1" x="7820"/>
        <item m="1" x="7689"/>
        <item m="1" x="7498"/>
        <item m="1" x="7454"/>
        <item m="1" x="7761"/>
        <item m="1" x="7821"/>
        <item m="1" x="7690"/>
        <item m="1" x="7526"/>
        <item m="1" x="7455"/>
        <item m="1" x="7413"/>
        <item m="1" x="7676"/>
        <item m="1" x="7414"/>
        <item m="1" x="7527"/>
        <item m="1" x="7456"/>
        <item m="1" x="7403"/>
        <item m="1" x="7822"/>
        <item m="1" x="7730"/>
        <item m="1" x="7823"/>
        <item m="1" x="7762"/>
        <item m="1" x="7547"/>
        <item m="1" x="7644"/>
        <item m="1" x="7499"/>
        <item m="1" x="7731"/>
        <item m="1" x="7415"/>
        <item m="1" x="7416"/>
        <item m="1" x="7763"/>
        <item m="1" x="7404"/>
        <item m="1" x="7417"/>
        <item m="1" x="7457"/>
        <item m="1" x="7418"/>
        <item m="1" x="7764"/>
        <item m="1" x="7405"/>
        <item m="1" x="7548"/>
        <item m="1" x="7765"/>
        <item m="1" x="7500"/>
        <item m="1" x="7732"/>
        <item m="1" x="7501"/>
        <item m="1" x="7458"/>
        <item m="1" x="7528"/>
        <item m="1" x="7766"/>
        <item m="1" x="7767"/>
        <item m="1" x="7768"/>
        <item m="1" x="7529"/>
        <item m="1" x="7419"/>
        <item m="1" x="7769"/>
        <item m="1" x="7770"/>
        <item m="1" x="7771"/>
        <item m="1" x="7406"/>
        <item m="1" x="7459"/>
        <item m="1" x="7549"/>
        <item m="1" x="7733"/>
        <item m="1" x="7772"/>
        <item m="1" x="7824"/>
        <item m="1" x="7734"/>
        <item m="1" x="7407"/>
        <item m="1" x="7420"/>
        <item m="1" x="7421"/>
        <item m="1" x="7502"/>
        <item m="1" x="7408"/>
        <item m="1" x="7460"/>
        <item m="1" x="7677"/>
        <item m="1" x="7503"/>
        <item m="1" x="7530"/>
        <item m="1" x="7409"/>
        <item m="1" x="7735"/>
        <item m="1" x="7461"/>
        <item m="1" x="7550"/>
        <item m="1" x="7462"/>
        <item m="1" x="7551"/>
        <item m="1" x="7552"/>
        <item m="1" x="7410"/>
        <item m="1" x="7504"/>
        <item m="1" x="7411"/>
        <item m="1" x="7553"/>
        <item m="1" x="7505"/>
        <item m="1" x="7506"/>
        <item m="1" x="7825"/>
        <item m="1" x="7507"/>
        <item m="1" x="7463"/>
        <item m="1" x="7464"/>
        <item m="1" x="7508"/>
        <item m="1" x="7826"/>
        <item m="1" x="7554"/>
        <item m="1" x="7774"/>
        <item m="1" x="7775"/>
        <item m="1" x="7776"/>
        <item m="1" x="7737"/>
        <item m="1" x="7703"/>
        <item m="1" x="7704"/>
        <item m="1" x="7705"/>
        <item m="1" x="7706"/>
        <item m="1" x="7707"/>
        <item m="1" x="7708"/>
        <item m="1" x="7709"/>
        <item m="1" x="7710"/>
        <item m="1" x="7842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843"/>
        <item m="1" x="7844"/>
        <item m="1" x="7317"/>
        <item m="1" x="7318"/>
        <item m="1" x="7288"/>
        <item m="1" x="7355"/>
        <item m="1" x="7356"/>
        <item m="1" x="7289"/>
        <item m="1" x="7357"/>
        <item m="1" x="7309"/>
        <item m="1" x="7270"/>
        <item m="1" x="7358"/>
        <item m="1" x="7310"/>
        <item m="1" x="7290"/>
        <item m="1" x="7982"/>
        <item m="1" x="7983"/>
        <item m="1" x="7984"/>
        <item m="1" x="7985"/>
        <item m="1" x="7878"/>
        <item m="1" x="7951"/>
        <item m="1" x="7914"/>
        <item m="1" x="7915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891"/>
        <item m="1" x="7543"/>
        <item m="1" x="7544"/>
        <item m="1" x="7524"/>
        <item m="1" x="7525"/>
        <item m="1" x="7831"/>
        <item m="1" x="7619"/>
        <item m="1" x="7695"/>
        <item m="1" x="7620"/>
        <item m="1" x="7560"/>
        <item m="1" x="7738"/>
        <item m="1" x="7777"/>
        <item m="1" x="7739"/>
        <item m="1" x="7531"/>
        <item m="1" x="7678"/>
        <item m="1" x="7532"/>
        <item m="1" x="7601"/>
        <item m="1" x="7586"/>
        <item m="1" x="7645"/>
        <item m="1" x="7602"/>
        <item m="1" x="7587"/>
        <item m="1" x="7646"/>
        <item m="1" x="7647"/>
        <item m="1" x="7740"/>
        <item m="1" x="7561"/>
        <item m="1" x="7778"/>
        <item m="1" x="7832"/>
        <item m="1" x="7679"/>
        <item m="1" x="7588"/>
        <item m="1" x="7648"/>
        <item m="1" x="7858"/>
        <item m="1" x="7511"/>
        <item m="1" x="7779"/>
        <item m="1" x="7465"/>
        <item m="1" x="7603"/>
        <item m="1" x="7833"/>
        <item m="1" x="7649"/>
        <item m="1" x="7650"/>
        <item m="1" x="7621"/>
        <item m="1" x="7651"/>
        <item m="1" x="7466"/>
        <item m="1" x="7834"/>
        <item m="1" x="7604"/>
        <item m="1" x="7589"/>
        <item m="1" x="7622"/>
        <item m="1" x="7696"/>
        <item m="1" x="7512"/>
        <item m="1" x="7513"/>
        <item m="1" x="7835"/>
        <item m="1" x="7623"/>
        <item m="1" x="7780"/>
        <item m="1" x="7467"/>
        <item m="1" x="7697"/>
        <item m="1" x="7680"/>
        <item m="1" x="7533"/>
        <item m="1" x="7698"/>
        <item m="1" x="7534"/>
        <item m="1" x="7836"/>
        <item m="1" x="7741"/>
        <item m="1" x="7468"/>
        <item m="1" x="7781"/>
        <item m="1" x="7652"/>
        <item m="1" x="7469"/>
        <item m="1" x="7470"/>
        <item m="1" x="7653"/>
        <item m="1" x="7590"/>
        <item m="1" x="7624"/>
        <item m="1" x="7535"/>
        <item m="1" x="7471"/>
        <item m="1" x="7625"/>
        <item m="1" x="7742"/>
        <item m="1" x="7605"/>
        <item m="1" x="7681"/>
        <item m="1" x="7626"/>
        <item m="1" x="7782"/>
        <item m="1" x="7591"/>
        <item m="1" x="7472"/>
        <item m="1" x="7562"/>
        <item m="1" x="7627"/>
        <item m="1" x="7473"/>
        <item m="1" x="7743"/>
        <item m="1" x="7514"/>
        <item m="1" x="7474"/>
        <item m="1" x="7783"/>
        <item m="1" x="7744"/>
        <item m="1" x="7475"/>
        <item m="1" x="7682"/>
        <item m="1" x="7476"/>
        <item m="1" x="7654"/>
        <item m="1" x="7784"/>
        <item m="1" x="7837"/>
        <item m="1" x="7838"/>
        <item m="1" x="7745"/>
        <item m="1" x="7746"/>
        <item m="1" x="7747"/>
        <item m="1" x="7785"/>
        <item m="1" x="7592"/>
        <item m="1" x="7628"/>
        <item m="1" x="7515"/>
        <item m="1" x="7516"/>
        <item m="1" x="7786"/>
        <item m="1" x="7699"/>
        <item m="1" x="7477"/>
        <item m="1" x="7517"/>
        <item m="1" x="7606"/>
        <item m="1" x="7593"/>
        <item m="1" x="7683"/>
        <item m="1" x="7655"/>
        <item m="1" x="7839"/>
        <item m="1" x="7563"/>
        <item m="1" x="7656"/>
        <item m="1" x="7700"/>
        <item m="1" x="7657"/>
        <item m="1" x="7840"/>
        <item m="1" x="7518"/>
        <item m="1" x="7629"/>
        <item m="1" x="7519"/>
        <item m="1" x="7478"/>
        <item m="1" x="7748"/>
        <item m="1" x="7701"/>
        <item m="1" x="7564"/>
        <item m="1" x="7749"/>
        <item m="1" x="7787"/>
        <item m="1" x="7479"/>
        <item m="1" x="7565"/>
        <item m="1" x="7520"/>
        <item m="1" x="7658"/>
        <item m="1" x="7536"/>
        <item m="1" x="7480"/>
        <item m="1" x="7566"/>
        <item m="1" x="7607"/>
        <item m="1" x="7608"/>
        <item m="1" x="7630"/>
        <item m="1" x="7609"/>
        <item m="1" x="7567"/>
        <item m="1" x="7631"/>
        <item m="1" x="7537"/>
        <item m="1" x="7659"/>
        <item m="1" x="7594"/>
        <item m="1" x="7788"/>
        <item m="1" x="7841"/>
        <item m="1" x="7750"/>
        <item m="1" x="7481"/>
        <item m="1" x="7610"/>
        <item m="1" x="7568"/>
        <item m="1" x="7632"/>
        <item m="1" x="7611"/>
        <item m="1" x="7595"/>
        <item m="1" x="7660"/>
        <item m="1" x="7633"/>
        <item m="1" x="7684"/>
        <item m="1" x="7789"/>
        <item m="1" x="7751"/>
        <item m="1" x="7569"/>
        <item m="1" x="7634"/>
        <item m="1" x="7570"/>
        <item m="1" x="7790"/>
        <item m="1" x="7612"/>
        <item m="1" x="7685"/>
        <item m="1" x="7596"/>
        <item m="1" x="7702"/>
        <item m="1" x="7635"/>
        <item m="1" x="7482"/>
        <item m="1" x="7661"/>
        <item m="1" x="7791"/>
        <item m="1" x="7636"/>
        <item m="1" x="7483"/>
        <item m="1" x="7571"/>
        <item m="1" x="7538"/>
        <item m="1" x="7752"/>
        <item m="1" x="7753"/>
        <item m="1" x="7613"/>
        <item m="1" x="7539"/>
        <item m="1" x="7792"/>
        <item m="1" x="7572"/>
        <item m="1" x="7597"/>
        <item m="1" x="7484"/>
        <item m="1" x="7793"/>
        <item m="1" x="7521"/>
        <item m="1" x="7485"/>
        <item m="1" x="7662"/>
        <item m="1" x="7637"/>
        <item m="1" x="7638"/>
        <item m="1" x="7794"/>
        <item m="1" x="7486"/>
        <item m="1" x="7686"/>
        <item m="1" x="7663"/>
        <item m="1" x="7754"/>
        <item m="1" x="7614"/>
        <item m="1" x="7522"/>
        <item m="1" x="7615"/>
        <item m="1" x="7720"/>
        <item m="1" x="7721"/>
        <item m="1" x="7674"/>
        <item m="1" x="7948"/>
        <item m="1" x="7930"/>
        <item m="1" x="7931"/>
        <item m="1" x="7617"/>
        <item m="1" x="7639"/>
        <item m="1" x="7495"/>
        <item m="1" x="7640"/>
        <item m="1" x="7618"/>
        <item m="1" x="7641"/>
        <item m="1" x="7642"/>
        <item m="1" x="7509"/>
        <item m="1" x="7559"/>
        <item m="1" x="7573"/>
        <item m="1" x="7181"/>
        <item m="1" x="7523"/>
        <item m="1" x="7487"/>
        <item m="1" x="7422"/>
        <item m="1" x="7795"/>
        <item m="1" x="7598"/>
        <item m="1" x="7510"/>
        <item m="1" x="7488"/>
        <item m="1" x="7540"/>
        <item m="1" x="7489"/>
        <item m="1" x="7490"/>
        <item m="1" x="7491"/>
        <item m="1" x="7541"/>
        <item m="1" x="7574"/>
        <item m="1" x="7575"/>
        <item m="1" x="7492"/>
        <item m="1" x="7542"/>
        <item m="1" x="7576"/>
        <item m="1" x="7341"/>
        <item m="1" x="7271"/>
        <item m="1" x="7319"/>
        <item m="1" x="7311"/>
        <item m="1" x="7320"/>
        <item m="1" x="7391"/>
        <item m="1" x="7392"/>
        <item m="1" x="7393"/>
        <item m="1" x="7342"/>
        <item m="1" x="7312"/>
        <item m="1" x="7272"/>
        <item m="1" x="7394"/>
        <item m="1" x="7291"/>
        <item m="1" x="7292"/>
        <item m="1" x="7293"/>
        <item m="1" x="7321"/>
        <item m="1" x="7322"/>
        <item m="1" x="7294"/>
        <item m="1" x="7313"/>
        <item m="1" x="7258"/>
        <item m="1" x="7295"/>
        <item m="1" x="7343"/>
        <item m="1" x="7385"/>
        <item m="1" x="7359"/>
        <item m="1" x="7395"/>
        <item m="1" x="7296"/>
        <item m="1" x="7344"/>
        <item m="1" x="7360"/>
        <item m="1" x="7345"/>
        <item m="1" x="7273"/>
        <item m="1" x="7346"/>
        <item m="1" x="7297"/>
        <item m="1" x="7324"/>
        <item m="1" x="7361"/>
        <item m="1" x="7347"/>
        <item m="1" x="7396"/>
        <item m="1" x="7362"/>
        <item m="1" x="7298"/>
        <item m="1" x="7274"/>
        <item m="1" x="7325"/>
        <item m="1" x="7397"/>
        <item m="1" x="7299"/>
        <item m="1" x="7326"/>
        <item m="1" x="7327"/>
        <item m="1" x="7367"/>
        <item m="1" x="7300"/>
        <item m="1" x="7314"/>
        <item m="1" x="7301"/>
        <item m="1" x="7348"/>
        <item m="1" x="7349"/>
        <item m="1" x="7368"/>
        <item m="1" x="7350"/>
        <item m="1" x="7328"/>
        <item m="1" x="7302"/>
        <item m="1" x="7275"/>
        <item m="1" x="7303"/>
        <item m="1" x="7304"/>
        <item m="1" x="7351"/>
        <item m="1" x="7305"/>
        <item m="1" x="7329"/>
        <item m="1" x="7315"/>
        <item m="1" x="7386"/>
        <item m="1" x="7306"/>
        <item m="1" x="7398"/>
        <item m="1" x="7352"/>
        <item m="1" x="7353"/>
        <item m="1" x="7399"/>
        <item m="1" x="7307"/>
        <item m="1" x="7400"/>
        <item m="1" x="7276"/>
        <item m="1" x="7401"/>
        <item m="1" x="7277"/>
        <item m="1" x="7402"/>
        <item m="1" x="7387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54"/>
        <item m="1" x="7388"/>
        <item m="1" x="7389"/>
        <item m="1" x="7323"/>
        <item m="1" x="7330"/>
        <item m="1" x="7331"/>
        <item m="1" x="7332"/>
        <item m="1" x="7390"/>
        <item m="1" x="7278"/>
        <item m="1" x="7308"/>
        <item m="1" x="7555"/>
        <item m="1" x="7556"/>
        <item m="1" x="7557"/>
        <item m="1" x="7558"/>
        <item m="1" x="7577"/>
        <item m="1" x="7423"/>
        <item m="1" x="7424"/>
        <item m="1" x="7199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137"/>
        <item m="1" x="7138"/>
        <item m="1" x="7139"/>
        <item m="1" x="7200"/>
        <item m="1" x="7434"/>
        <item m="1" x="7435"/>
        <item m="1" x="7436"/>
        <item m="1" x="7437"/>
        <item m="1" x="7201"/>
        <item m="1" x="7493"/>
        <item m="1" x="7643"/>
        <item m="1" x="7316"/>
        <item m="1" x="7228"/>
        <item m="1" x="7736"/>
        <item m="1" x="7932"/>
        <item m="1" x="7687"/>
        <item m="1" x="7675"/>
        <item m="1" x="7364"/>
        <item m="1" x="7365"/>
        <item m="1" x="7340"/>
        <item m="1" x="7286"/>
        <item m="1" x="7287"/>
        <item m="1" x="7264"/>
        <item m="1" x="7438"/>
        <item m="1" x="7070"/>
        <item m="1" x="7141"/>
        <item m="1" x="7183"/>
        <item m="1" x="7184"/>
        <item m="1" x="7185"/>
        <item m="1" x="7142"/>
        <item m="1" x="7143"/>
        <item m="1" x="7144"/>
        <item m="1" x="7145"/>
        <item m="1" x="7146"/>
        <item m="1" x="7186"/>
        <item m="1" x="7105"/>
        <item m="1" x="7187"/>
        <item m="1" x="7203"/>
        <item m="1" x="7188"/>
        <item m="1" x="7189"/>
        <item m="1" x="7071"/>
        <item m="1" x="7204"/>
        <item m="1" x="7147"/>
        <item m="1" x="7148"/>
        <item m="1" x="7149"/>
        <item m="1" x="7106"/>
        <item m="1" x="7107"/>
        <item m="1" x="7190"/>
        <item m="1" x="7072"/>
        <item m="1" x="7150"/>
        <item m="1" x="7108"/>
        <item m="1" x="7383"/>
        <item m="1" x="7871"/>
        <item m="1" x="7691"/>
        <item m="1" x="7773"/>
        <item m="1" x="7140"/>
        <item m="1" x="7439"/>
        <item m="1" x="7440"/>
        <item m="1" x="7616"/>
        <item m="1" x="7104"/>
        <item m="1" x="7441"/>
        <item m="1" x="7442"/>
        <item m="1" x="7443"/>
        <item m="1" x="7444"/>
        <item m="1" x="7202"/>
        <item m="1" x="7182"/>
        <item m="1" x="7073"/>
        <item m="1" x="7445"/>
        <item m="1" x="7446"/>
        <item m="1" x="7447"/>
        <item m="1" x="7448"/>
        <item m="1" x="7109"/>
        <item m="1" x="7449"/>
        <item m="1" x="7110"/>
        <item m="1" x="7366"/>
        <item m="1" x="7338"/>
        <item m="1" x="7339"/>
        <item m="1" x="7178"/>
        <item m="1" x="7043"/>
        <item m="1" x="7692"/>
        <item m="1" x="7259"/>
        <item m="1" x="7226"/>
        <item m="1" x="7261"/>
        <item m="1" x="7262"/>
        <item m="1" x="7263"/>
        <item m="1" x="7693"/>
        <item m="1" x="7694"/>
        <item m="1" x="7279"/>
        <item m="1" x="6989"/>
        <item m="1" x="6988"/>
        <item m="1" x="6701"/>
        <item m="1" x="7044"/>
        <item m="1" x="6974"/>
        <item m="1" x="6984"/>
        <item m="1" x="7008"/>
        <item m="1" x="6990"/>
        <item m="1" x="7009"/>
        <item m="1" x="6946"/>
        <item m="1" x="6985"/>
        <item m="1" x="7010"/>
        <item m="1" x="6975"/>
        <item m="1" x="6845"/>
        <item m="1" x="7045"/>
        <item m="1" x="7046"/>
        <item m="1" x="6968"/>
        <item m="1" x="6991"/>
        <item m="1" x="7047"/>
        <item m="1" x="7011"/>
        <item m="1" x="7083"/>
        <item m="1" x="7048"/>
        <item m="1" x="7012"/>
        <item m="1" x="7280"/>
        <item m="1" x="7049"/>
        <item m="1" x="7126"/>
        <item m="1" x="6992"/>
        <item m="1" x="6830"/>
        <item m="1" x="6702"/>
        <item m="1" x="7127"/>
        <item m="1" x="7050"/>
        <item m="1" x="7207"/>
        <item m="1" x="6703"/>
        <item m="1" x="7154"/>
        <item m="1" x="6993"/>
        <item m="1" x="7084"/>
        <item m="1" x="7227"/>
        <item m="1" x="7013"/>
        <item m="1" x="7085"/>
        <item m="1" x="7179"/>
        <item m="1" x="7281"/>
        <item m="1" x="7014"/>
        <item m="1" x="7086"/>
        <item m="1" x="6969"/>
        <item m="1" x="6986"/>
        <item m="1" x="6976"/>
        <item m="1" x="7208"/>
        <item m="1" x="7128"/>
        <item m="1" x="7051"/>
        <item m="1" x="7052"/>
        <item m="1" x="7053"/>
        <item m="1" x="7129"/>
        <item m="1" x="7155"/>
        <item m="1" x="7087"/>
        <item m="1" x="7156"/>
        <item m="1" x="7088"/>
        <item m="1" x="7054"/>
        <item m="1" x="7130"/>
        <item m="1" x="6763"/>
        <item m="1" x="7089"/>
        <item m="1" x="6994"/>
        <item m="1" x="6995"/>
        <item m="1" x="7157"/>
        <item m="1" x="6972"/>
        <item m="1" x="6764"/>
        <item m="1" x="7055"/>
        <item m="1" x="7015"/>
        <item m="1" x="7282"/>
        <item m="1" x="7158"/>
        <item m="1" x="7056"/>
        <item m="1" x="6996"/>
        <item m="1" x="7229"/>
        <item m="1" x="7016"/>
        <item m="1" x="6997"/>
        <item m="1" x="6704"/>
        <item m="1" x="7283"/>
        <item m="1" x="7017"/>
        <item m="1" x="7131"/>
        <item m="1" x="6998"/>
        <item m="1" x="7284"/>
        <item m="1" x="7057"/>
        <item m="1" x="7132"/>
        <item m="1" x="6717"/>
        <item m="1" x="6999"/>
        <item m="1" x="6705"/>
        <item m="1" x="7159"/>
        <item m="1" x="6706"/>
        <item m="1" x="7000"/>
        <item m="1" x="7090"/>
        <item m="1" x="7001"/>
        <item m="1" x="7058"/>
        <item m="1" x="7002"/>
        <item m="1" x="7003"/>
        <item m="1" x="6973"/>
        <item m="1" x="6798"/>
        <item m="1" x="7091"/>
        <item m="1" x="7160"/>
        <item m="1" x="7092"/>
        <item m="1" x="6707"/>
        <item m="1" x="7230"/>
        <item m="1" x="7018"/>
        <item m="1" x="7133"/>
        <item m="1" x="7004"/>
        <item m="1" x="6874"/>
        <item m="1" x="7059"/>
        <item m="1" x="7060"/>
        <item m="1" x="7161"/>
        <item m="1" x="7061"/>
        <item m="1" x="7062"/>
        <item m="1" x="7005"/>
        <item m="1" x="7063"/>
        <item m="1" x="7064"/>
        <item m="1" x="7065"/>
        <item m="1" x="7093"/>
        <item m="1" x="7162"/>
        <item m="1" x="7094"/>
        <item m="1" x="7163"/>
        <item m="1" x="7066"/>
        <item m="1" x="7233"/>
        <item m="1" x="7234"/>
        <item m="1" x="7067"/>
        <item m="1" x="7235"/>
        <item m="1" x="7006"/>
        <item m="1" x="7236"/>
        <item m="1" x="7237"/>
        <item m="1" x="7095"/>
        <item m="1" x="7096"/>
        <item m="1" x="7164"/>
        <item m="1" x="7231"/>
        <item m="1" x="7165"/>
        <item m="1" x="7238"/>
        <item m="1" x="6970"/>
        <item m="1" x="7134"/>
        <item m="1" x="7166"/>
        <item m="1" x="7135"/>
        <item m="1" x="7097"/>
        <item m="1" x="7098"/>
        <item m="1" x="7239"/>
        <item m="1" x="7167"/>
        <item m="1" x="7007"/>
        <item m="1" x="7168"/>
        <item m="1" x="7019"/>
        <item m="1" x="7240"/>
        <item m="1" x="7068"/>
        <item m="1" x="7241"/>
        <item m="1" x="7099"/>
        <item m="1" x="7100"/>
        <item m="1" x="7101"/>
        <item m="1" x="7180"/>
        <item m="1" x="7242"/>
        <item m="1" x="7136"/>
        <item m="1" x="7232"/>
        <item m="1" x="7169"/>
        <item m="1" x="7102"/>
        <item m="1" x="7103"/>
        <item m="1" x="7450"/>
        <item m="1" x="6680"/>
        <item m="1" x="6831"/>
        <item m="1" x="6659"/>
        <item m="1" x="6629"/>
        <item m="1" x="7224"/>
        <item m="1" x="7384"/>
        <item m="1" x="7205"/>
        <item m="1" x="7206"/>
        <item m="1" x="7225"/>
        <item m="1" x="7191"/>
        <item m="1" x="7192"/>
        <item m="1" x="7076"/>
        <item m="1" x="7077"/>
        <item m="1" x="7078"/>
        <item m="1" x="7022"/>
        <item m="1" x="7023"/>
        <item m="1" x="7024"/>
        <item m="1" x="7151"/>
        <item m="1" x="7170"/>
        <item m="1" x="7171"/>
        <item m="1" x="7265"/>
        <item m="1" x="7266"/>
        <item m="1" x="6708"/>
        <item m="1" x="7333"/>
        <item m="1" x="6799"/>
        <item m="1" x="7600"/>
        <item m="1" x="6832"/>
        <item m="1" x="7581"/>
        <item m="1" x="7260"/>
        <item m="1" x="7582"/>
        <item m="1" x="7583"/>
        <item m="1" x="7584"/>
        <item m="1" x="7585"/>
        <item m="1" x="7193"/>
        <item m="1" x="6911"/>
        <item m="1" x="6932"/>
        <item m="1" x="6947"/>
        <item m="1" x="6948"/>
        <item m="1" x="6933"/>
        <item m="1" x="6934"/>
        <item m="1" x="6949"/>
        <item m="1" x="6876"/>
        <item m="1" x="6912"/>
        <item m="1" x="6950"/>
        <item m="1" x="6951"/>
        <item m="1" x="6913"/>
        <item m="1" x="6952"/>
        <item m="1" x="6877"/>
        <item m="1" x="6878"/>
        <item m="1" x="6953"/>
        <item m="1" x="6935"/>
        <item m="1" x="6879"/>
        <item m="1" x="6880"/>
        <item m="1" x="6954"/>
        <item m="1" x="6914"/>
        <item m="1" x="6899"/>
        <item m="1" x="6936"/>
        <item m="1" x="6937"/>
        <item m="1" x="6938"/>
        <item m="1" x="6939"/>
        <item m="1" x="6915"/>
        <item m="1" x="6940"/>
        <item m="1" x="6941"/>
        <item m="1" x="6942"/>
        <item m="1" x="6943"/>
        <item m="1" x="6955"/>
        <item m="1" x="6900"/>
        <item m="1" x="6881"/>
        <item m="1" x="6956"/>
        <item m="1" x="6882"/>
        <item m="1" x="6957"/>
        <item m="1" x="7334"/>
        <item m="1" x="7335"/>
        <item m="1" x="7363"/>
        <item m="1" x="7336"/>
        <item m="1" x="7494"/>
        <item m="1" x="6944"/>
        <item m="1" x="6901"/>
        <item m="1" x="6916"/>
        <item m="1" x="7285"/>
        <item m="1" x="7337"/>
        <item m="1" x="6927"/>
        <item m="1" x="7267"/>
        <item m="1" x="7268"/>
        <item m="1" x="6682"/>
        <item m="1" x="6767"/>
        <item m="1" x="7152"/>
        <item m="1" x="6977"/>
        <item m="1" x="6978"/>
        <item m="1" x="6979"/>
        <item m="1" x="6660"/>
        <item m="1" x="6871"/>
        <item m="1" x="6765"/>
        <item m="1" x="6681"/>
        <item m="1" x="6846"/>
        <item m="1" x="6504"/>
        <item m="1" x="6718"/>
        <item m="1" x="6864"/>
        <item m="1" x="6406"/>
        <item m="1" x="6407"/>
        <item m="1" x="6800"/>
        <item m="1" x="6460"/>
        <item m="1" x="6653"/>
        <item m="1" x="6461"/>
        <item m="1" x="6766"/>
        <item m="1" x="6719"/>
        <item m="1" x="6654"/>
        <item m="1" x="6408"/>
        <item m="1" x="6661"/>
        <item m="1" x="6720"/>
        <item m="1" x="6768"/>
        <item m="1" x="6847"/>
        <item m="1" x="6662"/>
        <item m="1" x="6409"/>
        <item m="1" x="6721"/>
        <item m="1" x="6801"/>
        <item m="1" x="6505"/>
        <item m="1" x="6709"/>
        <item m="1" x="6710"/>
        <item m="1" x="6506"/>
        <item m="1" x="6769"/>
        <item m="1" x="6722"/>
        <item m="1" x="6566"/>
        <item m="1" x="6833"/>
        <item m="1" x="6567"/>
        <item m="1" x="6410"/>
        <item m="1" x="6630"/>
        <item m="1" x="6802"/>
        <item m="1" x="6770"/>
        <item m="1" x="6462"/>
        <item m="1" x="6463"/>
        <item m="1" x="6803"/>
        <item m="1" x="6411"/>
        <item m="1" x="6865"/>
        <item m="1" x="6804"/>
        <item m="1" x="6631"/>
        <item m="1" x="6632"/>
        <item m="1" x="6848"/>
        <item m="1" x="6605"/>
        <item m="1" x="6507"/>
        <item m="1" x="6834"/>
        <item m="1" x="6464"/>
        <item m="1" x="6849"/>
        <item m="1" x="6655"/>
        <item m="1" x="6866"/>
        <item m="1" x="6771"/>
        <item m="1" x="6805"/>
        <item m="1" x="6508"/>
        <item m="1" x="6806"/>
        <item m="1" x="6412"/>
        <item m="1" x="6711"/>
        <item m="1" x="6663"/>
        <item m="1" x="6712"/>
        <item m="1" x="6509"/>
        <item m="1" x="6850"/>
        <item m="1" x="6683"/>
        <item m="1" x="6413"/>
        <item m="1" x="6568"/>
        <item m="1" x="6807"/>
        <item m="1" x="6772"/>
        <item m="1" x="6633"/>
        <item m="1" x="6414"/>
        <item m="1" x="6415"/>
        <item m="1" x="6416"/>
        <item m="1" x="6851"/>
        <item m="1" x="6510"/>
        <item m="1" x="6773"/>
        <item m="1" x="6713"/>
        <item m="1" x="6606"/>
        <item m="1" x="6714"/>
        <item m="1" x="6835"/>
        <item m="1" x="6569"/>
        <item m="1" x="6852"/>
        <item m="1" x="6607"/>
        <item m="1" x="6808"/>
        <item m="1" x="6774"/>
        <item m="1" x="6775"/>
        <item m="1" x="6511"/>
        <item m="1" x="6867"/>
        <item m="1" x="6634"/>
        <item m="1" x="6417"/>
        <item m="1" x="6776"/>
        <item m="1" x="6777"/>
        <item m="1" x="6778"/>
        <item m="1" x="6779"/>
        <item m="1" x="6780"/>
        <item m="1" x="6635"/>
        <item m="1" x="6697"/>
        <item m="1" x="6698"/>
        <item m="1" x="6699"/>
        <item m="1" x="6676"/>
        <item m="1" x="6677"/>
        <item m="1" x="6678"/>
        <item m="1" x="6608"/>
        <item m="1" x="6609"/>
        <item m="1" x="6512"/>
        <item m="1" x="6636"/>
        <item m="1" x="6637"/>
        <item m="1" x="6638"/>
        <item m="1" x="6639"/>
        <item m="1" x="6640"/>
        <item m="1" x="6641"/>
        <item m="1" x="6642"/>
        <item m="1" x="6684"/>
        <item m="1" x="6610"/>
        <item m="1" x="6643"/>
        <item m="1" x="6611"/>
        <item m="1" x="6612"/>
        <item m="1" x="6613"/>
        <item m="1" x="6614"/>
        <item m="1" x="6615"/>
        <item m="1" x="6616"/>
        <item m="1" x="6617"/>
        <item m="1" x="6465"/>
        <item m="1" x="6809"/>
        <item m="1" x="6810"/>
        <item m="1" x="6811"/>
        <item m="1" x="6781"/>
        <item m="1" x="6782"/>
        <item m="1" x="6783"/>
        <item m="1" x="6853"/>
        <item m="1" x="6715"/>
        <item m="1" x="6854"/>
        <item m="1" x="6812"/>
        <item m="1" x="6836"/>
        <item m="1" x="6784"/>
        <item m="1" x="6644"/>
        <item m="1" x="6813"/>
        <item m="1" x="6785"/>
        <item m="1" x="6570"/>
        <item m="1" x="6855"/>
        <item m="1" x="6716"/>
        <item m="1" x="6466"/>
        <item m="1" x="6814"/>
        <item m="1" x="6786"/>
        <item m="1" x="6618"/>
        <item m="1" x="6513"/>
        <item m="1" x="6787"/>
        <item m="1" x="6514"/>
        <item m="1" x="6571"/>
        <item m="1" x="6788"/>
        <item m="1" x="6789"/>
        <item m="1" x="6664"/>
        <item m="1" x="6815"/>
        <item m="1" x="7269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079"/>
        <item m="1" x="7080"/>
        <item m="1" x="7111"/>
        <item m="1" x="7172"/>
        <item m="1" x="7112"/>
        <item m="1" x="7173"/>
        <item m="1" x="7113"/>
        <item m="1" x="7194"/>
        <item m="1" x="7114"/>
        <item m="1" x="7025"/>
        <item m="1" x="7026"/>
        <item m="1" x="7027"/>
        <item m="1" x="7028"/>
        <item m="1" x="7195"/>
        <item m="1" x="7115"/>
        <item m="1" x="7174"/>
        <item m="1" x="7116"/>
        <item m="1" x="7117"/>
        <item m="1" x="7118"/>
        <item m="1" x="7119"/>
        <item m="1" x="7120"/>
        <item m="1" x="7081"/>
        <item m="1" x="7121"/>
        <item m="1" x="7122"/>
        <item m="1" x="7175"/>
        <item m="1" x="7123"/>
        <item m="1" x="7196"/>
        <item m="1" x="7124"/>
        <item m="1" x="7029"/>
        <item m="1" x="7176"/>
        <item m="1" x="7125"/>
        <item m="1" x="7177"/>
        <item m="1" x="7082"/>
        <item m="1" x="7197"/>
        <item m="1" x="7153"/>
        <item m="1" x="6945"/>
        <item m="1" x="6883"/>
        <item m="1" x="6884"/>
        <item m="1" x="6885"/>
        <item m="1" x="6886"/>
        <item m="1" x="6887"/>
        <item m="1" x="6888"/>
        <item m="1" x="6902"/>
        <item m="1" x="6903"/>
        <item m="1" x="6904"/>
        <item m="1" x="6905"/>
        <item m="1" x="6906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198"/>
        <item m="1" x="7221"/>
        <item m="1" x="7222"/>
        <item m="1" x="7223"/>
        <item m="1" x="6928"/>
        <item m="1" x="6929"/>
        <item m="1" x="6930"/>
        <item m="1" x="6931"/>
        <item m="1" x="7030"/>
        <item m="1" x="7031"/>
        <item m="1" x="7032"/>
        <item m="1" x="7033"/>
        <item m="1" x="7034"/>
        <item m="1" x="6919"/>
        <item m="1" x="6920"/>
        <item m="1" x="6921"/>
        <item m="1" x="6922"/>
        <item m="1" x="6923"/>
        <item m="1" x="7035"/>
        <item m="1" x="7036"/>
        <item m="1" x="7037"/>
        <item m="1" x="7038"/>
        <item m="1" x="7039"/>
        <item m="1" x="7040"/>
        <item m="1" x="7020"/>
        <item m="1" x="7074"/>
        <item m="1" x="7021"/>
        <item m="1" x="6924"/>
        <item m="1" x="7041"/>
        <item m="1" x="7042"/>
        <item m="1" x="6797"/>
        <item m="1" x="6987"/>
        <item m="1" x="6980"/>
        <item m="1" x="6981"/>
        <item m="1" x="6982"/>
        <item m="1" x="6983"/>
        <item m="1" x="6958"/>
        <item m="1" x="6959"/>
        <item m="1" x="7069"/>
        <item m="1" x="7075"/>
        <item m="1" x="6889"/>
        <item m="1" x="6960"/>
        <item m="1" x="6961"/>
        <item m="1" x="6962"/>
        <item m="1" x="6963"/>
        <item m="1" x="6964"/>
        <item m="1" x="6965"/>
        <item m="1" x="6966"/>
        <item m="1" x="6967"/>
        <item m="1" x="6326"/>
        <item m="1" x="6917"/>
        <item m="1" x="6918"/>
        <item m="1" x="6925"/>
        <item m="1" x="6926"/>
        <item m="1" x="6860"/>
        <item m="1" x="6861"/>
        <item m="1" x="6862"/>
        <item m="1" x="6863"/>
        <item m="1" x="6257"/>
        <item m="1" x="6418"/>
        <item m="1" x="6327"/>
        <item m="1" x="6328"/>
        <item m="1" x="6907"/>
        <item m="1" x="6908"/>
        <item m="1" x="6909"/>
        <item m="1" x="6890"/>
        <item m="1" x="6891"/>
        <item m="1" x="6892"/>
        <item m="1" x="6868"/>
        <item m="1" x="6910"/>
        <item m="1" x="6875"/>
        <item m="1" x="6893"/>
        <item m="1" x="6869"/>
        <item m="1" x="6894"/>
        <item m="1" x="6872"/>
        <item m="1" x="6895"/>
        <item m="1" x="6873"/>
        <item m="1" x="6896"/>
        <item m="1" x="6840"/>
        <item m="1" x="6971"/>
        <item m="1" x="6839"/>
        <item m="1" x="6859"/>
        <item m="1" x="6841"/>
        <item m="1" x="6381"/>
        <item m="1" x="6042"/>
        <item m="1" x="6043"/>
        <item m="1" x="6258"/>
        <item m="1" x="6382"/>
        <item m="1" x="6173"/>
        <item m="1" x="6294"/>
        <item m="1" x="6174"/>
        <item m="1" x="6259"/>
        <item m="1" x="6260"/>
        <item m="1" x="6214"/>
        <item m="1" x="6383"/>
        <item m="1" x="6261"/>
        <item m="1" x="5997"/>
        <item m="1" x="6175"/>
        <item m="1" x="6176"/>
        <item m="1" x="6177"/>
        <item m="1" x="6178"/>
        <item m="1" x="6363"/>
        <item m="1" x="5942"/>
        <item m="1" x="6215"/>
        <item m="1" x="6179"/>
        <item m="1" x="5998"/>
        <item m="1" x="6353"/>
        <item m="1" x="6419"/>
        <item m="1" x="5943"/>
        <item m="1" x="6110"/>
        <item m="1" x="6149"/>
        <item m="1" x="6216"/>
        <item m="1" x="5944"/>
        <item m="1" x="5999"/>
        <item m="1" x="6354"/>
        <item m="1" x="6217"/>
        <item m="1" x="5945"/>
        <item m="1" x="6329"/>
        <item m="1" x="6355"/>
        <item m="1" x="6420"/>
        <item m="1" x="6356"/>
        <item m="1" x="6262"/>
        <item m="1" x="6180"/>
        <item m="1" x="6218"/>
        <item m="1" x="6161"/>
        <item m="1" x="6364"/>
        <item m="1" x="6295"/>
        <item m="1" x="6162"/>
        <item m="1" x="6044"/>
        <item m="1" x="6181"/>
        <item m="1" x="6421"/>
        <item m="1" x="5946"/>
        <item m="1" x="6515"/>
        <item m="1" x="6422"/>
        <item m="1" x="6296"/>
        <item m="1" x="6263"/>
        <item m="1" x="6182"/>
        <item m="1" x="6183"/>
        <item m="1" x="6184"/>
        <item m="1" x="6723"/>
        <item m="1" x="6423"/>
        <item m="1" x="5844"/>
        <item m="1" x="6185"/>
        <item m="1" x="6219"/>
        <item m="1" x="6656"/>
        <item m="1" x="6357"/>
        <item m="1" x="6264"/>
        <item m="1" x="6516"/>
        <item m="1" x="6517"/>
        <item m="1" x="6572"/>
        <item m="1" x="6573"/>
        <item m="1" x="6000"/>
        <item m="1" x="6220"/>
        <item m="1" x="6424"/>
        <item m="1" x="6297"/>
        <item m="1" x="6358"/>
        <item m="1" x="6186"/>
        <item m="1" x="6645"/>
        <item m="1" x="6646"/>
        <item m="1" x="6425"/>
        <item m="1" x="6265"/>
        <item m="1" x="6163"/>
        <item m="1" x="6365"/>
        <item m="1" x="5845"/>
        <item m="1" x="6366"/>
        <item m="1" x="6001"/>
        <item m="1" x="6330"/>
        <item m="1" x="6187"/>
        <item m="1" x="6221"/>
        <item m="1" x="6002"/>
        <item m="1" x="6222"/>
        <item m="1" x="6426"/>
        <item m="1" x="6164"/>
        <item m="1" x="6359"/>
        <item m="1" x="6188"/>
        <item m="1" x="5846"/>
        <item m="1" x="6189"/>
        <item m="1" x="6190"/>
        <item m="1" x="6266"/>
        <item m="1" x="6384"/>
        <item m="1" x="6191"/>
        <item m="1" x="5947"/>
        <item m="1" x="6003"/>
        <item m="1" x="6518"/>
        <item m="1" x="6519"/>
        <item m="1" x="6360"/>
        <item m="1" x="6361"/>
        <item m="1" x="6192"/>
        <item m="1" x="6331"/>
        <item m="1" x="6193"/>
        <item m="1" x="6427"/>
        <item m="1" x="6428"/>
        <item m="1" x="6429"/>
        <item m="1" x="6223"/>
        <item m="1" x="6194"/>
        <item m="1" x="6385"/>
        <item m="1" x="6332"/>
        <item m="1" x="6430"/>
        <item m="1" x="6333"/>
        <item m="1" x="6431"/>
        <item m="1" x="6432"/>
        <item m="1" x="6267"/>
        <item m="1" x="6433"/>
        <item m="1" x="6434"/>
        <item m="1" x="6435"/>
        <item m="1" x="6268"/>
        <item m="1" x="6436"/>
        <item m="1" x="6334"/>
        <item m="1" x="6437"/>
        <item m="1" x="6224"/>
        <item m="1" x="6165"/>
        <item m="1" x="6367"/>
        <item m="1" x="6438"/>
        <item m="1" x="6195"/>
        <item m="1" x="6386"/>
        <item m="1" x="6439"/>
        <item m="1" x="6269"/>
        <item m="1" x="6004"/>
        <item m="1" x="6440"/>
        <item m="1" x="6270"/>
        <item m="1" x="6225"/>
        <item m="1" x="6196"/>
        <item m="1" x="6226"/>
        <item m="1" x="6368"/>
        <item m="1" x="6441"/>
        <item m="1" x="6271"/>
        <item m="1" x="6197"/>
        <item m="1" x="6442"/>
        <item m="1" x="6005"/>
        <item m="1" x="6467"/>
        <item m="1" x="6625"/>
        <item m="1" x="6725"/>
        <item m="1" x="6468"/>
        <item m="1" x="6469"/>
        <item m="1" x="6897"/>
        <item m="1" x="6790"/>
        <item m="1" x="5715"/>
        <item m="1" x="6726"/>
        <item m="1" x="6727"/>
        <item m="1" x="6898"/>
        <item m="1" x="6837"/>
        <item m="1" x="6737"/>
        <item m="1" x="6738"/>
        <item m="1" x="6870"/>
        <item m="1" x="6739"/>
        <item m="1" x="6740"/>
        <item m="1" x="6856"/>
        <item m="1" x="6741"/>
        <item m="1" x="6857"/>
        <item m="1" x="6742"/>
        <item m="1" x="6858"/>
        <item m="1" x="6743"/>
        <item m="1" x="6744"/>
        <item m="1" x="6728"/>
        <item m="1" x="6648"/>
        <item m="1" x="6729"/>
        <item m="1" x="6730"/>
        <item m="1" x="6731"/>
        <item m="1" x="6649"/>
        <item m="1" x="6732"/>
        <item m="1" x="6733"/>
        <item m="1" x="6817"/>
        <item m="1" x="6818"/>
        <item m="1" x="6734"/>
        <item m="1" x="6735"/>
        <item m="1" x="6736"/>
        <item m="1" x="6819"/>
        <item m="1" x="6745"/>
        <item m="1" x="6471"/>
        <item m="1" x="6747"/>
        <item m="1" x="6748"/>
        <item m="1" x="6749"/>
        <item m="1" x="6750"/>
        <item m="1" x="6838"/>
        <item m="1" x="6751"/>
        <item m="1" x="6752"/>
        <item m="1" x="6753"/>
        <item m="1" x="6754"/>
        <item m="1" x="6755"/>
        <item m="1" x="6665"/>
        <item m="1" x="6821"/>
        <item m="1" x="6666"/>
        <item m="1" x="6667"/>
        <item m="1" x="6668"/>
        <item m="1" x="6822"/>
        <item m="1" x="6669"/>
        <item m="1" x="6756"/>
        <item m="1" x="6658"/>
        <item m="1" x="6757"/>
        <item m="1" x="6582"/>
        <item m="1" x="6758"/>
        <item m="1" x="6670"/>
        <item m="1" x="6823"/>
        <item m="1" x="6671"/>
        <item m="1" x="6583"/>
        <item m="1" x="6759"/>
        <item m="1" x="6657"/>
        <item m="1" x="6824"/>
        <item m="1" x="6672"/>
        <item m="1" x="6673"/>
        <item m="1" x="6584"/>
        <item m="1" x="6674"/>
        <item m="1" x="5847"/>
        <item m="1" x="6082"/>
        <item m="1" x="6820"/>
        <item m="1" x="6791"/>
        <item m="1" x="6792"/>
        <item m="1" x="6746"/>
        <item m="1" x="6760"/>
        <item m="1" x="6825"/>
        <item m="1" x="6826"/>
        <item m="1" x="6827"/>
        <item m="1" x="6828"/>
        <item m="1" x="6793"/>
        <item m="1" x="6761"/>
        <item m="1" x="6794"/>
        <item m="1" x="6762"/>
        <item m="1" x="6829"/>
        <item m="1" x="6470"/>
        <item m="1" x="6585"/>
        <item m="1" x="6472"/>
        <item m="1" x="6543"/>
        <item m="1" x="6544"/>
        <item m="1" x="6545"/>
        <item m="1" x="6546"/>
        <item m="1" x="6795"/>
        <item m="1" x="6474"/>
        <item m="1" x="6548"/>
        <item m="1" x="6475"/>
        <item m="1" x="6476"/>
        <item m="1" x="6477"/>
        <item m="1" x="6478"/>
        <item m="1" x="6586"/>
        <item m="1" x="6549"/>
        <item m="1" x="6479"/>
        <item m="1" x="6550"/>
        <item m="1" x="6480"/>
        <item m="1" x="6481"/>
        <item m="1" x="6551"/>
        <item m="1" x="6482"/>
        <item m="1" x="6483"/>
        <item m="1" x="6587"/>
        <item m="1" x="6588"/>
        <item m="1" x="6443"/>
        <item m="1" x="6484"/>
        <item m="1" x="6589"/>
        <item m="1" x="6552"/>
        <item m="1" x="6590"/>
        <item m="1" x="6485"/>
        <item m="1" x="6486"/>
        <item m="1" x="6487"/>
        <item m="1" x="6488"/>
        <item m="1" x="6444"/>
        <item m="1" x="6489"/>
        <item m="1" x="6490"/>
        <item m="1" x="6553"/>
        <item m="1" x="6591"/>
        <item m="1" x="6554"/>
        <item m="1" x="6555"/>
        <item m="1" x="6556"/>
        <item m="1" x="6557"/>
        <item m="1" x="6626"/>
        <item m="1" x="6558"/>
        <item m="1" x="6650"/>
        <item m="1" x="6651"/>
        <item m="1" x="6559"/>
        <item m="1" x="6560"/>
        <item m="1" x="6491"/>
        <item m="1" x="6561"/>
        <item m="1" x="6562"/>
        <item m="1" x="6492"/>
        <item m="1" x="6493"/>
        <item m="1" x="6494"/>
        <item m="1" x="6563"/>
        <item m="1" x="6675"/>
        <item m="1" x="6495"/>
        <item m="1" x="5848"/>
        <item m="1" x="6547"/>
        <item m="1" x="6592"/>
        <item m="1" x="6496"/>
        <item m="1" x="6497"/>
        <item m="1" x="6498"/>
        <item m="1" x="5849"/>
        <item m="1" x="5850"/>
        <item m="1" x="5851"/>
        <item m="1" x="6473"/>
        <item m="1" x="6499"/>
        <item m="1" x="6500"/>
        <item m="1" x="6501"/>
        <item m="1" x="6502"/>
        <item m="1" x="6503"/>
        <item m="1" x="5852"/>
        <item m="1" x="6203"/>
        <item m="1" x="6283"/>
        <item m="1" x="6394"/>
        <item m="1" x="6620"/>
        <item m="1" x="6574"/>
        <item m="1" x="6621"/>
        <item m="1" x="6622"/>
        <item m="1" x="6575"/>
        <item m="1" x="6623"/>
        <item m="1" x="6520"/>
        <item m="1" x="6521"/>
        <item m="1" x="6522"/>
        <item m="1" x="6624"/>
        <item m="1" x="6523"/>
        <item m="1" x="6524"/>
        <item m="1" x="6525"/>
        <item m="1" x="6229"/>
        <item m="1" x="6396"/>
        <item m="1" x="6397"/>
        <item m="1" x="6842"/>
        <item m="1" x="6796"/>
        <item m="1" x="6844"/>
        <item m="1" x="6395"/>
        <item m="1" x="6375"/>
        <item m="1" x="5620"/>
        <item m="1" x="6700"/>
        <item m="1" x="6398"/>
        <item m="1" x="6387"/>
        <item m="1" x="6336"/>
        <item m="1" x="6337"/>
        <item m="1" x="6338"/>
        <item m="1" x="6339"/>
        <item m="1" x="6340"/>
        <item m="1" x="6388"/>
        <item m="1" x="6389"/>
        <item m="1" x="6341"/>
        <item m="1" x="6342"/>
        <item m="1" x="6343"/>
        <item m="1" x="6390"/>
        <item m="1" x="6344"/>
        <item m="1" x="6345"/>
        <item m="1" x="6299"/>
        <item m="1" x="6300"/>
        <item m="1" x="6301"/>
        <item m="1" x="6302"/>
        <item m="1" x="6303"/>
        <item m="1" x="6304"/>
        <item m="1" x="6305"/>
        <item m="1" x="6306"/>
        <item m="1" x="6346"/>
        <item m="1" x="6347"/>
        <item m="1" x="6307"/>
        <item m="1" x="6348"/>
        <item m="1" x="6349"/>
        <item m="1" x="6350"/>
        <item m="1" x="6351"/>
        <item m="1" x="6352"/>
        <item m="1" x="6308"/>
        <item m="1" x="6309"/>
        <item m="1" x="6310"/>
        <item m="1" x="6311"/>
        <item m="1" x="6233"/>
        <item m="1" x="6278"/>
        <item m="1" x="6279"/>
        <item m="1" x="6280"/>
        <item m="1" x="6281"/>
        <item m="1" x="6234"/>
        <item m="1" x="6843"/>
        <item m="1" x="6255"/>
        <item m="1" x="6292"/>
        <item m="1" x="6256"/>
        <item m="1" x="6293"/>
        <item m="1" x="5621"/>
        <item m="1" x="5716"/>
        <item m="1" x="6235"/>
        <item m="1" x="6236"/>
        <item m="1" x="6237"/>
        <item m="1" x="6312"/>
        <item m="1" x="6238"/>
        <item m="1" x="6376"/>
        <item m="1" x="6239"/>
        <item m="1" x="6313"/>
        <item m="1" x="6282"/>
        <item m="1" x="6377"/>
        <item m="1" x="6240"/>
        <item m="1" x="6314"/>
        <item m="1" x="6370"/>
        <item m="1" x="6315"/>
        <item m="1" x="6391"/>
        <item m="1" x="6316"/>
        <item m="1" x="6378"/>
        <item m="1" x="6317"/>
        <item m="1" x="6392"/>
        <item m="1" x="6318"/>
        <item m="1" x="6241"/>
        <item m="1" x="6371"/>
        <item m="1" x="6564"/>
        <item m="1" x="6372"/>
        <item m="1" x="6373"/>
        <item m="1" x="6242"/>
        <item m="1" x="6243"/>
        <item m="1" x="6374"/>
        <item m="1" x="6199"/>
        <item m="1" x="6244"/>
        <item m="1" x="6245"/>
        <item m="1" x="6319"/>
        <item m="1" x="6246"/>
        <item m="1" x="6247"/>
        <item m="1" x="6320"/>
        <item m="1" x="6321"/>
        <item m="1" x="6249"/>
        <item m="1" x="6322"/>
        <item m="1" x="6393"/>
        <item m="1" x="6323"/>
        <item m="1" x="6324"/>
        <item m="1" x="6250"/>
        <item m="1" x="6284"/>
        <item m="1" x="5622"/>
        <item m="1" x="5853"/>
        <item m="1" x="5854"/>
        <item m="1" x="6232"/>
        <item m="1" x="5619"/>
        <item m="1" x="6619"/>
        <item m="1" x="6526"/>
        <item m="1" x="6527"/>
        <item m="1" x="6528"/>
        <item m="1" x="6576"/>
        <item m="1" x="6577"/>
        <item m="1" x="6578"/>
        <item m="1" x="6579"/>
        <item m="1" x="6580"/>
        <item m="1" x="6581"/>
        <item m="1" x="6248"/>
        <item m="1" x="6251"/>
        <item m="1" x="6252"/>
        <item m="1" x="6273"/>
        <item m="1" x="6274"/>
        <item m="1" x="6230"/>
        <item m="1" x="6275"/>
        <item m="1" x="6369"/>
        <item m="1" x="6231"/>
        <item m="1" x="6276"/>
        <item m="1" x="6277"/>
        <item m="1" x="6253"/>
        <item m="1" x="6724"/>
        <item m="1" x="6816"/>
        <item m="1" x="6685"/>
        <item m="1" x="6686"/>
        <item m="1" x="6687"/>
        <item m="1" x="6688"/>
        <item m="1" x="6689"/>
        <item m="1" x="6445"/>
        <item m="1" x="6690"/>
        <item m="1" x="6325"/>
        <item m="1" x="6627"/>
        <item m="1" x="6628"/>
        <item m="1" x="6691"/>
        <item m="1" x="6692"/>
        <item m="1" x="6693"/>
        <item m="1" x="6694"/>
        <item m="1" x="6695"/>
        <item m="1" x="6696"/>
        <item m="1" x="6593"/>
        <item m="1" x="6594"/>
        <item m="1" x="6595"/>
        <item m="1" x="6198"/>
        <item m="1" x="6166"/>
        <item m="1" x="6006"/>
        <item m="1" x="6083"/>
        <item m="1" x="6045"/>
        <item m="1" x="5809"/>
        <item m="1" x="6046"/>
        <item m="1" x="5810"/>
        <item m="1" x="6200"/>
        <item m="1" x="6201"/>
        <item m="1" x="6202"/>
        <item m="1" x="4712"/>
        <item m="1" x="6204"/>
        <item m="1" x="6205"/>
        <item m="1" x="6206"/>
        <item m="1" x="6207"/>
        <item m="1" x="6208"/>
        <item m="1" x="6209"/>
        <item m="1" x="6210"/>
        <item m="1" x="6285"/>
        <item m="1" x="6286"/>
        <item m="1" x="6287"/>
        <item m="1" x="6211"/>
        <item m="1" x="6212"/>
        <item m="1" x="6213"/>
        <item m="1" x="6254"/>
        <item m="1" x="6288"/>
        <item m="1" x="6289"/>
        <item m="1" x="6290"/>
        <item m="1" x="6047"/>
        <item m="1" x="6007"/>
        <item m="1" x="6136"/>
        <item m="1" x="6272"/>
        <item m="1" x="6227"/>
        <item m="1" x="629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6539"/>
        <item m="1" x="6540"/>
        <item m="1" x="6541"/>
        <item m="1" x="6542"/>
        <item m="1" x="5789"/>
        <item m="1" x="5695"/>
        <item m="1" x="5871"/>
        <item m="1" x="5696"/>
        <item m="1" x="5788"/>
        <item m="1" x="5855"/>
        <item m="1" x="5746"/>
        <item m="1" x="5623"/>
        <item m="1" x="5624"/>
        <item m="1" x="5697"/>
        <item m="1" x="5856"/>
        <item m="1" x="5717"/>
        <item m="1" x="5811"/>
        <item m="1" x="5812"/>
        <item m="1" x="5857"/>
        <item m="1" x="5625"/>
        <item m="1" x="5763"/>
        <item m="1" x="5813"/>
        <item m="1" x="5872"/>
        <item m="1" x="5814"/>
        <item m="1" x="5653"/>
        <item m="1" x="5718"/>
        <item m="1" x="5734"/>
        <item m="1" x="5790"/>
        <item m="1" x="5791"/>
        <item m="1" x="5815"/>
        <item m="1" x="5626"/>
        <item m="1" x="5627"/>
        <item m="1" x="5816"/>
        <item m="1" x="5747"/>
        <item m="1" x="5698"/>
        <item m="1" x="6362"/>
        <item m="1" x="6335"/>
        <item m="1" x="5748"/>
        <item m="1" x="5749"/>
        <item m="1" x="5858"/>
        <item m="1" x="5817"/>
        <item m="1" x="5628"/>
        <item m="1" x="5629"/>
        <item m="1" x="5630"/>
        <item m="1" x="5699"/>
        <item m="1" x="5818"/>
        <item m="1" x="5792"/>
        <item m="1" x="5948"/>
        <item m="1" x="5719"/>
        <item m="1" x="5819"/>
        <item m="1" x="5820"/>
        <item m="1" x="6008"/>
        <item m="1" x="5873"/>
        <item m="1" x="5949"/>
        <item m="1" x="5793"/>
        <item m="1" x="5735"/>
        <item m="1" x="5700"/>
        <item m="1" x="5874"/>
        <item m="1" x="5720"/>
        <item m="1" x="5821"/>
        <item m="1" x="5631"/>
        <item m="1" x="5859"/>
        <item m="1" x="5822"/>
        <item m="1" x="5654"/>
        <item m="1" x="5701"/>
        <item m="1" x="5655"/>
        <item m="1" x="5702"/>
        <item m="1" x="5774"/>
        <item m="1" x="5875"/>
        <item m="1" x="5794"/>
        <item m="1" x="5837"/>
        <item m="1" x="6228"/>
        <item m="1" x="6137"/>
        <item m="1" x="5703"/>
        <item m="1" x="5838"/>
        <item m="1" x="5632"/>
        <item m="1" x="5656"/>
        <item m="1" x="5950"/>
        <item m="1" x="6138"/>
        <item m="1" x="5657"/>
        <item m="1" x="5775"/>
        <item m="1" x="5658"/>
        <item m="1" x="5633"/>
        <item m="1" x="5721"/>
        <item m="1" x="5764"/>
        <item m="1" x="5659"/>
        <item m="1" x="5860"/>
        <item m="1" x="5704"/>
        <item m="1" x="5722"/>
        <item m="1" x="5634"/>
        <item m="1" x="5840"/>
        <item m="1" x="5876"/>
        <item m="1" x="5736"/>
        <item m="1" x="5823"/>
        <item m="1" x="5635"/>
        <item m="1" x="5565"/>
        <item m="1" x="5765"/>
        <item m="1" x="5951"/>
        <item m="1" x="5776"/>
        <item m="1" x="5952"/>
        <item m="1" x="5861"/>
        <item m="1" x="5953"/>
        <item m="1" x="5954"/>
        <item m="1" x="5842"/>
        <item m="1" x="5955"/>
        <item m="1" x="5956"/>
        <item m="1" x="5957"/>
        <item m="1" x="5862"/>
        <item m="1" x="5750"/>
        <item m="1" x="5705"/>
        <item m="1" x="5877"/>
        <item m="1" x="5878"/>
        <item m="1" x="5751"/>
        <item m="1" x="5879"/>
        <item m="1" x="5737"/>
        <item m="1" x="5752"/>
        <item m="1" x="5880"/>
        <item m="1" x="5706"/>
        <item m="1" x="5958"/>
        <item m="1" x="5959"/>
        <item m="1" x="5843"/>
        <item m="1" x="5738"/>
        <item m="1" x="5777"/>
        <item m="1" x="6048"/>
        <item m="1" x="5863"/>
        <item m="1" x="5881"/>
        <item m="1" x="6652"/>
        <item m="1" x="5882"/>
        <item m="1" x="5330"/>
        <item m="1" x="5724"/>
        <item m="1" x="5979"/>
        <item m="1" x="6089"/>
        <item m="1" x="6090"/>
        <item m="1" x="5980"/>
        <item m="1" x="6446"/>
        <item m="1" x="6091"/>
        <item m="1" x="6092"/>
        <item m="1" x="6093"/>
        <item m="1" x="6447"/>
        <item m="1" x="6094"/>
        <item m="1" x="6448"/>
        <item m="1" x="6095"/>
        <item m="1" x="5981"/>
        <item m="1" x="6449"/>
        <item m="1" x="5982"/>
        <item m="1" x="6150"/>
        <item m="1" x="5983"/>
        <item m="1" x="6168"/>
        <item m="1" x="6032"/>
        <item m="1" x="5984"/>
        <item m="1" x="6151"/>
        <item m="1" x="6152"/>
        <item m="1" x="5985"/>
        <item m="1" x="6153"/>
        <item m="1" x="6450"/>
        <item m="1" x="5986"/>
        <item m="1" x="5778"/>
        <item m="1" x="6033"/>
        <item m="1" x="5987"/>
        <item m="1" x="6451"/>
        <item m="1" x="6402"/>
        <item m="1" x="5988"/>
        <item m="1" x="6452"/>
        <item m="1" x="5989"/>
        <item m="1" x="5779"/>
        <item m="1" x="6081"/>
        <item m="1" x="6596"/>
        <item m="1" x="6453"/>
        <item m="1" x="5990"/>
        <item m="1" x="6597"/>
        <item m="1" x="6154"/>
        <item m="1" x="6155"/>
        <item m="1" x="6598"/>
        <item m="1" x="6454"/>
        <item m="1" x="5991"/>
        <item m="1" x="6599"/>
        <item m="1" x="6156"/>
        <item m="1" x="6455"/>
        <item m="1" x="6157"/>
        <item m="1" x="6600"/>
        <item m="1" x="6456"/>
        <item m="1" x="5992"/>
        <item m="1" x="6601"/>
        <item m="1" x="5993"/>
        <item m="1" x="5780"/>
        <item m="1" x="5994"/>
        <item m="1" x="6602"/>
        <item m="1" x="6457"/>
        <item m="1" x="6403"/>
        <item m="1" x="6603"/>
        <item m="1" x="6458"/>
        <item m="1" x="6404"/>
        <item m="1" x="5781"/>
        <item m="1" x="6405"/>
        <item m="1" x="6604"/>
        <item m="1" x="6459"/>
        <item m="1" x="5995"/>
        <item m="1" x="5782"/>
        <item m="1" x="6096"/>
        <item m="1" x="6139"/>
        <item m="1" x="5783"/>
        <item m="1" x="6097"/>
        <item m="1" x="6098"/>
        <item m="1" x="6140"/>
        <item m="1" x="6158"/>
        <item m="1" x="6099"/>
        <item m="1" x="6120"/>
        <item m="1" x="6169"/>
        <item m="1" x="6121"/>
        <item m="1" x="6141"/>
        <item m="1" x="6170"/>
        <item m="1" x="6124"/>
        <item m="1" x="6125"/>
        <item m="1" x="6109"/>
        <item m="1" x="6126"/>
        <item m="1" x="6127"/>
        <item m="1" x="6128"/>
        <item m="1" x="6399"/>
        <item m="1" x="6401"/>
        <item m="1" x="6129"/>
        <item m="1" x="6130"/>
        <item m="1" x="6131"/>
        <item m="1" x="6132"/>
        <item m="1" x="6133"/>
        <item m="1" x="6679"/>
        <item m="1" x="6167"/>
        <item m="1" x="6647"/>
        <item m="1" x="5200"/>
        <item m="1" x="5725"/>
        <item m="1" x="5726"/>
        <item m="1" x="5883"/>
        <item m="1" x="6565"/>
        <item m="1" x="5960"/>
        <item m="1" x="5961"/>
        <item m="1" x="5962"/>
        <item m="1" x="5963"/>
        <item m="1" x="6017"/>
        <item m="1" x="6068"/>
        <item m="1" x="6049"/>
        <item m="1" x="5864"/>
        <item m="1" x="5964"/>
        <item m="1" x="5965"/>
        <item m="1" x="5884"/>
        <item m="1" x="6018"/>
        <item m="1" x="5966"/>
        <item m="1" x="6019"/>
        <item m="1" x="6069"/>
        <item m="1" x="5967"/>
        <item m="1" x="5968"/>
        <item m="1" x="6070"/>
        <item m="1" x="6071"/>
        <item m="1" x="6072"/>
        <item m="1" x="5969"/>
        <item m="1" x="6073"/>
        <item m="1" x="6074"/>
        <item m="1" x="6050"/>
        <item m="1" x="5885"/>
        <item m="1" x="5886"/>
        <item m="1" x="5970"/>
        <item m="1" x="5971"/>
        <item m="1" x="6051"/>
        <item m="1" x="5887"/>
        <item m="1" x="5972"/>
        <item m="1" x="6075"/>
        <item m="1" x="6020"/>
        <item m="1" x="5973"/>
        <item m="1" x="6052"/>
        <item m="1" x="6111"/>
        <item m="1" x="6084"/>
        <item m="1" x="6053"/>
        <item m="1" x="6054"/>
        <item m="1" x="6021"/>
        <item m="1" x="6022"/>
        <item m="1" x="6076"/>
        <item m="1" x="6112"/>
        <item m="1" x="6023"/>
        <item m="1" x="5888"/>
        <item m="1" x="6024"/>
        <item m="1" x="5974"/>
        <item m="1" x="5975"/>
        <item m="1" x="6113"/>
        <item m="1" x="6085"/>
        <item m="1" x="5889"/>
        <item m="1" x="6114"/>
        <item m="1" x="5976"/>
        <item m="1" x="5977"/>
        <item m="1" x="5978"/>
        <item m="1" x="5890"/>
        <item m="1" x="5891"/>
        <item m="1" x="6115"/>
        <item m="1" x="6086"/>
        <item m="1" x="5892"/>
        <item m="1" x="5893"/>
        <item m="1" x="6087"/>
        <item m="1" x="6025"/>
        <item m="1" x="6100"/>
        <item m="1" x="6077"/>
        <item m="1" x="6055"/>
        <item m="1" x="6026"/>
        <item m="1" x="6027"/>
        <item m="1" x="6056"/>
        <item m="1" x="6057"/>
        <item m="1" x="6101"/>
        <item m="1" x="6142"/>
        <item m="1" x="6143"/>
        <item m="1" x="6144"/>
        <item m="1" x="6145"/>
        <item m="1" x="6102"/>
        <item m="1" x="6146"/>
        <item m="1" x="6103"/>
        <item m="1" x="6171"/>
        <item m="1" x="6122"/>
        <item m="1" x="6159"/>
        <item m="1" x="6104"/>
        <item m="1" x="6105"/>
        <item m="1" x="5297"/>
        <item m="1" x="5894"/>
        <item m="1" x="6291"/>
        <item m="1" x="5923"/>
        <item m="1" x="6379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6034"/>
        <item m="1" x="6035"/>
        <item m="1" x="6036"/>
        <item m="1" x="6037"/>
        <item m="1" x="6038"/>
        <item m="1" x="6039"/>
        <item m="1" x="5939"/>
        <item m="1" x="5940"/>
        <item m="1" x="6040"/>
        <item m="1" x="6134"/>
        <item m="1" x="6028"/>
        <item m="1" x="6029"/>
        <item m="1" x="5895"/>
        <item m="1" x="5896"/>
        <item m="1" x="5897"/>
        <item m="1" x="5898"/>
        <item m="1" x="5899"/>
        <item m="1" x="5900"/>
        <item m="1" x="5901"/>
        <item m="1" x="5902"/>
        <item m="1" x="5904"/>
        <item m="1" x="6160"/>
        <item m="1" x="6041"/>
        <item m="1" x="5866"/>
        <item m="1" x="5867"/>
        <item m="1" x="5868"/>
        <item m="1" x="5996"/>
        <item m="1" x="6064"/>
        <item m="1" x="6106"/>
        <item m="1" x="6107"/>
        <item m="1" x="6380"/>
        <item m="1" x="5566"/>
        <item m="1" x="6067"/>
        <item m="1" x="5903"/>
        <item m="1" x="5865"/>
        <item m="1" x="6108"/>
        <item m="1" x="5869"/>
        <item m="1" x="5806"/>
        <item m="1" x="5807"/>
        <item m="1" x="5808"/>
        <item m="1" x="5567"/>
        <item m="1" x="5568"/>
        <item m="1" x="5569"/>
        <item m="1" x="5570"/>
        <item m="1" x="5463"/>
        <item m="1" x="5636"/>
        <item m="1" x="5491"/>
        <item m="1" x="5544"/>
        <item m="1" x="5571"/>
        <item m="1" x="5753"/>
        <item m="1" x="5572"/>
        <item m="1" x="5407"/>
        <item m="1" x="5559"/>
        <item m="1" x="5637"/>
        <item m="1" x="5573"/>
        <item m="1" x="5574"/>
        <item m="1" x="5575"/>
        <item m="1" x="5576"/>
        <item m="1" x="5577"/>
        <item m="1" x="5560"/>
        <item m="1" x="5578"/>
        <item m="1" x="5579"/>
        <item m="1" x="5580"/>
        <item m="1" x="5326"/>
        <item m="1" x="5581"/>
        <item m="1" x="5582"/>
        <item m="1" x="5547"/>
        <item m="1" x="5583"/>
        <item m="1" x="5638"/>
        <item m="1" x="5548"/>
        <item m="1" x="5584"/>
        <item m="1" x="5585"/>
        <item m="1" x="5408"/>
        <item m="1" x="5586"/>
        <item m="1" x="5587"/>
        <item m="1" x="5561"/>
        <item m="1" x="5588"/>
        <item m="1" x="6009"/>
        <item m="1" x="5589"/>
        <item m="1" x="5590"/>
        <item m="1" x="5591"/>
        <item m="1" x="5592"/>
        <item m="1" x="5593"/>
        <item m="1" x="5549"/>
        <item m="1" x="5594"/>
        <item m="1" x="5595"/>
        <item m="1" x="5639"/>
        <item m="1" x="5550"/>
        <item m="1" x="5640"/>
        <item m="1" x="5327"/>
        <item m="1" x="5596"/>
        <item m="1" x="5597"/>
        <item m="1" x="5524"/>
        <item m="1" x="5598"/>
        <item m="1" x="5599"/>
        <item m="1" x="5409"/>
        <item m="1" x="5525"/>
        <item m="1" x="5600"/>
        <item m="1" x="5551"/>
        <item m="1" x="5601"/>
        <item m="1" x="6066"/>
        <item m="1" x="5641"/>
        <item m="1" x="5602"/>
        <item m="1" x="5552"/>
        <item m="1" x="5492"/>
        <item m="1" x="5603"/>
        <item m="1" x="5604"/>
        <item m="1" x="5766"/>
        <item m="1" x="5642"/>
        <item m="1" x="5605"/>
        <item m="1" x="5464"/>
        <item m="1" x="5739"/>
        <item m="1" x="5526"/>
        <item m="1" x="5606"/>
        <item m="1" x="5607"/>
        <item m="1" x="5527"/>
        <item m="1" x="5608"/>
        <item m="1" x="5528"/>
        <item m="1" x="5553"/>
        <item m="1" x="5643"/>
        <item m="1" x="5609"/>
        <item m="1" x="5351"/>
        <item m="1" x="5352"/>
        <item m="1" x="5529"/>
        <item m="1" x="5554"/>
        <item m="1" x="5555"/>
        <item m="1" x="5610"/>
        <item m="1" x="5556"/>
        <item m="1" x="5530"/>
        <item m="1" x="5410"/>
        <item m="1" x="5411"/>
        <item m="1" x="5611"/>
        <item m="1" x="5353"/>
        <item m="1" x="5375"/>
        <item m="1" x="5612"/>
        <item m="1" x="5376"/>
        <item m="1" x="5412"/>
        <item m="1" x="5557"/>
        <item m="1" x="5644"/>
        <item m="1" x="5545"/>
        <item m="1" x="5613"/>
        <item m="1" x="5285"/>
        <item m="1" x="5614"/>
        <item m="1" x="5413"/>
        <item m="1" x="5615"/>
        <item m="1" x="5558"/>
        <item m="1" x="5616"/>
        <item m="1" x="5354"/>
        <item m="1" x="5617"/>
        <item m="1" x="5905"/>
        <item m="1" x="5906"/>
        <item m="1" x="6030"/>
        <item m="1" x="6058"/>
        <item m="1" x="5907"/>
        <item m="1" x="5908"/>
        <item m="1" x="6059"/>
        <item m="1" x="6060"/>
        <item m="1" x="5909"/>
        <item m="1" x="6061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6031"/>
        <item m="1" x="5921"/>
        <item m="1" x="5922"/>
        <item m="1" x="6062"/>
        <item m="1" x="6078"/>
        <item m="1" x="6063"/>
        <item m="1" x="6079"/>
        <item m="1" x="6117"/>
        <item m="1" x="6118"/>
        <item m="1" x="6080"/>
        <item m="1" x="5941"/>
        <item m="1" x="5762"/>
        <item m="1" x="6400"/>
        <item m="1" x="6116"/>
        <item m="1" x="5796"/>
        <item m="1" x="6119"/>
        <item m="1" x="5662"/>
        <item m="1" x="5663"/>
        <item m="1" x="5664"/>
        <item m="1" x="6123"/>
        <item m="1" x="5212"/>
        <item m="1" x="5286"/>
        <item m="1" x="5665"/>
        <item m="1" x="6172"/>
        <item m="1" x="5825"/>
        <item m="1" x="5744"/>
        <item m="1" x="5784"/>
        <item m="1" x="5287"/>
        <item m="1" x="5826"/>
        <item m="1" x="5688"/>
        <item m="1" x="5689"/>
        <item m="1" x="5690"/>
        <item m="1" x="5288"/>
        <item m="1" x="6135"/>
        <item m="1" x="5692"/>
        <item m="1" x="5340"/>
        <item m="1" x="5443"/>
        <item m="1" x="5827"/>
        <item m="1" x="5841"/>
        <item m="1" x="5828"/>
        <item m="1" x="5829"/>
        <item m="1" x="5830"/>
        <item m="1" x="5831"/>
        <item m="1" x="5618"/>
        <item m="1" x="5785"/>
        <item m="1" x="5832"/>
        <item m="1" x="5833"/>
        <item m="1" x="5693"/>
        <item m="1" x="5666"/>
        <item m="1" x="5667"/>
        <item m="1" x="5645"/>
        <item m="1" x="5646"/>
        <item m="1" x="5647"/>
        <item m="1" x="5648"/>
        <item m="1" x="5668"/>
        <item m="1" x="5649"/>
        <item m="1" x="5669"/>
        <item m="1" x="5670"/>
        <item m="1" x="5650"/>
        <item m="1" x="5671"/>
        <item m="1" x="5797"/>
        <item m="1" x="5672"/>
        <item m="1" x="5673"/>
        <item m="1" x="5674"/>
        <item m="1" x="5675"/>
        <item m="1" x="5676"/>
        <item m="1" x="5677"/>
        <item m="1" x="5651"/>
        <item m="1" x="5678"/>
        <item m="1" x="5679"/>
        <item m="1" x="5680"/>
        <item m="1" x="5681"/>
        <item m="1" x="5652"/>
        <item m="1" x="5694"/>
        <item m="1" x="5839"/>
        <item m="1" x="5355"/>
        <item m="1" x="5389"/>
        <item m="1" x="5444"/>
        <item m="1" x="5120"/>
        <item m="1" x="5257"/>
        <item m="1" x="6088"/>
        <item m="1" x="5682"/>
        <item m="1" x="5685"/>
        <item m="1" x="5740"/>
        <item m="1" x="5341"/>
        <item m="1" x="5824"/>
        <item m="1" x="5708"/>
        <item m="1" x="5727"/>
        <item m="1" x="5798"/>
        <item m="1" x="5767"/>
        <item m="1" x="5799"/>
        <item m="1" x="5683"/>
        <item m="1" x="5709"/>
        <item m="1" x="5728"/>
        <item m="1" x="5684"/>
        <item m="1" x="5755"/>
        <item m="1" x="5710"/>
        <item m="1" x="5729"/>
        <item m="1" x="5741"/>
        <item m="1" x="5711"/>
        <item m="1" x="5730"/>
        <item m="1" x="5756"/>
        <item m="1" x="5757"/>
        <item m="1" x="5742"/>
        <item m="1" x="5800"/>
        <item m="1" x="5712"/>
        <item m="1" x="5758"/>
        <item m="1" x="5686"/>
        <item m="1" x="5768"/>
        <item m="1" x="5713"/>
        <item m="1" x="5687"/>
        <item m="1" x="5801"/>
        <item m="1" x="5769"/>
        <item m="1" x="5770"/>
        <item m="1" x="5802"/>
        <item m="1" x="5771"/>
        <item m="1" x="6147"/>
        <item m="1" x="5691"/>
        <item m="1" x="5414"/>
        <item m="1" x="5356"/>
        <item m="1" x="5415"/>
        <item m="1" x="5465"/>
        <item m="1" x="5121"/>
        <item m="1" x="5416"/>
        <item m="1" x="5377"/>
        <item m="1" x="5378"/>
        <item m="1" x="5390"/>
        <item m="1" x="5445"/>
        <item m="1" x="5122"/>
        <item m="1" x="5258"/>
        <item m="1" x="5096"/>
        <item m="1" x="5391"/>
        <item m="1" x="5379"/>
        <item m="1" x="5417"/>
        <item m="1" x="5466"/>
        <item m="1" x="5357"/>
        <item m="1" x="5259"/>
        <item m="1" x="5123"/>
        <item m="1" x="5418"/>
        <item m="1" x="5358"/>
        <item m="1" x="5467"/>
        <item m="1" x="5342"/>
        <item m="1" x="5359"/>
        <item m="1" x="5360"/>
        <item m="1" x="5419"/>
        <item m="1" x="5311"/>
        <item m="1" x="5420"/>
        <item m="1" x="5097"/>
        <item m="1" x="5260"/>
        <item m="1" x="5392"/>
        <item m="1" x="5531"/>
        <item m="1" x="5446"/>
        <item m="1" x="5421"/>
        <item m="1" x="5393"/>
        <item m="1" x="5468"/>
        <item m="1" x="5361"/>
        <item m="1" x="5394"/>
        <item m="1" x="5289"/>
        <item m="1" x="5469"/>
        <item m="1" x="5261"/>
        <item m="1" x="5422"/>
        <item m="1" x="5362"/>
        <item m="1" x="5423"/>
        <item m="1" x="5395"/>
        <item m="1" x="5470"/>
        <item m="1" x="5424"/>
        <item m="1" x="5471"/>
        <item m="1" x="5447"/>
        <item m="1" x="5098"/>
        <item m="1" x="5213"/>
        <item m="1" x="5396"/>
        <item m="1" x="5448"/>
        <item m="1" x="5472"/>
        <item m="1" x="5397"/>
        <item m="1" x="5124"/>
        <item m="1" x="5214"/>
        <item m="1" x="5125"/>
        <item m="1" x="5473"/>
        <item m="1" x="5363"/>
        <item m="1" x="5364"/>
        <item m="1" x="5215"/>
        <item m="1" x="5099"/>
        <item m="1" x="5343"/>
        <item m="1" x="5188"/>
        <item m="1" x="5474"/>
        <item m="1" x="5425"/>
        <item m="1" x="5475"/>
        <item m="1" x="5493"/>
        <item m="1" x="5494"/>
        <item m="1" x="5100"/>
        <item m="1" x="5101"/>
        <item m="1" x="5126"/>
        <item m="1" x="5365"/>
        <item m="1" x="5350"/>
        <item m="1" x="5290"/>
        <item m="1" x="5398"/>
        <item m="1" x="5291"/>
        <item m="1" x="5349"/>
        <item m="1" x="5366"/>
        <item m="1" x="5127"/>
        <item m="1" x="5262"/>
        <item m="1" x="5367"/>
        <item m="1" x="5216"/>
        <item m="1" x="5426"/>
        <item m="1" x="5427"/>
        <item m="1" x="5428"/>
        <item m="1" x="5399"/>
        <item m="1" x="5400"/>
        <item m="1" x="5401"/>
        <item m="1" x="5402"/>
        <item m="1" x="5403"/>
        <item m="1" x="5368"/>
        <item m="1" x="5292"/>
        <item m="1" x="5369"/>
        <item m="1" x="5370"/>
        <item m="1" x="5371"/>
        <item m="1" x="5102"/>
        <item m="1" x="5217"/>
        <item m="1" x="5372"/>
        <item m="1" x="5373"/>
        <item m="1" x="5103"/>
        <item m="1" x="5218"/>
        <item m="1" x="5189"/>
        <item m="1" x="5128"/>
        <item m="1" x="5219"/>
        <item m="1" x="5312"/>
        <item m="1" x="5220"/>
        <item m="1" x="5429"/>
        <item m="1" x="5293"/>
        <item m="1" x="5129"/>
        <item m="1" x="5221"/>
        <item m="1" x="5374"/>
        <item m="1" x="5190"/>
        <item m="1" x="5222"/>
        <item m="1" x="5223"/>
        <item m="1" x="5380"/>
        <item m="1" x="5430"/>
        <item m="1" x="5328"/>
        <item m="1" x="5431"/>
        <item m="1" x="5476"/>
        <item m="1" x="5432"/>
        <item m="1" x="5294"/>
        <item m="1" x="5546"/>
        <item m="1" x="5532"/>
        <item m="1" x="5433"/>
        <item m="1" x="5313"/>
        <item m="1" x="5434"/>
        <item m="1" x="5295"/>
        <item m="1" x="5435"/>
        <item m="1" x="5477"/>
        <item m="1" x="5329"/>
        <item m="1" x="5404"/>
        <item m="1" x="5296"/>
        <item m="1" x="5731"/>
        <item m="1" x="5759"/>
        <item m="1" x="5760"/>
        <item m="1" x="5761"/>
        <item m="1" x="5743"/>
        <item m="1" x="5803"/>
        <item m="1" x="5804"/>
        <item m="1" x="5714"/>
        <item m="1" x="5805"/>
        <item m="1" x="5772"/>
        <item m="1" x="5732"/>
        <item m="1" x="5733"/>
        <item m="1" x="5381"/>
        <item m="1" x="5495"/>
        <item m="1" x="5436"/>
        <item m="1" x="5786"/>
        <item m="1" x="5834"/>
        <item m="1" x="5787"/>
        <item m="1" x="5835"/>
        <item m="1" x="5836"/>
        <item m="1" x="5773"/>
        <item m="1" x="5522"/>
        <item m="1" x="5458"/>
        <item m="1" x="5505"/>
        <item m="1" x="5459"/>
        <item m="1" x="5460"/>
        <item m="1" x="5461"/>
        <item m="1" x="6148"/>
        <item m="1" x="5523"/>
        <item m="1" x="5462"/>
        <item m="1" x="6010"/>
        <item m="1" x="5104"/>
        <item m="1" x="5224"/>
        <item m="1" x="6011"/>
        <item m="1" x="6012"/>
        <item m="1" x="6013"/>
        <item m="1" x="6014"/>
        <item m="1" x="6015"/>
        <item m="1" x="4894"/>
        <item m="1" x="5069"/>
        <item m="1" x="5478"/>
        <item m="1" x="5479"/>
        <item m="1" x="5496"/>
        <item m="1" x="5534"/>
        <item m="1" x="5535"/>
        <item m="1" x="5450"/>
        <item m="1" x="5451"/>
        <item m="1" x="5452"/>
        <item m="1" x="5533"/>
        <item m="1" x="4937"/>
        <item m="1" x="5070"/>
        <item m="1" x="5660"/>
        <item m="1" x="5506"/>
        <item m="1" x="5507"/>
        <item m="1" x="5498"/>
        <item m="1" x="5536"/>
        <item m="1" x="5508"/>
        <item m="1" x="5509"/>
        <item m="1" x="5382"/>
        <item m="1" x="5453"/>
        <item m="1" x="5454"/>
        <item m="1" x="5455"/>
        <item m="1" x="5510"/>
        <item m="1" x="5511"/>
        <item m="1" x="5512"/>
        <item m="1" x="5513"/>
        <item m="1" x="5514"/>
        <item m="1" x="5537"/>
        <item m="1" x="5515"/>
        <item m="1" x="5516"/>
        <item m="1" x="5517"/>
        <item m="1" x="5518"/>
        <item m="1" x="5519"/>
        <item m="1" x="5538"/>
        <item m="1" x="5539"/>
        <item m="1" x="6065"/>
        <item m="1" x="5497"/>
        <item m="1" x="5520"/>
        <item m="1" x="5540"/>
        <item m="1" x="5456"/>
        <item m="1" x="5480"/>
        <item m="1" x="5481"/>
        <item m="1" x="5457"/>
        <item m="1" x="5482"/>
        <item m="1" x="5225"/>
        <item m="1" x="5438"/>
        <item m="1" x="5439"/>
        <item m="1" x="5071"/>
        <item m="1" x="4895"/>
        <item m="1" x="6016"/>
        <item m="1" x="5405"/>
        <item m="1" x="5406"/>
        <item m="1" x="5440"/>
        <item m="1" x="5441"/>
        <item m="1" x="5442"/>
        <item m="1" x="5870"/>
        <item m="1" x="5384"/>
        <item m="1" x="5385"/>
        <item m="1" x="5386"/>
        <item m="1" x="5387"/>
        <item m="1" x="5072"/>
        <item m="1" x="5130"/>
        <item m="1" x="5105"/>
        <item m="1" x="5106"/>
        <item m="1" x="5035"/>
        <item m="1" x="5036"/>
        <item m="1" x="4896"/>
        <item m="1" x="5107"/>
        <item m="1" x="5226"/>
        <item m="1" x="5073"/>
        <item m="1" x="5012"/>
        <item m="1" x="5227"/>
        <item m="1" x="5131"/>
        <item m="1" x="5013"/>
        <item m="1" x="5108"/>
        <item m="1" x="5037"/>
        <item m="1" x="5109"/>
        <item m="1" x="5314"/>
        <item m="1" x="4990"/>
        <item m="1" x="4938"/>
        <item m="1" x="5074"/>
        <item m="1" x="4897"/>
        <item m="1" x="5014"/>
        <item m="1" x="4991"/>
        <item m="1" x="4992"/>
        <item m="1" x="5132"/>
        <item m="1" x="5133"/>
        <item m="1" x="5075"/>
        <item m="1" x="4939"/>
        <item m="1" x="4898"/>
        <item m="1" x="5315"/>
        <item m="1" x="5076"/>
        <item m="1" x="4899"/>
        <item m="1" x="5134"/>
        <item m="1" x="5015"/>
        <item m="1" x="5077"/>
        <item m="1" x="5110"/>
        <item m="1" x="5135"/>
        <item m="1" x="5016"/>
        <item m="1" x="5228"/>
        <item m="1" x="5136"/>
        <item m="1" x="5137"/>
        <item m="1" x="5078"/>
        <item m="1" x="5038"/>
        <item m="1" x="5138"/>
        <item m="1" x="4846"/>
        <item m="1" x="5229"/>
        <item m="1" x="5079"/>
        <item m="1" x="4993"/>
        <item m="1" x="5111"/>
        <item m="1" x="5112"/>
        <item m="1" x="4940"/>
        <item m="1" x="5191"/>
        <item m="1" x="5230"/>
        <item m="1" x="5263"/>
        <item m="1" x="5139"/>
        <item m="1" x="5140"/>
        <item m="1" x="5141"/>
        <item m="1" x="4900"/>
        <item m="1" x="5113"/>
        <item m="1" x="5080"/>
        <item m="1" x="5114"/>
        <item m="1" x="5192"/>
        <item m="1" x="5193"/>
        <item m="1" x="5024"/>
        <item m="1" x="5115"/>
        <item m="1" x="5194"/>
        <item m="1" x="5195"/>
        <item m="1" x="5039"/>
        <item m="1" x="5142"/>
        <item m="1" x="5143"/>
        <item m="1" x="5196"/>
        <item m="1" x="5231"/>
        <item m="1" x="5081"/>
        <item m="1" x="5040"/>
        <item m="1" x="4941"/>
        <item m="1" x="4994"/>
        <item m="1" x="5144"/>
        <item m="1" x="5145"/>
        <item m="1" x="5090"/>
        <item m="1" x="5091"/>
        <item m="1" x="5197"/>
        <item m="1" x="5092"/>
        <item m="1" x="5198"/>
        <item m="1" x="5093"/>
        <item m="1" x="5094"/>
        <item m="1" x="5116"/>
        <item m="1" x="5117"/>
        <item m="1" x="5118"/>
        <item m="1" x="5082"/>
        <item m="1" x="5083"/>
        <item m="1" x="5084"/>
        <item m="1" x="5085"/>
        <item m="1" x="5086"/>
        <item m="1" x="5087"/>
        <item m="1" x="5146"/>
        <item m="1" x="5147"/>
        <item m="1" x="5148"/>
        <item m="1" x="5149"/>
        <item m="1" x="5150"/>
        <item m="1" x="5151"/>
        <item m="1" x="5152"/>
        <item m="1" x="5153"/>
        <item m="1" x="5232"/>
        <item m="1" x="5119"/>
        <item m="1" x="5154"/>
        <item m="1" x="4995"/>
        <item m="1" x="5199"/>
        <item m="1" x="5155"/>
        <item m="1" x="4901"/>
        <item m="1" x="5156"/>
        <item m="1" x="5017"/>
        <item m="1" x="4942"/>
        <item m="1" x="4943"/>
        <item m="1" x="5437"/>
        <item m="1" x="5745"/>
        <item m="1" x="5309"/>
        <item m="1" x="5323"/>
        <item m="1" x="5310"/>
        <item m="1" x="5504"/>
        <item m="1" x="5244"/>
        <item m="1" x="5245"/>
        <item m="1" x="5303"/>
        <item m="1" x="5041"/>
        <item m="1" x="5331"/>
        <item m="1" x="5483"/>
        <item m="1" x="5383"/>
        <item m="1" x="5499"/>
        <item m="1" x="5500"/>
        <item m="1" x="5501"/>
        <item m="1" x="5484"/>
        <item m="1" x="5485"/>
        <item m="1" x="5502"/>
        <item m="1" x="5503"/>
        <item m="1" x="5486"/>
        <item m="1" x="5487"/>
        <item m="1" x="5488"/>
        <item m="1" x="5264"/>
        <item m="1" x="5298"/>
        <item m="1" x="5265"/>
        <item m="1" x="5201"/>
        <item m="1" x="5202"/>
        <item m="1" x="5203"/>
        <item m="1" x="5299"/>
        <item m="1" x="5204"/>
        <item m="1" x="5266"/>
        <item m="1" x="5267"/>
        <item m="1" x="5268"/>
        <item m="1" x="5269"/>
        <item m="1" x="5205"/>
        <item m="1" x="5236"/>
        <item m="1" x="5237"/>
        <item m="1" x="5238"/>
        <item m="1" x="5239"/>
        <item m="1" x="5316"/>
        <item m="1" x="5206"/>
        <item m="1" x="5317"/>
        <item m="1" x="5318"/>
        <item m="1" x="5240"/>
        <item m="1" x="5300"/>
        <item m="1" x="5270"/>
        <item m="1" x="5241"/>
        <item m="1" x="5242"/>
        <item m="1" x="5207"/>
        <item m="1" x="5661"/>
        <item m="1" x="5723"/>
        <item m="1" x="5795"/>
        <item m="1" x="5243"/>
        <item m="1" x="5489"/>
        <item m="1" x="5562"/>
        <item m="1" x="5563"/>
        <item m="1" x="5345"/>
        <item m="1" x="5304"/>
        <item m="1" x="5388"/>
        <item m="1" x="5324"/>
        <item m="1" x="5325"/>
        <item m="1" x="4944"/>
        <item m="1" x="5754"/>
        <item m="1" x="5707"/>
        <item m="1" x="5490"/>
        <item m="1" x="5319"/>
        <item m="1" x="5305"/>
        <item m="1" x="5306"/>
        <item m="1" x="5274"/>
        <item m="1" x="5275"/>
        <item m="1" x="5541"/>
        <item m="1" x="5542"/>
        <item m="1" x="5543"/>
        <item m="1" x="5276"/>
        <item m="1" x="5277"/>
        <item m="1" x="5278"/>
        <item m="1" x="5279"/>
        <item m="1" x="5280"/>
        <item m="1" x="5284"/>
        <item m="1" x="5564"/>
        <item m="1" x="5209"/>
        <item m="1" x="5210"/>
        <item m="1" x="4785"/>
        <item m="1" x="4811"/>
        <item m="1" x="4812"/>
        <item m="1" x="4813"/>
        <item m="1" x="4902"/>
        <item m="1" x="5521"/>
        <item m="1" x="5246"/>
        <item m="1" x="5247"/>
        <item m="1" x="5208"/>
        <item m="1" x="5248"/>
        <item m="1" x="5249"/>
        <item m="1" x="5250"/>
        <item m="1" x="4786"/>
        <item m="1" x="4787"/>
        <item m="1" x="5271"/>
        <item m="1" x="5332"/>
        <item m="1" x="5333"/>
        <item m="1" x="5042"/>
        <item m="1" x="4788"/>
        <item m="1" x="4945"/>
        <item m="1" x="4946"/>
        <item m="1" x="4814"/>
        <item m="1" x="4947"/>
        <item m="1" x="4948"/>
        <item m="1" x="4949"/>
        <item m="1" x="4847"/>
        <item m="1" x="4950"/>
        <item m="1" x="4951"/>
        <item m="1" x="4903"/>
        <item m="1" x="4952"/>
        <item m="1" x="5043"/>
        <item m="1" x="4789"/>
        <item m="1" x="4904"/>
        <item m="1" x="4790"/>
        <item m="1" x="4815"/>
        <item m="1" x="4791"/>
        <item m="1" x="4953"/>
        <item m="1" x="4792"/>
        <item m="1" x="4848"/>
        <item m="1" x="4793"/>
        <item m="1" x="4905"/>
        <item m="1" x="5044"/>
        <item m="1" x="4849"/>
        <item m="1" x="4794"/>
        <item m="1" x="4954"/>
        <item m="1" x="4906"/>
        <item m="1" x="4850"/>
        <item m="1" x="4795"/>
        <item m="1" x="4816"/>
        <item m="1" x="4796"/>
        <item m="1" x="4851"/>
        <item m="1" x="4996"/>
        <item m="1" x="4797"/>
        <item m="1" x="4955"/>
        <item m="1" x="4907"/>
        <item m="1" x="4798"/>
        <item m="1" x="4852"/>
        <item m="1" x="4817"/>
        <item m="1" x="4956"/>
        <item m="1" x="4957"/>
        <item m="1" x="4799"/>
        <item m="1" x="4853"/>
        <item m="1" x="4854"/>
        <item m="1" x="4997"/>
        <item m="1" x="4800"/>
        <item m="1" x="5233"/>
        <item m="1" x="4818"/>
        <item m="1" x="4958"/>
        <item m="1" x="5045"/>
        <item m="1" x="4819"/>
        <item m="1" x="4908"/>
        <item m="1" x="4959"/>
        <item m="1" x="4855"/>
        <item m="1" x="4801"/>
        <item m="1" x="4909"/>
        <item m="1" x="4960"/>
        <item m="1" x="4961"/>
        <item m="1" x="4962"/>
        <item m="1" x="4820"/>
        <item m="1" x="4802"/>
        <item m="1" x="4998"/>
        <item m="1" x="4856"/>
        <item m="1" x="4910"/>
        <item m="1" x="4963"/>
        <item m="1" x="4857"/>
        <item m="1" x="4911"/>
        <item m="1" x="4999"/>
        <item m="1" x="5234"/>
        <item m="1" x="5235"/>
        <item m="1" x="4803"/>
        <item m="1" x="4821"/>
        <item m="1" x="4804"/>
        <item m="1" x="5000"/>
        <item m="1" x="4805"/>
        <item m="1" x="4806"/>
        <item m="1" x="4807"/>
        <item m="1" x="4822"/>
        <item m="1" x="4808"/>
        <item m="1" x="4823"/>
        <item m="1" x="4809"/>
        <item m="1" x="4824"/>
        <item m="1" x="4964"/>
        <item m="1" x="4858"/>
        <item m="1" x="4859"/>
        <item m="1" x="4860"/>
        <item m="1" x="4861"/>
        <item m="1" x="4825"/>
        <item m="1" x="4912"/>
        <item m="1" x="4862"/>
        <item m="1" x="4863"/>
        <item m="1" x="4826"/>
        <item m="1" x="4864"/>
        <item m="1" x="4827"/>
        <item m="1" x="4178"/>
        <item m="1" x="4865"/>
        <item m="1" x="4866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913"/>
        <item m="1" x="4876"/>
        <item m="1" x="4877"/>
        <item m="1" x="4878"/>
        <item m="1" x="4914"/>
        <item m="1" x="4915"/>
        <item m="1" x="4879"/>
        <item m="1" x="5088"/>
        <item m="1" x="4880"/>
        <item m="1" x="4828"/>
        <item m="1" x="4916"/>
        <item m="1" x="4881"/>
        <item m="1" x="4882"/>
        <item m="1" x="4917"/>
        <item m="1" x="4883"/>
        <item m="1" x="5046"/>
        <item m="1" x="5001"/>
        <item m="1" x="5047"/>
        <item m="1" x="4810"/>
        <item m="1" x="4918"/>
        <item m="1" x="5048"/>
        <item m="1" x="4884"/>
        <item m="1" x="4919"/>
        <item m="1" x="5002"/>
        <item m="1" x="4920"/>
        <item m="1" x="5003"/>
        <item m="1" x="5272"/>
        <item m="1" x="5301"/>
        <item m="1" x="5334"/>
        <item m="1" x="5335"/>
        <item m="1" x="5336"/>
        <item m="1" x="5337"/>
        <item m="1" x="5338"/>
        <item m="1" x="5273"/>
        <item m="1" x="5339"/>
        <item m="1" x="5320"/>
        <item m="1" x="5321"/>
        <item m="1" x="5344"/>
        <item m="1" x="5302"/>
        <item m="1" x="5211"/>
        <item m="1" x="4348"/>
        <item m="1" x="4617"/>
        <item m="1" x="4487"/>
        <item m="1" x="4516"/>
        <item m="1" x="4618"/>
        <item m="1" x="4488"/>
        <item m="1" x="4347"/>
        <item m="1" x="4423"/>
        <item m="1" x="5346"/>
        <item m="1" x="5004"/>
        <item m="1" x="5005"/>
        <item m="1" x="5281"/>
        <item m="1" x="5282"/>
        <item m="1" x="4593"/>
        <item m="1" x="4424"/>
        <item m="1" x="5322"/>
        <item m="1" x="5251"/>
        <item m="1" x="5252"/>
        <item m="1" x="5283"/>
        <item m="1" x="5307"/>
        <item m="1" x="4517"/>
        <item m="1" x="5449"/>
        <item m="1" x="5025"/>
        <item m="1" x="5050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4619"/>
        <item m="1" x="5176"/>
        <item m="1" x="5006"/>
        <item m="1" x="5347"/>
        <item m="1" x="5348"/>
        <item m="1" x="5008"/>
        <item m="1" x="5009"/>
        <item m="1" x="4559"/>
        <item m="1" x="5007"/>
        <item m="1" x="5066"/>
        <item m="1" x="5067"/>
        <item m="1" x="4594"/>
        <item m="1" x="4378"/>
        <item m="1" x="5068"/>
        <item m="1" x="5022"/>
        <item m="1" x="5011"/>
        <item m="1" x="5018"/>
        <item m="1" x="4965"/>
        <item m="1" x="5051"/>
        <item m="1" x="5177"/>
        <item m="1" x="5178"/>
        <item m="1" x="5026"/>
        <item m="1" x="5052"/>
        <item m="1" x="5053"/>
        <item m="1" x="5054"/>
        <item m="1" x="4560"/>
        <item m="1" x="4719"/>
        <item m="1" x="4561"/>
        <item m="1" x="4620"/>
        <item m="1" x="4562"/>
        <item m="1" x="4621"/>
        <item m="1" x="4699"/>
        <item m="1" x="4743"/>
        <item m="1" x="4651"/>
        <item m="1" x="4764"/>
        <item m="1" x="4652"/>
        <item m="1" x="4653"/>
        <item m="1" x="4518"/>
        <item m="1" x="4720"/>
        <item m="1" x="4519"/>
        <item m="1" x="4675"/>
        <item m="1" x="4622"/>
        <item m="1" x="4721"/>
        <item m="1" x="4781"/>
        <item m="1" x="4499"/>
        <item m="1" x="4514"/>
        <item m="1" x="4623"/>
        <item m="1" x="4765"/>
        <item m="1" x="4520"/>
        <item m="1" x="4766"/>
        <item m="1" x="4521"/>
        <item m="1" x="4440"/>
        <item m="1" x="4500"/>
        <item m="1" x="4529"/>
        <item m="1" x="4624"/>
        <item m="1" x="4744"/>
        <item m="1" x="4530"/>
        <item m="1" x="4595"/>
        <item m="1" x="4522"/>
        <item m="1" x="4745"/>
        <item m="1" x="4456"/>
        <item m="1" x="4379"/>
        <item m="1" x="4625"/>
        <item m="1" x="4767"/>
        <item m="1" x="4457"/>
        <item m="1" x="4563"/>
        <item m="1" x="4523"/>
        <item m="1" x="4746"/>
        <item m="1" x="4700"/>
        <item m="1" x="4722"/>
        <item m="1" x="4596"/>
        <item m="1" x="4597"/>
        <item m="1" x="4782"/>
        <item m="1" x="4598"/>
        <item m="1" x="4458"/>
        <item m="1" x="4564"/>
        <item m="1" x="4723"/>
        <item m="1" x="4747"/>
        <item m="1" x="4768"/>
        <item m="1" x="4599"/>
        <item m="1" x="4565"/>
        <item m="1" x="4654"/>
        <item m="1" x="4724"/>
        <item m="1" x="4725"/>
        <item m="1" x="4566"/>
        <item m="1" x="4626"/>
        <item m="1" x="4769"/>
        <item m="1" x="4627"/>
        <item m="1" x="4770"/>
        <item m="1" x="4701"/>
        <item m="1" x="4628"/>
        <item m="1" x="4531"/>
        <item m="1" x="4726"/>
        <item m="1" x="4629"/>
        <item m="1" x="4515"/>
        <item m="1" x="4630"/>
        <item m="1" x="4727"/>
        <item m="1" x="4567"/>
        <item m="1" x="4524"/>
        <item m="1" x="4655"/>
        <item m="1" x="4748"/>
        <item m="1" x="4568"/>
        <item m="1" x="4459"/>
        <item m="1" x="4600"/>
        <item m="1" x="4460"/>
        <item m="1" x="4601"/>
        <item m="1" x="4749"/>
        <item m="1" x="4532"/>
        <item m="1" x="4631"/>
        <item m="1" x="4569"/>
        <item m="1" x="4489"/>
        <item m="1" x="4570"/>
        <item m="1" x="4571"/>
        <item m="1" x="4676"/>
        <item m="1" x="4525"/>
        <item m="1" x="4602"/>
        <item m="1" x="4572"/>
        <item m="1" x="4490"/>
        <item m="1" x="4501"/>
        <item m="1" x="4526"/>
        <item m="1" x="4728"/>
        <item m="1" x="4576"/>
        <item m="1" x="4771"/>
        <item m="1" x="4603"/>
        <item m="1" x="4527"/>
        <item m="1" x="4772"/>
        <item m="1" x="4773"/>
        <item m="1" x="4783"/>
        <item m="1" x="4774"/>
        <item m="1" x="4775"/>
        <item m="1" x="4776"/>
        <item m="1" x="4777"/>
        <item m="1" x="4778"/>
        <item m="1" x="4784"/>
        <item m="1" x="4779"/>
        <item m="1" x="4702"/>
        <item m="1" x="4632"/>
        <item m="1" x="4604"/>
        <item m="1" x="4633"/>
        <item m="1" x="4605"/>
        <item m="1" x="4885"/>
        <item m="1" x="4886"/>
        <item m="1" x="4606"/>
        <item m="1" x="4703"/>
        <item m="1" x="4780"/>
        <item m="1" x="4607"/>
        <item m="1" x="4608"/>
        <item m="1" x="4573"/>
        <item m="1" x="4750"/>
        <item m="1" x="4528"/>
        <item m="1" x="4634"/>
        <item m="1" x="4751"/>
        <item m="1" x="4635"/>
        <item m="1" x="4609"/>
        <item m="1" x="4729"/>
        <item m="1" x="4610"/>
        <item m="1" x="4611"/>
        <item m="1" x="4636"/>
        <item m="1" x="4637"/>
        <item m="1" x="4638"/>
        <item m="1" x="4704"/>
        <item m="1" x="4656"/>
        <item m="1" x="4705"/>
        <item m="1" x="4574"/>
        <item m="1" x="4706"/>
        <item m="1" x="4533"/>
        <item m="1" x="4707"/>
        <item m="1" x="4575"/>
        <item m="1" x="5179"/>
        <item m="1" x="5027"/>
        <item m="1" x="5055"/>
        <item m="1" x="5028"/>
        <item m="1" x="5029"/>
        <item m="1" x="5180"/>
        <item m="1" x="5056"/>
        <item m="1" x="5181"/>
        <item m="1" x="5030"/>
        <item m="1" x="5057"/>
        <item m="1" x="5182"/>
        <item m="1" x="5019"/>
        <item m="1" x="4922"/>
        <item m="1" x="5183"/>
        <item m="1" x="5031"/>
        <item m="1" x="5020"/>
        <item m="1" x="5184"/>
        <item m="1" x="5032"/>
        <item m="1" x="5058"/>
        <item m="1" x="5021"/>
        <item m="1" x="5059"/>
        <item m="1" x="5060"/>
        <item m="1" x="5061"/>
        <item m="1" x="5062"/>
        <item m="1" x="5063"/>
        <item m="1" x="5064"/>
        <item m="1" x="5185"/>
        <item m="1" x="5065"/>
        <item m="1" x="4967"/>
        <item m="1" x="4968"/>
        <item m="1" x="4969"/>
        <item m="1" x="4970"/>
        <item m="1" x="5308"/>
        <item m="1" x="4695"/>
        <item m="1" x="4696"/>
        <item m="1" x="4924"/>
        <item m="1" x="4981"/>
        <item m="1" x="4925"/>
        <item m="1" x="4926"/>
        <item m="1" x="4982"/>
        <item m="1" x="4927"/>
        <item m="1" x="4889"/>
        <item m="1" x="4890"/>
        <item m="1" x="4928"/>
        <item m="1" x="4891"/>
        <item m="1" x="4929"/>
        <item m="1" x="4930"/>
        <item m="1" x="4931"/>
        <item m="1" x="4892"/>
        <item m="1" x="4893"/>
        <item m="1" x="4932"/>
        <item m="1" x="4933"/>
        <item m="1" x="4983"/>
        <item m="1" x="4984"/>
        <item m="1" x="4934"/>
        <item m="1" x="4844"/>
        <item m="1" x="4985"/>
        <item m="1" x="4845"/>
        <item m="1" x="5010"/>
        <item m="1" x="4986"/>
        <item m="1" x="4987"/>
        <item m="1" x="4988"/>
        <item m="1" x="4989"/>
        <item m="1" x="4935"/>
        <item m="1" x="5186"/>
        <item m="1" x="4971"/>
        <item m="1" x="5187"/>
        <item m="1" x="5049"/>
        <item m="1" x="4228"/>
        <item m="1" x="4321"/>
        <item m="1" x="5095"/>
        <item m="1" x="5089"/>
        <item m="1" x="4612"/>
        <item m="1" x="5023"/>
        <item m="1" x="4614"/>
        <item m="1" x="4587"/>
        <item m="1" x="4659"/>
        <item m="1" x="4229"/>
        <item m="1" x="4613"/>
        <item m="1" x="4972"/>
        <item m="1" x="4639"/>
        <item m="1" x="4752"/>
        <item m="1" x="4829"/>
        <item m="1" x="4753"/>
        <item m="1" x="4830"/>
        <item m="1" x="4754"/>
        <item m="1" x="4831"/>
        <item m="1" x="4832"/>
        <item m="1" x="4755"/>
        <item m="1" x="4833"/>
        <item m="1" x="4756"/>
        <item m="1" x="4834"/>
        <item m="1" x="4835"/>
        <item m="1" x="4836"/>
        <item m="1" x="4837"/>
        <item m="1" x="4838"/>
        <item m="1" x="4757"/>
        <item m="1" x="4758"/>
        <item m="1" x="4759"/>
        <item m="1" x="4839"/>
        <item m="1" x="4760"/>
        <item m="1" x="4761"/>
        <item m="1" x="5253"/>
        <item m="1" x="5254"/>
        <item m="1" x="5255"/>
        <item m="1" x="5256"/>
        <item m="1" x="4691"/>
        <item m="1" x="4692"/>
        <item m="1" x="4693"/>
        <item m="1" x="4694"/>
        <item m="1" x="4715"/>
        <item m="1" x="4588"/>
        <item m="1" x="4615"/>
        <item m="1" x="4589"/>
        <item m="1" x="4716"/>
        <item m="1" x="4230"/>
        <item m="1" x="4322"/>
        <item m="1" x="4380"/>
        <item m="1" x="4425"/>
        <item m="1" x="4381"/>
        <item m="1" x="4840"/>
        <item m="1" x="4323"/>
        <item m="1" x="4324"/>
        <item m="1" x="4325"/>
        <item m="1" x="4326"/>
        <item m="1" x="4327"/>
        <item m="1" x="4328"/>
        <item m="1" x="4349"/>
        <item m="1" x="4350"/>
        <item m="1" x="4351"/>
        <item m="1" x="4329"/>
        <item m="1" x="4352"/>
        <item m="1" x="4330"/>
        <item m="1" x="4708"/>
        <item m="1" x="4762"/>
        <item m="1" x="4763"/>
        <item m="1" x="4973"/>
        <item m="1" x="4974"/>
        <item m="1" x="5033"/>
        <item m="1" x="4888"/>
        <item m="1" x="5034"/>
        <item m="1" x="4975"/>
        <item m="1" x="4976"/>
        <item m="1" x="4977"/>
        <item m="1" x="4730"/>
        <item m="1" x="4697"/>
        <item m="1" x="4590"/>
        <item m="1" x="4978"/>
        <item m="1" x="4713"/>
        <item m="1" x="4714"/>
        <item m="1" x="4887"/>
        <item m="1" x="4405"/>
        <item m="1" x="4731"/>
        <item m="1" x="4677"/>
        <item m="1" x="4678"/>
        <item m="1" x="4732"/>
        <item m="1" x="4841"/>
        <item m="1" x="4679"/>
        <item m="1" x="4842"/>
        <item m="1" x="4680"/>
        <item m="1" x="4660"/>
        <item m="1" x="4681"/>
        <item m="1" x="4682"/>
        <item m="1" x="4683"/>
        <item m="1" x="4733"/>
        <item m="1" x="4661"/>
        <item m="1" x="4662"/>
        <item m="1" x="4663"/>
        <item m="1" x="4664"/>
        <item m="1" x="4665"/>
        <item m="1" x="4734"/>
        <item m="1" x="4666"/>
        <item m="1" x="4667"/>
        <item m="1" x="4735"/>
        <item m="1" x="4684"/>
        <item m="1" x="4685"/>
        <item m="1" x="4668"/>
        <item m="1" x="4640"/>
        <item m="1" x="4709"/>
        <item m="1" x="4669"/>
        <item m="1" x="4686"/>
        <item m="1" x="4736"/>
        <item m="1" x="4710"/>
        <item m="1" x="4670"/>
        <item m="1" x="4687"/>
        <item m="1" x="4688"/>
        <item m="1" x="4737"/>
        <item m="1" x="4689"/>
        <item m="1" x="4738"/>
        <item m="1" x="4711"/>
        <item m="1" x="4979"/>
        <item m="1" x="4739"/>
        <item m="1" x="4717"/>
        <item m="1" x="4718"/>
        <item m="1" x="4698"/>
        <item m="1" x="4921"/>
        <item m="1" x="4231"/>
        <item m="1" x="4426"/>
        <item m="1" x="4382"/>
        <item m="1" x="4232"/>
        <item m="1" x="4383"/>
        <item m="1" x="4331"/>
        <item m="1" x="4473"/>
        <item m="1" x="4474"/>
        <item m="1" x="4353"/>
        <item m="1" x="4354"/>
        <item m="1" x="4427"/>
        <item m="1" x="4384"/>
        <item m="1" x="4441"/>
        <item m="1" x="4233"/>
        <item m="1" x="4234"/>
        <item m="1" x="4385"/>
        <item m="1" x="4461"/>
        <item m="1" x="4386"/>
        <item m="1" x="4428"/>
        <item m="1" x="4387"/>
        <item m="1" x="4429"/>
        <item m="1" x="4430"/>
        <item m="1" x="4355"/>
        <item m="1" x="4388"/>
        <item m="1" x="4431"/>
        <item m="1" x="4389"/>
        <item m="1" x="4475"/>
        <item m="1" x="4432"/>
        <item m="1" x="4390"/>
        <item m="1" x="4442"/>
        <item m="1" x="4391"/>
        <item m="1" x="4356"/>
        <item m="1" x="4392"/>
        <item m="1" x="4476"/>
        <item m="1" x="4462"/>
        <item m="1" x="4393"/>
        <item m="1" x="4477"/>
        <item m="1" x="4394"/>
        <item m="1" x="4478"/>
        <item m="1" x="4395"/>
        <item m="1" x="4479"/>
        <item m="1" x="4463"/>
        <item m="1" x="4406"/>
        <item m="1" x="4235"/>
        <item m="1" x="4443"/>
        <item m="1" x="4444"/>
        <item m="1" x="4464"/>
        <item m="1" x="4407"/>
        <item m="1" x="4236"/>
        <item m="1" x="4445"/>
        <item m="1" x="4332"/>
        <item m="1" x="4357"/>
        <item m="1" x="4408"/>
        <item m="1" x="4453"/>
        <item m="1" x="4333"/>
        <item m="1" x="4480"/>
        <item m="1" x="4334"/>
        <item m="1" x="4446"/>
        <item m="1" x="4237"/>
        <item m="1" x="4238"/>
        <item m="1" x="4396"/>
        <item m="1" x="4239"/>
        <item m="1" x="4454"/>
        <item m="1" x="4358"/>
        <item m="1" x="4433"/>
        <item m="1" x="4447"/>
        <item m="1" x="4359"/>
        <item m="1" x="4465"/>
        <item m="1" x="4448"/>
        <item m="1" x="4434"/>
        <item m="1" x="4466"/>
        <item m="1" x="4240"/>
        <item m="1" x="4241"/>
        <item m="1" x="4242"/>
        <item m="1" x="4397"/>
        <item m="1" x="4449"/>
        <item m="1" x="4409"/>
        <item m="1" x="4243"/>
        <item m="1" x="4398"/>
        <item m="1" x="4481"/>
        <item m="1" x="4244"/>
        <item m="1" x="4467"/>
        <item m="1" x="4399"/>
        <item m="1" x="4450"/>
        <item m="1" x="4245"/>
        <item m="1" x="4246"/>
        <item m="1" x="4410"/>
        <item m="1" x="4335"/>
        <item m="1" x="4468"/>
        <item m="1" x="4435"/>
        <item m="1" x="4411"/>
        <item m="1" x="4455"/>
        <item m="1" x="4400"/>
        <item m="1" x="4412"/>
        <item m="1" x="4469"/>
        <item m="1" x="4413"/>
        <item m="1" x="4482"/>
        <item m="1" x="4336"/>
        <item m="1" x="4470"/>
        <item m="1" x="4247"/>
        <item m="1" x="4401"/>
        <item m="1" x="4248"/>
        <item m="1" x="4471"/>
        <item m="1" x="4337"/>
        <item m="1" x="4436"/>
        <item m="1" x="4338"/>
        <item m="1" x="4360"/>
        <item m="1" x="4249"/>
        <item m="1" x="4414"/>
        <item m="1" x="4415"/>
        <item m="1" x="4437"/>
        <item m="1" x="4339"/>
        <item m="1" x="4361"/>
        <item m="1" x="4250"/>
        <item m="1" x="4362"/>
        <item m="1" x="4340"/>
        <item m="1" x="4438"/>
        <item m="1" x="4251"/>
        <item m="1" x="4451"/>
        <item m="1" x="4674"/>
        <item m="1" x="4554"/>
        <item m="1" x="4616"/>
        <item m="1" x="4555"/>
        <item m="1" x="4556"/>
        <item m="1" x="4671"/>
        <item m="1" x="4740"/>
        <item m="1" x="4741"/>
        <item m="1" x="4936"/>
        <item m="1" x="4502"/>
        <item m="1" x="4503"/>
        <item m="1" x="4504"/>
        <item m="1" x="4505"/>
        <item m="1" x="4506"/>
        <item m="1" x="4483"/>
        <item m="1" x="4507"/>
        <item m="1" x="4508"/>
        <item m="1" x="4509"/>
        <item m="1" x="4491"/>
        <item m="1" x="4510"/>
        <item m="1" x="4511"/>
        <item m="1" x="4512"/>
        <item m="1" x="4513"/>
        <item m="1" x="4492"/>
        <item m="1" x="4493"/>
        <item m="1" x="4672"/>
        <item m="1" x="4553"/>
        <item m="1" x="4980"/>
        <item m="1" x="4557"/>
        <item m="1" x="4418"/>
        <item m="1" x="4472"/>
        <item m="1" x="4419"/>
        <item m="1" x="4591"/>
        <item m="1" x="4592"/>
        <item m="1" x="4403"/>
        <item m="1" x="4966"/>
        <item m="1" x="4923"/>
        <item m="1" x="4641"/>
        <item m="1" x="4642"/>
        <item m="1" x="4643"/>
        <item m="1" x="4657"/>
        <item m="1" x="4538"/>
        <item m="1" x="4658"/>
        <item m="1" x="4742"/>
        <item m="1" x="4644"/>
        <item m="1" x="4843"/>
        <item m="1" x="4539"/>
        <item m="1" x="4540"/>
        <item m="1" x="4645"/>
        <item m="1" x="4577"/>
        <item m="1" x="4578"/>
        <item m="1" x="4646"/>
        <item m="1" x="4579"/>
        <item m="1" x="4541"/>
        <item m="1" x="4647"/>
        <item m="1" x="4580"/>
        <item m="1" x="4542"/>
        <item m="1" x="4581"/>
        <item m="1" x="4648"/>
        <item m="1" x="4543"/>
        <item m="1" x="4544"/>
        <item m="1" x="4582"/>
        <item m="1" x="4649"/>
        <item m="1" x="4583"/>
        <item m="1" x="4584"/>
        <item m="1" x="4650"/>
        <item m="1" x="4585"/>
        <item m="1" x="4586"/>
        <item m="1" x="4673"/>
        <item m="1" x="4546"/>
        <item m="1" x="4547"/>
        <item m="1" x="4548"/>
        <item m="1" x="4252"/>
        <item m="1" x="3976"/>
        <item m="1" x="4253"/>
        <item m="1" x="4254"/>
        <item m="1" x="4140"/>
        <item m="1" x="4255"/>
        <item m="1" x="4069"/>
        <item m="1" x="4179"/>
        <item m="1" x="4141"/>
        <item m="1" x="4256"/>
        <item m="1" x="4257"/>
        <item m="1" x="4258"/>
        <item m="1" x="4259"/>
        <item m="1" x="4180"/>
        <item m="1" x="4260"/>
        <item m="1" x="4120"/>
        <item m="1" x="4261"/>
        <item m="1" x="4107"/>
        <item m="1" x="4181"/>
        <item m="1" x="4262"/>
        <item m="1" x="4263"/>
        <item m="1" x="4182"/>
        <item m="1" x="4264"/>
        <item m="1" x="4363"/>
        <item m="1" x="4265"/>
        <item m="1" x="4121"/>
        <item m="1" x="4266"/>
        <item m="1" x="4267"/>
        <item m="1" x="3977"/>
        <item m="1" x="4268"/>
        <item m="1" x="4122"/>
        <item m="1" x="4269"/>
        <item m="1" x="4142"/>
        <item m="1" x="4070"/>
        <item m="1" x="4166"/>
        <item m="1" x="4167"/>
        <item m="1" x="4270"/>
        <item m="1" x="4183"/>
        <item m="1" x="4271"/>
        <item m="1" x="4364"/>
        <item m="1" x="4143"/>
        <item m="1" x="4144"/>
        <item m="1" x="4071"/>
        <item m="1" x="4072"/>
        <item m="1" x="4272"/>
        <item m="1" x="4341"/>
        <item m="1" x="4273"/>
        <item m="1" x="4274"/>
        <item m="1" x="4123"/>
        <item m="1" x="4198"/>
        <item m="1" x="4275"/>
        <item m="1" x="4365"/>
        <item m="1" x="4184"/>
        <item m="1" x="4185"/>
        <item m="1" x="4108"/>
        <item m="1" x="4186"/>
        <item m="1" x="4145"/>
        <item m="1" x="4124"/>
        <item m="1" x="4109"/>
        <item m="1" x="4276"/>
        <item m="1" x="4008"/>
        <item m="1" x="4168"/>
        <item m="1" x="4199"/>
        <item m="1" x="4073"/>
        <item m="1" x="4074"/>
        <item m="1" x="4146"/>
        <item m="1" x="4366"/>
        <item m="1" x="4277"/>
        <item m="1" x="4110"/>
        <item m="1" x="4278"/>
        <item m="1" x="4367"/>
        <item m="1" x="4279"/>
        <item m="1" x="4280"/>
        <item m="1" x="4187"/>
        <item m="1" x="4281"/>
        <item m="1" x="4368"/>
        <item m="1" x="4147"/>
        <item m="1" x="4111"/>
        <item m="1" x="4282"/>
        <item m="1" x="4075"/>
        <item m="1" x="4125"/>
        <item m="1" x="4283"/>
        <item m="1" x="4284"/>
        <item m="1" x="4285"/>
        <item m="1" x="4369"/>
        <item m="1" x="4188"/>
        <item m="1" x="4189"/>
        <item m="1" x="4370"/>
        <item m="1" x="4286"/>
        <item m="1" x="4190"/>
        <item m="1" x="4287"/>
        <item m="1" x="4342"/>
        <item m="1" x="4148"/>
        <item m="1" x="4371"/>
        <item m="1" x="4149"/>
        <item m="1" x="4288"/>
        <item m="1" x="4289"/>
        <item m="1" x="4290"/>
        <item m="1" x="4291"/>
        <item m="1" x="4292"/>
        <item m="1" x="4200"/>
        <item m="1" x="4293"/>
        <item m="1" x="4294"/>
        <item m="1" x="4191"/>
        <item m="1" x="4192"/>
        <item m="1" x="4295"/>
        <item m="1" x="4296"/>
        <item m="1" x="4297"/>
        <item m="1" x="4201"/>
        <item m="1" x="4202"/>
        <item m="1" x="4203"/>
        <item m="1" x="4204"/>
        <item m="1" x="4298"/>
        <item m="1" x="4299"/>
        <item m="1" x="4300"/>
        <item m="1" x="4169"/>
        <item m="1" x="4301"/>
        <item m="1" x="4076"/>
        <item m="1" x="4077"/>
        <item m="1" x="4302"/>
        <item m="1" x="4078"/>
        <item m="1" x="4303"/>
        <item m="1" x="4304"/>
        <item m="1" x="4305"/>
        <item m="1" x="4306"/>
        <item m="1" x="4193"/>
        <item m="1" x="4307"/>
        <item m="1" x="4308"/>
        <item m="1" x="4309"/>
        <item m="1" x="4310"/>
        <item m="1" x="4311"/>
        <item m="1" x="4343"/>
        <item m="1" x="4312"/>
        <item m="1" x="4313"/>
        <item m="1" x="4314"/>
        <item m="1" x="4194"/>
        <item m="1" x="4372"/>
        <item m="1" x="4315"/>
        <item m="1" x="4373"/>
        <item m="1" x="4316"/>
        <item m="1" x="4344"/>
        <item m="1" x="4317"/>
        <item m="1" x="4318"/>
        <item m="1" x="4345"/>
        <item m="1" x="4319"/>
        <item m="1" x="4346"/>
        <item m="1" x="4195"/>
        <item m="1" x="4374"/>
        <item m="1" x="4150"/>
        <item m="1" x="4320"/>
        <item m="1" x="4690"/>
        <item m="1" x="4208"/>
        <item m="1" x="4484"/>
        <item m="1" x="4485"/>
        <item m="1" x="4486"/>
        <item m="1" x="4545"/>
        <item m="1" x="4152"/>
        <item m="1" x="4153"/>
        <item m="1" x="4154"/>
        <item m="1" x="4128"/>
        <item m="1" x="4155"/>
        <item m="1" x="4156"/>
        <item m="1" x="4157"/>
        <item m="1" x="4158"/>
        <item m="1" x="4549"/>
        <item m="1" x="3978"/>
        <item m="1" x="4162"/>
        <item m="1" x="4163"/>
        <item m="1" x="4550"/>
        <item m="1" x="4551"/>
        <item m="1" x="4552"/>
        <item m="1" x="4494"/>
        <item m="1" x="4495"/>
        <item m="1" x="4558"/>
        <item m="1" x="4420"/>
        <item m="1" x="4421"/>
        <item m="1" x="4422"/>
        <item m="1" x="4197"/>
        <item m="1" x="4174"/>
        <item m="1" x="4497"/>
        <item m="1" x="4079"/>
        <item m="1" x="4112"/>
        <item m="1" x="4080"/>
        <item m="1" x="4113"/>
        <item m="1" x="4009"/>
        <item m="1" x="3980"/>
        <item m="1" x="4196"/>
        <item m="1" x="4081"/>
        <item m="1" x="4164"/>
        <item m="1" x="4159"/>
        <item m="1" x="4165"/>
        <item m="1" x="4116"/>
        <item m="1" x="4498"/>
        <item m="1" x="4439"/>
        <item m="1" x="3979"/>
        <item m="1" x="4114"/>
        <item m="1" x="4012"/>
        <item m="1" x="4082"/>
        <item m="1" x="4083"/>
        <item m="1" x="4084"/>
        <item m="1" x="4013"/>
        <item m="1" x="4205"/>
        <item m="1" x="4014"/>
        <item m="1" x="4015"/>
        <item m="1" x="4016"/>
        <item m="1" x="4085"/>
        <item m="1" x="4017"/>
        <item m="1" x="4018"/>
        <item m="1" x="4019"/>
        <item m="1" x="4020"/>
        <item m="1" x="4086"/>
        <item m="1" x="4021"/>
        <item m="1" x="4022"/>
        <item m="1" x="4087"/>
        <item m="1" x="4023"/>
        <item m="1" x="4088"/>
        <item m="1" x="4024"/>
        <item m="1" x="4089"/>
        <item m="1" x="4025"/>
        <item m="1" x="4026"/>
        <item m="1" x="4027"/>
        <item m="1" x="4028"/>
        <item m="1" x="3981"/>
        <item m="1" x="4090"/>
        <item m="1" x="4126"/>
        <item m="1" x="4029"/>
        <item m="1" x="4206"/>
        <item m="1" x="4091"/>
        <item m="1" x="4030"/>
        <item m="1" x="4092"/>
        <item m="1" x="4093"/>
        <item m="1" x="4094"/>
        <item m="1" x="4095"/>
        <item m="1" x="4031"/>
        <item m="1" x="4096"/>
        <item m="1" x="4115"/>
        <item m="1" x="4032"/>
        <item m="1" x="4097"/>
        <item m="1" x="4098"/>
        <item m="1" x="4099"/>
        <item m="1" x="4100"/>
        <item m="1" x="4101"/>
        <item m="1" x="4102"/>
        <item m="1" x="4416"/>
        <item m="1" x="4209"/>
        <item m="1" x="4210"/>
        <item m="1" x="4211"/>
        <item m="1" x="4212"/>
        <item m="1" x="4417"/>
        <item m="1" x="4213"/>
        <item m="1" x="4214"/>
        <item m="1" x="4215"/>
        <item m="1" x="4216"/>
        <item m="1" x="4217"/>
        <item m="1" x="4133"/>
        <item m="1" x="4218"/>
        <item m="1" x="4402"/>
        <item m="1" x="4219"/>
        <item m="1" x="4220"/>
        <item m="1" x="4221"/>
        <item m="1" x="4222"/>
        <item m="1" x="4223"/>
        <item m="1" x="4224"/>
        <item m="1" x="4225"/>
        <item m="1" x="4226"/>
        <item m="1" x="4496"/>
        <item m="1" x="4375"/>
        <item m="1" x="4376"/>
        <item m="1" x="4010"/>
        <item m="1" x="4011"/>
        <item m="1" x="4033"/>
        <item m="1" x="4377"/>
        <item m="1" x="4534"/>
        <item m="1" x="4535"/>
        <item m="1" x="4536"/>
        <item m="1" x="4537"/>
        <item m="1" x="4170"/>
        <item m="1" x="4452"/>
        <item m="1" x="4176"/>
        <item m="1" x="4177"/>
        <item m="1" x="4175"/>
        <item m="1" x="4034"/>
        <item m="1" x="4035"/>
        <item m="1" x="4036"/>
        <item m="1" x="3982"/>
        <item m="1" x="3782"/>
        <item m="1" x="3783"/>
        <item m="1" x="4037"/>
        <item m="1" x="4038"/>
        <item m="1" x="3798"/>
        <item m="1" x="4171"/>
        <item m="1" x="3708"/>
        <item m="1" x="3827"/>
        <item m="1" x="4129"/>
        <item m="1" x="4227"/>
        <item m="1" x="4117"/>
        <item m="1" x="4118"/>
        <item m="1" x="4172"/>
        <item m="1" x="4160"/>
        <item m="1" x="4207"/>
        <item m="1" x="4130"/>
        <item m="1" x="4058"/>
        <item m="1" x="4059"/>
        <item m="1" x="4135"/>
        <item m="1" x="4060"/>
        <item m="1" x="4136"/>
        <item m="1" x="4119"/>
        <item m="1" x="3891"/>
        <item m="1" x="4134"/>
        <item m="1" x="4173"/>
        <item m="1" x="4063"/>
        <item m="1" x="4064"/>
        <item m="1" x="4065"/>
        <item m="1" x="3919"/>
        <item m="1" x="4131"/>
        <item m="1" x="4137"/>
        <item m="1" x="4138"/>
        <item m="1" x="4139"/>
        <item m="1" x="4061"/>
        <item m="1" x="4066"/>
        <item m="1" x="4067"/>
        <item m="1" x="4068"/>
        <item m="1" x="4404"/>
        <item m="1" x="4039"/>
        <item m="1" x="3983"/>
        <item m="1" x="3984"/>
        <item m="1" x="3985"/>
        <item m="1" x="4040"/>
        <item m="1" x="3892"/>
        <item m="1" x="3956"/>
        <item m="1" x="3907"/>
        <item m="1" x="3957"/>
        <item m="1" x="3972"/>
        <item m="1" x="3828"/>
        <item m="1" x="3986"/>
        <item m="1" x="3958"/>
        <item m="1" x="3908"/>
        <item m="1" x="3959"/>
        <item m="1" x="3987"/>
        <item m="1" x="3709"/>
        <item m="1" x="3951"/>
        <item m="1" x="3988"/>
        <item m="1" x="3960"/>
        <item m="1" x="3989"/>
        <item m="1" x="3829"/>
        <item m="1" x="3961"/>
        <item m="1" x="4041"/>
        <item m="1" x="3990"/>
        <item m="1" x="3909"/>
        <item m="1" x="4042"/>
        <item m="1" x="3830"/>
        <item m="1" x="3991"/>
        <item m="1" x="3962"/>
        <item m="1" x="3910"/>
        <item m="1" x="3784"/>
        <item m="1" x="3726"/>
        <item m="1" x="3710"/>
        <item m="1" x="3992"/>
        <item m="1" x="3993"/>
        <item m="1" x="4103"/>
        <item m="1" x="3727"/>
        <item m="1" x="3973"/>
        <item m="1" x="3831"/>
        <item m="1" x="3711"/>
        <item m="1" x="3974"/>
        <item m="1" x="3712"/>
        <item m="1" x="3963"/>
        <item m="1" x="4043"/>
        <item m="1" x="4044"/>
        <item m="1" x="3785"/>
        <item m="1" x="3832"/>
        <item m="1" x="3713"/>
        <item m="1" x="3714"/>
        <item m="1" x="3994"/>
        <item m="1" x="3927"/>
        <item m="1" x="3995"/>
        <item m="1" x="3911"/>
        <item m="1" x="3833"/>
        <item m="1" x="3912"/>
        <item m="1" x="4045"/>
        <item m="1" x="3952"/>
        <item m="1" x="3893"/>
        <item m="1" x="3834"/>
        <item m="1" x="3728"/>
        <item m="1" x="3715"/>
        <item m="1" x="3964"/>
        <item m="1" x="3928"/>
        <item m="1" x="4046"/>
        <item m="1" x="3965"/>
        <item m="1" x="3876"/>
        <item m="1" x="4047"/>
        <item m="1" x="3729"/>
        <item m="1" x="3716"/>
        <item m="1" x="3730"/>
        <item m="1" x="3877"/>
        <item m="1" x="3929"/>
        <item m="1" x="3894"/>
        <item m="1" x="3913"/>
        <item m="1" x="3930"/>
        <item m="1" x="3786"/>
        <item m="1" x="3878"/>
        <item m="1" x="3787"/>
        <item m="1" x="3996"/>
        <item m="1" x="4048"/>
        <item m="1" x="3966"/>
        <item m="1" x="3879"/>
        <item m="1" x="3931"/>
        <item m="1" x="3997"/>
        <item m="1" x="3998"/>
        <item m="1" x="3932"/>
        <item m="1" x="3999"/>
        <item m="1" x="3835"/>
        <item m="1" x="3717"/>
        <item m="1" x="3718"/>
        <item m="1" x="4104"/>
        <item m="1" x="3799"/>
        <item m="1" x="3933"/>
        <item m="1" x="3788"/>
        <item m="1" x="3975"/>
        <item m="1" x="4000"/>
        <item m="1" x="4001"/>
        <item m="1" x="3789"/>
        <item m="1" x="4002"/>
        <item m="1" x="3836"/>
        <item m="1" x="4049"/>
        <item m="1" x="3719"/>
        <item m="1" x="3934"/>
        <item m="1" x="3837"/>
        <item m="1" x="4003"/>
        <item m="1" x="3914"/>
        <item m="1" x="3880"/>
        <item m="1" x="3838"/>
        <item m="1" x="4050"/>
        <item m="1" x="3839"/>
        <item m="1" x="3840"/>
        <item m="1" x="3953"/>
        <item m="1" x="3841"/>
        <item m="1" x="4004"/>
        <item m="1" x="3915"/>
        <item m="1" x="3842"/>
        <item m="1" x="3843"/>
        <item m="1" x="3844"/>
        <item m="1" x="3954"/>
        <item m="1" x="3967"/>
        <item m="1" x="4105"/>
        <item m="1" x="3968"/>
        <item m="1" x="3845"/>
        <item m="1" x="3846"/>
        <item m="1" x="3847"/>
        <item m="1" x="4005"/>
        <item m="1" x="3848"/>
        <item m="1" x="4006"/>
        <item m="1" x="4051"/>
        <item m="1" x="4052"/>
        <item m="1" x="4053"/>
        <item m="1" x="3935"/>
        <item m="1" x="3720"/>
        <item m="1" x="3936"/>
        <item m="1" x="4054"/>
        <item m="1" x="3881"/>
        <item m="1" x="3937"/>
        <item m="1" x="3882"/>
        <item m="1" x="3938"/>
        <item m="1" x="4007"/>
        <item m="1" x="3939"/>
        <item m="1" x="3883"/>
        <item m="1" x="3940"/>
        <item m="1" x="4055"/>
        <item m="1" x="3941"/>
        <item m="1" x="3942"/>
        <item m="1" x="3916"/>
        <item m="1" x="3969"/>
        <item m="1" x="3721"/>
        <item m="1" x="3970"/>
        <item m="1" x="3895"/>
        <item m="1" x="4056"/>
        <item m="1" x="3896"/>
        <item m="1" x="4057"/>
        <item m="1" x="3917"/>
        <item m="1" x="3918"/>
        <item m="1" x="4062"/>
        <item m="1" x="3770"/>
        <item m="1" x="3365"/>
        <item m="1" x="4161"/>
        <item m="1" x="3366"/>
        <item m="1" x="3943"/>
        <item m="1" x="4132"/>
        <item m="1" x="3771"/>
        <item m="1" x="3772"/>
        <item m="1" x="3773"/>
        <item m="1" x="3774"/>
        <item m="1" x="3668"/>
        <item m="1" x="3521"/>
        <item m="1" x="3926"/>
        <item m="1" x="3824"/>
        <item m="1" x="3522"/>
        <item m="1" x="3781"/>
        <item m="1" x="3686"/>
        <item m="1" x="3307"/>
        <item m="1" x="3308"/>
        <item m="1" x="3309"/>
        <item m="1" x="3394"/>
        <item m="1" x="3576"/>
        <item m="1" x="3688"/>
        <item m="1" x="4151"/>
        <item m="1" x="4127"/>
        <item m="1" x="3920"/>
        <item m="1" x="3944"/>
        <item m="1" x="3849"/>
        <item m="1" x="3921"/>
        <item m="1" x="3850"/>
        <item m="1" x="3851"/>
        <item m="1" x="3852"/>
        <item m="1" x="4106"/>
        <item m="1" x="3853"/>
        <item m="1" x="3945"/>
        <item m="1" x="3854"/>
        <item m="1" x="3946"/>
        <item m="1" x="3897"/>
        <item m="1" x="3922"/>
        <item m="1" x="3855"/>
        <item m="1" x="3947"/>
        <item m="1" x="3856"/>
        <item m="1" x="3948"/>
        <item m="1" x="3898"/>
        <item m="1" x="3899"/>
        <item m="1" x="3900"/>
        <item m="1" x="3901"/>
        <item m="1" x="3857"/>
        <item m="1" x="3923"/>
        <item m="1" x="3902"/>
        <item m="1" x="3924"/>
        <item m="1" x="3903"/>
        <item m="1" x="3925"/>
        <item m="1" x="3858"/>
        <item m="1" x="3949"/>
        <item m="1" x="3904"/>
        <item m="1" x="3950"/>
        <item m="1" x="3775"/>
        <item m="1" x="3468"/>
        <item m="1" x="3469"/>
        <item m="1" x="3470"/>
        <item m="1" x="3825"/>
        <item m="1" x="3471"/>
        <item m="1" x="3472"/>
        <item m="1" x="3473"/>
        <item m="1" x="3633"/>
        <item m="1" x="3634"/>
        <item m="1" x="3635"/>
        <item m="1" x="3636"/>
        <item m="1" x="3637"/>
        <item m="1" x="3638"/>
        <item m="1" x="3404"/>
        <item m="1" x="3405"/>
        <item m="1" x="3406"/>
        <item m="1" x="3407"/>
        <item m="1" x="3408"/>
        <item m="1" x="3409"/>
        <item m="1" x="3639"/>
        <item m="1" x="3640"/>
        <item m="1" x="3641"/>
        <item m="1" x="3669"/>
        <item m="1" x="3670"/>
        <item m="1" x="3671"/>
        <item m="1" x="3859"/>
        <item m="1" x="3800"/>
        <item m="1" x="3884"/>
        <item m="1" x="3860"/>
        <item m="1" x="3731"/>
        <item m="1" x="3732"/>
        <item m="1" x="3722"/>
        <item m="1" x="3723"/>
        <item m="1" x="3733"/>
        <item m="1" x="3861"/>
        <item m="1" x="3734"/>
        <item m="1" x="3735"/>
        <item m="1" x="3862"/>
        <item m="1" x="3863"/>
        <item m="1" x="3736"/>
        <item m="1" x="3885"/>
        <item m="1" x="3737"/>
        <item m="1" x="3886"/>
        <item m="1" x="3804"/>
        <item m="1" x="3864"/>
        <item m="1" x="3865"/>
        <item m="1" x="3738"/>
        <item m="1" x="3739"/>
        <item m="1" x="3740"/>
        <item m="1" x="3741"/>
        <item m="1" x="3742"/>
        <item m="1" x="3805"/>
        <item m="1" x="3743"/>
        <item m="1" x="3744"/>
        <item m="1" x="3745"/>
        <item m="1" x="3746"/>
        <item m="1" x="3747"/>
        <item m="1" x="3748"/>
        <item m="1" x="3749"/>
        <item m="1" x="3791"/>
        <item m="1" x="3724"/>
        <item m="1" x="3866"/>
        <item m="1" x="3750"/>
        <item m="1" x="3725"/>
        <item m="1" x="3751"/>
        <item m="1" x="3752"/>
        <item m="1" x="3867"/>
        <item m="1" x="3753"/>
        <item m="1" x="3754"/>
        <item m="1" x="3776"/>
        <item m="1" x="3777"/>
        <item m="1" x="3642"/>
        <item m="1" x="3643"/>
        <item m="1" x="3644"/>
        <item m="1" x="3645"/>
        <item m="1" x="3646"/>
        <item m="1" x="3647"/>
        <item m="1" x="3672"/>
        <item m="1" x="3673"/>
        <item m="1" x="3674"/>
        <item m="1" x="3371"/>
        <item m="1" x="3372"/>
        <item m="1" x="3373"/>
        <item m="1" x="3523"/>
        <item m="1" x="3524"/>
        <item m="1" x="3525"/>
        <item m="1" x="3648"/>
        <item m="1" x="3649"/>
        <item m="1" x="3650"/>
        <item m="1" x="3675"/>
        <item m="1" x="3676"/>
        <item m="1" x="3651"/>
        <item m="1" x="3374"/>
        <item m="1" x="3375"/>
        <item m="1" x="3212"/>
        <item m="1" x="3376"/>
        <item m="1" x="3377"/>
        <item m="1" x="3378"/>
        <item m="1" x="3410"/>
        <item m="1" x="3411"/>
        <item m="1" x="3412"/>
        <item m="1" x="3474"/>
        <item m="1" x="3475"/>
        <item m="1" x="3476"/>
        <item m="1" x="3379"/>
        <item m="1" x="3380"/>
        <item m="1" x="3381"/>
        <item m="1" x="3382"/>
        <item m="1" x="3383"/>
        <item m="1" x="3384"/>
        <item m="1" x="3413"/>
        <item m="1" x="3414"/>
        <item m="1" x="3415"/>
        <item m="1" x="3477"/>
        <item m="1" x="3478"/>
        <item m="1" x="3479"/>
        <item m="1" x="3416"/>
        <item m="1" x="3417"/>
        <item m="1" x="3418"/>
        <item m="1" x="3419"/>
        <item m="1" x="3420"/>
        <item m="1" x="3421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385"/>
        <item m="1" x="3386"/>
        <item m="1" x="3387"/>
        <item m="1" x="3422"/>
        <item m="1" x="3423"/>
        <item m="1" x="3424"/>
        <item m="1" x="3887"/>
        <item m="1" x="3535"/>
        <item m="1" x="3536"/>
        <item m="1" x="3537"/>
        <item m="1" x="3425"/>
        <item m="1" x="3426"/>
        <item m="1" x="3427"/>
        <item m="1" x="3428"/>
        <item m="1" x="3429"/>
        <item m="1" x="3430"/>
        <item m="1" x="3538"/>
        <item m="1" x="3539"/>
        <item m="1" x="3540"/>
        <item m="1" x="3480"/>
        <item m="1" x="3481"/>
        <item m="1" x="3482"/>
        <item m="1" x="3483"/>
        <item m="1" x="3484"/>
        <item m="1" x="3485"/>
        <item m="1" x="3541"/>
        <item m="1" x="3542"/>
        <item m="1" x="3543"/>
        <item m="1" x="3486"/>
        <item m="1" x="3487"/>
        <item m="1" x="3488"/>
        <item m="1" x="3591"/>
        <item m="1" x="3592"/>
        <item m="1" x="3593"/>
        <item m="1" x="3388"/>
        <item m="1" x="3389"/>
        <item m="1" x="3390"/>
        <item m="1" x="3489"/>
        <item m="1" x="3490"/>
        <item m="1" x="3491"/>
        <item m="1" x="3544"/>
        <item m="1" x="3492"/>
        <item m="1" x="3493"/>
        <item m="1" x="3677"/>
        <item m="1" x="3678"/>
        <item m="1" x="3679"/>
        <item m="1" x="3431"/>
        <item m="1" x="3432"/>
        <item m="1" x="3433"/>
        <item m="1" x="3594"/>
        <item m="1" x="3595"/>
        <item m="1" x="3596"/>
        <item m="1" x="3434"/>
        <item m="1" x="3435"/>
        <item m="1" x="3436"/>
        <item m="1" x="3545"/>
        <item m="1" x="3546"/>
        <item m="1" x="3547"/>
        <item m="1" x="3680"/>
        <item m="1" x="3681"/>
        <item m="1" x="3682"/>
        <item m="1" x="3437"/>
        <item m="1" x="3438"/>
        <item m="1" x="3439"/>
        <item m="1" x="3687"/>
        <item m="1" x="3971"/>
        <item m="1" x="3955"/>
        <item m="1" x="3552"/>
        <item m="1" x="3553"/>
        <item m="1" x="3554"/>
        <item m="1" x="3555"/>
        <item m="1" x="3566"/>
        <item m="1" x="3868"/>
        <item m="1" x="3806"/>
        <item m="1" x="3807"/>
        <item m="1" x="3808"/>
        <item m="1" x="3869"/>
        <item m="1" x="3809"/>
        <item m="1" x="3755"/>
        <item m="1" x="3810"/>
        <item m="1" x="3811"/>
        <item m="1" x="3494"/>
        <item m="1" x="3495"/>
        <item m="1" x="3496"/>
        <item m="1" x="3391"/>
        <item m="1" x="3392"/>
        <item m="1" x="3393"/>
        <item m="1" x="3497"/>
        <item m="1" x="3498"/>
        <item m="1" x="3499"/>
        <item m="1" x="3500"/>
        <item m="1" x="3501"/>
        <item m="1" x="3502"/>
        <item m="1" x="3597"/>
        <item m="1" x="3598"/>
        <item m="1" x="3599"/>
        <item m="1" x="3683"/>
        <item m="1" x="3684"/>
        <item m="1" x="3685"/>
        <item m="1" x="3778"/>
        <item m="1" x="3779"/>
        <item m="1" x="3780"/>
        <item m="1" x="3652"/>
        <item m="1" x="3653"/>
        <item m="1" x="3654"/>
        <item m="1" x="3600"/>
        <item m="1" x="3601"/>
        <item m="1" x="3602"/>
        <item m="1" x="3655"/>
        <item m="1" x="3656"/>
        <item m="1" x="3657"/>
        <item m="1" x="3503"/>
        <item m="1" x="3504"/>
        <item m="1" x="3505"/>
        <item m="1" x="3790"/>
        <item m="1" x="3801"/>
        <item m="1" x="3802"/>
        <item m="1" x="3803"/>
        <item m="1" x="3792"/>
        <item m="1" x="3793"/>
        <item m="1" x="3812"/>
        <item m="1" x="3756"/>
        <item m="1" x="3870"/>
        <item m="1" x="3813"/>
        <item m="1" x="3814"/>
        <item m="1" x="3757"/>
        <item m="1" x="3794"/>
        <item m="1" x="3888"/>
        <item m="1" x="3815"/>
        <item m="1" x="3816"/>
        <item m="1" x="3817"/>
        <item m="1" x="3758"/>
        <item m="1" x="3759"/>
        <item m="1" x="3871"/>
        <item m="1" x="3795"/>
        <item m="1" x="3796"/>
        <item m="1" x="3818"/>
        <item m="1" x="3872"/>
        <item m="1" x="3760"/>
        <item m="1" x="3873"/>
        <item m="1" x="3797"/>
        <item m="1" x="3761"/>
        <item m="1" x="3889"/>
        <item m="1" x="3819"/>
        <item m="1" x="3874"/>
        <item m="1" x="3820"/>
        <item m="1" x="3762"/>
        <item m="1" x="3763"/>
        <item m="1" x="3764"/>
        <item m="1" x="3765"/>
        <item m="1" x="3766"/>
        <item m="1" x="3821"/>
        <item m="1" x="3875"/>
        <item m="1" x="3822"/>
        <item m="1" x="3905"/>
        <item m="1" x="3548"/>
        <item m="1" x="3440"/>
        <item m="1" x="3619"/>
        <item m="1" x="3577"/>
        <item m="1" x="3549"/>
        <item m="1" x="3066"/>
        <item m="1" x="3550"/>
        <item m="1" x="3551"/>
        <item m="1" x="3627"/>
        <item m="1" x="3628"/>
        <item m="1" x="3556"/>
        <item m="1" x="3620"/>
        <item m="1" x="3235"/>
        <item m="1" x="3370"/>
        <item m="1" x="3310"/>
        <item m="1" x="3621"/>
        <item m="1" x="3506"/>
        <item m="1" x="3311"/>
        <item m="1" x="3658"/>
        <item m="1" x="3578"/>
        <item m="1" x="3689"/>
        <item m="1" x="2956"/>
        <item m="1" x="3236"/>
        <item m="1" x="3312"/>
        <item m="1" x="3214"/>
        <item m="1" x="3603"/>
        <item m="1" x="3357"/>
        <item m="1" x="3313"/>
        <item m="1" x="3367"/>
        <item m="1" x="3314"/>
        <item m="1" x="3315"/>
        <item m="1" x="3441"/>
        <item m="1" x="3163"/>
        <item m="1" x="3164"/>
        <item m="1" x="3659"/>
        <item m="1" x="3690"/>
        <item m="1" x="3368"/>
        <item m="1" x="3442"/>
        <item m="1" x="3316"/>
        <item m="1" x="3395"/>
        <item m="1" x="3317"/>
        <item m="1" x="3443"/>
        <item m="1" x="3660"/>
        <item m="1" x="3629"/>
        <item m="1" x="3146"/>
        <item m="1" x="3622"/>
        <item m="1" x="3661"/>
        <item m="1" x="3691"/>
        <item m="1" x="3662"/>
        <item m="1" x="3663"/>
        <item m="1" x="3358"/>
        <item m="1" x="3369"/>
        <item m="1" x="3507"/>
        <item m="1" x="3692"/>
        <item m="1" x="3557"/>
        <item m="1" x="3508"/>
        <item m="1" x="3558"/>
        <item m="1" x="3067"/>
        <item m="1" x="3630"/>
        <item m="1" x="3559"/>
        <item m="1" x="3693"/>
        <item m="1" x="3359"/>
        <item m="1" x="3318"/>
        <item m="1" x="3664"/>
        <item m="1" x="3665"/>
        <item m="1" x="3623"/>
        <item m="1" x="3396"/>
        <item m="1" x="3560"/>
        <item m="1" x="3561"/>
        <item m="1" x="3604"/>
        <item m="1" x="3562"/>
        <item m="1" x="3509"/>
        <item m="1" x="3563"/>
        <item m="1" x="3397"/>
        <item m="1" x="3631"/>
        <item m="1" x="3694"/>
        <item m="1" x="3666"/>
        <item m="1" x="3564"/>
        <item m="1" x="3605"/>
        <item m="1" x="3165"/>
        <item m="1" x="3398"/>
        <item m="1" x="3319"/>
        <item m="1" x="3215"/>
        <item m="1" x="3579"/>
        <item m="1" x="3360"/>
        <item m="1" x="3510"/>
        <item m="1" x="3320"/>
        <item m="1" x="3565"/>
        <item m="1" x="3624"/>
        <item m="1" x="3166"/>
        <item m="1" x="3361"/>
        <item m="1" x="3632"/>
        <item m="1" x="3444"/>
        <item m="1" x="3445"/>
        <item m="1" x="3695"/>
        <item m="1" x="3696"/>
        <item m="1" x="3580"/>
        <item m="1" x="3237"/>
        <item m="1" x="3238"/>
        <item m="1" x="3068"/>
        <item m="1" x="3446"/>
        <item m="1" x="3697"/>
        <item m="1" x="3698"/>
        <item m="1" x="3699"/>
        <item m="1" x="3700"/>
        <item m="1" x="3399"/>
        <item m="1" x="3511"/>
        <item m="1" x="3701"/>
        <item m="1" x="3447"/>
        <item m="1" x="3167"/>
        <item m="1" x="3702"/>
        <item m="1" x="3703"/>
        <item m="1" x="3704"/>
        <item m="1" x="3512"/>
        <item m="1" x="3705"/>
        <item m="1" x="3448"/>
        <item m="1" x="3400"/>
        <item m="1" x="3667"/>
        <item m="1" x="3706"/>
        <item m="1" x="3707"/>
        <item m="1" x="3147"/>
        <item m="1" x="3148"/>
        <item m="1" x="3513"/>
        <item m="1" x="3239"/>
        <item m="1" x="3149"/>
        <item m="1" x="3823"/>
        <item m="1" x="3222"/>
        <item m="1" x="3026"/>
        <item m="1" x="3906"/>
        <item m="1" x="3143"/>
        <item m="1" x="3161"/>
        <item m="1" x="3144"/>
        <item m="1" x="3162"/>
        <item m="1" x="3069"/>
        <item m="1" x="3027"/>
        <item m="1" x="3188"/>
        <item m="1" x="3189"/>
        <item m="1" x="3070"/>
        <item m="1" x="2957"/>
        <item m="1" x="3071"/>
        <item m="1" x="2958"/>
        <item m="1" x="3072"/>
        <item m="1" x="2805"/>
        <item m="1" x="3073"/>
        <item m="1" x="3074"/>
        <item m="1" x="2879"/>
        <item m="1" x="3767"/>
        <item m="1" x="3890"/>
        <item m="1" x="3582"/>
        <item m="1" x="3606"/>
        <item m="1" x="3583"/>
        <item m="1" x="3607"/>
        <item m="1" x="3608"/>
        <item m="1" x="3584"/>
        <item m="1" x="3585"/>
        <item m="1" x="3609"/>
        <item m="1" x="3028"/>
        <item m="1" x="2981"/>
        <item m="1" x="2982"/>
        <item m="1" x="2983"/>
        <item m="1" x="3029"/>
        <item m="1" x="2771"/>
        <item m="1" x="3030"/>
        <item m="1" x="3031"/>
        <item m="1" x="3223"/>
        <item m="1" x="3224"/>
        <item m="1" x="3225"/>
        <item m="1" x="3192"/>
        <item m="1" x="3193"/>
        <item m="1" x="2984"/>
        <item m="1" x="2985"/>
        <item m="1" x="3452"/>
        <item m="1" x="3454"/>
        <item m="1" x="3455"/>
        <item m="1" x="3456"/>
        <item m="1" x="3269"/>
        <item m="1" x="3401"/>
        <item m="1" x="3402"/>
        <item m="1" x="3270"/>
        <item m="1" x="3271"/>
        <item m="1" x="3272"/>
        <item m="1" x="3273"/>
        <item m="1" x="3274"/>
        <item m="1" x="3275"/>
        <item m="1" x="3276"/>
        <item m="1" x="3331"/>
        <item m="1" x="3277"/>
        <item m="1" x="3403"/>
        <item m="1" x="3457"/>
        <item m="1" x="3458"/>
        <item m="1" x="3459"/>
        <item m="1" x="3278"/>
        <item m="1" x="3279"/>
        <item m="1" x="3280"/>
        <item m="1" x="3281"/>
        <item m="1" x="3282"/>
        <item m="1" x="3283"/>
        <item m="1" x="3332"/>
        <item m="1" x="3284"/>
        <item m="1" x="3285"/>
        <item m="1" x="3286"/>
        <item m="1" x="3287"/>
        <item m="1" x="3288"/>
        <item m="1" x="3289"/>
        <item m="1" x="3333"/>
        <item m="1" x="3334"/>
        <item m="1" x="3335"/>
        <item m="1" x="3336"/>
        <item m="1" x="3337"/>
        <item m="1" x="3338"/>
        <item m="1" x="3460"/>
        <item m="1" x="3518"/>
        <item m="1" x="3586"/>
        <item m="1" x="3587"/>
        <item m="1" x="3588"/>
        <item m="1" x="3589"/>
        <item m="1" x="3569"/>
        <item m="1" x="3590"/>
        <item m="1" x="3570"/>
        <item m="1" x="3571"/>
        <item m="1" x="3519"/>
        <item m="1" x="3362"/>
        <item m="1" x="3461"/>
        <item m="1" x="3339"/>
        <item m="1" x="3572"/>
        <item m="1" x="3520"/>
        <item m="1" x="3573"/>
        <item m="1" x="3290"/>
        <item m="1" x="3462"/>
        <item m="1" x="3291"/>
        <item m="1" x="3340"/>
        <item m="1" x="3341"/>
        <item m="1" x="3342"/>
        <item m="1" x="3363"/>
        <item m="1" x="3343"/>
        <item m="1" x="3344"/>
        <item m="1" x="3364"/>
        <item m="1" x="3345"/>
        <item m="1" x="3346"/>
        <item m="1" x="3347"/>
        <item m="1" x="3348"/>
        <item m="1" x="3349"/>
        <item m="1" x="3350"/>
        <item m="1" x="3574"/>
        <item m="1" x="3575"/>
        <item m="1" x="3463"/>
        <item m="1" x="3292"/>
        <item m="1" x="3464"/>
        <item m="1" x="3465"/>
        <item m="1" x="3293"/>
        <item m="1" x="3351"/>
        <item m="1" x="3352"/>
        <item m="1" x="3353"/>
        <item m="1" x="3294"/>
        <item m="1" x="3466"/>
        <item m="1" x="3354"/>
        <item m="1" x="3355"/>
        <item m="1" x="3356"/>
        <item m="1" x="3108"/>
        <item m="1" x="2999"/>
        <item m="1" x="3000"/>
        <item m="1" x="3001"/>
        <item m="1" x="3002"/>
        <item m="1" x="3003"/>
        <item m="1" x="3004"/>
        <item m="1" x="2799"/>
        <item m="1" x="3453"/>
        <item m="1" x="2708"/>
        <item m="1" x="2881"/>
        <item m="1" x="3191"/>
        <item m="1" x="3581"/>
        <item m="1" x="3075"/>
        <item m="1" x="3076"/>
        <item m="1" x="2880"/>
        <item m="1" x="3226"/>
        <item m="1" x="3515"/>
        <item m="1" x="3516"/>
        <item m="1" x="3567"/>
        <item m="1" x="3768"/>
        <item m="1" x="3769"/>
        <item m="1" x="3568"/>
        <item m="1" x="3005"/>
        <item m="1" x="3826"/>
        <item m="1" x="3009"/>
        <item m="1" x="2709"/>
        <item m="1" x="2834"/>
        <item m="1" x="2835"/>
        <item m="1" x="2836"/>
        <item m="1" x="3077"/>
        <item m="1" x="2837"/>
        <item m="1" x="3610"/>
        <item m="1" x="3611"/>
        <item m="1" x="3194"/>
        <item m="1" x="3094"/>
        <item m="1" x="3241"/>
        <item m="1" x="3195"/>
        <item m="1" x="3196"/>
        <item m="1" x="3197"/>
        <item m="1" x="3032"/>
        <item m="1" x="3095"/>
        <item m="1" x="3033"/>
        <item m="1" x="3034"/>
        <item m="1" x="3035"/>
        <item m="1" x="3036"/>
        <item m="1" x="2986"/>
        <item m="1" x="3006"/>
        <item m="1" x="3007"/>
        <item m="1" x="3008"/>
        <item m="1" x="2953"/>
        <item m="1" x="2954"/>
        <item m="1" x="2955"/>
        <item m="1" x="3145"/>
        <item m="1" x="3299"/>
        <item m="1" x="3300"/>
        <item m="1" x="3301"/>
        <item m="1" x="3150"/>
        <item m="1" x="3216"/>
        <item m="1" x="3168"/>
        <item m="1" x="3169"/>
        <item m="1" x="2959"/>
        <item m="1" x="3078"/>
        <item m="1" x="2960"/>
        <item m="1" x="3170"/>
        <item m="1" x="3217"/>
        <item m="1" x="2929"/>
        <item m="1" x="3037"/>
        <item m="1" x="3038"/>
        <item m="1" x="3039"/>
        <item m="1" x="3040"/>
        <item m="1" x="3041"/>
        <item m="1" x="2987"/>
        <item m="1" x="3042"/>
        <item m="1" x="3043"/>
        <item m="1" x="2988"/>
        <item m="1" x="3044"/>
        <item m="1" x="3045"/>
        <item m="1" x="3049"/>
        <item m="1" x="3050"/>
        <item m="1" x="3051"/>
        <item m="1" x="3052"/>
        <item m="1" x="2989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302"/>
        <item m="1" x="3303"/>
        <item m="1" x="3304"/>
        <item m="1" x="3305"/>
        <item m="1" x="2930"/>
        <item m="1" x="3298"/>
        <item m="1" x="3171"/>
        <item m="1" x="3079"/>
        <item m="1" x="3109"/>
        <item m="1" x="2759"/>
        <item m="1" x="3172"/>
        <item m="1" x="3080"/>
        <item m="1" x="3110"/>
        <item m="1" x="2961"/>
        <item m="1" x="3010"/>
        <item m="1" x="2910"/>
        <item m="1" x="2962"/>
        <item m="1" x="3173"/>
        <item m="1" x="3111"/>
        <item m="1" x="3112"/>
        <item m="1" x="2931"/>
        <item m="1" x="3113"/>
        <item m="1" x="2963"/>
        <item m="1" x="3114"/>
        <item m="1" x="3011"/>
        <item m="1" x="3151"/>
        <item m="1" x="3174"/>
        <item m="1" x="2710"/>
        <item m="1" x="3081"/>
        <item m="1" x="3175"/>
        <item m="1" x="3082"/>
        <item m="1" x="3115"/>
        <item m="1" x="2726"/>
        <item m="1" x="3321"/>
        <item m="1" x="3116"/>
        <item m="1" x="3152"/>
        <item m="1" x="3176"/>
        <item m="1" x="2964"/>
        <item m="1" x="3218"/>
        <item m="1" x="3177"/>
        <item m="1" x="3219"/>
        <item m="1" x="3117"/>
        <item m="1" x="3322"/>
        <item m="1" x="2911"/>
        <item m="1" x="3118"/>
        <item m="1" x="2727"/>
        <item m="1" x="3119"/>
        <item m="1" x="2728"/>
        <item m="1" x="3083"/>
        <item m="1" x="3153"/>
        <item m="1" x="3178"/>
        <item m="1" x="3084"/>
        <item m="1" x="3323"/>
        <item m="1" x="3179"/>
        <item m="1" x="3085"/>
        <item m="1" x="3086"/>
        <item m="1" x="3087"/>
        <item m="1" x="3324"/>
        <item m="1" x="2729"/>
        <item m="1" x="3325"/>
        <item m="1" x="2711"/>
        <item m="1" x="3120"/>
        <item m="1" x="2965"/>
        <item m="1" x="3121"/>
        <item m="1" x="2900"/>
        <item m="1" x="3326"/>
        <item m="1" x="2912"/>
        <item m="1" x="3122"/>
        <item m="1" x="2712"/>
        <item m="1" x="3180"/>
        <item m="1" x="2838"/>
        <item m="1" x="3088"/>
        <item m="1" x="3123"/>
        <item m="1" x="2949"/>
        <item m="1" x="3181"/>
        <item m="1" x="2966"/>
        <item m="1" x="3012"/>
        <item m="1" x="3327"/>
        <item m="1" x="3124"/>
        <item m="1" x="3240"/>
        <item m="1" x="3182"/>
        <item m="1" x="2967"/>
        <item m="1" x="2760"/>
        <item m="1" x="2839"/>
        <item m="1" x="2932"/>
        <item m="1" x="2950"/>
        <item m="1" x="3183"/>
        <item m="1" x="3125"/>
        <item m="1" x="2840"/>
        <item m="1" x="2933"/>
        <item m="1" x="3089"/>
        <item m="1" x="2913"/>
        <item m="1" x="3090"/>
        <item m="1" x="2968"/>
        <item m="1" x="2969"/>
        <item m="1" x="2951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2914"/>
        <item m="1" x="3328"/>
        <item m="1" x="3091"/>
        <item m="1" x="2970"/>
        <item m="1" x="3154"/>
        <item m="1" x="3184"/>
        <item m="1" x="2934"/>
        <item m="1" x="2971"/>
        <item m="1" x="3329"/>
        <item m="1" x="3126"/>
        <item m="1" x="3127"/>
        <item m="1" x="3185"/>
        <item m="1" x="3128"/>
        <item m="1" x="2882"/>
        <item m="1" x="2972"/>
        <item m="1" x="2883"/>
        <item m="1" x="3186"/>
        <item m="1" x="3129"/>
        <item m="1" x="2973"/>
        <item m="1" x="3330"/>
        <item m="1" x="2915"/>
        <item m="1" x="3092"/>
        <item m="1" x="2974"/>
        <item m="1" x="2916"/>
        <item m="1" x="2975"/>
        <item m="1" x="3625"/>
        <item m="1" x="2976"/>
        <item m="1" x="3626"/>
        <item m="1" x="2977"/>
        <item m="1" x="2978"/>
        <item m="1" x="2806"/>
        <item m="1" x="3093"/>
        <item m="1" x="2979"/>
        <item m="1" x="3130"/>
        <item m="1" x="2917"/>
        <item m="1" x="3190"/>
        <item m="1" x="3046"/>
        <item m="1" x="3227"/>
        <item m="1" x="3242"/>
        <item m="1" x="3243"/>
        <item m="1" x="3228"/>
        <item m="1" x="3244"/>
        <item m="1" x="3245"/>
        <item m="1" x="3047"/>
        <item m="1" x="3131"/>
        <item m="1" x="3048"/>
        <item m="1" x="3246"/>
        <item m="1" x="3247"/>
        <item m="1" x="3229"/>
        <item m="1" x="3248"/>
        <item m="1" x="3064"/>
        <item m="1" x="3230"/>
        <item m="1" x="3249"/>
        <item m="1" x="3250"/>
        <item m="1" x="3612"/>
        <item m="1" x="3613"/>
        <item m="1" x="3198"/>
        <item m="1" x="3199"/>
        <item m="1" x="3096"/>
        <item m="1" x="3097"/>
        <item m="1" x="3231"/>
        <item m="1" x="3132"/>
        <item m="1" x="3133"/>
        <item m="1" x="3134"/>
        <item m="1" x="3135"/>
        <item m="1" x="2952"/>
        <item m="1" x="3232"/>
        <item m="1" x="3614"/>
        <item m="1" x="3098"/>
        <item m="1" x="3099"/>
        <item m="1" x="3100"/>
        <item m="1" x="3101"/>
        <item m="1" x="3102"/>
        <item m="1" x="3200"/>
        <item m="1" x="3251"/>
        <item m="1" x="3103"/>
        <item m="1" x="3104"/>
        <item m="1" x="3252"/>
        <item m="1" x="3253"/>
        <item m="1" x="3254"/>
        <item m="1" x="3255"/>
        <item m="1" x="3233"/>
        <item m="1" x="3449"/>
        <item m="1" x="3517"/>
        <item m="1" x="3234"/>
        <item m="1" x="3201"/>
        <item m="1" x="3202"/>
        <item m="1" x="3615"/>
        <item m="1" x="3616"/>
        <item m="1" x="3617"/>
        <item m="1" x="3618"/>
        <item m="1" x="3105"/>
        <item m="1" x="3159"/>
        <item m="1" x="3203"/>
        <item m="1" x="3256"/>
        <item m="1" x="3257"/>
        <item m="1" x="3258"/>
        <item m="1" x="3259"/>
        <item m="1" x="3260"/>
        <item m="1" x="3261"/>
        <item m="1" x="3262"/>
        <item m="1" x="3263"/>
        <item m="1" x="3204"/>
        <item m="1" x="3205"/>
        <item m="1" x="3264"/>
        <item m="1" x="3206"/>
        <item m="1" x="3265"/>
        <item m="1" x="3266"/>
        <item m="1" x="3160"/>
        <item m="1" x="3207"/>
        <item m="1" x="3467"/>
        <item m="1" x="2592"/>
        <item m="1" x="2593"/>
        <item m="1" x="2594"/>
        <item m="1" x="2990"/>
        <item m="1" x="2991"/>
        <item m="1" x="2992"/>
        <item m="1" x="2993"/>
        <item m="1" x="2994"/>
        <item m="1" x="3306"/>
        <item m="1" x="2519"/>
        <item m="1" x="3023"/>
        <item m="1" x="2980"/>
        <item m="1" x="2761"/>
        <item m="1" x="3024"/>
        <item m="1" x="3025"/>
        <item m="1" x="2647"/>
        <item m="1" x="2587"/>
        <item m="1" x="2384"/>
        <item m="1" x="3267"/>
        <item m="1" x="3208"/>
        <item m="1" x="3106"/>
        <item m="1" x="3209"/>
        <item m="1" x="2995"/>
        <item m="1" x="2801"/>
        <item m="1" x="2802"/>
        <item m="1" x="2803"/>
        <item m="1" x="3450"/>
        <item m="1" x="2891"/>
        <item m="1" x="3268"/>
        <item m="1" x="2892"/>
        <item m="1" x="2893"/>
        <item m="1" x="2845"/>
        <item m="1" x="2846"/>
        <item m="1" x="2814"/>
        <item m="1" x="2847"/>
        <item m="1" x="2889"/>
        <item m="1" x="2848"/>
        <item m="1" x="2849"/>
        <item m="1" x="2850"/>
        <item m="1" x="2851"/>
        <item m="1" x="2815"/>
        <item m="1" x="2852"/>
        <item m="1" x="2816"/>
        <item m="1" x="2772"/>
        <item m="1" x="2853"/>
        <item m="1" x="2854"/>
        <item m="1" x="2855"/>
        <item m="1" x="2856"/>
        <item m="1" x="2857"/>
        <item m="1" x="2890"/>
        <item m="1" x="2858"/>
        <item m="1" x="2773"/>
        <item m="1" x="2859"/>
        <item m="1" x="2996"/>
        <item m="1" x="2997"/>
        <item m="1" x="2998"/>
        <item m="1" x="2901"/>
        <item m="1" x="2902"/>
        <item m="1" x="2903"/>
        <item m="1" x="2595"/>
        <item m="1" x="2596"/>
        <item m="1" x="2861"/>
        <item m="1" x="3514"/>
        <item m="1" x="3210"/>
        <item m="1" x="3211"/>
        <item m="1" x="3213"/>
        <item m="1" x="2833"/>
        <item m="1" x="2905"/>
        <item m="1" x="2906"/>
        <item m="1" x="2920"/>
        <item m="1" x="2374"/>
        <item m="1" x="2860"/>
        <item m="1" x="3451"/>
        <item m="1" x="3136"/>
        <item m="1" x="3137"/>
        <item m="1" x="3138"/>
        <item m="1" x="3139"/>
        <item m="1" x="3140"/>
        <item m="1" x="3141"/>
        <item m="1" x="3142"/>
        <item m="1" x="2921"/>
        <item m="1" x="3107"/>
        <item m="1" x="3065"/>
        <item m="1" x="2732"/>
        <item m="1" x="2648"/>
        <item m="1" x="2649"/>
        <item m="1" x="2485"/>
        <item m="1" x="2375"/>
        <item m="1" x="2650"/>
        <item m="1" x="2486"/>
        <item m="1" x="2651"/>
        <item m="1" x="2652"/>
        <item m="1" x="2653"/>
        <item m="1" x="2654"/>
        <item m="1" x="2655"/>
        <item m="1" x="2588"/>
        <item m="1" x="2562"/>
        <item m="1" x="2656"/>
        <item m="1" x="2657"/>
        <item m="1" x="2807"/>
        <item m="1" x="2658"/>
        <item m="1" x="2659"/>
        <item m="1" x="2660"/>
        <item m="1" x="2661"/>
        <item m="1" x="2662"/>
        <item m="1" x="2808"/>
        <item m="1" x="2663"/>
        <item m="1" x="2841"/>
        <item m="1" x="2664"/>
        <item m="1" x="2665"/>
        <item m="1" x="2574"/>
        <item m="1" x="2666"/>
        <item m="1" x="2667"/>
        <item m="1" x="2501"/>
        <item m="1" x="2668"/>
        <item m="1" x="2431"/>
        <item m="1" x="2563"/>
        <item m="1" x="2502"/>
        <item m="1" x="2669"/>
        <item m="1" x="2670"/>
        <item m="1" x="2671"/>
        <item m="1" x="2672"/>
        <item m="1" x="2524"/>
        <item m="1" x="2589"/>
        <item m="1" x="2673"/>
        <item m="1" x="2713"/>
        <item m="1" x="2674"/>
        <item m="1" x="2675"/>
        <item m="1" x="2676"/>
        <item m="1" x="2762"/>
        <item m="1" x="2677"/>
        <item m="1" x="2809"/>
        <item m="1" x="2678"/>
        <item m="1" x="2730"/>
        <item m="1" x="2679"/>
        <item m="1" x="2763"/>
        <item m="1" x="2764"/>
        <item m="1" x="2680"/>
        <item m="1" x="2681"/>
        <item m="1" x="2765"/>
        <item m="1" x="2682"/>
        <item m="1" x="2731"/>
        <item m="1" x="2810"/>
        <item m="1" x="2432"/>
        <item m="1" x="2575"/>
        <item m="1" x="2683"/>
        <item m="1" x="2714"/>
        <item m="1" x="2576"/>
        <item m="1" x="2684"/>
        <item m="1" x="2884"/>
        <item m="1" x="2766"/>
        <item m="1" x="2685"/>
        <item m="1" x="2583"/>
        <item m="1" x="2686"/>
        <item m="1" x="2564"/>
        <item m="1" x="2767"/>
        <item m="1" x="2811"/>
        <item m="1" x="2577"/>
        <item m="1" x="2687"/>
        <item m="1" x="2503"/>
        <item m="1" x="2768"/>
        <item m="1" x="2433"/>
        <item m="1" x="2715"/>
        <item m="1" x="2504"/>
        <item m="1" x="2565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885"/>
        <item m="1" x="2700"/>
        <item m="1" x="2590"/>
        <item m="1" x="2701"/>
        <item m="1" x="2702"/>
        <item m="1" x="2812"/>
        <item m="1" x="2703"/>
        <item m="1" x="2716"/>
        <item m="1" x="2886"/>
        <item m="1" x="2887"/>
        <item m="1" x="2842"/>
        <item m="1" x="2525"/>
        <item m="1" x="2843"/>
        <item m="1" x="2888"/>
        <item m="1" x="2566"/>
        <item m="1" x="2591"/>
        <item m="1" x="2769"/>
        <item m="1" x="2717"/>
        <item m="1" x="2733"/>
        <item m="1" x="2936"/>
        <item m="1" x="2937"/>
        <item m="1" x="2904"/>
        <item m="1" x="2922"/>
        <item m="1" x="2938"/>
        <item m="1" x="2923"/>
        <item m="1" x="2907"/>
        <item m="1" x="2924"/>
        <item m="1" x="2925"/>
        <item m="1" x="2926"/>
        <item m="1" x="2908"/>
        <item m="1" x="2927"/>
        <item m="1" x="292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09"/>
        <item m="1" x="2804"/>
        <item m="1" x="2520"/>
        <item m="1" x="3155"/>
        <item m="1" x="3156"/>
        <item m="1" x="3157"/>
        <item m="1" x="3158"/>
        <item m="1" x="2918"/>
        <item m="1" x="2948"/>
        <item m="1" x="3295"/>
        <item m="1" x="3296"/>
        <item m="1" x="3297"/>
        <item m="1" x="2813"/>
        <item m="1" x="2844"/>
        <item m="1" x="2935"/>
        <item m="1" x="2704"/>
        <item m="1" x="2597"/>
        <item m="1" x="2817"/>
        <item m="1" x="2521"/>
        <item m="1" x="2522"/>
        <item m="1" x="2523"/>
        <item m="1" x="2755"/>
        <item m="1" x="2756"/>
        <item m="1" x="2757"/>
        <item m="1" x="3187"/>
        <item m="1" x="3220"/>
        <item m="1" x="3221"/>
        <item m="1" x="2541"/>
        <item m="1" x="2750"/>
        <item m="1" x="2484"/>
        <item m="1" x="2894"/>
        <item m="1" x="2895"/>
        <item m="1" x="2919"/>
        <item m="1" x="2598"/>
        <item m="1" x="2599"/>
        <item m="1" x="2600"/>
        <item m="1" x="2430"/>
        <item m="1" x="2601"/>
        <item m="1" x="2602"/>
        <item m="1" x="2603"/>
        <item m="1" x="2604"/>
        <item m="1" x="2605"/>
        <item m="1" x="2606"/>
        <item m="1" x="2607"/>
        <item m="1" x="2774"/>
        <item m="1" x="2608"/>
        <item m="1" x="2609"/>
        <item m="1" x="2610"/>
        <item m="1" x="2611"/>
        <item m="1" x="2775"/>
        <item m="1" x="2776"/>
        <item m="1" x="2777"/>
        <item m="1" x="2778"/>
        <item m="1" x="2612"/>
        <item m="1" x="2818"/>
        <item m="1" x="2613"/>
        <item m="1" x="2614"/>
        <item m="1" x="2615"/>
        <item m="1" x="2779"/>
        <item m="1" x="2616"/>
        <item m="1" x="2617"/>
        <item m="1" x="2819"/>
        <item m="1" x="2780"/>
        <item m="1" x="2618"/>
        <item m="1" x="2619"/>
        <item m="1" x="2820"/>
        <item m="1" x="2781"/>
        <item m="1" x="2620"/>
        <item m="1" x="2621"/>
        <item m="1" x="2821"/>
        <item m="1" x="2822"/>
        <item m="1" x="2622"/>
        <item m="1" x="2823"/>
        <item m="1" x="2824"/>
        <item m="1" x="2623"/>
        <item m="1" x="2825"/>
        <item m="1" x="2826"/>
        <item m="1" x="2782"/>
        <item m="1" x="2827"/>
        <item m="1" x="2783"/>
        <item m="1" x="2747"/>
        <item m="1" x="2784"/>
        <item m="1" x="2785"/>
        <item m="1" x="2786"/>
        <item m="1" x="2787"/>
        <item m="1" x="2748"/>
        <item m="1" x="2749"/>
        <item m="1" x="2788"/>
        <item m="1" x="2828"/>
        <item m="1" x="2624"/>
        <item m="1" x="2625"/>
        <item m="1" x="2626"/>
        <item m="1" x="2627"/>
        <item m="1" x="2789"/>
        <item m="1" x="2628"/>
        <item m="1" x="2790"/>
        <item m="1" x="2791"/>
        <item m="1" x="2629"/>
        <item m="1" x="2630"/>
        <item m="1" x="2631"/>
        <item m="1" x="2632"/>
        <item m="1" x="2792"/>
        <item m="1" x="2829"/>
        <item m="1" x="2793"/>
        <item m="1" x="2830"/>
        <item m="1" x="2794"/>
        <item m="1" x="2795"/>
        <item m="1" x="2633"/>
        <item m="1" x="2634"/>
        <item m="1" x="2796"/>
        <item m="1" x="2797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635"/>
        <item m="1" x="2831"/>
        <item m="1" x="2873"/>
        <item m="1" x="2874"/>
        <item m="1" x="2636"/>
        <item m="1" x="2637"/>
        <item m="1" x="2638"/>
        <item m="1" x="2875"/>
        <item m="1" x="2876"/>
        <item m="1" x="2639"/>
        <item m="1" x="2877"/>
        <item m="1" x="2640"/>
        <item m="1" x="2641"/>
        <item m="1" x="2642"/>
        <item m="1" x="2798"/>
        <item m="1" x="2878"/>
        <item m="1" x="2643"/>
        <item m="1" x="2832"/>
        <item m="1" x="2720"/>
        <item m="1" x="2721"/>
        <item m="1" x="2722"/>
        <item m="1" x="2723"/>
        <item m="1" x="2751"/>
        <item m="1" x="2752"/>
        <item m="1" x="2534"/>
        <item m="1" x="2800"/>
        <item m="1" x="2753"/>
        <item m="1" x="2725"/>
        <item m="1" x="2556"/>
        <item m="1" x="2536"/>
        <item m="1" x="2557"/>
        <item m="1" x="2558"/>
        <item m="1" x="2559"/>
        <item m="1" x="2560"/>
        <item m="1" x="2561"/>
        <item m="1" x="2376"/>
        <item m="1" x="2487"/>
        <item m="1" x="2349"/>
        <item m="1" x="2754"/>
        <item m="1" x="2724"/>
        <item m="1" x="2535"/>
        <item m="1" x="2497"/>
        <item m="1" x="2555"/>
        <item m="1" x="2499"/>
        <item m="1" x="2734"/>
        <item m="1" x="2718"/>
        <item m="1" x="2735"/>
        <item m="1" x="2719"/>
        <item m="1" x="2736"/>
        <item m="1" x="2737"/>
        <item m="1" x="2896"/>
        <item m="1" x="2897"/>
        <item m="1" x="2898"/>
        <item m="1" x="2899"/>
        <item m="1" x="2738"/>
        <item m="1" x="2573"/>
        <item m="1" x="2579"/>
        <item m="1" x="2580"/>
        <item m="1" x="2581"/>
        <item m="1" x="2498"/>
        <item m="1" x="2377"/>
        <item m="1" x="2378"/>
        <item m="1" x="2288"/>
        <item m="1" x="2505"/>
        <item m="1" x="2289"/>
        <item m="1" x="2290"/>
        <item m="1" x="2542"/>
        <item m="1" x="2543"/>
        <item m="1" x="2291"/>
        <item m="1" x="2350"/>
        <item m="1" x="2292"/>
        <item m="1" x="2293"/>
        <item m="1" x="2294"/>
        <item m="1" x="2567"/>
        <item m="1" x="2295"/>
        <item m="1" x="2296"/>
        <item m="1" x="2297"/>
        <item m="1" x="2155"/>
        <item m="1" x="2544"/>
        <item m="1" x="2434"/>
        <item m="1" x="2298"/>
        <item m="1" x="2351"/>
        <item m="1" x="2545"/>
        <item m="1" x="2506"/>
        <item m="1" x="2299"/>
        <item m="1" x="2300"/>
        <item m="1" x="2578"/>
        <item m="1" x="2301"/>
        <item m="1" x="2352"/>
        <item m="1" x="2302"/>
        <item m="1" x="2353"/>
        <item m="1" x="2546"/>
        <item m="1" x="2303"/>
        <item m="1" x="2435"/>
        <item m="1" x="2526"/>
        <item m="1" x="2304"/>
        <item m="1" x="2354"/>
        <item m="1" x="2436"/>
        <item m="1" x="2355"/>
        <item m="1" x="2156"/>
        <item m="1" x="1981"/>
        <item m="1" x="2547"/>
        <item m="1" x="2305"/>
        <item m="1" x="2021"/>
        <item m="1" x="2306"/>
        <item m="1" x="2307"/>
        <item m="1" x="2356"/>
        <item m="1" x="2527"/>
        <item m="1" x="2507"/>
        <item m="1" x="2508"/>
        <item m="1" x="2437"/>
        <item m="1" x="2509"/>
        <item m="1" x="2438"/>
        <item m="1" x="2510"/>
        <item m="1" x="2357"/>
        <item m="1" x="2308"/>
        <item m="1" x="2022"/>
        <item m="1" x="2358"/>
        <item m="1" x="2379"/>
        <item m="1" x="2511"/>
        <item m="1" x="2309"/>
        <item m="1" x="2512"/>
        <item m="1" x="2439"/>
        <item m="1" x="2513"/>
        <item m="1" x="2514"/>
        <item m="1" x="2440"/>
        <item m="1" x="2359"/>
        <item m="1" x="2310"/>
        <item m="1" x="2311"/>
        <item m="1" x="2515"/>
        <item m="1" x="2360"/>
        <item m="1" x="2312"/>
        <item m="1" x="2361"/>
        <item m="1" x="2441"/>
        <item m="1" x="2157"/>
        <item m="1" x="2362"/>
        <item m="1" x="2516"/>
        <item m="1" x="2363"/>
        <item m="1" x="2313"/>
        <item m="1" x="2314"/>
        <item m="1" x="2488"/>
        <item m="1" x="2315"/>
        <item m="1" x="2528"/>
        <item m="1" x="2316"/>
        <item m="1" x="2380"/>
        <item m="1" x="2489"/>
        <item m="1" x="2442"/>
        <item m="1" x="2317"/>
        <item m="1" x="2023"/>
        <item m="1" x="2443"/>
        <item m="1" x="2444"/>
        <item m="1" x="2490"/>
        <item m="1" x="2445"/>
        <item m="1" x="2318"/>
        <item m="1" x="2319"/>
        <item m="1" x="2320"/>
        <item m="1" x="2529"/>
        <item m="1" x="2491"/>
        <item m="1" x="2446"/>
        <item m="1" x="2381"/>
        <item m="1" x="2364"/>
        <item m="1" x="2447"/>
        <item m="1" x="2321"/>
        <item m="1" x="2492"/>
        <item m="1" x="2493"/>
        <item m="1" x="2494"/>
        <item m="1" x="2365"/>
        <item m="1" x="2448"/>
        <item m="1" x="2449"/>
        <item m="1" x="2322"/>
        <item m="1" x="2450"/>
        <item m="1" x="2451"/>
        <item m="1" x="2366"/>
        <item m="1" x="2530"/>
        <item m="1" x="2323"/>
        <item m="1" x="2324"/>
        <item m="1" x="2325"/>
        <item m="1" x="2382"/>
        <item m="1" x="2452"/>
        <item m="1" x="2367"/>
        <item m="1" x="2326"/>
        <item m="1" x="2517"/>
        <item m="1" x="1982"/>
        <item m="1" x="2453"/>
        <item m="1" x="2327"/>
        <item m="1" x="2158"/>
        <item m="1" x="2237"/>
        <item m="1" x="2500"/>
        <item m="1" x="2328"/>
        <item m="1" x="2537"/>
        <item m="1" x="2739"/>
        <item m="1" x="2170"/>
        <item m="1" x="2171"/>
        <item m="1" x="2172"/>
        <item m="1" x="2385"/>
        <item m="1" x="2368"/>
        <item m="1" x="2455"/>
        <item m="1" x="2456"/>
        <item m="1" x="2457"/>
        <item m="1" x="2458"/>
        <item m="1" x="2459"/>
        <item m="1" x="2386"/>
        <item m="1" x="2460"/>
        <item m="1" x="2173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74"/>
        <item m="1" x="2175"/>
        <item m="1" x="2176"/>
        <item m="1" x="2397"/>
        <item m="1" x="2398"/>
        <item m="1" x="2399"/>
        <item m="1" x="2400"/>
        <item m="1" x="2461"/>
        <item m="1" x="2462"/>
        <item m="1" x="2401"/>
        <item m="1" x="2463"/>
        <item m="1" x="2402"/>
        <item m="1" x="2403"/>
        <item m="1" x="2404"/>
        <item m="1" x="2405"/>
        <item m="1" x="2406"/>
        <item m="1" x="2177"/>
        <item m="1" x="2407"/>
        <item m="1" x="2178"/>
        <item m="1" x="2179"/>
        <item m="1" x="2408"/>
        <item m="1" x="2180"/>
        <item m="1" x="2181"/>
        <item m="1" x="2409"/>
        <item m="1" x="2410"/>
        <item m="1" x="2182"/>
        <item m="1" x="2411"/>
        <item m="1" x="2412"/>
        <item m="1" x="2464"/>
        <item m="1" x="2413"/>
        <item m="1" x="2465"/>
        <item m="1" x="2183"/>
        <item m="1" x="2184"/>
        <item m="1" x="2414"/>
        <item m="1" x="2415"/>
        <item m="1" x="2466"/>
        <item m="1" x="2273"/>
        <item m="1" x="2274"/>
        <item m="1" x="2275"/>
        <item m="1" x="2276"/>
        <item m="1" x="2277"/>
        <item m="1" x="2758"/>
        <item m="1" x="2283"/>
        <item m="1" x="2284"/>
        <item m="1" x="2416"/>
        <item m="1" x="2369"/>
        <item m="1" x="2370"/>
        <item m="1" x="2467"/>
        <item m="1" x="2468"/>
        <item m="1" x="2469"/>
        <item m="1" x="2371"/>
        <item m="1" x="2470"/>
        <item m="1" x="2471"/>
        <item m="1" x="2472"/>
        <item m="1" x="2372"/>
        <item m="1" x="2473"/>
        <item m="1" x="2474"/>
        <item m="1" x="2417"/>
        <item m="1" x="2418"/>
        <item m="1" x="2373"/>
        <item m="1" x="2419"/>
        <item m="1" x="2475"/>
        <item m="1" x="2476"/>
        <item m="1" x="2420"/>
        <item m="1" x="2477"/>
        <item m="1" x="2421"/>
        <item m="1" x="2422"/>
        <item m="1" x="2478"/>
        <item m="1" x="2423"/>
        <item m="1" x="2424"/>
        <item m="1" x="2425"/>
        <item m="1" x="2479"/>
        <item m="1" x="2480"/>
        <item m="1" x="2426"/>
        <item m="1" x="2427"/>
        <item m="1" x="2428"/>
        <item m="1" x="2481"/>
        <item m="1" x="2482"/>
        <item m="1" x="2429"/>
        <item m="1" x="2185"/>
        <item m="1" x="2483"/>
        <item m="1" x="2568"/>
        <item m="1" x="2549"/>
        <item m="1" x="2550"/>
        <item m="1" x="2740"/>
        <item m="1" x="2569"/>
        <item m="1" x="2551"/>
        <item m="1" x="2552"/>
        <item m="1" x="2186"/>
        <item m="1" x="2741"/>
        <item m="1" x="2518"/>
        <item m="1" x="2553"/>
        <item m="1" x="2496"/>
        <item m="1" x="2742"/>
        <item m="1" x="2538"/>
        <item m="1" x="2570"/>
        <item m="1" x="2554"/>
        <item m="1" x="2571"/>
        <item m="1" x="2743"/>
        <item m="1" x="2572"/>
        <item m="1" x="2744"/>
        <item m="1" x="2539"/>
        <item m="1" x="2745"/>
        <item m="1" x="2540"/>
        <item m="1" x="2533"/>
        <item m="1" x="2770"/>
        <item m="1" x="2705"/>
        <item m="1" x="2706"/>
        <item m="1" x="2707"/>
        <item m="1" x="2548"/>
        <item m="1" x="2495"/>
        <item m="1" x="2746"/>
        <item m="1" x="2187"/>
        <item m="1" x="2188"/>
        <item m="1" x="2189"/>
        <item m="1" x="2190"/>
        <item m="1" x="2191"/>
        <item m="1" x="2195"/>
        <item m="1" x="2584"/>
        <item m="1" x="2092"/>
        <item m="1" x="2192"/>
        <item m="1" x="2193"/>
        <item m="1" x="2194"/>
        <item m="1" x="2196"/>
        <item m="1" x="2197"/>
        <item m="1" x="2198"/>
        <item m="1" x="2036"/>
        <item m="1" x="2037"/>
        <item m="1" x="2199"/>
        <item m="1" x="2200"/>
        <item m="1" x="2201"/>
        <item m="1" x="2202"/>
        <item m="1" x="2038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644"/>
        <item m="1" x="2645"/>
        <item m="1" x="2582"/>
        <item m="1" x="2585"/>
        <item m="1" x="2646"/>
        <item m="1" x="2586"/>
        <item m="1" x="2278"/>
        <item m="1" x="2279"/>
        <item m="1" x="2024"/>
        <item m="1" x="2093"/>
        <item m="1" x="2159"/>
        <item m="1" x="2329"/>
        <item m="1" x="2330"/>
        <item m="1" x="1983"/>
        <item m="1" x="1984"/>
        <item m="1" x="2331"/>
        <item m="1" x="2332"/>
        <item m="1" x="2333"/>
        <item m="1" x="2334"/>
        <item m="1" x="2160"/>
        <item m="1" x="1985"/>
        <item m="1" x="2335"/>
        <item m="1" x="2336"/>
        <item m="1" x="2094"/>
        <item m="1" x="1986"/>
        <item m="1" x="2025"/>
        <item m="1" x="2026"/>
        <item m="1" x="2161"/>
        <item m="1" x="2095"/>
        <item m="1" x="2337"/>
        <item m="1" x="2096"/>
        <item m="1" x="2338"/>
        <item m="1" x="2339"/>
        <item m="1" x="2340"/>
        <item m="1" x="2097"/>
        <item m="1" x="2162"/>
        <item m="1" x="2341"/>
        <item m="1" x="2342"/>
        <item m="1" x="1987"/>
        <item m="1" x="2163"/>
        <item m="1" x="2343"/>
        <item m="1" x="2098"/>
        <item m="1" x="2099"/>
        <item m="1" x="2100"/>
        <item m="1" x="2101"/>
        <item m="1" x="2027"/>
        <item m="1" x="2344"/>
        <item m="1" x="2102"/>
        <item m="1" x="2028"/>
        <item m="1" x="2103"/>
        <item m="1" x="1988"/>
        <item m="1" x="2164"/>
        <item m="1" x="1989"/>
        <item m="1" x="2104"/>
        <item m="1" x="2105"/>
        <item m="1" x="2106"/>
        <item m="1" x="2165"/>
        <item m="1" x="2166"/>
        <item m="1" x="2107"/>
        <item m="1" x="2108"/>
        <item m="1" x="2109"/>
        <item m="1" x="2110"/>
        <item m="1" x="2111"/>
        <item m="1" x="2167"/>
        <item m="1" x="2112"/>
        <item m="1" x="2113"/>
        <item m="1" x="2168"/>
        <item m="1" x="2114"/>
        <item m="1" x="2115"/>
        <item m="1" x="2116"/>
        <item m="1" x="2117"/>
        <item m="1" x="2345"/>
        <item m="1" x="2346"/>
        <item m="1" x="2347"/>
        <item m="1" x="1990"/>
        <item m="1" x="2029"/>
        <item m="1" x="2348"/>
        <item m="1" x="1963"/>
        <item m="1" x="1912"/>
        <item m="1" x="2091"/>
        <item m="1" x="2281"/>
        <item m="1" x="1558"/>
        <item m="1" x="2149"/>
        <item m="1" x="2282"/>
        <item m="1" x="2215"/>
        <item m="1" x="2118"/>
        <item m="1" x="2039"/>
        <item m="1" x="2285"/>
        <item m="1" x="1925"/>
        <item m="1" x="1926"/>
        <item m="1" x="2150"/>
        <item m="1" x="2151"/>
        <item m="1" x="2152"/>
        <item m="1" x="2153"/>
        <item m="1" x="2154"/>
        <item m="1" x="1927"/>
        <item m="1" x="2238"/>
        <item m="1" x="2239"/>
        <item m="1" x="2240"/>
        <item m="1" x="2241"/>
        <item m="1" x="2242"/>
        <item m="1" x="2243"/>
        <item m="1" x="1961"/>
        <item m="1" x="2244"/>
        <item m="1" x="2245"/>
        <item m="1" x="2246"/>
        <item m="1" x="1835"/>
        <item m="1" x="2145"/>
        <item m="1" x="2531"/>
        <item m="1" x="2532"/>
        <item m="1" x="2040"/>
        <item m="1" x="2216"/>
        <item m="1" x="2217"/>
        <item m="1" x="2119"/>
        <item m="1" x="2218"/>
        <item m="1" x="2219"/>
        <item m="1" x="2120"/>
        <item m="1" x="2220"/>
        <item m="1" x="2041"/>
        <item m="1" x="2121"/>
        <item m="1" x="2221"/>
        <item m="1" x="2122"/>
        <item m="1" x="2222"/>
        <item m="1" x="2123"/>
        <item m="1" x="2124"/>
        <item m="1" x="2125"/>
        <item m="1" x="2223"/>
        <item m="1" x="2126"/>
        <item m="1" x="2224"/>
        <item m="1" x="2127"/>
        <item m="1" x="2225"/>
        <item m="1" x="2128"/>
        <item m="1" x="2226"/>
        <item m="1" x="2129"/>
        <item m="1" x="2227"/>
        <item m="1" x="2130"/>
        <item m="1" x="2131"/>
        <item m="1" x="1960"/>
        <item m="1" x="2247"/>
        <item m="1" x="2248"/>
        <item m="1" x="2249"/>
        <item m="1" x="2280"/>
        <item m="1" x="2146"/>
        <item m="1" x="2147"/>
        <item m="1" x="2148"/>
        <item m="1" x="2454"/>
        <item m="1" x="2383"/>
        <item m="1" x="2132"/>
        <item m="1" x="2229"/>
        <item m="1" x="1892"/>
        <item m="1" x="2000"/>
        <item m="1" x="2001"/>
        <item m="1" x="2002"/>
        <item m="1" x="2003"/>
        <item m="1" x="2042"/>
        <item m="1" x="2230"/>
        <item m="1" x="2231"/>
        <item m="1" x="2043"/>
        <item m="1" x="2232"/>
        <item m="1" x="2004"/>
        <item m="1" x="2233"/>
        <item m="1" x="1893"/>
        <item m="1" x="2234"/>
        <item m="1" x="2044"/>
        <item m="1" x="2045"/>
        <item m="1" x="2005"/>
        <item m="1" x="1894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1991"/>
        <item m="1" x="1992"/>
        <item m="1" x="1993"/>
        <item m="1" x="1930"/>
        <item m="1" x="1747"/>
        <item m="1" x="1994"/>
        <item m="1" x="2228"/>
        <item m="1" x="2046"/>
        <item m="1" x="2047"/>
        <item m="1" x="2048"/>
        <item m="1" x="2133"/>
        <item m="1" x="2235"/>
        <item m="1" x="2134"/>
        <item m="1" x="2236"/>
        <item m="1" x="2049"/>
        <item m="1" x="2050"/>
        <item m="1" x="2051"/>
        <item m="1" x="2052"/>
        <item m="1" x="2053"/>
        <item m="1" x="2006"/>
        <item m="1" x="2054"/>
        <item m="1" x="2055"/>
        <item m="1" x="2135"/>
        <item m="1" x="2136"/>
        <item m="1" x="2007"/>
        <item m="1" x="2056"/>
        <item m="1" x="2057"/>
        <item m="1" x="2058"/>
        <item m="1" x="2137"/>
        <item m="1" x="2059"/>
        <item m="1" x="2060"/>
        <item m="1" x="2138"/>
        <item m="1" x="2139"/>
        <item m="1" x="2061"/>
        <item m="1" x="2062"/>
        <item m="1" x="2019"/>
        <item m="1" x="2140"/>
        <item m="1" x="2141"/>
        <item m="1" x="2143"/>
        <item m="1" x="2065"/>
        <item m="1" x="1907"/>
        <item m="1" x="2066"/>
        <item m="1" x="2067"/>
        <item m="1" x="2068"/>
        <item m="1" x="2069"/>
        <item m="1" x="2070"/>
        <item m="1" x="2286"/>
        <item m="1" x="1694"/>
        <item m="1" x="1606"/>
        <item m="1" x="1739"/>
        <item m="1" x="1695"/>
        <item m="1" x="1696"/>
        <item m="1" x="2063"/>
        <item m="1" x="2008"/>
        <item m="1" x="1895"/>
        <item m="1" x="1896"/>
        <item m="1" x="1897"/>
        <item m="1" x="2009"/>
        <item m="1" x="2142"/>
        <item m="1" x="1898"/>
        <item m="1" x="1899"/>
        <item m="1" x="2010"/>
        <item m="1" x="1900"/>
        <item m="1" x="1901"/>
        <item m="1" x="1902"/>
        <item m="1" x="2011"/>
        <item m="1" x="2064"/>
        <item m="1" x="2012"/>
        <item m="1" x="1903"/>
        <item m="1" x="2013"/>
        <item m="1" x="2014"/>
        <item m="1" x="2071"/>
        <item m="1" x="2016"/>
        <item m="1" x="2072"/>
        <item m="1" x="1908"/>
        <item m="1" x="2073"/>
        <item m="1" x="2074"/>
        <item m="1" x="2144"/>
        <item m="1" x="2075"/>
        <item m="1" x="2076"/>
        <item m="1" x="2266"/>
        <item m="1" x="2077"/>
        <item m="1" x="2078"/>
        <item m="1" x="2079"/>
        <item m="1" x="1970"/>
        <item m="1" x="1971"/>
        <item m="1" x="1972"/>
        <item m="1" x="1973"/>
        <item m="1" x="1974"/>
        <item m="1" x="2267"/>
        <item m="1" x="2268"/>
        <item m="1" x="2080"/>
        <item m="1" x="2081"/>
        <item m="1" x="2269"/>
        <item m="1" x="2270"/>
        <item m="1" x="2271"/>
        <item m="1" x="2272"/>
        <item m="1" x="2082"/>
        <item m="1" x="2017"/>
        <item m="1" x="2083"/>
        <item m="1" x="1602"/>
        <item m="1" x="1603"/>
        <item m="1" x="1604"/>
        <item m="1" x="2084"/>
        <item m="1" x="2018"/>
        <item m="1" x="1962"/>
        <item m="1" x="1909"/>
        <item m="1" x="1975"/>
        <item m="1" x="1910"/>
        <item m="1" x="1911"/>
        <item m="1" x="2085"/>
        <item m="1" x="2086"/>
        <item m="1" x="2087"/>
        <item m="1" x="1976"/>
        <item m="1" x="1977"/>
        <item m="1" x="1978"/>
        <item m="1" x="1979"/>
        <item m="1" x="1980"/>
        <item m="1" x="2088"/>
        <item m="1" x="2089"/>
        <item m="1" x="2090"/>
        <item m="1" x="2287"/>
        <item m="1" x="1931"/>
        <item m="1" x="1840"/>
        <item m="1" x="1740"/>
        <item m="1" x="1841"/>
        <item m="1" x="1932"/>
        <item m="1" x="1842"/>
        <item m="1" x="1933"/>
        <item m="1" x="1995"/>
        <item m="1" x="1934"/>
        <item m="1" x="1935"/>
        <item m="1" x="1843"/>
        <item m="1" x="1936"/>
        <item m="1" x="1734"/>
        <item m="1" x="2030"/>
        <item m="1" x="1937"/>
        <item m="1" x="1938"/>
        <item m="1" x="1939"/>
        <item m="1" x="1964"/>
        <item m="1" x="1748"/>
        <item m="1" x="1940"/>
        <item m="1" x="1820"/>
        <item m="1" x="1749"/>
        <item m="1" x="1996"/>
        <item m="1" x="1941"/>
        <item m="1" x="1821"/>
        <item m="1" x="1750"/>
        <item m="1" x="1676"/>
        <item m="1" x="1822"/>
        <item m="1" x="2031"/>
        <item m="1" x="1942"/>
        <item m="1" x="1867"/>
        <item m="1" x="1751"/>
        <item m="1" x="1943"/>
        <item m="1" x="1823"/>
        <item m="1" x="1752"/>
        <item m="1" x="1944"/>
        <item m="1" x="1661"/>
        <item m="1" x="1965"/>
        <item m="1" x="1887"/>
        <item m="1" x="1735"/>
        <item m="1" x="1697"/>
        <item m="1" x="1844"/>
        <item m="1" x="1753"/>
        <item m="1" x="1845"/>
        <item m="1" x="1754"/>
        <item m="1" x="1846"/>
        <item m="1" x="1868"/>
        <item m="1" x="1755"/>
        <item m="1" x="1966"/>
        <item m="1" x="1945"/>
        <item m="1" x="1824"/>
        <item m="1" x="1736"/>
        <item m="1" x="1756"/>
        <item m="1" x="1786"/>
        <item m="1" x="1946"/>
        <item m="1" x="1847"/>
        <item m="1" x="1967"/>
        <item m="1" x="1848"/>
        <item m="1" x="1869"/>
        <item m="1" x="1757"/>
        <item m="1" x="2032"/>
        <item m="1" x="1849"/>
        <item m="1" x="2033"/>
        <item m="1" x="1850"/>
        <item m="1" x="1997"/>
        <item m="1" x="1947"/>
        <item m="1" x="1948"/>
        <item m="1" x="1787"/>
        <item m="1" x="1949"/>
        <item m="1" x="1870"/>
        <item m="1" x="1968"/>
        <item m="1" x="1731"/>
        <item m="1" x="1788"/>
        <item m="1" x="1825"/>
        <item m="1" x="1950"/>
        <item m="1" x="1951"/>
        <item m="1" x="1633"/>
        <item m="1" x="1789"/>
        <item m="1" x="1952"/>
        <item m="1" x="1758"/>
        <item m="1" x="1998"/>
        <item m="1" x="1999"/>
        <item m="1" x="1969"/>
        <item m="1" x="1826"/>
        <item m="1" x="1851"/>
        <item m="1" x="1759"/>
        <item m="1" x="1790"/>
        <item m="1" x="1634"/>
        <item m="1" x="1953"/>
        <item m="1" x="1954"/>
        <item m="1" x="1852"/>
        <item m="1" x="1596"/>
        <item m="1" x="2034"/>
        <item m="1" x="1737"/>
        <item m="1" x="2035"/>
        <item m="1" x="1760"/>
        <item m="1" x="1791"/>
        <item m="1" x="1761"/>
        <item m="1" x="1762"/>
        <item m="1" x="1827"/>
        <item m="1" x="1871"/>
        <item m="1" x="1872"/>
        <item m="1" x="1763"/>
        <item m="1" x="1853"/>
        <item m="1" x="1955"/>
        <item m="1" x="1854"/>
        <item m="1" x="1764"/>
        <item m="1" x="1855"/>
        <item m="1" x="1765"/>
        <item m="1" x="1873"/>
        <item m="1" x="1956"/>
        <item m="1" x="1874"/>
        <item m="1" x="1875"/>
        <item m="1" x="1957"/>
        <item m="1" x="1958"/>
        <item m="1" x="1888"/>
        <item m="1" x="1828"/>
        <item m="1" x="1856"/>
        <item m="1" x="1829"/>
        <item m="1" x="1792"/>
        <item m="1" x="1793"/>
        <item m="1" x="1857"/>
        <item m="1" x="1766"/>
        <item m="1" x="1889"/>
        <item m="1" x="1890"/>
        <item m="1" x="1767"/>
        <item m="1" x="1876"/>
        <item m="1" x="1768"/>
        <item m="1" x="1769"/>
        <item m="1" x="1741"/>
        <item m="1" x="1891"/>
        <item m="1" x="1698"/>
        <item m="1" x="1877"/>
        <item m="1" x="1794"/>
        <item m="1" x="1770"/>
        <item m="1" x="1771"/>
        <item m="1" x="1878"/>
        <item m="1" x="1772"/>
        <item m="1" x="2015"/>
        <item m="1" x="1904"/>
        <item m="1" x="1905"/>
        <item m="1" x="1832"/>
        <item m="1" x="1833"/>
        <item m="1" x="1775"/>
        <item m="1" x="1795"/>
        <item m="1" x="1776"/>
        <item m="1" x="1860"/>
        <item m="1" x="1777"/>
        <item m="1" x="1906"/>
        <item m="1" x="1834"/>
        <item m="1" x="1796"/>
        <item m="1" x="1778"/>
        <item m="1" x="1797"/>
        <item m="1" x="1779"/>
        <item m="1" x="1798"/>
        <item m="1" x="1799"/>
        <item m="1" x="1800"/>
        <item m="1" x="1801"/>
        <item m="1" x="1780"/>
        <item m="1" x="1802"/>
        <item m="1" x="1803"/>
        <item m="1" x="1804"/>
        <item m="1" x="1781"/>
        <item m="1" x="1805"/>
        <item m="1" x="1782"/>
        <item m="1" x="1806"/>
        <item m="1" x="1807"/>
        <item m="1" x="1808"/>
        <item m="1" x="1809"/>
        <item m="1" x="1810"/>
        <item m="1" x="1811"/>
        <item m="1" x="1812"/>
        <item m="1" x="1813"/>
        <item m="1" x="1836"/>
        <item m="1" x="2020"/>
        <item m="1" x="1913"/>
        <item m="1" x="1914"/>
        <item m="1" x="1879"/>
        <item m="1" x="1880"/>
        <item m="1" x="1915"/>
        <item m="1" x="1916"/>
        <item m="1" x="1863"/>
        <item m="1" x="1864"/>
        <item m="1" x="1881"/>
        <item m="1" x="1882"/>
        <item m="1" x="1883"/>
        <item m="1" x="1884"/>
        <item m="1" x="1885"/>
        <item m="1" x="1865"/>
        <item m="1" x="1866"/>
        <item m="1" x="1928"/>
        <item m="1" x="1929"/>
        <item m="1" x="1690"/>
        <item m="1" x="1773"/>
        <item m="1" x="1959"/>
        <item m="1" x="2169"/>
        <item m="1" x="1858"/>
        <item m="1" x="1886"/>
        <item m="1" x="1917"/>
        <item m="1" x="1918"/>
        <item m="1" x="1919"/>
        <item m="1" x="1920"/>
        <item m="1" x="1921"/>
        <item m="1" x="1922"/>
        <item m="1" x="1923"/>
        <item m="1" x="1924"/>
        <item m="1" x="1579"/>
        <item m="1" x="1738"/>
        <item m="1" x="1662"/>
        <item m="1" x="1742"/>
        <item m="1" x="1663"/>
        <item m="1" x="1743"/>
        <item m="1" x="1774"/>
        <item m="1" x="1732"/>
        <item m="1" x="1462"/>
        <item m="1" x="1607"/>
        <item m="1" x="1429"/>
        <item m="1" x="1580"/>
        <item m="1" x="1635"/>
        <item m="1" x="1677"/>
        <item m="1" x="1430"/>
        <item m="1" x="1498"/>
        <item m="1" x="1565"/>
        <item m="1" x="1499"/>
        <item m="1" x="1664"/>
        <item m="1" x="1678"/>
        <item m="1" x="1500"/>
        <item m="1" x="1665"/>
        <item m="1" x="1463"/>
        <item m="1" x="1547"/>
        <item m="1" x="1548"/>
        <item m="1" x="1608"/>
        <item m="1" x="1609"/>
        <item m="1" x="1636"/>
        <item m="1" x="1610"/>
        <item m="1" x="1679"/>
        <item m="1" x="1637"/>
        <item m="1" x="1581"/>
        <item m="1" x="1398"/>
        <item m="1" x="1611"/>
        <item m="1" x="1582"/>
        <item m="1" x="1362"/>
        <item m="1" x="1431"/>
        <item m="1" x="1432"/>
        <item m="1" x="1566"/>
        <item m="1" x="1577"/>
        <item m="1" x="1597"/>
        <item m="1" x="1612"/>
        <item m="1" x="1476"/>
        <item m="1" x="1477"/>
        <item m="1" x="1583"/>
        <item m="1" x="1613"/>
        <item m="1" x="1567"/>
        <item m="1" x="1530"/>
        <item m="1" x="1501"/>
        <item m="1" x="1502"/>
        <item m="1" x="1578"/>
        <item m="1" x="1638"/>
        <item m="1" x="1614"/>
        <item m="1" x="1615"/>
        <item m="1" x="1616"/>
        <item m="1" x="1666"/>
        <item m="1" x="1617"/>
        <item m="1" x="1464"/>
        <item m="1" x="1598"/>
        <item m="1" x="1549"/>
        <item m="1" x="1667"/>
        <item m="1" x="1618"/>
        <item m="1" x="1465"/>
        <item m="1" x="1550"/>
        <item m="1" x="1551"/>
        <item m="1" x="1552"/>
        <item m="1" x="1639"/>
        <item m="1" x="1640"/>
        <item m="1" x="1691"/>
        <item m="1" x="1466"/>
        <item m="1" x="1641"/>
        <item m="1" x="1584"/>
        <item m="1" x="1433"/>
        <item m="1" x="1478"/>
        <item m="1" x="1434"/>
        <item m="1" x="1830"/>
        <item m="1" x="1599"/>
        <item m="1" x="1642"/>
        <item m="1" x="1668"/>
        <item m="1" x="1435"/>
        <item m="1" x="1585"/>
        <item m="1" x="1436"/>
        <item m="1" x="1467"/>
        <item m="1" x="1586"/>
        <item m="1" x="1437"/>
        <item m="1" x="1619"/>
        <item m="1" x="1587"/>
        <item m="1" x="1680"/>
        <item m="1" x="1568"/>
        <item m="1" x="1479"/>
        <item m="1" x="1523"/>
        <item m="1" x="1669"/>
        <item m="1" x="1670"/>
        <item m="1" x="1671"/>
        <item m="1" x="1672"/>
        <item m="1" x="1620"/>
        <item m="1" x="1621"/>
        <item m="1" x="1569"/>
        <item m="1" x="1673"/>
        <item m="1" x="1570"/>
        <item m="1" x="1674"/>
        <item m="1" x="1571"/>
        <item m="1" x="1831"/>
        <item m="1" x="1675"/>
        <item m="1" x="1572"/>
        <item m="1" x="1573"/>
        <item m="1" x="1622"/>
        <item m="1" x="1623"/>
        <item m="1" x="1624"/>
        <item m="1" x="1588"/>
        <item m="1" x="1589"/>
        <item m="1" x="1590"/>
        <item m="1" x="1625"/>
        <item m="1" x="1559"/>
        <item m="1" x="1591"/>
        <item m="1" x="1560"/>
        <item m="1" x="1626"/>
        <item m="1" x="1627"/>
        <item m="1" x="1643"/>
        <item m="1" x="1644"/>
        <item m="1" x="1628"/>
        <item m="1" x="1531"/>
        <item m="1" x="1600"/>
        <item m="1" x="1363"/>
        <item m="1" x="1629"/>
        <item m="1" x="1645"/>
        <item m="1" x="1592"/>
        <item m="1" x="1646"/>
        <item m="1" x="1438"/>
        <item m="1" x="1647"/>
        <item m="1" x="1480"/>
        <item m="1" x="1561"/>
        <item m="1" x="1553"/>
        <item m="1" x="1630"/>
        <item m="1" x="1554"/>
        <item m="1" x="1399"/>
        <item m="1" x="1524"/>
        <item m="1" x="1631"/>
        <item m="1" x="1481"/>
        <item m="1" x="1593"/>
        <item m="1" x="1482"/>
        <item m="1" x="1648"/>
        <item m="1" x="1400"/>
        <item m="1" x="1364"/>
        <item m="1" x="1439"/>
        <item m="1" x="1649"/>
        <item m="1" x="1440"/>
        <item m="1" x="1574"/>
        <item m="1" x="1575"/>
        <item m="1" x="1441"/>
        <item m="1" x="1601"/>
        <item m="1" x="1525"/>
        <item m="1" x="1365"/>
        <item m="1" x="1483"/>
        <item m="1" x="1442"/>
        <item m="1" x="1576"/>
        <item m="1" x="1484"/>
        <item m="1" x="1594"/>
        <item m="1" x="1503"/>
        <item m="1" x="1443"/>
        <item m="1" x="1526"/>
        <item m="1" x="1632"/>
        <item m="1" x="1366"/>
        <item m="1" x="1595"/>
        <item m="1" x="1814"/>
        <item m="1" x="1783"/>
        <item m="1" x="1861"/>
        <item m="1" x="1837"/>
        <item m="1" x="1412"/>
        <item m="1" x="1413"/>
        <item m="1" x="1838"/>
        <item m="1" x="1784"/>
        <item m="1" x="1816"/>
        <item m="1" x="1862"/>
        <item m="1" x="1692"/>
        <item m="1" x="1655"/>
        <item m="1" x="1699"/>
        <item m="1" x="1700"/>
        <item m="1" x="1701"/>
        <item m="1" x="1702"/>
        <item m="1" x="1703"/>
        <item m="1" x="1704"/>
        <item m="1" x="1681"/>
        <item m="1" x="1705"/>
        <item m="1" x="1706"/>
        <item m="1" x="1707"/>
        <item m="1" x="1708"/>
        <item m="1" x="1709"/>
        <item m="1" x="1710"/>
        <item m="1" x="1711"/>
        <item m="1" x="1693"/>
        <item m="1" x="1712"/>
        <item m="1" x="1713"/>
        <item m="1" x="1714"/>
        <item m="1" x="1715"/>
        <item m="1" x="1682"/>
        <item m="1" x="1656"/>
        <item m="1" x="1683"/>
        <item m="1" x="1716"/>
        <item m="1" x="1684"/>
        <item m="1" x="1685"/>
        <item m="1" x="1717"/>
        <item m="1" x="1686"/>
        <item m="1" x="1657"/>
        <item m="1" x="1687"/>
        <item m="1" x="1718"/>
        <item m="1" x="1658"/>
        <item m="1" x="1688"/>
        <item m="1" x="1719"/>
        <item m="1" x="1689"/>
        <item m="1" x="1720"/>
        <item m="1" x="1721"/>
        <item m="1" x="1414"/>
        <item m="1" x="1448"/>
        <item m="1" x="1449"/>
        <item m="1" x="1532"/>
        <item m="1" x="1533"/>
        <item m="1" x="1450"/>
        <item m="1" x="1451"/>
        <item m="1" x="1534"/>
        <item m="1" x="1535"/>
        <item m="1" x="1536"/>
        <item m="1" x="1537"/>
        <item m="1" x="1452"/>
        <item m="1" x="1415"/>
        <item m="1" x="1453"/>
        <item m="1" x="1454"/>
        <item m="1" x="1815"/>
        <item m="1" x="1725"/>
        <item m="1" x="1726"/>
        <item m="1" x="1727"/>
        <item m="1" x="1728"/>
        <item m="1" x="1729"/>
        <item m="1" x="1730"/>
        <item m="1" x="1733"/>
        <item m="1" x="1817"/>
        <item m="1" x="1650"/>
        <item m="1" x="1785"/>
        <item m="1" x="1651"/>
        <item m="1" x="1652"/>
        <item m="1" x="1746"/>
        <item m="1" x="1818"/>
        <item m="1" x="1653"/>
        <item m="1" x="1819"/>
        <item m="1" x="1839"/>
        <item m="1" x="1744"/>
        <item m="1" x="1745"/>
        <item m="1" x="993"/>
        <item m="1" x="1859"/>
        <item m="1" x="1343"/>
        <item m="1" x="1344"/>
        <item m="1" x="1722"/>
        <item m="1" x="1723"/>
        <item m="1" x="1654"/>
        <item m="1" x="1724"/>
        <item m="1" x="1659"/>
        <item m="1" x="1660"/>
        <item m="1" x="1605"/>
        <item m="1" x="1416"/>
        <item m="1" x="1276"/>
        <item m="1" x="1228"/>
        <item m="1" x="1367"/>
        <item m="1" x="1401"/>
        <item m="1" x="1198"/>
        <item m="1" x="1368"/>
        <item m="1" x="1369"/>
        <item m="1" x="1345"/>
        <item m="1" x="1370"/>
        <item m="1" x="1229"/>
        <item m="1" x="1199"/>
        <item m="1" x="1371"/>
        <item m="1" x="1309"/>
        <item m="1" x="1346"/>
        <item m="1" x="1372"/>
        <item m="1" x="1277"/>
        <item m="1" x="1373"/>
        <item m="1" x="1374"/>
        <item m="1" x="1375"/>
        <item m="1" x="1376"/>
        <item m="1" x="1402"/>
        <item m="1" x="1347"/>
        <item m="1" x="1377"/>
        <item m="1" x="1310"/>
        <item m="1" x="1378"/>
        <item m="1" x="1230"/>
        <item m="1" x="1348"/>
        <item m="1" x="1403"/>
        <item m="1" x="1379"/>
        <item m="1" x="1252"/>
        <item m="1" x="1380"/>
        <item m="1" x="1381"/>
        <item m="1" x="1382"/>
        <item m="1" x="1349"/>
        <item m="1" x="1200"/>
        <item m="1" x="1350"/>
        <item m="1" x="1383"/>
        <item m="1" x="1404"/>
        <item m="1" x="1384"/>
        <item m="1" x="1311"/>
        <item m="1" x="1319"/>
        <item m="1" x="1351"/>
        <item m="1" x="1352"/>
        <item m="1" x="1353"/>
        <item m="1" x="1354"/>
        <item m="1" x="1405"/>
        <item m="1" x="1320"/>
        <item m="1" x="1231"/>
        <item m="1" x="1278"/>
        <item m="1" x="1355"/>
        <item m="1" x="1385"/>
        <item m="1" x="1356"/>
        <item m="1" x="1333"/>
        <item m="1" x="1386"/>
        <item m="1" x="1387"/>
        <item m="1" x="1279"/>
        <item m="1" x="1312"/>
        <item m="1" x="1406"/>
        <item m="1" x="1527"/>
        <item m="1" x="1444"/>
        <item m="1" x="1313"/>
        <item m="1" x="1334"/>
        <item m="1" x="1280"/>
        <item m="1" x="1335"/>
        <item m="1" x="1445"/>
        <item m="1" x="1357"/>
        <item m="1" x="1388"/>
        <item m="1" x="1446"/>
        <item m="1" x="1321"/>
        <item m="1" x="1389"/>
        <item m="1" x="1407"/>
        <item m="1" x="1322"/>
        <item m="1" x="1336"/>
        <item m="1" x="1323"/>
        <item m="1" x="1358"/>
        <item m="1" x="1281"/>
        <item m="1" x="1337"/>
        <item m="1" x="1390"/>
        <item m="1" x="1314"/>
        <item m="1" x="1391"/>
        <item m="1" x="1338"/>
        <item m="1" x="1392"/>
        <item m="1" x="1359"/>
        <item m="1" x="1393"/>
        <item m="1" x="1315"/>
        <item m="1" x="1339"/>
        <item m="1" x="1316"/>
        <item m="1" x="1394"/>
        <item m="1" x="1317"/>
        <item m="1" x="1318"/>
        <item m="1" x="1395"/>
        <item m="1" x="1396"/>
        <item m="1" x="1397"/>
        <item m="1" x="1282"/>
        <item m="1" x="1185"/>
        <item m="1" x="1283"/>
        <item m="1" x="1324"/>
        <item m="1" x="1284"/>
        <item m="1" x="1253"/>
        <item m="1" x="1325"/>
        <item m="1" x="1417"/>
        <item m="1" x="1492"/>
        <item m="1" x="1493"/>
        <item m="1" x="1509"/>
        <item m="1" x="1494"/>
        <item m="1" x="1495"/>
        <item m="1" x="1496"/>
        <item m="1" x="1418"/>
        <item m="1" x="1419"/>
        <item m="1" x="1420"/>
        <item m="1" x="1421"/>
        <item m="1" x="1422"/>
        <item m="1" x="1423"/>
        <item m="1" x="1538"/>
        <item m="1" x="1539"/>
        <item m="1" x="1540"/>
        <item m="1" x="154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424"/>
        <item m="1" x="1425"/>
        <item m="1" x="1426"/>
        <item m="1" x="1427"/>
        <item m="1" x="1455"/>
        <item m="1" x="1456"/>
        <item m="1" x="1542"/>
        <item m="1" x="1543"/>
        <item m="1" x="1497"/>
        <item m="1" x="1519"/>
        <item m="1" x="1544"/>
        <item m="1" x="1545"/>
        <item m="1" x="1360"/>
        <item m="1" x="1470"/>
        <item m="1" x="1562"/>
        <item m="1" x="1563"/>
        <item m="1" x="1564"/>
        <item m="1" x="1232"/>
        <item m="1" x="1285"/>
        <item m="1" x="1233"/>
        <item m="1" x="1234"/>
        <item m="1" x="1148"/>
        <item m="1" x="1149"/>
        <item m="1" x="1457"/>
        <item m="1" x="1217"/>
        <item m="1" x="1361"/>
        <item m="1" x="892"/>
        <item m="1" x="1216"/>
        <item m="1" x="1190"/>
        <item m="1" x="1505"/>
        <item m="1" x="1218"/>
        <item m="1" x="1219"/>
        <item m="1" x="1220"/>
        <item m="1" x="1221"/>
        <item m="1" x="1222"/>
        <item m="1" x="1191"/>
        <item m="1" x="1326"/>
        <item m="1" x="1327"/>
        <item m="1" x="1447"/>
        <item m="1" x="1223"/>
        <item m="1" x="1328"/>
        <item m="1" x="1329"/>
        <item m="1" x="1297"/>
        <item m="1" x="1224"/>
        <item m="1" x="1249"/>
        <item m="1" x="1330"/>
        <item m="1" x="1250"/>
        <item m="1" x="1298"/>
        <item m="1" x="1299"/>
        <item m="1" x="1300"/>
        <item m="1" x="1225"/>
        <item m="1" x="1506"/>
        <item m="1" x="1507"/>
        <item m="1" x="1226"/>
        <item m="1" x="762"/>
        <item m="1" x="893"/>
        <item m="1" x="744"/>
        <item m="1" x="1186"/>
        <item m="1" x="894"/>
        <item m="1" x="895"/>
        <item m="1" x="907"/>
        <item m="1" x="1286"/>
        <item m="1" x="1235"/>
        <item m="1" x="1236"/>
        <item m="1" x="1237"/>
        <item m="1" x="1238"/>
        <item m="1" x="994"/>
        <item m="1" x="916"/>
        <item m="1" x="1150"/>
        <item m="1" x="1254"/>
        <item m="1" x="1287"/>
        <item m="1" x="1239"/>
        <item m="1" x="1021"/>
        <item m="1" x="1288"/>
        <item m="1" x="1240"/>
        <item m="1" x="927"/>
        <item m="1" x="896"/>
        <item m="1" x="1151"/>
        <item m="1" x="1152"/>
        <item m="1" x="1201"/>
        <item m="1" x="1241"/>
        <item m="1" x="995"/>
        <item m="1" x="1153"/>
        <item m="1" x="1289"/>
        <item m="1" x="897"/>
        <item m="1" x="928"/>
        <item m="1" x="1139"/>
        <item m="1" x="1290"/>
        <item m="1" x="1242"/>
        <item m="1" x="1255"/>
        <item m="1" x="1154"/>
        <item m="1" x="1243"/>
        <item m="1" x="1187"/>
        <item m="1" x="1256"/>
        <item m="1" x="1094"/>
        <item m="1" x="1140"/>
        <item m="1" x="1141"/>
        <item m="1" x="929"/>
        <item m="1" x="1049"/>
        <item m="1" x="930"/>
        <item m="1" x="1155"/>
        <item m="1" x="1202"/>
        <item m="1" x="1203"/>
        <item m="1" x="1204"/>
        <item m="1" x="1205"/>
        <item m="1" x="931"/>
        <item m="1" x="1206"/>
        <item m="1" x="932"/>
        <item m="1" x="1142"/>
        <item m="1" x="1257"/>
        <item m="1" x="1143"/>
        <item m="1" x="1207"/>
        <item m="1" x="1156"/>
        <item m="1" x="1258"/>
        <item m="1" x="1157"/>
        <item m="1" x="1259"/>
        <item m="1" x="1208"/>
        <item m="1" x="933"/>
        <item m="1" x="1244"/>
        <item m="1" x="1158"/>
        <item m="1" x="1159"/>
        <item m="1" x="1160"/>
        <item m="1" x="1161"/>
        <item m="1" x="1260"/>
        <item m="1" x="1291"/>
        <item m="1" x="1209"/>
        <item m="1" x="1245"/>
        <item m="1" x="1162"/>
        <item m="1" x="1210"/>
        <item m="1" x="1292"/>
        <item m="1" x="1188"/>
        <item m="1" x="1144"/>
        <item m="1" x="996"/>
        <item m="1" x="997"/>
        <item m="1" x="1163"/>
        <item m="1" x="1293"/>
        <item m="1" x="1211"/>
        <item m="1" x="1164"/>
        <item m="1" x="1165"/>
        <item m="1" x="1166"/>
        <item m="1" x="1145"/>
        <item m="1" x="1146"/>
        <item m="1" x="1167"/>
        <item m="1" x="1168"/>
        <item m="1" x="1169"/>
        <item m="1" x="1212"/>
        <item m="1" x="934"/>
        <item m="1" x="1246"/>
        <item m="1" x="959"/>
        <item m="1" x="917"/>
        <item m="1" x="908"/>
        <item m="1" x="998"/>
        <item m="1" x="1170"/>
        <item m="1" x="935"/>
        <item m="1" x="999"/>
        <item m="1" x="1189"/>
        <item m="1" x="1294"/>
        <item m="1" x="1000"/>
        <item m="1" x="1001"/>
        <item m="1" x="936"/>
        <item m="1" x="960"/>
        <item m="1" x="961"/>
        <item m="1" x="1050"/>
        <item m="1" x="1247"/>
        <item m="1" x="937"/>
        <item m="1" x="962"/>
        <item m="1" x="938"/>
        <item m="1" x="1002"/>
        <item m="1" x="918"/>
        <item m="1" x="1095"/>
        <item m="1" x="1261"/>
        <item m="1" x="1171"/>
        <item m="1" x="1022"/>
        <item m="1" x="1051"/>
        <item m="1" x="1295"/>
        <item m="1" x="1172"/>
        <item m="1" x="1173"/>
        <item m="1" x="939"/>
        <item m="1" x="1174"/>
        <item m="1" x="1262"/>
        <item m="1" x="1052"/>
        <item m="1" x="1263"/>
        <item m="1" x="1296"/>
        <item m="1" x="1248"/>
        <item m="1" x="1147"/>
        <item m="1" x="1264"/>
        <item m="1" x="1213"/>
        <item m="1" x="1265"/>
        <item m="1" x="1266"/>
        <item m="1" x="1267"/>
        <item m="1" x="1096"/>
        <item m="1" x="1268"/>
        <item m="1" x="1269"/>
        <item m="1" x="1270"/>
        <item m="1" x="1468"/>
        <item m="1" x="1271"/>
        <item m="1" x="1272"/>
        <item m="1" x="1273"/>
        <item m="1" x="1274"/>
        <item m="1" x="898"/>
        <item m="1" x="899"/>
        <item m="1" x="900"/>
        <item m="1" x="919"/>
        <item m="1" x="901"/>
        <item m="1" x="820"/>
        <item m="1" x="1485"/>
        <item m="1" x="1342"/>
        <item m="1" x="1486"/>
        <item m="1" x="1487"/>
        <item m="1" x="763"/>
        <item m="1" x="1175"/>
        <item m="1" x="902"/>
        <item m="1" x="903"/>
        <item m="1" x="963"/>
        <item m="1" x="904"/>
        <item m="1" x="920"/>
        <item m="1" x="1408"/>
        <item m="1" x="1528"/>
        <item m="1" x="1520"/>
        <item m="1" x="1409"/>
        <item m="1" x="1192"/>
        <item m="1" x="1488"/>
        <item m="1" x="1489"/>
        <item m="1" x="1529"/>
        <item m="1" x="1301"/>
        <item m="1" x="1331"/>
        <item m="1" x="1521"/>
        <item m="1" x="1302"/>
        <item m="1" x="1303"/>
        <item m="1" x="1522"/>
        <item m="1" x="1304"/>
        <item m="1" x="1490"/>
        <item m="1" x="1305"/>
        <item m="1" x="1508"/>
        <item m="1" x="1306"/>
        <item m="1" x="1491"/>
        <item m="1" x="1332"/>
        <item m="1" x="1227"/>
        <item m="1" x="1410"/>
        <item m="1" x="1469"/>
        <item m="1" x="1307"/>
        <item m="1" x="905"/>
        <item m="1" x="906"/>
        <item m="1" x="940"/>
        <item m="1" x="745"/>
        <item m="1" x="1546"/>
        <item m="1" x="1176"/>
        <item m="1" x="1177"/>
        <item x="129"/>
        <item m="1" x="1128"/>
        <item m="1" x="1555"/>
        <item m="1" x="1556"/>
        <item m="1" x="1557"/>
        <item m="1" x="909"/>
        <item m="1" x="910"/>
        <item m="1" x="1193"/>
        <item m="1" x="1194"/>
        <item m="1" x="1308"/>
        <item m="1" x="1106"/>
        <item m="1" x="1107"/>
        <item m="1" x="1411"/>
        <item m="1" x="911"/>
        <item m="1" x="1041"/>
        <item m="1" x="1195"/>
        <item m="1" x="1196"/>
        <item m="1" x="1471"/>
        <item m="1" x="1472"/>
        <item m="1" x="1473"/>
        <item m="1" x="1474"/>
        <item m="1" x="1475"/>
        <item m="1" x="1458"/>
        <item m="1" x="1459"/>
        <item m="1" x="869"/>
        <item m="1" x="796"/>
        <item m="1" x="1197"/>
        <item m="1" x="1178"/>
        <item m="1" x="1460"/>
        <item m="1" x="1504"/>
        <item m="1" x="1108"/>
        <item m="1" x="1109"/>
        <item m="1" x="736"/>
        <item m="1" x="1053"/>
        <item m="1" x="941"/>
        <item m="1" x="1007"/>
        <item m="1" x="1054"/>
        <item m="1" x="964"/>
        <item m="1" x="965"/>
        <item m="1" x="1110"/>
        <item m="1" x="1097"/>
        <item m="1" x="966"/>
        <item m="1" x="1024"/>
        <item m="1" x="1025"/>
        <item m="1" x="942"/>
        <item m="1" x="1042"/>
        <item m="1" x="1043"/>
        <item m="1" x="1044"/>
        <item m="1" x="1045"/>
        <item m="1" x="1055"/>
        <item m="1" x="1008"/>
        <item m="1" x="1111"/>
        <item m="1" x="1056"/>
        <item m="1" x="1112"/>
        <item m="1" x="1098"/>
        <item m="1" x="967"/>
        <item m="1" x="1009"/>
        <item m="1" x="1057"/>
        <item m="1" x="1058"/>
        <item m="1" x="1026"/>
        <item m="1" x="1113"/>
        <item m="1" x="1114"/>
        <item m="1" x="1059"/>
        <item m="1" x="1115"/>
        <item m="1" x="1099"/>
        <item m="1" x="968"/>
        <item m="1" x="1100"/>
        <item m="1" x="1060"/>
        <item m="1" x="1101"/>
        <item m="1" x="1061"/>
        <item m="1" x="1102"/>
        <item m="1" x="1116"/>
        <item m="1" x="969"/>
        <item m="1" x="1117"/>
        <item m="1" x="1118"/>
        <item m="1" x="1103"/>
        <item m="1" x="1046"/>
        <item m="1" x="1119"/>
        <item m="1" x="1120"/>
        <item m="1" x="1027"/>
        <item m="1" x="1121"/>
        <item m="1" x="1122"/>
        <item m="1" x="1123"/>
        <item m="1" x="1028"/>
        <item m="1" x="1104"/>
        <item m="1" x="1124"/>
        <item m="1" x="1105"/>
        <item m="1" x="1010"/>
        <item m="1" x="1047"/>
        <item m="1" x="1461"/>
        <item m="1" x="1275"/>
        <item m="1" x="1036"/>
        <item m="1" x="1037"/>
        <item m="1" x="1089"/>
        <item m="1" x="1090"/>
        <item m="1" x="1038"/>
        <item m="1" x="913"/>
        <item m="1" x="914"/>
        <item m="1" x="943"/>
        <item m="1" x="922"/>
        <item m="1" x="1011"/>
        <item m="1" x="1030"/>
        <item m="1" x="970"/>
        <item m="1" x="971"/>
        <item m="1" x="1031"/>
        <item m="1" x="944"/>
        <item m="1" x="1029"/>
        <item m="1" x="1179"/>
        <item m="1" x="1180"/>
        <item m="1" x="1181"/>
        <item m="1" x="1182"/>
        <item m="1" x="1183"/>
        <item m="1" x="1039"/>
        <item m="1" x="1428"/>
        <item m="1" x="870"/>
        <item m="1" x="871"/>
        <item m="1" x="872"/>
        <item m="1" x="912"/>
        <item m="1" x="945"/>
        <item m="1" x="972"/>
        <item m="1" x="973"/>
        <item m="1" x="1062"/>
        <item m="1" x="1063"/>
        <item m="1" x="1064"/>
        <item m="1" x="1065"/>
        <item m="1" x="974"/>
        <item m="1" x="975"/>
        <item m="1" x="976"/>
        <item m="1" x="977"/>
        <item m="1" x="1066"/>
        <item m="1" x="1067"/>
        <item m="1" x="1068"/>
        <item m="1" x="978"/>
        <item m="1" x="1032"/>
        <item m="1" x="947"/>
        <item m="1" x="1033"/>
        <item m="1" x="1069"/>
        <item m="1" x="948"/>
        <item m="1" x="1070"/>
        <item m="1" x="1071"/>
        <item m="1" x="949"/>
        <item m="1" x="950"/>
        <item m="1" x="979"/>
        <item m="1" x="980"/>
        <item m="1" x="1048"/>
        <item m="1" x="1125"/>
        <item m="1" x="1126"/>
        <item m="1" x="981"/>
        <item m="1" x="1127"/>
        <item m="1" x="951"/>
        <item m="1" x="1072"/>
        <item m="1" x="1138"/>
        <item m="1" x="1091"/>
        <item m="1" x="781"/>
        <item x="240"/>
        <item m="1" x="811"/>
        <item m="1" x="797"/>
        <item m="1" x="1340"/>
        <item m="1" x="812"/>
        <item m="1" x="874"/>
        <item m="1" x="715"/>
        <item m="1" x="875"/>
        <item m="1" x="726"/>
        <item x="241"/>
        <item m="1" x="876"/>
        <item m="1" x="877"/>
        <item x="242"/>
        <item m="1" x="746"/>
        <item x="243"/>
        <item x="244"/>
        <item m="1" x="716"/>
        <item m="1" x="727"/>
        <item m="1" x="737"/>
        <item x="245"/>
        <item x="246"/>
        <item m="1" x="878"/>
        <item m="1" x="782"/>
        <item m="1" x="783"/>
        <item m="1" x="879"/>
        <item m="1" x="732"/>
        <item m="1" x="847"/>
        <item x="247"/>
        <item x="248"/>
        <item m="1" x="733"/>
        <item m="1" x="880"/>
        <item x="249"/>
        <item x="250"/>
        <item x="251"/>
        <item m="1" x="813"/>
        <item x="252"/>
        <item m="1" x="784"/>
        <item x="253"/>
        <item m="1" x="747"/>
        <item x="254"/>
        <item m="1" x="881"/>
        <item m="1" x="738"/>
        <item m="1" x="748"/>
        <item x="255"/>
        <item m="1" x="693"/>
        <item x="256"/>
        <item m="1" x="785"/>
        <item x="257"/>
        <item x="258"/>
        <item x="259"/>
        <item m="1" x="717"/>
        <item m="1" x="749"/>
        <item m="1" x="764"/>
        <item m="1" x="750"/>
        <item m="1" x="814"/>
        <item m="1" x="798"/>
        <item m="1" x="765"/>
        <item m="1" x="751"/>
        <item m="1" x="882"/>
        <item m="1" x="821"/>
        <item x="260"/>
        <item x="261"/>
        <item m="1" x="815"/>
        <item m="1" x="752"/>
        <item x="262"/>
        <item m="1" x="766"/>
        <item x="263"/>
        <item m="1" x="753"/>
        <item m="1" x="754"/>
        <item m="1" x="755"/>
        <item x="264"/>
        <item x="265"/>
        <item m="1" x="883"/>
        <item m="1" x="884"/>
        <item m="1" x="786"/>
        <item m="1" x="718"/>
        <item x="266"/>
        <item m="1" x="885"/>
        <item x="267"/>
        <item x="268"/>
        <item x="269"/>
        <item x="270"/>
        <item m="1" x="694"/>
        <item m="1" x="816"/>
        <item m="1" x="1003"/>
        <item x="271"/>
        <item x="272"/>
        <item m="1" x="799"/>
        <item m="1" x="1023"/>
        <item x="273"/>
        <item x="274"/>
        <item x="275"/>
        <item x="276"/>
        <item m="1" x="756"/>
        <item x="277"/>
        <item m="1" x="800"/>
        <item x="278"/>
        <item m="1" x="886"/>
        <item x="279"/>
        <item m="1" x="921"/>
        <item x="280"/>
        <item m="1" x="757"/>
        <item x="281"/>
        <item m="1" x="728"/>
        <item m="1" x="729"/>
        <item m="1" x="822"/>
        <item m="1" x="823"/>
        <item m="1" x="824"/>
        <item m="1" x="825"/>
        <item x="282"/>
        <item m="1" x="826"/>
        <item m="1" x="719"/>
        <item m="1" x="827"/>
        <item m="1" x="828"/>
        <item m="1" x="829"/>
        <item m="1" x="730"/>
        <item m="1" x="830"/>
        <item m="1" x="887"/>
        <item m="1" x="848"/>
        <item m="1" x="849"/>
        <item x="283"/>
        <item m="1" x="831"/>
        <item m="1" x="720"/>
        <item m="1" x="888"/>
        <item m="1" x="889"/>
        <item m="1" x="767"/>
        <item x="284"/>
        <item m="1" x="739"/>
        <item m="1" x="721"/>
        <item m="1" x="722"/>
        <item m="1" x="734"/>
        <item x="285"/>
        <item m="1" x="787"/>
        <item m="1" x="768"/>
        <item m="1" x="740"/>
        <item m="1" x="769"/>
        <item x="286"/>
        <item x="287"/>
        <item m="1" x="770"/>
        <item m="1" x="723"/>
        <item m="1" x="741"/>
        <item x="288"/>
        <item m="1" x="758"/>
        <item m="1" x="731"/>
        <item m="1" x="724"/>
        <item m="1" x="890"/>
        <item m="1" x="771"/>
        <item m="1" x="946"/>
        <item m="1" x="873"/>
        <item m="1" x="982"/>
        <item m="1" x="983"/>
        <item m="1" x="984"/>
        <item m="1" x="952"/>
        <item m="1" x="985"/>
        <item m="1" x="953"/>
        <item m="1" x="986"/>
        <item m="1" x="954"/>
        <item m="1" x="987"/>
        <item m="1" x="1034"/>
        <item m="1" x="988"/>
        <item m="1" x="955"/>
        <item m="1" x="989"/>
        <item m="1" x="956"/>
        <item m="1" x="990"/>
        <item m="1" x="1035"/>
        <item m="1" x="991"/>
        <item m="1" x="1073"/>
        <item m="1" x="1184"/>
        <item x="130"/>
        <item m="1" x="992"/>
        <item m="1" x="818"/>
        <item m="1" x="837"/>
        <item m="1" x="838"/>
        <item m="1" x="819"/>
        <item m="1" x="788"/>
        <item m="1" x="832"/>
        <item m="1" x="803"/>
        <item m="1" x="833"/>
        <item x="289"/>
        <item m="1" x="1341"/>
        <item m="1" x="742"/>
        <item m="1" x="851"/>
        <item m="1" x="1251"/>
        <item m="1" x="852"/>
        <item m="1" x="792"/>
        <item m="1" x="853"/>
        <item m="1" x="854"/>
        <item m="1" x="855"/>
        <item m="1" x="856"/>
        <item m="1" x="857"/>
        <item x="290"/>
        <item m="1" x="858"/>
        <item m="1" x="859"/>
        <item m="1" x="860"/>
        <item m="1" x="1092"/>
        <item m="1" x="1093"/>
        <item m="1" x="1040"/>
        <item m="1" x="839"/>
        <item m="1" x="866"/>
        <item m="1" x="925"/>
        <item m="1" x="840"/>
        <item m="1" x="1012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13"/>
        <item m="1" x="1014"/>
        <item m="1" x="1015"/>
        <item m="1" x="1085"/>
        <item m="1" x="1016"/>
        <item m="1" x="1017"/>
        <item m="1" x="1018"/>
        <item m="1" x="1019"/>
        <item m="1" x="861"/>
        <item m="1" x="862"/>
        <item m="1" x="1020"/>
        <item m="1" x="841"/>
        <item m="1" x="1214"/>
        <item m="1" x="1215"/>
        <item m="1" x="805"/>
        <item m="1" x="743"/>
        <item m="1" x="806"/>
        <item m="1" x="807"/>
        <item m="1" x="863"/>
        <item m="1" x="1086"/>
        <item m="1" x="1087"/>
        <item m="1" x="864"/>
        <item m="1" x="865"/>
        <item m="1" x="867"/>
        <item x="291"/>
        <item m="1" x="834"/>
        <item m="1" x="842"/>
        <item m="1" x="843"/>
        <item m="1" x="808"/>
        <item m="1" x="801"/>
        <item m="1" x="835"/>
        <item m="1" x="761"/>
        <item m="1" x="915"/>
        <item m="1" x="802"/>
        <item m="1" x="794"/>
        <item m="1" x="844"/>
        <item x="293"/>
        <item x="294"/>
        <item m="1" x="809"/>
        <item m="1" x="891"/>
        <item m="1" x="836"/>
        <item m="1" x="810"/>
        <item m="1" x="957"/>
        <item m="1" x="923"/>
        <item m="1" x="924"/>
        <item m="1" x="1004"/>
        <item x="295"/>
        <item x="296"/>
        <item m="1" x="1005"/>
        <item m="1" x="100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m="1" x="804"/>
        <item m="1" x="772"/>
        <item x="338"/>
        <item x="339"/>
        <item x="340"/>
        <item x="341"/>
        <item x="342"/>
        <item m="1" x="773"/>
        <item x="343"/>
        <item x="344"/>
        <item m="1" x="774"/>
        <item x="345"/>
        <item x="346"/>
        <item x="347"/>
        <item x="348"/>
        <item x="349"/>
        <item m="1" x="789"/>
        <item m="1" x="775"/>
        <item x="350"/>
        <item x="351"/>
        <item x="352"/>
        <item m="1" x="759"/>
        <item x="353"/>
        <item x="354"/>
        <item m="1" x="760"/>
        <item x="355"/>
        <item x="356"/>
        <item x="357"/>
        <item x="358"/>
        <item x="359"/>
        <item x="360"/>
        <item x="361"/>
        <item x="362"/>
        <item m="1" x="790"/>
        <item m="1" x="776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292"/>
        <item m="1" x="958"/>
        <item x="0"/>
        <item x="1"/>
        <item x="5"/>
        <item x="6"/>
        <item x="7"/>
        <item x="8"/>
        <item x="9"/>
        <item m="1" x="1088"/>
        <item m="1" x="777"/>
        <item x="414"/>
        <item x="415"/>
        <item x="416"/>
        <item x="418"/>
        <item x="419"/>
        <item x="420"/>
        <item x="421"/>
        <item x="422"/>
        <item m="1" x="817"/>
        <item x="2"/>
        <item x="3"/>
        <item x="10"/>
        <item m="1" x="795"/>
        <item x="134"/>
        <item x="423"/>
        <item x="4"/>
        <item m="1" x="791"/>
        <item m="1" x="665"/>
        <item x="417"/>
        <item x="11"/>
        <item m="1" x="778"/>
        <item m="1" x="779"/>
        <item m="1" x="793"/>
        <item m="1" x="780"/>
        <item x="12"/>
        <item m="1" x="695"/>
        <item m="1" x="666"/>
        <item m="1" x="667"/>
        <item x="13"/>
        <item m="1" x="668"/>
        <item x="14"/>
        <item x="15"/>
        <item m="1" x="669"/>
        <item m="1" x="696"/>
        <item x="16"/>
        <item m="1" x="697"/>
        <item x="17"/>
        <item m="1" x="698"/>
        <item m="1" x="670"/>
        <item m="1" x="671"/>
        <item m="1" x="699"/>
        <item x="18"/>
        <item x="19"/>
        <item x="20"/>
        <item m="1" x="672"/>
        <item m="1" x="673"/>
        <item m="1" x="674"/>
        <item m="1" x="675"/>
        <item x="21"/>
        <item m="1" x="700"/>
        <item m="1" x="676"/>
        <item m="1" x="701"/>
        <item m="1" x="702"/>
        <item x="22"/>
        <item m="1" x="677"/>
        <item m="1" x="703"/>
        <item m="1" x="704"/>
        <item x="23"/>
        <item m="1" x="678"/>
        <item m="1" x="705"/>
        <item m="1" x="679"/>
        <item m="1" x="680"/>
        <item x="24"/>
        <item m="1" x="681"/>
        <item m="1" x="706"/>
        <item m="1" x="707"/>
        <item m="1" x="682"/>
        <item m="1" x="708"/>
        <item m="1" x="683"/>
        <item m="1" x="684"/>
        <item m="1" x="685"/>
        <item m="1" x="709"/>
        <item m="1" x="686"/>
        <item m="1" x="710"/>
        <item m="1" x="687"/>
        <item x="25"/>
        <item x="26"/>
        <item m="1" x="688"/>
        <item x="27"/>
        <item m="1" x="689"/>
        <item m="1" x="690"/>
        <item m="1" x="850"/>
        <item m="1" x="691"/>
        <item x="28"/>
        <item x="29"/>
        <item x="135"/>
        <item x="136"/>
        <item x="137"/>
        <item x="138"/>
        <item x="142"/>
        <item m="1" x="845"/>
        <item m="1" x="926"/>
        <item x="30"/>
        <item x="31"/>
        <item x="139"/>
        <item x="140"/>
        <item x="141"/>
        <item m="1" x="86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692"/>
        <item m="1" x="711"/>
        <item m="1" x="712"/>
        <item m="1" x="71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m="1" x="846"/>
        <item x="213"/>
        <item x="214"/>
        <item x="215"/>
        <item x="216"/>
        <item x="217"/>
        <item x="218"/>
        <item x="219"/>
        <item x="220"/>
        <item x="221"/>
        <item m="1" x="714"/>
        <item x="44"/>
        <item x="45"/>
        <item x="46"/>
        <item x="47"/>
        <item x="48"/>
        <item x="49"/>
        <item x="50"/>
        <item x="51"/>
        <item x="52"/>
        <item x="53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222"/>
        <item x="223"/>
        <item x="227"/>
        <item x="228"/>
        <item x="229"/>
        <item x="54"/>
        <item x="59"/>
        <item x="60"/>
        <item x="61"/>
        <item x="62"/>
        <item x="63"/>
        <item x="64"/>
        <item x="65"/>
        <item x="66"/>
        <item x="189"/>
        <item x="230"/>
        <item x="532"/>
        <item x="533"/>
        <item x="55"/>
        <item x="56"/>
        <item x="57"/>
        <item x="58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90"/>
        <item x="191"/>
        <item x="224"/>
        <item x="225"/>
        <item x="226"/>
        <item m="1" x="735"/>
        <item x="67"/>
        <item x="192"/>
        <item x="193"/>
        <item x="194"/>
        <item x="97"/>
        <item x="111"/>
        <item x="112"/>
        <item x="131"/>
        <item x="231"/>
        <item x="232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233"/>
        <item x="234"/>
        <item x="236"/>
        <item x="195"/>
        <item x="196"/>
        <item x="197"/>
        <item x="198"/>
        <item m="1" x="725"/>
        <item x="113"/>
        <item x="114"/>
        <item x="115"/>
        <item x="116"/>
        <item x="117"/>
        <item x="118"/>
        <item x="119"/>
        <item x="123"/>
        <item x="124"/>
        <item x="125"/>
        <item x="126"/>
        <item x="199"/>
        <item x="200"/>
        <item x="201"/>
        <item x="202"/>
        <item x="203"/>
        <item x="235"/>
        <item x="237"/>
        <item x="238"/>
        <item x="534"/>
        <item x="120"/>
        <item x="121"/>
        <item x="122"/>
        <item x="20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132"/>
        <item x="127"/>
        <item x="133"/>
        <item x="205"/>
        <item x="206"/>
        <item x="207"/>
        <item x="208"/>
        <item x="209"/>
        <item x="210"/>
        <item x="211"/>
        <item x="212"/>
        <item x="239"/>
        <item x="128"/>
        <item x="662"/>
        <item x="663"/>
        <item x="664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0"/>
  </rowFields>
  <rowItems count="430">
    <i>
      <x v="6892"/>
    </i>
    <i>
      <x v="7046"/>
    </i>
    <i>
      <x v="7055"/>
    </i>
    <i>
      <x v="7058"/>
    </i>
    <i>
      <x v="7060"/>
    </i>
    <i>
      <x v="7061"/>
    </i>
    <i>
      <x v="7065"/>
    </i>
    <i>
      <x v="7066"/>
    </i>
    <i>
      <x v="7073"/>
    </i>
    <i>
      <x v="7074"/>
    </i>
    <i>
      <x v="7077"/>
    </i>
    <i>
      <x v="7078"/>
    </i>
    <i>
      <x v="7079"/>
    </i>
    <i>
      <x v="7081"/>
    </i>
    <i>
      <x v="7083"/>
    </i>
    <i>
      <x v="7085"/>
    </i>
    <i>
      <x v="7089"/>
    </i>
    <i>
      <x v="7091"/>
    </i>
    <i>
      <x v="7093"/>
    </i>
    <i>
      <x v="7094"/>
    </i>
    <i>
      <x v="7095"/>
    </i>
    <i>
      <x v="7106"/>
    </i>
    <i>
      <x v="7107"/>
    </i>
    <i>
      <x v="7110"/>
    </i>
    <i>
      <x v="7112"/>
    </i>
    <i>
      <x v="7116"/>
    </i>
    <i>
      <x v="7117"/>
    </i>
    <i>
      <x v="7122"/>
    </i>
    <i>
      <x v="7124"/>
    </i>
    <i>
      <x v="7125"/>
    </i>
    <i>
      <x v="7126"/>
    </i>
    <i>
      <x v="7127"/>
    </i>
    <i>
      <x v="7131"/>
    </i>
    <i>
      <x v="7132"/>
    </i>
    <i>
      <x v="7135"/>
    </i>
    <i>
      <x v="7136"/>
    </i>
    <i>
      <x v="7137"/>
    </i>
    <i>
      <x v="7138"/>
    </i>
    <i>
      <x v="7140"/>
    </i>
    <i>
      <x v="7142"/>
    </i>
    <i>
      <x v="7144"/>
    </i>
    <i>
      <x v="7146"/>
    </i>
    <i>
      <x v="7148"/>
    </i>
    <i>
      <x v="7155"/>
    </i>
    <i>
      <x v="7166"/>
    </i>
    <i>
      <x v="7172"/>
    </i>
    <i>
      <x v="7177"/>
    </i>
    <i>
      <x v="7182"/>
    </i>
    <i>
      <x v="7183"/>
    </i>
    <i>
      <x v="7187"/>
    </i>
    <i>
      <x v="7214"/>
    </i>
    <i>
      <x v="7224"/>
    </i>
    <i>
      <x v="7236"/>
    </i>
    <i>
      <x v="7292"/>
    </i>
    <i>
      <x v="7304"/>
    </i>
    <i>
      <x v="7305"/>
    </i>
    <i>
      <x v="7314"/>
    </i>
    <i>
      <x v="7315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61"/>
    </i>
    <i>
      <x v="7362"/>
    </i>
    <i>
      <x v="7363"/>
    </i>
    <i>
      <x v="7364"/>
    </i>
    <i>
      <x v="7365"/>
    </i>
    <i>
      <x v="7367"/>
    </i>
    <i>
      <x v="7368"/>
    </i>
    <i>
      <x v="7370"/>
    </i>
    <i>
      <x v="7371"/>
    </i>
    <i>
      <x v="7372"/>
    </i>
    <i>
      <x v="7373"/>
    </i>
    <i>
      <x v="7374"/>
    </i>
    <i>
      <x v="7377"/>
    </i>
    <i>
      <x v="7378"/>
    </i>
    <i>
      <x v="7379"/>
    </i>
    <i>
      <x v="7381"/>
    </i>
    <i>
      <x v="7382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70"/>
    </i>
    <i>
      <x v="7474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761"/>
    </i>
    <i>
      <x v="7762"/>
    </i>
    <i>
      <x v="7809"/>
    </i>
    <i>
      <x v="7852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6"/>
    </i>
    <i>
      <x v="7997"/>
    </i>
    <i>
      <x v="7998"/>
    </i>
    <i>
      <x v="7999"/>
    </i>
  </rowItems>
  <colItems count="1">
    <i/>
  </colItems>
  <pageFields count="1">
    <pageField fld="14" hier="-1"/>
  </page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ncCentro+DiaD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33">
  <location ref="Z110:AB128" firstHeaderRow="0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axis="axisRow" showAll="0" sortType="ascending" defaultSubtotal="0">
      <items count="92">
        <item m="1" x="18"/>
        <item x="11"/>
        <item x="10"/>
        <item m="1" x="26"/>
        <item m="1" x="37"/>
        <item m="1" x="36"/>
        <item m="1" x="35"/>
        <item m="1" x="34"/>
        <item m="1" x="33"/>
        <item m="1" x="24"/>
        <item m="1" x="55"/>
        <item m="1" x="23"/>
        <item m="1" x="52"/>
        <item x="2"/>
        <item x="1"/>
        <item x="0"/>
        <item m="1" x="25"/>
        <item m="1" x="32"/>
        <item m="1" x="31"/>
        <item m="1" x="56"/>
        <item m="1" x="71"/>
        <item m="1" x="86"/>
        <item m="1" x="66"/>
        <item m="1" x="42"/>
        <item m="1" x="41"/>
        <item m="1" x="40"/>
        <item m="1" x="54"/>
        <item m="1" x="53"/>
        <item x="9"/>
        <item x="8"/>
        <item m="1" x="68"/>
        <item m="1" x="51"/>
        <item m="1" x="50"/>
        <item m="1" x="49"/>
        <item m="1" x="48"/>
        <item m="1" x="47"/>
        <item m="1" x="46"/>
        <item m="1" x="45"/>
        <item m="1" x="44"/>
        <item m="1" x="43"/>
        <item x="7"/>
        <item m="1" x="83"/>
        <item m="1" x="84"/>
        <item m="1" x="85"/>
        <item m="1" x="87"/>
        <item m="1" x="20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7"/>
        <item m="1" x="22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2"/>
        <item m="1" x="21"/>
        <item m="1" x="88"/>
        <item m="1" x="89"/>
        <item m="1" x="90"/>
        <item m="1" x="91"/>
        <item m="1" x="30"/>
        <item m="1" x="29"/>
        <item m="1" x="28"/>
        <item m="1" x="70"/>
        <item x="16"/>
        <item x="15"/>
        <item m="1" x="69"/>
        <item x="14"/>
        <item x="13"/>
        <item x="12"/>
        <item m="1" x="19"/>
        <item m="1" x="27"/>
        <item m="1" x="81"/>
        <item x="6"/>
        <item x="5"/>
        <item m="1" x="17"/>
        <item x="4"/>
        <item x="3"/>
        <item m="1" x="39"/>
        <item m="1" x="38"/>
      </items>
    </pivotField>
    <pivotField showAll="0" defaultSubtotal="0"/>
    <pivotField showAll="0"/>
    <pivotField showAll="0"/>
    <pivotField showAll="0"/>
    <pivotField showAll="0"/>
    <pivotField showAll="0" defaultSubtotal="0"/>
  </pivotFields>
  <rowFields count="1">
    <field x="10"/>
  </rowFields>
  <rowItems count="18">
    <i>
      <x v="1"/>
    </i>
    <i>
      <x v="2"/>
    </i>
    <i>
      <x v="13"/>
    </i>
    <i>
      <x v="14"/>
    </i>
    <i>
      <x v="15"/>
    </i>
    <i>
      <x v="28"/>
    </i>
    <i>
      <x v="29"/>
    </i>
    <i>
      <x v="40"/>
    </i>
    <i>
      <x v="76"/>
    </i>
    <i>
      <x v="77"/>
    </i>
    <i>
      <x v="79"/>
    </i>
    <i>
      <x v="80"/>
    </i>
    <i>
      <x v="81"/>
    </i>
    <i>
      <x v="85"/>
    </i>
    <i>
      <x v="86"/>
    </i>
    <i>
      <x v="88"/>
    </i>
    <i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Reserva" fld="0" subtotal="count" baseField="7" baseItem="8"/>
    <dataField name="Contagem de Reserva2" fld="0" subtotal="count" baseField="7" baseItem="15"/>
  </dataFields>
  <formats count="4">
    <format dxfId="39">
      <pivotArea type="all" dataOnly="0" outline="0" fieldPosition="0"/>
    </format>
    <format dxfId="38">
      <pivotArea outline="0" collapsedLevelsAreSubtotals="1" fieldPosition="0"/>
    </format>
    <format dxfId="37">
      <pivotArea dataOnly="0" labelOnly="1" outline="0" axis="axisValues" fieldPosition="0"/>
    </format>
    <format dxfId="36">
      <pivotArea dataOnly="0" labelOnly="1" grandRow="1" outline="0" fieldPosition="0"/>
    </format>
  </formats>
  <chartFormats count="8"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FatOperação" cacheId="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3:H6" firstHeaderRow="1" firstDataRow="1" firstDataCol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showAll="0"/>
    <pivotField showAll="0" defaultSubtotal="0"/>
    <pivotField axis="axisRow" showAll="0">
      <items count="3">
        <item x="0"/>
        <item x="1"/>
        <item t="default"/>
      </items>
    </pivotField>
    <pivotField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formats count="6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9" type="button" dataOnly="0" labelOnly="1" outline="0" axis="axisRow" fieldPosition="0"/>
    </format>
    <format dxfId="42">
      <pivotArea dataOnly="0" labelOnly="1" outline="0" axis="axisValues" fieldPosition="0"/>
    </format>
    <format dxfId="41">
      <pivotArea dataOnly="0" labelOnly="1" fieldPosition="0">
        <references count="1">
          <reference field="9" count="0"/>
        </references>
      </pivotArea>
    </format>
    <format dxfId="40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DepNet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20">
  <location ref="AR12:AS19" firstHeaderRow="1" firstDataRow="1" firstDataCol="1" rowPageCount="1" colPageCount="1"/>
  <pivotFields count="15">
    <pivotField showAll="0"/>
    <pivotField showAll="0"/>
    <pivotField axis="axisRow" showAll="0" sortType="ascending">
      <items count="45">
        <item x="0"/>
        <item x="3"/>
        <item x="4"/>
        <item x="10"/>
        <item x="2"/>
        <item m="1" x="13"/>
        <item x="5"/>
        <item x="11"/>
        <item m="1" x="17"/>
        <item x="7"/>
        <item x="8"/>
        <item m="1" x="15"/>
        <item m="1" x="20"/>
        <item m="1" x="39"/>
        <item m="1" x="37"/>
        <item m="1" x="14"/>
        <item m="1" x="16"/>
        <item m="1" x="32"/>
        <item x="12"/>
        <item x="1"/>
        <item m="1" x="18"/>
        <item m="1" x="38"/>
        <item x="6"/>
        <item m="1" x="40"/>
        <item m="1" x="26"/>
        <item m="1" x="21"/>
        <item m="1" x="34"/>
        <item m="1" x="41"/>
        <item m="1" x="22"/>
        <item m="1" x="19"/>
        <item m="1" x="36"/>
        <item x="9"/>
        <item m="1" x="42"/>
        <item m="1" x="29"/>
        <item m="1" x="43"/>
        <item m="1" x="35"/>
        <item m="1" x="33"/>
        <item m="1" x="27"/>
        <item m="1" x="25"/>
        <item m="1" x="23"/>
        <item m="1" x="24"/>
        <item m="1" x="31"/>
        <item m="1" x="30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2"/>
  </rowFields>
  <rowItems count="7">
    <i>
      <x v="1"/>
    </i>
    <i>
      <x v="4"/>
    </i>
    <i>
      <x v="18"/>
    </i>
    <i>
      <x v="7"/>
    </i>
    <i>
      <x v="9"/>
    </i>
    <i>
      <x v="3"/>
    </i>
    <i t="grand">
      <x/>
    </i>
  </rowItems>
  <colItems count="1">
    <i/>
  </colItems>
  <pageFields count="1">
    <pageField fld="14" hier="-1"/>
  </pageFields>
  <dataFields count="1">
    <dataField name="Soma de Aux Item" fld="9" baseField="2" baseItem="6" numFmtId="3"/>
  </dataFields>
  <chartFormats count="2"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7000000}" name="Laboratório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3:AA5" firstHeaderRow="1" firstDataRow="1" firstDataCol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axis="axisRow" showAll="0">
      <items count="5">
        <item h="1" x="0"/>
        <item x="2"/>
        <item h="1" x="1"/>
        <item h="1" x="3"/>
        <item t="default"/>
      </items>
    </pivotField>
    <pivotField showAll="0"/>
    <pivotField showAll="0"/>
    <pivotField showAll="0"/>
    <pivotField showAll="0" defaultSubtotal="0"/>
  </pivotFields>
  <rowFields count="1">
    <field x="12"/>
  </rowFields>
  <rowItems count="2">
    <i>
      <x v="1"/>
    </i>
    <i t="grand">
      <x/>
    </i>
  </rowItems>
  <colItems count="1">
    <i/>
  </colItems>
  <dataFields count="1">
    <dataField name="Contagem de Reserva" fld="0" subtotal="count" baseField="9" baseItem="1" numFmtId="3"/>
  </dataFields>
  <formats count="5"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dataOnly="0" labelOnly="1" grandRow="1" outline="0" fieldPosition="0"/>
    </format>
    <format dxfId="4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SituaçãoNet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11:AA15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axis="axisRow" showAll="0">
      <items count="4">
        <item x="0"/>
        <item x="2"/>
        <item x="1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0" baseItem="0"/>
  </dataFields>
  <formats count="4"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outline="0" axis="axisValues" fieldPosition="0"/>
    </format>
    <format dxfId="51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A000000}" name="Tabela dinâmica1" cacheId="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63:H65" firstHeaderRow="1" firstDataRow="1" firstDataCol="1" rowPageCount="1" colPageCount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axis="axisRow" showAll="0">
      <items count="5">
        <item m="1" x="3"/>
        <item x="0"/>
        <item m="1" x="2"/>
        <item m="1" x="1"/>
        <item t="default"/>
      </items>
    </pivotField>
    <pivotField showAll="0" defaultSubtotal="0"/>
    <pivotField axis="axisPage" multipleItemSelectionAllowed="1" showAll="0">
      <items count="3">
        <item h="1" x="0"/>
        <item x="1"/>
        <item t="default"/>
      </items>
    </pivotField>
    <pivotField showAll="0" defaultSubtota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9" hier="-1"/>
  </pageFields>
  <formats count="6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7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fieldPosition="0">
        <references count="1">
          <reference field="7" count="0"/>
        </references>
      </pivotArea>
    </format>
    <format dxfId="55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2000000}" name="UnidadeMedidaEmpresarial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0">
  <location ref="AK37:AL39" firstHeaderRow="1" firstDataRow="1" firstDataCol="1" rowPageCount="1" colPageCount="1"/>
  <pivotFields count="15">
    <pivotField showAll="0"/>
    <pivotField showAll="0"/>
    <pivotField showAll="0"/>
    <pivotField numFmtId="14" showAll="0"/>
    <pivotField showAll="0"/>
    <pivotField showAll="0"/>
    <pivotField showAll="0"/>
    <pivotField axis="axisRow" showAll="0">
      <items count="9">
        <item x="0"/>
        <item m="1" x="5"/>
        <item m="1" x="6"/>
        <item m="1" x="3"/>
        <item m="1" x="2"/>
        <item m="1" x="1"/>
        <item m="1" x="7"/>
        <item m="1" x="4"/>
        <item t="default"/>
      </items>
    </pivotField>
    <pivotField dataField="1" showAll="0"/>
    <pivotField showAll="0" defaultSubtota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7"/>
  </rowFields>
  <rowItems count="2">
    <i>
      <x/>
    </i>
    <i t="grand">
      <x/>
    </i>
  </rowItems>
  <colItems count="1">
    <i/>
  </colItems>
  <pageFields count="1">
    <pageField fld="14" hier="-1"/>
  </pageFields>
  <dataFields count="1">
    <dataField name="Soma de Qtd." fld="8" baseField="0" baseItem="3419889" numFmtId="3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DepEmpresarial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8">
  <location ref="AK12:AL21" firstHeaderRow="1" firstDataRow="1" firstDataCol="1" rowPageCount="1" colPageCount="1"/>
  <pivotFields count="15">
    <pivotField showAll="0"/>
    <pivotField showAll="0"/>
    <pivotField axis="axisRow" showAll="0" sortType="ascending">
      <items count="45">
        <item x="0"/>
        <item x="3"/>
        <item x="4"/>
        <item x="10"/>
        <item x="2"/>
        <item m="1" x="13"/>
        <item x="5"/>
        <item x="11"/>
        <item m="1" x="17"/>
        <item x="7"/>
        <item x="8"/>
        <item m="1" x="15"/>
        <item m="1" x="20"/>
        <item m="1" x="39"/>
        <item m="1" x="37"/>
        <item m="1" x="14"/>
        <item m="1" x="16"/>
        <item m="1" x="32"/>
        <item x="12"/>
        <item x="1"/>
        <item m="1" x="18"/>
        <item m="1" x="38"/>
        <item x="6"/>
        <item m="1" x="40"/>
        <item m="1" x="26"/>
        <item m="1" x="21"/>
        <item m="1" x="34"/>
        <item m="1" x="41"/>
        <item m="1" x="22"/>
        <item m="1" x="19"/>
        <item m="1" x="36"/>
        <item x="9"/>
        <item m="1" x="42"/>
        <item m="1" x="29"/>
        <item m="1" x="43"/>
        <item m="1" x="35"/>
        <item m="1" x="33"/>
        <item m="1" x="27"/>
        <item m="1" x="25"/>
        <item m="1" x="23"/>
        <item m="1" x="24"/>
        <item m="1" x="31"/>
        <item m="1" x="30"/>
        <item m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2"/>
  </rowFields>
  <rowItems count="9">
    <i>
      <x v="19"/>
    </i>
    <i>
      <x v="31"/>
    </i>
    <i>
      <x v="22"/>
    </i>
    <i>
      <x v="9"/>
    </i>
    <i>
      <x v="10"/>
    </i>
    <i>
      <x v="2"/>
    </i>
    <i>
      <x v="6"/>
    </i>
    <i>
      <x/>
    </i>
    <i t="grand">
      <x/>
    </i>
  </rowItems>
  <colItems count="1">
    <i/>
  </colItems>
  <pageFields count="1">
    <pageField fld="14" hier="-1"/>
  </pageFields>
  <dataFields count="1">
    <dataField name="Soma de Aux Item" fld="9" baseField="2" baseItem="14" numFmtId="3"/>
  </dataFields>
  <chartFormats count="2"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SituaçãoEmpresarial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21:AA24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axis="axisRow" showAll="0">
      <items count="4">
        <item x="0"/>
        <item x="2"/>
        <item x="1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 defaultSubtotal="0"/>
  </pivotFields>
  <rowFields count="1">
    <field x="13"/>
  </rowFields>
  <rowItems count="3">
    <i>
      <x/>
    </i>
    <i>
      <x v="2"/>
    </i>
    <i t="grand">
      <x/>
    </i>
  </rowItems>
  <colItems count="1">
    <i/>
  </colItems>
  <pageFields count="1">
    <pageField fld="15" item="0" hier="-1"/>
  </pageFields>
  <dataFields count="1">
    <dataField name="Contagem de Reserva" fld="0" subtotal="count" baseField="10" baseItem="1"/>
  </dataFields>
  <formats count="4"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outline="0" axis="axisValues" fieldPosition="0"/>
    </format>
    <format dxfId="61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IntensOperação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AK3:AL6" firstHeaderRow="1" firstDataRow="1" firstDataCol="1"/>
  <pivotFields count="15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 defaultSubtotal="0"/>
    <pivotField showAll="0"/>
    <pivotField showAll="0"/>
    <pivotField showAll="0" defaultSubtotal="0"/>
    <pivotField showAll="0" defaultSubtotal="0"/>
    <pivotField axis="axisRow" multipleItemSelectionAllowed="1" showAll="0" defaultSubtotal="0">
      <items count="2">
        <item x="0"/>
        <item x="1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Soma de Aux Item" fld="9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E000000}" name="Tabela dinâmica8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102:AA104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showAll="0"/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h="1" x="0"/>
        <item x="1"/>
        <item t="default"/>
      </items>
    </pivotField>
    <pivotField axis="axisRow" showAll="0" defaultSubtotal="0">
      <items count="1">
        <item x="0"/>
      </items>
    </pivotField>
  </pivotFields>
  <rowFields count="1">
    <field x="16"/>
  </rowFields>
  <rowItems count="2">
    <i>
      <x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12" baseItem="0"/>
  </dataFields>
  <formats count="4"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0000000}" name="TrackingPedidosEmpresarial" cacheId="17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Z30:AA39" firstHeaderRow="1" firstDataRow="1" firstDataCol="1" rowPageCount="1" colPageCount="1"/>
  <pivotFields count="17">
    <pivotField dataField="1" showAll="0" defaultSubtotal="0"/>
    <pivotField showAll="0" defaultSubtotal="0"/>
    <pivotField showAll="0" defaultSubtotal="0"/>
    <pivotField numFmtId="14" showAll="0"/>
    <pivotField numFmtId="14" showAll="0" defaultSubtotal="0"/>
    <pivotField numFmtId="165" showAll="0" defaultSubtotal="0"/>
    <pivotField showAll="0" defaultSubtotal="0"/>
    <pivotField axis="axisRow" showAll="0">
      <items count="13">
        <item x="5"/>
        <item x="1"/>
        <item x="0"/>
        <item x="4"/>
        <item x="3"/>
        <item x="2"/>
        <item x="6"/>
        <item x="7"/>
        <item x="8"/>
        <item m="1" x="11"/>
        <item m="1" x="9"/>
        <item m="1" x="10"/>
        <item t="default"/>
      </items>
    </pivotField>
    <pivotField numFmtId="14"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 defaultSubtotal="0"/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15" hier="-1"/>
  </pageFields>
  <dataFields count="1">
    <dataField name="Contagem de Reserva" fld="0" subtotal="count" baseField="4" baseItem="2"/>
  </dataFields>
  <formats count="4"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outline="0" axis="axisValues" fieldPosition="0"/>
    </format>
    <format dxfId="69">
      <pivotArea dataOnly="0" labelOnly="1" grandRow="1" outline="0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FatPeriodo" cacheId="8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>
  <location ref="H53:H55" firstHeaderRow="1" firstDataRow="1" firstDataCol="1" rowPageCount="1" colPageCount="1"/>
  <pivotFields count="11">
    <pivotField showAll="0" defaultSubtotal="0"/>
    <pivotField showAll="0" defaultSubtotal="0"/>
    <pivotField showAll="0" defaultSubtotal="0"/>
    <pivotField showAll="0" defaultSubtotal="0"/>
    <pivotField numFmtId="165" showAll="0"/>
    <pivotField showAll="0" defaultSubtotal="0"/>
    <pivotField showAll="0" defaultSubtotal="0"/>
    <pivotField axis="axisRow" showAll="0">
      <items count="5">
        <item m="1" x="3"/>
        <item x="0"/>
        <item m="1" x="2"/>
        <item m="1" x="1"/>
        <item t="default"/>
      </items>
    </pivotField>
    <pivotField showAll="0" defaultSubtotal="0"/>
    <pivotField axis="axisPage" multipleItemSelectionAllowed="1" showAll="0">
      <items count="3">
        <item x="0"/>
        <item h="1" x="1"/>
        <item t="default"/>
      </items>
    </pivotField>
    <pivotField showAll="0" defaultSubtotal="0"/>
  </pivotFields>
  <rowFields count="1">
    <field x="7"/>
  </rowFields>
  <rowItems count="2">
    <i>
      <x v="1"/>
    </i>
    <i t="grand">
      <x/>
    </i>
  </rowItems>
  <colItems count="1">
    <i/>
  </colItems>
  <pageFields count="1">
    <pageField fld="9" hier="-1"/>
  </pageFields>
  <formats count="6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7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fieldPosition="0">
        <references count="1">
          <reference field="7" count="0"/>
        </references>
      </pivotArea>
    </format>
    <format dxfId="73">
      <pivotArea dataOnly="0" labelOnly="1" grandRow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B000000}" name="Tabela dinâmica2" cacheId="24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outline="1" outlineData="1" multipleFieldFilters="0" chartFormat="4">
  <location ref="AK96:AK331" firstHeaderRow="1" firstDataRow="1" firstDataCol="1" rowPageCount="1" colPageCount="1"/>
  <pivotFields count="15">
    <pivotField axis="axisRow" showAll="0">
      <items count="8001">
        <item m="1" x="7958"/>
        <item m="1" x="7954"/>
        <item m="1" x="7848"/>
        <item m="1" x="7959"/>
        <item m="1" x="7952"/>
        <item m="1" x="7921"/>
        <item m="1" x="7947"/>
        <item m="1" x="7922"/>
        <item m="1" x="7879"/>
        <item m="1" x="7940"/>
        <item m="1" x="7923"/>
        <item m="1" x="7924"/>
        <item m="1" x="7925"/>
        <item m="1" x="7926"/>
        <item m="1" x="7927"/>
        <item m="1" x="7928"/>
        <item m="1" x="7929"/>
        <item m="1" x="7955"/>
        <item m="1" x="7956"/>
        <item m="1" x="7957"/>
        <item m="1" x="7960"/>
        <item m="1" x="7961"/>
        <item m="1" x="7962"/>
        <item m="1" x="7933"/>
        <item m="1" x="7963"/>
        <item m="1" x="7934"/>
        <item m="1" x="7916"/>
        <item m="1" x="7935"/>
        <item m="1" x="7936"/>
        <item m="1" x="7964"/>
        <item m="1" x="7937"/>
        <item m="1" x="7917"/>
        <item m="1" x="7965"/>
        <item m="1" x="7849"/>
        <item m="1" x="7892"/>
        <item m="1" x="7918"/>
        <item m="1" x="7941"/>
        <item m="1" x="7796"/>
        <item m="1" x="7797"/>
        <item m="1" x="7966"/>
        <item m="1" x="7967"/>
        <item m="1" x="7850"/>
        <item m="1" x="7949"/>
        <item m="1" x="7893"/>
        <item m="1" x="7867"/>
        <item m="1" x="7851"/>
        <item m="1" x="7798"/>
        <item m="1" x="7968"/>
        <item m="1" x="7894"/>
        <item m="1" x="7852"/>
        <item m="1" x="7969"/>
        <item m="1" x="7799"/>
        <item m="1" x="7895"/>
        <item m="1" x="7800"/>
        <item m="1" x="7801"/>
        <item m="1" x="7970"/>
        <item m="1" x="7971"/>
        <item m="1" x="7853"/>
        <item m="1" x="7896"/>
        <item m="1" x="7897"/>
        <item m="1" x="7898"/>
        <item m="1" x="7802"/>
        <item m="1" x="7972"/>
        <item m="1" x="7973"/>
        <item m="1" x="7803"/>
        <item m="1" x="7804"/>
        <item m="1" x="7942"/>
        <item m="1" x="7868"/>
        <item m="1" x="7869"/>
        <item m="1" x="7899"/>
        <item m="1" x="7900"/>
        <item m="1" x="7854"/>
        <item m="1" x="7943"/>
        <item m="1" x="7855"/>
        <item m="1" x="7856"/>
        <item m="1" x="7974"/>
        <item m="1" x="7975"/>
        <item m="1" x="7722"/>
        <item m="1" x="7805"/>
        <item m="1" x="7976"/>
        <item m="1" x="7977"/>
        <item m="1" x="7919"/>
        <item m="1" x="7901"/>
        <item m="1" x="7944"/>
        <item m="1" x="7870"/>
        <item m="1" x="7986"/>
        <item m="1" x="7902"/>
        <item m="1" x="7806"/>
        <item m="1" x="7945"/>
        <item m="1" x="7987"/>
        <item m="1" x="7903"/>
        <item m="1" x="7904"/>
        <item m="1" x="7807"/>
        <item m="1" x="7938"/>
        <item m="1" x="7905"/>
        <item m="1" x="7808"/>
        <item m="1" x="7906"/>
        <item m="1" x="7809"/>
        <item m="1" x="7857"/>
        <item m="1" x="7810"/>
        <item m="1" x="7950"/>
        <item m="1" x="7811"/>
        <item m="1" x="7920"/>
        <item m="1" x="7812"/>
        <item m="1" x="7978"/>
        <item m="1" x="7813"/>
        <item m="1" x="7939"/>
        <item m="1" x="7814"/>
        <item m="1" x="7946"/>
        <item m="1" x="7815"/>
        <item m="1" x="7907"/>
        <item m="1" x="7908"/>
        <item m="1" x="7847"/>
        <item m="1" x="7723"/>
        <item m="1" x="7724"/>
        <item m="1" x="7725"/>
        <item m="1" x="7726"/>
        <item m="1" x="7727"/>
        <item m="1" x="7988"/>
        <item m="1" x="7989"/>
        <item m="1" x="7990"/>
        <item m="1" x="7991"/>
        <item m="1" x="7992"/>
        <item m="1" x="7993"/>
        <item m="1" x="7873"/>
        <item m="1" x="7994"/>
        <item m="1" x="7874"/>
        <item m="1" x="7995"/>
        <item m="1" x="7996"/>
        <item m="1" x="7997"/>
        <item m="1" x="7998"/>
        <item m="1" x="7999"/>
        <item m="1" x="7875"/>
        <item m="1" x="7859"/>
        <item m="1" x="7578"/>
        <item m="1" x="7579"/>
        <item m="1" x="7580"/>
        <item m="1" x="7860"/>
        <item m="1" x="7880"/>
        <item m="1" x="7881"/>
        <item m="1" x="7882"/>
        <item m="1" x="7883"/>
        <item m="1" x="7884"/>
        <item m="1" x="7885"/>
        <item m="1" x="7886"/>
        <item m="1" x="7887"/>
        <item m="1" x="7845"/>
        <item m="1" x="7846"/>
        <item m="1" x="7861"/>
        <item m="1" x="7862"/>
        <item m="1" x="7888"/>
        <item m="1" x="7863"/>
        <item m="1" x="7864"/>
        <item m="1" x="7865"/>
        <item m="1" x="7866"/>
        <item m="1" x="7545"/>
        <item m="1" x="7911"/>
        <item m="1" x="7912"/>
        <item m="1" x="7889"/>
        <item m="1" x="7876"/>
        <item m="1" x="7909"/>
        <item m="1" x="7910"/>
        <item m="1" x="7599"/>
        <item m="1" x="7979"/>
        <item m="1" x="7980"/>
        <item m="1" x="7981"/>
        <item m="1" x="7829"/>
        <item m="1" x="7830"/>
        <item m="1" x="7890"/>
        <item m="1" x="7953"/>
        <item m="1" x="7816"/>
        <item m="1" x="7817"/>
        <item m="1" x="7755"/>
        <item m="1" x="7818"/>
        <item m="1" x="7827"/>
        <item m="1" x="7872"/>
        <item m="1" x="7828"/>
        <item m="1" x="7913"/>
        <item m="1" x="7877"/>
        <item m="1" x="7819"/>
        <item m="1" x="7728"/>
        <item m="1" x="7729"/>
        <item m="1" x="7451"/>
        <item m="1" x="7412"/>
        <item m="1" x="7756"/>
        <item m="1" x="7757"/>
        <item m="1" x="7758"/>
        <item m="1" x="7496"/>
        <item m="1" x="7688"/>
        <item m="1" x="7497"/>
        <item m="1" x="7452"/>
        <item m="1" x="7759"/>
        <item m="1" x="7546"/>
        <item m="1" x="7760"/>
        <item m="1" x="7453"/>
        <item m="1" x="7820"/>
        <item m="1" x="7689"/>
        <item m="1" x="7498"/>
        <item m="1" x="7454"/>
        <item m="1" x="7761"/>
        <item m="1" x="7821"/>
        <item m="1" x="7690"/>
        <item m="1" x="7526"/>
        <item m="1" x="7455"/>
        <item m="1" x="7413"/>
        <item m="1" x="7676"/>
        <item m="1" x="7414"/>
        <item m="1" x="7527"/>
        <item m="1" x="7456"/>
        <item m="1" x="7403"/>
        <item m="1" x="7822"/>
        <item m="1" x="7730"/>
        <item m="1" x="7823"/>
        <item m="1" x="7762"/>
        <item m="1" x="7547"/>
        <item m="1" x="7644"/>
        <item m="1" x="7499"/>
        <item m="1" x="7731"/>
        <item m="1" x="7415"/>
        <item m="1" x="7416"/>
        <item m="1" x="7763"/>
        <item m="1" x="7404"/>
        <item m="1" x="7417"/>
        <item m="1" x="7457"/>
        <item m="1" x="7418"/>
        <item m="1" x="7764"/>
        <item m="1" x="7405"/>
        <item m="1" x="7548"/>
        <item m="1" x="7765"/>
        <item m="1" x="7500"/>
        <item m="1" x="7732"/>
        <item m="1" x="7501"/>
        <item m="1" x="7458"/>
        <item m="1" x="7528"/>
        <item m="1" x="7766"/>
        <item m="1" x="7767"/>
        <item m="1" x="7768"/>
        <item m="1" x="7529"/>
        <item m="1" x="7419"/>
        <item m="1" x="7769"/>
        <item m="1" x="7770"/>
        <item m="1" x="7771"/>
        <item m="1" x="7406"/>
        <item m="1" x="7459"/>
        <item m="1" x="7549"/>
        <item m="1" x="7733"/>
        <item m="1" x="7772"/>
        <item m="1" x="7824"/>
        <item m="1" x="7734"/>
        <item m="1" x="7407"/>
        <item m="1" x="7420"/>
        <item m="1" x="7421"/>
        <item m="1" x="7502"/>
        <item m="1" x="7408"/>
        <item m="1" x="7460"/>
        <item m="1" x="7677"/>
        <item m="1" x="7503"/>
        <item m="1" x="7530"/>
        <item m="1" x="7409"/>
        <item m="1" x="7735"/>
        <item m="1" x="7461"/>
        <item m="1" x="7550"/>
        <item m="1" x="7462"/>
        <item m="1" x="7551"/>
        <item m="1" x="7552"/>
        <item m="1" x="7410"/>
        <item m="1" x="7504"/>
        <item m="1" x="7411"/>
        <item m="1" x="7553"/>
        <item m="1" x="7505"/>
        <item m="1" x="7506"/>
        <item m="1" x="7825"/>
        <item m="1" x="7507"/>
        <item m="1" x="7463"/>
        <item m="1" x="7464"/>
        <item m="1" x="7508"/>
        <item m="1" x="7826"/>
        <item m="1" x="7554"/>
        <item m="1" x="7774"/>
        <item m="1" x="7775"/>
        <item m="1" x="7776"/>
        <item m="1" x="7737"/>
        <item m="1" x="7703"/>
        <item m="1" x="7704"/>
        <item m="1" x="7705"/>
        <item m="1" x="7706"/>
        <item m="1" x="7707"/>
        <item m="1" x="7708"/>
        <item m="1" x="7709"/>
        <item m="1" x="7710"/>
        <item m="1" x="7842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843"/>
        <item m="1" x="7844"/>
        <item m="1" x="7317"/>
        <item m="1" x="7318"/>
        <item m="1" x="7288"/>
        <item m="1" x="7355"/>
        <item m="1" x="7356"/>
        <item m="1" x="7289"/>
        <item m="1" x="7357"/>
        <item m="1" x="7309"/>
        <item m="1" x="7270"/>
        <item m="1" x="7358"/>
        <item m="1" x="7310"/>
        <item m="1" x="7290"/>
        <item m="1" x="7982"/>
        <item m="1" x="7983"/>
        <item m="1" x="7984"/>
        <item m="1" x="7985"/>
        <item m="1" x="7878"/>
        <item m="1" x="7951"/>
        <item m="1" x="7914"/>
        <item m="1" x="7915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891"/>
        <item m="1" x="7543"/>
        <item m="1" x="7544"/>
        <item m="1" x="7524"/>
        <item m="1" x="7525"/>
        <item m="1" x="7831"/>
        <item m="1" x="7619"/>
        <item m="1" x="7695"/>
        <item m="1" x="7620"/>
        <item m="1" x="7560"/>
        <item m="1" x="7738"/>
        <item m="1" x="7777"/>
        <item m="1" x="7739"/>
        <item m="1" x="7531"/>
        <item m="1" x="7678"/>
        <item m="1" x="7532"/>
        <item m="1" x="7601"/>
        <item m="1" x="7586"/>
        <item m="1" x="7645"/>
        <item m="1" x="7602"/>
        <item m="1" x="7587"/>
        <item m="1" x="7646"/>
        <item m="1" x="7647"/>
        <item m="1" x="7740"/>
        <item m="1" x="7561"/>
        <item m="1" x="7778"/>
        <item m="1" x="7832"/>
        <item m="1" x="7679"/>
        <item m="1" x="7588"/>
        <item m="1" x="7648"/>
        <item m="1" x="7858"/>
        <item m="1" x="7511"/>
        <item m="1" x="7779"/>
        <item m="1" x="7465"/>
        <item m="1" x="7603"/>
        <item m="1" x="7833"/>
        <item m="1" x="7649"/>
        <item m="1" x="7650"/>
        <item m="1" x="7621"/>
        <item m="1" x="7651"/>
        <item m="1" x="7466"/>
        <item m="1" x="7834"/>
        <item m="1" x="7604"/>
        <item m="1" x="7589"/>
        <item m="1" x="7622"/>
        <item m="1" x="7696"/>
        <item m="1" x="7512"/>
        <item m="1" x="7513"/>
        <item m="1" x="7835"/>
        <item m="1" x="7623"/>
        <item m="1" x="7780"/>
        <item m="1" x="7467"/>
        <item m="1" x="7697"/>
        <item m="1" x="7680"/>
        <item m="1" x="7533"/>
        <item m="1" x="7698"/>
        <item m="1" x="7534"/>
        <item m="1" x="7836"/>
        <item m="1" x="7741"/>
        <item m="1" x="7468"/>
        <item m="1" x="7781"/>
        <item m="1" x="7652"/>
        <item m="1" x="7469"/>
        <item m="1" x="7470"/>
        <item m="1" x="7653"/>
        <item m="1" x="7590"/>
        <item m="1" x="7624"/>
        <item m="1" x="7535"/>
        <item m="1" x="7471"/>
        <item m="1" x="7625"/>
        <item m="1" x="7742"/>
        <item m="1" x="7605"/>
        <item m="1" x="7681"/>
        <item m="1" x="7626"/>
        <item m="1" x="7782"/>
        <item m="1" x="7591"/>
        <item m="1" x="7472"/>
        <item m="1" x="7562"/>
        <item m="1" x="7627"/>
        <item m="1" x="7473"/>
        <item m="1" x="7743"/>
        <item m="1" x="7514"/>
        <item m="1" x="7474"/>
        <item m="1" x="7783"/>
        <item m="1" x="7744"/>
        <item m="1" x="7475"/>
        <item m="1" x="7682"/>
        <item m="1" x="7476"/>
        <item m="1" x="7654"/>
        <item m="1" x="7784"/>
        <item m="1" x="7837"/>
        <item m="1" x="7838"/>
        <item m="1" x="7745"/>
        <item m="1" x="7746"/>
        <item m="1" x="7747"/>
        <item m="1" x="7785"/>
        <item m="1" x="7592"/>
        <item m="1" x="7628"/>
        <item m="1" x="7515"/>
        <item m="1" x="7516"/>
        <item m="1" x="7786"/>
        <item m="1" x="7699"/>
        <item m="1" x="7477"/>
        <item m="1" x="7517"/>
        <item m="1" x="7606"/>
        <item m="1" x="7593"/>
        <item m="1" x="7683"/>
        <item m="1" x="7655"/>
        <item m="1" x="7839"/>
        <item m="1" x="7563"/>
        <item m="1" x="7656"/>
        <item m="1" x="7700"/>
        <item m="1" x="7657"/>
        <item m="1" x="7840"/>
        <item m="1" x="7518"/>
        <item m="1" x="7629"/>
        <item m="1" x="7519"/>
        <item m="1" x="7478"/>
        <item m="1" x="7748"/>
        <item m="1" x="7701"/>
        <item m="1" x="7564"/>
        <item m="1" x="7749"/>
        <item m="1" x="7787"/>
        <item m="1" x="7479"/>
        <item m="1" x="7565"/>
        <item m="1" x="7520"/>
        <item m="1" x="7658"/>
        <item m="1" x="7536"/>
        <item m="1" x="7480"/>
        <item m="1" x="7566"/>
        <item m="1" x="7607"/>
        <item m="1" x="7608"/>
        <item m="1" x="7630"/>
        <item m="1" x="7609"/>
        <item m="1" x="7567"/>
        <item m="1" x="7631"/>
        <item m="1" x="7537"/>
        <item m="1" x="7659"/>
        <item m="1" x="7594"/>
        <item m="1" x="7788"/>
        <item m="1" x="7841"/>
        <item m="1" x="7750"/>
        <item m="1" x="7481"/>
        <item m="1" x="7610"/>
        <item m="1" x="7568"/>
        <item m="1" x="7632"/>
        <item m="1" x="7611"/>
        <item m="1" x="7595"/>
        <item m="1" x="7660"/>
        <item m="1" x="7633"/>
        <item m="1" x="7684"/>
        <item m="1" x="7789"/>
        <item m="1" x="7751"/>
        <item m="1" x="7569"/>
        <item m="1" x="7634"/>
        <item m="1" x="7570"/>
        <item m="1" x="7790"/>
        <item m="1" x="7612"/>
        <item m="1" x="7685"/>
        <item m="1" x="7596"/>
        <item m="1" x="7702"/>
        <item m="1" x="7635"/>
        <item m="1" x="7482"/>
        <item m="1" x="7661"/>
        <item m="1" x="7791"/>
        <item m="1" x="7636"/>
        <item m="1" x="7483"/>
        <item m="1" x="7571"/>
        <item m="1" x="7538"/>
        <item m="1" x="7752"/>
        <item m="1" x="7753"/>
        <item m="1" x="7613"/>
        <item m="1" x="7539"/>
        <item m="1" x="7792"/>
        <item m="1" x="7572"/>
        <item m="1" x="7597"/>
        <item m="1" x="7484"/>
        <item m="1" x="7793"/>
        <item m="1" x="7521"/>
        <item m="1" x="7485"/>
        <item m="1" x="7662"/>
        <item m="1" x="7637"/>
        <item m="1" x="7638"/>
        <item m="1" x="7794"/>
        <item m="1" x="7486"/>
        <item m="1" x="7686"/>
        <item m="1" x="7663"/>
        <item m="1" x="7754"/>
        <item m="1" x="7614"/>
        <item m="1" x="7522"/>
        <item m="1" x="7615"/>
        <item m="1" x="7720"/>
        <item m="1" x="7721"/>
        <item m="1" x="7674"/>
        <item m="1" x="7948"/>
        <item m="1" x="7930"/>
        <item m="1" x="7931"/>
        <item m="1" x="7617"/>
        <item m="1" x="7639"/>
        <item m="1" x="7495"/>
        <item m="1" x="7640"/>
        <item m="1" x="7618"/>
        <item m="1" x="7641"/>
        <item m="1" x="7642"/>
        <item m="1" x="7509"/>
        <item m="1" x="7559"/>
        <item m="1" x="7573"/>
        <item m="1" x="7181"/>
        <item m="1" x="7523"/>
        <item m="1" x="7487"/>
        <item m="1" x="7422"/>
        <item m="1" x="7795"/>
        <item m="1" x="7598"/>
        <item m="1" x="7510"/>
        <item m="1" x="7488"/>
        <item m="1" x="7540"/>
        <item m="1" x="7489"/>
        <item m="1" x="7490"/>
        <item m="1" x="7491"/>
        <item m="1" x="7541"/>
        <item m="1" x="7574"/>
        <item m="1" x="7575"/>
        <item m="1" x="7492"/>
        <item m="1" x="7542"/>
        <item m="1" x="7576"/>
        <item m="1" x="7341"/>
        <item m="1" x="7271"/>
        <item m="1" x="7319"/>
        <item m="1" x="7311"/>
        <item m="1" x="7320"/>
        <item m="1" x="7391"/>
        <item m="1" x="7392"/>
        <item m="1" x="7393"/>
        <item m="1" x="7342"/>
        <item m="1" x="7312"/>
        <item m="1" x="7272"/>
        <item m="1" x="7394"/>
        <item m="1" x="7291"/>
        <item m="1" x="7292"/>
        <item m="1" x="7293"/>
        <item m="1" x="7321"/>
        <item m="1" x="7322"/>
        <item m="1" x="7294"/>
        <item m="1" x="7313"/>
        <item m="1" x="7258"/>
        <item m="1" x="7295"/>
        <item m="1" x="7343"/>
        <item m="1" x="7385"/>
        <item m="1" x="7359"/>
        <item m="1" x="7395"/>
        <item m="1" x="7296"/>
        <item m="1" x="7344"/>
        <item m="1" x="7360"/>
        <item m="1" x="7345"/>
        <item m="1" x="7273"/>
        <item m="1" x="7346"/>
        <item m="1" x="7297"/>
        <item m="1" x="7324"/>
        <item m="1" x="7361"/>
        <item m="1" x="7347"/>
        <item m="1" x="7396"/>
        <item m="1" x="7362"/>
        <item m="1" x="7298"/>
        <item m="1" x="7274"/>
        <item m="1" x="7325"/>
        <item m="1" x="7397"/>
        <item m="1" x="7299"/>
        <item m="1" x="7326"/>
        <item m="1" x="7327"/>
        <item m="1" x="7367"/>
        <item m="1" x="7300"/>
        <item m="1" x="7314"/>
        <item m="1" x="7301"/>
        <item m="1" x="7348"/>
        <item m="1" x="7349"/>
        <item m="1" x="7368"/>
        <item m="1" x="7350"/>
        <item m="1" x="7328"/>
        <item m="1" x="7302"/>
        <item m="1" x="7275"/>
        <item m="1" x="7303"/>
        <item m="1" x="7304"/>
        <item m="1" x="7351"/>
        <item m="1" x="7305"/>
        <item m="1" x="7329"/>
        <item m="1" x="7315"/>
        <item m="1" x="7386"/>
        <item m="1" x="7306"/>
        <item m="1" x="7398"/>
        <item m="1" x="7352"/>
        <item m="1" x="7353"/>
        <item m="1" x="7399"/>
        <item m="1" x="7307"/>
        <item m="1" x="7400"/>
        <item m="1" x="7276"/>
        <item m="1" x="7401"/>
        <item m="1" x="7277"/>
        <item m="1" x="7402"/>
        <item m="1" x="7387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54"/>
        <item m="1" x="7388"/>
        <item m="1" x="7389"/>
        <item m="1" x="7323"/>
        <item m="1" x="7330"/>
        <item m="1" x="7331"/>
        <item m="1" x="7332"/>
        <item m="1" x="7390"/>
        <item m="1" x="7278"/>
        <item m="1" x="7308"/>
        <item m="1" x="7555"/>
        <item m="1" x="7556"/>
        <item m="1" x="7557"/>
        <item m="1" x="7558"/>
        <item m="1" x="7577"/>
        <item m="1" x="7423"/>
        <item m="1" x="7424"/>
        <item m="1" x="7199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137"/>
        <item m="1" x="7138"/>
        <item m="1" x="7139"/>
        <item m="1" x="7200"/>
        <item m="1" x="7434"/>
        <item m="1" x="7435"/>
        <item m="1" x="7436"/>
        <item m="1" x="7437"/>
        <item m="1" x="7201"/>
        <item m="1" x="7493"/>
        <item m="1" x="7643"/>
        <item m="1" x="7316"/>
        <item m="1" x="7228"/>
        <item m="1" x="7736"/>
        <item m="1" x="7932"/>
        <item m="1" x="7687"/>
        <item m="1" x="7675"/>
        <item m="1" x="7364"/>
        <item m="1" x="7365"/>
        <item m="1" x="7340"/>
        <item m="1" x="7286"/>
        <item m="1" x="7287"/>
        <item m="1" x="7264"/>
        <item m="1" x="7438"/>
        <item m="1" x="7070"/>
        <item m="1" x="7141"/>
        <item m="1" x="7183"/>
        <item m="1" x="7184"/>
        <item m="1" x="7185"/>
        <item m="1" x="7142"/>
        <item m="1" x="7143"/>
        <item m="1" x="7144"/>
        <item m="1" x="7145"/>
        <item m="1" x="7146"/>
        <item m="1" x="7186"/>
        <item m="1" x="7105"/>
        <item m="1" x="7187"/>
        <item m="1" x="7203"/>
        <item m="1" x="7188"/>
        <item m="1" x="7189"/>
        <item m="1" x="7071"/>
        <item m="1" x="7204"/>
        <item m="1" x="7147"/>
        <item m="1" x="7148"/>
        <item m="1" x="7149"/>
        <item m="1" x="7106"/>
        <item m="1" x="7107"/>
        <item m="1" x="7190"/>
        <item m="1" x="7072"/>
        <item m="1" x="7150"/>
        <item m="1" x="7108"/>
        <item m="1" x="7383"/>
        <item m="1" x="7871"/>
        <item m="1" x="7691"/>
        <item m="1" x="7773"/>
        <item m="1" x="7140"/>
        <item m="1" x="7439"/>
        <item m="1" x="7440"/>
        <item m="1" x="7616"/>
        <item m="1" x="7104"/>
        <item m="1" x="7441"/>
        <item m="1" x="7442"/>
        <item m="1" x="7443"/>
        <item m="1" x="7444"/>
        <item m="1" x="7202"/>
        <item m="1" x="7182"/>
        <item m="1" x="7073"/>
        <item m="1" x="7445"/>
        <item m="1" x="7446"/>
        <item m="1" x="7447"/>
        <item m="1" x="7448"/>
        <item m="1" x="7109"/>
        <item m="1" x="7449"/>
        <item m="1" x="7110"/>
        <item m="1" x="7366"/>
        <item m="1" x="7338"/>
        <item m="1" x="7339"/>
        <item m="1" x="7178"/>
        <item m="1" x="7043"/>
        <item m="1" x="7692"/>
        <item m="1" x="7259"/>
        <item m="1" x="7226"/>
        <item m="1" x="7261"/>
        <item m="1" x="7262"/>
        <item m="1" x="7263"/>
        <item m="1" x="7693"/>
        <item m="1" x="7694"/>
        <item m="1" x="7279"/>
        <item m="1" x="6989"/>
        <item m="1" x="6988"/>
        <item m="1" x="6701"/>
        <item m="1" x="7044"/>
        <item m="1" x="6974"/>
        <item m="1" x="6984"/>
        <item m="1" x="7008"/>
        <item m="1" x="6990"/>
        <item m="1" x="7009"/>
        <item m="1" x="6946"/>
        <item m="1" x="6985"/>
        <item m="1" x="7010"/>
        <item m="1" x="6975"/>
        <item m="1" x="6845"/>
        <item m="1" x="7045"/>
        <item m="1" x="7046"/>
        <item m="1" x="6968"/>
        <item m="1" x="6991"/>
        <item m="1" x="7047"/>
        <item m="1" x="7011"/>
        <item m="1" x="7083"/>
        <item m="1" x="7048"/>
        <item m="1" x="7012"/>
        <item m="1" x="7280"/>
        <item m="1" x="7049"/>
        <item m="1" x="7126"/>
        <item m="1" x="6992"/>
        <item m="1" x="6830"/>
        <item m="1" x="6702"/>
        <item m="1" x="7127"/>
        <item m="1" x="7050"/>
        <item m="1" x="7207"/>
        <item m="1" x="6703"/>
        <item m="1" x="7154"/>
        <item m="1" x="6993"/>
        <item m="1" x="7084"/>
        <item m="1" x="7227"/>
        <item m="1" x="7013"/>
        <item m="1" x="7085"/>
        <item m="1" x="7179"/>
        <item m="1" x="7281"/>
        <item m="1" x="7014"/>
        <item m="1" x="7086"/>
        <item m="1" x="6969"/>
        <item m="1" x="6986"/>
        <item m="1" x="6976"/>
        <item m="1" x="7208"/>
        <item m="1" x="7128"/>
        <item m="1" x="7051"/>
        <item m="1" x="7052"/>
        <item m="1" x="7053"/>
        <item m="1" x="7129"/>
        <item m="1" x="7155"/>
        <item m="1" x="7087"/>
        <item m="1" x="7156"/>
        <item m="1" x="7088"/>
        <item m="1" x="7054"/>
        <item m="1" x="7130"/>
        <item m="1" x="6763"/>
        <item m="1" x="7089"/>
        <item m="1" x="6994"/>
        <item m="1" x="6995"/>
        <item m="1" x="7157"/>
        <item m="1" x="6972"/>
        <item m="1" x="6764"/>
        <item m="1" x="7055"/>
        <item m="1" x="7015"/>
        <item m="1" x="7282"/>
        <item m="1" x="7158"/>
        <item m="1" x="7056"/>
        <item m="1" x="6996"/>
        <item m="1" x="7229"/>
        <item m="1" x="7016"/>
        <item m="1" x="6997"/>
        <item m="1" x="6704"/>
        <item m="1" x="7283"/>
        <item m="1" x="7017"/>
        <item m="1" x="7131"/>
        <item m="1" x="6998"/>
        <item m="1" x="7284"/>
        <item m="1" x="7057"/>
        <item m="1" x="7132"/>
        <item m="1" x="6717"/>
        <item m="1" x="6999"/>
        <item m="1" x="6705"/>
        <item m="1" x="7159"/>
        <item m="1" x="6706"/>
        <item m="1" x="7000"/>
        <item m="1" x="7090"/>
        <item m="1" x="7001"/>
        <item m="1" x="7058"/>
        <item m="1" x="7002"/>
        <item m="1" x="7003"/>
        <item m="1" x="6973"/>
        <item m="1" x="6798"/>
        <item m="1" x="7091"/>
        <item m="1" x="7160"/>
        <item m="1" x="7092"/>
        <item m="1" x="6707"/>
        <item m="1" x="7230"/>
        <item m="1" x="7018"/>
        <item m="1" x="7133"/>
        <item m="1" x="7004"/>
        <item m="1" x="6874"/>
        <item m="1" x="7059"/>
        <item m="1" x="7060"/>
        <item m="1" x="7161"/>
        <item m="1" x="7061"/>
        <item m="1" x="7062"/>
        <item m="1" x="7005"/>
        <item m="1" x="7063"/>
        <item m="1" x="7064"/>
        <item m="1" x="7065"/>
        <item m="1" x="7093"/>
        <item m="1" x="7162"/>
        <item m="1" x="7094"/>
        <item m="1" x="7163"/>
        <item m="1" x="7066"/>
        <item m="1" x="7233"/>
        <item m="1" x="7234"/>
        <item m="1" x="7067"/>
        <item m="1" x="7235"/>
        <item m="1" x="7006"/>
        <item m="1" x="7236"/>
        <item m="1" x="7237"/>
        <item m="1" x="7095"/>
        <item m="1" x="7096"/>
        <item m="1" x="7164"/>
        <item m="1" x="7231"/>
        <item m="1" x="7165"/>
        <item m="1" x="7238"/>
        <item m="1" x="6970"/>
        <item m="1" x="7134"/>
        <item m="1" x="7166"/>
        <item m="1" x="7135"/>
        <item m="1" x="7097"/>
        <item m="1" x="7098"/>
        <item m="1" x="7239"/>
        <item m="1" x="7167"/>
        <item m="1" x="7007"/>
        <item m="1" x="7168"/>
        <item m="1" x="7019"/>
        <item m="1" x="7240"/>
        <item m="1" x="7068"/>
        <item m="1" x="7241"/>
        <item m="1" x="7099"/>
        <item m="1" x="7100"/>
        <item m="1" x="7101"/>
        <item m="1" x="7180"/>
        <item m="1" x="7242"/>
        <item m="1" x="7136"/>
        <item m="1" x="7232"/>
        <item m="1" x="7169"/>
        <item m="1" x="7102"/>
        <item m="1" x="7103"/>
        <item m="1" x="7450"/>
        <item m="1" x="6680"/>
        <item m="1" x="6831"/>
        <item m="1" x="6659"/>
        <item m="1" x="6629"/>
        <item m="1" x="7224"/>
        <item m="1" x="7384"/>
        <item m="1" x="7205"/>
        <item m="1" x="7206"/>
        <item m="1" x="7225"/>
        <item m="1" x="7191"/>
        <item m="1" x="7192"/>
        <item m="1" x="7076"/>
        <item m="1" x="7077"/>
        <item m="1" x="7078"/>
        <item m="1" x="7022"/>
        <item m="1" x="7023"/>
        <item m="1" x="7024"/>
        <item m="1" x="7151"/>
        <item m="1" x="7170"/>
        <item m="1" x="7171"/>
        <item m="1" x="7265"/>
        <item m="1" x="7266"/>
        <item m="1" x="6708"/>
        <item m="1" x="7333"/>
        <item m="1" x="6799"/>
        <item m="1" x="7600"/>
        <item m="1" x="6832"/>
        <item m="1" x="7581"/>
        <item m="1" x="7260"/>
        <item m="1" x="7582"/>
        <item m="1" x="7583"/>
        <item m="1" x="7584"/>
        <item m="1" x="7585"/>
        <item m="1" x="7193"/>
        <item m="1" x="6911"/>
        <item m="1" x="6932"/>
        <item m="1" x="6947"/>
        <item m="1" x="6948"/>
        <item m="1" x="6933"/>
        <item m="1" x="6934"/>
        <item m="1" x="6949"/>
        <item m="1" x="6876"/>
        <item m="1" x="6912"/>
        <item m="1" x="6950"/>
        <item m="1" x="6951"/>
        <item m="1" x="6913"/>
        <item m="1" x="6952"/>
        <item m="1" x="6877"/>
        <item m="1" x="6878"/>
        <item m="1" x="6953"/>
        <item m="1" x="6935"/>
        <item m="1" x="6879"/>
        <item m="1" x="6880"/>
        <item m="1" x="6954"/>
        <item m="1" x="6914"/>
        <item m="1" x="6899"/>
        <item m="1" x="6936"/>
        <item m="1" x="6937"/>
        <item m="1" x="6938"/>
        <item m="1" x="6939"/>
        <item m="1" x="6915"/>
        <item m="1" x="6940"/>
        <item m="1" x="6941"/>
        <item m="1" x="6942"/>
        <item m="1" x="6943"/>
        <item m="1" x="6955"/>
        <item m="1" x="6900"/>
        <item m="1" x="6881"/>
        <item m="1" x="6956"/>
        <item m="1" x="6882"/>
        <item m="1" x="6957"/>
        <item m="1" x="7334"/>
        <item m="1" x="7335"/>
        <item m="1" x="7363"/>
        <item m="1" x="7336"/>
        <item m="1" x="7494"/>
        <item m="1" x="6944"/>
        <item m="1" x="6901"/>
        <item m="1" x="6916"/>
        <item m="1" x="7285"/>
        <item m="1" x="7337"/>
        <item m="1" x="6927"/>
        <item m="1" x="7267"/>
        <item m="1" x="7268"/>
        <item m="1" x="6682"/>
        <item m="1" x="6767"/>
        <item m="1" x="7152"/>
        <item m="1" x="6977"/>
        <item m="1" x="6978"/>
        <item m="1" x="6979"/>
        <item m="1" x="6660"/>
        <item m="1" x="6871"/>
        <item m="1" x="6765"/>
        <item m="1" x="6681"/>
        <item m="1" x="6846"/>
        <item m="1" x="6504"/>
        <item m="1" x="6718"/>
        <item m="1" x="6864"/>
        <item m="1" x="6406"/>
        <item m="1" x="6407"/>
        <item m="1" x="6800"/>
        <item m="1" x="6460"/>
        <item m="1" x="6653"/>
        <item m="1" x="6461"/>
        <item m="1" x="6766"/>
        <item m="1" x="6719"/>
        <item m="1" x="6654"/>
        <item m="1" x="6408"/>
        <item m="1" x="6661"/>
        <item m="1" x="6720"/>
        <item m="1" x="6768"/>
        <item m="1" x="6847"/>
        <item m="1" x="6662"/>
        <item m="1" x="6409"/>
        <item m="1" x="6721"/>
        <item m="1" x="6801"/>
        <item m="1" x="6505"/>
        <item m="1" x="6709"/>
        <item m="1" x="6710"/>
        <item m="1" x="6506"/>
        <item m="1" x="6769"/>
        <item m="1" x="6722"/>
        <item m="1" x="6566"/>
        <item m="1" x="6833"/>
        <item m="1" x="6567"/>
        <item m="1" x="6410"/>
        <item m="1" x="6630"/>
        <item m="1" x="6802"/>
        <item m="1" x="6770"/>
        <item m="1" x="6462"/>
        <item m="1" x="6463"/>
        <item m="1" x="6803"/>
        <item m="1" x="6411"/>
        <item m="1" x="6865"/>
        <item m="1" x="6804"/>
        <item m="1" x="6631"/>
        <item m="1" x="6632"/>
        <item m="1" x="6848"/>
        <item m="1" x="6605"/>
        <item m="1" x="6507"/>
        <item m="1" x="6834"/>
        <item m="1" x="6464"/>
        <item m="1" x="6849"/>
        <item m="1" x="6655"/>
        <item m="1" x="6866"/>
        <item m="1" x="6771"/>
        <item m="1" x="6805"/>
        <item m="1" x="6508"/>
        <item m="1" x="6806"/>
        <item m="1" x="6412"/>
        <item m="1" x="6711"/>
        <item m="1" x="6663"/>
        <item m="1" x="6712"/>
        <item m="1" x="6509"/>
        <item m="1" x="6850"/>
        <item m="1" x="6683"/>
        <item m="1" x="6413"/>
        <item m="1" x="6568"/>
        <item m="1" x="6807"/>
        <item m="1" x="6772"/>
        <item m="1" x="6633"/>
        <item m="1" x="6414"/>
        <item m="1" x="6415"/>
        <item m="1" x="6416"/>
        <item m="1" x="6851"/>
        <item m="1" x="6510"/>
        <item m="1" x="6773"/>
        <item m="1" x="6713"/>
        <item m="1" x="6606"/>
        <item m="1" x="6714"/>
        <item m="1" x="6835"/>
        <item m="1" x="6569"/>
        <item m="1" x="6852"/>
        <item m="1" x="6607"/>
        <item m="1" x="6808"/>
        <item m="1" x="6774"/>
        <item m="1" x="6775"/>
        <item m="1" x="6511"/>
        <item m="1" x="6867"/>
        <item m="1" x="6634"/>
        <item m="1" x="6417"/>
        <item m="1" x="6776"/>
        <item m="1" x="6777"/>
        <item m="1" x="6778"/>
        <item m="1" x="6779"/>
        <item m="1" x="6780"/>
        <item m="1" x="6635"/>
        <item m="1" x="6697"/>
        <item m="1" x="6698"/>
        <item m="1" x="6699"/>
        <item m="1" x="6676"/>
        <item m="1" x="6677"/>
        <item m="1" x="6678"/>
        <item m="1" x="6608"/>
        <item m="1" x="6609"/>
        <item m="1" x="6512"/>
        <item m="1" x="6636"/>
        <item m="1" x="6637"/>
        <item m="1" x="6638"/>
        <item m="1" x="6639"/>
        <item m="1" x="6640"/>
        <item m="1" x="6641"/>
        <item m="1" x="6642"/>
        <item m="1" x="6684"/>
        <item m="1" x="6610"/>
        <item m="1" x="6643"/>
        <item m="1" x="6611"/>
        <item m="1" x="6612"/>
        <item m="1" x="6613"/>
        <item m="1" x="6614"/>
        <item m="1" x="6615"/>
        <item m="1" x="6616"/>
        <item m="1" x="6617"/>
        <item m="1" x="6465"/>
        <item m="1" x="6809"/>
        <item m="1" x="6810"/>
        <item m="1" x="6811"/>
        <item m="1" x="6781"/>
        <item m="1" x="6782"/>
        <item m="1" x="6783"/>
        <item m="1" x="6853"/>
        <item m="1" x="6715"/>
        <item m="1" x="6854"/>
        <item m="1" x="6812"/>
        <item m="1" x="6836"/>
        <item m="1" x="6784"/>
        <item m="1" x="6644"/>
        <item m="1" x="6813"/>
        <item m="1" x="6785"/>
        <item m="1" x="6570"/>
        <item m="1" x="6855"/>
        <item m="1" x="6716"/>
        <item m="1" x="6466"/>
        <item m="1" x="6814"/>
        <item m="1" x="6786"/>
        <item m="1" x="6618"/>
        <item m="1" x="6513"/>
        <item m="1" x="6787"/>
        <item m="1" x="6514"/>
        <item m="1" x="6571"/>
        <item m="1" x="6788"/>
        <item m="1" x="6789"/>
        <item m="1" x="6664"/>
        <item m="1" x="6815"/>
        <item m="1" x="7269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079"/>
        <item m="1" x="7080"/>
        <item m="1" x="7111"/>
        <item m="1" x="7172"/>
        <item m="1" x="7112"/>
        <item m="1" x="7173"/>
        <item m="1" x="7113"/>
        <item m="1" x="7194"/>
        <item m="1" x="7114"/>
        <item m="1" x="7025"/>
        <item m="1" x="7026"/>
        <item m="1" x="7027"/>
        <item m="1" x="7028"/>
        <item m="1" x="7195"/>
        <item m="1" x="7115"/>
        <item m="1" x="7174"/>
        <item m="1" x="7116"/>
        <item m="1" x="7117"/>
        <item m="1" x="7118"/>
        <item m="1" x="7119"/>
        <item m="1" x="7120"/>
        <item m="1" x="7081"/>
        <item m="1" x="7121"/>
        <item m="1" x="7122"/>
        <item m="1" x="7175"/>
        <item m="1" x="7123"/>
        <item m="1" x="7196"/>
        <item m="1" x="7124"/>
        <item m="1" x="7029"/>
        <item m="1" x="7176"/>
        <item m="1" x="7125"/>
        <item m="1" x="7177"/>
        <item m="1" x="7082"/>
        <item m="1" x="7197"/>
        <item m="1" x="7153"/>
        <item m="1" x="6945"/>
        <item m="1" x="6883"/>
        <item m="1" x="6884"/>
        <item m="1" x="6885"/>
        <item m="1" x="6886"/>
        <item m="1" x="6887"/>
        <item m="1" x="6888"/>
        <item m="1" x="6902"/>
        <item m="1" x="6903"/>
        <item m="1" x="6904"/>
        <item m="1" x="6905"/>
        <item m="1" x="6906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198"/>
        <item m="1" x="7221"/>
        <item m="1" x="7222"/>
        <item m="1" x="7223"/>
        <item m="1" x="6928"/>
        <item m="1" x="6929"/>
        <item m="1" x="6930"/>
        <item m="1" x="6931"/>
        <item m="1" x="7030"/>
        <item m="1" x="7031"/>
        <item m="1" x="7032"/>
        <item m="1" x="7033"/>
        <item m="1" x="7034"/>
        <item m="1" x="6919"/>
        <item m="1" x="6920"/>
        <item m="1" x="6921"/>
        <item m="1" x="6922"/>
        <item m="1" x="6923"/>
        <item m="1" x="7035"/>
        <item m="1" x="7036"/>
        <item m="1" x="7037"/>
        <item m="1" x="7038"/>
        <item m="1" x="7039"/>
        <item m="1" x="7040"/>
        <item m="1" x="7020"/>
        <item m="1" x="7074"/>
        <item m="1" x="7021"/>
        <item m="1" x="6924"/>
        <item m="1" x="7041"/>
        <item m="1" x="7042"/>
        <item m="1" x="6797"/>
        <item m="1" x="6987"/>
        <item m="1" x="6980"/>
        <item m="1" x="6981"/>
        <item m="1" x="6982"/>
        <item m="1" x="6983"/>
        <item m="1" x="6958"/>
        <item m="1" x="6959"/>
        <item m="1" x="7069"/>
        <item m="1" x="7075"/>
        <item m="1" x="6889"/>
        <item m="1" x="6960"/>
        <item m="1" x="6961"/>
        <item m="1" x="6962"/>
        <item m="1" x="6963"/>
        <item m="1" x="6964"/>
        <item m="1" x="6965"/>
        <item m="1" x="6966"/>
        <item m="1" x="6967"/>
        <item m="1" x="6326"/>
        <item m="1" x="6917"/>
        <item m="1" x="6918"/>
        <item m="1" x="6925"/>
        <item m="1" x="6926"/>
        <item m="1" x="6860"/>
        <item m="1" x="6861"/>
        <item m="1" x="6862"/>
        <item m="1" x="6863"/>
        <item m="1" x="6257"/>
        <item m="1" x="6418"/>
        <item m="1" x="6327"/>
        <item m="1" x="6328"/>
        <item m="1" x="6907"/>
        <item m="1" x="6908"/>
        <item m="1" x="6909"/>
        <item m="1" x="6890"/>
        <item m="1" x="6891"/>
        <item m="1" x="6892"/>
        <item m="1" x="6868"/>
        <item m="1" x="6910"/>
        <item m="1" x="6875"/>
        <item m="1" x="6893"/>
        <item m="1" x="6869"/>
        <item m="1" x="6894"/>
        <item m="1" x="6872"/>
        <item m="1" x="6895"/>
        <item m="1" x="6873"/>
        <item m="1" x="6896"/>
        <item m="1" x="6840"/>
        <item m="1" x="6971"/>
        <item m="1" x="6839"/>
        <item m="1" x="6859"/>
        <item m="1" x="6841"/>
        <item m="1" x="6381"/>
        <item m="1" x="6042"/>
        <item m="1" x="6043"/>
        <item m="1" x="6258"/>
        <item m="1" x="6382"/>
        <item m="1" x="6173"/>
        <item m="1" x="6294"/>
        <item m="1" x="6174"/>
        <item m="1" x="6259"/>
        <item m="1" x="6260"/>
        <item m="1" x="6214"/>
        <item m="1" x="6383"/>
        <item m="1" x="6261"/>
        <item m="1" x="5997"/>
        <item m="1" x="6175"/>
        <item m="1" x="6176"/>
        <item m="1" x="6177"/>
        <item m="1" x="6178"/>
        <item m="1" x="6363"/>
        <item m="1" x="5942"/>
        <item m="1" x="6215"/>
        <item m="1" x="6179"/>
        <item m="1" x="5998"/>
        <item m="1" x="6353"/>
        <item m="1" x="6419"/>
        <item m="1" x="5943"/>
        <item m="1" x="6110"/>
        <item m="1" x="6149"/>
        <item m="1" x="6216"/>
        <item m="1" x="5944"/>
        <item m="1" x="5999"/>
        <item m="1" x="6354"/>
        <item m="1" x="6217"/>
        <item m="1" x="5945"/>
        <item m="1" x="6329"/>
        <item m="1" x="6355"/>
        <item m="1" x="6420"/>
        <item m="1" x="6356"/>
        <item m="1" x="6262"/>
        <item m="1" x="6180"/>
        <item m="1" x="6218"/>
        <item m="1" x="6161"/>
        <item m="1" x="6364"/>
        <item m="1" x="6295"/>
        <item m="1" x="6162"/>
        <item m="1" x="6044"/>
        <item m="1" x="6181"/>
        <item m="1" x="6421"/>
        <item m="1" x="5946"/>
        <item m="1" x="6515"/>
        <item m="1" x="6422"/>
        <item m="1" x="6296"/>
        <item m="1" x="6263"/>
        <item m="1" x="6182"/>
        <item m="1" x="6183"/>
        <item m="1" x="6184"/>
        <item m="1" x="6723"/>
        <item m="1" x="6423"/>
        <item m="1" x="5844"/>
        <item m="1" x="6185"/>
        <item m="1" x="6219"/>
        <item m="1" x="6656"/>
        <item m="1" x="6357"/>
        <item m="1" x="6264"/>
        <item m="1" x="6516"/>
        <item m="1" x="6517"/>
        <item m="1" x="6572"/>
        <item m="1" x="6573"/>
        <item m="1" x="6000"/>
        <item m="1" x="6220"/>
        <item m="1" x="6424"/>
        <item m="1" x="6297"/>
        <item m="1" x="6358"/>
        <item m="1" x="6186"/>
        <item m="1" x="6645"/>
        <item m="1" x="6646"/>
        <item m="1" x="6425"/>
        <item m="1" x="6265"/>
        <item m="1" x="6163"/>
        <item m="1" x="6365"/>
        <item m="1" x="5845"/>
        <item m="1" x="6366"/>
        <item m="1" x="6001"/>
        <item m="1" x="6330"/>
        <item m="1" x="6187"/>
        <item m="1" x="6221"/>
        <item m="1" x="6002"/>
        <item m="1" x="6222"/>
        <item m="1" x="6426"/>
        <item m="1" x="6164"/>
        <item m="1" x="6359"/>
        <item m="1" x="6188"/>
        <item m="1" x="5846"/>
        <item m="1" x="6189"/>
        <item m="1" x="6190"/>
        <item m="1" x="6266"/>
        <item m="1" x="6384"/>
        <item m="1" x="6191"/>
        <item m="1" x="5947"/>
        <item m="1" x="6003"/>
        <item m="1" x="6518"/>
        <item m="1" x="6519"/>
        <item m="1" x="6360"/>
        <item m="1" x="6361"/>
        <item m="1" x="6192"/>
        <item m="1" x="6331"/>
        <item m="1" x="6193"/>
        <item m="1" x="6427"/>
        <item m="1" x="6428"/>
        <item m="1" x="6429"/>
        <item m="1" x="6223"/>
        <item m="1" x="6194"/>
        <item m="1" x="6385"/>
        <item m="1" x="6332"/>
        <item m="1" x="6430"/>
        <item m="1" x="6333"/>
        <item m="1" x="6431"/>
        <item m="1" x="6432"/>
        <item m="1" x="6267"/>
        <item m="1" x="6433"/>
        <item m="1" x="6434"/>
        <item m="1" x="6435"/>
        <item m="1" x="6268"/>
        <item m="1" x="6436"/>
        <item m="1" x="6334"/>
        <item m="1" x="6437"/>
        <item m="1" x="6224"/>
        <item m="1" x="6165"/>
        <item m="1" x="6367"/>
        <item m="1" x="6438"/>
        <item m="1" x="6195"/>
        <item m="1" x="6386"/>
        <item m="1" x="6439"/>
        <item m="1" x="6269"/>
        <item m="1" x="6004"/>
        <item m="1" x="6440"/>
        <item m="1" x="6270"/>
        <item m="1" x="6225"/>
        <item m="1" x="6196"/>
        <item m="1" x="6226"/>
        <item m="1" x="6368"/>
        <item m="1" x="6441"/>
        <item m="1" x="6271"/>
        <item m="1" x="6197"/>
        <item m="1" x="6442"/>
        <item m="1" x="6005"/>
        <item m="1" x="6467"/>
        <item m="1" x="6625"/>
        <item m="1" x="6725"/>
        <item m="1" x="6468"/>
        <item m="1" x="6469"/>
        <item m="1" x="6897"/>
        <item m="1" x="6790"/>
        <item m="1" x="5715"/>
        <item m="1" x="6726"/>
        <item m="1" x="6727"/>
        <item m="1" x="6898"/>
        <item m="1" x="6837"/>
        <item m="1" x="6737"/>
        <item m="1" x="6738"/>
        <item m="1" x="6870"/>
        <item m="1" x="6739"/>
        <item m="1" x="6740"/>
        <item m="1" x="6856"/>
        <item m="1" x="6741"/>
        <item m="1" x="6857"/>
        <item m="1" x="6742"/>
        <item m="1" x="6858"/>
        <item m="1" x="6743"/>
        <item m="1" x="6744"/>
        <item m="1" x="6728"/>
        <item m="1" x="6648"/>
        <item m="1" x="6729"/>
        <item m="1" x="6730"/>
        <item m="1" x="6731"/>
        <item m="1" x="6649"/>
        <item m="1" x="6732"/>
        <item m="1" x="6733"/>
        <item m="1" x="6817"/>
        <item m="1" x="6818"/>
        <item m="1" x="6734"/>
        <item m="1" x="6735"/>
        <item m="1" x="6736"/>
        <item m="1" x="6819"/>
        <item m="1" x="6745"/>
        <item m="1" x="6471"/>
        <item m="1" x="6747"/>
        <item m="1" x="6748"/>
        <item m="1" x="6749"/>
        <item m="1" x="6750"/>
        <item m="1" x="6838"/>
        <item m="1" x="6751"/>
        <item m="1" x="6752"/>
        <item m="1" x="6753"/>
        <item m="1" x="6754"/>
        <item m="1" x="6755"/>
        <item m="1" x="6665"/>
        <item m="1" x="6821"/>
        <item m="1" x="6666"/>
        <item m="1" x="6667"/>
        <item m="1" x="6668"/>
        <item m="1" x="6822"/>
        <item m="1" x="6669"/>
        <item m="1" x="6756"/>
        <item m="1" x="6658"/>
        <item m="1" x="6757"/>
        <item m="1" x="6582"/>
        <item m="1" x="6758"/>
        <item m="1" x="6670"/>
        <item m="1" x="6823"/>
        <item m="1" x="6671"/>
        <item m="1" x="6583"/>
        <item m="1" x="6759"/>
        <item m="1" x="6657"/>
        <item m="1" x="6824"/>
        <item m="1" x="6672"/>
        <item m="1" x="6673"/>
        <item m="1" x="6584"/>
        <item m="1" x="6674"/>
        <item m="1" x="5847"/>
        <item m="1" x="6082"/>
        <item m="1" x="6820"/>
        <item m="1" x="6791"/>
        <item m="1" x="6792"/>
        <item m="1" x="6746"/>
        <item m="1" x="6760"/>
        <item m="1" x="6825"/>
        <item m="1" x="6826"/>
        <item m="1" x="6827"/>
        <item m="1" x="6828"/>
        <item m="1" x="6793"/>
        <item m="1" x="6761"/>
        <item m="1" x="6794"/>
        <item m="1" x="6762"/>
        <item m="1" x="6829"/>
        <item m="1" x="6470"/>
        <item m="1" x="6585"/>
        <item m="1" x="6472"/>
        <item m="1" x="6543"/>
        <item m="1" x="6544"/>
        <item m="1" x="6545"/>
        <item m="1" x="6546"/>
        <item m="1" x="6795"/>
        <item m="1" x="6474"/>
        <item m="1" x="6548"/>
        <item m="1" x="6475"/>
        <item m="1" x="6476"/>
        <item m="1" x="6477"/>
        <item m="1" x="6478"/>
        <item m="1" x="6586"/>
        <item m="1" x="6549"/>
        <item m="1" x="6479"/>
        <item m="1" x="6550"/>
        <item m="1" x="6480"/>
        <item m="1" x="6481"/>
        <item m="1" x="6551"/>
        <item m="1" x="6482"/>
        <item m="1" x="6483"/>
        <item m="1" x="6587"/>
        <item m="1" x="6588"/>
        <item m="1" x="6443"/>
        <item m="1" x="6484"/>
        <item m="1" x="6589"/>
        <item m="1" x="6552"/>
        <item m="1" x="6590"/>
        <item m="1" x="6485"/>
        <item m="1" x="6486"/>
        <item m="1" x="6487"/>
        <item m="1" x="6488"/>
        <item m="1" x="6444"/>
        <item m="1" x="6489"/>
        <item m="1" x="6490"/>
        <item m="1" x="6553"/>
        <item m="1" x="6591"/>
        <item m="1" x="6554"/>
        <item m="1" x="6555"/>
        <item m="1" x="6556"/>
        <item m="1" x="6557"/>
        <item m="1" x="6626"/>
        <item m="1" x="6558"/>
        <item m="1" x="6650"/>
        <item m="1" x="6651"/>
        <item m="1" x="6559"/>
        <item m="1" x="6560"/>
        <item m="1" x="6491"/>
        <item m="1" x="6561"/>
        <item m="1" x="6562"/>
        <item m="1" x="6492"/>
        <item m="1" x="6493"/>
        <item m="1" x="6494"/>
        <item m="1" x="6563"/>
        <item m="1" x="6675"/>
        <item m="1" x="6495"/>
        <item m="1" x="5848"/>
        <item m="1" x="6547"/>
        <item m="1" x="6592"/>
        <item m="1" x="6496"/>
        <item m="1" x="6497"/>
        <item m="1" x="6498"/>
        <item m="1" x="5849"/>
        <item m="1" x="5850"/>
        <item m="1" x="5851"/>
        <item m="1" x="6473"/>
        <item m="1" x="6499"/>
        <item m="1" x="6500"/>
        <item m="1" x="6501"/>
        <item m="1" x="6502"/>
        <item m="1" x="6503"/>
        <item m="1" x="5852"/>
        <item m="1" x="6203"/>
        <item m="1" x="6283"/>
        <item m="1" x="6394"/>
        <item m="1" x="6620"/>
        <item m="1" x="6574"/>
        <item m="1" x="6621"/>
        <item m="1" x="6622"/>
        <item m="1" x="6575"/>
        <item m="1" x="6623"/>
        <item m="1" x="6520"/>
        <item m="1" x="6521"/>
        <item m="1" x="6522"/>
        <item m="1" x="6624"/>
        <item m="1" x="6523"/>
        <item m="1" x="6524"/>
        <item m="1" x="6525"/>
        <item m="1" x="6229"/>
        <item m="1" x="6396"/>
        <item m="1" x="6397"/>
        <item m="1" x="6842"/>
        <item m="1" x="6796"/>
        <item m="1" x="6844"/>
        <item m="1" x="6395"/>
        <item m="1" x="6375"/>
        <item m="1" x="5620"/>
        <item m="1" x="6700"/>
        <item m="1" x="6398"/>
        <item m="1" x="6387"/>
        <item m="1" x="6336"/>
        <item m="1" x="6337"/>
        <item m="1" x="6338"/>
        <item m="1" x="6339"/>
        <item m="1" x="6340"/>
        <item m="1" x="6388"/>
        <item m="1" x="6389"/>
        <item m="1" x="6341"/>
        <item m="1" x="6342"/>
        <item m="1" x="6343"/>
        <item m="1" x="6390"/>
        <item m="1" x="6344"/>
        <item m="1" x="6345"/>
        <item m="1" x="6299"/>
        <item m="1" x="6300"/>
        <item m="1" x="6301"/>
        <item m="1" x="6302"/>
        <item m="1" x="6303"/>
        <item m="1" x="6304"/>
        <item m="1" x="6305"/>
        <item m="1" x="6306"/>
        <item m="1" x="6346"/>
        <item m="1" x="6347"/>
        <item m="1" x="6307"/>
        <item m="1" x="6348"/>
        <item m="1" x="6349"/>
        <item m="1" x="6350"/>
        <item m="1" x="6351"/>
        <item m="1" x="6352"/>
        <item m="1" x="6308"/>
        <item m="1" x="6309"/>
        <item m="1" x="6310"/>
        <item m="1" x="6311"/>
        <item m="1" x="6233"/>
        <item m="1" x="6278"/>
        <item m="1" x="6279"/>
        <item m="1" x="6280"/>
        <item m="1" x="6281"/>
        <item m="1" x="6234"/>
        <item m="1" x="6843"/>
        <item m="1" x="6255"/>
        <item m="1" x="6292"/>
        <item m="1" x="6256"/>
        <item m="1" x="6293"/>
        <item m="1" x="5621"/>
        <item m="1" x="5716"/>
        <item m="1" x="6235"/>
        <item m="1" x="6236"/>
        <item m="1" x="6237"/>
        <item m="1" x="6312"/>
        <item m="1" x="6238"/>
        <item m="1" x="6376"/>
        <item m="1" x="6239"/>
        <item m="1" x="6313"/>
        <item m="1" x="6282"/>
        <item m="1" x="6377"/>
        <item m="1" x="6240"/>
        <item m="1" x="6314"/>
        <item m="1" x="6370"/>
        <item m="1" x="6315"/>
        <item m="1" x="6391"/>
        <item m="1" x="6316"/>
        <item m="1" x="6378"/>
        <item m="1" x="6317"/>
        <item m="1" x="6392"/>
        <item m="1" x="6318"/>
        <item m="1" x="6241"/>
        <item m="1" x="6371"/>
        <item m="1" x="6564"/>
        <item m="1" x="6372"/>
        <item m="1" x="6373"/>
        <item m="1" x="6242"/>
        <item m="1" x="6243"/>
        <item m="1" x="6374"/>
        <item m="1" x="6199"/>
        <item m="1" x="6244"/>
        <item m="1" x="6245"/>
        <item m="1" x="6319"/>
        <item m="1" x="6246"/>
        <item m="1" x="6247"/>
        <item m="1" x="6320"/>
        <item m="1" x="6321"/>
        <item m="1" x="6249"/>
        <item m="1" x="6322"/>
        <item m="1" x="6393"/>
        <item m="1" x="6323"/>
        <item m="1" x="6324"/>
        <item m="1" x="6250"/>
        <item m="1" x="6284"/>
        <item m="1" x="5622"/>
        <item m="1" x="5853"/>
        <item m="1" x="5854"/>
        <item m="1" x="6232"/>
        <item m="1" x="5619"/>
        <item m="1" x="6619"/>
        <item m="1" x="6526"/>
        <item m="1" x="6527"/>
        <item m="1" x="6528"/>
        <item m="1" x="6576"/>
        <item m="1" x="6577"/>
        <item m="1" x="6578"/>
        <item m="1" x="6579"/>
        <item m="1" x="6580"/>
        <item m="1" x="6581"/>
        <item m="1" x="6248"/>
        <item m="1" x="6251"/>
        <item m="1" x="6252"/>
        <item m="1" x="6273"/>
        <item m="1" x="6274"/>
        <item m="1" x="6230"/>
        <item m="1" x="6275"/>
        <item m="1" x="6369"/>
        <item m="1" x="6231"/>
        <item m="1" x="6276"/>
        <item m="1" x="6277"/>
        <item m="1" x="6253"/>
        <item m="1" x="6724"/>
        <item m="1" x="6816"/>
        <item m="1" x="6685"/>
        <item m="1" x="6686"/>
        <item m="1" x="6687"/>
        <item m="1" x="6688"/>
        <item m="1" x="6689"/>
        <item m="1" x="6445"/>
        <item m="1" x="6690"/>
        <item m="1" x="6325"/>
        <item m="1" x="6627"/>
        <item m="1" x="6628"/>
        <item m="1" x="6691"/>
        <item m="1" x="6692"/>
        <item m="1" x="6693"/>
        <item m="1" x="6694"/>
        <item m="1" x="6695"/>
        <item m="1" x="6696"/>
        <item m="1" x="6593"/>
        <item m="1" x="6594"/>
        <item m="1" x="6595"/>
        <item m="1" x="6198"/>
        <item m="1" x="6166"/>
        <item m="1" x="6006"/>
        <item m="1" x="6083"/>
        <item m="1" x="6045"/>
        <item m="1" x="5809"/>
        <item m="1" x="6046"/>
        <item m="1" x="5810"/>
        <item m="1" x="6200"/>
        <item m="1" x="6201"/>
        <item m="1" x="6202"/>
        <item m="1" x="4712"/>
        <item m="1" x="6204"/>
        <item m="1" x="6205"/>
        <item m="1" x="6206"/>
        <item m="1" x="6207"/>
        <item m="1" x="6208"/>
        <item m="1" x="6209"/>
        <item m="1" x="6210"/>
        <item m="1" x="6285"/>
        <item m="1" x="6286"/>
        <item m="1" x="6287"/>
        <item m="1" x="6211"/>
        <item m="1" x="6212"/>
        <item m="1" x="6213"/>
        <item m="1" x="6254"/>
        <item m="1" x="6288"/>
        <item m="1" x="6289"/>
        <item m="1" x="6290"/>
        <item m="1" x="6047"/>
        <item m="1" x="6007"/>
        <item m="1" x="6136"/>
        <item m="1" x="6272"/>
        <item m="1" x="6227"/>
        <item m="1" x="629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6539"/>
        <item m="1" x="6540"/>
        <item m="1" x="6541"/>
        <item m="1" x="6542"/>
        <item m="1" x="5789"/>
        <item m="1" x="5695"/>
        <item m="1" x="5871"/>
        <item m="1" x="5696"/>
        <item m="1" x="5788"/>
        <item m="1" x="5855"/>
        <item m="1" x="5746"/>
        <item m="1" x="5623"/>
        <item m="1" x="5624"/>
        <item m="1" x="5697"/>
        <item m="1" x="5856"/>
        <item m="1" x="5717"/>
        <item m="1" x="5811"/>
        <item m="1" x="5812"/>
        <item m="1" x="5857"/>
        <item m="1" x="5625"/>
        <item m="1" x="5763"/>
        <item m="1" x="5813"/>
        <item m="1" x="5872"/>
        <item m="1" x="5814"/>
        <item m="1" x="5653"/>
        <item m="1" x="5718"/>
        <item m="1" x="5734"/>
        <item m="1" x="5790"/>
        <item m="1" x="5791"/>
        <item m="1" x="5815"/>
        <item m="1" x="5626"/>
        <item m="1" x="5627"/>
        <item m="1" x="5816"/>
        <item m="1" x="5747"/>
        <item m="1" x="5698"/>
        <item m="1" x="6362"/>
        <item m="1" x="6335"/>
        <item m="1" x="5748"/>
        <item m="1" x="5749"/>
        <item m="1" x="5858"/>
        <item m="1" x="5817"/>
        <item m="1" x="5628"/>
        <item m="1" x="5629"/>
        <item m="1" x="5630"/>
        <item m="1" x="5699"/>
        <item m="1" x="5818"/>
        <item m="1" x="5792"/>
        <item m="1" x="5948"/>
        <item m="1" x="5719"/>
        <item m="1" x="5819"/>
        <item m="1" x="5820"/>
        <item m="1" x="6008"/>
        <item m="1" x="5873"/>
        <item m="1" x="5949"/>
        <item m="1" x="5793"/>
        <item m="1" x="5735"/>
        <item m="1" x="5700"/>
        <item m="1" x="5874"/>
        <item m="1" x="5720"/>
        <item m="1" x="5821"/>
        <item m="1" x="5631"/>
        <item m="1" x="5859"/>
        <item m="1" x="5822"/>
        <item m="1" x="5654"/>
        <item m="1" x="5701"/>
        <item m="1" x="5655"/>
        <item m="1" x="5702"/>
        <item m="1" x="5774"/>
        <item m="1" x="5875"/>
        <item m="1" x="5794"/>
        <item m="1" x="5837"/>
        <item m="1" x="6228"/>
        <item m="1" x="6137"/>
        <item m="1" x="5703"/>
        <item m="1" x="5838"/>
        <item m="1" x="5632"/>
        <item m="1" x="5656"/>
        <item m="1" x="5950"/>
        <item m="1" x="6138"/>
        <item m="1" x="5657"/>
        <item m="1" x="5775"/>
        <item m="1" x="5658"/>
        <item m="1" x="5633"/>
        <item m="1" x="5721"/>
        <item m="1" x="5764"/>
        <item m="1" x="5659"/>
        <item m="1" x="5860"/>
        <item m="1" x="5704"/>
        <item m="1" x="5722"/>
        <item m="1" x="5634"/>
        <item m="1" x="5840"/>
        <item m="1" x="5876"/>
        <item m="1" x="5736"/>
        <item m="1" x="5823"/>
        <item m="1" x="5635"/>
        <item m="1" x="5565"/>
        <item m="1" x="5765"/>
        <item m="1" x="5951"/>
        <item m="1" x="5776"/>
        <item m="1" x="5952"/>
        <item m="1" x="5861"/>
        <item m="1" x="5953"/>
        <item m="1" x="5954"/>
        <item m="1" x="5842"/>
        <item m="1" x="5955"/>
        <item m="1" x="5956"/>
        <item m="1" x="5957"/>
        <item m="1" x="5862"/>
        <item m="1" x="5750"/>
        <item m="1" x="5705"/>
        <item m="1" x="5877"/>
        <item m="1" x="5878"/>
        <item m="1" x="5751"/>
        <item m="1" x="5879"/>
        <item m="1" x="5737"/>
        <item m="1" x="5752"/>
        <item m="1" x="5880"/>
        <item m="1" x="5706"/>
        <item m="1" x="5958"/>
        <item m="1" x="5959"/>
        <item m="1" x="5843"/>
        <item m="1" x="5738"/>
        <item m="1" x="5777"/>
        <item m="1" x="6048"/>
        <item m="1" x="5863"/>
        <item m="1" x="5881"/>
        <item m="1" x="6652"/>
        <item m="1" x="5882"/>
        <item m="1" x="5330"/>
        <item m="1" x="5724"/>
        <item m="1" x="5979"/>
        <item m="1" x="6089"/>
        <item m="1" x="6090"/>
        <item m="1" x="5980"/>
        <item m="1" x="6446"/>
        <item m="1" x="6091"/>
        <item m="1" x="6092"/>
        <item m="1" x="6093"/>
        <item m="1" x="6447"/>
        <item m="1" x="6094"/>
        <item m="1" x="6448"/>
        <item m="1" x="6095"/>
        <item m="1" x="5981"/>
        <item m="1" x="6449"/>
        <item m="1" x="5982"/>
        <item m="1" x="6150"/>
        <item m="1" x="5983"/>
        <item m="1" x="6168"/>
        <item m="1" x="6032"/>
        <item m="1" x="5984"/>
        <item m="1" x="6151"/>
        <item m="1" x="6152"/>
        <item m="1" x="5985"/>
        <item m="1" x="6153"/>
        <item m="1" x="6450"/>
        <item m="1" x="5986"/>
        <item m="1" x="5778"/>
        <item m="1" x="6033"/>
        <item m="1" x="5987"/>
        <item m="1" x="6451"/>
        <item m="1" x="6402"/>
        <item m="1" x="5988"/>
        <item m="1" x="6452"/>
        <item m="1" x="5989"/>
        <item m="1" x="5779"/>
        <item m="1" x="6081"/>
        <item m="1" x="6596"/>
        <item m="1" x="6453"/>
        <item m="1" x="5990"/>
        <item m="1" x="6597"/>
        <item m="1" x="6154"/>
        <item m="1" x="6155"/>
        <item m="1" x="6598"/>
        <item m="1" x="6454"/>
        <item m="1" x="5991"/>
        <item m="1" x="6599"/>
        <item m="1" x="6156"/>
        <item m="1" x="6455"/>
        <item m="1" x="6157"/>
        <item m="1" x="6600"/>
        <item m="1" x="6456"/>
        <item m="1" x="5992"/>
        <item m="1" x="6601"/>
        <item m="1" x="5993"/>
        <item m="1" x="5780"/>
        <item m="1" x="5994"/>
        <item m="1" x="6602"/>
        <item m="1" x="6457"/>
        <item m="1" x="6403"/>
        <item m="1" x="6603"/>
        <item m="1" x="6458"/>
        <item m="1" x="6404"/>
        <item m="1" x="5781"/>
        <item m="1" x="6405"/>
        <item m="1" x="6604"/>
        <item m="1" x="6459"/>
        <item m="1" x="5995"/>
        <item m="1" x="5782"/>
        <item m="1" x="6096"/>
        <item m="1" x="6139"/>
        <item m="1" x="5783"/>
        <item m="1" x="6097"/>
        <item m="1" x="6098"/>
        <item m="1" x="6140"/>
        <item m="1" x="6158"/>
        <item m="1" x="6099"/>
        <item m="1" x="6120"/>
        <item m="1" x="6169"/>
        <item m="1" x="6121"/>
        <item m="1" x="6141"/>
        <item m="1" x="6170"/>
        <item m="1" x="6124"/>
        <item m="1" x="6125"/>
        <item m="1" x="6109"/>
        <item m="1" x="6126"/>
        <item m="1" x="6127"/>
        <item m="1" x="6128"/>
        <item m="1" x="6399"/>
        <item m="1" x="6401"/>
        <item m="1" x="6129"/>
        <item m="1" x="6130"/>
        <item m="1" x="6131"/>
        <item m="1" x="6132"/>
        <item m="1" x="6133"/>
        <item m="1" x="6679"/>
        <item m="1" x="6167"/>
        <item m="1" x="6647"/>
        <item m="1" x="5200"/>
        <item m="1" x="5725"/>
        <item m="1" x="5726"/>
        <item m="1" x="5883"/>
        <item m="1" x="6565"/>
        <item m="1" x="5960"/>
        <item m="1" x="5961"/>
        <item m="1" x="5962"/>
        <item m="1" x="5963"/>
        <item m="1" x="6017"/>
        <item m="1" x="6068"/>
        <item m="1" x="6049"/>
        <item m="1" x="5864"/>
        <item m="1" x="5964"/>
        <item m="1" x="5965"/>
        <item m="1" x="5884"/>
        <item m="1" x="6018"/>
        <item m="1" x="5966"/>
        <item m="1" x="6019"/>
        <item m="1" x="6069"/>
        <item m="1" x="5967"/>
        <item m="1" x="5968"/>
        <item m="1" x="6070"/>
        <item m="1" x="6071"/>
        <item m="1" x="6072"/>
        <item m="1" x="5969"/>
        <item m="1" x="6073"/>
        <item m="1" x="6074"/>
        <item m="1" x="6050"/>
        <item m="1" x="5885"/>
        <item m="1" x="5886"/>
        <item m="1" x="5970"/>
        <item m="1" x="5971"/>
        <item m="1" x="6051"/>
        <item m="1" x="5887"/>
        <item m="1" x="5972"/>
        <item m="1" x="6075"/>
        <item m="1" x="6020"/>
        <item m="1" x="5973"/>
        <item m="1" x="6052"/>
        <item m="1" x="6111"/>
        <item m="1" x="6084"/>
        <item m="1" x="6053"/>
        <item m="1" x="6054"/>
        <item m="1" x="6021"/>
        <item m="1" x="6022"/>
        <item m="1" x="6076"/>
        <item m="1" x="6112"/>
        <item m="1" x="6023"/>
        <item m="1" x="5888"/>
        <item m="1" x="6024"/>
        <item m="1" x="5974"/>
        <item m="1" x="5975"/>
        <item m="1" x="6113"/>
        <item m="1" x="6085"/>
        <item m="1" x="5889"/>
        <item m="1" x="6114"/>
        <item m="1" x="5976"/>
        <item m="1" x="5977"/>
        <item m="1" x="5978"/>
        <item m="1" x="5890"/>
        <item m="1" x="5891"/>
        <item m="1" x="6115"/>
        <item m="1" x="6086"/>
        <item m="1" x="5892"/>
        <item m="1" x="5893"/>
        <item m="1" x="6087"/>
        <item m="1" x="6025"/>
        <item m="1" x="6100"/>
        <item m="1" x="6077"/>
        <item m="1" x="6055"/>
        <item m="1" x="6026"/>
        <item m="1" x="6027"/>
        <item m="1" x="6056"/>
        <item m="1" x="6057"/>
        <item m="1" x="6101"/>
        <item m="1" x="6142"/>
        <item m="1" x="6143"/>
        <item m="1" x="6144"/>
        <item m="1" x="6145"/>
        <item m="1" x="6102"/>
        <item m="1" x="6146"/>
        <item m="1" x="6103"/>
        <item m="1" x="6171"/>
        <item m="1" x="6122"/>
        <item m="1" x="6159"/>
        <item m="1" x="6104"/>
        <item m="1" x="6105"/>
        <item m="1" x="5297"/>
        <item m="1" x="5894"/>
        <item m="1" x="6291"/>
        <item m="1" x="5923"/>
        <item m="1" x="6379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6034"/>
        <item m="1" x="6035"/>
        <item m="1" x="6036"/>
        <item m="1" x="6037"/>
        <item m="1" x="6038"/>
        <item m="1" x="6039"/>
        <item m="1" x="5939"/>
        <item m="1" x="5940"/>
        <item m="1" x="6040"/>
        <item m="1" x="6134"/>
        <item m="1" x="6028"/>
        <item m="1" x="6029"/>
        <item m="1" x="5895"/>
        <item m="1" x="5896"/>
        <item m="1" x="5897"/>
        <item m="1" x="5898"/>
        <item m="1" x="5899"/>
        <item m="1" x="5900"/>
        <item m="1" x="5901"/>
        <item m="1" x="5902"/>
        <item m="1" x="5904"/>
        <item m="1" x="6160"/>
        <item m="1" x="6041"/>
        <item m="1" x="5866"/>
        <item m="1" x="5867"/>
        <item m="1" x="5868"/>
        <item m="1" x="5996"/>
        <item m="1" x="6064"/>
        <item m="1" x="6106"/>
        <item m="1" x="6107"/>
        <item m="1" x="6380"/>
        <item m="1" x="5566"/>
        <item m="1" x="6067"/>
        <item m="1" x="5903"/>
        <item m="1" x="5865"/>
        <item m="1" x="6108"/>
        <item m="1" x="5869"/>
        <item m="1" x="5806"/>
        <item m="1" x="5807"/>
        <item m="1" x="5808"/>
        <item m="1" x="5567"/>
        <item m="1" x="5568"/>
        <item m="1" x="5569"/>
        <item m="1" x="5570"/>
        <item m="1" x="5463"/>
        <item m="1" x="5636"/>
        <item m="1" x="5491"/>
        <item m="1" x="5544"/>
        <item m="1" x="5571"/>
        <item m="1" x="5753"/>
        <item m="1" x="5572"/>
        <item m="1" x="5407"/>
        <item m="1" x="5559"/>
        <item m="1" x="5637"/>
        <item m="1" x="5573"/>
        <item m="1" x="5574"/>
        <item m="1" x="5575"/>
        <item m="1" x="5576"/>
        <item m="1" x="5577"/>
        <item m="1" x="5560"/>
        <item m="1" x="5578"/>
        <item m="1" x="5579"/>
        <item m="1" x="5580"/>
        <item m="1" x="5326"/>
        <item m="1" x="5581"/>
        <item m="1" x="5582"/>
        <item m="1" x="5547"/>
        <item m="1" x="5583"/>
        <item m="1" x="5638"/>
        <item m="1" x="5548"/>
        <item m="1" x="5584"/>
        <item m="1" x="5585"/>
        <item m="1" x="5408"/>
        <item m="1" x="5586"/>
        <item m="1" x="5587"/>
        <item m="1" x="5561"/>
        <item m="1" x="5588"/>
        <item m="1" x="6009"/>
        <item m="1" x="5589"/>
        <item m="1" x="5590"/>
        <item m="1" x="5591"/>
        <item m="1" x="5592"/>
        <item m="1" x="5593"/>
        <item m="1" x="5549"/>
        <item m="1" x="5594"/>
        <item m="1" x="5595"/>
        <item m="1" x="5639"/>
        <item m="1" x="5550"/>
        <item m="1" x="5640"/>
        <item m="1" x="5327"/>
        <item m="1" x="5596"/>
        <item m="1" x="5597"/>
        <item m="1" x="5524"/>
        <item m="1" x="5598"/>
        <item m="1" x="5599"/>
        <item m="1" x="5409"/>
        <item m="1" x="5525"/>
        <item m="1" x="5600"/>
        <item m="1" x="5551"/>
        <item m="1" x="5601"/>
        <item m="1" x="6066"/>
        <item m="1" x="5641"/>
        <item m="1" x="5602"/>
        <item m="1" x="5552"/>
        <item m="1" x="5492"/>
        <item m="1" x="5603"/>
        <item m="1" x="5604"/>
        <item m="1" x="5766"/>
        <item m="1" x="5642"/>
        <item m="1" x="5605"/>
        <item m="1" x="5464"/>
        <item m="1" x="5739"/>
        <item m="1" x="5526"/>
        <item m="1" x="5606"/>
        <item m="1" x="5607"/>
        <item m="1" x="5527"/>
        <item m="1" x="5608"/>
        <item m="1" x="5528"/>
        <item m="1" x="5553"/>
        <item m="1" x="5643"/>
        <item m="1" x="5609"/>
        <item m="1" x="5351"/>
        <item m="1" x="5352"/>
        <item m="1" x="5529"/>
        <item m="1" x="5554"/>
        <item m="1" x="5555"/>
        <item m="1" x="5610"/>
        <item m="1" x="5556"/>
        <item m="1" x="5530"/>
        <item m="1" x="5410"/>
        <item m="1" x="5411"/>
        <item m="1" x="5611"/>
        <item m="1" x="5353"/>
        <item m="1" x="5375"/>
        <item m="1" x="5612"/>
        <item m="1" x="5376"/>
        <item m="1" x="5412"/>
        <item m="1" x="5557"/>
        <item m="1" x="5644"/>
        <item m="1" x="5545"/>
        <item m="1" x="5613"/>
        <item m="1" x="5285"/>
        <item m="1" x="5614"/>
        <item m="1" x="5413"/>
        <item m="1" x="5615"/>
        <item m="1" x="5558"/>
        <item m="1" x="5616"/>
        <item m="1" x="5354"/>
        <item m="1" x="5617"/>
        <item m="1" x="5905"/>
        <item m="1" x="5906"/>
        <item m="1" x="6030"/>
        <item m="1" x="6058"/>
        <item m="1" x="5907"/>
        <item m="1" x="5908"/>
        <item m="1" x="6059"/>
        <item m="1" x="6060"/>
        <item m="1" x="5909"/>
        <item m="1" x="6061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6031"/>
        <item m="1" x="5921"/>
        <item m="1" x="5922"/>
        <item m="1" x="6062"/>
        <item m="1" x="6078"/>
        <item m="1" x="6063"/>
        <item m="1" x="6079"/>
        <item m="1" x="6117"/>
        <item m="1" x="6118"/>
        <item m="1" x="6080"/>
        <item m="1" x="5941"/>
        <item m="1" x="5762"/>
        <item m="1" x="6400"/>
        <item m="1" x="6116"/>
        <item m="1" x="5796"/>
        <item m="1" x="6119"/>
        <item m="1" x="5662"/>
        <item m="1" x="5663"/>
        <item m="1" x="5664"/>
        <item m="1" x="6123"/>
        <item m="1" x="5212"/>
        <item m="1" x="5286"/>
        <item m="1" x="5665"/>
        <item m="1" x="6172"/>
        <item m="1" x="5825"/>
        <item m="1" x="5744"/>
        <item m="1" x="5784"/>
        <item m="1" x="5287"/>
        <item m="1" x="5826"/>
        <item m="1" x="5688"/>
        <item m="1" x="5689"/>
        <item m="1" x="5690"/>
        <item m="1" x="5288"/>
        <item m="1" x="6135"/>
        <item m="1" x="5692"/>
        <item m="1" x="5340"/>
        <item m="1" x="5443"/>
        <item m="1" x="5827"/>
        <item m="1" x="5841"/>
        <item m="1" x="5828"/>
        <item m="1" x="5829"/>
        <item m="1" x="5830"/>
        <item m="1" x="5831"/>
        <item m="1" x="5618"/>
        <item m="1" x="5785"/>
        <item m="1" x="5832"/>
        <item m="1" x="5833"/>
        <item m="1" x="5693"/>
        <item m="1" x="5666"/>
        <item m="1" x="5667"/>
        <item m="1" x="5645"/>
        <item m="1" x="5646"/>
        <item m="1" x="5647"/>
        <item m="1" x="5648"/>
        <item m="1" x="5668"/>
        <item m="1" x="5649"/>
        <item m="1" x="5669"/>
        <item m="1" x="5670"/>
        <item m="1" x="5650"/>
        <item m="1" x="5671"/>
        <item m="1" x="5797"/>
        <item m="1" x="5672"/>
        <item m="1" x="5673"/>
        <item m="1" x="5674"/>
        <item m="1" x="5675"/>
        <item m="1" x="5676"/>
        <item m="1" x="5677"/>
        <item m="1" x="5651"/>
        <item m="1" x="5678"/>
        <item m="1" x="5679"/>
        <item m="1" x="5680"/>
        <item m="1" x="5681"/>
        <item m="1" x="5652"/>
        <item m="1" x="5694"/>
        <item m="1" x="5839"/>
        <item m="1" x="5355"/>
        <item m="1" x="5389"/>
        <item m="1" x="5444"/>
        <item m="1" x="5120"/>
        <item m="1" x="5257"/>
        <item m="1" x="6088"/>
        <item m="1" x="5682"/>
        <item m="1" x="5685"/>
        <item m="1" x="5740"/>
        <item m="1" x="5341"/>
        <item m="1" x="5824"/>
        <item m="1" x="5708"/>
        <item m="1" x="5727"/>
        <item m="1" x="5798"/>
        <item m="1" x="5767"/>
        <item m="1" x="5799"/>
        <item m="1" x="5683"/>
        <item m="1" x="5709"/>
        <item m="1" x="5728"/>
        <item m="1" x="5684"/>
        <item m="1" x="5755"/>
        <item m="1" x="5710"/>
        <item m="1" x="5729"/>
        <item m="1" x="5741"/>
        <item m="1" x="5711"/>
        <item m="1" x="5730"/>
        <item m="1" x="5756"/>
        <item m="1" x="5757"/>
        <item m="1" x="5742"/>
        <item m="1" x="5800"/>
        <item m="1" x="5712"/>
        <item m="1" x="5758"/>
        <item m="1" x="5686"/>
        <item m="1" x="5768"/>
        <item m="1" x="5713"/>
        <item m="1" x="5687"/>
        <item m="1" x="5801"/>
        <item m="1" x="5769"/>
        <item m="1" x="5770"/>
        <item m="1" x="5802"/>
        <item m="1" x="5771"/>
        <item m="1" x="6147"/>
        <item m="1" x="5691"/>
        <item m="1" x="5414"/>
        <item m="1" x="5356"/>
        <item m="1" x="5415"/>
        <item m="1" x="5465"/>
        <item m="1" x="5121"/>
        <item m="1" x="5416"/>
        <item m="1" x="5377"/>
        <item m="1" x="5378"/>
        <item m="1" x="5390"/>
        <item m="1" x="5445"/>
        <item m="1" x="5122"/>
        <item m="1" x="5258"/>
        <item m="1" x="5096"/>
        <item m="1" x="5391"/>
        <item m="1" x="5379"/>
        <item m="1" x="5417"/>
        <item m="1" x="5466"/>
        <item m="1" x="5357"/>
        <item m="1" x="5259"/>
        <item m="1" x="5123"/>
        <item m="1" x="5418"/>
        <item m="1" x="5358"/>
        <item m="1" x="5467"/>
        <item m="1" x="5342"/>
        <item m="1" x="5359"/>
        <item m="1" x="5360"/>
        <item m="1" x="5419"/>
        <item m="1" x="5311"/>
        <item m="1" x="5420"/>
        <item m="1" x="5097"/>
        <item m="1" x="5260"/>
        <item m="1" x="5392"/>
        <item m="1" x="5531"/>
        <item m="1" x="5446"/>
        <item m="1" x="5421"/>
        <item m="1" x="5393"/>
        <item m="1" x="5468"/>
        <item m="1" x="5361"/>
        <item m="1" x="5394"/>
        <item m="1" x="5289"/>
        <item m="1" x="5469"/>
        <item m="1" x="5261"/>
        <item m="1" x="5422"/>
        <item m="1" x="5362"/>
        <item m="1" x="5423"/>
        <item m="1" x="5395"/>
        <item m="1" x="5470"/>
        <item m="1" x="5424"/>
        <item m="1" x="5471"/>
        <item m="1" x="5447"/>
        <item m="1" x="5098"/>
        <item m="1" x="5213"/>
        <item m="1" x="5396"/>
        <item m="1" x="5448"/>
        <item m="1" x="5472"/>
        <item m="1" x="5397"/>
        <item m="1" x="5124"/>
        <item m="1" x="5214"/>
        <item m="1" x="5125"/>
        <item m="1" x="5473"/>
        <item m="1" x="5363"/>
        <item m="1" x="5364"/>
        <item m="1" x="5215"/>
        <item m="1" x="5099"/>
        <item m="1" x="5343"/>
        <item m="1" x="5188"/>
        <item m="1" x="5474"/>
        <item m="1" x="5425"/>
        <item m="1" x="5475"/>
        <item m="1" x="5493"/>
        <item m="1" x="5494"/>
        <item m="1" x="5100"/>
        <item m="1" x="5101"/>
        <item m="1" x="5126"/>
        <item m="1" x="5365"/>
        <item m="1" x="5350"/>
        <item m="1" x="5290"/>
        <item m="1" x="5398"/>
        <item m="1" x="5291"/>
        <item m="1" x="5349"/>
        <item m="1" x="5366"/>
        <item m="1" x="5127"/>
        <item m="1" x="5262"/>
        <item m="1" x="5367"/>
        <item m="1" x="5216"/>
        <item m="1" x="5426"/>
        <item m="1" x="5427"/>
        <item m="1" x="5428"/>
        <item m="1" x="5399"/>
        <item m="1" x="5400"/>
        <item m="1" x="5401"/>
        <item m="1" x="5402"/>
        <item m="1" x="5403"/>
        <item m="1" x="5368"/>
        <item m="1" x="5292"/>
        <item m="1" x="5369"/>
        <item m="1" x="5370"/>
        <item m="1" x="5371"/>
        <item m="1" x="5102"/>
        <item m="1" x="5217"/>
        <item m="1" x="5372"/>
        <item m="1" x="5373"/>
        <item m="1" x="5103"/>
        <item m="1" x="5218"/>
        <item m="1" x="5189"/>
        <item m="1" x="5128"/>
        <item m="1" x="5219"/>
        <item m="1" x="5312"/>
        <item m="1" x="5220"/>
        <item m="1" x="5429"/>
        <item m="1" x="5293"/>
        <item m="1" x="5129"/>
        <item m="1" x="5221"/>
        <item m="1" x="5374"/>
        <item m="1" x="5190"/>
        <item m="1" x="5222"/>
        <item m="1" x="5223"/>
        <item m="1" x="5380"/>
        <item m="1" x="5430"/>
        <item m="1" x="5328"/>
        <item m="1" x="5431"/>
        <item m="1" x="5476"/>
        <item m="1" x="5432"/>
        <item m="1" x="5294"/>
        <item m="1" x="5546"/>
        <item m="1" x="5532"/>
        <item m="1" x="5433"/>
        <item m="1" x="5313"/>
        <item m="1" x="5434"/>
        <item m="1" x="5295"/>
        <item m="1" x="5435"/>
        <item m="1" x="5477"/>
        <item m="1" x="5329"/>
        <item m="1" x="5404"/>
        <item m="1" x="5296"/>
        <item m="1" x="5731"/>
        <item m="1" x="5759"/>
        <item m="1" x="5760"/>
        <item m="1" x="5761"/>
        <item m="1" x="5743"/>
        <item m="1" x="5803"/>
        <item m="1" x="5804"/>
        <item m="1" x="5714"/>
        <item m="1" x="5805"/>
        <item m="1" x="5772"/>
        <item m="1" x="5732"/>
        <item m="1" x="5733"/>
        <item m="1" x="5381"/>
        <item m="1" x="5495"/>
        <item m="1" x="5436"/>
        <item m="1" x="5786"/>
        <item m="1" x="5834"/>
        <item m="1" x="5787"/>
        <item m="1" x="5835"/>
        <item m="1" x="5836"/>
        <item m="1" x="5773"/>
        <item m="1" x="5522"/>
        <item m="1" x="5458"/>
        <item m="1" x="5505"/>
        <item m="1" x="5459"/>
        <item m="1" x="5460"/>
        <item m="1" x="5461"/>
        <item m="1" x="6148"/>
        <item m="1" x="5523"/>
        <item m="1" x="5462"/>
        <item m="1" x="6010"/>
        <item m="1" x="5104"/>
        <item m="1" x="5224"/>
        <item m="1" x="6011"/>
        <item m="1" x="6012"/>
        <item m="1" x="6013"/>
        <item m="1" x="6014"/>
        <item m="1" x="6015"/>
        <item m="1" x="4894"/>
        <item m="1" x="5069"/>
        <item m="1" x="5478"/>
        <item m="1" x="5479"/>
        <item m="1" x="5496"/>
        <item m="1" x="5534"/>
        <item m="1" x="5535"/>
        <item m="1" x="5450"/>
        <item m="1" x="5451"/>
        <item m="1" x="5452"/>
        <item m="1" x="5533"/>
        <item m="1" x="4937"/>
        <item m="1" x="5070"/>
        <item m="1" x="5660"/>
        <item m="1" x="5506"/>
        <item m="1" x="5507"/>
        <item m="1" x="5498"/>
        <item m="1" x="5536"/>
        <item m="1" x="5508"/>
        <item m="1" x="5509"/>
        <item m="1" x="5382"/>
        <item m="1" x="5453"/>
        <item m="1" x="5454"/>
        <item m="1" x="5455"/>
        <item m="1" x="5510"/>
        <item m="1" x="5511"/>
        <item m="1" x="5512"/>
        <item m="1" x="5513"/>
        <item m="1" x="5514"/>
        <item m="1" x="5537"/>
        <item m="1" x="5515"/>
        <item m="1" x="5516"/>
        <item m="1" x="5517"/>
        <item m="1" x="5518"/>
        <item m="1" x="5519"/>
        <item m="1" x="5538"/>
        <item m="1" x="5539"/>
        <item m="1" x="6065"/>
        <item m="1" x="5497"/>
        <item m="1" x="5520"/>
        <item m="1" x="5540"/>
        <item m="1" x="5456"/>
        <item m="1" x="5480"/>
        <item m="1" x="5481"/>
        <item m="1" x="5457"/>
        <item m="1" x="5482"/>
        <item m="1" x="5225"/>
        <item m="1" x="5438"/>
        <item m="1" x="5439"/>
        <item m="1" x="5071"/>
        <item m="1" x="4895"/>
        <item m="1" x="6016"/>
        <item m="1" x="5405"/>
        <item m="1" x="5406"/>
        <item m="1" x="5440"/>
        <item m="1" x="5441"/>
        <item m="1" x="5442"/>
        <item m="1" x="5870"/>
        <item m="1" x="5384"/>
        <item m="1" x="5385"/>
        <item m="1" x="5386"/>
        <item m="1" x="5387"/>
        <item m="1" x="5072"/>
        <item m="1" x="5130"/>
        <item m="1" x="5105"/>
        <item m="1" x="5106"/>
        <item m="1" x="5035"/>
        <item m="1" x="5036"/>
        <item m="1" x="4896"/>
        <item m="1" x="5107"/>
        <item m="1" x="5226"/>
        <item m="1" x="5073"/>
        <item m="1" x="5012"/>
        <item m="1" x="5227"/>
        <item m="1" x="5131"/>
        <item m="1" x="5013"/>
        <item m="1" x="5108"/>
        <item m="1" x="5037"/>
        <item m="1" x="5109"/>
        <item m="1" x="5314"/>
        <item m="1" x="4990"/>
        <item m="1" x="4938"/>
        <item m="1" x="5074"/>
        <item m="1" x="4897"/>
        <item m="1" x="5014"/>
        <item m="1" x="4991"/>
        <item m="1" x="4992"/>
        <item m="1" x="5132"/>
        <item m="1" x="5133"/>
        <item m="1" x="5075"/>
        <item m="1" x="4939"/>
        <item m="1" x="4898"/>
        <item m="1" x="5315"/>
        <item m="1" x="5076"/>
        <item m="1" x="4899"/>
        <item m="1" x="5134"/>
        <item m="1" x="5015"/>
        <item m="1" x="5077"/>
        <item m="1" x="5110"/>
        <item m="1" x="5135"/>
        <item m="1" x="5016"/>
        <item m="1" x="5228"/>
        <item m="1" x="5136"/>
        <item m="1" x="5137"/>
        <item m="1" x="5078"/>
        <item m="1" x="5038"/>
        <item m="1" x="5138"/>
        <item m="1" x="4846"/>
        <item m="1" x="5229"/>
        <item m="1" x="5079"/>
        <item m="1" x="4993"/>
        <item m="1" x="5111"/>
        <item m="1" x="5112"/>
        <item m="1" x="4940"/>
        <item m="1" x="5191"/>
        <item m="1" x="5230"/>
        <item m="1" x="5263"/>
        <item m="1" x="5139"/>
        <item m="1" x="5140"/>
        <item m="1" x="5141"/>
        <item m="1" x="4900"/>
        <item m="1" x="5113"/>
        <item m="1" x="5080"/>
        <item m="1" x="5114"/>
        <item m="1" x="5192"/>
        <item m="1" x="5193"/>
        <item m="1" x="5024"/>
        <item m="1" x="5115"/>
        <item m="1" x="5194"/>
        <item m="1" x="5195"/>
        <item m="1" x="5039"/>
        <item m="1" x="5142"/>
        <item m="1" x="5143"/>
        <item m="1" x="5196"/>
        <item m="1" x="5231"/>
        <item m="1" x="5081"/>
        <item m="1" x="5040"/>
        <item m="1" x="4941"/>
        <item m="1" x="4994"/>
        <item m="1" x="5144"/>
        <item m="1" x="5145"/>
        <item m="1" x="5090"/>
        <item m="1" x="5091"/>
        <item m="1" x="5197"/>
        <item m="1" x="5092"/>
        <item m="1" x="5198"/>
        <item m="1" x="5093"/>
        <item m="1" x="5094"/>
        <item m="1" x="5116"/>
        <item m="1" x="5117"/>
        <item m="1" x="5118"/>
        <item m="1" x="5082"/>
        <item m="1" x="5083"/>
        <item m="1" x="5084"/>
        <item m="1" x="5085"/>
        <item m="1" x="5086"/>
        <item m="1" x="5087"/>
        <item m="1" x="5146"/>
        <item m="1" x="5147"/>
        <item m="1" x="5148"/>
        <item m="1" x="5149"/>
        <item m="1" x="5150"/>
        <item m="1" x="5151"/>
        <item m="1" x="5152"/>
        <item m="1" x="5153"/>
        <item m="1" x="5232"/>
        <item m="1" x="5119"/>
        <item m="1" x="5154"/>
        <item m="1" x="4995"/>
        <item m="1" x="5199"/>
        <item m="1" x="5155"/>
        <item m="1" x="4901"/>
        <item m="1" x="5156"/>
        <item m="1" x="5017"/>
        <item m="1" x="4942"/>
        <item m="1" x="4943"/>
        <item m="1" x="5437"/>
        <item m="1" x="5745"/>
        <item m="1" x="5309"/>
        <item m="1" x="5323"/>
        <item m="1" x="5310"/>
        <item m="1" x="5504"/>
        <item m="1" x="5244"/>
        <item m="1" x="5245"/>
        <item m="1" x="5303"/>
        <item m="1" x="5041"/>
        <item m="1" x="5331"/>
        <item m="1" x="5483"/>
        <item m="1" x="5383"/>
        <item m="1" x="5499"/>
        <item m="1" x="5500"/>
        <item m="1" x="5501"/>
        <item m="1" x="5484"/>
        <item m="1" x="5485"/>
        <item m="1" x="5502"/>
        <item m="1" x="5503"/>
        <item m="1" x="5486"/>
        <item m="1" x="5487"/>
        <item m="1" x="5488"/>
        <item m="1" x="5264"/>
        <item m="1" x="5298"/>
        <item m="1" x="5265"/>
        <item m="1" x="5201"/>
        <item m="1" x="5202"/>
        <item m="1" x="5203"/>
        <item m="1" x="5299"/>
        <item m="1" x="5204"/>
        <item m="1" x="5266"/>
        <item m="1" x="5267"/>
        <item m="1" x="5268"/>
        <item m="1" x="5269"/>
        <item m="1" x="5205"/>
        <item m="1" x="5236"/>
        <item m="1" x="5237"/>
        <item m="1" x="5238"/>
        <item m="1" x="5239"/>
        <item m="1" x="5316"/>
        <item m="1" x="5206"/>
        <item m="1" x="5317"/>
        <item m="1" x="5318"/>
        <item m="1" x="5240"/>
        <item m="1" x="5300"/>
        <item m="1" x="5270"/>
        <item m="1" x="5241"/>
        <item m="1" x="5242"/>
        <item m="1" x="5207"/>
        <item m="1" x="5661"/>
        <item m="1" x="5723"/>
        <item m="1" x="5795"/>
        <item m="1" x="5243"/>
        <item m="1" x="5489"/>
        <item m="1" x="5562"/>
        <item m="1" x="5563"/>
        <item m="1" x="5345"/>
        <item m="1" x="5304"/>
        <item m="1" x="5388"/>
        <item m="1" x="5324"/>
        <item m="1" x="5325"/>
        <item m="1" x="4944"/>
        <item m="1" x="5754"/>
        <item m="1" x="5707"/>
        <item m="1" x="5490"/>
        <item m="1" x="5319"/>
        <item m="1" x="5305"/>
        <item m="1" x="5306"/>
        <item m="1" x="5274"/>
        <item m="1" x="5275"/>
        <item m="1" x="5541"/>
        <item m="1" x="5542"/>
        <item m="1" x="5543"/>
        <item m="1" x="5276"/>
        <item m="1" x="5277"/>
        <item m="1" x="5278"/>
        <item m="1" x="5279"/>
        <item m="1" x="5280"/>
        <item m="1" x="5284"/>
        <item m="1" x="5564"/>
        <item m="1" x="5209"/>
        <item m="1" x="5210"/>
        <item m="1" x="4785"/>
        <item m="1" x="4811"/>
        <item m="1" x="4812"/>
        <item m="1" x="4813"/>
        <item m="1" x="4902"/>
        <item m="1" x="5521"/>
        <item m="1" x="5246"/>
        <item m="1" x="5247"/>
        <item m="1" x="5208"/>
        <item m="1" x="5248"/>
        <item m="1" x="5249"/>
        <item m="1" x="5250"/>
        <item m="1" x="4786"/>
        <item m="1" x="4787"/>
        <item m="1" x="5271"/>
        <item m="1" x="5332"/>
        <item m="1" x="5333"/>
        <item m="1" x="5042"/>
        <item m="1" x="4788"/>
        <item m="1" x="4945"/>
        <item m="1" x="4946"/>
        <item m="1" x="4814"/>
        <item m="1" x="4947"/>
        <item m="1" x="4948"/>
        <item m="1" x="4949"/>
        <item m="1" x="4847"/>
        <item m="1" x="4950"/>
        <item m="1" x="4951"/>
        <item m="1" x="4903"/>
        <item m="1" x="4952"/>
        <item m="1" x="5043"/>
        <item m="1" x="4789"/>
        <item m="1" x="4904"/>
        <item m="1" x="4790"/>
        <item m="1" x="4815"/>
        <item m="1" x="4791"/>
        <item m="1" x="4953"/>
        <item m="1" x="4792"/>
        <item m="1" x="4848"/>
        <item m="1" x="4793"/>
        <item m="1" x="4905"/>
        <item m="1" x="5044"/>
        <item m="1" x="4849"/>
        <item m="1" x="4794"/>
        <item m="1" x="4954"/>
        <item m="1" x="4906"/>
        <item m="1" x="4850"/>
        <item m="1" x="4795"/>
        <item m="1" x="4816"/>
        <item m="1" x="4796"/>
        <item m="1" x="4851"/>
        <item m="1" x="4996"/>
        <item m="1" x="4797"/>
        <item m="1" x="4955"/>
        <item m="1" x="4907"/>
        <item m="1" x="4798"/>
        <item m="1" x="4852"/>
        <item m="1" x="4817"/>
        <item m="1" x="4956"/>
        <item m="1" x="4957"/>
        <item m="1" x="4799"/>
        <item m="1" x="4853"/>
        <item m="1" x="4854"/>
        <item m="1" x="4997"/>
        <item m="1" x="4800"/>
        <item m="1" x="5233"/>
        <item m="1" x="4818"/>
        <item m="1" x="4958"/>
        <item m="1" x="5045"/>
        <item m="1" x="4819"/>
        <item m="1" x="4908"/>
        <item m="1" x="4959"/>
        <item m="1" x="4855"/>
        <item m="1" x="4801"/>
        <item m="1" x="4909"/>
        <item m="1" x="4960"/>
        <item m="1" x="4961"/>
        <item m="1" x="4962"/>
        <item m="1" x="4820"/>
        <item m="1" x="4802"/>
        <item m="1" x="4998"/>
        <item m="1" x="4856"/>
        <item m="1" x="4910"/>
        <item m="1" x="4963"/>
        <item m="1" x="4857"/>
        <item m="1" x="4911"/>
        <item m="1" x="4999"/>
        <item m="1" x="5234"/>
        <item m="1" x="5235"/>
        <item m="1" x="4803"/>
        <item m="1" x="4821"/>
        <item m="1" x="4804"/>
        <item m="1" x="5000"/>
        <item m="1" x="4805"/>
        <item m="1" x="4806"/>
        <item m="1" x="4807"/>
        <item m="1" x="4822"/>
        <item m="1" x="4808"/>
        <item m="1" x="4823"/>
        <item m="1" x="4809"/>
        <item m="1" x="4824"/>
        <item m="1" x="4964"/>
        <item m="1" x="4858"/>
        <item m="1" x="4859"/>
        <item m="1" x="4860"/>
        <item m="1" x="4861"/>
        <item m="1" x="4825"/>
        <item m="1" x="4912"/>
        <item m="1" x="4862"/>
        <item m="1" x="4863"/>
        <item m="1" x="4826"/>
        <item m="1" x="4864"/>
        <item m="1" x="4827"/>
        <item m="1" x="4178"/>
        <item m="1" x="4865"/>
        <item m="1" x="4866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913"/>
        <item m="1" x="4876"/>
        <item m="1" x="4877"/>
        <item m="1" x="4878"/>
        <item m="1" x="4914"/>
        <item m="1" x="4915"/>
        <item m="1" x="4879"/>
        <item m="1" x="5088"/>
        <item m="1" x="4880"/>
        <item m="1" x="4828"/>
        <item m="1" x="4916"/>
        <item m="1" x="4881"/>
        <item m="1" x="4882"/>
        <item m="1" x="4917"/>
        <item m="1" x="4883"/>
        <item m="1" x="5046"/>
        <item m="1" x="5001"/>
        <item m="1" x="5047"/>
        <item m="1" x="4810"/>
        <item m="1" x="4918"/>
        <item m="1" x="5048"/>
        <item m="1" x="4884"/>
        <item m="1" x="4919"/>
        <item m="1" x="5002"/>
        <item m="1" x="4920"/>
        <item m="1" x="5003"/>
        <item m="1" x="5272"/>
        <item m="1" x="5301"/>
        <item m="1" x="5334"/>
        <item m="1" x="5335"/>
        <item m="1" x="5336"/>
        <item m="1" x="5337"/>
        <item m="1" x="5338"/>
        <item m="1" x="5273"/>
        <item m="1" x="5339"/>
        <item m="1" x="5320"/>
        <item m="1" x="5321"/>
        <item m="1" x="5344"/>
        <item m="1" x="5302"/>
        <item m="1" x="5211"/>
        <item m="1" x="4348"/>
        <item m="1" x="4617"/>
        <item m="1" x="4487"/>
        <item m="1" x="4516"/>
        <item m="1" x="4618"/>
        <item m="1" x="4488"/>
        <item m="1" x="4347"/>
        <item m="1" x="4423"/>
        <item m="1" x="5346"/>
        <item m="1" x="5004"/>
        <item m="1" x="5005"/>
        <item m="1" x="5281"/>
        <item m="1" x="5282"/>
        <item m="1" x="4593"/>
        <item m="1" x="4424"/>
        <item m="1" x="5322"/>
        <item m="1" x="5251"/>
        <item m="1" x="5252"/>
        <item m="1" x="5283"/>
        <item m="1" x="5307"/>
        <item m="1" x="4517"/>
        <item m="1" x="5449"/>
        <item m="1" x="5025"/>
        <item m="1" x="5050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4619"/>
        <item m="1" x="5176"/>
        <item m="1" x="5006"/>
        <item m="1" x="5347"/>
        <item m="1" x="5348"/>
        <item m="1" x="5008"/>
        <item m="1" x="5009"/>
        <item m="1" x="4559"/>
        <item m="1" x="5007"/>
        <item m="1" x="5066"/>
        <item m="1" x="5067"/>
        <item m="1" x="4594"/>
        <item m="1" x="4378"/>
        <item m="1" x="5068"/>
        <item m="1" x="5022"/>
        <item m="1" x="5011"/>
        <item m="1" x="5018"/>
        <item m="1" x="4965"/>
        <item m="1" x="5051"/>
        <item m="1" x="5177"/>
        <item m="1" x="5178"/>
        <item m="1" x="5026"/>
        <item m="1" x="5052"/>
        <item m="1" x="5053"/>
        <item m="1" x="5054"/>
        <item m="1" x="4560"/>
        <item m="1" x="4719"/>
        <item m="1" x="4561"/>
        <item m="1" x="4620"/>
        <item m="1" x="4562"/>
        <item m="1" x="4621"/>
        <item m="1" x="4699"/>
        <item m="1" x="4743"/>
        <item m="1" x="4651"/>
        <item m="1" x="4764"/>
        <item m="1" x="4652"/>
        <item m="1" x="4653"/>
        <item m="1" x="4518"/>
        <item m="1" x="4720"/>
        <item m="1" x="4519"/>
        <item m="1" x="4675"/>
        <item m="1" x="4622"/>
        <item m="1" x="4721"/>
        <item m="1" x="4781"/>
        <item m="1" x="4499"/>
        <item m="1" x="4514"/>
        <item m="1" x="4623"/>
        <item m="1" x="4765"/>
        <item m="1" x="4520"/>
        <item m="1" x="4766"/>
        <item m="1" x="4521"/>
        <item m="1" x="4440"/>
        <item m="1" x="4500"/>
        <item m="1" x="4529"/>
        <item m="1" x="4624"/>
        <item m="1" x="4744"/>
        <item m="1" x="4530"/>
        <item m="1" x="4595"/>
        <item m="1" x="4522"/>
        <item m="1" x="4745"/>
        <item m="1" x="4456"/>
        <item m="1" x="4379"/>
        <item m="1" x="4625"/>
        <item m="1" x="4767"/>
        <item m="1" x="4457"/>
        <item m="1" x="4563"/>
        <item m="1" x="4523"/>
        <item m="1" x="4746"/>
        <item m="1" x="4700"/>
        <item m="1" x="4722"/>
        <item m="1" x="4596"/>
        <item m="1" x="4597"/>
        <item m="1" x="4782"/>
        <item m="1" x="4598"/>
        <item m="1" x="4458"/>
        <item m="1" x="4564"/>
        <item m="1" x="4723"/>
        <item m="1" x="4747"/>
        <item m="1" x="4768"/>
        <item m="1" x="4599"/>
        <item m="1" x="4565"/>
        <item m="1" x="4654"/>
        <item m="1" x="4724"/>
        <item m="1" x="4725"/>
        <item m="1" x="4566"/>
        <item m="1" x="4626"/>
        <item m="1" x="4769"/>
        <item m="1" x="4627"/>
        <item m="1" x="4770"/>
        <item m="1" x="4701"/>
        <item m="1" x="4628"/>
        <item m="1" x="4531"/>
        <item m="1" x="4726"/>
        <item m="1" x="4629"/>
        <item m="1" x="4515"/>
        <item m="1" x="4630"/>
        <item m="1" x="4727"/>
        <item m="1" x="4567"/>
        <item m="1" x="4524"/>
        <item m="1" x="4655"/>
        <item m="1" x="4748"/>
        <item m="1" x="4568"/>
        <item m="1" x="4459"/>
        <item m="1" x="4600"/>
        <item m="1" x="4460"/>
        <item m="1" x="4601"/>
        <item m="1" x="4749"/>
        <item m="1" x="4532"/>
        <item m="1" x="4631"/>
        <item m="1" x="4569"/>
        <item m="1" x="4489"/>
        <item m="1" x="4570"/>
        <item m="1" x="4571"/>
        <item m="1" x="4676"/>
        <item m="1" x="4525"/>
        <item m="1" x="4602"/>
        <item m="1" x="4572"/>
        <item m="1" x="4490"/>
        <item m="1" x="4501"/>
        <item m="1" x="4526"/>
        <item m="1" x="4728"/>
        <item m="1" x="4576"/>
        <item m="1" x="4771"/>
        <item m="1" x="4603"/>
        <item m="1" x="4527"/>
        <item m="1" x="4772"/>
        <item m="1" x="4773"/>
        <item m="1" x="4783"/>
        <item m="1" x="4774"/>
        <item m="1" x="4775"/>
        <item m="1" x="4776"/>
        <item m="1" x="4777"/>
        <item m="1" x="4778"/>
        <item m="1" x="4784"/>
        <item m="1" x="4779"/>
        <item m="1" x="4702"/>
        <item m="1" x="4632"/>
        <item m="1" x="4604"/>
        <item m="1" x="4633"/>
        <item m="1" x="4605"/>
        <item m="1" x="4885"/>
        <item m="1" x="4886"/>
        <item m="1" x="4606"/>
        <item m="1" x="4703"/>
        <item m="1" x="4780"/>
        <item m="1" x="4607"/>
        <item m="1" x="4608"/>
        <item m="1" x="4573"/>
        <item m="1" x="4750"/>
        <item m="1" x="4528"/>
        <item m="1" x="4634"/>
        <item m="1" x="4751"/>
        <item m="1" x="4635"/>
        <item m="1" x="4609"/>
        <item m="1" x="4729"/>
        <item m="1" x="4610"/>
        <item m="1" x="4611"/>
        <item m="1" x="4636"/>
        <item m="1" x="4637"/>
        <item m="1" x="4638"/>
        <item m="1" x="4704"/>
        <item m="1" x="4656"/>
        <item m="1" x="4705"/>
        <item m="1" x="4574"/>
        <item m="1" x="4706"/>
        <item m="1" x="4533"/>
        <item m="1" x="4707"/>
        <item m="1" x="4575"/>
        <item m="1" x="5179"/>
        <item m="1" x="5027"/>
        <item m="1" x="5055"/>
        <item m="1" x="5028"/>
        <item m="1" x="5029"/>
        <item m="1" x="5180"/>
        <item m="1" x="5056"/>
        <item m="1" x="5181"/>
        <item m="1" x="5030"/>
        <item m="1" x="5057"/>
        <item m="1" x="5182"/>
        <item m="1" x="5019"/>
        <item m="1" x="4922"/>
        <item m="1" x="5183"/>
        <item m="1" x="5031"/>
        <item m="1" x="5020"/>
        <item m="1" x="5184"/>
        <item m="1" x="5032"/>
        <item m="1" x="5058"/>
        <item m="1" x="5021"/>
        <item m="1" x="5059"/>
        <item m="1" x="5060"/>
        <item m="1" x="5061"/>
        <item m="1" x="5062"/>
        <item m="1" x="5063"/>
        <item m="1" x="5064"/>
        <item m="1" x="5185"/>
        <item m="1" x="5065"/>
        <item m="1" x="4967"/>
        <item m="1" x="4968"/>
        <item m="1" x="4969"/>
        <item m="1" x="4970"/>
        <item m="1" x="5308"/>
        <item m="1" x="4695"/>
        <item m="1" x="4696"/>
        <item m="1" x="4924"/>
        <item m="1" x="4981"/>
        <item m="1" x="4925"/>
        <item m="1" x="4926"/>
        <item m="1" x="4982"/>
        <item m="1" x="4927"/>
        <item m="1" x="4889"/>
        <item m="1" x="4890"/>
        <item m="1" x="4928"/>
        <item m="1" x="4891"/>
        <item m="1" x="4929"/>
        <item m="1" x="4930"/>
        <item m="1" x="4931"/>
        <item m="1" x="4892"/>
        <item m="1" x="4893"/>
        <item m="1" x="4932"/>
        <item m="1" x="4933"/>
        <item m="1" x="4983"/>
        <item m="1" x="4984"/>
        <item m="1" x="4934"/>
        <item m="1" x="4844"/>
        <item m="1" x="4985"/>
        <item m="1" x="4845"/>
        <item m="1" x="5010"/>
        <item m="1" x="4986"/>
        <item m="1" x="4987"/>
        <item m="1" x="4988"/>
        <item m="1" x="4989"/>
        <item m="1" x="4935"/>
        <item m="1" x="5186"/>
        <item m="1" x="4971"/>
        <item m="1" x="5187"/>
        <item m="1" x="5049"/>
        <item m="1" x="4228"/>
        <item m="1" x="4321"/>
        <item m="1" x="5095"/>
        <item m="1" x="5089"/>
        <item m="1" x="4612"/>
        <item m="1" x="5023"/>
        <item m="1" x="4614"/>
        <item m="1" x="4587"/>
        <item m="1" x="4659"/>
        <item m="1" x="4229"/>
        <item m="1" x="4613"/>
        <item m="1" x="4972"/>
        <item m="1" x="4639"/>
        <item m="1" x="4752"/>
        <item m="1" x="4829"/>
        <item m="1" x="4753"/>
        <item m="1" x="4830"/>
        <item m="1" x="4754"/>
        <item m="1" x="4831"/>
        <item m="1" x="4832"/>
        <item m="1" x="4755"/>
        <item m="1" x="4833"/>
        <item m="1" x="4756"/>
        <item m="1" x="4834"/>
        <item m="1" x="4835"/>
        <item m="1" x="4836"/>
        <item m="1" x="4837"/>
        <item m="1" x="4838"/>
        <item m="1" x="4757"/>
        <item m="1" x="4758"/>
        <item m="1" x="4759"/>
        <item m="1" x="4839"/>
        <item m="1" x="4760"/>
        <item m="1" x="4761"/>
        <item m="1" x="5253"/>
        <item m="1" x="5254"/>
        <item m="1" x="5255"/>
        <item m="1" x="5256"/>
        <item m="1" x="4691"/>
        <item m="1" x="4692"/>
        <item m="1" x="4693"/>
        <item m="1" x="4694"/>
        <item m="1" x="4715"/>
        <item m="1" x="4588"/>
        <item m="1" x="4615"/>
        <item m="1" x="4589"/>
        <item m="1" x="4716"/>
        <item m="1" x="4230"/>
        <item m="1" x="4322"/>
        <item m="1" x="4380"/>
        <item m="1" x="4425"/>
        <item m="1" x="4381"/>
        <item m="1" x="4840"/>
        <item m="1" x="4323"/>
        <item m="1" x="4324"/>
        <item m="1" x="4325"/>
        <item m="1" x="4326"/>
        <item m="1" x="4327"/>
        <item m="1" x="4328"/>
        <item m="1" x="4349"/>
        <item m="1" x="4350"/>
        <item m="1" x="4351"/>
        <item m="1" x="4329"/>
        <item m="1" x="4352"/>
        <item m="1" x="4330"/>
        <item m="1" x="4708"/>
        <item m="1" x="4762"/>
        <item m="1" x="4763"/>
        <item m="1" x="4973"/>
        <item m="1" x="4974"/>
        <item m="1" x="5033"/>
        <item m="1" x="4888"/>
        <item m="1" x="5034"/>
        <item m="1" x="4975"/>
        <item m="1" x="4976"/>
        <item m="1" x="4977"/>
        <item m="1" x="4730"/>
        <item m="1" x="4697"/>
        <item m="1" x="4590"/>
        <item m="1" x="4978"/>
        <item m="1" x="4713"/>
        <item m="1" x="4714"/>
        <item m="1" x="4887"/>
        <item m="1" x="4405"/>
        <item m="1" x="4731"/>
        <item m="1" x="4677"/>
        <item m="1" x="4678"/>
        <item m="1" x="4732"/>
        <item m="1" x="4841"/>
        <item m="1" x="4679"/>
        <item m="1" x="4842"/>
        <item m="1" x="4680"/>
        <item m="1" x="4660"/>
        <item m="1" x="4681"/>
        <item m="1" x="4682"/>
        <item m="1" x="4683"/>
        <item m="1" x="4733"/>
        <item m="1" x="4661"/>
        <item m="1" x="4662"/>
        <item m="1" x="4663"/>
        <item m="1" x="4664"/>
        <item m="1" x="4665"/>
        <item m="1" x="4734"/>
        <item m="1" x="4666"/>
        <item m="1" x="4667"/>
        <item m="1" x="4735"/>
        <item m="1" x="4684"/>
        <item m="1" x="4685"/>
        <item m="1" x="4668"/>
        <item m="1" x="4640"/>
        <item m="1" x="4709"/>
        <item m="1" x="4669"/>
        <item m="1" x="4686"/>
        <item m="1" x="4736"/>
        <item m="1" x="4710"/>
        <item m="1" x="4670"/>
        <item m="1" x="4687"/>
        <item m="1" x="4688"/>
        <item m="1" x="4737"/>
        <item m="1" x="4689"/>
        <item m="1" x="4738"/>
        <item m="1" x="4711"/>
        <item m="1" x="4979"/>
        <item m="1" x="4739"/>
        <item m="1" x="4717"/>
        <item m="1" x="4718"/>
        <item m="1" x="4698"/>
        <item m="1" x="4921"/>
        <item m="1" x="4231"/>
        <item m="1" x="4426"/>
        <item m="1" x="4382"/>
        <item m="1" x="4232"/>
        <item m="1" x="4383"/>
        <item m="1" x="4331"/>
        <item m="1" x="4473"/>
        <item m="1" x="4474"/>
        <item m="1" x="4353"/>
        <item m="1" x="4354"/>
        <item m="1" x="4427"/>
        <item m="1" x="4384"/>
        <item m="1" x="4441"/>
        <item m="1" x="4233"/>
        <item m="1" x="4234"/>
        <item m="1" x="4385"/>
        <item m="1" x="4461"/>
        <item m="1" x="4386"/>
        <item m="1" x="4428"/>
        <item m="1" x="4387"/>
        <item m="1" x="4429"/>
        <item m="1" x="4430"/>
        <item m="1" x="4355"/>
        <item m="1" x="4388"/>
        <item m="1" x="4431"/>
        <item m="1" x="4389"/>
        <item m="1" x="4475"/>
        <item m="1" x="4432"/>
        <item m="1" x="4390"/>
        <item m="1" x="4442"/>
        <item m="1" x="4391"/>
        <item m="1" x="4356"/>
        <item m="1" x="4392"/>
        <item m="1" x="4476"/>
        <item m="1" x="4462"/>
        <item m="1" x="4393"/>
        <item m="1" x="4477"/>
        <item m="1" x="4394"/>
        <item m="1" x="4478"/>
        <item m="1" x="4395"/>
        <item m="1" x="4479"/>
        <item m="1" x="4463"/>
        <item m="1" x="4406"/>
        <item m="1" x="4235"/>
        <item m="1" x="4443"/>
        <item m="1" x="4444"/>
        <item m="1" x="4464"/>
        <item m="1" x="4407"/>
        <item m="1" x="4236"/>
        <item m="1" x="4445"/>
        <item m="1" x="4332"/>
        <item m="1" x="4357"/>
        <item m="1" x="4408"/>
        <item m="1" x="4453"/>
        <item m="1" x="4333"/>
        <item m="1" x="4480"/>
        <item m="1" x="4334"/>
        <item m="1" x="4446"/>
        <item m="1" x="4237"/>
        <item m="1" x="4238"/>
        <item m="1" x="4396"/>
        <item m="1" x="4239"/>
        <item m="1" x="4454"/>
        <item m="1" x="4358"/>
        <item m="1" x="4433"/>
        <item m="1" x="4447"/>
        <item m="1" x="4359"/>
        <item m="1" x="4465"/>
        <item m="1" x="4448"/>
        <item m="1" x="4434"/>
        <item m="1" x="4466"/>
        <item m="1" x="4240"/>
        <item m="1" x="4241"/>
        <item m="1" x="4242"/>
        <item m="1" x="4397"/>
        <item m="1" x="4449"/>
        <item m="1" x="4409"/>
        <item m="1" x="4243"/>
        <item m="1" x="4398"/>
        <item m="1" x="4481"/>
        <item m="1" x="4244"/>
        <item m="1" x="4467"/>
        <item m="1" x="4399"/>
        <item m="1" x="4450"/>
        <item m="1" x="4245"/>
        <item m="1" x="4246"/>
        <item m="1" x="4410"/>
        <item m="1" x="4335"/>
        <item m="1" x="4468"/>
        <item m="1" x="4435"/>
        <item m="1" x="4411"/>
        <item m="1" x="4455"/>
        <item m="1" x="4400"/>
        <item m="1" x="4412"/>
        <item m="1" x="4469"/>
        <item m="1" x="4413"/>
        <item m="1" x="4482"/>
        <item m="1" x="4336"/>
        <item m="1" x="4470"/>
        <item m="1" x="4247"/>
        <item m="1" x="4401"/>
        <item m="1" x="4248"/>
        <item m="1" x="4471"/>
        <item m="1" x="4337"/>
        <item m="1" x="4436"/>
        <item m="1" x="4338"/>
        <item m="1" x="4360"/>
        <item m="1" x="4249"/>
        <item m="1" x="4414"/>
        <item m="1" x="4415"/>
        <item m="1" x="4437"/>
        <item m="1" x="4339"/>
        <item m="1" x="4361"/>
        <item m="1" x="4250"/>
        <item m="1" x="4362"/>
        <item m="1" x="4340"/>
        <item m="1" x="4438"/>
        <item m="1" x="4251"/>
        <item m="1" x="4451"/>
        <item m="1" x="4674"/>
        <item m="1" x="4554"/>
        <item m="1" x="4616"/>
        <item m="1" x="4555"/>
        <item m="1" x="4556"/>
        <item m="1" x="4671"/>
        <item m="1" x="4740"/>
        <item m="1" x="4741"/>
        <item m="1" x="4936"/>
        <item m="1" x="4502"/>
        <item m="1" x="4503"/>
        <item m="1" x="4504"/>
        <item m="1" x="4505"/>
        <item m="1" x="4506"/>
        <item m="1" x="4483"/>
        <item m="1" x="4507"/>
        <item m="1" x="4508"/>
        <item m="1" x="4509"/>
        <item m="1" x="4491"/>
        <item m="1" x="4510"/>
        <item m="1" x="4511"/>
        <item m="1" x="4512"/>
        <item m="1" x="4513"/>
        <item m="1" x="4492"/>
        <item m="1" x="4493"/>
        <item m="1" x="4672"/>
        <item m="1" x="4553"/>
        <item m="1" x="4980"/>
        <item m="1" x="4557"/>
        <item m="1" x="4418"/>
        <item m="1" x="4472"/>
        <item m="1" x="4419"/>
        <item m="1" x="4591"/>
        <item m="1" x="4592"/>
        <item m="1" x="4403"/>
        <item m="1" x="4966"/>
        <item m="1" x="4923"/>
        <item m="1" x="4641"/>
        <item m="1" x="4642"/>
        <item m="1" x="4643"/>
        <item m="1" x="4657"/>
        <item m="1" x="4538"/>
        <item m="1" x="4658"/>
        <item m="1" x="4742"/>
        <item m="1" x="4644"/>
        <item m="1" x="4843"/>
        <item m="1" x="4539"/>
        <item m="1" x="4540"/>
        <item m="1" x="4645"/>
        <item m="1" x="4577"/>
        <item m="1" x="4578"/>
        <item m="1" x="4646"/>
        <item m="1" x="4579"/>
        <item m="1" x="4541"/>
        <item m="1" x="4647"/>
        <item m="1" x="4580"/>
        <item m="1" x="4542"/>
        <item m="1" x="4581"/>
        <item m="1" x="4648"/>
        <item m="1" x="4543"/>
        <item m="1" x="4544"/>
        <item m="1" x="4582"/>
        <item m="1" x="4649"/>
        <item m="1" x="4583"/>
        <item m="1" x="4584"/>
        <item m="1" x="4650"/>
        <item m="1" x="4585"/>
        <item m="1" x="4586"/>
        <item m="1" x="4673"/>
        <item m="1" x="4546"/>
        <item m="1" x="4547"/>
        <item m="1" x="4548"/>
        <item m="1" x="4252"/>
        <item m="1" x="3976"/>
        <item m="1" x="4253"/>
        <item m="1" x="4254"/>
        <item m="1" x="4140"/>
        <item m="1" x="4255"/>
        <item m="1" x="4069"/>
        <item m="1" x="4179"/>
        <item m="1" x="4141"/>
        <item m="1" x="4256"/>
        <item m="1" x="4257"/>
        <item m="1" x="4258"/>
        <item m="1" x="4259"/>
        <item m="1" x="4180"/>
        <item m="1" x="4260"/>
        <item m="1" x="4120"/>
        <item m="1" x="4261"/>
        <item m="1" x="4107"/>
        <item m="1" x="4181"/>
        <item m="1" x="4262"/>
        <item m="1" x="4263"/>
        <item m="1" x="4182"/>
        <item m="1" x="4264"/>
        <item m="1" x="4363"/>
        <item m="1" x="4265"/>
        <item m="1" x="4121"/>
        <item m="1" x="4266"/>
        <item m="1" x="4267"/>
        <item m="1" x="3977"/>
        <item m="1" x="4268"/>
        <item m="1" x="4122"/>
        <item m="1" x="4269"/>
        <item m="1" x="4142"/>
        <item m="1" x="4070"/>
        <item m="1" x="4166"/>
        <item m="1" x="4167"/>
        <item m="1" x="4270"/>
        <item m="1" x="4183"/>
        <item m="1" x="4271"/>
        <item m="1" x="4364"/>
        <item m="1" x="4143"/>
        <item m="1" x="4144"/>
        <item m="1" x="4071"/>
        <item m="1" x="4072"/>
        <item m="1" x="4272"/>
        <item m="1" x="4341"/>
        <item m="1" x="4273"/>
        <item m="1" x="4274"/>
        <item m="1" x="4123"/>
        <item m="1" x="4198"/>
        <item m="1" x="4275"/>
        <item m="1" x="4365"/>
        <item m="1" x="4184"/>
        <item m="1" x="4185"/>
        <item m="1" x="4108"/>
        <item m="1" x="4186"/>
        <item m="1" x="4145"/>
        <item m="1" x="4124"/>
        <item m="1" x="4109"/>
        <item m="1" x="4276"/>
        <item m="1" x="4008"/>
        <item m="1" x="4168"/>
        <item m="1" x="4199"/>
        <item m="1" x="4073"/>
        <item m="1" x="4074"/>
        <item m="1" x="4146"/>
        <item m="1" x="4366"/>
        <item m="1" x="4277"/>
        <item m="1" x="4110"/>
        <item m="1" x="4278"/>
        <item m="1" x="4367"/>
        <item m="1" x="4279"/>
        <item m="1" x="4280"/>
        <item m="1" x="4187"/>
        <item m="1" x="4281"/>
        <item m="1" x="4368"/>
        <item m="1" x="4147"/>
        <item m="1" x="4111"/>
        <item m="1" x="4282"/>
        <item m="1" x="4075"/>
        <item m="1" x="4125"/>
        <item m="1" x="4283"/>
        <item m="1" x="4284"/>
        <item m="1" x="4285"/>
        <item m="1" x="4369"/>
        <item m="1" x="4188"/>
        <item m="1" x="4189"/>
        <item m="1" x="4370"/>
        <item m="1" x="4286"/>
        <item m="1" x="4190"/>
        <item m="1" x="4287"/>
        <item m="1" x="4342"/>
        <item m="1" x="4148"/>
        <item m="1" x="4371"/>
        <item m="1" x="4149"/>
        <item m="1" x="4288"/>
        <item m="1" x="4289"/>
        <item m="1" x="4290"/>
        <item m="1" x="4291"/>
        <item m="1" x="4292"/>
        <item m="1" x="4200"/>
        <item m="1" x="4293"/>
        <item m="1" x="4294"/>
        <item m="1" x="4191"/>
        <item m="1" x="4192"/>
        <item m="1" x="4295"/>
        <item m="1" x="4296"/>
        <item m="1" x="4297"/>
        <item m="1" x="4201"/>
        <item m="1" x="4202"/>
        <item m="1" x="4203"/>
        <item m="1" x="4204"/>
        <item m="1" x="4298"/>
        <item m="1" x="4299"/>
        <item m="1" x="4300"/>
        <item m="1" x="4169"/>
        <item m="1" x="4301"/>
        <item m="1" x="4076"/>
        <item m="1" x="4077"/>
        <item m="1" x="4302"/>
        <item m="1" x="4078"/>
        <item m="1" x="4303"/>
        <item m="1" x="4304"/>
        <item m="1" x="4305"/>
        <item m="1" x="4306"/>
        <item m="1" x="4193"/>
        <item m="1" x="4307"/>
        <item m="1" x="4308"/>
        <item m="1" x="4309"/>
        <item m="1" x="4310"/>
        <item m="1" x="4311"/>
        <item m="1" x="4343"/>
        <item m="1" x="4312"/>
        <item m="1" x="4313"/>
        <item m="1" x="4314"/>
        <item m="1" x="4194"/>
        <item m="1" x="4372"/>
        <item m="1" x="4315"/>
        <item m="1" x="4373"/>
        <item m="1" x="4316"/>
        <item m="1" x="4344"/>
        <item m="1" x="4317"/>
        <item m="1" x="4318"/>
        <item m="1" x="4345"/>
        <item m="1" x="4319"/>
        <item m="1" x="4346"/>
        <item m="1" x="4195"/>
        <item m="1" x="4374"/>
        <item m="1" x="4150"/>
        <item m="1" x="4320"/>
        <item m="1" x="4690"/>
        <item m="1" x="4208"/>
        <item m="1" x="4484"/>
        <item m="1" x="4485"/>
        <item m="1" x="4486"/>
        <item m="1" x="4545"/>
        <item m="1" x="4152"/>
        <item m="1" x="4153"/>
        <item m="1" x="4154"/>
        <item m="1" x="4128"/>
        <item m="1" x="4155"/>
        <item m="1" x="4156"/>
        <item m="1" x="4157"/>
        <item m="1" x="4158"/>
        <item m="1" x="4549"/>
        <item m="1" x="3978"/>
        <item m="1" x="4162"/>
        <item m="1" x="4163"/>
        <item m="1" x="4550"/>
        <item m="1" x="4551"/>
        <item m="1" x="4552"/>
        <item m="1" x="4494"/>
        <item m="1" x="4495"/>
        <item m="1" x="4558"/>
        <item m="1" x="4420"/>
        <item m="1" x="4421"/>
        <item m="1" x="4422"/>
        <item m="1" x="4197"/>
        <item m="1" x="4174"/>
        <item m="1" x="4497"/>
        <item m="1" x="4079"/>
        <item m="1" x="4112"/>
        <item m="1" x="4080"/>
        <item m="1" x="4113"/>
        <item m="1" x="4009"/>
        <item m="1" x="3980"/>
        <item m="1" x="4196"/>
        <item m="1" x="4081"/>
        <item m="1" x="4164"/>
        <item m="1" x="4159"/>
        <item m="1" x="4165"/>
        <item m="1" x="4116"/>
        <item m="1" x="4498"/>
        <item m="1" x="4439"/>
        <item m="1" x="3979"/>
        <item m="1" x="4114"/>
        <item m="1" x="4012"/>
        <item m="1" x="4082"/>
        <item m="1" x="4083"/>
        <item m="1" x="4084"/>
        <item m="1" x="4013"/>
        <item m="1" x="4205"/>
        <item m="1" x="4014"/>
        <item m="1" x="4015"/>
        <item m="1" x="4016"/>
        <item m="1" x="4085"/>
        <item m="1" x="4017"/>
        <item m="1" x="4018"/>
        <item m="1" x="4019"/>
        <item m="1" x="4020"/>
        <item m="1" x="4086"/>
        <item m="1" x="4021"/>
        <item m="1" x="4022"/>
        <item m="1" x="4087"/>
        <item m="1" x="4023"/>
        <item m="1" x="4088"/>
        <item m="1" x="4024"/>
        <item m="1" x="4089"/>
        <item m="1" x="4025"/>
        <item m="1" x="4026"/>
        <item m="1" x="4027"/>
        <item m="1" x="4028"/>
        <item m="1" x="3981"/>
        <item m="1" x="4090"/>
        <item m="1" x="4126"/>
        <item m="1" x="4029"/>
        <item m="1" x="4206"/>
        <item m="1" x="4091"/>
        <item m="1" x="4030"/>
        <item m="1" x="4092"/>
        <item m="1" x="4093"/>
        <item m="1" x="4094"/>
        <item m="1" x="4095"/>
        <item m="1" x="4031"/>
        <item m="1" x="4096"/>
        <item m="1" x="4115"/>
        <item m="1" x="4032"/>
        <item m="1" x="4097"/>
        <item m="1" x="4098"/>
        <item m="1" x="4099"/>
        <item m="1" x="4100"/>
        <item m="1" x="4101"/>
        <item m="1" x="4102"/>
        <item m="1" x="4416"/>
        <item m="1" x="4209"/>
        <item m="1" x="4210"/>
        <item m="1" x="4211"/>
        <item m="1" x="4212"/>
        <item m="1" x="4417"/>
        <item m="1" x="4213"/>
        <item m="1" x="4214"/>
        <item m="1" x="4215"/>
        <item m="1" x="4216"/>
        <item m="1" x="4217"/>
        <item m="1" x="4133"/>
        <item m="1" x="4218"/>
        <item m="1" x="4402"/>
        <item m="1" x="4219"/>
        <item m="1" x="4220"/>
        <item m="1" x="4221"/>
        <item m="1" x="4222"/>
        <item m="1" x="4223"/>
        <item m="1" x="4224"/>
        <item m="1" x="4225"/>
        <item m="1" x="4226"/>
        <item m="1" x="4496"/>
        <item m="1" x="4375"/>
        <item m="1" x="4376"/>
        <item m="1" x="4010"/>
        <item m="1" x="4011"/>
        <item m="1" x="4033"/>
        <item m="1" x="4377"/>
        <item m="1" x="4534"/>
        <item m="1" x="4535"/>
        <item m="1" x="4536"/>
        <item m="1" x="4537"/>
        <item m="1" x="4170"/>
        <item m="1" x="4452"/>
        <item m="1" x="4176"/>
        <item m="1" x="4177"/>
        <item m="1" x="4175"/>
        <item m="1" x="4034"/>
        <item m="1" x="4035"/>
        <item m="1" x="4036"/>
        <item m="1" x="3982"/>
        <item m="1" x="3782"/>
        <item m="1" x="3783"/>
        <item m="1" x="4037"/>
        <item m="1" x="4038"/>
        <item m="1" x="3798"/>
        <item m="1" x="4171"/>
        <item m="1" x="3708"/>
        <item m="1" x="3827"/>
        <item m="1" x="4129"/>
        <item m="1" x="4227"/>
        <item m="1" x="4117"/>
        <item m="1" x="4118"/>
        <item m="1" x="4172"/>
        <item m="1" x="4160"/>
        <item m="1" x="4207"/>
        <item m="1" x="4130"/>
        <item m="1" x="4058"/>
        <item m="1" x="4059"/>
        <item m="1" x="4135"/>
        <item m="1" x="4060"/>
        <item m="1" x="4136"/>
        <item m="1" x="4119"/>
        <item m="1" x="3891"/>
        <item m="1" x="4134"/>
        <item m="1" x="4173"/>
        <item m="1" x="4063"/>
        <item m="1" x="4064"/>
        <item m="1" x="4065"/>
        <item m="1" x="3919"/>
        <item m="1" x="4131"/>
        <item m="1" x="4137"/>
        <item m="1" x="4138"/>
        <item m="1" x="4139"/>
        <item m="1" x="4061"/>
        <item m="1" x="4066"/>
        <item m="1" x="4067"/>
        <item m="1" x="4068"/>
        <item m="1" x="4404"/>
        <item m="1" x="4039"/>
        <item m="1" x="3983"/>
        <item m="1" x="3984"/>
        <item m="1" x="3985"/>
        <item m="1" x="4040"/>
        <item m="1" x="3892"/>
        <item m="1" x="3956"/>
        <item m="1" x="3907"/>
        <item m="1" x="3957"/>
        <item m="1" x="3972"/>
        <item m="1" x="3828"/>
        <item m="1" x="3986"/>
        <item m="1" x="3958"/>
        <item m="1" x="3908"/>
        <item m="1" x="3959"/>
        <item m="1" x="3987"/>
        <item m="1" x="3709"/>
        <item m="1" x="3951"/>
        <item m="1" x="3988"/>
        <item m="1" x="3960"/>
        <item m="1" x="3989"/>
        <item m="1" x="3829"/>
        <item m="1" x="3961"/>
        <item m="1" x="4041"/>
        <item m="1" x="3990"/>
        <item m="1" x="3909"/>
        <item m="1" x="4042"/>
        <item m="1" x="3830"/>
        <item m="1" x="3991"/>
        <item m="1" x="3962"/>
        <item m="1" x="3910"/>
        <item m="1" x="3784"/>
        <item m="1" x="3726"/>
        <item m="1" x="3710"/>
        <item m="1" x="3992"/>
        <item m="1" x="3993"/>
        <item m="1" x="4103"/>
        <item m="1" x="3727"/>
        <item m="1" x="3973"/>
        <item m="1" x="3831"/>
        <item m="1" x="3711"/>
        <item m="1" x="3974"/>
        <item m="1" x="3712"/>
        <item m="1" x="3963"/>
        <item m="1" x="4043"/>
        <item m="1" x="4044"/>
        <item m="1" x="3785"/>
        <item m="1" x="3832"/>
        <item m="1" x="3713"/>
        <item m="1" x="3714"/>
        <item m="1" x="3994"/>
        <item m="1" x="3927"/>
        <item m="1" x="3995"/>
        <item m="1" x="3911"/>
        <item m="1" x="3833"/>
        <item m="1" x="3912"/>
        <item m="1" x="4045"/>
        <item m="1" x="3952"/>
        <item m="1" x="3893"/>
        <item m="1" x="3834"/>
        <item m="1" x="3728"/>
        <item m="1" x="3715"/>
        <item m="1" x="3964"/>
        <item m="1" x="3928"/>
        <item m="1" x="4046"/>
        <item m="1" x="3965"/>
        <item m="1" x="3876"/>
        <item m="1" x="4047"/>
        <item m="1" x="3729"/>
        <item m="1" x="3716"/>
        <item m="1" x="3730"/>
        <item m="1" x="3877"/>
        <item m="1" x="3929"/>
        <item m="1" x="3894"/>
        <item m="1" x="3913"/>
        <item m="1" x="3930"/>
        <item m="1" x="3786"/>
        <item m="1" x="3878"/>
        <item m="1" x="3787"/>
        <item m="1" x="3996"/>
        <item m="1" x="4048"/>
        <item m="1" x="3966"/>
        <item m="1" x="3879"/>
        <item m="1" x="3931"/>
        <item m="1" x="3997"/>
        <item m="1" x="3998"/>
        <item m="1" x="3932"/>
        <item m="1" x="3999"/>
        <item m="1" x="3835"/>
        <item m="1" x="3717"/>
        <item m="1" x="3718"/>
        <item m="1" x="4104"/>
        <item m="1" x="3799"/>
        <item m="1" x="3933"/>
        <item m="1" x="3788"/>
        <item m="1" x="3975"/>
        <item m="1" x="4000"/>
        <item m="1" x="4001"/>
        <item m="1" x="3789"/>
        <item m="1" x="4002"/>
        <item m="1" x="3836"/>
        <item m="1" x="4049"/>
        <item m="1" x="3719"/>
        <item m="1" x="3934"/>
        <item m="1" x="3837"/>
        <item m="1" x="4003"/>
        <item m="1" x="3914"/>
        <item m="1" x="3880"/>
        <item m="1" x="3838"/>
        <item m="1" x="4050"/>
        <item m="1" x="3839"/>
        <item m="1" x="3840"/>
        <item m="1" x="3953"/>
        <item m="1" x="3841"/>
        <item m="1" x="4004"/>
        <item m="1" x="3915"/>
        <item m="1" x="3842"/>
        <item m="1" x="3843"/>
        <item m="1" x="3844"/>
        <item m="1" x="3954"/>
        <item m="1" x="3967"/>
        <item m="1" x="4105"/>
        <item m="1" x="3968"/>
        <item m="1" x="3845"/>
        <item m="1" x="3846"/>
        <item m="1" x="3847"/>
        <item m="1" x="4005"/>
        <item m="1" x="3848"/>
        <item m="1" x="4006"/>
        <item m="1" x="4051"/>
        <item m="1" x="4052"/>
        <item m="1" x="4053"/>
        <item m="1" x="3935"/>
        <item m="1" x="3720"/>
        <item m="1" x="3936"/>
        <item m="1" x="4054"/>
        <item m="1" x="3881"/>
        <item m="1" x="3937"/>
        <item m="1" x="3882"/>
        <item m="1" x="3938"/>
        <item m="1" x="4007"/>
        <item m="1" x="3939"/>
        <item m="1" x="3883"/>
        <item m="1" x="3940"/>
        <item m="1" x="4055"/>
        <item m="1" x="3941"/>
        <item m="1" x="3942"/>
        <item m="1" x="3916"/>
        <item m="1" x="3969"/>
        <item m="1" x="3721"/>
        <item m="1" x="3970"/>
        <item m="1" x="3895"/>
        <item m="1" x="4056"/>
        <item m="1" x="3896"/>
        <item m="1" x="4057"/>
        <item m="1" x="3917"/>
        <item m="1" x="3918"/>
        <item m="1" x="4062"/>
        <item m="1" x="3770"/>
        <item m="1" x="3365"/>
        <item m="1" x="4161"/>
        <item m="1" x="3366"/>
        <item m="1" x="3943"/>
        <item m="1" x="4132"/>
        <item m="1" x="3771"/>
        <item m="1" x="3772"/>
        <item m="1" x="3773"/>
        <item m="1" x="3774"/>
        <item m="1" x="3668"/>
        <item m="1" x="3521"/>
        <item m="1" x="3926"/>
        <item m="1" x="3824"/>
        <item m="1" x="3522"/>
        <item m="1" x="3781"/>
        <item m="1" x="3686"/>
        <item m="1" x="3307"/>
        <item m="1" x="3308"/>
        <item m="1" x="3309"/>
        <item m="1" x="3394"/>
        <item m="1" x="3576"/>
        <item m="1" x="3688"/>
        <item m="1" x="4151"/>
        <item m="1" x="4127"/>
        <item m="1" x="3920"/>
        <item m="1" x="3944"/>
        <item m="1" x="3849"/>
        <item m="1" x="3921"/>
        <item m="1" x="3850"/>
        <item m="1" x="3851"/>
        <item m="1" x="3852"/>
        <item m="1" x="4106"/>
        <item m="1" x="3853"/>
        <item m="1" x="3945"/>
        <item m="1" x="3854"/>
        <item m="1" x="3946"/>
        <item m="1" x="3897"/>
        <item m="1" x="3922"/>
        <item m="1" x="3855"/>
        <item m="1" x="3947"/>
        <item m="1" x="3856"/>
        <item m="1" x="3948"/>
        <item m="1" x="3898"/>
        <item m="1" x="3899"/>
        <item m="1" x="3900"/>
        <item m="1" x="3901"/>
        <item m="1" x="3857"/>
        <item m="1" x="3923"/>
        <item m="1" x="3902"/>
        <item m="1" x="3924"/>
        <item m="1" x="3903"/>
        <item m="1" x="3925"/>
        <item m="1" x="3858"/>
        <item m="1" x="3949"/>
        <item m="1" x="3904"/>
        <item m="1" x="3950"/>
        <item m="1" x="3775"/>
        <item m="1" x="3468"/>
        <item m="1" x="3469"/>
        <item m="1" x="3470"/>
        <item m="1" x="3825"/>
        <item m="1" x="3471"/>
        <item m="1" x="3472"/>
        <item m="1" x="3473"/>
        <item m="1" x="3633"/>
        <item m="1" x="3634"/>
        <item m="1" x="3635"/>
        <item m="1" x="3636"/>
        <item m="1" x="3637"/>
        <item m="1" x="3638"/>
        <item m="1" x="3404"/>
        <item m="1" x="3405"/>
        <item m="1" x="3406"/>
        <item m="1" x="3407"/>
        <item m="1" x="3408"/>
        <item m="1" x="3409"/>
        <item m="1" x="3639"/>
        <item m="1" x="3640"/>
        <item m="1" x="3641"/>
        <item m="1" x="3669"/>
        <item m="1" x="3670"/>
        <item m="1" x="3671"/>
        <item m="1" x="3859"/>
        <item m="1" x="3800"/>
        <item m="1" x="3884"/>
        <item m="1" x="3860"/>
        <item m="1" x="3731"/>
        <item m="1" x="3732"/>
        <item m="1" x="3722"/>
        <item m="1" x="3723"/>
        <item m="1" x="3733"/>
        <item m="1" x="3861"/>
        <item m="1" x="3734"/>
        <item m="1" x="3735"/>
        <item m="1" x="3862"/>
        <item m="1" x="3863"/>
        <item m="1" x="3736"/>
        <item m="1" x="3885"/>
        <item m="1" x="3737"/>
        <item m="1" x="3886"/>
        <item m="1" x="3804"/>
        <item m="1" x="3864"/>
        <item m="1" x="3865"/>
        <item m="1" x="3738"/>
        <item m="1" x="3739"/>
        <item m="1" x="3740"/>
        <item m="1" x="3741"/>
        <item m="1" x="3742"/>
        <item m="1" x="3805"/>
        <item m="1" x="3743"/>
        <item m="1" x="3744"/>
        <item m="1" x="3745"/>
        <item m="1" x="3746"/>
        <item m="1" x="3747"/>
        <item m="1" x="3748"/>
        <item m="1" x="3749"/>
        <item m="1" x="3791"/>
        <item m="1" x="3724"/>
        <item m="1" x="3866"/>
        <item m="1" x="3750"/>
        <item m="1" x="3725"/>
        <item m="1" x="3751"/>
        <item m="1" x="3752"/>
        <item m="1" x="3867"/>
        <item m="1" x="3753"/>
        <item m="1" x="3754"/>
        <item m="1" x="3776"/>
        <item m="1" x="3777"/>
        <item m="1" x="3642"/>
        <item m="1" x="3643"/>
        <item m="1" x="3644"/>
        <item m="1" x="3645"/>
        <item m="1" x="3646"/>
        <item m="1" x="3647"/>
        <item m="1" x="3672"/>
        <item m="1" x="3673"/>
        <item m="1" x="3674"/>
        <item m="1" x="3371"/>
        <item m="1" x="3372"/>
        <item m="1" x="3373"/>
        <item m="1" x="3523"/>
        <item m="1" x="3524"/>
        <item m="1" x="3525"/>
        <item m="1" x="3648"/>
        <item m="1" x="3649"/>
        <item m="1" x="3650"/>
        <item m="1" x="3675"/>
        <item m="1" x="3676"/>
        <item m="1" x="3651"/>
        <item m="1" x="3374"/>
        <item m="1" x="3375"/>
        <item m="1" x="3212"/>
        <item m="1" x="3376"/>
        <item m="1" x="3377"/>
        <item m="1" x="3378"/>
        <item m="1" x="3410"/>
        <item m="1" x="3411"/>
        <item m="1" x="3412"/>
        <item m="1" x="3474"/>
        <item m="1" x="3475"/>
        <item m="1" x="3476"/>
        <item m="1" x="3379"/>
        <item m="1" x="3380"/>
        <item m="1" x="3381"/>
        <item m="1" x="3382"/>
        <item m="1" x="3383"/>
        <item m="1" x="3384"/>
        <item m="1" x="3413"/>
        <item m="1" x="3414"/>
        <item m="1" x="3415"/>
        <item m="1" x="3477"/>
        <item m="1" x="3478"/>
        <item m="1" x="3479"/>
        <item m="1" x="3416"/>
        <item m="1" x="3417"/>
        <item m="1" x="3418"/>
        <item m="1" x="3419"/>
        <item m="1" x="3420"/>
        <item m="1" x="3421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385"/>
        <item m="1" x="3386"/>
        <item m="1" x="3387"/>
        <item m="1" x="3422"/>
        <item m="1" x="3423"/>
        <item m="1" x="3424"/>
        <item m="1" x="3887"/>
        <item m="1" x="3535"/>
        <item m="1" x="3536"/>
        <item m="1" x="3537"/>
        <item m="1" x="3425"/>
        <item m="1" x="3426"/>
        <item m="1" x="3427"/>
        <item m="1" x="3428"/>
        <item m="1" x="3429"/>
        <item m="1" x="3430"/>
        <item m="1" x="3538"/>
        <item m="1" x="3539"/>
        <item m="1" x="3540"/>
        <item m="1" x="3480"/>
        <item m="1" x="3481"/>
        <item m="1" x="3482"/>
        <item m="1" x="3483"/>
        <item m="1" x="3484"/>
        <item m="1" x="3485"/>
        <item m="1" x="3541"/>
        <item m="1" x="3542"/>
        <item m="1" x="3543"/>
        <item m="1" x="3486"/>
        <item m="1" x="3487"/>
        <item m="1" x="3488"/>
        <item m="1" x="3591"/>
        <item m="1" x="3592"/>
        <item m="1" x="3593"/>
        <item m="1" x="3388"/>
        <item m="1" x="3389"/>
        <item m="1" x="3390"/>
        <item m="1" x="3489"/>
        <item m="1" x="3490"/>
        <item m="1" x="3491"/>
        <item m="1" x="3544"/>
        <item m="1" x="3492"/>
        <item m="1" x="3493"/>
        <item m="1" x="3677"/>
        <item m="1" x="3678"/>
        <item m="1" x="3679"/>
        <item m="1" x="3431"/>
        <item m="1" x="3432"/>
        <item m="1" x="3433"/>
        <item m="1" x="3594"/>
        <item m="1" x="3595"/>
        <item m="1" x="3596"/>
        <item m="1" x="3434"/>
        <item m="1" x="3435"/>
        <item m="1" x="3436"/>
        <item m="1" x="3545"/>
        <item m="1" x="3546"/>
        <item m="1" x="3547"/>
        <item m="1" x="3680"/>
        <item m="1" x="3681"/>
        <item m="1" x="3682"/>
        <item m="1" x="3437"/>
        <item m="1" x="3438"/>
        <item m="1" x="3439"/>
        <item m="1" x="3687"/>
        <item m="1" x="3971"/>
        <item m="1" x="3955"/>
        <item m="1" x="3552"/>
        <item m="1" x="3553"/>
        <item m="1" x="3554"/>
        <item m="1" x="3555"/>
        <item m="1" x="3566"/>
        <item m="1" x="3868"/>
        <item m="1" x="3806"/>
        <item m="1" x="3807"/>
        <item m="1" x="3808"/>
        <item m="1" x="3869"/>
        <item m="1" x="3809"/>
        <item m="1" x="3755"/>
        <item m="1" x="3810"/>
        <item m="1" x="3811"/>
        <item m="1" x="3494"/>
        <item m="1" x="3495"/>
        <item m="1" x="3496"/>
        <item m="1" x="3391"/>
        <item m="1" x="3392"/>
        <item m="1" x="3393"/>
        <item m="1" x="3497"/>
        <item m="1" x="3498"/>
        <item m="1" x="3499"/>
        <item m="1" x="3500"/>
        <item m="1" x="3501"/>
        <item m="1" x="3502"/>
        <item m="1" x="3597"/>
        <item m="1" x="3598"/>
        <item m="1" x="3599"/>
        <item m="1" x="3683"/>
        <item m="1" x="3684"/>
        <item m="1" x="3685"/>
        <item m="1" x="3778"/>
        <item m="1" x="3779"/>
        <item m="1" x="3780"/>
        <item m="1" x="3652"/>
        <item m="1" x="3653"/>
        <item m="1" x="3654"/>
        <item m="1" x="3600"/>
        <item m="1" x="3601"/>
        <item m="1" x="3602"/>
        <item m="1" x="3655"/>
        <item m="1" x="3656"/>
        <item m="1" x="3657"/>
        <item m="1" x="3503"/>
        <item m="1" x="3504"/>
        <item m="1" x="3505"/>
        <item m="1" x="3790"/>
        <item m="1" x="3801"/>
        <item m="1" x="3802"/>
        <item m="1" x="3803"/>
        <item m="1" x="3792"/>
        <item m="1" x="3793"/>
        <item m="1" x="3812"/>
        <item m="1" x="3756"/>
        <item m="1" x="3870"/>
        <item m="1" x="3813"/>
        <item m="1" x="3814"/>
        <item m="1" x="3757"/>
        <item m="1" x="3794"/>
        <item m="1" x="3888"/>
        <item m="1" x="3815"/>
        <item m="1" x="3816"/>
        <item m="1" x="3817"/>
        <item m="1" x="3758"/>
        <item m="1" x="3759"/>
        <item m="1" x="3871"/>
        <item m="1" x="3795"/>
        <item m="1" x="3796"/>
        <item m="1" x="3818"/>
        <item m="1" x="3872"/>
        <item m="1" x="3760"/>
        <item m="1" x="3873"/>
        <item m="1" x="3797"/>
        <item m="1" x="3761"/>
        <item m="1" x="3889"/>
        <item m="1" x="3819"/>
        <item m="1" x="3874"/>
        <item m="1" x="3820"/>
        <item m="1" x="3762"/>
        <item m="1" x="3763"/>
        <item m="1" x="3764"/>
        <item m="1" x="3765"/>
        <item m="1" x="3766"/>
        <item m="1" x="3821"/>
        <item m="1" x="3875"/>
        <item m="1" x="3822"/>
        <item m="1" x="3905"/>
        <item m="1" x="3548"/>
        <item m="1" x="3440"/>
        <item m="1" x="3619"/>
        <item m="1" x="3577"/>
        <item m="1" x="3549"/>
        <item m="1" x="3066"/>
        <item m="1" x="3550"/>
        <item m="1" x="3551"/>
        <item m="1" x="3627"/>
        <item m="1" x="3628"/>
        <item m="1" x="3556"/>
        <item m="1" x="3620"/>
        <item m="1" x="3235"/>
        <item m="1" x="3370"/>
        <item m="1" x="3310"/>
        <item m="1" x="3621"/>
        <item m="1" x="3506"/>
        <item m="1" x="3311"/>
        <item m="1" x="3658"/>
        <item m="1" x="3578"/>
        <item m="1" x="3689"/>
        <item m="1" x="2956"/>
        <item m="1" x="3236"/>
        <item m="1" x="3312"/>
        <item m="1" x="3214"/>
        <item m="1" x="3603"/>
        <item m="1" x="3357"/>
        <item m="1" x="3313"/>
        <item m="1" x="3367"/>
        <item m="1" x="3314"/>
        <item m="1" x="3315"/>
        <item m="1" x="3441"/>
        <item m="1" x="3163"/>
        <item m="1" x="3164"/>
        <item m="1" x="3659"/>
        <item m="1" x="3690"/>
        <item m="1" x="3368"/>
        <item m="1" x="3442"/>
        <item m="1" x="3316"/>
        <item m="1" x="3395"/>
        <item m="1" x="3317"/>
        <item m="1" x="3443"/>
        <item m="1" x="3660"/>
        <item m="1" x="3629"/>
        <item m="1" x="3146"/>
        <item m="1" x="3622"/>
        <item m="1" x="3661"/>
        <item m="1" x="3691"/>
        <item m="1" x="3662"/>
        <item m="1" x="3663"/>
        <item m="1" x="3358"/>
        <item m="1" x="3369"/>
        <item m="1" x="3507"/>
        <item m="1" x="3692"/>
        <item m="1" x="3557"/>
        <item m="1" x="3508"/>
        <item m="1" x="3558"/>
        <item m="1" x="3067"/>
        <item m="1" x="3630"/>
        <item m="1" x="3559"/>
        <item m="1" x="3693"/>
        <item m="1" x="3359"/>
        <item m="1" x="3318"/>
        <item m="1" x="3664"/>
        <item m="1" x="3665"/>
        <item m="1" x="3623"/>
        <item m="1" x="3396"/>
        <item m="1" x="3560"/>
        <item m="1" x="3561"/>
        <item m="1" x="3604"/>
        <item m="1" x="3562"/>
        <item m="1" x="3509"/>
        <item m="1" x="3563"/>
        <item m="1" x="3397"/>
        <item m="1" x="3631"/>
        <item m="1" x="3694"/>
        <item m="1" x="3666"/>
        <item m="1" x="3564"/>
        <item m="1" x="3605"/>
        <item m="1" x="3165"/>
        <item m="1" x="3398"/>
        <item m="1" x="3319"/>
        <item m="1" x="3215"/>
        <item m="1" x="3579"/>
        <item m="1" x="3360"/>
        <item m="1" x="3510"/>
        <item m="1" x="3320"/>
        <item m="1" x="3565"/>
        <item m="1" x="3624"/>
        <item m="1" x="3166"/>
        <item m="1" x="3361"/>
        <item m="1" x="3632"/>
        <item m="1" x="3444"/>
        <item m="1" x="3445"/>
        <item m="1" x="3695"/>
        <item m="1" x="3696"/>
        <item m="1" x="3580"/>
        <item m="1" x="3237"/>
        <item m="1" x="3238"/>
        <item m="1" x="3068"/>
        <item m="1" x="3446"/>
        <item m="1" x="3697"/>
        <item m="1" x="3698"/>
        <item m="1" x="3699"/>
        <item m="1" x="3700"/>
        <item m="1" x="3399"/>
        <item m="1" x="3511"/>
        <item m="1" x="3701"/>
        <item m="1" x="3447"/>
        <item m="1" x="3167"/>
        <item m="1" x="3702"/>
        <item m="1" x="3703"/>
        <item m="1" x="3704"/>
        <item m="1" x="3512"/>
        <item m="1" x="3705"/>
        <item m="1" x="3448"/>
        <item m="1" x="3400"/>
        <item m="1" x="3667"/>
        <item m="1" x="3706"/>
        <item m="1" x="3707"/>
        <item m="1" x="3147"/>
        <item m="1" x="3148"/>
        <item m="1" x="3513"/>
        <item m="1" x="3239"/>
        <item m="1" x="3149"/>
        <item m="1" x="3823"/>
        <item m="1" x="3222"/>
        <item m="1" x="3026"/>
        <item m="1" x="3906"/>
        <item m="1" x="3143"/>
        <item m="1" x="3161"/>
        <item m="1" x="3144"/>
        <item m="1" x="3162"/>
        <item m="1" x="3069"/>
        <item m="1" x="3027"/>
        <item m="1" x="3188"/>
        <item m="1" x="3189"/>
        <item m="1" x="3070"/>
        <item m="1" x="2957"/>
        <item m="1" x="3071"/>
        <item m="1" x="2958"/>
        <item m="1" x="3072"/>
        <item m="1" x="2805"/>
        <item m="1" x="3073"/>
        <item m="1" x="3074"/>
        <item m="1" x="2879"/>
        <item m="1" x="3767"/>
        <item m="1" x="3890"/>
        <item m="1" x="3582"/>
        <item m="1" x="3606"/>
        <item m="1" x="3583"/>
        <item m="1" x="3607"/>
        <item m="1" x="3608"/>
        <item m="1" x="3584"/>
        <item m="1" x="3585"/>
        <item m="1" x="3609"/>
        <item m="1" x="3028"/>
        <item m="1" x="2981"/>
        <item m="1" x="2982"/>
        <item m="1" x="2983"/>
        <item m="1" x="3029"/>
        <item m="1" x="2771"/>
        <item m="1" x="3030"/>
        <item m="1" x="3031"/>
        <item m="1" x="3223"/>
        <item m="1" x="3224"/>
        <item m="1" x="3225"/>
        <item m="1" x="3192"/>
        <item m="1" x="3193"/>
        <item m="1" x="2984"/>
        <item m="1" x="2985"/>
        <item m="1" x="3452"/>
        <item m="1" x="3454"/>
        <item m="1" x="3455"/>
        <item m="1" x="3456"/>
        <item m="1" x="3269"/>
        <item m="1" x="3401"/>
        <item m="1" x="3402"/>
        <item m="1" x="3270"/>
        <item m="1" x="3271"/>
        <item m="1" x="3272"/>
        <item m="1" x="3273"/>
        <item m="1" x="3274"/>
        <item m="1" x="3275"/>
        <item m="1" x="3276"/>
        <item m="1" x="3331"/>
        <item m="1" x="3277"/>
        <item m="1" x="3403"/>
        <item m="1" x="3457"/>
        <item m="1" x="3458"/>
        <item m="1" x="3459"/>
        <item m="1" x="3278"/>
        <item m="1" x="3279"/>
        <item m="1" x="3280"/>
        <item m="1" x="3281"/>
        <item m="1" x="3282"/>
        <item m="1" x="3283"/>
        <item m="1" x="3332"/>
        <item m="1" x="3284"/>
        <item m="1" x="3285"/>
        <item m="1" x="3286"/>
        <item m="1" x="3287"/>
        <item m="1" x="3288"/>
        <item m="1" x="3289"/>
        <item m="1" x="3333"/>
        <item m="1" x="3334"/>
        <item m="1" x="3335"/>
        <item m="1" x="3336"/>
        <item m="1" x="3337"/>
        <item m="1" x="3338"/>
        <item m="1" x="3460"/>
        <item m="1" x="3518"/>
        <item m="1" x="3586"/>
        <item m="1" x="3587"/>
        <item m="1" x="3588"/>
        <item m="1" x="3589"/>
        <item m="1" x="3569"/>
        <item m="1" x="3590"/>
        <item m="1" x="3570"/>
        <item m="1" x="3571"/>
        <item m="1" x="3519"/>
        <item m="1" x="3362"/>
        <item m="1" x="3461"/>
        <item m="1" x="3339"/>
        <item m="1" x="3572"/>
        <item m="1" x="3520"/>
        <item m="1" x="3573"/>
        <item m="1" x="3290"/>
        <item m="1" x="3462"/>
        <item m="1" x="3291"/>
        <item m="1" x="3340"/>
        <item m="1" x="3341"/>
        <item m="1" x="3342"/>
        <item m="1" x="3363"/>
        <item m="1" x="3343"/>
        <item m="1" x="3344"/>
        <item m="1" x="3364"/>
        <item m="1" x="3345"/>
        <item m="1" x="3346"/>
        <item m="1" x="3347"/>
        <item m="1" x="3348"/>
        <item m="1" x="3349"/>
        <item m="1" x="3350"/>
        <item m="1" x="3574"/>
        <item m="1" x="3575"/>
        <item m="1" x="3463"/>
        <item m="1" x="3292"/>
        <item m="1" x="3464"/>
        <item m="1" x="3465"/>
        <item m="1" x="3293"/>
        <item m="1" x="3351"/>
        <item m="1" x="3352"/>
        <item m="1" x="3353"/>
        <item m="1" x="3294"/>
        <item m="1" x="3466"/>
        <item m="1" x="3354"/>
        <item m="1" x="3355"/>
        <item m="1" x="3356"/>
        <item m="1" x="3108"/>
        <item m="1" x="2999"/>
        <item m="1" x="3000"/>
        <item m="1" x="3001"/>
        <item m="1" x="3002"/>
        <item m="1" x="3003"/>
        <item m="1" x="3004"/>
        <item m="1" x="2799"/>
        <item m="1" x="3453"/>
        <item m="1" x="2708"/>
        <item m="1" x="2881"/>
        <item m="1" x="3191"/>
        <item m="1" x="3581"/>
        <item m="1" x="3075"/>
        <item m="1" x="3076"/>
        <item m="1" x="2880"/>
        <item m="1" x="3226"/>
        <item m="1" x="3515"/>
        <item m="1" x="3516"/>
        <item m="1" x="3567"/>
        <item m="1" x="3768"/>
        <item m="1" x="3769"/>
        <item m="1" x="3568"/>
        <item m="1" x="3005"/>
        <item m="1" x="3826"/>
        <item m="1" x="3009"/>
        <item m="1" x="2709"/>
        <item m="1" x="2834"/>
        <item m="1" x="2835"/>
        <item m="1" x="2836"/>
        <item m="1" x="3077"/>
        <item m="1" x="2837"/>
        <item m="1" x="3610"/>
        <item m="1" x="3611"/>
        <item m="1" x="3194"/>
        <item m="1" x="3094"/>
        <item m="1" x="3241"/>
        <item m="1" x="3195"/>
        <item m="1" x="3196"/>
        <item m="1" x="3197"/>
        <item m="1" x="3032"/>
        <item m="1" x="3095"/>
        <item m="1" x="3033"/>
        <item m="1" x="3034"/>
        <item m="1" x="3035"/>
        <item m="1" x="3036"/>
        <item m="1" x="2986"/>
        <item m="1" x="3006"/>
        <item m="1" x="3007"/>
        <item m="1" x="3008"/>
        <item m="1" x="2953"/>
        <item m="1" x="2954"/>
        <item m="1" x="2955"/>
        <item m="1" x="3145"/>
        <item m="1" x="3299"/>
        <item m="1" x="3300"/>
        <item m="1" x="3301"/>
        <item m="1" x="3150"/>
        <item m="1" x="3216"/>
        <item m="1" x="3168"/>
        <item m="1" x="3169"/>
        <item m="1" x="2959"/>
        <item m="1" x="3078"/>
        <item m="1" x="2960"/>
        <item m="1" x="3170"/>
        <item m="1" x="3217"/>
        <item m="1" x="2929"/>
        <item m="1" x="3037"/>
        <item m="1" x="3038"/>
        <item m="1" x="3039"/>
        <item m="1" x="3040"/>
        <item m="1" x="3041"/>
        <item m="1" x="2987"/>
        <item m="1" x="3042"/>
        <item m="1" x="3043"/>
        <item m="1" x="2988"/>
        <item m="1" x="3044"/>
        <item m="1" x="3045"/>
        <item m="1" x="3049"/>
        <item m="1" x="3050"/>
        <item m="1" x="3051"/>
        <item m="1" x="3052"/>
        <item m="1" x="2989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302"/>
        <item m="1" x="3303"/>
        <item m="1" x="3304"/>
        <item m="1" x="3305"/>
        <item m="1" x="2930"/>
        <item m="1" x="3298"/>
        <item m="1" x="3171"/>
        <item m="1" x="3079"/>
        <item m="1" x="3109"/>
        <item m="1" x="2759"/>
        <item m="1" x="3172"/>
        <item m="1" x="3080"/>
        <item m="1" x="3110"/>
        <item m="1" x="2961"/>
        <item m="1" x="3010"/>
        <item m="1" x="2910"/>
        <item m="1" x="2962"/>
        <item m="1" x="3173"/>
        <item m="1" x="3111"/>
        <item m="1" x="3112"/>
        <item m="1" x="2931"/>
        <item m="1" x="3113"/>
        <item m="1" x="2963"/>
        <item m="1" x="3114"/>
        <item m="1" x="3011"/>
        <item m="1" x="3151"/>
        <item m="1" x="3174"/>
        <item m="1" x="2710"/>
        <item m="1" x="3081"/>
        <item m="1" x="3175"/>
        <item m="1" x="3082"/>
        <item m="1" x="3115"/>
        <item m="1" x="2726"/>
        <item m="1" x="3321"/>
        <item m="1" x="3116"/>
        <item m="1" x="3152"/>
        <item m="1" x="3176"/>
        <item m="1" x="2964"/>
        <item m="1" x="3218"/>
        <item m="1" x="3177"/>
        <item m="1" x="3219"/>
        <item m="1" x="3117"/>
        <item m="1" x="3322"/>
        <item m="1" x="2911"/>
        <item m="1" x="3118"/>
        <item m="1" x="2727"/>
        <item m="1" x="3119"/>
        <item m="1" x="2728"/>
        <item m="1" x="3083"/>
        <item m="1" x="3153"/>
        <item m="1" x="3178"/>
        <item m="1" x="3084"/>
        <item m="1" x="3323"/>
        <item m="1" x="3179"/>
        <item m="1" x="3085"/>
        <item m="1" x="3086"/>
        <item m="1" x="3087"/>
        <item m="1" x="3324"/>
        <item m="1" x="2729"/>
        <item m="1" x="3325"/>
        <item m="1" x="2711"/>
        <item m="1" x="3120"/>
        <item m="1" x="2965"/>
        <item m="1" x="3121"/>
        <item m="1" x="2900"/>
        <item m="1" x="3326"/>
        <item m="1" x="2912"/>
        <item m="1" x="3122"/>
        <item m="1" x="2712"/>
        <item m="1" x="3180"/>
        <item m="1" x="2838"/>
        <item m="1" x="3088"/>
        <item m="1" x="3123"/>
        <item m="1" x="2949"/>
        <item m="1" x="3181"/>
        <item m="1" x="2966"/>
        <item m="1" x="3012"/>
        <item m="1" x="3327"/>
        <item m="1" x="3124"/>
        <item m="1" x="3240"/>
        <item m="1" x="3182"/>
        <item m="1" x="2967"/>
        <item m="1" x="2760"/>
        <item m="1" x="2839"/>
        <item m="1" x="2932"/>
        <item m="1" x="2950"/>
        <item m="1" x="3183"/>
        <item m="1" x="3125"/>
        <item m="1" x="2840"/>
        <item m="1" x="2933"/>
        <item m="1" x="3089"/>
        <item m="1" x="2913"/>
        <item m="1" x="3090"/>
        <item m="1" x="2968"/>
        <item m="1" x="2969"/>
        <item m="1" x="2951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2914"/>
        <item m="1" x="3328"/>
        <item m="1" x="3091"/>
        <item m="1" x="2970"/>
        <item m="1" x="3154"/>
        <item m="1" x="3184"/>
        <item m="1" x="2934"/>
        <item m="1" x="2971"/>
        <item m="1" x="3329"/>
        <item m="1" x="3126"/>
        <item m="1" x="3127"/>
        <item m="1" x="3185"/>
        <item m="1" x="3128"/>
        <item m="1" x="2882"/>
        <item m="1" x="2972"/>
        <item m="1" x="2883"/>
        <item m="1" x="3186"/>
        <item m="1" x="3129"/>
        <item m="1" x="2973"/>
        <item m="1" x="3330"/>
        <item m="1" x="2915"/>
        <item m="1" x="3092"/>
        <item m="1" x="2974"/>
        <item m="1" x="2916"/>
        <item m="1" x="2975"/>
        <item m="1" x="3625"/>
        <item m="1" x="2976"/>
        <item m="1" x="3626"/>
        <item m="1" x="2977"/>
        <item m="1" x="2978"/>
        <item m="1" x="2806"/>
        <item m="1" x="3093"/>
        <item m="1" x="2979"/>
        <item m="1" x="3130"/>
        <item m="1" x="2917"/>
        <item m="1" x="3190"/>
        <item m="1" x="3046"/>
        <item m="1" x="3227"/>
        <item m="1" x="3242"/>
        <item m="1" x="3243"/>
        <item m="1" x="3228"/>
        <item m="1" x="3244"/>
        <item m="1" x="3245"/>
        <item m="1" x="3047"/>
        <item m="1" x="3131"/>
        <item m="1" x="3048"/>
        <item m="1" x="3246"/>
        <item m="1" x="3247"/>
        <item m="1" x="3229"/>
        <item m="1" x="3248"/>
        <item m="1" x="3064"/>
        <item m="1" x="3230"/>
        <item m="1" x="3249"/>
        <item m="1" x="3250"/>
        <item m="1" x="3612"/>
        <item m="1" x="3613"/>
        <item m="1" x="3198"/>
        <item m="1" x="3199"/>
        <item m="1" x="3096"/>
        <item m="1" x="3097"/>
        <item m="1" x="3231"/>
        <item m="1" x="3132"/>
        <item m="1" x="3133"/>
        <item m="1" x="3134"/>
        <item m="1" x="3135"/>
        <item m="1" x="2952"/>
        <item m="1" x="3232"/>
        <item m="1" x="3614"/>
        <item m="1" x="3098"/>
        <item m="1" x="3099"/>
        <item m="1" x="3100"/>
        <item m="1" x="3101"/>
        <item m="1" x="3102"/>
        <item m="1" x="3200"/>
        <item m="1" x="3251"/>
        <item m="1" x="3103"/>
        <item m="1" x="3104"/>
        <item m="1" x="3252"/>
        <item m="1" x="3253"/>
        <item m="1" x="3254"/>
        <item m="1" x="3255"/>
        <item m="1" x="3233"/>
        <item m="1" x="3449"/>
        <item m="1" x="3517"/>
        <item m="1" x="3234"/>
        <item m="1" x="3201"/>
        <item m="1" x="3202"/>
        <item m="1" x="3615"/>
        <item m="1" x="3616"/>
        <item m="1" x="3617"/>
        <item m="1" x="3618"/>
        <item m="1" x="3105"/>
        <item m="1" x="3159"/>
        <item m="1" x="3203"/>
        <item m="1" x="3256"/>
        <item m="1" x="3257"/>
        <item m="1" x="3258"/>
        <item m="1" x="3259"/>
        <item m="1" x="3260"/>
        <item m="1" x="3261"/>
        <item m="1" x="3262"/>
        <item m="1" x="3263"/>
        <item m="1" x="3204"/>
        <item m="1" x="3205"/>
        <item m="1" x="3264"/>
        <item m="1" x="3206"/>
        <item m="1" x="3265"/>
        <item m="1" x="3266"/>
        <item m="1" x="3160"/>
        <item m="1" x="3207"/>
        <item m="1" x="3467"/>
        <item m="1" x="2592"/>
        <item m="1" x="2593"/>
        <item m="1" x="2594"/>
        <item m="1" x="2990"/>
        <item m="1" x="2991"/>
        <item m="1" x="2992"/>
        <item m="1" x="2993"/>
        <item m="1" x="2994"/>
        <item m="1" x="3306"/>
        <item m="1" x="2519"/>
        <item m="1" x="3023"/>
        <item m="1" x="2980"/>
        <item m="1" x="2761"/>
        <item m="1" x="3024"/>
        <item m="1" x="3025"/>
        <item m="1" x="2647"/>
        <item m="1" x="2587"/>
        <item m="1" x="2384"/>
        <item m="1" x="3267"/>
        <item m="1" x="3208"/>
        <item m="1" x="3106"/>
        <item m="1" x="3209"/>
        <item m="1" x="2995"/>
        <item m="1" x="2801"/>
        <item m="1" x="2802"/>
        <item m="1" x="2803"/>
        <item m="1" x="3450"/>
        <item m="1" x="2891"/>
        <item m="1" x="3268"/>
        <item m="1" x="2892"/>
        <item m="1" x="2893"/>
        <item m="1" x="2845"/>
        <item m="1" x="2846"/>
        <item m="1" x="2814"/>
        <item m="1" x="2847"/>
        <item m="1" x="2889"/>
        <item m="1" x="2848"/>
        <item m="1" x="2849"/>
        <item m="1" x="2850"/>
        <item m="1" x="2851"/>
        <item m="1" x="2815"/>
        <item m="1" x="2852"/>
        <item m="1" x="2816"/>
        <item m="1" x="2772"/>
        <item m="1" x="2853"/>
        <item m="1" x="2854"/>
        <item m="1" x="2855"/>
        <item m="1" x="2856"/>
        <item m="1" x="2857"/>
        <item m="1" x="2890"/>
        <item m="1" x="2858"/>
        <item m="1" x="2773"/>
        <item m="1" x="2859"/>
        <item m="1" x="2996"/>
        <item m="1" x="2997"/>
        <item m="1" x="2998"/>
        <item m="1" x="2901"/>
        <item m="1" x="2902"/>
        <item m="1" x="2903"/>
        <item m="1" x="2595"/>
        <item m="1" x="2596"/>
        <item m="1" x="2861"/>
        <item m="1" x="3514"/>
        <item m="1" x="3210"/>
        <item m="1" x="3211"/>
        <item m="1" x="3213"/>
        <item m="1" x="2833"/>
        <item m="1" x="2905"/>
        <item m="1" x="2906"/>
        <item m="1" x="2920"/>
        <item m="1" x="2374"/>
        <item m="1" x="2860"/>
        <item m="1" x="3451"/>
        <item m="1" x="3136"/>
        <item m="1" x="3137"/>
        <item m="1" x="3138"/>
        <item m="1" x="3139"/>
        <item m="1" x="3140"/>
        <item m="1" x="3141"/>
        <item m="1" x="3142"/>
        <item m="1" x="2921"/>
        <item m="1" x="3107"/>
        <item m="1" x="3065"/>
        <item m="1" x="2732"/>
        <item m="1" x="2648"/>
        <item m="1" x="2649"/>
        <item m="1" x="2485"/>
        <item m="1" x="2375"/>
        <item m="1" x="2650"/>
        <item m="1" x="2486"/>
        <item m="1" x="2651"/>
        <item m="1" x="2652"/>
        <item m="1" x="2653"/>
        <item m="1" x="2654"/>
        <item m="1" x="2655"/>
        <item m="1" x="2588"/>
        <item m="1" x="2562"/>
        <item m="1" x="2656"/>
        <item m="1" x="2657"/>
        <item m="1" x="2807"/>
        <item m="1" x="2658"/>
        <item m="1" x="2659"/>
        <item m="1" x="2660"/>
        <item m="1" x="2661"/>
        <item m="1" x="2662"/>
        <item m="1" x="2808"/>
        <item m="1" x="2663"/>
        <item m="1" x="2841"/>
        <item m="1" x="2664"/>
        <item m="1" x="2665"/>
        <item m="1" x="2574"/>
        <item m="1" x="2666"/>
        <item m="1" x="2667"/>
        <item m="1" x="2501"/>
        <item m="1" x="2668"/>
        <item m="1" x="2431"/>
        <item m="1" x="2563"/>
        <item m="1" x="2502"/>
        <item m="1" x="2669"/>
        <item m="1" x="2670"/>
        <item m="1" x="2671"/>
        <item m="1" x="2672"/>
        <item m="1" x="2524"/>
        <item m="1" x="2589"/>
        <item m="1" x="2673"/>
        <item m="1" x="2713"/>
        <item m="1" x="2674"/>
        <item m="1" x="2675"/>
        <item m="1" x="2676"/>
        <item m="1" x="2762"/>
        <item m="1" x="2677"/>
        <item m="1" x="2809"/>
        <item m="1" x="2678"/>
        <item m="1" x="2730"/>
        <item m="1" x="2679"/>
        <item m="1" x="2763"/>
        <item m="1" x="2764"/>
        <item m="1" x="2680"/>
        <item m="1" x="2681"/>
        <item m="1" x="2765"/>
        <item m="1" x="2682"/>
        <item m="1" x="2731"/>
        <item m="1" x="2810"/>
        <item m="1" x="2432"/>
        <item m="1" x="2575"/>
        <item m="1" x="2683"/>
        <item m="1" x="2714"/>
        <item m="1" x="2576"/>
        <item m="1" x="2684"/>
        <item m="1" x="2884"/>
        <item m="1" x="2766"/>
        <item m="1" x="2685"/>
        <item m="1" x="2583"/>
        <item m="1" x="2686"/>
        <item m="1" x="2564"/>
        <item m="1" x="2767"/>
        <item m="1" x="2811"/>
        <item m="1" x="2577"/>
        <item m="1" x="2687"/>
        <item m="1" x="2503"/>
        <item m="1" x="2768"/>
        <item m="1" x="2433"/>
        <item m="1" x="2715"/>
        <item m="1" x="2504"/>
        <item m="1" x="2565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885"/>
        <item m="1" x="2700"/>
        <item m="1" x="2590"/>
        <item m="1" x="2701"/>
        <item m="1" x="2702"/>
        <item m="1" x="2812"/>
        <item m="1" x="2703"/>
        <item m="1" x="2716"/>
        <item m="1" x="2886"/>
        <item m="1" x="2887"/>
        <item m="1" x="2842"/>
        <item m="1" x="2525"/>
        <item m="1" x="2843"/>
        <item m="1" x="2888"/>
        <item m="1" x="2566"/>
        <item m="1" x="2591"/>
        <item m="1" x="2769"/>
        <item m="1" x="2717"/>
        <item m="1" x="2733"/>
        <item m="1" x="2936"/>
        <item m="1" x="2937"/>
        <item m="1" x="2904"/>
        <item m="1" x="2922"/>
        <item m="1" x="2938"/>
        <item m="1" x="2923"/>
        <item m="1" x="2907"/>
        <item m="1" x="2924"/>
        <item m="1" x="2925"/>
        <item m="1" x="2926"/>
        <item m="1" x="2908"/>
        <item m="1" x="2927"/>
        <item m="1" x="292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09"/>
        <item m="1" x="2804"/>
        <item m="1" x="2520"/>
        <item m="1" x="3155"/>
        <item m="1" x="3156"/>
        <item m="1" x="3157"/>
        <item m="1" x="3158"/>
        <item m="1" x="2918"/>
        <item m="1" x="2948"/>
        <item m="1" x="3295"/>
        <item m="1" x="3296"/>
        <item m="1" x="3297"/>
        <item m="1" x="2813"/>
        <item m="1" x="2844"/>
        <item m="1" x="2935"/>
        <item m="1" x="2704"/>
        <item m="1" x="2597"/>
        <item m="1" x="2817"/>
        <item m="1" x="2521"/>
        <item m="1" x="2522"/>
        <item m="1" x="2523"/>
        <item m="1" x="2755"/>
        <item m="1" x="2756"/>
        <item m="1" x="2757"/>
        <item m="1" x="3187"/>
        <item m="1" x="3220"/>
        <item m="1" x="3221"/>
        <item m="1" x="2541"/>
        <item m="1" x="2750"/>
        <item m="1" x="2484"/>
        <item m="1" x="2894"/>
        <item m="1" x="2895"/>
        <item m="1" x="2919"/>
        <item m="1" x="2598"/>
        <item m="1" x="2599"/>
        <item m="1" x="2600"/>
        <item m="1" x="2430"/>
        <item m="1" x="2601"/>
        <item m="1" x="2602"/>
        <item m="1" x="2603"/>
        <item m="1" x="2604"/>
        <item m="1" x="2605"/>
        <item m="1" x="2606"/>
        <item m="1" x="2607"/>
        <item m="1" x="2774"/>
        <item m="1" x="2608"/>
        <item m="1" x="2609"/>
        <item m="1" x="2610"/>
        <item m="1" x="2611"/>
        <item m="1" x="2775"/>
        <item m="1" x="2776"/>
        <item m="1" x="2777"/>
        <item m="1" x="2778"/>
        <item m="1" x="2612"/>
        <item m="1" x="2818"/>
        <item m="1" x="2613"/>
        <item m="1" x="2614"/>
        <item m="1" x="2615"/>
        <item m="1" x="2779"/>
        <item m="1" x="2616"/>
        <item m="1" x="2617"/>
        <item m="1" x="2819"/>
        <item m="1" x="2780"/>
        <item m="1" x="2618"/>
        <item m="1" x="2619"/>
        <item m="1" x="2820"/>
        <item m="1" x="2781"/>
        <item m="1" x="2620"/>
        <item m="1" x="2621"/>
        <item m="1" x="2821"/>
        <item m="1" x="2822"/>
        <item m="1" x="2622"/>
        <item m="1" x="2823"/>
        <item m="1" x="2824"/>
        <item m="1" x="2623"/>
        <item m="1" x="2825"/>
        <item m="1" x="2826"/>
        <item m="1" x="2782"/>
        <item m="1" x="2827"/>
        <item m="1" x="2783"/>
        <item m="1" x="2747"/>
        <item m="1" x="2784"/>
        <item m="1" x="2785"/>
        <item m="1" x="2786"/>
        <item m="1" x="2787"/>
        <item m="1" x="2748"/>
        <item m="1" x="2749"/>
        <item m="1" x="2788"/>
        <item m="1" x="2828"/>
        <item m="1" x="2624"/>
        <item m="1" x="2625"/>
        <item m="1" x="2626"/>
        <item m="1" x="2627"/>
        <item m="1" x="2789"/>
        <item m="1" x="2628"/>
        <item m="1" x="2790"/>
        <item m="1" x="2791"/>
        <item m="1" x="2629"/>
        <item m="1" x="2630"/>
        <item m="1" x="2631"/>
        <item m="1" x="2632"/>
        <item m="1" x="2792"/>
        <item m="1" x="2829"/>
        <item m="1" x="2793"/>
        <item m="1" x="2830"/>
        <item m="1" x="2794"/>
        <item m="1" x="2795"/>
        <item m="1" x="2633"/>
        <item m="1" x="2634"/>
        <item m="1" x="2796"/>
        <item m="1" x="2797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635"/>
        <item m="1" x="2831"/>
        <item m="1" x="2873"/>
        <item m="1" x="2874"/>
        <item m="1" x="2636"/>
        <item m="1" x="2637"/>
        <item m="1" x="2638"/>
        <item m="1" x="2875"/>
        <item m="1" x="2876"/>
        <item m="1" x="2639"/>
        <item m="1" x="2877"/>
        <item m="1" x="2640"/>
        <item m="1" x="2641"/>
        <item m="1" x="2642"/>
        <item m="1" x="2798"/>
        <item m="1" x="2878"/>
        <item m="1" x="2643"/>
        <item m="1" x="2832"/>
        <item m="1" x="2720"/>
        <item m="1" x="2721"/>
        <item m="1" x="2722"/>
        <item m="1" x="2723"/>
        <item m="1" x="2751"/>
        <item m="1" x="2752"/>
        <item m="1" x="2534"/>
        <item m="1" x="2800"/>
        <item m="1" x="2753"/>
        <item m="1" x="2725"/>
        <item m="1" x="2556"/>
        <item m="1" x="2536"/>
        <item m="1" x="2557"/>
        <item m="1" x="2558"/>
        <item m="1" x="2559"/>
        <item m="1" x="2560"/>
        <item m="1" x="2561"/>
        <item m="1" x="2376"/>
        <item m="1" x="2487"/>
        <item m="1" x="2349"/>
        <item m="1" x="2754"/>
        <item m="1" x="2724"/>
        <item m="1" x="2535"/>
        <item m="1" x="2497"/>
        <item m="1" x="2555"/>
        <item m="1" x="2499"/>
        <item m="1" x="2734"/>
        <item m="1" x="2718"/>
        <item m="1" x="2735"/>
        <item m="1" x="2719"/>
        <item m="1" x="2736"/>
        <item m="1" x="2737"/>
        <item m="1" x="2896"/>
        <item m="1" x="2897"/>
        <item m="1" x="2898"/>
        <item m="1" x="2899"/>
        <item m="1" x="2738"/>
        <item m="1" x="2573"/>
        <item m="1" x="2579"/>
        <item m="1" x="2580"/>
        <item m="1" x="2581"/>
        <item m="1" x="2498"/>
        <item m="1" x="2377"/>
        <item m="1" x="2378"/>
        <item m="1" x="2288"/>
        <item m="1" x="2505"/>
        <item m="1" x="2289"/>
        <item m="1" x="2290"/>
        <item m="1" x="2542"/>
        <item m="1" x="2543"/>
        <item m="1" x="2291"/>
        <item m="1" x="2350"/>
        <item m="1" x="2292"/>
        <item m="1" x="2293"/>
        <item m="1" x="2294"/>
        <item m="1" x="2567"/>
        <item m="1" x="2295"/>
        <item m="1" x="2296"/>
        <item m="1" x="2297"/>
        <item m="1" x="2155"/>
        <item m="1" x="2544"/>
        <item m="1" x="2434"/>
        <item m="1" x="2298"/>
        <item m="1" x="2351"/>
        <item m="1" x="2545"/>
        <item m="1" x="2506"/>
        <item m="1" x="2299"/>
        <item m="1" x="2300"/>
        <item m="1" x="2578"/>
        <item m="1" x="2301"/>
        <item m="1" x="2352"/>
        <item m="1" x="2302"/>
        <item m="1" x="2353"/>
        <item m="1" x="2546"/>
        <item m="1" x="2303"/>
        <item m="1" x="2435"/>
        <item m="1" x="2526"/>
        <item m="1" x="2304"/>
        <item m="1" x="2354"/>
        <item m="1" x="2436"/>
        <item m="1" x="2355"/>
        <item m="1" x="2156"/>
        <item m="1" x="1981"/>
        <item m="1" x="2547"/>
        <item m="1" x="2305"/>
        <item m="1" x="2021"/>
        <item m="1" x="2306"/>
        <item m="1" x="2307"/>
        <item m="1" x="2356"/>
        <item m="1" x="2527"/>
        <item m="1" x="2507"/>
        <item m="1" x="2508"/>
        <item m="1" x="2437"/>
        <item m="1" x="2509"/>
        <item m="1" x="2438"/>
        <item m="1" x="2510"/>
        <item m="1" x="2357"/>
        <item m="1" x="2308"/>
        <item m="1" x="2022"/>
        <item m="1" x="2358"/>
        <item m="1" x="2379"/>
        <item m="1" x="2511"/>
        <item m="1" x="2309"/>
        <item m="1" x="2512"/>
        <item m="1" x="2439"/>
        <item m="1" x="2513"/>
        <item m="1" x="2514"/>
        <item m="1" x="2440"/>
        <item m="1" x="2359"/>
        <item m="1" x="2310"/>
        <item m="1" x="2311"/>
        <item m="1" x="2515"/>
        <item m="1" x="2360"/>
        <item m="1" x="2312"/>
        <item m="1" x="2361"/>
        <item m="1" x="2441"/>
        <item m="1" x="2157"/>
        <item m="1" x="2362"/>
        <item m="1" x="2516"/>
        <item m="1" x="2363"/>
        <item m="1" x="2313"/>
        <item m="1" x="2314"/>
        <item m="1" x="2488"/>
        <item m="1" x="2315"/>
        <item m="1" x="2528"/>
        <item m="1" x="2316"/>
        <item m="1" x="2380"/>
        <item m="1" x="2489"/>
        <item m="1" x="2442"/>
        <item m="1" x="2317"/>
        <item m="1" x="2023"/>
        <item m="1" x="2443"/>
        <item m="1" x="2444"/>
        <item m="1" x="2490"/>
        <item m="1" x="2445"/>
        <item m="1" x="2318"/>
        <item m="1" x="2319"/>
        <item m="1" x="2320"/>
        <item m="1" x="2529"/>
        <item m="1" x="2491"/>
        <item m="1" x="2446"/>
        <item m="1" x="2381"/>
        <item m="1" x="2364"/>
        <item m="1" x="2447"/>
        <item m="1" x="2321"/>
        <item m="1" x="2492"/>
        <item m="1" x="2493"/>
        <item m="1" x="2494"/>
        <item m="1" x="2365"/>
        <item m="1" x="2448"/>
        <item m="1" x="2449"/>
        <item m="1" x="2322"/>
        <item m="1" x="2450"/>
        <item m="1" x="2451"/>
        <item m="1" x="2366"/>
        <item m="1" x="2530"/>
        <item m="1" x="2323"/>
        <item m="1" x="2324"/>
        <item m="1" x="2325"/>
        <item m="1" x="2382"/>
        <item m="1" x="2452"/>
        <item m="1" x="2367"/>
        <item m="1" x="2326"/>
        <item m="1" x="2517"/>
        <item m="1" x="1982"/>
        <item m="1" x="2453"/>
        <item m="1" x="2327"/>
        <item m="1" x="2158"/>
        <item m="1" x="2237"/>
        <item m="1" x="2500"/>
        <item m="1" x="2328"/>
        <item m="1" x="2537"/>
        <item m="1" x="2739"/>
        <item m="1" x="2170"/>
        <item m="1" x="2171"/>
        <item m="1" x="2172"/>
        <item m="1" x="2385"/>
        <item m="1" x="2368"/>
        <item m="1" x="2455"/>
        <item m="1" x="2456"/>
        <item m="1" x="2457"/>
        <item m="1" x="2458"/>
        <item m="1" x="2459"/>
        <item m="1" x="2386"/>
        <item m="1" x="2460"/>
        <item m="1" x="2173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74"/>
        <item m="1" x="2175"/>
        <item m="1" x="2176"/>
        <item m="1" x="2397"/>
        <item m="1" x="2398"/>
        <item m="1" x="2399"/>
        <item m="1" x="2400"/>
        <item m="1" x="2461"/>
        <item m="1" x="2462"/>
        <item m="1" x="2401"/>
        <item m="1" x="2463"/>
        <item m="1" x="2402"/>
        <item m="1" x="2403"/>
        <item m="1" x="2404"/>
        <item m="1" x="2405"/>
        <item m="1" x="2406"/>
        <item m="1" x="2177"/>
        <item m="1" x="2407"/>
        <item m="1" x="2178"/>
        <item m="1" x="2179"/>
        <item m="1" x="2408"/>
        <item m="1" x="2180"/>
        <item m="1" x="2181"/>
        <item m="1" x="2409"/>
        <item m="1" x="2410"/>
        <item m="1" x="2182"/>
        <item m="1" x="2411"/>
        <item m="1" x="2412"/>
        <item m="1" x="2464"/>
        <item m="1" x="2413"/>
        <item m="1" x="2465"/>
        <item m="1" x="2183"/>
        <item m="1" x="2184"/>
        <item m="1" x="2414"/>
        <item m="1" x="2415"/>
        <item m="1" x="2466"/>
        <item m="1" x="2273"/>
        <item m="1" x="2274"/>
        <item m="1" x="2275"/>
        <item m="1" x="2276"/>
        <item m="1" x="2277"/>
        <item m="1" x="2758"/>
        <item m="1" x="2283"/>
        <item m="1" x="2284"/>
        <item m="1" x="2416"/>
        <item m="1" x="2369"/>
        <item m="1" x="2370"/>
        <item m="1" x="2467"/>
        <item m="1" x="2468"/>
        <item m="1" x="2469"/>
        <item m="1" x="2371"/>
        <item m="1" x="2470"/>
        <item m="1" x="2471"/>
        <item m="1" x="2472"/>
        <item m="1" x="2372"/>
        <item m="1" x="2473"/>
        <item m="1" x="2474"/>
        <item m="1" x="2417"/>
        <item m="1" x="2418"/>
        <item m="1" x="2373"/>
        <item m="1" x="2419"/>
        <item m="1" x="2475"/>
        <item m="1" x="2476"/>
        <item m="1" x="2420"/>
        <item m="1" x="2477"/>
        <item m="1" x="2421"/>
        <item m="1" x="2422"/>
        <item m="1" x="2478"/>
        <item m="1" x="2423"/>
        <item m="1" x="2424"/>
        <item m="1" x="2425"/>
        <item m="1" x="2479"/>
        <item m="1" x="2480"/>
        <item m="1" x="2426"/>
        <item m="1" x="2427"/>
        <item m="1" x="2428"/>
        <item m="1" x="2481"/>
        <item m="1" x="2482"/>
        <item m="1" x="2429"/>
        <item m="1" x="2185"/>
        <item m="1" x="2483"/>
        <item m="1" x="2568"/>
        <item m="1" x="2549"/>
        <item m="1" x="2550"/>
        <item m="1" x="2740"/>
        <item m="1" x="2569"/>
        <item m="1" x="2551"/>
        <item m="1" x="2552"/>
        <item m="1" x="2186"/>
        <item m="1" x="2741"/>
        <item m="1" x="2518"/>
        <item m="1" x="2553"/>
        <item m="1" x="2496"/>
        <item m="1" x="2742"/>
        <item m="1" x="2538"/>
        <item m="1" x="2570"/>
        <item m="1" x="2554"/>
        <item m="1" x="2571"/>
        <item m="1" x="2743"/>
        <item m="1" x="2572"/>
        <item m="1" x="2744"/>
        <item m="1" x="2539"/>
        <item m="1" x="2745"/>
        <item m="1" x="2540"/>
        <item m="1" x="2533"/>
        <item m="1" x="2770"/>
        <item m="1" x="2705"/>
        <item m="1" x="2706"/>
        <item m="1" x="2707"/>
        <item m="1" x="2548"/>
        <item m="1" x="2495"/>
        <item m="1" x="2746"/>
        <item m="1" x="2187"/>
        <item m="1" x="2188"/>
        <item m="1" x="2189"/>
        <item m="1" x="2190"/>
        <item m="1" x="2191"/>
        <item m="1" x="2195"/>
        <item m="1" x="2584"/>
        <item m="1" x="2092"/>
        <item m="1" x="2192"/>
        <item m="1" x="2193"/>
        <item m="1" x="2194"/>
        <item m="1" x="2196"/>
        <item m="1" x="2197"/>
        <item m="1" x="2198"/>
        <item m="1" x="2036"/>
        <item m="1" x="2037"/>
        <item m="1" x="2199"/>
        <item m="1" x="2200"/>
        <item m="1" x="2201"/>
        <item m="1" x="2202"/>
        <item m="1" x="2038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644"/>
        <item m="1" x="2645"/>
        <item m="1" x="2582"/>
        <item m="1" x="2585"/>
        <item m="1" x="2646"/>
        <item m="1" x="2586"/>
        <item m="1" x="2278"/>
        <item m="1" x="2279"/>
        <item m="1" x="2024"/>
        <item m="1" x="2093"/>
        <item m="1" x="2159"/>
        <item m="1" x="2329"/>
        <item m="1" x="2330"/>
        <item m="1" x="1983"/>
        <item m="1" x="1984"/>
        <item m="1" x="2331"/>
        <item m="1" x="2332"/>
        <item m="1" x="2333"/>
        <item m="1" x="2334"/>
        <item m="1" x="2160"/>
        <item m="1" x="1985"/>
        <item m="1" x="2335"/>
        <item m="1" x="2336"/>
        <item m="1" x="2094"/>
        <item m="1" x="1986"/>
        <item m="1" x="2025"/>
        <item m="1" x="2026"/>
        <item m="1" x="2161"/>
        <item m="1" x="2095"/>
        <item m="1" x="2337"/>
        <item m="1" x="2096"/>
        <item m="1" x="2338"/>
        <item m="1" x="2339"/>
        <item m="1" x="2340"/>
        <item m="1" x="2097"/>
        <item m="1" x="2162"/>
        <item m="1" x="2341"/>
        <item m="1" x="2342"/>
        <item m="1" x="1987"/>
        <item m="1" x="2163"/>
        <item m="1" x="2343"/>
        <item m="1" x="2098"/>
        <item m="1" x="2099"/>
        <item m="1" x="2100"/>
        <item m="1" x="2101"/>
        <item m="1" x="2027"/>
        <item m="1" x="2344"/>
        <item m="1" x="2102"/>
        <item m="1" x="2028"/>
        <item m="1" x="2103"/>
        <item m="1" x="1988"/>
        <item m="1" x="2164"/>
        <item m="1" x="1989"/>
        <item m="1" x="2104"/>
        <item m="1" x="2105"/>
        <item m="1" x="2106"/>
        <item m="1" x="2165"/>
        <item m="1" x="2166"/>
        <item m="1" x="2107"/>
        <item m="1" x="2108"/>
        <item m="1" x="2109"/>
        <item m="1" x="2110"/>
        <item m="1" x="2111"/>
        <item m="1" x="2167"/>
        <item m="1" x="2112"/>
        <item m="1" x="2113"/>
        <item m="1" x="2168"/>
        <item m="1" x="2114"/>
        <item m="1" x="2115"/>
        <item m="1" x="2116"/>
        <item m="1" x="2117"/>
        <item m="1" x="2345"/>
        <item m="1" x="2346"/>
        <item m="1" x="2347"/>
        <item m="1" x="1990"/>
        <item m="1" x="2029"/>
        <item m="1" x="2348"/>
        <item m="1" x="1963"/>
        <item m="1" x="1912"/>
        <item m="1" x="2091"/>
        <item m="1" x="2281"/>
        <item m="1" x="1558"/>
        <item m="1" x="2149"/>
        <item m="1" x="2282"/>
        <item m="1" x="2215"/>
        <item m="1" x="2118"/>
        <item m="1" x="2039"/>
        <item m="1" x="2285"/>
        <item m="1" x="1925"/>
        <item m="1" x="1926"/>
        <item m="1" x="2150"/>
        <item m="1" x="2151"/>
        <item m="1" x="2152"/>
        <item m="1" x="2153"/>
        <item m="1" x="2154"/>
        <item m="1" x="1927"/>
        <item m="1" x="2238"/>
        <item m="1" x="2239"/>
        <item m="1" x="2240"/>
        <item m="1" x="2241"/>
        <item m="1" x="2242"/>
        <item m="1" x="2243"/>
        <item m="1" x="1961"/>
        <item m="1" x="2244"/>
        <item m="1" x="2245"/>
        <item m="1" x="2246"/>
        <item m="1" x="1835"/>
        <item m="1" x="2145"/>
        <item m="1" x="2531"/>
        <item m="1" x="2532"/>
        <item m="1" x="2040"/>
        <item m="1" x="2216"/>
        <item m="1" x="2217"/>
        <item m="1" x="2119"/>
        <item m="1" x="2218"/>
        <item m="1" x="2219"/>
        <item m="1" x="2120"/>
        <item m="1" x="2220"/>
        <item m="1" x="2041"/>
        <item m="1" x="2121"/>
        <item m="1" x="2221"/>
        <item m="1" x="2122"/>
        <item m="1" x="2222"/>
        <item m="1" x="2123"/>
        <item m="1" x="2124"/>
        <item m="1" x="2125"/>
        <item m="1" x="2223"/>
        <item m="1" x="2126"/>
        <item m="1" x="2224"/>
        <item m="1" x="2127"/>
        <item m="1" x="2225"/>
        <item m="1" x="2128"/>
        <item m="1" x="2226"/>
        <item m="1" x="2129"/>
        <item m="1" x="2227"/>
        <item m="1" x="2130"/>
        <item m="1" x="2131"/>
        <item m="1" x="1960"/>
        <item m="1" x="2247"/>
        <item m="1" x="2248"/>
        <item m="1" x="2249"/>
        <item m="1" x="2280"/>
        <item m="1" x="2146"/>
        <item m="1" x="2147"/>
        <item m="1" x="2148"/>
        <item m="1" x="2454"/>
        <item m="1" x="2383"/>
        <item m="1" x="2132"/>
        <item m="1" x="2229"/>
        <item m="1" x="1892"/>
        <item m="1" x="2000"/>
        <item m="1" x="2001"/>
        <item m="1" x="2002"/>
        <item m="1" x="2003"/>
        <item m="1" x="2042"/>
        <item m="1" x="2230"/>
        <item m="1" x="2231"/>
        <item m="1" x="2043"/>
        <item m="1" x="2232"/>
        <item m="1" x="2004"/>
        <item m="1" x="2233"/>
        <item m="1" x="1893"/>
        <item m="1" x="2234"/>
        <item m="1" x="2044"/>
        <item m="1" x="2045"/>
        <item m="1" x="2005"/>
        <item m="1" x="1894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1991"/>
        <item m="1" x="1992"/>
        <item m="1" x="1993"/>
        <item m="1" x="1930"/>
        <item m="1" x="1747"/>
        <item m="1" x="1994"/>
        <item m="1" x="2228"/>
        <item m="1" x="2046"/>
        <item m="1" x="2047"/>
        <item m="1" x="2048"/>
        <item m="1" x="2133"/>
        <item m="1" x="2235"/>
        <item m="1" x="2134"/>
        <item m="1" x="2236"/>
        <item m="1" x="2049"/>
        <item m="1" x="2050"/>
        <item m="1" x="2051"/>
        <item m="1" x="2052"/>
        <item m="1" x="2053"/>
        <item m="1" x="2006"/>
        <item m="1" x="2054"/>
        <item m="1" x="2055"/>
        <item m="1" x="2135"/>
        <item m="1" x="2136"/>
        <item m="1" x="2007"/>
        <item m="1" x="2056"/>
        <item m="1" x="2057"/>
        <item m="1" x="2058"/>
        <item m="1" x="2137"/>
        <item m="1" x="2059"/>
        <item m="1" x="2060"/>
        <item m="1" x="2138"/>
        <item m="1" x="2139"/>
        <item m="1" x="2061"/>
        <item m="1" x="2062"/>
        <item m="1" x="2019"/>
        <item m="1" x="2140"/>
        <item m="1" x="2141"/>
        <item m="1" x="2143"/>
        <item m="1" x="2065"/>
        <item m="1" x="1907"/>
        <item m="1" x="2066"/>
        <item m="1" x="2067"/>
        <item m="1" x="2068"/>
        <item m="1" x="2069"/>
        <item m="1" x="2070"/>
        <item m="1" x="2286"/>
        <item m="1" x="1694"/>
        <item m="1" x="1606"/>
        <item m="1" x="1739"/>
        <item m="1" x="1695"/>
        <item m="1" x="1696"/>
        <item m="1" x="2063"/>
        <item m="1" x="2008"/>
        <item m="1" x="1895"/>
        <item m="1" x="1896"/>
        <item m="1" x="1897"/>
        <item m="1" x="2009"/>
        <item m="1" x="2142"/>
        <item m="1" x="1898"/>
        <item m="1" x="1899"/>
        <item m="1" x="2010"/>
        <item m="1" x="1900"/>
        <item m="1" x="1901"/>
        <item m="1" x="1902"/>
        <item m="1" x="2011"/>
        <item m="1" x="2064"/>
        <item m="1" x="2012"/>
        <item m="1" x="1903"/>
        <item m="1" x="2013"/>
        <item m="1" x="2014"/>
        <item m="1" x="2071"/>
        <item m="1" x="2016"/>
        <item m="1" x="2072"/>
        <item m="1" x="1908"/>
        <item m="1" x="2073"/>
        <item m="1" x="2074"/>
        <item m="1" x="2144"/>
        <item m="1" x="2075"/>
        <item m="1" x="2076"/>
        <item m="1" x="2266"/>
        <item m="1" x="2077"/>
        <item m="1" x="2078"/>
        <item m="1" x="2079"/>
        <item m="1" x="1970"/>
        <item m="1" x="1971"/>
        <item m="1" x="1972"/>
        <item m="1" x="1973"/>
        <item m="1" x="1974"/>
        <item m="1" x="2267"/>
        <item m="1" x="2268"/>
        <item m="1" x="2080"/>
        <item m="1" x="2081"/>
        <item m="1" x="2269"/>
        <item m="1" x="2270"/>
        <item m="1" x="2271"/>
        <item m="1" x="2272"/>
        <item m="1" x="2082"/>
        <item m="1" x="2017"/>
        <item m="1" x="2083"/>
        <item m="1" x="1602"/>
        <item m="1" x="1603"/>
        <item m="1" x="1604"/>
        <item m="1" x="2084"/>
        <item m="1" x="2018"/>
        <item m="1" x="1962"/>
        <item m="1" x="1909"/>
        <item m="1" x="1975"/>
        <item m="1" x="1910"/>
        <item m="1" x="1911"/>
        <item m="1" x="2085"/>
        <item m="1" x="2086"/>
        <item m="1" x="2087"/>
        <item m="1" x="1976"/>
        <item m="1" x="1977"/>
        <item m="1" x="1978"/>
        <item m="1" x="1979"/>
        <item m="1" x="1980"/>
        <item m="1" x="2088"/>
        <item m="1" x="2089"/>
        <item m="1" x="2090"/>
        <item m="1" x="2287"/>
        <item m="1" x="1931"/>
        <item m="1" x="1840"/>
        <item m="1" x="1740"/>
        <item m="1" x="1841"/>
        <item m="1" x="1932"/>
        <item m="1" x="1842"/>
        <item m="1" x="1933"/>
        <item m="1" x="1995"/>
        <item m="1" x="1934"/>
        <item m="1" x="1935"/>
        <item m="1" x="1843"/>
        <item m="1" x="1936"/>
        <item m="1" x="1734"/>
        <item m="1" x="2030"/>
        <item m="1" x="1937"/>
        <item m="1" x="1938"/>
        <item m="1" x="1939"/>
        <item m="1" x="1964"/>
        <item m="1" x="1748"/>
        <item m="1" x="1940"/>
        <item m="1" x="1820"/>
        <item m="1" x="1749"/>
        <item m="1" x="1996"/>
        <item m="1" x="1941"/>
        <item m="1" x="1821"/>
        <item m="1" x="1750"/>
        <item m="1" x="1676"/>
        <item m="1" x="1822"/>
        <item m="1" x="2031"/>
        <item m="1" x="1942"/>
        <item m="1" x="1867"/>
        <item m="1" x="1751"/>
        <item m="1" x="1943"/>
        <item m="1" x="1823"/>
        <item m="1" x="1752"/>
        <item m="1" x="1944"/>
        <item m="1" x="1661"/>
        <item m="1" x="1965"/>
        <item m="1" x="1887"/>
        <item m="1" x="1735"/>
        <item m="1" x="1697"/>
        <item m="1" x="1844"/>
        <item m="1" x="1753"/>
        <item m="1" x="1845"/>
        <item m="1" x="1754"/>
        <item m="1" x="1846"/>
        <item m="1" x="1868"/>
        <item m="1" x="1755"/>
        <item m="1" x="1966"/>
        <item m="1" x="1945"/>
        <item m="1" x="1824"/>
        <item m="1" x="1736"/>
        <item m="1" x="1756"/>
        <item m="1" x="1786"/>
        <item m="1" x="1946"/>
        <item m="1" x="1847"/>
        <item m="1" x="1967"/>
        <item m="1" x="1848"/>
        <item m="1" x="1869"/>
        <item m="1" x="1757"/>
        <item m="1" x="2032"/>
        <item m="1" x="1849"/>
        <item m="1" x="2033"/>
        <item m="1" x="1850"/>
        <item m="1" x="1997"/>
        <item m="1" x="1947"/>
        <item m="1" x="1948"/>
        <item m="1" x="1787"/>
        <item m="1" x="1949"/>
        <item m="1" x="1870"/>
        <item m="1" x="1968"/>
        <item m="1" x="1731"/>
        <item m="1" x="1788"/>
        <item m="1" x="1825"/>
        <item m="1" x="1950"/>
        <item m="1" x="1951"/>
        <item m="1" x="1633"/>
        <item m="1" x="1789"/>
        <item m="1" x="1952"/>
        <item m="1" x="1758"/>
        <item m="1" x="1998"/>
        <item m="1" x="1999"/>
        <item m="1" x="1969"/>
        <item m="1" x="1826"/>
        <item m="1" x="1851"/>
        <item m="1" x="1759"/>
        <item m="1" x="1790"/>
        <item m="1" x="1634"/>
        <item m="1" x="1953"/>
        <item m="1" x="1954"/>
        <item m="1" x="1852"/>
        <item m="1" x="1596"/>
        <item m="1" x="2034"/>
        <item m="1" x="1737"/>
        <item m="1" x="2035"/>
        <item m="1" x="1760"/>
        <item m="1" x="1791"/>
        <item m="1" x="1761"/>
        <item m="1" x="1762"/>
        <item m="1" x="1827"/>
        <item m="1" x="1871"/>
        <item m="1" x="1872"/>
        <item m="1" x="1763"/>
        <item m="1" x="1853"/>
        <item m="1" x="1955"/>
        <item m="1" x="1854"/>
        <item m="1" x="1764"/>
        <item m="1" x="1855"/>
        <item m="1" x="1765"/>
        <item m="1" x="1873"/>
        <item m="1" x="1956"/>
        <item m="1" x="1874"/>
        <item m="1" x="1875"/>
        <item m="1" x="1957"/>
        <item m="1" x="1958"/>
        <item m="1" x="1888"/>
        <item m="1" x="1828"/>
        <item m="1" x="1856"/>
        <item m="1" x="1829"/>
        <item m="1" x="1792"/>
        <item m="1" x="1793"/>
        <item m="1" x="1857"/>
        <item m="1" x="1766"/>
        <item m="1" x="1889"/>
        <item m="1" x="1890"/>
        <item m="1" x="1767"/>
        <item m="1" x="1876"/>
        <item m="1" x="1768"/>
        <item m="1" x="1769"/>
        <item m="1" x="1741"/>
        <item m="1" x="1891"/>
        <item m="1" x="1698"/>
        <item m="1" x="1877"/>
        <item m="1" x="1794"/>
        <item m="1" x="1770"/>
        <item m="1" x="1771"/>
        <item m="1" x="1878"/>
        <item m="1" x="1772"/>
        <item m="1" x="2015"/>
        <item m="1" x="1904"/>
        <item m="1" x="1905"/>
        <item m="1" x="1832"/>
        <item m="1" x="1833"/>
        <item m="1" x="1775"/>
        <item m="1" x="1795"/>
        <item m="1" x="1776"/>
        <item m="1" x="1860"/>
        <item m="1" x="1777"/>
        <item m="1" x="1906"/>
        <item m="1" x="1834"/>
        <item m="1" x="1796"/>
        <item m="1" x="1778"/>
        <item m="1" x="1797"/>
        <item m="1" x="1779"/>
        <item m="1" x="1798"/>
        <item m="1" x="1799"/>
        <item m="1" x="1800"/>
        <item m="1" x="1801"/>
        <item m="1" x="1780"/>
        <item m="1" x="1802"/>
        <item m="1" x="1803"/>
        <item m="1" x="1804"/>
        <item m="1" x="1781"/>
        <item m="1" x="1805"/>
        <item m="1" x="1782"/>
        <item m="1" x="1806"/>
        <item m="1" x="1807"/>
        <item m="1" x="1808"/>
        <item m="1" x="1809"/>
        <item m="1" x="1810"/>
        <item m="1" x="1811"/>
        <item m="1" x="1812"/>
        <item m="1" x="1813"/>
        <item m="1" x="1836"/>
        <item m="1" x="2020"/>
        <item m="1" x="1913"/>
        <item m="1" x="1914"/>
        <item m="1" x="1879"/>
        <item m="1" x="1880"/>
        <item m="1" x="1915"/>
        <item m="1" x="1916"/>
        <item m="1" x="1863"/>
        <item m="1" x="1864"/>
        <item m="1" x="1881"/>
        <item m="1" x="1882"/>
        <item m="1" x="1883"/>
        <item m="1" x="1884"/>
        <item m="1" x="1885"/>
        <item m="1" x="1865"/>
        <item m="1" x="1866"/>
        <item m="1" x="1928"/>
        <item m="1" x="1929"/>
        <item m="1" x="1690"/>
        <item m="1" x="1773"/>
        <item m="1" x="1959"/>
        <item m="1" x="2169"/>
        <item m="1" x="1858"/>
        <item m="1" x="1886"/>
        <item m="1" x="1917"/>
        <item m="1" x="1918"/>
        <item m="1" x="1919"/>
        <item m="1" x="1920"/>
        <item m="1" x="1921"/>
        <item m="1" x="1922"/>
        <item m="1" x="1923"/>
        <item m="1" x="1924"/>
        <item m="1" x="1579"/>
        <item m="1" x="1738"/>
        <item m="1" x="1662"/>
        <item m="1" x="1742"/>
        <item m="1" x="1663"/>
        <item m="1" x="1743"/>
        <item m="1" x="1774"/>
        <item m="1" x="1732"/>
        <item m="1" x="1462"/>
        <item m="1" x="1607"/>
        <item m="1" x="1429"/>
        <item m="1" x="1580"/>
        <item m="1" x="1635"/>
        <item m="1" x="1677"/>
        <item m="1" x="1430"/>
        <item m="1" x="1498"/>
        <item m="1" x="1565"/>
        <item m="1" x="1499"/>
        <item m="1" x="1664"/>
        <item m="1" x="1678"/>
        <item m="1" x="1500"/>
        <item m="1" x="1665"/>
        <item m="1" x="1463"/>
        <item m="1" x="1547"/>
        <item m="1" x="1548"/>
        <item m="1" x="1608"/>
        <item m="1" x="1609"/>
        <item m="1" x="1636"/>
        <item m="1" x="1610"/>
        <item m="1" x="1679"/>
        <item m="1" x="1637"/>
        <item m="1" x="1581"/>
        <item m="1" x="1398"/>
        <item m="1" x="1611"/>
        <item m="1" x="1582"/>
        <item m="1" x="1362"/>
        <item m="1" x="1431"/>
        <item m="1" x="1432"/>
        <item m="1" x="1566"/>
        <item m="1" x="1577"/>
        <item m="1" x="1597"/>
        <item m="1" x="1612"/>
        <item m="1" x="1476"/>
        <item m="1" x="1477"/>
        <item m="1" x="1583"/>
        <item m="1" x="1613"/>
        <item m="1" x="1567"/>
        <item m="1" x="1530"/>
        <item m="1" x="1501"/>
        <item m="1" x="1502"/>
        <item m="1" x="1578"/>
        <item m="1" x="1638"/>
        <item m="1" x="1614"/>
        <item m="1" x="1615"/>
        <item m="1" x="1616"/>
        <item m="1" x="1666"/>
        <item m="1" x="1617"/>
        <item m="1" x="1464"/>
        <item m="1" x="1598"/>
        <item m="1" x="1549"/>
        <item m="1" x="1667"/>
        <item m="1" x="1618"/>
        <item m="1" x="1465"/>
        <item m="1" x="1550"/>
        <item m="1" x="1551"/>
        <item m="1" x="1552"/>
        <item m="1" x="1639"/>
        <item m="1" x="1640"/>
        <item m="1" x="1691"/>
        <item m="1" x="1466"/>
        <item m="1" x="1641"/>
        <item m="1" x="1584"/>
        <item m="1" x="1433"/>
        <item m="1" x="1478"/>
        <item m="1" x="1434"/>
        <item m="1" x="1830"/>
        <item m="1" x="1599"/>
        <item m="1" x="1642"/>
        <item m="1" x="1668"/>
        <item m="1" x="1435"/>
        <item m="1" x="1585"/>
        <item m="1" x="1436"/>
        <item m="1" x="1467"/>
        <item m="1" x="1586"/>
        <item m="1" x="1437"/>
        <item m="1" x="1619"/>
        <item m="1" x="1587"/>
        <item m="1" x="1680"/>
        <item m="1" x="1568"/>
        <item m="1" x="1479"/>
        <item m="1" x="1523"/>
        <item m="1" x="1669"/>
        <item m="1" x="1670"/>
        <item m="1" x="1671"/>
        <item m="1" x="1672"/>
        <item m="1" x="1620"/>
        <item m="1" x="1621"/>
        <item m="1" x="1569"/>
        <item m="1" x="1673"/>
        <item m="1" x="1570"/>
        <item m="1" x="1674"/>
        <item m="1" x="1571"/>
        <item m="1" x="1831"/>
        <item m="1" x="1675"/>
        <item m="1" x="1572"/>
        <item m="1" x="1573"/>
        <item m="1" x="1622"/>
        <item m="1" x="1623"/>
        <item m="1" x="1624"/>
        <item m="1" x="1588"/>
        <item m="1" x="1589"/>
        <item m="1" x="1590"/>
        <item m="1" x="1625"/>
        <item m="1" x="1559"/>
        <item m="1" x="1591"/>
        <item m="1" x="1560"/>
        <item m="1" x="1626"/>
        <item m="1" x="1627"/>
        <item m="1" x="1643"/>
        <item m="1" x="1644"/>
        <item m="1" x="1628"/>
        <item m="1" x="1531"/>
        <item m="1" x="1600"/>
        <item m="1" x="1363"/>
        <item m="1" x="1629"/>
        <item m="1" x="1645"/>
        <item m="1" x="1592"/>
        <item m="1" x="1646"/>
        <item m="1" x="1438"/>
        <item m="1" x="1647"/>
        <item m="1" x="1480"/>
        <item m="1" x="1561"/>
        <item m="1" x="1553"/>
        <item m="1" x="1630"/>
        <item m="1" x="1554"/>
        <item m="1" x="1399"/>
        <item m="1" x="1524"/>
        <item m="1" x="1631"/>
        <item m="1" x="1481"/>
        <item m="1" x="1593"/>
        <item m="1" x="1482"/>
        <item m="1" x="1648"/>
        <item m="1" x="1400"/>
        <item m="1" x="1364"/>
        <item m="1" x="1439"/>
        <item m="1" x="1649"/>
        <item m="1" x="1440"/>
        <item m="1" x="1574"/>
        <item m="1" x="1575"/>
        <item m="1" x="1441"/>
        <item m="1" x="1601"/>
        <item m="1" x="1525"/>
        <item m="1" x="1365"/>
        <item m="1" x="1483"/>
        <item m="1" x="1442"/>
        <item m="1" x="1576"/>
        <item m="1" x="1484"/>
        <item m="1" x="1594"/>
        <item m="1" x="1503"/>
        <item m="1" x="1443"/>
        <item m="1" x="1526"/>
        <item m="1" x="1632"/>
        <item m="1" x="1366"/>
        <item m="1" x="1595"/>
        <item m="1" x="1814"/>
        <item m="1" x="1783"/>
        <item m="1" x="1861"/>
        <item m="1" x="1837"/>
        <item m="1" x="1412"/>
        <item m="1" x="1413"/>
        <item m="1" x="1838"/>
        <item m="1" x="1784"/>
        <item m="1" x="1816"/>
        <item m="1" x="1862"/>
        <item m="1" x="1692"/>
        <item m="1" x="1655"/>
        <item m="1" x="1699"/>
        <item m="1" x="1700"/>
        <item m="1" x="1701"/>
        <item m="1" x="1702"/>
        <item m="1" x="1703"/>
        <item m="1" x="1704"/>
        <item m="1" x="1681"/>
        <item m="1" x="1705"/>
        <item m="1" x="1706"/>
        <item m="1" x="1707"/>
        <item m="1" x="1708"/>
        <item m="1" x="1709"/>
        <item m="1" x="1710"/>
        <item m="1" x="1711"/>
        <item m="1" x="1693"/>
        <item m="1" x="1712"/>
        <item m="1" x="1713"/>
        <item m="1" x="1714"/>
        <item m="1" x="1715"/>
        <item m="1" x="1682"/>
        <item m="1" x="1656"/>
        <item m="1" x="1683"/>
        <item m="1" x="1716"/>
        <item m="1" x="1684"/>
        <item m="1" x="1685"/>
        <item m="1" x="1717"/>
        <item m="1" x="1686"/>
        <item m="1" x="1657"/>
        <item m="1" x="1687"/>
        <item m="1" x="1718"/>
        <item m="1" x="1658"/>
        <item m="1" x="1688"/>
        <item m="1" x="1719"/>
        <item m="1" x="1689"/>
        <item m="1" x="1720"/>
        <item m="1" x="1721"/>
        <item m="1" x="1414"/>
        <item m="1" x="1448"/>
        <item m="1" x="1449"/>
        <item m="1" x="1532"/>
        <item m="1" x="1533"/>
        <item m="1" x="1450"/>
        <item m="1" x="1451"/>
        <item m="1" x="1534"/>
        <item m="1" x="1535"/>
        <item m="1" x="1536"/>
        <item m="1" x="1537"/>
        <item m="1" x="1452"/>
        <item m="1" x="1415"/>
        <item m="1" x="1453"/>
        <item m="1" x="1454"/>
        <item m="1" x="1815"/>
        <item m="1" x="1725"/>
        <item m="1" x="1726"/>
        <item m="1" x="1727"/>
        <item m="1" x="1728"/>
        <item m="1" x="1729"/>
        <item m="1" x="1730"/>
        <item m="1" x="1733"/>
        <item m="1" x="1817"/>
        <item m="1" x="1650"/>
        <item m="1" x="1785"/>
        <item m="1" x="1651"/>
        <item m="1" x="1652"/>
        <item m="1" x="1746"/>
        <item m="1" x="1818"/>
        <item m="1" x="1653"/>
        <item m="1" x="1819"/>
        <item m="1" x="1839"/>
        <item m="1" x="1744"/>
        <item m="1" x="1745"/>
        <item m="1" x="993"/>
        <item m="1" x="1859"/>
        <item m="1" x="1343"/>
        <item m="1" x="1344"/>
        <item m="1" x="1722"/>
        <item m="1" x="1723"/>
        <item m="1" x="1654"/>
        <item m="1" x="1724"/>
        <item m="1" x="1659"/>
        <item m="1" x="1660"/>
        <item m="1" x="1605"/>
        <item m="1" x="1416"/>
        <item m="1" x="1276"/>
        <item m="1" x="1228"/>
        <item m="1" x="1367"/>
        <item m="1" x="1401"/>
        <item m="1" x="1198"/>
        <item m="1" x="1368"/>
        <item m="1" x="1369"/>
        <item m="1" x="1345"/>
        <item m="1" x="1370"/>
        <item m="1" x="1229"/>
        <item m="1" x="1199"/>
        <item m="1" x="1371"/>
        <item m="1" x="1309"/>
        <item m="1" x="1346"/>
        <item m="1" x="1372"/>
        <item m="1" x="1277"/>
        <item m="1" x="1373"/>
        <item m="1" x="1374"/>
        <item m="1" x="1375"/>
        <item m="1" x="1376"/>
        <item m="1" x="1402"/>
        <item m="1" x="1347"/>
        <item m="1" x="1377"/>
        <item m="1" x="1310"/>
        <item m="1" x="1378"/>
        <item m="1" x="1230"/>
        <item m="1" x="1348"/>
        <item m="1" x="1403"/>
        <item m="1" x="1379"/>
        <item m="1" x="1252"/>
        <item m="1" x="1380"/>
        <item m="1" x="1381"/>
        <item m="1" x="1382"/>
        <item m="1" x="1349"/>
        <item m="1" x="1200"/>
        <item m="1" x="1350"/>
        <item m="1" x="1383"/>
        <item m="1" x="1404"/>
        <item m="1" x="1384"/>
        <item m="1" x="1311"/>
        <item m="1" x="1319"/>
        <item m="1" x="1351"/>
        <item m="1" x="1352"/>
        <item m="1" x="1353"/>
        <item m="1" x="1354"/>
        <item m="1" x="1405"/>
        <item m="1" x="1320"/>
        <item m="1" x="1231"/>
        <item m="1" x="1278"/>
        <item m="1" x="1355"/>
        <item m="1" x="1385"/>
        <item m="1" x="1356"/>
        <item m="1" x="1333"/>
        <item m="1" x="1386"/>
        <item m="1" x="1387"/>
        <item m="1" x="1279"/>
        <item m="1" x="1312"/>
        <item m="1" x="1406"/>
        <item m="1" x="1527"/>
        <item m="1" x="1444"/>
        <item m="1" x="1313"/>
        <item m="1" x="1334"/>
        <item m="1" x="1280"/>
        <item m="1" x="1335"/>
        <item m="1" x="1445"/>
        <item m="1" x="1357"/>
        <item m="1" x="1388"/>
        <item m="1" x="1446"/>
        <item m="1" x="1321"/>
        <item m="1" x="1389"/>
        <item m="1" x="1407"/>
        <item m="1" x="1322"/>
        <item m="1" x="1336"/>
        <item m="1" x="1323"/>
        <item m="1" x="1358"/>
        <item m="1" x="1281"/>
        <item m="1" x="1337"/>
        <item m="1" x="1390"/>
        <item m="1" x="1314"/>
        <item m="1" x="1391"/>
        <item m="1" x="1338"/>
        <item m="1" x="1392"/>
        <item m="1" x="1359"/>
        <item m="1" x="1393"/>
        <item m="1" x="1315"/>
        <item m="1" x="1339"/>
        <item m="1" x="1316"/>
        <item m="1" x="1394"/>
        <item m="1" x="1317"/>
        <item m="1" x="1318"/>
        <item m="1" x="1395"/>
        <item m="1" x="1396"/>
        <item m="1" x="1397"/>
        <item m="1" x="1282"/>
        <item m="1" x="1185"/>
        <item m="1" x="1283"/>
        <item m="1" x="1324"/>
        <item m="1" x="1284"/>
        <item m="1" x="1253"/>
        <item m="1" x="1325"/>
        <item m="1" x="1417"/>
        <item m="1" x="1492"/>
        <item m="1" x="1493"/>
        <item m="1" x="1509"/>
        <item m="1" x="1494"/>
        <item m="1" x="1495"/>
        <item m="1" x="1496"/>
        <item m="1" x="1418"/>
        <item m="1" x="1419"/>
        <item m="1" x="1420"/>
        <item m="1" x="1421"/>
        <item m="1" x="1422"/>
        <item m="1" x="1423"/>
        <item m="1" x="1538"/>
        <item m="1" x="1539"/>
        <item m="1" x="1540"/>
        <item m="1" x="154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424"/>
        <item m="1" x="1425"/>
        <item m="1" x="1426"/>
        <item m="1" x="1427"/>
        <item m="1" x="1455"/>
        <item m="1" x="1456"/>
        <item m="1" x="1542"/>
        <item m="1" x="1543"/>
        <item m="1" x="1497"/>
        <item m="1" x="1519"/>
        <item m="1" x="1544"/>
        <item m="1" x="1545"/>
        <item m="1" x="1360"/>
        <item m="1" x="1470"/>
        <item m="1" x="1562"/>
        <item m="1" x="1563"/>
        <item m="1" x="1564"/>
        <item m="1" x="1232"/>
        <item m="1" x="1285"/>
        <item m="1" x="1233"/>
        <item m="1" x="1234"/>
        <item m="1" x="1148"/>
        <item m="1" x="1149"/>
        <item m="1" x="1457"/>
        <item m="1" x="1217"/>
        <item m="1" x="1361"/>
        <item m="1" x="892"/>
        <item m="1" x="1216"/>
        <item m="1" x="1190"/>
        <item m="1" x="1505"/>
        <item m="1" x="1218"/>
        <item m="1" x="1219"/>
        <item m="1" x="1220"/>
        <item m="1" x="1221"/>
        <item m="1" x="1222"/>
        <item m="1" x="1191"/>
        <item m="1" x="1326"/>
        <item m="1" x="1327"/>
        <item m="1" x="1447"/>
        <item m="1" x="1223"/>
        <item m="1" x="1328"/>
        <item m="1" x="1329"/>
        <item m="1" x="1297"/>
        <item m="1" x="1224"/>
        <item m="1" x="1249"/>
        <item m="1" x="1330"/>
        <item m="1" x="1250"/>
        <item m="1" x="1298"/>
        <item m="1" x="1299"/>
        <item m="1" x="1300"/>
        <item m="1" x="1225"/>
        <item m="1" x="1506"/>
        <item m="1" x="1507"/>
        <item m="1" x="1226"/>
        <item m="1" x="762"/>
        <item m="1" x="893"/>
        <item m="1" x="744"/>
        <item m="1" x="1186"/>
        <item m="1" x="894"/>
        <item m="1" x="895"/>
        <item m="1" x="907"/>
        <item m="1" x="1286"/>
        <item m="1" x="1235"/>
        <item m="1" x="1236"/>
        <item m="1" x="1237"/>
        <item m="1" x="1238"/>
        <item m="1" x="994"/>
        <item m="1" x="916"/>
        <item m="1" x="1150"/>
        <item m="1" x="1254"/>
        <item m="1" x="1287"/>
        <item m="1" x="1239"/>
        <item m="1" x="1021"/>
        <item m="1" x="1288"/>
        <item m="1" x="1240"/>
        <item m="1" x="927"/>
        <item m="1" x="896"/>
        <item m="1" x="1151"/>
        <item m="1" x="1152"/>
        <item m="1" x="1201"/>
        <item m="1" x="1241"/>
        <item m="1" x="995"/>
        <item m="1" x="1153"/>
        <item m="1" x="1289"/>
        <item m="1" x="897"/>
        <item m="1" x="928"/>
        <item m="1" x="1139"/>
        <item m="1" x="1290"/>
        <item m="1" x="1242"/>
        <item m="1" x="1255"/>
        <item m="1" x="1154"/>
        <item m="1" x="1243"/>
        <item m="1" x="1187"/>
        <item m="1" x="1256"/>
        <item m="1" x="1094"/>
        <item m="1" x="1140"/>
        <item m="1" x="1141"/>
        <item m="1" x="929"/>
        <item m="1" x="1049"/>
        <item m="1" x="930"/>
        <item m="1" x="1155"/>
        <item m="1" x="1202"/>
        <item m="1" x="1203"/>
        <item m="1" x="1204"/>
        <item m="1" x="1205"/>
        <item m="1" x="931"/>
        <item m="1" x="1206"/>
        <item m="1" x="932"/>
        <item m="1" x="1142"/>
        <item m="1" x="1257"/>
        <item m="1" x="1143"/>
        <item m="1" x="1207"/>
        <item m="1" x="1156"/>
        <item m="1" x="1258"/>
        <item m="1" x="1157"/>
        <item m="1" x="1259"/>
        <item m="1" x="1208"/>
        <item m="1" x="933"/>
        <item m="1" x="1244"/>
        <item m="1" x="1158"/>
        <item m="1" x="1159"/>
        <item m="1" x="1160"/>
        <item m="1" x="1161"/>
        <item m="1" x="1260"/>
        <item m="1" x="1291"/>
        <item m="1" x="1209"/>
        <item m="1" x="1245"/>
        <item m="1" x="1162"/>
        <item m="1" x="1210"/>
        <item m="1" x="1292"/>
        <item m="1" x="1188"/>
        <item m="1" x="1144"/>
        <item m="1" x="996"/>
        <item m="1" x="997"/>
        <item m="1" x="1163"/>
        <item m="1" x="1293"/>
        <item m="1" x="1211"/>
        <item m="1" x="1164"/>
        <item m="1" x="1165"/>
        <item m="1" x="1166"/>
        <item m="1" x="1145"/>
        <item m="1" x="1146"/>
        <item m="1" x="1167"/>
        <item m="1" x="1168"/>
        <item m="1" x="1169"/>
        <item m="1" x="1212"/>
        <item m="1" x="934"/>
        <item m="1" x="1246"/>
        <item m="1" x="959"/>
        <item m="1" x="917"/>
        <item m="1" x="908"/>
        <item m="1" x="998"/>
        <item m="1" x="1170"/>
        <item m="1" x="935"/>
        <item m="1" x="999"/>
        <item m="1" x="1189"/>
        <item m="1" x="1294"/>
        <item m="1" x="1000"/>
        <item m="1" x="1001"/>
        <item m="1" x="936"/>
        <item m="1" x="960"/>
        <item m="1" x="961"/>
        <item m="1" x="1050"/>
        <item m="1" x="1247"/>
        <item m="1" x="937"/>
        <item m="1" x="962"/>
        <item m="1" x="938"/>
        <item m="1" x="1002"/>
        <item m="1" x="918"/>
        <item m="1" x="1095"/>
        <item m="1" x="1261"/>
        <item m="1" x="1171"/>
        <item m="1" x="1022"/>
        <item m="1" x="1051"/>
        <item m="1" x="1295"/>
        <item m="1" x="1172"/>
        <item m="1" x="1173"/>
        <item m="1" x="939"/>
        <item m="1" x="1174"/>
        <item m="1" x="1262"/>
        <item m="1" x="1052"/>
        <item m="1" x="1263"/>
        <item m="1" x="1296"/>
        <item m="1" x="1248"/>
        <item m="1" x="1147"/>
        <item m="1" x="1264"/>
        <item m="1" x="1213"/>
        <item m="1" x="1265"/>
        <item m="1" x="1266"/>
        <item m="1" x="1267"/>
        <item m="1" x="1096"/>
        <item m="1" x="1268"/>
        <item m="1" x="1269"/>
        <item m="1" x="1270"/>
        <item m="1" x="1468"/>
        <item m="1" x="1271"/>
        <item m="1" x="1272"/>
        <item m="1" x="1273"/>
        <item m="1" x="1274"/>
        <item m="1" x="898"/>
        <item m="1" x="899"/>
        <item m="1" x="900"/>
        <item m="1" x="919"/>
        <item m="1" x="901"/>
        <item m="1" x="820"/>
        <item m="1" x="1485"/>
        <item m="1" x="1342"/>
        <item m="1" x="1486"/>
        <item m="1" x="1487"/>
        <item m="1" x="763"/>
        <item m="1" x="1175"/>
        <item m="1" x="902"/>
        <item m="1" x="903"/>
        <item m="1" x="963"/>
        <item m="1" x="904"/>
        <item m="1" x="920"/>
        <item m="1" x="1408"/>
        <item m="1" x="1528"/>
        <item m="1" x="1520"/>
        <item m="1" x="1409"/>
        <item m="1" x="1192"/>
        <item m="1" x="1488"/>
        <item m="1" x="1489"/>
        <item m="1" x="1529"/>
        <item m="1" x="1301"/>
        <item m="1" x="1331"/>
        <item m="1" x="1521"/>
        <item m="1" x="1302"/>
        <item m="1" x="1303"/>
        <item m="1" x="1522"/>
        <item m="1" x="1304"/>
        <item m="1" x="1490"/>
        <item m="1" x="1305"/>
        <item m="1" x="1508"/>
        <item m="1" x="1306"/>
        <item m="1" x="1491"/>
        <item m="1" x="1332"/>
        <item m="1" x="1227"/>
        <item m="1" x="1410"/>
        <item m="1" x="1469"/>
        <item m="1" x="1307"/>
        <item m="1" x="905"/>
        <item m="1" x="906"/>
        <item m="1" x="940"/>
        <item m="1" x="745"/>
        <item m="1" x="1546"/>
        <item m="1" x="1176"/>
        <item m="1" x="1177"/>
        <item x="129"/>
        <item m="1" x="1128"/>
        <item m="1" x="1555"/>
        <item m="1" x="1556"/>
        <item m="1" x="1557"/>
        <item m="1" x="909"/>
        <item m="1" x="910"/>
        <item m="1" x="1193"/>
        <item m="1" x="1194"/>
        <item m="1" x="1308"/>
        <item m="1" x="1106"/>
        <item m="1" x="1107"/>
        <item m="1" x="1411"/>
        <item m="1" x="911"/>
        <item m="1" x="1041"/>
        <item m="1" x="1195"/>
        <item m="1" x="1196"/>
        <item m="1" x="1471"/>
        <item m="1" x="1472"/>
        <item m="1" x="1473"/>
        <item m="1" x="1474"/>
        <item m="1" x="1475"/>
        <item m="1" x="1458"/>
        <item m="1" x="1459"/>
        <item m="1" x="869"/>
        <item m="1" x="796"/>
        <item m="1" x="1197"/>
        <item m="1" x="1178"/>
        <item m="1" x="1460"/>
        <item m="1" x="1504"/>
        <item m="1" x="1108"/>
        <item m="1" x="1109"/>
        <item m="1" x="736"/>
        <item m="1" x="1053"/>
        <item m="1" x="941"/>
        <item m="1" x="1007"/>
        <item m="1" x="1054"/>
        <item m="1" x="964"/>
        <item m="1" x="965"/>
        <item m="1" x="1110"/>
        <item m="1" x="1097"/>
        <item m="1" x="966"/>
        <item m="1" x="1024"/>
        <item m="1" x="1025"/>
        <item m="1" x="942"/>
        <item m="1" x="1042"/>
        <item m="1" x="1043"/>
        <item m="1" x="1044"/>
        <item m="1" x="1045"/>
        <item m="1" x="1055"/>
        <item m="1" x="1008"/>
        <item m="1" x="1111"/>
        <item m="1" x="1056"/>
        <item m="1" x="1112"/>
        <item m="1" x="1098"/>
        <item m="1" x="967"/>
        <item m="1" x="1009"/>
        <item m="1" x="1057"/>
        <item m="1" x="1058"/>
        <item m="1" x="1026"/>
        <item m="1" x="1113"/>
        <item m="1" x="1114"/>
        <item m="1" x="1059"/>
        <item m="1" x="1115"/>
        <item m="1" x="1099"/>
        <item m="1" x="968"/>
        <item m="1" x="1100"/>
        <item m="1" x="1060"/>
        <item m="1" x="1101"/>
        <item m="1" x="1061"/>
        <item m="1" x="1102"/>
        <item m="1" x="1116"/>
        <item m="1" x="969"/>
        <item m="1" x="1117"/>
        <item m="1" x="1118"/>
        <item m="1" x="1103"/>
        <item m="1" x="1046"/>
        <item m="1" x="1119"/>
        <item m="1" x="1120"/>
        <item m="1" x="1027"/>
        <item m="1" x="1121"/>
        <item m="1" x="1122"/>
        <item m="1" x="1123"/>
        <item m="1" x="1028"/>
        <item m="1" x="1104"/>
        <item m="1" x="1124"/>
        <item m="1" x="1105"/>
        <item m="1" x="1010"/>
        <item m="1" x="1047"/>
        <item m="1" x="1461"/>
        <item m="1" x="1275"/>
        <item m="1" x="1036"/>
        <item m="1" x="1037"/>
        <item m="1" x="1089"/>
        <item m="1" x="1090"/>
        <item m="1" x="1038"/>
        <item m="1" x="913"/>
        <item m="1" x="914"/>
        <item m="1" x="943"/>
        <item m="1" x="922"/>
        <item m="1" x="1011"/>
        <item m="1" x="1030"/>
        <item m="1" x="970"/>
        <item m="1" x="971"/>
        <item m="1" x="1031"/>
        <item m="1" x="944"/>
        <item m="1" x="1029"/>
        <item m="1" x="1179"/>
        <item m="1" x="1180"/>
        <item m="1" x="1181"/>
        <item m="1" x="1182"/>
        <item m="1" x="1183"/>
        <item m="1" x="1039"/>
        <item m="1" x="1428"/>
        <item m="1" x="870"/>
        <item m="1" x="871"/>
        <item m="1" x="872"/>
        <item m="1" x="912"/>
        <item m="1" x="945"/>
        <item m="1" x="972"/>
        <item m="1" x="973"/>
        <item m="1" x="1062"/>
        <item m="1" x="1063"/>
        <item m="1" x="1064"/>
        <item m="1" x="1065"/>
        <item m="1" x="974"/>
        <item m="1" x="975"/>
        <item m="1" x="976"/>
        <item m="1" x="977"/>
        <item m="1" x="1066"/>
        <item m="1" x="1067"/>
        <item m="1" x="1068"/>
        <item m="1" x="978"/>
        <item m="1" x="1032"/>
        <item m="1" x="947"/>
        <item m="1" x="1033"/>
        <item m="1" x="1069"/>
        <item m="1" x="948"/>
        <item m="1" x="1070"/>
        <item m="1" x="1071"/>
        <item m="1" x="949"/>
        <item m="1" x="950"/>
        <item m="1" x="979"/>
        <item m="1" x="980"/>
        <item m="1" x="1048"/>
        <item m="1" x="1125"/>
        <item m="1" x="1126"/>
        <item m="1" x="981"/>
        <item m="1" x="1127"/>
        <item m="1" x="951"/>
        <item m="1" x="1072"/>
        <item m="1" x="1138"/>
        <item m="1" x="1091"/>
        <item m="1" x="781"/>
        <item x="240"/>
        <item m="1" x="811"/>
        <item m="1" x="797"/>
        <item m="1" x="1340"/>
        <item m="1" x="812"/>
        <item m="1" x="874"/>
        <item m="1" x="715"/>
        <item m="1" x="875"/>
        <item m="1" x="726"/>
        <item x="241"/>
        <item m="1" x="876"/>
        <item m="1" x="877"/>
        <item x="242"/>
        <item m="1" x="746"/>
        <item x="243"/>
        <item x="244"/>
        <item m="1" x="716"/>
        <item m="1" x="727"/>
        <item m="1" x="737"/>
        <item x="245"/>
        <item x="246"/>
        <item m="1" x="878"/>
        <item m="1" x="782"/>
        <item m="1" x="783"/>
        <item m="1" x="879"/>
        <item m="1" x="732"/>
        <item m="1" x="847"/>
        <item x="247"/>
        <item x="248"/>
        <item m="1" x="733"/>
        <item m="1" x="880"/>
        <item x="249"/>
        <item x="250"/>
        <item x="251"/>
        <item m="1" x="813"/>
        <item x="252"/>
        <item m="1" x="784"/>
        <item x="253"/>
        <item m="1" x="747"/>
        <item x="254"/>
        <item m="1" x="881"/>
        <item m="1" x="738"/>
        <item m="1" x="748"/>
        <item x="255"/>
        <item m="1" x="693"/>
        <item x="256"/>
        <item m="1" x="785"/>
        <item x="257"/>
        <item x="258"/>
        <item x="259"/>
        <item m="1" x="717"/>
        <item m="1" x="749"/>
        <item m="1" x="764"/>
        <item m="1" x="750"/>
        <item m="1" x="814"/>
        <item m="1" x="798"/>
        <item m="1" x="765"/>
        <item m="1" x="751"/>
        <item m="1" x="882"/>
        <item m="1" x="821"/>
        <item x="260"/>
        <item x="261"/>
        <item m="1" x="815"/>
        <item m="1" x="752"/>
        <item x="262"/>
        <item m="1" x="766"/>
        <item x="263"/>
        <item m="1" x="753"/>
        <item m="1" x="754"/>
        <item m="1" x="755"/>
        <item x="264"/>
        <item x="265"/>
        <item m="1" x="883"/>
        <item m="1" x="884"/>
        <item m="1" x="786"/>
        <item m="1" x="718"/>
        <item x="266"/>
        <item m="1" x="885"/>
        <item x="267"/>
        <item x="268"/>
        <item x="269"/>
        <item x="270"/>
        <item m="1" x="694"/>
        <item m="1" x="816"/>
        <item m="1" x="1003"/>
        <item x="271"/>
        <item x="272"/>
        <item m="1" x="799"/>
        <item m="1" x="1023"/>
        <item x="273"/>
        <item x="274"/>
        <item x="275"/>
        <item x="276"/>
        <item m="1" x="756"/>
        <item x="277"/>
        <item m="1" x="800"/>
        <item x="278"/>
        <item m="1" x="886"/>
        <item x="279"/>
        <item m="1" x="921"/>
        <item x="280"/>
        <item m="1" x="757"/>
        <item x="281"/>
        <item m="1" x="728"/>
        <item m="1" x="729"/>
        <item m="1" x="822"/>
        <item m="1" x="823"/>
        <item m="1" x="824"/>
        <item m="1" x="825"/>
        <item x="282"/>
        <item m="1" x="826"/>
        <item m="1" x="719"/>
        <item m="1" x="827"/>
        <item m="1" x="828"/>
        <item m="1" x="829"/>
        <item m="1" x="730"/>
        <item m="1" x="830"/>
        <item m="1" x="887"/>
        <item m="1" x="848"/>
        <item m="1" x="849"/>
        <item x="283"/>
        <item m="1" x="831"/>
        <item m="1" x="720"/>
        <item m="1" x="888"/>
        <item m="1" x="889"/>
        <item m="1" x="767"/>
        <item x="284"/>
        <item m="1" x="739"/>
        <item m="1" x="721"/>
        <item m="1" x="722"/>
        <item m="1" x="734"/>
        <item x="285"/>
        <item m="1" x="787"/>
        <item m="1" x="768"/>
        <item m="1" x="740"/>
        <item m="1" x="769"/>
        <item x="286"/>
        <item x="287"/>
        <item m="1" x="770"/>
        <item m="1" x="723"/>
        <item m="1" x="741"/>
        <item x="288"/>
        <item m="1" x="758"/>
        <item m="1" x="731"/>
        <item m="1" x="724"/>
        <item m="1" x="890"/>
        <item m="1" x="771"/>
        <item m="1" x="946"/>
        <item m="1" x="873"/>
        <item m="1" x="982"/>
        <item m="1" x="983"/>
        <item m="1" x="984"/>
        <item m="1" x="952"/>
        <item m="1" x="985"/>
        <item m="1" x="953"/>
        <item m="1" x="986"/>
        <item m="1" x="954"/>
        <item m="1" x="987"/>
        <item m="1" x="1034"/>
        <item m="1" x="988"/>
        <item m="1" x="955"/>
        <item m="1" x="989"/>
        <item m="1" x="956"/>
        <item m="1" x="990"/>
        <item m="1" x="1035"/>
        <item m="1" x="991"/>
        <item m="1" x="1073"/>
        <item m="1" x="1184"/>
        <item x="130"/>
        <item m="1" x="992"/>
        <item m="1" x="818"/>
        <item m="1" x="837"/>
        <item m="1" x="838"/>
        <item m="1" x="819"/>
        <item m="1" x="788"/>
        <item m="1" x="832"/>
        <item m="1" x="803"/>
        <item m="1" x="833"/>
        <item x="289"/>
        <item m="1" x="1341"/>
        <item m="1" x="742"/>
        <item m="1" x="851"/>
        <item m="1" x="1251"/>
        <item m="1" x="852"/>
        <item m="1" x="792"/>
        <item m="1" x="853"/>
        <item m="1" x="854"/>
        <item m="1" x="855"/>
        <item m="1" x="856"/>
        <item m="1" x="857"/>
        <item x="290"/>
        <item m="1" x="858"/>
        <item m="1" x="859"/>
        <item m="1" x="860"/>
        <item m="1" x="1092"/>
        <item m="1" x="1093"/>
        <item m="1" x="1040"/>
        <item m="1" x="839"/>
        <item m="1" x="866"/>
        <item m="1" x="925"/>
        <item m="1" x="840"/>
        <item m="1" x="1012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13"/>
        <item m="1" x="1014"/>
        <item m="1" x="1015"/>
        <item m="1" x="1085"/>
        <item m="1" x="1016"/>
        <item m="1" x="1017"/>
        <item m="1" x="1018"/>
        <item m="1" x="1019"/>
        <item m="1" x="861"/>
        <item m="1" x="862"/>
        <item m="1" x="1020"/>
        <item m="1" x="841"/>
        <item m="1" x="1214"/>
        <item m="1" x="1215"/>
        <item m="1" x="805"/>
        <item m="1" x="743"/>
        <item m="1" x="806"/>
        <item m="1" x="807"/>
        <item m="1" x="863"/>
        <item m="1" x="1086"/>
        <item m="1" x="1087"/>
        <item m="1" x="864"/>
        <item m="1" x="865"/>
        <item m="1" x="867"/>
        <item x="291"/>
        <item m="1" x="834"/>
        <item m="1" x="842"/>
        <item m="1" x="843"/>
        <item m="1" x="808"/>
        <item m="1" x="801"/>
        <item m="1" x="835"/>
        <item m="1" x="761"/>
        <item m="1" x="915"/>
        <item m="1" x="802"/>
        <item m="1" x="794"/>
        <item m="1" x="844"/>
        <item x="293"/>
        <item x="294"/>
        <item m="1" x="809"/>
        <item m="1" x="891"/>
        <item m="1" x="836"/>
        <item m="1" x="810"/>
        <item m="1" x="957"/>
        <item m="1" x="923"/>
        <item m="1" x="924"/>
        <item m="1" x="1004"/>
        <item x="295"/>
        <item x="296"/>
        <item m="1" x="1005"/>
        <item m="1" x="100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m="1" x="804"/>
        <item m="1" x="772"/>
        <item x="338"/>
        <item x="339"/>
        <item x="340"/>
        <item x="341"/>
        <item x="342"/>
        <item m="1" x="773"/>
        <item x="343"/>
        <item x="344"/>
        <item m="1" x="774"/>
        <item x="345"/>
        <item x="346"/>
        <item x="347"/>
        <item x="348"/>
        <item x="349"/>
        <item m="1" x="789"/>
        <item m="1" x="775"/>
        <item x="350"/>
        <item x="351"/>
        <item x="352"/>
        <item m="1" x="759"/>
        <item x="353"/>
        <item x="354"/>
        <item m="1" x="760"/>
        <item x="355"/>
        <item x="356"/>
        <item x="357"/>
        <item x="358"/>
        <item x="359"/>
        <item x="360"/>
        <item x="361"/>
        <item x="362"/>
        <item m="1" x="790"/>
        <item m="1" x="776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292"/>
        <item m="1" x="958"/>
        <item x="0"/>
        <item x="1"/>
        <item x="5"/>
        <item x="6"/>
        <item x="7"/>
        <item x="8"/>
        <item x="9"/>
        <item m="1" x="1088"/>
        <item m="1" x="777"/>
        <item x="414"/>
        <item x="415"/>
        <item x="416"/>
        <item x="418"/>
        <item x="419"/>
        <item x="420"/>
        <item x="421"/>
        <item x="422"/>
        <item m="1" x="817"/>
        <item x="2"/>
        <item x="3"/>
        <item x="10"/>
        <item m="1" x="795"/>
        <item x="134"/>
        <item x="423"/>
        <item x="4"/>
        <item m="1" x="791"/>
        <item m="1" x="665"/>
        <item x="417"/>
        <item x="11"/>
        <item m="1" x="778"/>
        <item m="1" x="779"/>
        <item m="1" x="793"/>
        <item m="1" x="780"/>
        <item x="12"/>
        <item m="1" x="695"/>
        <item m="1" x="666"/>
        <item m="1" x="667"/>
        <item x="13"/>
        <item m="1" x="668"/>
        <item x="14"/>
        <item x="15"/>
        <item m="1" x="669"/>
        <item m="1" x="696"/>
        <item x="16"/>
        <item m="1" x="697"/>
        <item x="17"/>
        <item m="1" x="698"/>
        <item m="1" x="670"/>
        <item m="1" x="671"/>
        <item m="1" x="699"/>
        <item x="18"/>
        <item x="19"/>
        <item x="20"/>
        <item m="1" x="672"/>
        <item m="1" x="673"/>
        <item m="1" x="674"/>
        <item m="1" x="675"/>
        <item x="21"/>
        <item m="1" x="700"/>
        <item m="1" x="676"/>
        <item m="1" x="701"/>
        <item m="1" x="702"/>
        <item x="22"/>
        <item m="1" x="677"/>
        <item m="1" x="703"/>
        <item m="1" x="704"/>
        <item x="23"/>
        <item m="1" x="678"/>
        <item m="1" x="705"/>
        <item m="1" x="679"/>
        <item m="1" x="680"/>
        <item x="24"/>
        <item m="1" x="681"/>
        <item m="1" x="706"/>
        <item m="1" x="707"/>
        <item m="1" x="682"/>
        <item m="1" x="708"/>
        <item m="1" x="683"/>
        <item m="1" x="684"/>
        <item m="1" x="685"/>
        <item m="1" x="709"/>
        <item m="1" x="686"/>
        <item m="1" x="710"/>
        <item m="1" x="687"/>
        <item x="25"/>
        <item x="26"/>
        <item m="1" x="688"/>
        <item x="27"/>
        <item m="1" x="689"/>
        <item m="1" x="690"/>
        <item m="1" x="850"/>
        <item m="1" x="691"/>
        <item x="28"/>
        <item x="29"/>
        <item x="135"/>
        <item x="136"/>
        <item x="137"/>
        <item x="138"/>
        <item x="142"/>
        <item m="1" x="845"/>
        <item m="1" x="926"/>
        <item x="30"/>
        <item x="31"/>
        <item x="139"/>
        <item x="140"/>
        <item x="141"/>
        <item m="1" x="868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m="1" x="692"/>
        <item m="1" x="711"/>
        <item m="1" x="712"/>
        <item m="1" x="71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m="1" x="846"/>
        <item x="213"/>
        <item x="214"/>
        <item x="215"/>
        <item x="216"/>
        <item x="217"/>
        <item x="218"/>
        <item x="219"/>
        <item x="220"/>
        <item x="221"/>
        <item m="1" x="714"/>
        <item x="44"/>
        <item x="45"/>
        <item x="46"/>
        <item x="47"/>
        <item x="48"/>
        <item x="49"/>
        <item x="50"/>
        <item x="51"/>
        <item x="52"/>
        <item x="53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222"/>
        <item x="223"/>
        <item x="227"/>
        <item x="228"/>
        <item x="229"/>
        <item x="54"/>
        <item x="59"/>
        <item x="60"/>
        <item x="61"/>
        <item x="62"/>
        <item x="63"/>
        <item x="64"/>
        <item x="65"/>
        <item x="66"/>
        <item x="189"/>
        <item x="230"/>
        <item x="532"/>
        <item x="533"/>
        <item x="55"/>
        <item x="56"/>
        <item x="57"/>
        <item x="58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190"/>
        <item x="191"/>
        <item x="224"/>
        <item x="225"/>
        <item x="226"/>
        <item m="1" x="735"/>
        <item x="67"/>
        <item x="192"/>
        <item x="193"/>
        <item x="194"/>
        <item x="97"/>
        <item x="111"/>
        <item x="112"/>
        <item x="131"/>
        <item x="231"/>
        <item x="232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233"/>
        <item x="234"/>
        <item x="236"/>
        <item x="195"/>
        <item x="196"/>
        <item x="197"/>
        <item x="198"/>
        <item m="1" x="725"/>
        <item x="113"/>
        <item x="114"/>
        <item x="115"/>
        <item x="116"/>
        <item x="117"/>
        <item x="118"/>
        <item x="119"/>
        <item x="123"/>
        <item x="124"/>
        <item x="125"/>
        <item x="126"/>
        <item x="199"/>
        <item x="200"/>
        <item x="201"/>
        <item x="202"/>
        <item x="203"/>
        <item x="235"/>
        <item x="237"/>
        <item x="238"/>
        <item x="534"/>
        <item x="120"/>
        <item x="121"/>
        <item x="122"/>
        <item x="20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132"/>
        <item x="127"/>
        <item x="133"/>
        <item x="205"/>
        <item x="206"/>
        <item x="207"/>
        <item x="208"/>
        <item x="209"/>
        <item x="210"/>
        <item x="211"/>
        <item x="212"/>
        <item x="239"/>
        <item x="128"/>
        <item x="662"/>
        <item x="663"/>
        <item x="664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axis="axisPage" multipleItemSelectionAllowed="1" showAll="0" defaultSubtotal="0">
      <items count="2">
        <item x="0"/>
        <item h="1" x="1"/>
      </items>
    </pivotField>
  </pivotFields>
  <rowFields count="1">
    <field x="0"/>
  </rowFields>
  <rowItems count="235"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65"/>
    </i>
    <i>
      <x v="7466"/>
    </i>
    <i>
      <x v="7467"/>
    </i>
    <i>
      <x v="7469"/>
    </i>
    <i>
      <x v="7471"/>
    </i>
    <i>
      <x v="7475"/>
    </i>
    <i>
      <x v="7480"/>
    </i>
    <i>
      <x v="7484"/>
    </i>
    <i>
      <x v="7486"/>
    </i>
    <i>
      <x v="7487"/>
    </i>
    <i>
      <x v="7490"/>
    </i>
    <i>
      <x v="7492"/>
    </i>
    <i>
      <x v="7497"/>
    </i>
    <i>
      <x v="7498"/>
    </i>
    <i>
      <x v="7499"/>
    </i>
    <i>
      <x v="7504"/>
    </i>
    <i>
      <x v="7509"/>
    </i>
    <i>
      <x v="7513"/>
    </i>
    <i>
      <x v="7518"/>
    </i>
    <i>
      <x v="7531"/>
    </i>
    <i>
      <x v="7532"/>
    </i>
    <i>
      <x v="7534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8"/>
    </i>
    <i>
      <x v="7549"/>
    </i>
    <i>
      <x v="7550"/>
    </i>
    <i>
      <x v="7551"/>
    </i>
    <i>
      <x v="7552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3"/>
    </i>
    <i>
      <x v="7854"/>
    </i>
    <i>
      <x v="7855"/>
    </i>
    <i>
      <x v="7856"/>
    </i>
    <i>
      <x v="7985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</rowItems>
  <colItems count="1">
    <i/>
  </colItems>
  <pageFields count="1">
    <pageField fld="14" hier="-1"/>
  </page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13000000}" name="UnidadeMedidaNet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15">
  <location ref="AR37:AS39" firstHeaderRow="1" firstDataRow="1" firstDataCol="1" rowPageCount="1" colPageCount="1"/>
  <pivotFields count="15">
    <pivotField showAll="0"/>
    <pivotField showAll="0"/>
    <pivotField showAll="0"/>
    <pivotField numFmtId="14" showAll="0"/>
    <pivotField showAll="0"/>
    <pivotField showAll="0"/>
    <pivotField showAll="0"/>
    <pivotField axis="axisRow" showAll="0">
      <items count="9">
        <item x="0"/>
        <item m="1" x="5"/>
        <item m="1" x="6"/>
        <item m="1" x="3"/>
        <item m="1" x="2"/>
        <item m="1" x="1"/>
        <item m="1" x="7"/>
        <item m="1" x="4"/>
        <item t="default"/>
      </items>
    </pivotField>
    <pivotField dataField="1" showAll="0"/>
    <pivotField showAll="0" defaultSubtota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axis="axisPage" multipleItemSelectionAllowed="1" showAll="0" defaultSubtotal="0">
      <items count="2">
        <item h="1" x="0"/>
        <item x="1"/>
      </items>
    </pivotField>
  </pivotFields>
  <rowFields count="1">
    <field x="7"/>
  </rowFields>
  <rowItems count="2">
    <i>
      <x/>
    </i>
    <i t="grand">
      <x/>
    </i>
  </rowItems>
  <colItems count="1">
    <i/>
  </colItems>
  <pageFields count="1">
    <pageField fld="14" hier="-1"/>
  </pageFields>
  <dataFields count="1">
    <dataField name="Soma de Qtd." fld="8" baseField="0" baseItem="3419889" numFmtId="3"/>
  </dataFields>
  <chartFormats count="1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ES_AB" displayName="RES_AB" ref="A1:Q666" totalsRowShown="0" headerRowDxfId="131" dataDxfId="130">
  <autoFilter ref="A1:Q666" xr:uid="{00000000-0009-0000-0100-000001000000}"/>
  <sortState xmlns:xlrd2="http://schemas.microsoft.com/office/spreadsheetml/2017/richdata2" ref="A2:Q2">
    <sortCondition ref="D1:D2"/>
  </sortState>
  <tableColumns count="17">
    <tableColumn id="1" xr3:uid="{00000000-0010-0000-0000-000001000000}" name="Reserva" dataDxfId="129"/>
    <tableColumn id="2" xr3:uid="{00000000-0010-0000-0000-000002000000}" name="Cen." dataDxfId="128"/>
    <tableColumn id="13" xr3:uid="{00000000-0010-0000-0000-00000D000000}" name="Dep." dataDxfId="127"/>
    <tableColumn id="3" xr3:uid="{00000000-0010-0000-0000-000003000000}" name="Data base" dataDxfId="126"/>
    <tableColumn id="17" xr3:uid="{00000000-0010-0000-0000-000011000000}" name="Data Reserva - Feriado e Fds" dataDxfId="125">
      <calculatedColumnFormula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calculatedColumnFormula>
    </tableColumn>
    <tableColumn id="16" xr3:uid="{00000000-0010-0000-0000-000010000000}" name="Hora Int WMS" dataDxfId="124">
      <calculatedColumnFormula>IFERROR(VLOOKUP(RES_AB[[#This Row],[Reserva]],Tabela8[[Reserva]:[Usuário]],7,FALSE),Dados!$A$17)</calculatedColumnFormula>
    </tableColumn>
    <tableColumn id="15" xr3:uid="{00000000-0010-0000-0000-00000F000000}" name="Dias para atendimento" dataDxfId="123">
      <calculatedColumnFormula>IF(RES_AB[[#This Row],[Reserva]]="","",IF(RES_AB[[#This Row],[Hora Int WMS]]&lt;Dados!$A$16,2,2))</calculatedColumnFormula>
    </tableColumn>
    <tableColumn id="4" xr3:uid="{00000000-0010-0000-0000-000004000000}" name="WMS" dataDxfId="122">
      <calculatedColumnFormula>IF(RES_AB[[#This Row],[Reserva]]="","",IFERROR(VLOOKUP(RES_AB[[#This Row],[Reserva]],Tabela3[[Reserva]:[Condição para Faturamento]],20,FALSE),"IMPORTADO COM SUCESSO"))</calculatedColumnFormula>
    </tableColumn>
    <tableColumn id="5" xr3:uid="{00000000-0010-0000-0000-000005000000}" name="Previsão de Faturamento" dataDxfId="121">
      <calculatedColumnFormula>IF(RES_AB[[#This Row],[Data base]]="","",WORKDAY(RES_AB[[#This Row],[Data Reserva - Feriado e Fds]],RES_AB[[#This Row],[Dias para atendimento]],Feriados[Data]))</calculatedColumnFormula>
    </tableColumn>
    <tableColumn id="6" xr3:uid="{00000000-0010-0000-0000-000006000000}" name="SLA2" dataDxfId="120">
      <calculatedColumnFormula>IF(RES_AB[[#This Row],[Reserva]]="","",CONCATENATE("D+",NETWORKDAYS(RES_AB[[#This Row],[Data Reserva - Feriado e Fds]],TODAY(),Feriados[Data])-1))</calculatedColumnFormula>
    </tableColumn>
    <tableColumn id="12" xr3:uid="{00000000-0010-0000-0000-00000C000000}" name="Empresa + SLA dias" dataDxfId="119">
      <calculatedColumnFormula>IF(RES_AB[[#This Row],[Reserva]]="","",CONCATENATE(RES_AB[[#This Row],[Cen.]]," | ",RES_AB[[#This Row],[SLA2]]))</calculatedColumnFormula>
    </tableColumn>
    <tableColumn id="11" xr3:uid="{00000000-0010-0000-0000-00000B000000}" name="Itens abertos na reserva" dataDxfId="118">
      <calculatedColumnFormula>IF(RES_AB[[#This Row],[Reserva]]="","",IF(RES_AB[[#This Row],[SLA2]]=RES_AB[[#This Row],[Reserva]]="","",COUNTIF(MB25_VOLUMETRIA[Reserva],RES_AB[[#This Row],[Reserva]])))</calculatedColumnFormula>
    </tableColumn>
    <tableColumn id="7" xr3:uid="{00000000-0010-0000-0000-000007000000}" name="Laboratório" dataDxfId="117">
      <calculatedColumnFormula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calculatedColumnFormula>
    </tableColumn>
    <tableColumn id="8" xr3:uid="{00000000-0010-0000-0000-000008000000}" name="Situação" dataDxfId="116">
      <calculatedColumnFormula>IF(RES_AB[[#This Row],[Reserva]]="","",IF(RES_AB[[#This Row],[Previsão de Faturamento]]&lt;TODAY(),"RESERVAS EM ATRASO",IF(RES_AB[[#This Row],[Previsão de Faturamento]]=TODAY(),"PLANO DO DIA","RESERVAS PENDENTES")))</calculatedColumnFormula>
    </tableColumn>
    <tableColumn id="9" xr3:uid="{00000000-0010-0000-0000-000009000000}" name="Empresa" dataDxfId="115">
      <calculatedColumnFormula>IF(RES_AB[[#This Row],[Cen.]]="","",IFERROR(VLOOKUP(RES_AB[[#This Row],[Cen.]],Dados_Empresas[],2,FALSE),"Verificar empresa"))</calculatedColumnFormula>
    </tableColumn>
    <tableColumn id="10" xr3:uid="{00000000-0010-0000-0000-00000A000000}" name="Operação" dataDxfId="114">
      <calculatedColumnFormula>IF(RES_AB[[#This Row],[Empresa]]="","",IF(OR(RES_AB[[#This Row],[Empresa]]="NET MASSIVO",RES_AB[[#This Row],[Empresa]]="NET PROJETOS"),"NET","EMPRESARIAL"))</calculatedColumnFormula>
    </tableColumn>
    <tableColumn id="14" xr3:uid="{00000000-0010-0000-0000-00000E000000}" name="Canal Vermelho" dataDxfId="113">
      <calculatedColumnFormula>IF(RES_AB[[#This Row],[Reserva]]="","",IFERROR(VLOOKUP(RES_AB[[#This Row],[Reserva]],Tabela3[[Reserva]:[Descrição do status]],18,FALSE),"CONVENCIONAL"))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Faturamento" displayName="Faturamento" ref="A1:K48" totalsRowShown="0" headerRowDxfId="112" dataDxfId="111">
  <autoFilter ref="A1:K48" xr:uid="{00000000-0009-0000-0100-000007000000}"/>
  <tableColumns count="11">
    <tableColumn id="1" xr3:uid="{00000000-0010-0000-0100-000001000000}" name="Reserva" dataDxfId="110"/>
    <tableColumn id="2" xr3:uid="{00000000-0010-0000-0100-000002000000}" name="Cen." dataDxfId="109"/>
    <tableColumn id="3" xr3:uid="{00000000-0010-0000-0100-000003000000}" name="Dep." dataDxfId="11"/>
    <tableColumn id="4" xr3:uid="{00000000-0010-0000-0100-000004000000}" name="Dt.lçto." dataDxfId="10"/>
    <tableColumn id="5" xr3:uid="{00000000-0010-0000-0100-000005000000}" name="Hora" dataDxfId="8"/>
    <tableColumn id="6" xr3:uid="{00000000-0010-0000-0100-000006000000}" name="Referência" dataDxfId="9"/>
    <tableColumn id="7" xr3:uid="{00000000-0010-0000-0100-000007000000}" name="TMv" dataDxfId="108"/>
    <tableColumn id="9" xr3:uid="{00000000-0010-0000-0100-000009000000}" name="Periodo" dataDxfId="107">
      <calculatedColumnFormula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calculatedColumnFormula>
    </tableColumn>
    <tableColumn id="12" xr3:uid="{00000000-0010-0000-0100-00000C000000}" name="Centro" dataDxfId="106">
      <calculatedColumnFormula>IF(Faturamento[[#This Row],[Cen.]]="","",IFERROR(VLOOKUP(Faturamento[[#This Row],[Cen.]],Dados_Empresas[],2,FALSE),"Verificar empresa"))</calculatedColumnFormula>
    </tableColumn>
    <tableColumn id="10" xr3:uid="{00000000-0010-0000-0100-00000A000000}" name="Operação" dataDxfId="105">
      <calculatedColumnFormula>IF(Faturamento[[#This Row],[Cen.]]="","",IF(OR(Faturamento[[#This Row],[Cen.]]="N190",Faturamento[[#This Row],[Cen.]]="N193"),"NET","EMPRESARIAL"))</calculatedColumnFormula>
    </tableColumn>
    <tableColumn id="8" xr3:uid="{00000000-0010-0000-0100-000008000000}" name="Evolução por hora" dataDxfId="104">
      <calculatedColumnFormula>IF(Faturamento[[#This Row],[Hora]]="","",CONCATENATE(LEFT(TEXT(Faturamento[[#This Row],[Hora]],"hh"),2)," h"))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MB25_VOLUMETRIA" displayName="MB25_VOLUMETRIA" ref="A1:O1993" totalsRowShown="0" headerRowDxfId="103" dataDxfId="102">
  <tableColumns count="15">
    <tableColumn id="1" xr3:uid="{00000000-0010-0000-0200-000001000000}" name="Reserva" dataDxfId="101"/>
    <tableColumn id="2" xr3:uid="{00000000-0010-0000-0200-000002000000}" name="Cen." dataDxfId="100"/>
    <tableColumn id="3" xr3:uid="{00000000-0010-0000-0200-000003000000}" name="Dep." dataDxfId="18"/>
    <tableColumn id="4" xr3:uid="{00000000-0010-0000-0200-000004000000}" name="Data base" dataDxfId="16"/>
    <tableColumn id="5" xr3:uid="{00000000-0010-0000-0200-000005000000}" name="TMv" dataDxfId="17"/>
    <tableColumn id="6" xr3:uid="{00000000-0010-0000-0200-000006000000}" name="Material" dataDxfId="99"/>
    <tableColumn id="10" xr3:uid="{00000000-0010-0000-0200-00000A000000}" name="Texto breve material" dataDxfId="98"/>
    <tableColumn id="9" xr3:uid="{00000000-0010-0000-0200-000009000000}" name="UMB" dataDxfId="97"/>
    <tableColumn id="7" xr3:uid="{00000000-0010-0000-0200-000007000000}" name="Qtd." dataDxfId="96"/>
    <tableColumn id="15" xr3:uid="{00000000-0010-0000-0200-00000F000000}" name="Aux Item" dataDxfId="95">
      <calculatedColumnFormula>IF(MB25_VOLUMETRIA[[#This Row],[Reserva]]="","",1)</calculatedColumnFormula>
    </tableColumn>
    <tableColumn id="8" xr3:uid="{00000000-0010-0000-0200-000008000000}" name="Tipo Material" dataDxfId="94">
      <calculatedColumnFormula>IF(MB25_VOLUMETRIA[[#This Row],[Reserva]]="","",IFERROR(VLOOKUP(MB25_VOLUMETRIA[[#This Row],[UMB]],CHAVE[],2,FALSE),"VERIFICAR"))</calculatedColumnFormula>
    </tableColumn>
    <tableColumn id="11" xr3:uid="{00000000-0010-0000-0200-00000B000000}" name="Status WMS" dataDxfId="93">
      <calculatedColumnFormula>IF(MB25_VOLUMETRIA[[#This Row],[Reserva]]="","",IFERROR(VLOOKUP(MB25_VOLUMETRIA[[#This Row],[Reserva]],Tabela3[[Reserva]:[Condição para Faturamento]],20,FALSE),"IMPORTADO COM SUCESSO"))</calculatedColumnFormula>
    </tableColumn>
    <tableColumn id="12" xr3:uid="{00000000-0010-0000-0200-00000C000000}" name="Situação" dataDxfId="92">
      <calculatedColumnFormula>IFERROR(VLOOKUP(MB25_VOLUMETRIA[[#This Row],[Reserva]],RES_AB[],14,FALSE),"")</calculatedColumnFormula>
    </tableColumn>
    <tableColumn id="13" xr3:uid="{00000000-0010-0000-0200-00000D000000}" name="EMPRESA" dataDxfId="91">
      <calculatedColumnFormula>IF(MB25_VOLUMETRIA[[#This Row],[Cen.]]="","",IFERROR(VLOOKUP(MB25_VOLUMETRIA[[#This Row],[Cen.]],Dados_Empresas[],2,FALSE),"Verificar empresa"))</calculatedColumnFormula>
    </tableColumn>
    <tableColumn id="14" xr3:uid="{00000000-0010-0000-0200-00000E000000}" name="OPERAÇÃO" dataDxfId="90">
      <calculatedColumnFormula>IF(MB25_VOLUMETRIA[[#This Row],[EMPRESA]]="","",IF(OR(MB25_VOLUMETRIA[[#This Row],[EMPRESA]]="NET MASSIVO",MB25_VOLUMETRIA[[#This Row],[EMPRESA]]="NET PROJETOS"),"NET","EMPRESARIAL"))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ela3" displayName="Tabela3" ref="A1:U570" totalsRowShown="0">
  <autoFilter ref="A1:U570" xr:uid="{00000000-0009-0000-0100-000003000000}"/>
  <tableColumns count="21">
    <tableColumn id="1" xr3:uid="{00000000-0010-0000-0300-000001000000}" name="Seq.Integ."/>
    <tableColumn id="2" xr3:uid="{00000000-0010-0000-0300-000002000000}" name="Reserva"/>
    <tableColumn id="3" xr3:uid="{00000000-0010-0000-0300-000003000000}" name="Centro"/>
    <tableColumn id="4" xr3:uid="{00000000-0010-0000-0300-000004000000}" name="Depósito"/>
    <tableColumn id="5" xr3:uid="{00000000-0010-0000-0300-000005000000}" name="Codigo"/>
    <tableColumn id="6" xr3:uid="{00000000-0010-0000-0300-000006000000}" name="Descrição do status"/>
    <tableColumn id="7" xr3:uid="{00000000-0010-0000-0300-000007000000}" name="Data" dataDxfId="15"/>
    <tableColumn id="8" xr3:uid="{00000000-0010-0000-0300-000008000000}" name="Hora" dataDxfId="14"/>
    <tableColumn id="9" xr3:uid="{00000000-0010-0000-0300-000009000000}" name="Dt Integra" dataDxfId="13"/>
    <tableColumn id="10" xr3:uid="{00000000-0010-0000-0300-00000A000000}" name="Hr integra" dataDxfId="12"/>
    <tableColumn id="11" xr3:uid="{00000000-0010-0000-0300-00000B000000}" name="Usuário"/>
    <tableColumn id="12" xr3:uid="{00000000-0010-0000-0300-00000C000000}" name="Nº NF-e"/>
    <tableColumn id="13" xr3:uid="{00000000-0010-0000-0300-00000D000000}" name="Séries"/>
    <tableColumn id="14" xr3:uid="{00000000-0010-0000-0300-00000E000000}" name="Nº doc."/>
    <tableColumn id="15" xr3:uid="{00000000-0010-0000-0300-00000F000000}" name="Doc.mat."/>
    <tableColumn id="16" xr3:uid="{00000000-0010-0000-0300-000010000000}" name="Ano DocMat"/>
    <tableColumn id="17" xr3:uid="{00000000-0010-0000-0300-000011000000}" name="Usuário2"/>
    <tableColumn id="18" xr3:uid="{00000000-0010-0000-0300-000012000000}" name="Canal ver."/>
    <tableColumn id="19" xr3:uid="{00000000-0010-0000-0300-000013000000}" name="Dt.Sol.Ent"/>
    <tableColumn id="20" xr3:uid="{00000000-0010-0000-0300-000014000000}" name="Hr.Sol.Ent"/>
    <tableColumn id="21" xr3:uid="{00000000-0010-0000-0300-000015000000}" name="Condição para Faturamento" dataDxfId="89">
      <calculatedColumnFormula>IF(Tabela3[[#This Row],[Seq.Integ.]]="","",IF(AND(Tabela3[[#This Row],[Descrição do status]]="AGUARDANDO EXPEDIÇÃO",Tabela3[[#This Row],[Nº NF-e]]=""),"EM FATURAMENTO",Tabela3[[#This Row],[Descrição do status]]))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T419" totalsRowShown="0">
  <autoFilter ref="A1:T419" xr:uid="{00000000-0009-0000-0100-000008000000}"/>
  <tableColumns count="20">
    <tableColumn id="1" xr3:uid="{00000000-0010-0000-0400-000001000000}" name="Seq.Integ."/>
    <tableColumn id="2" xr3:uid="{00000000-0010-0000-0400-000002000000}" name="Reserva"/>
    <tableColumn id="3" xr3:uid="{00000000-0010-0000-0400-000003000000}" name="Centro"/>
    <tableColumn id="4" xr3:uid="{00000000-0010-0000-0400-000004000000}" name="Depósito"/>
    <tableColumn id="5" xr3:uid="{00000000-0010-0000-0400-000005000000}" name="Codigo"/>
    <tableColumn id="6" xr3:uid="{00000000-0010-0000-0400-000006000000}" name="Descrição do status"/>
    <tableColumn id="7" xr3:uid="{00000000-0010-0000-0400-000007000000}" name="Data" dataDxfId="3"/>
    <tableColumn id="8" xr3:uid="{00000000-0010-0000-0400-000008000000}" name="Hora" dataDxfId="2"/>
    <tableColumn id="9" xr3:uid="{00000000-0010-0000-0400-000009000000}" name="Dt Integra" dataDxfId="1"/>
    <tableColumn id="10" xr3:uid="{00000000-0010-0000-0400-00000A000000}" name="Hr integra" dataDxfId="0"/>
    <tableColumn id="11" xr3:uid="{00000000-0010-0000-0400-00000B000000}" name="Usuário"/>
    <tableColumn id="12" xr3:uid="{00000000-0010-0000-0400-00000C000000}" name="Nº NF-e" dataDxfId="88"/>
    <tableColumn id="13" xr3:uid="{00000000-0010-0000-0400-00000D000000}" name="Séries"/>
    <tableColumn id="14" xr3:uid="{00000000-0010-0000-0400-00000E000000}" name="Nº doc."/>
    <tableColumn id="15" xr3:uid="{00000000-0010-0000-0400-00000F000000}" name="Doc.mat."/>
    <tableColumn id="16" xr3:uid="{00000000-0010-0000-0400-000010000000}" name="Ano DocMat"/>
    <tableColumn id="17" xr3:uid="{00000000-0010-0000-0400-000011000000}" name="Usuário2"/>
    <tableColumn id="18" xr3:uid="{00000000-0010-0000-0400-000012000000}" name="Canal ver."/>
    <tableColumn id="19" xr3:uid="{00000000-0010-0000-0400-000013000000}" name="Dt.Sol.Ent"/>
    <tableColumn id="20" xr3:uid="{00000000-0010-0000-0400-000014000000}" name="Hr.Sol.Ent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eriados" displayName="Feriados" ref="A1:B12" totalsRowShown="0" headerRowDxfId="87" dataDxfId="86">
  <autoFilter ref="A1:B12" xr:uid="{00000000-0009-0000-0100-000004000000}"/>
  <sortState xmlns:xlrd2="http://schemas.microsoft.com/office/spreadsheetml/2017/richdata2" ref="A2:B12">
    <sortCondition ref="A1:A12"/>
  </sortState>
  <tableColumns count="2">
    <tableColumn id="1" xr3:uid="{00000000-0010-0000-0500-000001000000}" name="Data" dataDxfId="85"/>
    <tableColumn id="2" xr3:uid="{00000000-0010-0000-0500-000002000000}" name="Feriado" dataDxfId="8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Dados_Empresas" displayName="Dados_Empresas" ref="D1:E8" totalsRowShown="0" headerRowDxfId="83" dataDxfId="82" dataCellStyle="Normal_Plan1">
  <autoFilter ref="D1:E8" xr:uid="{00000000-0009-0000-0100-000005000000}"/>
  <tableColumns count="2">
    <tableColumn id="1" xr3:uid="{00000000-0010-0000-0600-000001000000}" name="Centro" dataDxfId="81" dataCellStyle="Normal_Plan1"/>
    <tableColumn id="2" xr3:uid="{00000000-0010-0000-0600-000002000000}" name="Empresa" dataDxfId="80" dataCellStyle="Normal_Plan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VE" displayName="CHAVE" ref="H1:L14" totalsRowShown="0" headerRowDxfId="79">
  <autoFilter ref="H1:L14" xr:uid="{00000000-0009-0000-0100-000006000000}"/>
  <tableColumns count="5">
    <tableColumn id="1" xr3:uid="{00000000-0010-0000-0700-000001000000}" name="Medida"/>
    <tableColumn id="2" xr3:uid="{00000000-0010-0000-0700-000002000000}" name="Significado SAP"/>
    <tableColumn id="3" xr3:uid="{00000000-0010-0000-0700-000003000000}" name="Significado deduzido"/>
    <tableColumn id="4" xr3:uid="{00000000-0010-0000-0700-000004000000}" name="Exemplo de materiais"/>
    <tableColumn id="5" xr3:uid="{00000000-0010-0000-0700-000005000000}" name="CHAV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rinterSettings" Target="../printerSettings/printerSettings5.bin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D"/>
  <dimension ref="A1:R666"/>
  <sheetViews>
    <sheetView showGridLines="0" workbookViewId="0">
      <selection sqref="A1:D666"/>
    </sheetView>
  </sheetViews>
  <sheetFormatPr defaultRowHeight="15" x14ac:dyDescent="0.25"/>
  <cols>
    <col min="1" max="1" width="11.7109375" bestFit="1" customWidth="1"/>
    <col min="2" max="2" width="9" bestFit="1" customWidth="1"/>
    <col min="3" max="3" width="9.140625" bestFit="1" customWidth="1"/>
    <col min="4" max="4" width="13.140625" style="1" bestFit="1" customWidth="1"/>
    <col min="5" max="5" width="16.7109375" style="1" bestFit="1" customWidth="1"/>
    <col min="6" max="6" width="11.85546875" bestFit="1" customWidth="1"/>
    <col min="7" max="7" width="14.140625" bestFit="1" customWidth="1"/>
    <col min="8" max="8" width="26.140625" bestFit="1" customWidth="1"/>
    <col min="9" max="9" width="17" style="1" bestFit="1" customWidth="1"/>
    <col min="10" max="10" width="9.7109375" bestFit="1" customWidth="1"/>
    <col min="11" max="11" width="22.42578125" bestFit="1" customWidth="1"/>
    <col min="12" max="12" width="14.7109375" bestFit="1" customWidth="1"/>
    <col min="13" max="13" width="15.7109375" bestFit="1" customWidth="1"/>
    <col min="14" max="14" width="20.85546875" bestFit="1" customWidth="1"/>
    <col min="15" max="15" width="13.85546875" bestFit="1" customWidth="1"/>
    <col min="16" max="16" width="14" bestFit="1" customWidth="1"/>
    <col min="17" max="17" width="19.85546875" bestFit="1" customWidth="1"/>
  </cols>
  <sheetData>
    <row r="1" spans="1:18" ht="57" customHeight="1" x14ac:dyDescent="0.25">
      <c r="A1" s="24" t="s">
        <v>0</v>
      </c>
      <c r="B1" s="24" t="s">
        <v>1</v>
      </c>
      <c r="C1" s="24" t="s">
        <v>2</v>
      </c>
      <c r="D1" s="31" t="s">
        <v>3</v>
      </c>
      <c r="E1" s="31" t="s">
        <v>4</v>
      </c>
      <c r="F1" s="24" t="s">
        <v>5</v>
      </c>
      <c r="G1" s="24" t="s">
        <v>6</v>
      </c>
      <c r="H1" s="15" t="s">
        <v>7</v>
      </c>
      <c r="I1" s="2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</row>
    <row r="2" spans="1:18" x14ac:dyDescent="0.25">
      <c r="A2" s="28">
        <v>4380794</v>
      </c>
      <c r="B2" s="28" t="s">
        <v>17</v>
      </c>
      <c r="C2" s="29" t="s">
        <v>17</v>
      </c>
      <c r="D2" s="29">
        <v>45448</v>
      </c>
      <c r="E2" s="29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" s="30">
        <f>IFERROR(VLOOKUP(RES_AB[[#This Row],[Reserva]],Tabela8[[Reserva]:[Usuário]],7,FALSE),Dados!$A$17)</f>
        <v>0.33333333333333331</v>
      </c>
      <c r="G2" s="28">
        <f>IF(RES_AB[[#This Row],[Reserva]]="","",IF(RES_AB[[#This Row],[Hora Int WMS]]&lt;Dados!$A$16,2,2))</f>
        <v>2</v>
      </c>
      <c r="H2" s="28" t="str">
        <f>IF(RES_AB[[#This Row],[Reserva]]="","",IFERROR(VLOOKUP(RES_AB[[#This Row],[Reserva]],Tabela3[[Reserva]:[Condição para Faturamento]],20,FALSE),"IMPORTADO COM SUCESSO"))</f>
        <v>EM FATURAMENTO</v>
      </c>
      <c r="I2" s="29">
        <f>IF(RES_AB[[#This Row],[Data base]]="","",WORKDAY(RES_AB[[#This Row],[Data Reserva - Feriado e Fds]],RES_AB[[#This Row],[Dias para atendimento]],Feriados[Data]))</f>
        <v>45450</v>
      </c>
      <c r="J2" s="28" t="str">
        <f ca="1">IF(RES_AB[[#This Row],[Reserva]]="","",CONCATENATE("D+",NETWORKDAYS(RES_AB[[#This Row],[Data Reserva - Feriado e Fds]],TODAY(),Feriados[Data])-1))</f>
        <v>D+2</v>
      </c>
      <c r="K2" s="28" t="str">
        <f ca="1">IF(RES_AB[[#This Row],[Reserva]]="","",CONCATENATE(RES_AB[[#This Row],[Cen.]]," | ",RES_AB[[#This Row],[SLA2]]))</f>
        <v>11EU | D+2</v>
      </c>
      <c r="L2" s="28">
        <f ca="1">IF(RES_AB[[#This Row],[Reserva]]="","",IF(RES_AB[[#This Row],[SLA2]]=RES_AB[[#This Row],[Reserva]]="","",COUNTIF(MB25_VOLUMETRIA[Reserva],RES_AB[[#This Row],[Reserva]])))</f>
        <v>2</v>
      </c>
      <c r="M2" s="28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" s="28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" s="28" t="str">
        <f>IF(RES_AB[[#This Row],[Cen.]]="","",IFERROR(VLOOKUP(RES_AB[[#This Row],[Cen.]],Dados_Empresas[],2,FALSE),"Verificar empresa"))</f>
        <v>EMBRATEL</v>
      </c>
      <c r="P2" s="28" t="str">
        <f>IF(RES_AB[[#This Row],[Empresa]]="","",IF(OR(RES_AB[[#This Row],[Empresa]]="NET MASSIVO",RES_AB[[#This Row],[Empresa]]="NET PROJETOS"),"NET","EMPRESARIAL"))</f>
        <v>EMPRESARIAL</v>
      </c>
      <c r="Q2" s="28" t="str">
        <f>IF(RES_AB[[#This Row],[Reserva]]="","",IFERROR(VLOOKUP(RES_AB[[#This Row],[Reserva]],Tabela3[[Reserva]:[Descrição do status]],18,FALSE),"CONVENCIONAL"))</f>
        <v>CONVENCIONAL</v>
      </c>
      <c r="R2" s="1"/>
    </row>
    <row r="3" spans="1:18" x14ac:dyDescent="0.25">
      <c r="A3" s="37">
        <v>4380796</v>
      </c>
      <c r="B3" s="37" t="s">
        <v>17</v>
      </c>
      <c r="C3" s="38" t="s">
        <v>17</v>
      </c>
      <c r="D3" s="38">
        <v>45448</v>
      </c>
      <c r="E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" s="39">
        <f>IFERROR(VLOOKUP(RES_AB[[#This Row],[Reserva]],Tabela8[[Reserva]:[Usuário]],7,FALSE),Dados!$A$17)</f>
        <v>0.44189814814814815</v>
      </c>
      <c r="G3" s="40">
        <f>IF(RES_AB[[#This Row],[Reserva]]="","",IF(RES_AB[[#This Row],[Hora Int WMS]]&lt;Dados!$A$16,2,2))</f>
        <v>2</v>
      </c>
      <c r="H3" s="40" t="str">
        <f>IF(RES_AB[[#This Row],[Reserva]]="","",IFERROR(VLOOKUP(RES_AB[[#This Row],[Reserva]],Tabela3[[Reserva]:[Condição para Faturamento]],20,FALSE),"IMPORTADO COM SUCESSO"))</f>
        <v>EM FATURAMENTO</v>
      </c>
      <c r="I3" s="38">
        <f>IF(RES_AB[[#This Row],[Data base]]="","",WORKDAY(RES_AB[[#This Row],[Data Reserva - Feriado e Fds]],RES_AB[[#This Row],[Dias para atendimento]],Feriados[Data]))</f>
        <v>45450</v>
      </c>
      <c r="J3" s="40" t="str">
        <f ca="1">IF(RES_AB[[#This Row],[Reserva]]="","",CONCATENATE("D+",NETWORKDAYS(RES_AB[[#This Row],[Data Reserva - Feriado e Fds]],TODAY(),Feriados[Data])-1))</f>
        <v>D+2</v>
      </c>
      <c r="K3" s="40" t="str">
        <f ca="1">IF(RES_AB[[#This Row],[Reserva]]="","",CONCATENATE(RES_AB[[#This Row],[Cen.]]," | ",RES_AB[[#This Row],[SLA2]]))</f>
        <v>11EU | D+2</v>
      </c>
      <c r="L3" s="40">
        <f ca="1">IF(RES_AB[[#This Row],[Reserva]]="","",IF(RES_AB[[#This Row],[SLA2]]=RES_AB[[#This Row],[Reserva]]="","",COUNTIF(MB25_VOLUMETRIA[Reserva],RES_AB[[#This Row],[Reserva]])))</f>
        <v>2</v>
      </c>
      <c r="M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" s="37" t="str">
        <f>IF(RES_AB[[#This Row],[Cen.]]="","",IFERROR(VLOOKUP(RES_AB[[#This Row],[Cen.]],Dados_Empresas[],2,FALSE),"Verificar empresa"))</f>
        <v>EMBRATEL</v>
      </c>
      <c r="P3" s="37" t="str">
        <f>IF(RES_AB[[#This Row],[Empresa]]="","",IF(OR(RES_AB[[#This Row],[Empresa]]="NET MASSIVO",RES_AB[[#This Row],[Empresa]]="NET PROJETOS"),"NET","EMPRESARIAL"))</f>
        <v>EMPRESARIAL</v>
      </c>
      <c r="Q3" s="37" t="str">
        <f>IF(RES_AB[[#This Row],[Reserva]]="","",IFERROR(VLOOKUP(RES_AB[[#This Row],[Reserva]],Tabela3[[Reserva]:[Descrição do status]],18,FALSE),"CONVENCIONAL"))</f>
        <v>CONVENCIONAL</v>
      </c>
    </row>
    <row r="4" spans="1:18" x14ac:dyDescent="0.25">
      <c r="A4" s="37">
        <v>4380797</v>
      </c>
      <c r="B4" s="37" t="s">
        <v>17</v>
      </c>
      <c r="C4" s="38" t="s">
        <v>17</v>
      </c>
      <c r="D4" s="38">
        <v>45448</v>
      </c>
      <c r="E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" s="39">
        <f>IFERROR(VLOOKUP(RES_AB[[#This Row],[Reserva]],Tabela8[[Reserva]:[Usuário]],7,FALSE),Dados!$A$17)</f>
        <v>0.46006944444444442</v>
      </c>
      <c r="G4" s="40">
        <f>IF(RES_AB[[#This Row],[Reserva]]="","",IF(RES_AB[[#This Row],[Hora Int WMS]]&lt;Dados!$A$16,2,2))</f>
        <v>2</v>
      </c>
      <c r="H4" s="40" t="str">
        <f>IF(RES_AB[[#This Row],[Reserva]]="","",IFERROR(VLOOKUP(RES_AB[[#This Row],[Reserva]],Tabela3[[Reserva]:[Condição para Faturamento]],20,FALSE),"IMPORTADO COM SUCESSO"))</f>
        <v>EM FATURAMENTO</v>
      </c>
      <c r="I4" s="38">
        <f>IF(RES_AB[[#This Row],[Data base]]="","",WORKDAY(RES_AB[[#This Row],[Data Reserva - Feriado e Fds]],RES_AB[[#This Row],[Dias para atendimento]],Feriados[Data]))</f>
        <v>45450</v>
      </c>
      <c r="J4" s="40" t="str">
        <f ca="1">IF(RES_AB[[#This Row],[Reserva]]="","",CONCATENATE("D+",NETWORKDAYS(RES_AB[[#This Row],[Data Reserva - Feriado e Fds]],TODAY(),Feriados[Data])-1))</f>
        <v>D+2</v>
      </c>
      <c r="K4" s="40" t="str">
        <f ca="1">IF(RES_AB[[#This Row],[Reserva]]="","",CONCATENATE(RES_AB[[#This Row],[Cen.]]," | ",RES_AB[[#This Row],[SLA2]]))</f>
        <v>11EU | D+2</v>
      </c>
      <c r="L4" s="40">
        <f ca="1">IF(RES_AB[[#This Row],[Reserva]]="","",IF(RES_AB[[#This Row],[SLA2]]=RES_AB[[#This Row],[Reserva]]="","",COUNTIF(MB25_VOLUMETRIA[Reserva],RES_AB[[#This Row],[Reserva]])))</f>
        <v>2</v>
      </c>
      <c r="M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" s="37" t="str">
        <f>IF(RES_AB[[#This Row],[Cen.]]="","",IFERROR(VLOOKUP(RES_AB[[#This Row],[Cen.]],Dados_Empresas[],2,FALSE),"Verificar empresa"))</f>
        <v>EMBRATEL</v>
      </c>
      <c r="P4" s="37" t="str">
        <f>IF(RES_AB[[#This Row],[Empresa]]="","",IF(OR(RES_AB[[#This Row],[Empresa]]="NET MASSIVO",RES_AB[[#This Row],[Empresa]]="NET PROJETOS"),"NET","EMPRESARIAL"))</f>
        <v>EMPRESARIAL</v>
      </c>
      <c r="Q4" s="37" t="str">
        <f>IF(RES_AB[[#This Row],[Reserva]]="","",IFERROR(VLOOKUP(RES_AB[[#This Row],[Reserva]],Tabela3[[Reserva]:[Descrição do status]],18,FALSE),"CONVENCIONAL"))</f>
        <v>CONVENCIONAL</v>
      </c>
    </row>
    <row r="5" spans="1:18" x14ac:dyDescent="0.25">
      <c r="A5" s="37">
        <v>4381016</v>
      </c>
      <c r="B5" s="37" t="s">
        <v>17</v>
      </c>
      <c r="C5" s="38" t="s">
        <v>17</v>
      </c>
      <c r="D5" s="38">
        <v>45448</v>
      </c>
      <c r="E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" s="39">
        <f>IFERROR(VLOOKUP(RES_AB[[#This Row],[Reserva]],Tabela8[[Reserva]:[Usuário]],7,FALSE),Dados!$A$17)</f>
        <v>0.4601851851851852</v>
      </c>
      <c r="G5" s="40">
        <f>IF(RES_AB[[#This Row],[Reserva]]="","",IF(RES_AB[[#This Row],[Hora Int WMS]]&lt;Dados!$A$16,2,2))</f>
        <v>2</v>
      </c>
      <c r="H5" s="40" t="str">
        <f>IF(RES_AB[[#This Row],[Reserva]]="","",IFERROR(VLOOKUP(RES_AB[[#This Row],[Reserva]],Tabela3[[Reserva]:[Condição para Faturamento]],20,FALSE),"IMPORTADO COM SUCESSO"))</f>
        <v>EM FATURAMENTO</v>
      </c>
      <c r="I5" s="38">
        <f>IF(RES_AB[[#This Row],[Data base]]="","",WORKDAY(RES_AB[[#This Row],[Data Reserva - Feriado e Fds]],RES_AB[[#This Row],[Dias para atendimento]],Feriados[Data]))</f>
        <v>45450</v>
      </c>
      <c r="J5" s="40" t="str">
        <f ca="1">IF(RES_AB[[#This Row],[Reserva]]="","",CONCATENATE("D+",NETWORKDAYS(RES_AB[[#This Row],[Data Reserva - Feriado e Fds]],TODAY(),Feriados[Data])-1))</f>
        <v>D+2</v>
      </c>
      <c r="K5" s="40" t="str">
        <f ca="1">IF(RES_AB[[#This Row],[Reserva]]="","",CONCATENATE(RES_AB[[#This Row],[Cen.]]," | ",RES_AB[[#This Row],[SLA2]]))</f>
        <v>11EU | D+2</v>
      </c>
      <c r="L5" s="40">
        <f ca="1">IF(RES_AB[[#This Row],[Reserva]]="","",IF(RES_AB[[#This Row],[SLA2]]=RES_AB[[#This Row],[Reserva]]="","",COUNTIF(MB25_VOLUMETRIA[Reserva],RES_AB[[#This Row],[Reserva]])))</f>
        <v>1</v>
      </c>
      <c r="M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" s="37" t="str">
        <f>IF(RES_AB[[#This Row],[Cen.]]="","",IFERROR(VLOOKUP(RES_AB[[#This Row],[Cen.]],Dados_Empresas[],2,FALSE),"Verificar empresa"))</f>
        <v>EMBRATEL</v>
      </c>
      <c r="P5" s="37" t="str">
        <f>IF(RES_AB[[#This Row],[Empresa]]="","",IF(OR(RES_AB[[#This Row],[Empresa]]="NET MASSIVO",RES_AB[[#This Row],[Empresa]]="NET PROJETOS"),"NET","EMPRESARIAL"))</f>
        <v>EMPRESARIAL</v>
      </c>
      <c r="Q5" s="37" t="str">
        <f>IF(RES_AB[[#This Row],[Reserva]]="","",IFERROR(VLOOKUP(RES_AB[[#This Row],[Reserva]],Tabela3[[Reserva]:[Descrição do status]],18,FALSE),"CONVENCIONAL"))</f>
        <v>CONVENCIONAL</v>
      </c>
    </row>
    <row r="6" spans="1:18" x14ac:dyDescent="0.25">
      <c r="A6" s="37">
        <v>4381020</v>
      </c>
      <c r="B6" s="37" t="s">
        <v>17</v>
      </c>
      <c r="C6" s="38" t="s">
        <v>17</v>
      </c>
      <c r="D6" s="38">
        <v>45448</v>
      </c>
      <c r="E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6" s="39">
        <f>IFERROR(VLOOKUP(RES_AB[[#This Row],[Reserva]],Tabela8[[Reserva]:[Usuário]],7,FALSE),Dados!$A$17)</f>
        <v>0.46909722222222222</v>
      </c>
      <c r="G6" s="40">
        <f>IF(RES_AB[[#This Row],[Reserva]]="","",IF(RES_AB[[#This Row],[Hora Int WMS]]&lt;Dados!$A$16,2,2))</f>
        <v>2</v>
      </c>
      <c r="H6" s="40" t="str">
        <f>IF(RES_AB[[#This Row],[Reserva]]="","",IFERROR(VLOOKUP(RES_AB[[#This Row],[Reserva]],Tabela3[[Reserva]:[Condição para Faturamento]],20,FALSE),"IMPORTADO COM SUCESSO"))</f>
        <v>EM CONFERENCIA</v>
      </c>
      <c r="I6" s="38">
        <f>IF(RES_AB[[#This Row],[Data base]]="","",WORKDAY(RES_AB[[#This Row],[Data Reserva - Feriado e Fds]],RES_AB[[#This Row],[Dias para atendimento]],Feriados[Data]))</f>
        <v>45450</v>
      </c>
      <c r="J6" s="40" t="str">
        <f ca="1">IF(RES_AB[[#This Row],[Reserva]]="","",CONCATENATE("D+",NETWORKDAYS(RES_AB[[#This Row],[Data Reserva - Feriado e Fds]],TODAY(),Feriados[Data])-1))</f>
        <v>D+2</v>
      </c>
      <c r="K6" s="40" t="str">
        <f ca="1">IF(RES_AB[[#This Row],[Reserva]]="","",CONCATENATE(RES_AB[[#This Row],[Cen.]]," | ",RES_AB[[#This Row],[SLA2]]))</f>
        <v>11EU | D+2</v>
      </c>
      <c r="L6" s="40">
        <f ca="1">IF(RES_AB[[#This Row],[Reserva]]="","",IF(RES_AB[[#This Row],[SLA2]]=RES_AB[[#This Row],[Reserva]]="","",COUNTIF(MB25_VOLUMETRIA[Reserva],RES_AB[[#This Row],[Reserva]])))</f>
        <v>7</v>
      </c>
      <c r="M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6" s="37" t="str">
        <f>IF(RES_AB[[#This Row],[Cen.]]="","",IFERROR(VLOOKUP(RES_AB[[#This Row],[Cen.]],Dados_Empresas[],2,FALSE),"Verificar empresa"))</f>
        <v>EMBRATEL</v>
      </c>
      <c r="P6" s="37" t="str">
        <f>IF(RES_AB[[#This Row],[Empresa]]="","",IF(OR(RES_AB[[#This Row],[Empresa]]="NET MASSIVO",RES_AB[[#This Row],[Empresa]]="NET PROJETOS"),"NET","EMPRESARIAL"))</f>
        <v>EMPRESARIAL</v>
      </c>
      <c r="Q6" s="37" t="str">
        <f>IF(RES_AB[[#This Row],[Reserva]]="","",IFERROR(VLOOKUP(RES_AB[[#This Row],[Reserva]],Tabela3[[Reserva]:[Descrição do status]],18,FALSE),"CONVENCIONAL"))</f>
        <v>CONVENCIONAL</v>
      </c>
    </row>
    <row r="7" spans="1:18" x14ac:dyDescent="0.25">
      <c r="A7" s="37">
        <v>4381187</v>
      </c>
      <c r="B7" s="37" t="s">
        <v>17</v>
      </c>
      <c r="C7" s="38" t="s">
        <v>17</v>
      </c>
      <c r="D7" s="38">
        <v>45448</v>
      </c>
      <c r="E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7" s="39">
        <f>IFERROR(VLOOKUP(RES_AB[[#This Row],[Reserva]],Tabela8[[Reserva]:[Usuário]],7,FALSE),Dados!$A$17)</f>
        <v>0.33333333333333331</v>
      </c>
      <c r="G7" s="40">
        <f>IF(RES_AB[[#This Row],[Reserva]]="","",IF(RES_AB[[#This Row],[Hora Int WMS]]&lt;Dados!$A$16,2,2))</f>
        <v>2</v>
      </c>
      <c r="H7" s="40" t="str">
        <f>IF(RES_AB[[#This Row],[Reserva]]="","",IFERROR(VLOOKUP(RES_AB[[#This Row],[Reserva]],Tabela3[[Reserva]:[Condição para Faturamento]],20,FALSE),"IMPORTADO COM SUCESSO"))</f>
        <v>EM CONFERENCIA</v>
      </c>
      <c r="I7" s="38">
        <f>IF(RES_AB[[#This Row],[Data base]]="","",WORKDAY(RES_AB[[#This Row],[Data Reserva - Feriado e Fds]],RES_AB[[#This Row],[Dias para atendimento]],Feriados[Data]))</f>
        <v>45450</v>
      </c>
      <c r="J7" s="40" t="str">
        <f ca="1">IF(RES_AB[[#This Row],[Reserva]]="","",CONCATENATE("D+",NETWORKDAYS(RES_AB[[#This Row],[Data Reserva - Feriado e Fds]],TODAY(),Feriados[Data])-1))</f>
        <v>D+2</v>
      </c>
      <c r="K7" s="40" t="str">
        <f ca="1">IF(RES_AB[[#This Row],[Reserva]]="","",CONCATENATE(RES_AB[[#This Row],[Cen.]]," | ",RES_AB[[#This Row],[SLA2]]))</f>
        <v>11EU | D+2</v>
      </c>
      <c r="L7" s="40">
        <f ca="1">IF(RES_AB[[#This Row],[Reserva]]="","",IF(RES_AB[[#This Row],[SLA2]]=RES_AB[[#This Row],[Reserva]]="","",COUNTIF(MB25_VOLUMETRIA[Reserva],RES_AB[[#This Row],[Reserva]])))</f>
        <v>10</v>
      </c>
      <c r="M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7" s="37" t="str">
        <f>IF(RES_AB[[#This Row],[Cen.]]="","",IFERROR(VLOOKUP(RES_AB[[#This Row],[Cen.]],Dados_Empresas[],2,FALSE),"Verificar empresa"))</f>
        <v>EMBRATEL</v>
      </c>
      <c r="P7" s="37" t="str">
        <f>IF(RES_AB[[#This Row],[Empresa]]="","",IF(OR(RES_AB[[#This Row],[Empresa]]="NET MASSIVO",RES_AB[[#This Row],[Empresa]]="NET PROJETOS"),"NET","EMPRESARIAL"))</f>
        <v>EMPRESARIAL</v>
      </c>
      <c r="Q7" s="37" t="str">
        <f>IF(RES_AB[[#This Row],[Reserva]]="","",IFERROR(VLOOKUP(RES_AB[[#This Row],[Reserva]],Tabela3[[Reserva]:[Descrição do status]],18,FALSE),"CONVENCIONAL"))</f>
        <v>CONVENCIONAL</v>
      </c>
    </row>
    <row r="8" spans="1:18" x14ac:dyDescent="0.25">
      <c r="A8" s="37">
        <v>4381191</v>
      </c>
      <c r="B8" s="37" t="s">
        <v>17</v>
      </c>
      <c r="C8" s="38" t="s">
        <v>17</v>
      </c>
      <c r="D8" s="38">
        <v>45448</v>
      </c>
      <c r="E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8" s="39">
        <f>IFERROR(VLOOKUP(RES_AB[[#This Row],[Reserva]],Tabela8[[Reserva]:[Usuário]],7,FALSE),Dados!$A$17)</f>
        <v>0.35173611111111114</v>
      </c>
      <c r="G8" s="40">
        <f>IF(RES_AB[[#This Row],[Reserva]]="","",IF(RES_AB[[#This Row],[Hora Int WMS]]&lt;Dados!$A$16,2,2))</f>
        <v>2</v>
      </c>
      <c r="H8" s="40" t="str">
        <f>IF(RES_AB[[#This Row],[Reserva]]="","",IFERROR(VLOOKUP(RES_AB[[#This Row],[Reserva]],Tabela3[[Reserva]:[Condição para Faturamento]],20,FALSE),"IMPORTADO COM SUCESSO"))</f>
        <v>PEDIDO EM LABORATORIO</v>
      </c>
      <c r="I8" s="38">
        <f>IF(RES_AB[[#This Row],[Data base]]="","",WORKDAY(RES_AB[[#This Row],[Data Reserva - Feriado e Fds]],RES_AB[[#This Row],[Dias para atendimento]],Feriados[Data]))</f>
        <v>45450</v>
      </c>
      <c r="J8" s="40" t="str">
        <f ca="1">IF(RES_AB[[#This Row],[Reserva]]="","",CONCATENATE("D+",NETWORKDAYS(RES_AB[[#This Row],[Data Reserva - Feriado e Fds]],TODAY(),Feriados[Data])-1))</f>
        <v>D+2</v>
      </c>
      <c r="K8" s="40" t="str">
        <f ca="1">IF(RES_AB[[#This Row],[Reserva]]="","",CONCATENATE(RES_AB[[#This Row],[Cen.]]," | ",RES_AB[[#This Row],[SLA2]]))</f>
        <v>11EU | D+2</v>
      </c>
      <c r="L8" s="40">
        <f ca="1">IF(RES_AB[[#This Row],[Reserva]]="","",IF(RES_AB[[#This Row],[SLA2]]=RES_AB[[#This Row],[Reserva]]="","",COUNTIF(MB25_VOLUMETRIA[Reserva],RES_AB[[#This Row],[Reserva]])))</f>
        <v>8</v>
      </c>
      <c r="M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8" s="37" t="str">
        <f>IF(RES_AB[[#This Row],[Cen.]]="","",IFERROR(VLOOKUP(RES_AB[[#This Row],[Cen.]],Dados_Empresas[],2,FALSE),"Verificar empresa"))</f>
        <v>EMBRATEL</v>
      </c>
      <c r="P8" s="37" t="str">
        <f>IF(RES_AB[[#This Row],[Empresa]]="","",IF(OR(RES_AB[[#This Row],[Empresa]]="NET MASSIVO",RES_AB[[#This Row],[Empresa]]="NET PROJETOS"),"NET","EMPRESARIAL"))</f>
        <v>EMPRESARIAL</v>
      </c>
      <c r="Q8" s="37" t="str">
        <f>IF(RES_AB[[#This Row],[Reserva]]="","",IFERROR(VLOOKUP(RES_AB[[#This Row],[Reserva]],Tabela3[[Reserva]:[Descrição do status]],18,FALSE),"CONVENCIONAL"))</f>
        <v>CONVENCIONAL</v>
      </c>
    </row>
    <row r="9" spans="1:18" x14ac:dyDescent="0.25">
      <c r="A9" s="37">
        <v>4381193</v>
      </c>
      <c r="B9" s="37" t="s">
        <v>17</v>
      </c>
      <c r="C9" s="38" t="s">
        <v>17</v>
      </c>
      <c r="D9" s="38">
        <v>45448</v>
      </c>
      <c r="E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9" s="39">
        <f>IFERROR(VLOOKUP(RES_AB[[#This Row],[Reserva]],Tabela8[[Reserva]:[Usuário]],7,FALSE),Dados!$A$17)</f>
        <v>0.36967592592592591</v>
      </c>
      <c r="G9" s="40">
        <f>IF(RES_AB[[#This Row],[Reserva]]="","",IF(RES_AB[[#This Row],[Hora Int WMS]]&lt;Dados!$A$16,2,2))</f>
        <v>2</v>
      </c>
      <c r="H9" s="40" t="str">
        <f>IF(RES_AB[[#This Row],[Reserva]]="","",IFERROR(VLOOKUP(RES_AB[[#This Row],[Reserva]],Tabela3[[Reserva]:[Condição para Faturamento]],20,FALSE),"IMPORTADO COM SUCESSO"))</f>
        <v>EM CONFERENCIA</v>
      </c>
      <c r="I9" s="38">
        <f>IF(RES_AB[[#This Row],[Data base]]="","",WORKDAY(RES_AB[[#This Row],[Data Reserva - Feriado e Fds]],RES_AB[[#This Row],[Dias para atendimento]],Feriados[Data]))</f>
        <v>45450</v>
      </c>
      <c r="J9" s="40" t="str">
        <f ca="1">IF(RES_AB[[#This Row],[Reserva]]="","",CONCATENATE("D+",NETWORKDAYS(RES_AB[[#This Row],[Data Reserva - Feriado e Fds]],TODAY(),Feriados[Data])-1))</f>
        <v>D+2</v>
      </c>
      <c r="K9" s="40" t="str">
        <f ca="1">IF(RES_AB[[#This Row],[Reserva]]="","",CONCATENATE(RES_AB[[#This Row],[Cen.]]," | ",RES_AB[[#This Row],[SLA2]]))</f>
        <v>11EU | D+2</v>
      </c>
      <c r="L9" s="40">
        <f ca="1">IF(RES_AB[[#This Row],[Reserva]]="","",IF(RES_AB[[#This Row],[SLA2]]=RES_AB[[#This Row],[Reserva]]="","",COUNTIF(MB25_VOLUMETRIA[Reserva],RES_AB[[#This Row],[Reserva]])))</f>
        <v>9</v>
      </c>
      <c r="M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9" s="37" t="str">
        <f>IF(RES_AB[[#This Row],[Cen.]]="","",IFERROR(VLOOKUP(RES_AB[[#This Row],[Cen.]],Dados_Empresas[],2,FALSE),"Verificar empresa"))</f>
        <v>EMBRATEL</v>
      </c>
      <c r="P9" s="37" t="str">
        <f>IF(RES_AB[[#This Row],[Empresa]]="","",IF(OR(RES_AB[[#This Row],[Empresa]]="NET MASSIVO",RES_AB[[#This Row],[Empresa]]="NET PROJETOS"),"NET","EMPRESARIAL"))</f>
        <v>EMPRESARIAL</v>
      </c>
      <c r="Q9" s="37" t="str">
        <f>IF(RES_AB[[#This Row],[Reserva]]="","",IFERROR(VLOOKUP(RES_AB[[#This Row],[Reserva]],Tabela3[[Reserva]:[Descrição do status]],18,FALSE),"CONVENCIONAL"))</f>
        <v>CONVENCIONAL</v>
      </c>
    </row>
    <row r="10" spans="1:18" x14ac:dyDescent="0.25">
      <c r="A10" s="37">
        <v>4381194</v>
      </c>
      <c r="B10" s="37" t="s">
        <v>17</v>
      </c>
      <c r="C10" s="38" t="s">
        <v>17</v>
      </c>
      <c r="D10" s="38">
        <v>45448</v>
      </c>
      <c r="E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0" s="39">
        <f>IFERROR(VLOOKUP(RES_AB[[#This Row],[Reserva]],Tabela8[[Reserva]:[Usuário]],7,FALSE),Dados!$A$17)</f>
        <v>0.36979166666666669</v>
      </c>
      <c r="G10" s="40">
        <f>IF(RES_AB[[#This Row],[Reserva]]="","",IF(RES_AB[[#This Row],[Hora Int WMS]]&lt;Dados!$A$16,2,2))</f>
        <v>2</v>
      </c>
      <c r="H10" s="40" t="str">
        <f>IF(RES_AB[[#This Row],[Reserva]]="","",IFERROR(VLOOKUP(RES_AB[[#This Row],[Reserva]],Tabela3[[Reserva]:[Condição para Faturamento]],20,FALSE),"IMPORTADO COM SUCESSO"))</f>
        <v>PEDIDO EM LABORATORIO</v>
      </c>
      <c r="I10" s="38">
        <f>IF(RES_AB[[#This Row],[Data base]]="","",WORKDAY(RES_AB[[#This Row],[Data Reserva - Feriado e Fds]],RES_AB[[#This Row],[Dias para atendimento]],Feriados[Data]))</f>
        <v>45450</v>
      </c>
      <c r="J10" s="40" t="str">
        <f ca="1">IF(RES_AB[[#This Row],[Reserva]]="","",CONCATENATE("D+",NETWORKDAYS(RES_AB[[#This Row],[Data Reserva - Feriado e Fds]],TODAY(),Feriados[Data])-1))</f>
        <v>D+2</v>
      </c>
      <c r="K10" s="40" t="str">
        <f ca="1">IF(RES_AB[[#This Row],[Reserva]]="","",CONCATENATE(RES_AB[[#This Row],[Cen.]]," | ",RES_AB[[#This Row],[SLA2]]))</f>
        <v>11EU | D+2</v>
      </c>
      <c r="L10" s="40">
        <f ca="1">IF(RES_AB[[#This Row],[Reserva]]="","",IF(RES_AB[[#This Row],[SLA2]]=RES_AB[[#This Row],[Reserva]]="","",COUNTIF(MB25_VOLUMETRIA[Reserva],RES_AB[[#This Row],[Reserva]])))</f>
        <v>5</v>
      </c>
      <c r="M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1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0" s="37" t="str">
        <f>IF(RES_AB[[#This Row],[Cen.]]="","",IFERROR(VLOOKUP(RES_AB[[#This Row],[Cen.]],Dados_Empresas[],2,FALSE),"Verificar empresa"))</f>
        <v>EMBRATEL</v>
      </c>
      <c r="P10" s="37" t="str">
        <f>IF(RES_AB[[#This Row],[Empresa]]="","",IF(OR(RES_AB[[#This Row],[Empresa]]="NET MASSIVO",RES_AB[[#This Row],[Empresa]]="NET PROJETOS"),"NET","EMPRESARIAL"))</f>
        <v>EMPRESARIAL</v>
      </c>
      <c r="Q10" s="37" t="str">
        <f>IF(RES_AB[[#This Row],[Reserva]]="","",IFERROR(VLOOKUP(RES_AB[[#This Row],[Reserva]],Tabela3[[Reserva]:[Descrição do status]],18,FALSE),"CONVENCIONAL"))</f>
        <v>CONVENCIONAL</v>
      </c>
    </row>
    <row r="11" spans="1:18" x14ac:dyDescent="0.25">
      <c r="A11" s="37">
        <v>4381304</v>
      </c>
      <c r="B11" s="37" t="s">
        <v>17</v>
      </c>
      <c r="C11" s="38" t="s">
        <v>17</v>
      </c>
      <c r="D11" s="38">
        <v>45448</v>
      </c>
      <c r="E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1" s="39">
        <f>IFERROR(VLOOKUP(RES_AB[[#This Row],[Reserva]],Tabela8[[Reserva]:[Usuário]],7,FALSE),Dados!$A$17)</f>
        <v>0.39675925925925926</v>
      </c>
      <c r="G11" s="40">
        <f>IF(RES_AB[[#This Row],[Reserva]]="","",IF(RES_AB[[#This Row],[Hora Int WMS]]&lt;Dados!$A$16,2,2))</f>
        <v>2</v>
      </c>
      <c r="H11" s="40" t="str">
        <f>IF(RES_AB[[#This Row],[Reserva]]="","",IFERROR(VLOOKUP(RES_AB[[#This Row],[Reserva]],Tabela3[[Reserva]:[Condição para Faturamento]],20,FALSE),"IMPORTADO COM SUCESSO"))</f>
        <v>PEDIDO EM LABORATORIO</v>
      </c>
      <c r="I11" s="38">
        <f>IF(RES_AB[[#This Row],[Data base]]="","",WORKDAY(RES_AB[[#This Row],[Data Reserva - Feriado e Fds]],RES_AB[[#This Row],[Dias para atendimento]],Feriados[Data]))</f>
        <v>45450</v>
      </c>
      <c r="J11" s="40" t="str">
        <f ca="1">IF(RES_AB[[#This Row],[Reserva]]="","",CONCATENATE("D+",NETWORKDAYS(RES_AB[[#This Row],[Data Reserva - Feriado e Fds]],TODAY(),Feriados[Data])-1))</f>
        <v>D+2</v>
      </c>
      <c r="K11" s="40" t="str">
        <f ca="1">IF(RES_AB[[#This Row],[Reserva]]="","",CONCATENATE(RES_AB[[#This Row],[Cen.]]," | ",RES_AB[[#This Row],[SLA2]]))</f>
        <v>11EU | D+2</v>
      </c>
      <c r="L11" s="40">
        <f ca="1">IF(RES_AB[[#This Row],[Reserva]]="","",IF(RES_AB[[#This Row],[SLA2]]=RES_AB[[#This Row],[Reserva]]="","",COUNTIF(MB25_VOLUMETRIA[Reserva],RES_AB[[#This Row],[Reserva]])))</f>
        <v>5</v>
      </c>
      <c r="M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1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1" s="37" t="str">
        <f>IF(RES_AB[[#This Row],[Cen.]]="","",IFERROR(VLOOKUP(RES_AB[[#This Row],[Cen.]],Dados_Empresas[],2,FALSE),"Verificar empresa"))</f>
        <v>EMBRATEL</v>
      </c>
      <c r="P11" s="37" t="str">
        <f>IF(RES_AB[[#This Row],[Empresa]]="","",IF(OR(RES_AB[[#This Row],[Empresa]]="NET MASSIVO",RES_AB[[#This Row],[Empresa]]="NET PROJETOS"),"NET","EMPRESARIAL"))</f>
        <v>EMPRESARIAL</v>
      </c>
      <c r="Q11" s="37" t="str">
        <f>IF(RES_AB[[#This Row],[Reserva]]="","",IFERROR(VLOOKUP(RES_AB[[#This Row],[Reserva]],Tabela3[[Reserva]:[Descrição do status]],18,FALSE),"CONVENCIONAL"))</f>
        <v>CONVENCIONAL</v>
      </c>
    </row>
    <row r="12" spans="1:18" x14ac:dyDescent="0.25">
      <c r="A12" s="37">
        <v>4381383</v>
      </c>
      <c r="B12" s="37" t="s">
        <v>17</v>
      </c>
      <c r="C12" s="38" t="s">
        <v>17</v>
      </c>
      <c r="D12" s="38">
        <v>45448</v>
      </c>
      <c r="E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2" s="39">
        <f>IFERROR(VLOOKUP(RES_AB[[#This Row],[Reserva]],Tabela8[[Reserva]:[Usuário]],7,FALSE),Dados!$A$17)</f>
        <v>0.46030092592592592</v>
      </c>
      <c r="G12" s="40">
        <f>IF(RES_AB[[#This Row],[Reserva]]="","",IF(RES_AB[[#This Row],[Hora Int WMS]]&lt;Dados!$A$16,2,2))</f>
        <v>2</v>
      </c>
      <c r="H12" s="40" t="str">
        <f>IF(RES_AB[[#This Row],[Reserva]]="","",IFERROR(VLOOKUP(RES_AB[[#This Row],[Reserva]],Tabela3[[Reserva]:[Condição para Faturamento]],20,FALSE),"IMPORTADO COM SUCESSO"))</f>
        <v>EM FATURAMENTO</v>
      </c>
      <c r="I12" s="38">
        <f>IF(RES_AB[[#This Row],[Data base]]="","",WORKDAY(RES_AB[[#This Row],[Data Reserva - Feriado e Fds]],RES_AB[[#This Row],[Dias para atendimento]],Feriados[Data]))</f>
        <v>45450</v>
      </c>
      <c r="J12" s="40" t="str">
        <f ca="1">IF(RES_AB[[#This Row],[Reserva]]="","",CONCATENATE("D+",NETWORKDAYS(RES_AB[[#This Row],[Data Reserva - Feriado e Fds]],TODAY(),Feriados[Data])-1))</f>
        <v>D+2</v>
      </c>
      <c r="K12" s="40" t="str">
        <f ca="1">IF(RES_AB[[#This Row],[Reserva]]="","",CONCATENATE(RES_AB[[#This Row],[Cen.]]," | ",RES_AB[[#This Row],[SLA2]]))</f>
        <v>11EU | D+2</v>
      </c>
      <c r="L12" s="40">
        <f ca="1">IF(RES_AB[[#This Row],[Reserva]]="","",IF(RES_AB[[#This Row],[SLA2]]=RES_AB[[#This Row],[Reserva]]="","",COUNTIF(MB25_VOLUMETRIA[Reserva],RES_AB[[#This Row],[Reserva]])))</f>
        <v>2</v>
      </c>
      <c r="M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2" s="37" t="str">
        <f>IF(RES_AB[[#This Row],[Cen.]]="","",IFERROR(VLOOKUP(RES_AB[[#This Row],[Cen.]],Dados_Empresas[],2,FALSE),"Verificar empresa"))</f>
        <v>EMBRATEL</v>
      </c>
      <c r="P12" s="37" t="str">
        <f>IF(RES_AB[[#This Row],[Empresa]]="","",IF(OR(RES_AB[[#This Row],[Empresa]]="NET MASSIVO",RES_AB[[#This Row],[Empresa]]="NET PROJETOS"),"NET","EMPRESARIAL"))</f>
        <v>EMPRESARIAL</v>
      </c>
      <c r="Q12" s="37" t="str">
        <f>IF(RES_AB[[#This Row],[Reserva]]="","",IFERROR(VLOOKUP(RES_AB[[#This Row],[Reserva]],Tabela3[[Reserva]:[Descrição do status]],18,FALSE),"CONVENCIONAL"))</f>
        <v>CONVENCIONAL</v>
      </c>
    </row>
    <row r="13" spans="1:18" x14ac:dyDescent="0.25">
      <c r="A13" s="37">
        <v>4381574</v>
      </c>
      <c r="B13" s="37" t="s">
        <v>17</v>
      </c>
      <c r="C13" s="38" t="s">
        <v>17</v>
      </c>
      <c r="D13" s="38">
        <v>45448</v>
      </c>
      <c r="E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" s="39">
        <f>IFERROR(VLOOKUP(RES_AB[[#This Row],[Reserva]],Tabela8[[Reserva]:[Usuário]],7,FALSE),Dados!$A$17)</f>
        <v>0.53217592592592589</v>
      </c>
      <c r="G13" s="40">
        <f>IF(RES_AB[[#This Row],[Reserva]]="","",IF(RES_AB[[#This Row],[Hora Int WMS]]&lt;Dados!$A$16,2,2))</f>
        <v>2</v>
      </c>
      <c r="H13" s="40" t="str">
        <f>IF(RES_AB[[#This Row],[Reserva]]="","",IFERROR(VLOOKUP(RES_AB[[#This Row],[Reserva]],Tabela3[[Reserva]:[Condição para Faturamento]],20,FALSE),"IMPORTADO COM SUCESSO"))</f>
        <v>EM CONFERENCIA</v>
      </c>
      <c r="I13" s="38">
        <f>IF(RES_AB[[#This Row],[Data base]]="","",WORKDAY(RES_AB[[#This Row],[Data Reserva - Feriado e Fds]],RES_AB[[#This Row],[Dias para atendimento]],Feriados[Data]))</f>
        <v>45450</v>
      </c>
      <c r="J13" s="40" t="str">
        <f ca="1">IF(RES_AB[[#This Row],[Reserva]]="","",CONCATENATE("D+",NETWORKDAYS(RES_AB[[#This Row],[Data Reserva - Feriado e Fds]],TODAY(),Feriados[Data])-1))</f>
        <v>D+2</v>
      </c>
      <c r="K13" s="40" t="str">
        <f ca="1">IF(RES_AB[[#This Row],[Reserva]]="","",CONCATENATE(RES_AB[[#This Row],[Cen.]]," | ",RES_AB[[#This Row],[SLA2]]))</f>
        <v>11EU | D+2</v>
      </c>
      <c r="L13" s="40">
        <f ca="1">IF(RES_AB[[#This Row],[Reserva]]="","",IF(RES_AB[[#This Row],[SLA2]]=RES_AB[[#This Row],[Reserva]]="","",COUNTIF(MB25_VOLUMETRIA[Reserva],RES_AB[[#This Row],[Reserva]])))</f>
        <v>1</v>
      </c>
      <c r="M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" s="37" t="str">
        <f>IF(RES_AB[[#This Row],[Cen.]]="","",IFERROR(VLOOKUP(RES_AB[[#This Row],[Cen.]],Dados_Empresas[],2,FALSE),"Verificar empresa"))</f>
        <v>EMBRATEL</v>
      </c>
      <c r="P13" s="37" t="str">
        <f>IF(RES_AB[[#This Row],[Empresa]]="","",IF(OR(RES_AB[[#This Row],[Empresa]]="NET MASSIVO",RES_AB[[#This Row],[Empresa]]="NET PROJETOS"),"NET","EMPRESARIAL"))</f>
        <v>EMPRESARIAL</v>
      </c>
      <c r="Q13" s="37" t="str">
        <f>IF(RES_AB[[#This Row],[Reserva]]="","",IFERROR(VLOOKUP(RES_AB[[#This Row],[Reserva]],Tabela3[[Reserva]:[Descrição do status]],18,FALSE),"CONVENCIONAL"))</f>
        <v>CONVENCIONAL</v>
      </c>
    </row>
    <row r="14" spans="1:18" x14ac:dyDescent="0.25">
      <c r="A14" s="37">
        <v>4381575</v>
      </c>
      <c r="B14" s="37" t="s">
        <v>17</v>
      </c>
      <c r="C14" s="38" t="s">
        <v>17</v>
      </c>
      <c r="D14" s="38">
        <v>45448</v>
      </c>
      <c r="E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" s="39">
        <f>IFERROR(VLOOKUP(RES_AB[[#This Row],[Reserva]],Tabela8[[Reserva]:[Usuário]],7,FALSE),Dados!$A$17)</f>
        <v>0.53217592592592589</v>
      </c>
      <c r="G14" s="40">
        <f>IF(RES_AB[[#This Row],[Reserva]]="","",IF(RES_AB[[#This Row],[Hora Int WMS]]&lt;Dados!$A$16,2,2))</f>
        <v>2</v>
      </c>
      <c r="H14" s="40" t="str">
        <f>IF(RES_AB[[#This Row],[Reserva]]="","",IFERROR(VLOOKUP(RES_AB[[#This Row],[Reserva]],Tabela3[[Reserva]:[Condição para Faturamento]],20,FALSE),"IMPORTADO COM SUCESSO"))</f>
        <v>EM SEPARAÇÃO</v>
      </c>
      <c r="I14" s="38">
        <f>IF(RES_AB[[#This Row],[Data base]]="","",WORKDAY(RES_AB[[#This Row],[Data Reserva - Feriado e Fds]],RES_AB[[#This Row],[Dias para atendimento]],Feriados[Data]))</f>
        <v>45450</v>
      </c>
      <c r="J14" s="40" t="str">
        <f ca="1">IF(RES_AB[[#This Row],[Reserva]]="","",CONCATENATE("D+",NETWORKDAYS(RES_AB[[#This Row],[Data Reserva - Feriado e Fds]],TODAY(),Feriados[Data])-1))</f>
        <v>D+2</v>
      </c>
      <c r="K14" s="40" t="str">
        <f ca="1">IF(RES_AB[[#This Row],[Reserva]]="","",CONCATENATE(RES_AB[[#This Row],[Cen.]]," | ",RES_AB[[#This Row],[SLA2]]))</f>
        <v>11EU | D+2</v>
      </c>
      <c r="L14" s="40">
        <f ca="1">IF(RES_AB[[#This Row],[Reserva]]="","",IF(RES_AB[[#This Row],[SLA2]]=RES_AB[[#This Row],[Reserva]]="","",COUNTIF(MB25_VOLUMETRIA[Reserva],RES_AB[[#This Row],[Reserva]])))</f>
        <v>1</v>
      </c>
      <c r="M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" s="37" t="str">
        <f>IF(RES_AB[[#This Row],[Cen.]]="","",IFERROR(VLOOKUP(RES_AB[[#This Row],[Cen.]],Dados_Empresas[],2,FALSE),"Verificar empresa"))</f>
        <v>EMBRATEL</v>
      </c>
      <c r="P14" s="37" t="str">
        <f>IF(RES_AB[[#This Row],[Empresa]]="","",IF(OR(RES_AB[[#This Row],[Empresa]]="NET MASSIVO",RES_AB[[#This Row],[Empresa]]="NET PROJETOS"),"NET","EMPRESARIAL"))</f>
        <v>EMPRESARIAL</v>
      </c>
      <c r="Q14" s="37" t="str">
        <f>IF(RES_AB[[#This Row],[Reserva]]="","",IFERROR(VLOOKUP(RES_AB[[#This Row],[Reserva]],Tabela3[[Reserva]:[Descrição do status]],18,FALSE),"CONVENCIONAL"))</f>
        <v>CONVENCIONAL</v>
      </c>
    </row>
    <row r="15" spans="1:18" x14ac:dyDescent="0.25">
      <c r="A15" s="37">
        <v>4381704</v>
      </c>
      <c r="B15" s="37" t="s">
        <v>17</v>
      </c>
      <c r="C15" s="38" t="s">
        <v>17</v>
      </c>
      <c r="D15" s="38">
        <v>45448</v>
      </c>
      <c r="E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5" s="39">
        <f>IFERROR(VLOOKUP(RES_AB[[#This Row],[Reserva]],Tabela8[[Reserva]:[Usuário]],7,FALSE),Dados!$A$17)</f>
        <v>0.61365740740740737</v>
      </c>
      <c r="G15" s="40">
        <f>IF(RES_AB[[#This Row],[Reserva]]="","",IF(RES_AB[[#This Row],[Hora Int WMS]]&lt;Dados!$A$16,2,2))</f>
        <v>2</v>
      </c>
      <c r="H15" s="40" t="str">
        <f>IF(RES_AB[[#This Row],[Reserva]]="","",IFERROR(VLOOKUP(RES_AB[[#This Row],[Reserva]],Tabela3[[Reserva]:[Condição para Faturamento]],20,FALSE),"IMPORTADO COM SUCESSO"))</f>
        <v>EM FATURAMENTO</v>
      </c>
      <c r="I15" s="38">
        <f>IF(RES_AB[[#This Row],[Data base]]="","",WORKDAY(RES_AB[[#This Row],[Data Reserva - Feriado e Fds]],RES_AB[[#This Row],[Dias para atendimento]],Feriados[Data]))</f>
        <v>45450</v>
      </c>
      <c r="J15" s="40" t="str">
        <f ca="1">IF(RES_AB[[#This Row],[Reserva]]="","",CONCATENATE("D+",NETWORKDAYS(RES_AB[[#This Row],[Data Reserva - Feriado e Fds]],TODAY(),Feriados[Data])-1))</f>
        <v>D+2</v>
      </c>
      <c r="K15" s="40" t="str">
        <f ca="1">IF(RES_AB[[#This Row],[Reserva]]="","",CONCATENATE(RES_AB[[#This Row],[Cen.]]," | ",RES_AB[[#This Row],[SLA2]]))</f>
        <v>11EU | D+2</v>
      </c>
      <c r="L15" s="40">
        <f ca="1">IF(RES_AB[[#This Row],[Reserva]]="","",IF(RES_AB[[#This Row],[SLA2]]=RES_AB[[#This Row],[Reserva]]="","",COUNTIF(MB25_VOLUMETRIA[Reserva],RES_AB[[#This Row],[Reserva]])))</f>
        <v>2</v>
      </c>
      <c r="M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5" s="37" t="str">
        <f>IF(RES_AB[[#This Row],[Cen.]]="","",IFERROR(VLOOKUP(RES_AB[[#This Row],[Cen.]],Dados_Empresas[],2,FALSE),"Verificar empresa"))</f>
        <v>EMBRATEL</v>
      </c>
      <c r="P15" s="37" t="str">
        <f>IF(RES_AB[[#This Row],[Empresa]]="","",IF(OR(RES_AB[[#This Row],[Empresa]]="NET MASSIVO",RES_AB[[#This Row],[Empresa]]="NET PROJETOS"),"NET","EMPRESARIAL"))</f>
        <v>EMPRESARIAL</v>
      </c>
      <c r="Q15" s="37" t="str">
        <f>IF(RES_AB[[#This Row],[Reserva]]="","",IFERROR(VLOOKUP(RES_AB[[#This Row],[Reserva]],Tabela3[[Reserva]:[Descrição do status]],18,FALSE),"CONVENCIONAL"))</f>
        <v>CONVENCIONAL</v>
      </c>
    </row>
    <row r="16" spans="1:18" x14ac:dyDescent="0.25">
      <c r="A16" s="37">
        <v>4381706</v>
      </c>
      <c r="B16" s="37" t="s">
        <v>17</v>
      </c>
      <c r="C16" s="38" t="s">
        <v>17</v>
      </c>
      <c r="D16" s="38">
        <v>45448</v>
      </c>
      <c r="E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6" s="39">
        <f>IFERROR(VLOOKUP(RES_AB[[#This Row],[Reserva]],Tabela8[[Reserva]:[Usuário]],7,FALSE),Dados!$A$17)</f>
        <v>0.6137731481481481</v>
      </c>
      <c r="G16" s="40">
        <f>IF(RES_AB[[#This Row],[Reserva]]="","",IF(RES_AB[[#This Row],[Hora Int WMS]]&lt;Dados!$A$16,2,2))</f>
        <v>2</v>
      </c>
      <c r="H16" s="40" t="str">
        <f>IF(RES_AB[[#This Row],[Reserva]]="","",IFERROR(VLOOKUP(RES_AB[[#This Row],[Reserva]],Tabela3[[Reserva]:[Condição para Faturamento]],20,FALSE),"IMPORTADO COM SUCESSO"))</f>
        <v>EM CONFERENCIA</v>
      </c>
      <c r="I16" s="38">
        <f>IF(RES_AB[[#This Row],[Data base]]="","",WORKDAY(RES_AB[[#This Row],[Data Reserva - Feriado e Fds]],RES_AB[[#This Row],[Dias para atendimento]],Feriados[Data]))</f>
        <v>45450</v>
      </c>
      <c r="J16" s="40" t="str">
        <f ca="1">IF(RES_AB[[#This Row],[Reserva]]="","",CONCATENATE("D+",NETWORKDAYS(RES_AB[[#This Row],[Data Reserva - Feriado e Fds]],TODAY(),Feriados[Data])-1))</f>
        <v>D+2</v>
      </c>
      <c r="K16" s="40" t="str">
        <f ca="1">IF(RES_AB[[#This Row],[Reserva]]="","",CONCATENATE(RES_AB[[#This Row],[Cen.]]," | ",RES_AB[[#This Row],[SLA2]]))</f>
        <v>11EU | D+2</v>
      </c>
      <c r="L16" s="40">
        <f ca="1">IF(RES_AB[[#This Row],[Reserva]]="","",IF(RES_AB[[#This Row],[SLA2]]=RES_AB[[#This Row],[Reserva]]="","",COUNTIF(MB25_VOLUMETRIA[Reserva],RES_AB[[#This Row],[Reserva]])))</f>
        <v>1</v>
      </c>
      <c r="M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6" s="37" t="str">
        <f>IF(RES_AB[[#This Row],[Cen.]]="","",IFERROR(VLOOKUP(RES_AB[[#This Row],[Cen.]],Dados_Empresas[],2,FALSE),"Verificar empresa"))</f>
        <v>EMBRATEL</v>
      </c>
      <c r="P16" s="37" t="str">
        <f>IF(RES_AB[[#This Row],[Empresa]]="","",IF(OR(RES_AB[[#This Row],[Empresa]]="NET MASSIVO",RES_AB[[#This Row],[Empresa]]="NET PROJETOS"),"NET","EMPRESARIAL"))</f>
        <v>EMPRESARIAL</v>
      </c>
      <c r="Q16" s="37" t="str">
        <f>IF(RES_AB[[#This Row],[Reserva]]="","",IFERROR(VLOOKUP(RES_AB[[#This Row],[Reserva]],Tabela3[[Reserva]:[Descrição do status]],18,FALSE),"CONVENCIONAL"))</f>
        <v>CONVENCIONAL</v>
      </c>
    </row>
    <row r="17" spans="1:17" x14ac:dyDescent="0.25">
      <c r="A17" s="37">
        <v>4381707</v>
      </c>
      <c r="B17" s="37" t="s">
        <v>17</v>
      </c>
      <c r="C17" s="38" t="s">
        <v>17</v>
      </c>
      <c r="D17" s="38">
        <v>45448</v>
      </c>
      <c r="E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7" s="39">
        <f>IFERROR(VLOOKUP(RES_AB[[#This Row],[Reserva]],Tabela8[[Reserva]:[Usuário]],7,FALSE),Dados!$A$17)</f>
        <v>0.6137731481481481</v>
      </c>
      <c r="G17" s="40">
        <f>IF(RES_AB[[#This Row],[Reserva]]="","",IF(RES_AB[[#This Row],[Hora Int WMS]]&lt;Dados!$A$16,2,2))</f>
        <v>2</v>
      </c>
      <c r="H17" s="40" t="str">
        <f>IF(RES_AB[[#This Row],[Reserva]]="","",IFERROR(VLOOKUP(RES_AB[[#This Row],[Reserva]],Tabela3[[Reserva]:[Condição para Faturamento]],20,FALSE),"IMPORTADO COM SUCESSO"))</f>
        <v>EM CONFERENCIA</v>
      </c>
      <c r="I17" s="38">
        <f>IF(RES_AB[[#This Row],[Data base]]="","",WORKDAY(RES_AB[[#This Row],[Data Reserva - Feriado e Fds]],RES_AB[[#This Row],[Dias para atendimento]],Feriados[Data]))</f>
        <v>45450</v>
      </c>
      <c r="J17" s="40" t="str">
        <f ca="1">IF(RES_AB[[#This Row],[Reserva]]="","",CONCATENATE("D+",NETWORKDAYS(RES_AB[[#This Row],[Data Reserva - Feriado e Fds]],TODAY(),Feriados[Data])-1))</f>
        <v>D+2</v>
      </c>
      <c r="K17" s="40" t="str">
        <f ca="1">IF(RES_AB[[#This Row],[Reserva]]="","",CONCATENATE(RES_AB[[#This Row],[Cen.]]," | ",RES_AB[[#This Row],[SLA2]]))</f>
        <v>11EU | D+2</v>
      </c>
      <c r="L17" s="40">
        <f ca="1">IF(RES_AB[[#This Row],[Reserva]]="","",IF(RES_AB[[#This Row],[SLA2]]=RES_AB[[#This Row],[Reserva]]="","",COUNTIF(MB25_VOLUMETRIA[Reserva],RES_AB[[#This Row],[Reserva]])))</f>
        <v>1</v>
      </c>
      <c r="M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7" s="37" t="str">
        <f>IF(RES_AB[[#This Row],[Cen.]]="","",IFERROR(VLOOKUP(RES_AB[[#This Row],[Cen.]],Dados_Empresas[],2,FALSE),"Verificar empresa"))</f>
        <v>EMBRATEL</v>
      </c>
      <c r="P17" s="37" t="str">
        <f>IF(RES_AB[[#This Row],[Empresa]]="","",IF(OR(RES_AB[[#This Row],[Empresa]]="NET MASSIVO",RES_AB[[#This Row],[Empresa]]="NET PROJETOS"),"NET","EMPRESARIAL"))</f>
        <v>EMPRESARIAL</v>
      </c>
      <c r="Q17" s="37" t="str">
        <f>IF(RES_AB[[#This Row],[Reserva]]="","",IFERROR(VLOOKUP(RES_AB[[#This Row],[Reserva]],Tabela3[[Reserva]:[Descrição do status]],18,FALSE),"CONVENCIONAL"))</f>
        <v>CONVENCIONAL</v>
      </c>
    </row>
    <row r="18" spans="1:17" x14ac:dyDescent="0.25">
      <c r="A18" s="37">
        <v>4381710</v>
      </c>
      <c r="B18" s="37" t="s">
        <v>17</v>
      </c>
      <c r="C18" s="38" t="s">
        <v>17</v>
      </c>
      <c r="D18" s="38">
        <v>45448</v>
      </c>
      <c r="E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8" s="39">
        <f>IFERROR(VLOOKUP(RES_AB[[#This Row],[Reserva]],Tabela8[[Reserva]:[Usuário]],7,FALSE),Dados!$A$17)</f>
        <v>0.61400462962962965</v>
      </c>
      <c r="G18" s="40">
        <f>IF(RES_AB[[#This Row],[Reserva]]="","",IF(RES_AB[[#This Row],[Hora Int WMS]]&lt;Dados!$A$16,2,2))</f>
        <v>2</v>
      </c>
      <c r="H18" s="40" t="str">
        <f>IF(RES_AB[[#This Row],[Reserva]]="","",IFERROR(VLOOKUP(RES_AB[[#This Row],[Reserva]],Tabela3[[Reserva]:[Condição para Faturamento]],20,FALSE),"IMPORTADO COM SUCESSO"))</f>
        <v>EM CONFERENCIA</v>
      </c>
      <c r="I18" s="38">
        <f>IF(RES_AB[[#This Row],[Data base]]="","",WORKDAY(RES_AB[[#This Row],[Data Reserva - Feriado e Fds]],RES_AB[[#This Row],[Dias para atendimento]],Feriados[Data]))</f>
        <v>45450</v>
      </c>
      <c r="J18" s="40" t="str">
        <f ca="1">IF(RES_AB[[#This Row],[Reserva]]="","",CONCATENATE("D+",NETWORKDAYS(RES_AB[[#This Row],[Data Reserva - Feriado e Fds]],TODAY(),Feriados[Data])-1))</f>
        <v>D+2</v>
      </c>
      <c r="K18" s="40" t="str">
        <f ca="1">IF(RES_AB[[#This Row],[Reserva]]="","",CONCATENATE(RES_AB[[#This Row],[Cen.]]," | ",RES_AB[[#This Row],[SLA2]]))</f>
        <v>11EU | D+2</v>
      </c>
      <c r="L18" s="40">
        <f ca="1">IF(RES_AB[[#This Row],[Reserva]]="","",IF(RES_AB[[#This Row],[SLA2]]=RES_AB[[#This Row],[Reserva]]="","",COUNTIF(MB25_VOLUMETRIA[Reserva],RES_AB[[#This Row],[Reserva]])))</f>
        <v>1</v>
      </c>
      <c r="M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8" s="37" t="str">
        <f>IF(RES_AB[[#This Row],[Cen.]]="","",IFERROR(VLOOKUP(RES_AB[[#This Row],[Cen.]],Dados_Empresas[],2,FALSE),"Verificar empresa"))</f>
        <v>EMBRATEL</v>
      </c>
      <c r="P18" s="37" t="str">
        <f>IF(RES_AB[[#This Row],[Empresa]]="","",IF(OR(RES_AB[[#This Row],[Empresa]]="NET MASSIVO",RES_AB[[#This Row],[Empresa]]="NET PROJETOS"),"NET","EMPRESARIAL"))</f>
        <v>EMPRESARIAL</v>
      </c>
      <c r="Q18" s="37" t="str">
        <f>IF(RES_AB[[#This Row],[Reserva]]="","",IFERROR(VLOOKUP(RES_AB[[#This Row],[Reserva]],Tabela3[[Reserva]:[Descrição do status]],18,FALSE),"CONVENCIONAL"))</f>
        <v>CONVENCIONAL</v>
      </c>
    </row>
    <row r="19" spans="1:17" x14ac:dyDescent="0.25">
      <c r="A19" s="37">
        <v>4381712</v>
      </c>
      <c r="B19" s="37" t="s">
        <v>17</v>
      </c>
      <c r="C19" s="38" t="s">
        <v>17</v>
      </c>
      <c r="D19" s="38">
        <v>45448</v>
      </c>
      <c r="E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9" s="39">
        <f>IFERROR(VLOOKUP(RES_AB[[#This Row],[Reserva]],Tabela8[[Reserva]:[Usuário]],7,FALSE),Dados!$A$17)</f>
        <v>0.61412037037037037</v>
      </c>
      <c r="G19" s="40">
        <f>IF(RES_AB[[#This Row],[Reserva]]="","",IF(RES_AB[[#This Row],[Hora Int WMS]]&lt;Dados!$A$16,2,2))</f>
        <v>2</v>
      </c>
      <c r="H19" s="40" t="str">
        <f>IF(RES_AB[[#This Row],[Reserva]]="","",IFERROR(VLOOKUP(RES_AB[[#This Row],[Reserva]],Tabela3[[Reserva]:[Condição para Faturamento]],20,FALSE),"IMPORTADO COM SUCESSO"))</f>
        <v>EM CONFERENCIA</v>
      </c>
      <c r="I19" s="38">
        <f>IF(RES_AB[[#This Row],[Data base]]="","",WORKDAY(RES_AB[[#This Row],[Data Reserva - Feriado e Fds]],RES_AB[[#This Row],[Dias para atendimento]],Feriados[Data]))</f>
        <v>45450</v>
      </c>
      <c r="J19" s="40" t="str">
        <f ca="1">IF(RES_AB[[#This Row],[Reserva]]="","",CONCATENATE("D+",NETWORKDAYS(RES_AB[[#This Row],[Data Reserva - Feriado e Fds]],TODAY(),Feriados[Data])-1))</f>
        <v>D+2</v>
      </c>
      <c r="K19" s="40" t="str">
        <f ca="1">IF(RES_AB[[#This Row],[Reserva]]="","",CONCATENATE(RES_AB[[#This Row],[Cen.]]," | ",RES_AB[[#This Row],[SLA2]]))</f>
        <v>11EU | D+2</v>
      </c>
      <c r="L19" s="40">
        <f ca="1">IF(RES_AB[[#This Row],[Reserva]]="","",IF(RES_AB[[#This Row],[SLA2]]=RES_AB[[#This Row],[Reserva]]="","",COUNTIF(MB25_VOLUMETRIA[Reserva],RES_AB[[#This Row],[Reserva]])))</f>
        <v>1</v>
      </c>
      <c r="M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9" s="37" t="str">
        <f>IF(RES_AB[[#This Row],[Cen.]]="","",IFERROR(VLOOKUP(RES_AB[[#This Row],[Cen.]],Dados_Empresas[],2,FALSE),"Verificar empresa"))</f>
        <v>EMBRATEL</v>
      </c>
      <c r="P19" s="37" t="str">
        <f>IF(RES_AB[[#This Row],[Empresa]]="","",IF(OR(RES_AB[[#This Row],[Empresa]]="NET MASSIVO",RES_AB[[#This Row],[Empresa]]="NET PROJETOS"),"NET","EMPRESARIAL"))</f>
        <v>EMPRESARIAL</v>
      </c>
      <c r="Q19" s="37" t="str">
        <f>IF(RES_AB[[#This Row],[Reserva]]="","",IFERROR(VLOOKUP(RES_AB[[#This Row],[Reserva]],Tabela3[[Reserva]:[Descrição do status]],18,FALSE),"CONVENCIONAL"))</f>
        <v>CONVENCIONAL</v>
      </c>
    </row>
    <row r="20" spans="1:17" x14ac:dyDescent="0.25">
      <c r="A20" s="37">
        <v>4381717</v>
      </c>
      <c r="B20" s="37" t="s">
        <v>17</v>
      </c>
      <c r="C20" s="38" t="s">
        <v>17</v>
      </c>
      <c r="D20" s="38">
        <v>45448</v>
      </c>
      <c r="E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0" s="39">
        <f>IFERROR(VLOOKUP(RES_AB[[#This Row],[Reserva]],Tabela8[[Reserva]:[Usuário]],7,FALSE),Dados!$A$17)</f>
        <v>0.61435185185185182</v>
      </c>
      <c r="G20" s="40">
        <f>IF(RES_AB[[#This Row],[Reserva]]="","",IF(RES_AB[[#This Row],[Hora Int WMS]]&lt;Dados!$A$16,2,2))</f>
        <v>2</v>
      </c>
      <c r="H20" s="40" t="str">
        <f>IF(RES_AB[[#This Row],[Reserva]]="","",IFERROR(VLOOKUP(RES_AB[[#This Row],[Reserva]],Tabela3[[Reserva]:[Condição para Faturamento]],20,FALSE),"IMPORTADO COM SUCESSO"))</f>
        <v>EM FATURAMENTO</v>
      </c>
      <c r="I20" s="38">
        <f>IF(RES_AB[[#This Row],[Data base]]="","",WORKDAY(RES_AB[[#This Row],[Data Reserva - Feriado e Fds]],RES_AB[[#This Row],[Dias para atendimento]],Feriados[Data]))</f>
        <v>45450</v>
      </c>
      <c r="J20" s="40" t="str">
        <f ca="1">IF(RES_AB[[#This Row],[Reserva]]="","",CONCATENATE("D+",NETWORKDAYS(RES_AB[[#This Row],[Data Reserva - Feriado e Fds]],TODAY(),Feriados[Data])-1))</f>
        <v>D+2</v>
      </c>
      <c r="K20" s="40" t="str">
        <f ca="1">IF(RES_AB[[#This Row],[Reserva]]="","",CONCATENATE(RES_AB[[#This Row],[Cen.]]," | ",RES_AB[[#This Row],[SLA2]]))</f>
        <v>11EU | D+2</v>
      </c>
      <c r="L20" s="40">
        <f ca="1">IF(RES_AB[[#This Row],[Reserva]]="","",IF(RES_AB[[#This Row],[SLA2]]=RES_AB[[#This Row],[Reserva]]="","",COUNTIF(MB25_VOLUMETRIA[Reserva],RES_AB[[#This Row],[Reserva]])))</f>
        <v>1</v>
      </c>
      <c r="M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0" s="37" t="str">
        <f>IF(RES_AB[[#This Row],[Cen.]]="","",IFERROR(VLOOKUP(RES_AB[[#This Row],[Cen.]],Dados_Empresas[],2,FALSE),"Verificar empresa"))</f>
        <v>EMBRATEL</v>
      </c>
      <c r="P20" s="37" t="str">
        <f>IF(RES_AB[[#This Row],[Empresa]]="","",IF(OR(RES_AB[[#This Row],[Empresa]]="NET MASSIVO",RES_AB[[#This Row],[Empresa]]="NET PROJETOS"),"NET","EMPRESARIAL"))</f>
        <v>EMPRESARIAL</v>
      </c>
      <c r="Q20" s="37" t="str">
        <f>IF(RES_AB[[#This Row],[Reserva]]="","",IFERROR(VLOOKUP(RES_AB[[#This Row],[Reserva]],Tabela3[[Reserva]:[Descrição do status]],18,FALSE),"CONVENCIONAL"))</f>
        <v>CONVENCIONAL</v>
      </c>
    </row>
    <row r="21" spans="1:17" x14ac:dyDescent="0.25">
      <c r="A21" s="37">
        <v>4381718</v>
      </c>
      <c r="B21" s="37" t="s">
        <v>17</v>
      </c>
      <c r="C21" s="38" t="s">
        <v>17</v>
      </c>
      <c r="D21" s="38">
        <v>45448</v>
      </c>
      <c r="E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" s="39">
        <f>IFERROR(VLOOKUP(RES_AB[[#This Row],[Reserva]],Tabela8[[Reserva]:[Usuário]],7,FALSE),Dados!$A$17)</f>
        <v>0.61435185185185182</v>
      </c>
      <c r="G21" s="40">
        <f>IF(RES_AB[[#This Row],[Reserva]]="","",IF(RES_AB[[#This Row],[Hora Int WMS]]&lt;Dados!$A$16,2,2))</f>
        <v>2</v>
      </c>
      <c r="H21" s="40" t="str">
        <f>IF(RES_AB[[#This Row],[Reserva]]="","",IFERROR(VLOOKUP(RES_AB[[#This Row],[Reserva]],Tabela3[[Reserva]:[Condição para Faturamento]],20,FALSE),"IMPORTADO COM SUCESSO"))</f>
        <v>EM FATURAMENTO</v>
      </c>
      <c r="I21" s="38">
        <f>IF(RES_AB[[#This Row],[Data base]]="","",WORKDAY(RES_AB[[#This Row],[Data Reserva - Feriado e Fds]],RES_AB[[#This Row],[Dias para atendimento]],Feriados[Data]))</f>
        <v>45450</v>
      </c>
      <c r="J21" s="40" t="str">
        <f ca="1">IF(RES_AB[[#This Row],[Reserva]]="","",CONCATENATE("D+",NETWORKDAYS(RES_AB[[#This Row],[Data Reserva - Feriado e Fds]],TODAY(),Feriados[Data])-1))</f>
        <v>D+2</v>
      </c>
      <c r="K21" s="40" t="str">
        <f ca="1">IF(RES_AB[[#This Row],[Reserva]]="","",CONCATENATE(RES_AB[[#This Row],[Cen.]]," | ",RES_AB[[#This Row],[SLA2]]))</f>
        <v>11EU | D+2</v>
      </c>
      <c r="L21" s="40">
        <f ca="1">IF(RES_AB[[#This Row],[Reserva]]="","",IF(RES_AB[[#This Row],[SLA2]]=RES_AB[[#This Row],[Reserva]]="","",COUNTIF(MB25_VOLUMETRIA[Reserva],RES_AB[[#This Row],[Reserva]])))</f>
        <v>1</v>
      </c>
      <c r="M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" s="37" t="str">
        <f>IF(RES_AB[[#This Row],[Cen.]]="","",IFERROR(VLOOKUP(RES_AB[[#This Row],[Cen.]],Dados_Empresas[],2,FALSE),"Verificar empresa"))</f>
        <v>EMBRATEL</v>
      </c>
      <c r="P21" s="37" t="str">
        <f>IF(RES_AB[[#This Row],[Empresa]]="","",IF(OR(RES_AB[[#This Row],[Empresa]]="NET MASSIVO",RES_AB[[#This Row],[Empresa]]="NET PROJETOS"),"NET","EMPRESARIAL"))</f>
        <v>EMPRESARIAL</v>
      </c>
      <c r="Q21" s="37" t="str">
        <f>IF(RES_AB[[#This Row],[Reserva]]="","",IFERROR(VLOOKUP(RES_AB[[#This Row],[Reserva]],Tabela3[[Reserva]:[Descrição do status]],18,FALSE),"CONVENCIONAL"))</f>
        <v>CONVENCIONAL</v>
      </c>
    </row>
    <row r="22" spans="1:17" x14ac:dyDescent="0.25">
      <c r="A22" s="37">
        <v>4381719</v>
      </c>
      <c r="B22" s="37" t="s">
        <v>17</v>
      </c>
      <c r="C22" s="38" t="s">
        <v>17</v>
      </c>
      <c r="D22" s="38">
        <v>45448</v>
      </c>
      <c r="E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" s="39">
        <f>IFERROR(VLOOKUP(RES_AB[[#This Row],[Reserva]],Tabela8[[Reserva]:[Usuário]],7,FALSE),Dados!$A$17)</f>
        <v>0.61446759259259254</v>
      </c>
      <c r="G22" s="40">
        <f>IF(RES_AB[[#This Row],[Reserva]]="","",IF(RES_AB[[#This Row],[Hora Int WMS]]&lt;Dados!$A$16,2,2))</f>
        <v>2</v>
      </c>
      <c r="H22" s="40" t="str">
        <f>IF(RES_AB[[#This Row],[Reserva]]="","",IFERROR(VLOOKUP(RES_AB[[#This Row],[Reserva]],Tabela3[[Reserva]:[Condição para Faturamento]],20,FALSE),"IMPORTADO COM SUCESSO"))</f>
        <v>EM FATURAMENTO</v>
      </c>
      <c r="I22" s="38">
        <f>IF(RES_AB[[#This Row],[Data base]]="","",WORKDAY(RES_AB[[#This Row],[Data Reserva - Feriado e Fds]],RES_AB[[#This Row],[Dias para atendimento]],Feriados[Data]))</f>
        <v>45450</v>
      </c>
      <c r="J22" s="40" t="str">
        <f ca="1">IF(RES_AB[[#This Row],[Reserva]]="","",CONCATENATE("D+",NETWORKDAYS(RES_AB[[#This Row],[Data Reserva - Feriado e Fds]],TODAY(),Feriados[Data])-1))</f>
        <v>D+2</v>
      </c>
      <c r="K22" s="40" t="str">
        <f ca="1">IF(RES_AB[[#This Row],[Reserva]]="","",CONCATENATE(RES_AB[[#This Row],[Cen.]]," | ",RES_AB[[#This Row],[SLA2]]))</f>
        <v>11EU | D+2</v>
      </c>
      <c r="L22" s="40">
        <f ca="1">IF(RES_AB[[#This Row],[Reserva]]="","",IF(RES_AB[[#This Row],[SLA2]]=RES_AB[[#This Row],[Reserva]]="","",COUNTIF(MB25_VOLUMETRIA[Reserva],RES_AB[[#This Row],[Reserva]])))</f>
        <v>1</v>
      </c>
      <c r="M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" s="37" t="str">
        <f>IF(RES_AB[[#This Row],[Cen.]]="","",IFERROR(VLOOKUP(RES_AB[[#This Row],[Cen.]],Dados_Empresas[],2,FALSE),"Verificar empresa"))</f>
        <v>EMBRATEL</v>
      </c>
      <c r="P22" s="37" t="str">
        <f>IF(RES_AB[[#This Row],[Empresa]]="","",IF(OR(RES_AB[[#This Row],[Empresa]]="NET MASSIVO",RES_AB[[#This Row],[Empresa]]="NET PROJETOS"),"NET","EMPRESARIAL"))</f>
        <v>EMPRESARIAL</v>
      </c>
      <c r="Q22" s="37" t="str">
        <f>IF(RES_AB[[#This Row],[Reserva]]="","",IFERROR(VLOOKUP(RES_AB[[#This Row],[Reserva]],Tabela3[[Reserva]:[Descrição do status]],18,FALSE),"CONVENCIONAL"))</f>
        <v>CONVENCIONAL</v>
      </c>
    </row>
    <row r="23" spans="1:17" x14ac:dyDescent="0.25">
      <c r="A23" s="37">
        <v>4381724</v>
      </c>
      <c r="B23" s="37" t="s">
        <v>17</v>
      </c>
      <c r="C23" s="38" t="s">
        <v>17</v>
      </c>
      <c r="D23" s="38">
        <v>45448</v>
      </c>
      <c r="E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3" s="39">
        <f>IFERROR(VLOOKUP(RES_AB[[#This Row],[Reserva]],Tabela8[[Reserva]:[Usuário]],7,FALSE),Dados!$A$17)</f>
        <v>0.61481481481481481</v>
      </c>
      <c r="G23" s="40">
        <f>IF(RES_AB[[#This Row],[Reserva]]="","",IF(RES_AB[[#This Row],[Hora Int WMS]]&lt;Dados!$A$16,2,2))</f>
        <v>2</v>
      </c>
      <c r="H23" s="40" t="str">
        <f>IF(RES_AB[[#This Row],[Reserva]]="","",IFERROR(VLOOKUP(RES_AB[[#This Row],[Reserva]],Tabela3[[Reserva]:[Condição para Faturamento]],20,FALSE),"IMPORTADO COM SUCESSO"))</f>
        <v>EM FATURAMENTO</v>
      </c>
      <c r="I23" s="38">
        <f>IF(RES_AB[[#This Row],[Data base]]="","",WORKDAY(RES_AB[[#This Row],[Data Reserva - Feriado e Fds]],RES_AB[[#This Row],[Dias para atendimento]],Feriados[Data]))</f>
        <v>45450</v>
      </c>
      <c r="J23" s="40" t="str">
        <f ca="1">IF(RES_AB[[#This Row],[Reserva]]="","",CONCATENATE("D+",NETWORKDAYS(RES_AB[[#This Row],[Data Reserva - Feriado e Fds]],TODAY(),Feriados[Data])-1))</f>
        <v>D+2</v>
      </c>
      <c r="K23" s="40" t="str">
        <f ca="1">IF(RES_AB[[#This Row],[Reserva]]="","",CONCATENATE(RES_AB[[#This Row],[Cen.]]," | ",RES_AB[[#This Row],[SLA2]]))</f>
        <v>11EU | D+2</v>
      </c>
      <c r="L23" s="40">
        <f ca="1">IF(RES_AB[[#This Row],[Reserva]]="","",IF(RES_AB[[#This Row],[SLA2]]=RES_AB[[#This Row],[Reserva]]="","",COUNTIF(MB25_VOLUMETRIA[Reserva],RES_AB[[#This Row],[Reserva]])))</f>
        <v>1</v>
      </c>
      <c r="M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3" s="37" t="str">
        <f>IF(RES_AB[[#This Row],[Cen.]]="","",IFERROR(VLOOKUP(RES_AB[[#This Row],[Cen.]],Dados_Empresas[],2,FALSE),"Verificar empresa"))</f>
        <v>EMBRATEL</v>
      </c>
      <c r="P23" s="37" t="str">
        <f>IF(RES_AB[[#This Row],[Empresa]]="","",IF(OR(RES_AB[[#This Row],[Empresa]]="NET MASSIVO",RES_AB[[#This Row],[Empresa]]="NET PROJETOS"),"NET","EMPRESARIAL"))</f>
        <v>EMPRESARIAL</v>
      </c>
      <c r="Q23" s="37" t="str">
        <f>IF(RES_AB[[#This Row],[Reserva]]="","",IFERROR(VLOOKUP(RES_AB[[#This Row],[Reserva]],Tabela3[[Reserva]:[Descrição do status]],18,FALSE),"CONVENCIONAL"))</f>
        <v>CONVENCIONAL</v>
      </c>
    </row>
    <row r="24" spans="1:17" x14ac:dyDescent="0.25">
      <c r="A24" s="37">
        <v>4381729</v>
      </c>
      <c r="B24" s="37" t="s">
        <v>17</v>
      </c>
      <c r="C24" s="38" t="s">
        <v>17</v>
      </c>
      <c r="D24" s="38">
        <v>45448</v>
      </c>
      <c r="E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4" s="39">
        <f>IFERROR(VLOOKUP(RES_AB[[#This Row],[Reserva]],Tabela8[[Reserva]:[Usuário]],7,FALSE),Dados!$A$17)</f>
        <v>0.61504629629629626</v>
      </c>
      <c r="G24" s="40">
        <f>IF(RES_AB[[#This Row],[Reserva]]="","",IF(RES_AB[[#This Row],[Hora Int WMS]]&lt;Dados!$A$16,2,2))</f>
        <v>2</v>
      </c>
      <c r="H24" s="40" t="str">
        <f>IF(RES_AB[[#This Row],[Reserva]]="","",IFERROR(VLOOKUP(RES_AB[[#This Row],[Reserva]],Tabela3[[Reserva]:[Condição para Faturamento]],20,FALSE),"IMPORTADO COM SUCESSO"))</f>
        <v>EM CONFERENCIA</v>
      </c>
      <c r="I24" s="38">
        <f>IF(RES_AB[[#This Row],[Data base]]="","",WORKDAY(RES_AB[[#This Row],[Data Reserva - Feriado e Fds]],RES_AB[[#This Row],[Dias para atendimento]],Feriados[Data]))</f>
        <v>45450</v>
      </c>
      <c r="J24" s="40" t="str">
        <f ca="1">IF(RES_AB[[#This Row],[Reserva]]="","",CONCATENATE("D+",NETWORKDAYS(RES_AB[[#This Row],[Data Reserva - Feriado e Fds]],TODAY(),Feriados[Data])-1))</f>
        <v>D+2</v>
      </c>
      <c r="K24" s="40" t="str">
        <f ca="1">IF(RES_AB[[#This Row],[Reserva]]="","",CONCATENATE(RES_AB[[#This Row],[Cen.]]," | ",RES_AB[[#This Row],[SLA2]]))</f>
        <v>11EU | D+2</v>
      </c>
      <c r="L24" s="40">
        <f ca="1">IF(RES_AB[[#This Row],[Reserva]]="","",IF(RES_AB[[#This Row],[SLA2]]=RES_AB[[#This Row],[Reserva]]="","",COUNTIF(MB25_VOLUMETRIA[Reserva],RES_AB[[#This Row],[Reserva]])))</f>
        <v>2</v>
      </c>
      <c r="M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4" s="37" t="str">
        <f>IF(RES_AB[[#This Row],[Cen.]]="","",IFERROR(VLOOKUP(RES_AB[[#This Row],[Cen.]],Dados_Empresas[],2,FALSE),"Verificar empresa"))</f>
        <v>EMBRATEL</v>
      </c>
      <c r="P24" s="37" t="str">
        <f>IF(RES_AB[[#This Row],[Empresa]]="","",IF(OR(RES_AB[[#This Row],[Empresa]]="NET MASSIVO",RES_AB[[#This Row],[Empresa]]="NET PROJETOS"),"NET","EMPRESARIAL"))</f>
        <v>EMPRESARIAL</v>
      </c>
      <c r="Q24" s="37" t="str">
        <f>IF(RES_AB[[#This Row],[Reserva]]="","",IFERROR(VLOOKUP(RES_AB[[#This Row],[Reserva]],Tabela3[[Reserva]:[Descrição do status]],18,FALSE),"CONVENCIONAL"))</f>
        <v>CONVENCIONAL</v>
      </c>
    </row>
    <row r="25" spans="1:17" x14ac:dyDescent="0.25">
      <c r="A25" s="37">
        <v>4381733</v>
      </c>
      <c r="B25" s="37" t="s">
        <v>17</v>
      </c>
      <c r="C25" s="38" t="s">
        <v>17</v>
      </c>
      <c r="D25" s="38">
        <v>45448</v>
      </c>
      <c r="E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5" s="39">
        <f>IFERROR(VLOOKUP(RES_AB[[#This Row],[Reserva]],Tabela8[[Reserva]:[Usuário]],7,FALSE),Dados!$A$17)</f>
        <v>0.61539351851851853</v>
      </c>
      <c r="G25" s="40">
        <f>IF(RES_AB[[#This Row],[Reserva]]="","",IF(RES_AB[[#This Row],[Hora Int WMS]]&lt;Dados!$A$16,2,2))</f>
        <v>2</v>
      </c>
      <c r="H25" s="40" t="str">
        <f>IF(RES_AB[[#This Row],[Reserva]]="","",IFERROR(VLOOKUP(RES_AB[[#This Row],[Reserva]],Tabela3[[Reserva]:[Condição para Faturamento]],20,FALSE),"IMPORTADO COM SUCESSO"))</f>
        <v>EM FATURAMENTO</v>
      </c>
      <c r="I25" s="38">
        <f>IF(RES_AB[[#This Row],[Data base]]="","",WORKDAY(RES_AB[[#This Row],[Data Reserva - Feriado e Fds]],RES_AB[[#This Row],[Dias para atendimento]],Feriados[Data]))</f>
        <v>45450</v>
      </c>
      <c r="J25" s="40" t="str">
        <f ca="1">IF(RES_AB[[#This Row],[Reserva]]="","",CONCATENATE("D+",NETWORKDAYS(RES_AB[[#This Row],[Data Reserva - Feriado e Fds]],TODAY(),Feriados[Data])-1))</f>
        <v>D+2</v>
      </c>
      <c r="K25" s="40" t="str">
        <f ca="1">IF(RES_AB[[#This Row],[Reserva]]="","",CONCATENATE(RES_AB[[#This Row],[Cen.]]," | ",RES_AB[[#This Row],[SLA2]]))</f>
        <v>11EU | D+2</v>
      </c>
      <c r="L25" s="40">
        <f ca="1">IF(RES_AB[[#This Row],[Reserva]]="","",IF(RES_AB[[#This Row],[SLA2]]=RES_AB[[#This Row],[Reserva]]="","",COUNTIF(MB25_VOLUMETRIA[Reserva],RES_AB[[#This Row],[Reserva]])))</f>
        <v>1</v>
      </c>
      <c r="M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5" s="37" t="str">
        <f>IF(RES_AB[[#This Row],[Cen.]]="","",IFERROR(VLOOKUP(RES_AB[[#This Row],[Cen.]],Dados_Empresas[],2,FALSE),"Verificar empresa"))</f>
        <v>EMBRATEL</v>
      </c>
      <c r="P25" s="37" t="str">
        <f>IF(RES_AB[[#This Row],[Empresa]]="","",IF(OR(RES_AB[[#This Row],[Empresa]]="NET MASSIVO",RES_AB[[#This Row],[Empresa]]="NET PROJETOS"),"NET","EMPRESARIAL"))</f>
        <v>EMPRESARIAL</v>
      </c>
      <c r="Q25" s="37" t="str">
        <f>IF(RES_AB[[#This Row],[Reserva]]="","",IFERROR(VLOOKUP(RES_AB[[#This Row],[Reserva]],Tabela3[[Reserva]:[Descrição do status]],18,FALSE),"CONVENCIONAL"))</f>
        <v>CONVENCIONAL</v>
      </c>
    </row>
    <row r="26" spans="1:17" x14ac:dyDescent="0.25">
      <c r="A26" s="37">
        <v>4381738</v>
      </c>
      <c r="B26" s="37" t="s">
        <v>17</v>
      </c>
      <c r="C26" s="38" t="s">
        <v>17</v>
      </c>
      <c r="D26" s="38">
        <v>45448</v>
      </c>
      <c r="E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6" s="39">
        <f>IFERROR(VLOOKUP(RES_AB[[#This Row],[Reserva]],Tabela8[[Reserva]:[Usuário]],7,FALSE),Dados!$A$17)</f>
        <v>0.61562499999999998</v>
      </c>
      <c r="G26" s="40">
        <f>IF(RES_AB[[#This Row],[Reserva]]="","",IF(RES_AB[[#This Row],[Hora Int WMS]]&lt;Dados!$A$16,2,2))</f>
        <v>2</v>
      </c>
      <c r="H26" s="40" t="str">
        <f>IF(RES_AB[[#This Row],[Reserva]]="","",IFERROR(VLOOKUP(RES_AB[[#This Row],[Reserva]],Tabela3[[Reserva]:[Condição para Faturamento]],20,FALSE),"IMPORTADO COM SUCESSO"))</f>
        <v>EM FATURAMENTO</v>
      </c>
      <c r="I26" s="38">
        <f>IF(RES_AB[[#This Row],[Data base]]="","",WORKDAY(RES_AB[[#This Row],[Data Reserva - Feriado e Fds]],RES_AB[[#This Row],[Dias para atendimento]],Feriados[Data]))</f>
        <v>45450</v>
      </c>
      <c r="J26" s="40" t="str">
        <f ca="1">IF(RES_AB[[#This Row],[Reserva]]="","",CONCATENATE("D+",NETWORKDAYS(RES_AB[[#This Row],[Data Reserva - Feriado e Fds]],TODAY(),Feriados[Data])-1))</f>
        <v>D+2</v>
      </c>
      <c r="K26" s="40" t="str">
        <f ca="1">IF(RES_AB[[#This Row],[Reserva]]="","",CONCATENATE(RES_AB[[#This Row],[Cen.]]," | ",RES_AB[[#This Row],[SLA2]]))</f>
        <v>11EU | D+2</v>
      </c>
      <c r="L26" s="40">
        <f ca="1">IF(RES_AB[[#This Row],[Reserva]]="","",IF(RES_AB[[#This Row],[SLA2]]=RES_AB[[#This Row],[Reserva]]="","",COUNTIF(MB25_VOLUMETRIA[Reserva],RES_AB[[#This Row],[Reserva]])))</f>
        <v>1</v>
      </c>
      <c r="M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6" s="37" t="str">
        <f>IF(RES_AB[[#This Row],[Cen.]]="","",IFERROR(VLOOKUP(RES_AB[[#This Row],[Cen.]],Dados_Empresas[],2,FALSE),"Verificar empresa"))</f>
        <v>EMBRATEL</v>
      </c>
      <c r="P26" s="37" t="str">
        <f>IF(RES_AB[[#This Row],[Empresa]]="","",IF(OR(RES_AB[[#This Row],[Empresa]]="NET MASSIVO",RES_AB[[#This Row],[Empresa]]="NET PROJETOS"),"NET","EMPRESARIAL"))</f>
        <v>EMPRESARIAL</v>
      </c>
      <c r="Q26" s="37" t="str">
        <f>IF(RES_AB[[#This Row],[Reserva]]="","",IFERROR(VLOOKUP(RES_AB[[#This Row],[Reserva]],Tabela3[[Reserva]:[Descrição do status]],18,FALSE),"CONVENCIONAL"))</f>
        <v>CONVENCIONAL</v>
      </c>
    </row>
    <row r="27" spans="1:17" x14ac:dyDescent="0.25">
      <c r="A27" s="37">
        <v>4381751</v>
      </c>
      <c r="B27" s="37" t="s">
        <v>17</v>
      </c>
      <c r="C27" s="38" t="s">
        <v>17</v>
      </c>
      <c r="D27" s="38">
        <v>45448</v>
      </c>
      <c r="E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7" s="39">
        <f>IFERROR(VLOOKUP(RES_AB[[#This Row],[Reserva]],Tabela8[[Reserva]:[Usuário]],7,FALSE),Dados!$A$17)</f>
        <v>0.61643518518518514</v>
      </c>
      <c r="G27" s="40">
        <f>IF(RES_AB[[#This Row],[Reserva]]="","",IF(RES_AB[[#This Row],[Hora Int WMS]]&lt;Dados!$A$16,2,2))</f>
        <v>2</v>
      </c>
      <c r="H27" s="40" t="str">
        <f>IF(RES_AB[[#This Row],[Reserva]]="","",IFERROR(VLOOKUP(RES_AB[[#This Row],[Reserva]],Tabela3[[Reserva]:[Condição para Faturamento]],20,FALSE),"IMPORTADO COM SUCESSO"))</f>
        <v>EM CONFERENCIA</v>
      </c>
      <c r="I27" s="38">
        <f>IF(RES_AB[[#This Row],[Data base]]="","",WORKDAY(RES_AB[[#This Row],[Data Reserva - Feriado e Fds]],RES_AB[[#This Row],[Dias para atendimento]],Feriados[Data]))</f>
        <v>45450</v>
      </c>
      <c r="J27" s="40" t="str">
        <f ca="1">IF(RES_AB[[#This Row],[Reserva]]="","",CONCATENATE("D+",NETWORKDAYS(RES_AB[[#This Row],[Data Reserva - Feriado e Fds]],TODAY(),Feriados[Data])-1))</f>
        <v>D+2</v>
      </c>
      <c r="K27" s="40" t="str">
        <f ca="1">IF(RES_AB[[#This Row],[Reserva]]="","",CONCATENATE(RES_AB[[#This Row],[Cen.]]," | ",RES_AB[[#This Row],[SLA2]]))</f>
        <v>11EU | D+2</v>
      </c>
      <c r="L27" s="40">
        <f ca="1">IF(RES_AB[[#This Row],[Reserva]]="","",IF(RES_AB[[#This Row],[SLA2]]=RES_AB[[#This Row],[Reserva]]="","",COUNTIF(MB25_VOLUMETRIA[Reserva],RES_AB[[#This Row],[Reserva]])))</f>
        <v>1</v>
      </c>
      <c r="M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7" s="37" t="str">
        <f>IF(RES_AB[[#This Row],[Cen.]]="","",IFERROR(VLOOKUP(RES_AB[[#This Row],[Cen.]],Dados_Empresas[],2,FALSE),"Verificar empresa"))</f>
        <v>EMBRATEL</v>
      </c>
      <c r="P27" s="37" t="str">
        <f>IF(RES_AB[[#This Row],[Empresa]]="","",IF(OR(RES_AB[[#This Row],[Empresa]]="NET MASSIVO",RES_AB[[#This Row],[Empresa]]="NET PROJETOS"),"NET","EMPRESARIAL"))</f>
        <v>EMPRESARIAL</v>
      </c>
      <c r="Q27" s="37" t="str">
        <f>IF(RES_AB[[#This Row],[Reserva]]="","",IFERROR(VLOOKUP(RES_AB[[#This Row],[Reserva]],Tabela3[[Reserva]:[Descrição do status]],18,FALSE),"CONVENCIONAL"))</f>
        <v>CONVENCIONAL</v>
      </c>
    </row>
    <row r="28" spans="1:17" x14ac:dyDescent="0.25">
      <c r="A28" s="37">
        <v>4381752</v>
      </c>
      <c r="B28" s="37" t="s">
        <v>17</v>
      </c>
      <c r="C28" s="38" t="s">
        <v>17</v>
      </c>
      <c r="D28" s="38">
        <v>45448</v>
      </c>
      <c r="E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8" s="39">
        <f>IFERROR(VLOOKUP(RES_AB[[#This Row],[Reserva]],Tabela8[[Reserva]:[Usuário]],7,FALSE),Dados!$A$17)</f>
        <v>0.61643518518518514</v>
      </c>
      <c r="G28" s="40">
        <f>IF(RES_AB[[#This Row],[Reserva]]="","",IF(RES_AB[[#This Row],[Hora Int WMS]]&lt;Dados!$A$16,2,2))</f>
        <v>2</v>
      </c>
      <c r="H28" s="40" t="str">
        <f>IF(RES_AB[[#This Row],[Reserva]]="","",IFERROR(VLOOKUP(RES_AB[[#This Row],[Reserva]],Tabela3[[Reserva]:[Condição para Faturamento]],20,FALSE),"IMPORTADO COM SUCESSO"))</f>
        <v>EM FATURAMENTO</v>
      </c>
      <c r="I28" s="38">
        <f>IF(RES_AB[[#This Row],[Data base]]="","",WORKDAY(RES_AB[[#This Row],[Data Reserva - Feriado e Fds]],RES_AB[[#This Row],[Dias para atendimento]],Feriados[Data]))</f>
        <v>45450</v>
      </c>
      <c r="J28" s="40" t="str">
        <f ca="1">IF(RES_AB[[#This Row],[Reserva]]="","",CONCATENATE("D+",NETWORKDAYS(RES_AB[[#This Row],[Data Reserva - Feriado e Fds]],TODAY(),Feriados[Data])-1))</f>
        <v>D+2</v>
      </c>
      <c r="K28" s="40" t="str">
        <f ca="1">IF(RES_AB[[#This Row],[Reserva]]="","",CONCATENATE(RES_AB[[#This Row],[Cen.]]," | ",RES_AB[[#This Row],[SLA2]]))</f>
        <v>11EU | D+2</v>
      </c>
      <c r="L28" s="40">
        <f ca="1">IF(RES_AB[[#This Row],[Reserva]]="","",IF(RES_AB[[#This Row],[SLA2]]=RES_AB[[#This Row],[Reserva]]="","",COUNTIF(MB25_VOLUMETRIA[Reserva],RES_AB[[#This Row],[Reserva]])))</f>
        <v>4</v>
      </c>
      <c r="M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8" s="37" t="str">
        <f>IF(RES_AB[[#This Row],[Cen.]]="","",IFERROR(VLOOKUP(RES_AB[[#This Row],[Cen.]],Dados_Empresas[],2,FALSE),"Verificar empresa"))</f>
        <v>EMBRATEL</v>
      </c>
      <c r="P28" s="37" t="str">
        <f>IF(RES_AB[[#This Row],[Empresa]]="","",IF(OR(RES_AB[[#This Row],[Empresa]]="NET MASSIVO",RES_AB[[#This Row],[Empresa]]="NET PROJETOS"),"NET","EMPRESARIAL"))</f>
        <v>EMPRESARIAL</v>
      </c>
      <c r="Q28" s="37" t="str">
        <f>IF(RES_AB[[#This Row],[Reserva]]="","",IFERROR(VLOOKUP(RES_AB[[#This Row],[Reserva]],Tabela3[[Reserva]:[Descrição do status]],18,FALSE),"CONVENCIONAL"))</f>
        <v>CONVENCIONAL</v>
      </c>
    </row>
    <row r="29" spans="1:17" x14ac:dyDescent="0.25">
      <c r="A29" s="37">
        <v>4381754</v>
      </c>
      <c r="B29" s="37" t="s">
        <v>17</v>
      </c>
      <c r="C29" s="38" t="s">
        <v>17</v>
      </c>
      <c r="D29" s="38">
        <v>45448</v>
      </c>
      <c r="E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9" s="39">
        <f>IFERROR(VLOOKUP(RES_AB[[#This Row],[Reserva]],Tabela8[[Reserva]:[Usuário]],7,FALSE),Dados!$A$17)</f>
        <v>0.61655092592592597</v>
      </c>
      <c r="G29" s="40">
        <f>IF(RES_AB[[#This Row],[Reserva]]="","",IF(RES_AB[[#This Row],[Hora Int WMS]]&lt;Dados!$A$16,2,2))</f>
        <v>2</v>
      </c>
      <c r="H29" s="40" t="str">
        <f>IF(RES_AB[[#This Row],[Reserva]]="","",IFERROR(VLOOKUP(RES_AB[[#This Row],[Reserva]],Tabela3[[Reserva]:[Condição para Faturamento]],20,FALSE),"IMPORTADO COM SUCESSO"))</f>
        <v>EM CONFERENCIA</v>
      </c>
      <c r="I29" s="38">
        <f>IF(RES_AB[[#This Row],[Data base]]="","",WORKDAY(RES_AB[[#This Row],[Data Reserva - Feriado e Fds]],RES_AB[[#This Row],[Dias para atendimento]],Feriados[Data]))</f>
        <v>45450</v>
      </c>
      <c r="J29" s="40" t="str">
        <f ca="1">IF(RES_AB[[#This Row],[Reserva]]="","",CONCATENATE("D+",NETWORKDAYS(RES_AB[[#This Row],[Data Reserva - Feriado e Fds]],TODAY(),Feriados[Data])-1))</f>
        <v>D+2</v>
      </c>
      <c r="K29" s="40" t="str">
        <f ca="1">IF(RES_AB[[#This Row],[Reserva]]="","",CONCATENATE(RES_AB[[#This Row],[Cen.]]," | ",RES_AB[[#This Row],[SLA2]]))</f>
        <v>11EU | D+2</v>
      </c>
      <c r="L29" s="40">
        <f ca="1">IF(RES_AB[[#This Row],[Reserva]]="","",IF(RES_AB[[#This Row],[SLA2]]=RES_AB[[#This Row],[Reserva]]="","",COUNTIF(MB25_VOLUMETRIA[Reserva],RES_AB[[#This Row],[Reserva]])))</f>
        <v>3</v>
      </c>
      <c r="M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9" s="37" t="str">
        <f>IF(RES_AB[[#This Row],[Cen.]]="","",IFERROR(VLOOKUP(RES_AB[[#This Row],[Cen.]],Dados_Empresas[],2,FALSE),"Verificar empresa"))</f>
        <v>EMBRATEL</v>
      </c>
      <c r="P29" s="37" t="str">
        <f>IF(RES_AB[[#This Row],[Empresa]]="","",IF(OR(RES_AB[[#This Row],[Empresa]]="NET MASSIVO",RES_AB[[#This Row],[Empresa]]="NET PROJETOS"),"NET","EMPRESARIAL"))</f>
        <v>EMPRESARIAL</v>
      </c>
      <c r="Q29" s="37" t="str">
        <f>IF(RES_AB[[#This Row],[Reserva]]="","",IFERROR(VLOOKUP(RES_AB[[#This Row],[Reserva]],Tabela3[[Reserva]:[Descrição do status]],18,FALSE),"CONVENCIONAL"))</f>
        <v>CONVENCIONAL</v>
      </c>
    </row>
    <row r="30" spans="1:17" x14ac:dyDescent="0.25">
      <c r="A30" s="37">
        <v>4381930</v>
      </c>
      <c r="B30" s="37" t="s">
        <v>17</v>
      </c>
      <c r="C30" s="38" t="s">
        <v>17</v>
      </c>
      <c r="D30" s="38">
        <v>45448</v>
      </c>
      <c r="E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0" s="39">
        <f>IFERROR(VLOOKUP(RES_AB[[#This Row],[Reserva]],Tabela8[[Reserva]:[Usuário]],7,FALSE),Dados!$A$17)</f>
        <v>0.65891203703703705</v>
      </c>
      <c r="G30" s="40">
        <f>IF(RES_AB[[#This Row],[Reserva]]="","",IF(RES_AB[[#This Row],[Hora Int WMS]]&lt;Dados!$A$16,2,2))</f>
        <v>2</v>
      </c>
      <c r="H30" s="40" t="str">
        <f>IF(RES_AB[[#This Row],[Reserva]]="","",IFERROR(VLOOKUP(RES_AB[[#This Row],[Reserva]],Tabela3[[Reserva]:[Condição para Faturamento]],20,FALSE),"IMPORTADO COM SUCESSO"))</f>
        <v>EM RESSUPRIMENTO</v>
      </c>
      <c r="I30" s="38">
        <f>IF(RES_AB[[#This Row],[Data base]]="","",WORKDAY(RES_AB[[#This Row],[Data Reserva - Feriado e Fds]],RES_AB[[#This Row],[Dias para atendimento]],Feriados[Data]))</f>
        <v>45450</v>
      </c>
      <c r="J30" s="40" t="str">
        <f ca="1">IF(RES_AB[[#This Row],[Reserva]]="","",CONCATENATE("D+",NETWORKDAYS(RES_AB[[#This Row],[Data Reserva - Feriado e Fds]],TODAY(),Feriados[Data])-1))</f>
        <v>D+2</v>
      </c>
      <c r="K30" s="40" t="str">
        <f ca="1">IF(RES_AB[[#This Row],[Reserva]]="","",CONCATENATE(RES_AB[[#This Row],[Cen.]]," | ",RES_AB[[#This Row],[SLA2]]))</f>
        <v>11EU | D+2</v>
      </c>
      <c r="L30" s="40">
        <f ca="1">IF(RES_AB[[#This Row],[Reserva]]="","",IF(RES_AB[[#This Row],[SLA2]]=RES_AB[[#This Row],[Reserva]]="","",COUNTIF(MB25_VOLUMETRIA[Reserva],RES_AB[[#This Row],[Reserva]])))</f>
        <v>1</v>
      </c>
      <c r="M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0" s="37" t="str">
        <f>IF(RES_AB[[#This Row],[Cen.]]="","",IFERROR(VLOOKUP(RES_AB[[#This Row],[Cen.]],Dados_Empresas[],2,FALSE),"Verificar empresa"))</f>
        <v>EMBRATEL</v>
      </c>
      <c r="P30" s="37" t="str">
        <f>IF(RES_AB[[#This Row],[Empresa]]="","",IF(OR(RES_AB[[#This Row],[Empresa]]="NET MASSIVO",RES_AB[[#This Row],[Empresa]]="NET PROJETOS"),"NET","EMPRESARIAL"))</f>
        <v>EMPRESARIAL</v>
      </c>
      <c r="Q30" s="37" t="str">
        <f>IF(RES_AB[[#This Row],[Reserva]]="","",IFERROR(VLOOKUP(RES_AB[[#This Row],[Reserva]],Tabela3[[Reserva]:[Descrição do status]],18,FALSE),"CONVENCIONAL"))</f>
        <v>CONVENCIONAL</v>
      </c>
    </row>
    <row r="31" spans="1:17" x14ac:dyDescent="0.25">
      <c r="A31" s="37">
        <v>4381935</v>
      </c>
      <c r="B31" s="37" t="s">
        <v>17</v>
      </c>
      <c r="C31" s="38" t="s">
        <v>17</v>
      </c>
      <c r="D31" s="38">
        <v>45448</v>
      </c>
      <c r="E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1" s="39">
        <f>IFERROR(VLOOKUP(RES_AB[[#This Row],[Reserva]],Tabela8[[Reserva]:[Usuário]],7,FALSE),Dados!$A$17)</f>
        <v>0.33333333333333331</v>
      </c>
      <c r="G31" s="40">
        <f>IF(RES_AB[[#This Row],[Reserva]]="","",IF(RES_AB[[#This Row],[Hora Int WMS]]&lt;Dados!$A$16,2,2))</f>
        <v>2</v>
      </c>
      <c r="H31" s="40" t="str">
        <f>IF(RES_AB[[#This Row],[Reserva]]="","",IFERROR(VLOOKUP(RES_AB[[#This Row],[Reserva]],Tabela3[[Reserva]:[Condição para Faturamento]],20,FALSE),"IMPORTADO COM SUCESSO"))</f>
        <v>EM CONFERENCIA</v>
      </c>
      <c r="I31" s="38">
        <f>IF(RES_AB[[#This Row],[Data base]]="","",WORKDAY(RES_AB[[#This Row],[Data Reserva - Feriado e Fds]],RES_AB[[#This Row],[Dias para atendimento]],Feriados[Data]))</f>
        <v>45450</v>
      </c>
      <c r="J31" s="40" t="str">
        <f ca="1">IF(RES_AB[[#This Row],[Reserva]]="","",CONCATENATE("D+",NETWORKDAYS(RES_AB[[#This Row],[Data Reserva - Feriado e Fds]],TODAY(),Feriados[Data])-1))</f>
        <v>D+2</v>
      </c>
      <c r="K31" s="40" t="str">
        <f ca="1">IF(RES_AB[[#This Row],[Reserva]]="","",CONCATENATE(RES_AB[[#This Row],[Cen.]]," | ",RES_AB[[#This Row],[SLA2]]))</f>
        <v>11EU | D+2</v>
      </c>
      <c r="L31" s="40">
        <f ca="1">IF(RES_AB[[#This Row],[Reserva]]="","",IF(RES_AB[[#This Row],[SLA2]]=RES_AB[[#This Row],[Reserva]]="","",COUNTIF(MB25_VOLUMETRIA[Reserva],RES_AB[[#This Row],[Reserva]])))</f>
        <v>3</v>
      </c>
      <c r="M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1" s="37" t="str">
        <f>IF(RES_AB[[#This Row],[Cen.]]="","",IFERROR(VLOOKUP(RES_AB[[#This Row],[Cen.]],Dados_Empresas[],2,FALSE),"Verificar empresa"))</f>
        <v>EMBRATEL</v>
      </c>
      <c r="P31" s="37" t="str">
        <f>IF(RES_AB[[#This Row],[Empresa]]="","",IF(OR(RES_AB[[#This Row],[Empresa]]="NET MASSIVO",RES_AB[[#This Row],[Empresa]]="NET PROJETOS"),"NET","EMPRESARIAL"))</f>
        <v>EMPRESARIAL</v>
      </c>
      <c r="Q31" s="37" t="str">
        <f>IF(RES_AB[[#This Row],[Reserva]]="","",IFERROR(VLOOKUP(RES_AB[[#This Row],[Reserva]],Tabela3[[Reserva]:[Descrição do status]],18,FALSE),"CONVENCIONAL"))</f>
        <v>CONVENCIONAL</v>
      </c>
    </row>
    <row r="32" spans="1:17" x14ac:dyDescent="0.25">
      <c r="A32" s="37">
        <v>4382004</v>
      </c>
      <c r="B32" s="37" t="s">
        <v>17</v>
      </c>
      <c r="C32" s="38" t="s">
        <v>17</v>
      </c>
      <c r="D32" s="38">
        <v>45448</v>
      </c>
      <c r="E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2" s="39">
        <f>IFERROR(VLOOKUP(RES_AB[[#This Row],[Reserva]],Tabela8[[Reserva]:[Usuário]],7,FALSE),Dados!$A$17)</f>
        <v>0.6947916666666667</v>
      </c>
      <c r="G32" s="40">
        <f>IF(RES_AB[[#This Row],[Reserva]]="","",IF(RES_AB[[#This Row],[Hora Int WMS]]&lt;Dados!$A$16,2,2))</f>
        <v>2</v>
      </c>
      <c r="H32" s="40" t="str">
        <f>IF(RES_AB[[#This Row],[Reserva]]="","",IFERROR(VLOOKUP(RES_AB[[#This Row],[Reserva]],Tabela3[[Reserva]:[Condição para Faturamento]],20,FALSE),"IMPORTADO COM SUCESSO"))</f>
        <v>PEDIDO EM LABORATORIO</v>
      </c>
      <c r="I32" s="38">
        <f>IF(RES_AB[[#This Row],[Data base]]="","",WORKDAY(RES_AB[[#This Row],[Data Reserva - Feriado e Fds]],RES_AB[[#This Row],[Dias para atendimento]],Feriados[Data]))</f>
        <v>45450</v>
      </c>
      <c r="J32" s="40" t="str">
        <f ca="1">IF(RES_AB[[#This Row],[Reserva]]="","",CONCATENATE("D+",NETWORKDAYS(RES_AB[[#This Row],[Data Reserva - Feriado e Fds]],TODAY(),Feriados[Data])-1))</f>
        <v>D+2</v>
      </c>
      <c r="K32" s="40" t="str">
        <f ca="1">IF(RES_AB[[#This Row],[Reserva]]="","",CONCATENATE(RES_AB[[#This Row],[Cen.]]," | ",RES_AB[[#This Row],[SLA2]]))</f>
        <v>11EU | D+2</v>
      </c>
      <c r="L32" s="40">
        <f ca="1">IF(RES_AB[[#This Row],[Reserva]]="","",IF(RES_AB[[#This Row],[SLA2]]=RES_AB[[#This Row],[Reserva]]="","",COUNTIF(MB25_VOLUMETRIA[Reserva],RES_AB[[#This Row],[Reserva]])))</f>
        <v>4</v>
      </c>
      <c r="M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2" s="37" t="str">
        <f>IF(RES_AB[[#This Row],[Cen.]]="","",IFERROR(VLOOKUP(RES_AB[[#This Row],[Cen.]],Dados_Empresas[],2,FALSE),"Verificar empresa"))</f>
        <v>EMBRATEL</v>
      </c>
      <c r="P32" s="37" t="str">
        <f>IF(RES_AB[[#This Row],[Empresa]]="","",IF(OR(RES_AB[[#This Row],[Empresa]]="NET MASSIVO",RES_AB[[#This Row],[Empresa]]="NET PROJETOS"),"NET","EMPRESARIAL"))</f>
        <v>EMPRESARIAL</v>
      </c>
      <c r="Q32" s="37" t="str">
        <f>IF(RES_AB[[#This Row],[Reserva]]="","",IFERROR(VLOOKUP(RES_AB[[#This Row],[Reserva]],Tabela3[[Reserva]:[Descrição do status]],18,FALSE),"CONVENCIONAL"))</f>
        <v>CONVENCIONAL</v>
      </c>
    </row>
    <row r="33" spans="1:17" x14ac:dyDescent="0.25">
      <c r="A33" s="37">
        <v>4382012</v>
      </c>
      <c r="B33" s="37" t="s">
        <v>17</v>
      </c>
      <c r="C33" s="38" t="s">
        <v>17</v>
      </c>
      <c r="D33" s="38">
        <v>45448</v>
      </c>
      <c r="E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3" s="39">
        <f>IFERROR(VLOOKUP(RES_AB[[#This Row],[Reserva]],Tabela8[[Reserva]:[Usuário]],7,FALSE),Dados!$A$17)</f>
        <v>0.70370370370370372</v>
      </c>
      <c r="G33" s="40">
        <f>IF(RES_AB[[#This Row],[Reserva]]="","",IF(RES_AB[[#This Row],[Hora Int WMS]]&lt;Dados!$A$16,2,2))</f>
        <v>2</v>
      </c>
      <c r="H33" s="40" t="str">
        <f>IF(RES_AB[[#This Row],[Reserva]]="","",IFERROR(VLOOKUP(RES_AB[[#This Row],[Reserva]],Tabela3[[Reserva]:[Condição para Faturamento]],20,FALSE),"IMPORTADO COM SUCESSO"))</f>
        <v>EM CONFERENCIA</v>
      </c>
      <c r="I33" s="38">
        <f>IF(RES_AB[[#This Row],[Data base]]="","",WORKDAY(RES_AB[[#This Row],[Data Reserva - Feriado e Fds]],RES_AB[[#This Row],[Dias para atendimento]],Feriados[Data]))</f>
        <v>45450</v>
      </c>
      <c r="J33" s="40" t="str">
        <f ca="1">IF(RES_AB[[#This Row],[Reserva]]="","",CONCATENATE("D+",NETWORKDAYS(RES_AB[[#This Row],[Data Reserva - Feriado e Fds]],TODAY(),Feriados[Data])-1))</f>
        <v>D+2</v>
      </c>
      <c r="K33" s="40" t="str">
        <f ca="1">IF(RES_AB[[#This Row],[Reserva]]="","",CONCATENATE(RES_AB[[#This Row],[Cen.]]," | ",RES_AB[[#This Row],[SLA2]]))</f>
        <v>11EU | D+2</v>
      </c>
      <c r="L33" s="40">
        <f ca="1">IF(RES_AB[[#This Row],[Reserva]]="","",IF(RES_AB[[#This Row],[SLA2]]=RES_AB[[#This Row],[Reserva]]="","",COUNTIF(MB25_VOLUMETRIA[Reserva],RES_AB[[#This Row],[Reserva]])))</f>
        <v>3</v>
      </c>
      <c r="M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3" s="37" t="str">
        <f>IF(RES_AB[[#This Row],[Cen.]]="","",IFERROR(VLOOKUP(RES_AB[[#This Row],[Cen.]],Dados_Empresas[],2,FALSE),"Verificar empresa"))</f>
        <v>EMBRATEL</v>
      </c>
      <c r="P33" s="37" t="str">
        <f>IF(RES_AB[[#This Row],[Empresa]]="","",IF(OR(RES_AB[[#This Row],[Empresa]]="NET MASSIVO",RES_AB[[#This Row],[Empresa]]="NET PROJETOS"),"NET","EMPRESARIAL"))</f>
        <v>EMPRESARIAL</v>
      </c>
      <c r="Q33" s="37" t="str">
        <f>IF(RES_AB[[#This Row],[Reserva]]="","",IFERROR(VLOOKUP(RES_AB[[#This Row],[Reserva]],Tabela3[[Reserva]:[Descrição do status]],18,FALSE),"CONVENCIONAL"))</f>
        <v>CONVENCIONAL</v>
      </c>
    </row>
    <row r="34" spans="1:17" x14ac:dyDescent="0.25">
      <c r="A34" s="37">
        <v>4382161</v>
      </c>
      <c r="B34" s="37" t="s">
        <v>17</v>
      </c>
      <c r="C34" s="38" t="s">
        <v>17</v>
      </c>
      <c r="D34" s="38">
        <v>45448</v>
      </c>
      <c r="E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4" s="39">
        <f>IFERROR(VLOOKUP(RES_AB[[#This Row],[Reserva]],Tabela8[[Reserva]:[Usuário]],7,FALSE),Dados!$A$17)</f>
        <v>0.73078703703703707</v>
      </c>
      <c r="G34" s="40">
        <f>IF(RES_AB[[#This Row],[Reserva]]="","",IF(RES_AB[[#This Row],[Hora Int WMS]]&lt;Dados!$A$16,2,2))</f>
        <v>2</v>
      </c>
      <c r="H34" s="40" t="str">
        <f>IF(RES_AB[[#This Row],[Reserva]]="","",IFERROR(VLOOKUP(RES_AB[[#This Row],[Reserva]],Tabela3[[Reserva]:[Condição para Faturamento]],20,FALSE),"IMPORTADO COM SUCESSO"))</f>
        <v>PEDIDO EM LABORATORIO</v>
      </c>
      <c r="I34" s="38">
        <f>IF(RES_AB[[#This Row],[Data base]]="","",WORKDAY(RES_AB[[#This Row],[Data Reserva - Feriado e Fds]],RES_AB[[#This Row],[Dias para atendimento]],Feriados[Data]))</f>
        <v>45450</v>
      </c>
      <c r="J34" s="40" t="str">
        <f ca="1">IF(RES_AB[[#This Row],[Reserva]]="","",CONCATENATE("D+",NETWORKDAYS(RES_AB[[#This Row],[Data Reserva - Feriado e Fds]],TODAY(),Feriados[Data])-1))</f>
        <v>D+2</v>
      </c>
      <c r="K34" s="40" t="str">
        <f ca="1">IF(RES_AB[[#This Row],[Reserva]]="","",CONCATENATE(RES_AB[[#This Row],[Cen.]]," | ",RES_AB[[#This Row],[SLA2]]))</f>
        <v>11EU | D+2</v>
      </c>
      <c r="L34" s="40">
        <f ca="1">IF(RES_AB[[#This Row],[Reserva]]="","",IF(RES_AB[[#This Row],[SLA2]]=RES_AB[[#This Row],[Reserva]]="","",COUNTIF(MB25_VOLUMETRIA[Reserva],RES_AB[[#This Row],[Reserva]])))</f>
        <v>1</v>
      </c>
      <c r="M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4" s="37" t="str">
        <f>IF(RES_AB[[#This Row],[Cen.]]="","",IFERROR(VLOOKUP(RES_AB[[#This Row],[Cen.]],Dados_Empresas[],2,FALSE),"Verificar empresa"))</f>
        <v>EMBRATEL</v>
      </c>
      <c r="P34" s="37" t="str">
        <f>IF(RES_AB[[#This Row],[Empresa]]="","",IF(OR(RES_AB[[#This Row],[Empresa]]="NET MASSIVO",RES_AB[[#This Row],[Empresa]]="NET PROJETOS"),"NET","EMPRESARIAL"))</f>
        <v>EMPRESARIAL</v>
      </c>
      <c r="Q34" s="37" t="str">
        <f>IF(RES_AB[[#This Row],[Reserva]]="","",IFERROR(VLOOKUP(RES_AB[[#This Row],[Reserva]],Tabela3[[Reserva]:[Descrição do status]],18,FALSE),"CONVENCIONAL"))</f>
        <v>CONVENCIONAL</v>
      </c>
    </row>
    <row r="35" spans="1:17" x14ac:dyDescent="0.25">
      <c r="A35" s="37">
        <v>4382162</v>
      </c>
      <c r="B35" s="37" t="s">
        <v>17</v>
      </c>
      <c r="C35" s="38" t="s">
        <v>17</v>
      </c>
      <c r="D35" s="38">
        <v>45448</v>
      </c>
      <c r="E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5" s="39">
        <f>IFERROR(VLOOKUP(RES_AB[[#This Row],[Reserva]],Tabela8[[Reserva]:[Usuário]],7,FALSE),Dados!$A$17)</f>
        <v>0.73090277777777779</v>
      </c>
      <c r="G35" s="40">
        <f>IF(RES_AB[[#This Row],[Reserva]]="","",IF(RES_AB[[#This Row],[Hora Int WMS]]&lt;Dados!$A$16,2,2))</f>
        <v>2</v>
      </c>
      <c r="H35" s="40" t="str">
        <f>IF(RES_AB[[#This Row],[Reserva]]="","",IFERROR(VLOOKUP(RES_AB[[#This Row],[Reserva]],Tabela3[[Reserva]:[Condição para Faturamento]],20,FALSE),"IMPORTADO COM SUCESSO"))</f>
        <v>PEDIDO EM LABORATORIO</v>
      </c>
      <c r="I35" s="38">
        <f>IF(RES_AB[[#This Row],[Data base]]="","",WORKDAY(RES_AB[[#This Row],[Data Reserva - Feriado e Fds]],RES_AB[[#This Row],[Dias para atendimento]],Feriados[Data]))</f>
        <v>45450</v>
      </c>
      <c r="J35" s="40" t="str">
        <f ca="1">IF(RES_AB[[#This Row],[Reserva]]="","",CONCATENATE("D+",NETWORKDAYS(RES_AB[[#This Row],[Data Reserva - Feriado e Fds]],TODAY(),Feriados[Data])-1))</f>
        <v>D+2</v>
      </c>
      <c r="K35" s="40" t="str">
        <f ca="1">IF(RES_AB[[#This Row],[Reserva]]="","",CONCATENATE(RES_AB[[#This Row],[Cen.]]," | ",RES_AB[[#This Row],[SLA2]]))</f>
        <v>11EU | D+2</v>
      </c>
      <c r="L35" s="40">
        <f ca="1">IF(RES_AB[[#This Row],[Reserva]]="","",IF(RES_AB[[#This Row],[SLA2]]=RES_AB[[#This Row],[Reserva]]="","",COUNTIF(MB25_VOLUMETRIA[Reserva],RES_AB[[#This Row],[Reserva]])))</f>
        <v>19</v>
      </c>
      <c r="M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5" s="37" t="str">
        <f>IF(RES_AB[[#This Row],[Cen.]]="","",IFERROR(VLOOKUP(RES_AB[[#This Row],[Cen.]],Dados_Empresas[],2,FALSE),"Verificar empresa"))</f>
        <v>EMBRATEL</v>
      </c>
      <c r="P35" s="37" t="str">
        <f>IF(RES_AB[[#This Row],[Empresa]]="","",IF(OR(RES_AB[[#This Row],[Empresa]]="NET MASSIVO",RES_AB[[#This Row],[Empresa]]="NET PROJETOS"),"NET","EMPRESARIAL"))</f>
        <v>EMPRESARIAL</v>
      </c>
      <c r="Q35" s="37" t="str">
        <f>IF(RES_AB[[#This Row],[Reserva]]="","",IFERROR(VLOOKUP(RES_AB[[#This Row],[Reserva]],Tabela3[[Reserva]:[Descrição do status]],18,FALSE),"CONVENCIONAL"))</f>
        <v>CONVENCIONAL</v>
      </c>
    </row>
    <row r="36" spans="1:17" x14ac:dyDescent="0.25">
      <c r="A36" s="37">
        <v>4382163</v>
      </c>
      <c r="B36" s="37" t="s">
        <v>17</v>
      </c>
      <c r="C36" s="38" t="s">
        <v>17</v>
      </c>
      <c r="D36" s="38">
        <v>45448</v>
      </c>
      <c r="E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6" s="39">
        <f>IFERROR(VLOOKUP(RES_AB[[#This Row],[Reserva]],Tabela8[[Reserva]:[Usuário]],7,FALSE),Dados!$A$17)</f>
        <v>0.73101851851851851</v>
      </c>
      <c r="G36" s="40">
        <f>IF(RES_AB[[#This Row],[Reserva]]="","",IF(RES_AB[[#This Row],[Hora Int WMS]]&lt;Dados!$A$16,2,2))</f>
        <v>2</v>
      </c>
      <c r="H36" s="40" t="str">
        <f>IF(RES_AB[[#This Row],[Reserva]]="","",IFERROR(VLOOKUP(RES_AB[[#This Row],[Reserva]],Tabela3[[Reserva]:[Condição para Faturamento]],20,FALSE),"IMPORTADO COM SUCESSO"))</f>
        <v>PEDIDO EM LABORATORIO</v>
      </c>
      <c r="I36" s="38">
        <f>IF(RES_AB[[#This Row],[Data base]]="","",WORKDAY(RES_AB[[#This Row],[Data Reserva - Feriado e Fds]],RES_AB[[#This Row],[Dias para atendimento]],Feriados[Data]))</f>
        <v>45450</v>
      </c>
      <c r="J36" s="40" t="str">
        <f ca="1">IF(RES_AB[[#This Row],[Reserva]]="","",CONCATENATE("D+",NETWORKDAYS(RES_AB[[#This Row],[Data Reserva - Feriado e Fds]],TODAY(),Feriados[Data])-1))</f>
        <v>D+2</v>
      </c>
      <c r="K36" s="40" t="str">
        <f ca="1">IF(RES_AB[[#This Row],[Reserva]]="","",CONCATENATE(RES_AB[[#This Row],[Cen.]]," | ",RES_AB[[#This Row],[SLA2]]))</f>
        <v>11EU | D+2</v>
      </c>
      <c r="L36" s="40">
        <f ca="1">IF(RES_AB[[#This Row],[Reserva]]="","",IF(RES_AB[[#This Row],[SLA2]]=RES_AB[[#This Row],[Reserva]]="","",COUNTIF(MB25_VOLUMETRIA[Reserva],RES_AB[[#This Row],[Reserva]])))</f>
        <v>1</v>
      </c>
      <c r="M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6" s="37" t="str">
        <f>IF(RES_AB[[#This Row],[Cen.]]="","",IFERROR(VLOOKUP(RES_AB[[#This Row],[Cen.]],Dados_Empresas[],2,FALSE),"Verificar empresa"))</f>
        <v>EMBRATEL</v>
      </c>
      <c r="P36" s="37" t="str">
        <f>IF(RES_AB[[#This Row],[Empresa]]="","",IF(OR(RES_AB[[#This Row],[Empresa]]="NET MASSIVO",RES_AB[[#This Row],[Empresa]]="NET PROJETOS"),"NET","EMPRESARIAL"))</f>
        <v>EMPRESARIAL</v>
      </c>
      <c r="Q36" s="37" t="str">
        <f>IF(RES_AB[[#This Row],[Reserva]]="","",IFERROR(VLOOKUP(RES_AB[[#This Row],[Reserva]],Tabela3[[Reserva]:[Descrição do status]],18,FALSE),"CONVENCIONAL"))</f>
        <v>CONVENCIONAL</v>
      </c>
    </row>
    <row r="37" spans="1:17" x14ac:dyDescent="0.25">
      <c r="A37" s="37">
        <v>4382164</v>
      </c>
      <c r="B37" s="37" t="s">
        <v>17</v>
      </c>
      <c r="C37" s="38" t="s">
        <v>17</v>
      </c>
      <c r="D37" s="38">
        <v>45448</v>
      </c>
      <c r="E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7" s="39">
        <f>IFERROR(VLOOKUP(RES_AB[[#This Row],[Reserva]],Tabela8[[Reserva]:[Usuário]],7,FALSE),Dados!$A$17)</f>
        <v>0.73113425925925923</v>
      </c>
      <c r="G37" s="40">
        <f>IF(RES_AB[[#This Row],[Reserva]]="","",IF(RES_AB[[#This Row],[Hora Int WMS]]&lt;Dados!$A$16,2,2))</f>
        <v>2</v>
      </c>
      <c r="H37" s="40" t="str">
        <f>IF(RES_AB[[#This Row],[Reserva]]="","",IFERROR(VLOOKUP(RES_AB[[#This Row],[Reserva]],Tabela3[[Reserva]:[Condição para Faturamento]],20,FALSE),"IMPORTADO COM SUCESSO"))</f>
        <v>PEDIDO EM LABORATORIO</v>
      </c>
      <c r="I37" s="38">
        <f>IF(RES_AB[[#This Row],[Data base]]="","",WORKDAY(RES_AB[[#This Row],[Data Reserva - Feriado e Fds]],RES_AB[[#This Row],[Dias para atendimento]],Feriados[Data]))</f>
        <v>45450</v>
      </c>
      <c r="J37" s="40" t="str">
        <f ca="1">IF(RES_AB[[#This Row],[Reserva]]="","",CONCATENATE("D+",NETWORKDAYS(RES_AB[[#This Row],[Data Reserva - Feriado e Fds]],TODAY(),Feriados[Data])-1))</f>
        <v>D+2</v>
      </c>
      <c r="K37" s="40" t="str">
        <f ca="1">IF(RES_AB[[#This Row],[Reserva]]="","",CONCATENATE(RES_AB[[#This Row],[Cen.]]," | ",RES_AB[[#This Row],[SLA2]]))</f>
        <v>11EU | D+2</v>
      </c>
      <c r="L37" s="40">
        <f ca="1">IF(RES_AB[[#This Row],[Reserva]]="","",IF(RES_AB[[#This Row],[SLA2]]=RES_AB[[#This Row],[Reserva]]="","",COUNTIF(MB25_VOLUMETRIA[Reserva],RES_AB[[#This Row],[Reserva]])))</f>
        <v>1</v>
      </c>
      <c r="M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7" s="37" t="str">
        <f>IF(RES_AB[[#This Row],[Cen.]]="","",IFERROR(VLOOKUP(RES_AB[[#This Row],[Cen.]],Dados_Empresas[],2,FALSE),"Verificar empresa"))</f>
        <v>EMBRATEL</v>
      </c>
      <c r="P37" s="37" t="str">
        <f>IF(RES_AB[[#This Row],[Empresa]]="","",IF(OR(RES_AB[[#This Row],[Empresa]]="NET MASSIVO",RES_AB[[#This Row],[Empresa]]="NET PROJETOS"),"NET","EMPRESARIAL"))</f>
        <v>EMPRESARIAL</v>
      </c>
      <c r="Q37" s="37" t="str">
        <f>IF(RES_AB[[#This Row],[Reserva]]="","",IFERROR(VLOOKUP(RES_AB[[#This Row],[Reserva]],Tabela3[[Reserva]:[Descrição do status]],18,FALSE),"CONVENCIONAL"))</f>
        <v>CONVENCIONAL</v>
      </c>
    </row>
    <row r="38" spans="1:17" x14ac:dyDescent="0.25">
      <c r="A38" s="37">
        <v>4382165</v>
      </c>
      <c r="B38" s="37" t="s">
        <v>17</v>
      </c>
      <c r="C38" s="38" t="s">
        <v>17</v>
      </c>
      <c r="D38" s="38">
        <v>45448</v>
      </c>
      <c r="E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8" s="39">
        <f>IFERROR(VLOOKUP(RES_AB[[#This Row],[Reserva]],Tabela8[[Reserva]:[Usuário]],7,FALSE),Dados!$A$17)</f>
        <v>0.73113425925925923</v>
      </c>
      <c r="G38" s="40">
        <f>IF(RES_AB[[#This Row],[Reserva]]="","",IF(RES_AB[[#This Row],[Hora Int WMS]]&lt;Dados!$A$16,2,2))</f>
        <v>2</v>
      </c>
      <c r="H38" s="40" t="str">
        <f>IF(RES_AB[[#This Row],[Reserva]]="","",IFERROR(VLOOKUP(RES_AB[[#This Row],[Reserva]],Tabela3[[Reserva]:[Condição para Faturamento]],20,FALSE),"IMPORTADO COM SUCESSO"))</f>
        <v>EM SEPARAÇÃO</v>
      </c>
      <c r="I38" s="38">
        <f>IF(RES_AB[[#This Row],[Data base]]="","",WORKDAY(RES_AB[[#This Row],[Data Reserva - Feriado e Fds]],RES_AB[[#This Row],[Dias para atendimento]],Feriados[Data]))</f>
        <v>45450</v>
      </c>
      <c r="J38" s="40" t="str">
        <f ca="1">IF(RES_AB[[#This Row],[Reserva]]="","",CONCATENATE("D+",NETWORKDAYS(RES_AB[[#This Row],[Data Reserva - Feriado e Fds]],TODAY(),Feriados[Data])-1))</f>
        <v>D+2</v>
      </c>
      <c r="K38" s="40" t="str">
        <f ca="1">IF(RES_AB[[#This Row],[Reserva]]="","",CONCATENATE(RES_AB[[#This Row],[Cen.]]," | ",RES_AB[[#This Row],[SLA2]]))</f>
        <v>11EU | D+2</v>
      </c>
      <c r="L38" s="40">
        <f ca="1">IF(RES_AB[[#This Row],[Reserva]]="","",IF(RES_AB[[#This Row],[SLA2]]=RES_AB[[#This Row],[Reserva]]="","",COUNTIF(MB25_VOLUMETRIA[Reserva],RES_AB[[#This Row],[Reserva]])))</f>
        <v>1</v>
      </c>
      <c r="M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8" s="37" t="str">
        <f>IF(RES_AB[[#This Row],[Cen.]]="","",IFERROR(VLOOKUP(RES_AB[[#This Row],[Cen.]],Dados_Empresas[],2,FALSE),"Verificar empresa"))</f>
        <v>EMBRATEL</v>
      </c>
      <c r="P38" s="37" t="str">
        <f>IF(RES_AB[[#This Row],[Empresa]]="","",IF(OR(RES_AB[[#This Row],[Empresa]]="NET MASSIVO",RES_AB[[#This Row],[Empresa]]="NET PROJETOS"),"NET","EMPRESARIAL"))</f>
        <v>EMPRESARIAL</v>
      </c>
      <c r="Q38" s="37" t="str">
        <f>IF(RES_AB[[#This Row],[Reserva]]="","",IFERROR(VLOOKUP(RES_AB[[#This Row],[Reserva]],Tabela3[[Reserva]:[Descrição do status]],18,FALSE),"CONVENCIONAL"))</f>
        <v>CONVENCIONAL</v>
      </c>
    </row>
    <row r="39" spans="1:17" x14ac:dyDescent="0.25">
      <c r="A39" s="37">
        <v>4382166</v>
      </c>
      <c r="B39" s="37" t="s">
        <v>17</v>
      </c>
      <c r="C39" s="38" t="s">
        <v>17</v>
      </c>
      <c r="D39" s="38">
        <v>45448</v>
      </c>
      <c r="E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39" s="39">
        <f>IFERROR(VLOOKUP(RES_AB[[#This Row],[Reserva]],Tabela8[[Reserva]:[Usuário]],7,FALSE),Dados!$A$17)</f>
        <v>0.73113425925925923</v>
      </c>
      <c r="G39" s="40">
        <f>IF(RES_AB[[#This Row],[Reserva]]="","",IF(RES_AB[[#This Row],[Hora Int WMS]]&lt;Dados!$A$16,2,2))</f>
        <v>2</v>
      </c>
      <c r="H39" s="40" t="str">
        <f>IF(RES_AB[[#This Row],[Reserva]]="","",IFERROR(VLOOKUP(RES_AB[[#This Row],[Reserva]],Tabela3[[Reserva]:[Condição para Faturamento]],20,FALSE),"IMPORTADO COM SUCESSO"))</f>
        <v>PEDIDO EM LABORATORIO</v>
      </c>
      <c r="I39" s="38">
        <f>IF(RES_AB[[#This Row],[Data base]]="","",WORKDAY(RES_AB[[#This Row],[Data Reserva - Feriado e Fds]],RES_AB[[#This Row],[Dias para atendimento]],Feriados[Data]))</f>
        <v>45450</v>
      </c>
      <c r="J39" s="40" t="str">
        <f ca="1">IF(RES_AB[[#This Row],[Reserva]]="","",CONCATENATE("D+",NETWORKDAYS(RES_AB[[#This Row],[Data Reserva - Feriado e Fds]],TODAY(),Feriados[Data])-1))</f>
        <v>D+2</v>
      </c>
      <c r="K39" s="40" t="str">
        <f ca="1">IF(RES_AB[[#This Row],[Reserva]]="","",CONCATENATE(RES_AB[[#This Row],[Cen.]]," | ",RES_AB[[#This Row],[SLA2]]))</f>
        <v>11EU | D+2</v>
      </c>
      <c r="L39" s="40">
        <f ca="1">IF(RES_AB[[#This Row],[Reserva]]="","",IF(RES_AB[[#This Row],[SLA2]]=RES_AB[[#This Row],[Reserva]]="","",COUNTIF(MB25_VOLUMETRIA[Reserva],RES_AB[[#This Row],[Reserva]])))</f>
        <v>1</v>
      </c>
      <c r="M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3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39" s="37" t="str">
        <f>IF(RES_AB[[#This Row],[Cen.]]="","",IFERROR(VLOOKUP(RES_AB[[#This Row],[Cen.]],Dados_Empresas[],2,FALSE),"Verificar empresa"))</f>
        <v>EMBRATEL</v>
      </c>
      <c r="P39" s="37" t="str">
        <f>IF(RES_AB[[#This Row],[Empresa]]="","",IF(OR(RES_AB[[#This Row],[Empresa]]="NET MASSIVO",RES_AB[[#This Row],[Empresa]]="NET PROJETOS"),"NET","EMPRESARIAL"))</f>
        <v>EMPRESARIAL</v>
      </c>
      <c r="Q39" s="37" t="str">
        <f>IF(RES_AB[[#This Row],[Reserva]]="","",IFERROR(VLOOKUP(RES_AB[[#This Row],[Reserva]],Tabela3[[Reserva]:[Descrição do status]],18,FALSE),"CONVENCIONAL"))</f>
        <v>CONVENCIONAL</v>
      </c>
    </row>
    <row r="40" spans="1:17" x14ac:dyDescent="0.25">
      <c r="A40" s="37">
        <v>4382167</v>
      </c>
      <c r="B40" s="37" t="s">
        <v>17</v>
      </c>
      <c r="C40" s="38" t="s">
        <v>17</v>
      </c>
      <c r="D40" s="38">
        <v>45448</v>
      </c>
      <c r="E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0" s="39">
        <f>IFERROR(VLOOKUP(RES_AB[[#This Row],[Reserva]],Tabela8[[Reserva]:[Usuário]],7,FALSE),Dados!$A$17)</f>
        <v>0.73124999999999996</v>
      </c>
      <c r="G40" s="40">
        <f>IF(RES_AB[[#This Row],[Reserva]]="","",IF(RES_AB[[#This Row],[Hora Int WMS]]&lt;Dados!$A$16,2,2))</f>
        <v>2</v>
      </c>
      <c r="H40" s="40" t="str">
        <f>IF(RES_AB[[#This Row],[Reserva]]="","",IFERROR(VLOOKUP(RES_AB[[#This Row],[Reserva]],Tabela3[[Reserva]:[Condição para Faturamento]],20,FALSE),"IMPORTADO COM SUCESSO"))</f>
        <v>PEDIDO EM LABORATORIO</v>
      </c>
      <c r="I40" s="38">
        <f>IF(RES_AB[[#This Row],[Data base]]="","",WORKDAY(RES_AB[[#This Row],[Data Reserva - Feriado e Fds]],RES_AB[[#This Row],[Dias para atendimento]],Feriados[Data]))</f>
        <v>45450</v>
      </c>
      <c r="J40" s="40" t="str">
        <f ca="1">IF(RES_AB[[#This Row],[Reserva]]="","",CONCATENATE("D+",NETWORKDAYS(RES_AB[[#This Row],[Data Reserva - Feriado e Fds]],TODAY(),Feriados[Data])-1))</f>
        <v>D+2</v>
      </c>
      <c r="K40" s="40" t="str">
        <f ca="1">IF(RES_AB[[#This Row],[Reserva]]="","",CONCATENATE(RES_AB[[#This Row],[Cen.]]," | ",RES_AB[[#This Row],[SLA2]]))</f>
        <v>11EU | D+2</v>
      </c>
      <c r="L40" s="40">
        <f ca="1">IF(RES_AB[[#This Row],[Reserva]]="","",IF(RES_AB[[#This Row],[SLA2]]=RES_AB[[#This Row],[Reserva]]="","",COUNTIF(MB25_VOLUMETRIA[Reserva],RES_AB[[#This Row],[Reserva]])))</f>
        <v>1</v>
      </c>
      <c r="M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0" s="37" t="str">
        <f>IF(RES_AB[[#This Row],[Cen.]]="","",IFERROR(VLOOKUP(RES_AB[[#This Row],[Cen.]],Dados_Empresas[],2,FALSE),"Verificar empresa"))</f>
        <v>EMBRATEL</v>
      </c>
      <c r="P40" s="37" t="str">
        <f>IF(RES_AB[[#This Row],[Empresa]]="","",IF(OR(RES_AB[[#This Row],[Empresa]]="NET MASSIVO",RES_AB[[#This Row],[Empresa]]="NET PROJETOS"),"NET","EMPRESARIAL"))</f>
        <v>EMPRESARIAL</v>
      </c>
      <c r="Q40" s="37" t="str">
        <f>IF(RES_AB[[#This Row],[Reserva]]="","",IFERROR(VLOOKUP(RES_AB[[#This Row],[Reserva]],Tabela3[[Reserva]:[Descrição do status]],18,FALSE),"CONVENCIONAL"))</f>
        <v>CONVENCIONAL</v>
      </c>
    </row>
    <row r="41" spans="1:17" x14ac:dyDescent="0.25">
      <c r="A41" s="37">
        <v>4382168</v>
      </c>
      <c r="B41" s="37" t="s">
        <v>17</v>
      </c>
      <c r="C41" s="38" t="s">
        <v>17</v>
      </c>
      <c r="D41" s="38">
        <v>45448</v>
      </c>
      <c r="E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" s="39">
        <f>IFERROR(VLOOKUP(RES_AB[[#This Row],[Reserva]],Tabela8[[Reserva]:[Usuário]],7,FALSE),Dados!$A$17)</f>
        <v>0.73124999999999996</v>
      </c>
      <c r="G41" s="40">
        <f>IF(RES_AB[[#This Row],[Reserva]]="","",IF(RES_AB[[#This Row],[Hora Int WMS]]&lt;Dados!$A$16,2,2))</f>
        <v>2</v>
      </c>
      <c r="H41" s="40" t="str">
        <f>IF(RES_AB[[#This Row],[Reserva]]="","",IFERROR(VLOOKUP(RES_AB[[#This Row],[Reserva]],Tabela3[[Reserva]:[Condição para Faturamento]],20,FALSE),"IMPORTADO COM SUCESSO"))</f>
        <v>PEDIDO EM LABORATORIO</v>
      </c>
      <c r="I41" s="38">
        <f>IF(RES_AB[[#This Row],[Data base]]="","",WORKDAY(RES_AB[[#This Row],[Data Reserva - Feriado e Fds]],RES_AB[[#This Row],[Dias para atendimento]],Feriados[Data]))</f>
        <v>45450</v>
      </c>
      <c r="J41" s="40" t="str">
        <f ca="1">IF(RES_AB[[#This Row],[Reserva]]="","",CONCATENATE("D+",NETWORKDAYS(RES_AB[[#This Row],[Data Reserva - Feriado e Fds]],TODAY(),Feriados[Data])-1))</f>
        <v>D+2</v>
      </c>
      <c r="K41" s="40" t="str">
        <f ca="1">IF(RES_AB[[#This Row],[Reserva]]="","",CONCATENATE(RES_AB[[#This Row],[Cen.]]," | ",RES_AB[[#This Row],[SLA2]]))</f>
        <v>11EU | D+2</v>
      </c>
      <c r="L41" s="40">
        <f ca="1">IF(RES_AB[[#This Row],[Reserva]]="","",IF(RES_AB[[#This Row],[SLA2]]=RES_AB[[#This Row],[Reserva]]="","",COUNTIF(MB25_VOLUMETRIA[Reserva],RES_AB[[#This Row],[Reserva]])))</f>
        <v>1</v>
      </c>
      <c r="M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" s="37" t="str">
        <f>IF(RES_AB[[#This Row],[Cen.]]="","",IFERROR(VLOOKUP(RES_AB[[#This Row],[Cen.]],Dados_Empresas[],2,FALSE),"Verificar empresa"))</f>
        <v>EMBRATEL</v>
      </c>
      <c r="P41" s="37" t="str">
        <f>IF(RES_AB[[#This Row],[Empresa]]="","",IF(OR(RES_AB[[#This Row],[Empresa]]="NET MASSIVO",RES_AB[[#This Row],[Empresa]]="NET PROJETOS"),"NET","EMPRESARIAL"))</f>
        <v>EMPRESARIAL</v>
      </c>
      <c r="Q41" s="37" t="str">
        <f>IF(RES_AB[[#This Row],[Reserva]]="","",IFERROR(VLOOKUP(RES_AB[[#This Row],[Reserva]],Tabela3[[Reserva]:[Descrição do status]],18,FALSE),"CONVENCIONAL"))</f>
        <v>CONVENCIONAL</v>
      </c>
    </row>
    <row r="42" spans="1:17" x14ac:dyDescent="0.25">
      <c r="A42" s="37">
        <v>4382169</v>
      </c>
      <c r="B42" s="37" t="s">
        <v>17</v>
      </c>
      <c r="C42" s="38" t="s">
        <v>17</v>
      </c>
      <c r="D42" s="38">
        <v>45448</v>
      </c>
      <c r="E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" s="39">
        <f>IFERROR(VLOOKUP(RES_AB[[#This Row],[Reserva]],Tabela8[[Reserva]:[Usuário]],7,FALSE),Dados!$A$17)</f>
        <v>0.73136574074074079</v>
      </c>
      <c r="G42" s="40">
        <f>IF(RES_AB[[#This Row],[Reserva]]="","",IF(RES_AB[[#This Row],[Hora Int WMS]]&lt;Dados!$A$16,2,2))</f>
        <v>2</v>
      </c>
      <c r="H42" s="40" t="str">
        <f>IF(RES_AB[[#This Row],[Reserva]]="","",IFERROR(VLOOKUP(RES_AB[[#This Row],[Reserva]],Tabela3[[Reserva]:[Condição para Faturamento]],20,FALSE),"IMPORTADO COM SUCESSO"))</f>
        <v>PEDIDO EM LABORATORIO</v>
      </c>
      <c r="I42" s="38">
        <f>IF(RES_AB[[#This Row],[Data base]]="","",WORKDAY(RES_AB[[#This Row],[Data Reserva - Feriado e Fds]],RES_AB[[#This Row],[Dias para atendimento]],Feriados[Data]))</f>
        <v>45450</v>
      </c>
      <c r="J42" s="40" t="str">
        <f ca="1">IF(RES_AB[[#This Row],[Reserva]]="","",CONCATENATE("D+",NETWORKDAYS(RES_AB[[#This Row],[Data Reserva - Feriado e Fds]],TODAY(),Feriados[Data])-1))</f>
        <v>D+2</v>
      </c>
      <c r="K42" s="40" t="str">
        <f ca="1">IF(RES_AB[[#This Row],[Reserva]]="","",CONCATENATE(RES_AB[[#This Row],[Cen.]]," | ",RES_AB[[#This Row],[SLA2]]))</f>
        <v>11EU | D+2</v>
      </c>
      <c r="L42" s="40">
        <f ca="1">IF(RES_AB[[#This Row],[Reserva]]="","",IF(RES_AB[[#This Row],[SLA2]]=RES_AB[[#This Row],[Reserva]]="","",COUNTIF(MB25_VOLUMETRIA[Reserva],RES_AB[[#This Row],[Reserva]])))</f>
        <v>1</v>
      </c>
      <c r="M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" s="37" t="str">
        <f>IF(RES_AB[[#This Row],[Cen.]]="","",IFERROR(VLOOKUP(RES_AB[[#This Row],[Cen.]],Dados_Empresas[],2,FALSE),"Verificar empresa"))</f>
        <v>EMBRATEL</v>
      </c>
      <c r="P42" s="37" t="str">
        <f>IF(RES_AB[[#This Row],[Empresa]]="","",IF(OR(RES_AB[[#This Row],[Empresa]]="NET MASSIVO",RES_AB[[#This Row],[Empresa]]="NET PROJETOS"),"NET","EMPRESARIAL"))</f>
        <v>EMPRESARIAL</v>
      </c>
      <c r="Q42" s="37" t="str">
        <f>IF(RES_AB[[#This Row],[Reserva]]="","",IFERROR(VLOOKUP(RES_AB[[#This Row],[Reserva]],Tabela3[[Reserva]:[Descrição do status]],18,FALSE),"CONVENCIONAL"))</f>
        <v>CONVENCIONAL</v>
      </c>
    </row>
    <row r="43" spans="1:17" x14ac:dyDescent="0.25">
      <c r="A43" s="37">
        <v>4382170</v>
      </c>
      <c r="B43" s="37" t="s">
        <v>17</v>
      </c>
      <c r="C43" s="38" t="s">
        <v>17</v>
      </c>
      <c r="D43" s="38">
        <v>45448</v>
      </c>
      <c r="E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" s="39">
        <f>IFERROR(VLOOKUP(RES_AB[[#This Row],[Reserva]],Tabela8[[Reserva]:[Usuário]],7,FALSE),Dados!$A$17)</f>
        <v>0.33333333333333331</v>
      </c>
      <c r="G43" s="40">
        <f>IF(RES_AB[[#This Row],[Reserva]]="","",IF(RES_AB[[#This Row],[Hora Int WMS]]&lt;Dados!$A$16,2,2))</f>
        <v>2</v>
      </c>
      <c r="H43" s="40" t="str">
        <f>IF(RES_AB[[#This Row],[Reserva]]="","",IFERROR(VLOOKUP(RES_AB[[#This Row],[Reserva]],Tabela3[[Reserva]:[Condição para Faturamento]],20,FALSE),"IMPORTADO COM SUCESSO"))</f>
        <v>PEDIDO EM LABORATORIO</v>
      </c>
      <c r="I43" s="38">
        <f>IF(RES_AB[[#This Row],[Data base]]="","",WORKDAY(RES_AB[[#This Row],[Data Reserva - Feriado e Fds]],RES_AB[[#This Row],[Dias para atendimento]],Feriados[Data]))</f>
        <v>45450</v>
      </c>
      <c r="J43" s="40" t="str">
        <f ca="1">IF(RES_AB[[#This Row],[Reserva]]="","",CONCATENATE("D+",NETWORKDAYS(RES_AB[[#This Row],[Data Reserva - Feriado e Fds]],TODAY(),Feriados[Data])-1))</f>
        <v>D+2</v>
      </c>
      <c r="K43" s="40" t="str">
        <f ca="1">IF(RES_AB[[#This Row],[Reserva]]="","",CONCATENATE(RES_AB[[#This Row],[Cen.]]," | ",RES_AB[[#This Row],[SLA2]]))</f>
        <v>11EU | D+2</v>
      </c>
      <c r="L43" s="40">
        <f ca="1">IF(RES_AB[[#This Row],[Reserva]]="","",IF(RES_AB[[#This Row],[SLA2]]=RES_AB[[#This Row],[Reserva]]="","",COUNTIF(MB25_VOLUMETRIA[Reserva],RES_AB[[#This Row],[Reserva]])))</f>
        <v>1</v>
      </c>
      <c r="M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" s="37" t="str">
        <f>IF(RES_AB[[#This Row],[Cen.]]="","",IFERROR(VLOOKUP(RES_AB[[#This Row],[Cen.]],Dados_Empresas[],2,FALSE),"Verificar empresa"))</f>
        <v>EMBRATEL</v>
      </c>
      <c r="P43" s="37" t="str">
        <f>IF(RES_AB[[#This Row],[Empresa]]="","",IF(OR(RES_AB[[#This Row],[Empresa]]="NET MASSIVO",RES_AB[[#This Row],[Empresa]]="NET PROJETOS"),"NET","EMPRESARIAL"))</f>
        <v>EMPRESARIAL</v>
      </c>
      <c r="Q43" s="37" t="str">
        <f>IF(RES_AB[[#This Row],[Reserva]]="","",IFERROR(VLOOKUP(RES_AB[[#This Row],[Reserva]],Tabela3[[Reserva]:[Descrição do status]],18,FALSE),"CONVENCIONAL"))</f>
        <v>CONVENCIONAL</v>
      </c>
    </row>
    <row r="44" spans="1:17" x14ac:dyDescent="0.25">
      <c r="A44" s="37">
        <v>4382171</v>
      </c>
      <c r="B44" s="37" t="s">
        <v>17</v>
      </c>
      <c r="C44" s="38" t="s">
        <v>17</v>
      </c>
      <c r="D44" s="38">
        <v>45448</v>
      </c>
      <c r="E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" s="39">
        <f>IFERROR(VLOOKUP(RES_AB[[#This Row],[Reserva]],Tabela8[[Reserva]:[Usuário]],7,FALSE),Dados!$A$17)</f>
        <v>0.33333333333333331</v>
      </c>
      <c r="G44" s="40">
        <f>IF(RES_AB[[#This Row],[Reserva]]="","",IF(RES_AB[[#This Row],[Hora Int WMS]]&lt;Dados!$A$16,2,2))</f>
        <v>2</v>
      </c>
      <c r="H44" s="40" t="str">
        <f>IF(RES_AB[[#This Row],[Reserva]]="","",IFERROR(VLOOKUP(RES_AB[[#This Row],[Reserva]],Tabela3[[Reserva]:[Condição para Faturamento]],20,FALSE),"IMPORTADO COM SUCESSO"))</f>
        <v>PEDIDO EM LABORATORIO</v>
      </c>
      <c r="I44" s="38">
        <f>IF(RES_AB[[#This Row],[Data base]]="","",WORKDAY(RES_AB[[#This Row],[Data Reserva - Feriado e Fds]],RES_AB[[#This Row],[Dias para atendimento]],Feriados[Data]))</f>
        <v>45450</v>
      </c>
      <c r="J44" s="40" t="str">
        <f ca="1">IF(RES_AB[[#This Row],[Reserva]]="","",CONCATENATE("D+",NETWORKDAYS(RES_AB[[#This Row],[Data Reserva - Feriado e Fds]],TODAY(),Feriados[Data])-1))</f>
        <v>D+2</v>
      </c>
      <c r="K44" s="40" t="str">
        <f ca="1">IF(RES_AB[[#This Row],[Reserva]]="","",CONCATENATE(RES_AB[[#This Row],[Cen.]]," | ",RES_AB[[#This Row],[SLA2]]))</f>
        <v>11EU | D+2</v>
      </c>
      <c r="L44" s="40">
        <f ca="1">IF(RES_AB[[#This Row],[Reserva]]="","",IF(RES_AB[[#This Row],[SLA2]]=RES_AB[[#This Row],[Reserva]]="","",COUNTIF(MB25_VOLUMETRIA[Reserva],RES_AB[[#This Row],[Reserva]])))</f>
        <v>1</v>
      </c>
      <c r="M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" s="37" t="str">
        <f>IF(RES_AB[[#This Row],[Cen.]]="","",IFERROR(VLOOKUP(RES_AB[[#This Row],[Cen.]],Dados_Empresas[],2,FALSE),"Verificar empresa"))</f>
        <v>EMBRATEL</v>
      </c>
      <c r="P44" s="37" t="str">
        <f>IF(RES_AB[[#This Row],[Empresa]]="","",IF(OR(RES_AB[[#This Row],[Empresa]]="NET MASSIVO",RES_AB[[#This Row],[Empresa]]="NET PROJETOS"),"NET","EMPRESARIAL"))</f>
        <v>EMPRESARIAL</v>
      </c>
      <c r="Q44" s="37" t="str">
        <f>IF(RES_AB[[#This Row],[Reserva]]="","",IFERROR(VLOOKUP(RES_AB[[#This Row],[Reserva]],Tabela3[[Reserva]:[Descrição do status]],18,FALSE),"CONVENCIONAL"))</f>
        <v>CONVENCIONAL</v>
      </c>
    </row>
    <row r="45" spans="1:17" x14ac:dyDescent="0.25">
      <c r="A45" s="37">
        <v>4382172</v>
      </c>
      <c r="B45" s="37" t="s">
        <v>17</v>
      </c>
      <c r="C45" s="38" t="s">
        <v>17</v>
      </c>
      <c r="D45" s="38">
        <v>45448</v>
      </c>
      <c r="E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" s="39">
        <f>IFERROR(VLOOKUP(RES_AB[[#This Row],[Reserva]],Tabela8[[Reserva]:[Usuário]],7,FALSE),Dados!$A$17)</f>
        <v>0.33333333333333331</v>
      </c>
      <c r="G45" s="40">
        <f>IF(RES_AB[[#This Row],[Reserva]]="","",IF(RES_AB[[#This Row],[Hora Int WMS]]&lt;Dados!$A$16,2,2))</f>
        <v>2</v>
      </c>
      <c r="H45" s="40" t="str">
        <f>IF(RES_AB[[#This Row],[Reserva]]="","",IFERROR(VLOOKUP(RES_AB[[#This Row],[Reserva]],Tabela3[[Reserva]:[Condição para Faturamento]],20,FALSE),"IMPORTADO COM SUCESSO"))</f>
        <v>PEDIDO EM LABORATORIO</v>
      </c>
      <c r="I45" s="38">
        <f>IF(RES_AB[[#This Row],[Data base]]="","",WORKDAY(RES_AB[[#This Row],[Data Reserva - Feriado e Fds]],RES_AB[[#This Row],[Dias para atendimento]],Feriados[Data]))</f>
        <v>45450</v>
      </c>
      <c r="J45" s="40" t="str">
        <f ca="1">IF(RES_AB[[#This Row],[Reserva]]="","",CONCATENATE("D+",NETWORKDAYS(RES_AB[[#This Row],[Data Reserva - Feriado e Fds]],TODAY(),Feriados[Data])-1))</f>
        <v>D+2</v>
      </c>
      <c r="K45" s="40" t="str">
        <f ca="1">IF(RES_AB[[#This Row],[Reserva]]="","",CONCATENATE(RES_AB[[#This Row],[Cen.]]," | ",RES_AB[[#This Row],[SLA2]]))</f>
        <v>11EU | D+2</v>
      </c>
      <c r="L45" s="40">
        <f ca="1">IF(RES_AB[[#This Row],[Reserva]]="","",IF(RES_AB[[#This Row],[SLA2]]=RES_AB[[#This Row],[Reserva]]="","",COUNTIF(MB25_VOLUMETRIA[Reserva],RES_AB[[#This Row],[Reserva]])))</f>
        <v>1</v>
      </c>
      <c r="M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" s="37" t="str">
        <f>IF(RES_AB[[#This Row],[Cen.]]="","",IFERROR(VLOOKUP(RES_AB[[#This Row],[Cen.]],Dados_Empresas[],2,FALSE),"Verificar empresa"))</f>
        <v>EMBRATEL</v>
      </c>
      <c r="P45" s="37" t="str">
        <f>IF(RES_AB[[#This Row],[Empresa]]="","",IF(OR(RES_AB[[#This Row],[Empresa]]="NET MASSIVO",RES_AB[[#This Row],[Empresa]]="NET PROJETOS"),"NET","EMPRESARIAL"))</f>
        <v>EMPRESARIAL</v>
      </c>
      <c r="Q45" s="37" t="str">
        <f>IF(RES_AB[[#This Row],[Reserva]]="","",IFERROR(VLOOKUP(RES_AB[[#This Row],[Reserva]],Tabela3[[Reserva]:[Descrição do status]],18,FALSE),"CONVENCIONAL"))</f>
        <v>CONVENCIONAL</v>
      </c>
    </row>
    <row r="46" spans="1:17" x14ac:dyDescent="0.25">
      <c r="A46" s="37">
        <v>4382285</v>
      </c>
      <c r="B46" s="37" t="s">
        <v>17</v>
      </c>
      <c r="C46" s="38" t="s">
        <v>17</v>
      </c>
      <c r="D46" s="38">
        <v>45449</v>
      </c>
      <c r="E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46" s="39">
        <f>IFERROR(VLOOKUP(RES_AB[[#This Row],[Reserva]],Tabela8[[Reserva]:[Usuário]],7,FALSE),Dados!$A$17)</f>
        <v>0.39687499999999998</v>
      </c>
      <c r="G46" s="40">
        <f>IF(RES_AB[[#This Row],[Reserva]]="","",IF(RES_AB[[#This Row],[Hora Int WMS]]&lt;Dados!$A$16,2,2))</f>
        <v>2</v>
      </c>
      <c r="H46" s="40" t="str">
        <f>IF(RES_AB[[#This Row],[Reserva]]="","",IFERROR(VLOOKUP(RES_AB[[#This Row],[Reserva]],Tabela3[[Reserva]:[Condição para Faturamento]],20,FALSE),"IMPORTADO COM SUCESSO"))</f>
        <v>AGUARDANDO SEPARAÇÃO</v>
      </c>
      <c r="I46" s="38">
        <f>IF(RES_AB[[#This Row],[Data base]]="","",WORKDAY(RES_AB[[#This Row],[Data Reserva - Feriado e Fds]],RES_AB[[#This Row],[Dias para atendimento]],Feriados[Data]))</f>
        <v>45453</v>
      </c>
      <c r="J46" s="40" t="str">
        <f ca="1">IF(RES_AB[[#This Row],[Reserva]]="","",CONCATENATE("D+",NETWORKDAYS(RES_AB[[#This Row],[Data Reserva - Feriado e Fds]],TODAY(),Feriados[Data])-1))</f>
        <v>D+1</v>
      </c>
      <c r="K46" s="40" t="str">
        <f ca="1">IF(RES_AB[[#This Row],[Reserva]]="","",CONCATENATE(RES_AB[[#This Row],[Cen.]]," | ",RES_AB[[#This Row],[SLA2]]))</f>
        <v>11EU | D+1</v>
      </c>
      <c r="L46" s="40">
        <f ca="1">IF(RES_AB[[#This Row],[Reserva]]="","",IF(RES_AB[[#This Row],[SLA2]]=RES_AB[[#This Row],[Reserva]]="","",COUNTIF(MB25_VOLUMETRIA[Reserva],RES_AB[[#This Row],[Reserva]])))</f>
        <v>1</v>
      </c>
      <c r="M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46" s="37" t="str">
        <f>IF(RES_AB[[#This Row],[Cen.]]="","",IFERROR(VLOOKUP(RES_AB[[#This Row],[Cen.]],Dados_Empresas[],2,FALSE),"Verificar empresa"))</f>
        <v>EMBRATEL</v>
      </c>
      <c r="P46" s="37" t="str">
        <f>IF(RES_AB[[#This Row],[Empresa]]="","",IF(OR(RES_AB[[#This Row],[Empresa]]="NET MASSIVO",RES_AB[[#This Row],[Empresa]]="NET PROJETOS"),"NET","EMPRESARIAL"))</f>
        <v>EMPRESARIAL</v>
      </c>
      <c r="Q46" s="37" t="str">
        <f>IF(RES_AB[[#This Row],[Reserva]]="","",IFERROR(VLOOKUP(RES_AB[[#This Row],[Reserva]],Tabela3[[Reserva]:[Descrição do status]],18,FALSE),"CONVENCIONAL"))</f>
        <v>CONVENCIONAL</v>
      </c>
    </row>
    <row r="47" spans="1:17" x14ac:dyDescent="0.25">
      <c r="A47" s="37">
        <v>4382701</v>
      </c>
      <c r="B47" s="37" t="s">
        <v>17</v>
      </c>
      <c r="C47" s="38" t="s">
        <v>17</v>
      </c>
      <c r="D47" s="38">
        <v>45449</v>
      </c>
      <c r="E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47" s="39">
        <f>IFERROR(VLOOKUP(RES_AB[[#This Row],[Reserva]],Tabela8[[Reserva]:[Usuário]],7,FALSE),Dados!$A$17)</f>
        <v>0.39699074074074076</v>
      </c>
      <c r="G47" s="40">
        <f>IF(RES_AB[[#This Row],[Reserva]]="","",IF(RES_AB[[#This Row],[Hora Int WMS]]&lt;Dados!$A$16,2,2))</f>
        <v>2</v>
      </c>
      <c r="H47" s="40" t="str">
        <f>IF(RES_AB[[#This Row],[Reserva]]="","",IFERROR(VLOOKUP(RES_AB[[#This Row],[Reserva]],Tabela3[[Reserva]:[Condição para Faturamento]],20,FALSE),"IMPORTADO COM SUCESSO"))</f>
        <v>AGUARDANDO SEPARAÇÃO</v>
      </c>
      <c r="I47" s="38">
        <f>IF(RES_AB[[#This Row],[Data base]]="","",WORKDAY(RES_AB[[#This Row],[Data Reserva - Feriado e Fds]],RES_AB[[#This Row],[Dias para atendimento]],Feriados[Data]))</f>
        <v>45453</v>
      </c>
      <c r="J47" s="40" t="str">
        <f ca="1">IF(RES_AB[[#This Row],[Reserva]]="","",CONCATENATE("D+",NETWORKDAYS(RES_AB[[#This Row],[Data Reserva - Feriado e Fds]],TODAY(),Feriados[Data])-1))</f>
        <v>D+1</v>
      </c>
      <c r="K47" s="40" t="str">
        <f ca="1">IF(RES_AB[[#This Row],[Reserva]]="","",CONCATENATE(RES_AB[[#This Row],[Cen.]]," | ",RES_AB[[#This Row],[SLA2]]))</f>
        <v>11EU | D+1</v>
      </c>
      <c r="L47" s="40">
        <f ca="1">IF(RES_AB[[#This Row],[Reserva]]="","",IF(RES_AB[[#This Row],[SLA2]]=RES_AB[[#This Row],[Reserva]]="","",COUNTIF(MB25_VOLUMETRIA[Reserva],RES_AB[[#This Row],[Reserva]])))</f>
        <v>1</v>
      </c>
      <c r="M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47" s="37" t="str">
        <f>IF(RES_AB[[#This Row],[Cen.]]="","",IFERROR(VLOOKUP(RES_AB[[#This Row],[Cen.]],Dados_Empresas[],2,FALSE),"Verificar empresa"))</f>
        <v>EMBRATEL</v>
      </c>
      <c r="P47" s="37" t="str">
        <f>IF(RES_AB[[#This Row],[Empresa]]="","",IF(OR(RES_AB[[#This Row],[Empresa]]="NET MASSIVO",RES_AB[[#This Row],[Empresa]]="NET PROJETOS"),"NET","EMPRESARIAL"))</f>
        <v>EMPRESARIAL</v>
      </c>
      <c r="Q47" s="37" t="str">
        <f>IF(RES_AB[[#This Row],[Reserva]]="","",IFERROR(VLOOKUP(RES_AB[[#This Row],[Reserva]],Tabela3[[Reserva]:[Descrição do status]],18,FALSE),"CONVENCIONAL"))</f>
        <v>CONVENCIONAL</v>
      </c>
    </row>
    <row r="48" spans="1:17" x14ac:dyDescent="0.25">
      <c r="A48" s="37">
        <v>4382702</v>
      </c>
      <c r="B48" s="37" t="s">
        <v>17</v>
      </c>
      <c r="C48" s="38" t="s">
        <v>17</v>
      </c>
      <c r="D48" s="38">
        <v>45449</v>
      </c>
      <c r="E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48" s="39">
        <f>IFERROR(VLOOKUP(RES_AB[[#This Row],[Reserva]],Tabela8[[Reserva]:[Usuário]],7,FALSE),Dados!$A$17)</f>
        <v>0.39699074074074076</v>
      </c>
      <c r="G48" s="40">
        <f>IF(RES_AB[[#This Row],[Reserva]]="","",IF(RES_AB[[#This Row],[Hora Int WMS]]&lt;Dados!$A$16,2,2))</f>
        <v>2</v>
      </c>
      <c r="H48" s="40" t="str">
        <f>IF(RES_AB[[#This Row],[Reserva]]="","",IFERROR(VLOOKUP(RES_AB[[#This Row],[Reserva]],Tabela3[[Reserva]:[Condição para Faturamento]],20,FALSE),"IMPORTADO COM SUCESSO"))</f>
        <v>EM RESSUPRIMENTO</v>
      </c>
      <c r="I48" s="38">
        <f>IF(RES_AB[[#This Row],[Data base]]="","",WORKDAY(RES_AB[[#This Row],[Data Reserva - Feriado e Fds]],RES_AB[[#This Row],[Dias para atendimento]],Feriados[Data]))</f>
        <v>45453</v>
      </c>
      <c r="J48" s="40" t="str">
        <f ca="1">IF(RES_AB[[#This Row],[Reserva]]="","",CONCATENATE("D+",NETWORKDAYS(RES_AB[[#This Row],[Data Reserva - Feriado e Fds]],TODAY(),Feriados[Data])-1))</f>
        <v>D+1</v>
      </c>
      <c r="K48" s="40" t="str">
        <f ca="1">IF(RES_AB[[#This Row],[Reserva]]="","",CONCATENATE(RES_AB[[#This Row],[Cen.]]," | ",RES_AB[[#This Row],[SLA2]]))</f>
        <v>11EU | D+1</v>
      </c>
      <c r="L48" s="40">
        <f ca="1">IF(RES_AB[[#This Row],[Reserva]]="","",IF(RES_AB[[#This Row],[SLA2]]=RES_AB[[#This Row],[Reserva]]="","",COUNTIF(MB25_VOLUMETRIA[Reserva],RES_AB[[#This Row],[Reserva]])))</f>
        <v>1</v>
      </c>
      <c r="M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48" s="37" t="str">
        <f>IF(RES_AB[[#This Row],[Cen.]]="","",IFERROR(VLOOKUP(RES_AB[[#This Row],[Cen.]],Dados_Empresas[],2,FALSE),"Verificar empresa"))</f>
        <v>EMBRATEL</v>
      </c>
      <c r="P48" s="37" t="str">
        <f>IF(RES_AB[[#This Row],[Empresa]]="","",IF(OR(RES_AB[[#This Row],[Empresa]]="NET MASSIVO",RES_AB[[#This Row],[Empresa]]="NET PROJETOS"),"NET","EMPRESARIAL"))</f>
        <v>EMPRESARIAL</v>
      </c>
      <c r="Q48" s="37" t="str">
        <f>IF(RES_AB[[#This Row],[Reserva]]="","",IFERROR(VLOOKUP(RES_AB[[#This Row],[Reserva]],Tabela3[[Reserva]:[Descrição do status]],18,FALSE),"CONVENCIONAL"))</f>
        <v>CONVENCIONAL</v>
      </c>
    </row>
    <row r="49" spans="1:17" x14ac:dyDescent="0.25">
      <c r="A49" s="37">
        <v>4382703</v>
      </c>
      <c r="B49" s="37" t="s">
        <v>17</v>
      </c>
      <c r="C49" s="38" t="s">
        <v>17</v>
      </c>
      <c r="D49" s="38">
        <v>45449</v>
      </c>
      <c r="E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49" s="39">
        <f>IFERROR(VLOOKUP(RES_AB[[#This Row],[Reserva]],Tabela8[[Reserva]:[Usuário]],7,FALSE),Dados!$A$17)</f>
        <v>0.39710648148148148</v>
      </c>
      <c r="G49" s="40">
        <f>IF(RES_AB[[#This Row],[Reserva]]="","",IF(RES_AB[[#This Row],[Hora Int WMS]]&lt;Dados!$A$16,2,2))</f>
        <v>2</v>
      </c>
      <c r="H49" s="40" t="str">
        <f>IF(RES_AB[[#This Row],[Reserva]]="","",IFERROR(VLOOKUP(RES_AB[[#This Row],[Reserva]],Tabela3[[Reserva]:[Condição para Faturamento]],20,FALSE),"IMPORTADO COM SUCESSO"))</f>
        <v>EM RESSUPRIMENTO</v>
      </c>
      <c r="I49" s="38">
        <f>IF(RES_AB[[#This Row],[Data base]]="","",WORKDAY(RES_AB[[#This Row],[Data Reserva - Feriado e Fds]],RES_AB[[#This Row],[Dias para atendimento]],Feriados[Data]))</f>
        <v>45453</v>
      </c>
      <c r="J49" s="40" t="str">
        <f ca="1">IF(RES_AB[[#This Row],[Reserva]]="","",CONCATENATE("D+",NETWORKDAYS(RES_AB[[#This Row],[Data Reserva - Feriado e Fds]],TODAY(),Feriados[Data])-1))</f>
        <v>D+1</v>
      </c>
      <c r="K49" s="40" t="str">
        <f ca="1">IF(RES_AB[[#This Row],[Reserva]]="","",CONCATENATE(RES_AB[[#This Row],[Cen.]]," | ",RES_AB[[#This Row],[SLA2]]))</f>
        <v>11EU | D+1</v>
      </c>
      <c r="L49" s="40">
        <f ca="1">IF(RES_AB[[#This Row],[Reserva]]="","",IF(RES_AB[[#This Row],[SLA2]]=RES_AB[[#This Row],[Reserva]]="","",COUNTIF(MB25_VOLUMETRIA[Reserva],RES_AB[[#This Row],[Reserva]])))</f>
        <v>1</v>
      </c>
      <c r="M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49" s="37" t="str">
        <f>IF(RES_AB[[#This Row],[Cen.]]="","",IFERROR(VLOOKUP(RES_AB[[#This Row],[Cen.]],Dados_Empresas[],2,FALSE),"Verificar empresa"))</f>
        <v>EMBRATEL</v>
      </c>
      <c r="P49" s="37" t="str">
        <f>IF(RES_AB[[#This Row],[Empresa]]="","",IF(OR(RES_AB[[#This Row],[Empresa]]="NET MASSIVO",RES_AB[[#This Row],[Empresa]]="NET PROJETOS"),"NET","EMPRESARIAL"))</f>
        <v>EMPRESARIAL</v>
      </c>
      <c r="Q49" s="37" t="str">
        <f>IF(RES_AB[[#This Row],[Reserva]]="","",IFERROR(VLOOKUP(RES_AB[[#This Row],[Reserva]],Tabela3[[Reserva]:[Descrição do status]],18,FALSE),"CONVENCIONAL"))</f>
        <v>CONVENCIONAL</v>
      </c>
    </row>
    <row r="50" spans="1:17" x14ac:dyDescent="0.25">
      <c r="A50" s="37">
        <v>4382704</v>
      </c>
      <c r="B50" s="37" t="s">
        <v>17</v>
      </c>
      <c r="C50" s="38" t="s">
        <v>17</v>
      </c>
      <c r="D50" s="38">
        <v>45449</v>
      </c>
      <c r="E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0" s="39">
        <f>IFERROR(VLOOKUP(RES_AB[[#This Row],[Reserva]],Tabela8[[Reserva]:[Usuário]],7,FALSE),Dados!$A$17)</f>
        <v>0.39710648148148148</v>
      </c>
      <c r="G50" s="40">
        <f>IF(RES_AB[[#This Row],[Reserva]]="","",IF(RES_AB[[#This Row],[Hora Int WMS]]&lt;Dados!$A$16,2,2))</f>
        <v>2</v>
      </c>
      <c r="H50" s="40" t="str">
        <f>IF(RES_AB[[#This Row],[Reserva]]="","",IFERROR(VLOOKUP(RES_AB[[#This Row],[Reserva]],Tabela3[[Reserva]:[Condição para Faturamento]],20,FALSE),"IMPORTADO COM SUCESSO"))</f>
        <v>EM RESSUPRIMENTO</v>
      </c>
      <c r="I50" s="38">
        <f>IF(RES_AB[[#This Row],[Data base]]="","",WORKDAY(RES_AB[[#This Row],[Data Reserva - Feriado e Fds]],RES_AB[[#This Row],[Dias para atendimento]],Feriados[Data]))</f>
        <v>45453</v>
      </c>
      <c r="J50" s="40" t="str">
        <f ca="1">IF(RES_AB[[#This Row],[Reserva]]="","",CONCATENATE("D+",NETWORKDAYS(RES_AB[[#This Row],[Data Reserva - Feriado e Fds]],TODAY(),Feriados[Data])-1))</f>
        <v>D+1</v>
      </c>
      <c r="K50" s="40" t="str">
        <f ca="1">IF(RES_AB[[#This Row],[Reserva]]="","",CONCATENATE(RES_AB[[#This Row],[Cen.]]," | ",RES_AB[[#This Row],[SLA2]]))</f>
        <v>11EU | D+1</v>
      </c>
      <c r="L50" s="40">
        <f ca="1">IF(RES_AB[[#This Row],[Reserva]]="","",IF(RES_AB[[#This Row],[SLA2]]=RES_AB[[#This Row],[Reserva]]="","",COUNTIF(MB25_VOLUMETRIA[Reserva],RES_AB[[#This Row],[Reserva]])))</f>
        <v>1</v>
      </c>
      <c r="M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0" s="37" t="str">
        <f>IF(RES_AB[[#This Row],[Cen.]]="","",IFERROR(VLOOKUP(RES_AB[[#This Row],[Cen.]],Dados_Empresas[],2,FALSE),"Verificar empresa"))</f>
        <v>EMBRATEL</v>
      </c>
      <c r="P50" s="37" t="str">
        <f>IF(RES_AB[[#This Row],[Empresa]]="","",IF(OR(RES_AB[[#This Row],[Empresa]]="NET MASSIVO",RES_AB[[#This Row],[Empresa]]="NET PROJETOS"),"NET","EMPRESARIAL"))</f>
        <v>EMPRESARIAL</v>
      </c>
      <c r="Q50" s="37" t="str">
        <f>IF(RES_AB[[#This Row],[Reserva]]="","",IFERROR(VLOOKUP(RES_AB[[#This Row],[Reserva]],Tabela3[[Reserva]:[Descrição do status]],18,FALSE),"CONVENCIONAL"))</f>
        <v>CONVENCIONAL</v>
      </c>
    </row>
    <row r="51" spans="1:17" x14ac:dyDescent="0.25">
      <c r="A51" s="37">
        <v>4382705</v>
      </c>
      <c r="B51" s="37" t="s">
        <v>17</v>
      </c>
      <c r="C51" s="38" t="s">
        <v>17</v>
      </c>
      <c r="D51" s="38">
        <v>45449</v>
      </c>
      <c r="E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1" s="39">
        <f>IFERROR(VLOOKUP(RES_AB[[#This Row],[Reserva]],Tabela8[[Reserva]:[Usuário]],7,FALSE),Dados!$A$17)</f>
        <v>0.3972222222222222</v>
      </c>
      <c r="G51" s="40">
        <f>IF(RES_AB[[#This Row],[Reserva]]="","",IF(RES_AB[[#This Row],[Hora Int WMS]]&lt;Dados!$A$16,2,2))</f>
        <v>2</v>
      </c>
      <c r="H51" s="40" t="str">
        <f>IF(RES_AB[[#This Row],[Reserva]]="","",IFERROR(VLOOKUP(RES_AB[[#This Row],[Reserva]],Tabela3[[Reserva]:[Condição para Faturamento]],20,FALSE),"IMPORTADO COM SUCESSO"))</f>
        <v>EM RESSUPRIMENTO</v>
      </c>
      <c r="I51" s="38">
        <f>IF(RES_AB[[#This Row],[Data base]]="","",WORKDAY(RES_AB[[#This Row],[Data Reserva - Feriado e Fds]],RES_AB[[#This Row],[Dias para atendimento]],Feriados[Data]))</f>
        <v>45453</v>
      </c>
      <c r="J51" s="40" t="str">
        <f ca="1">IF(RES_AB[[#This Row],[Reserva]]="","",CONCATENATE("D+",NETWORKDAYS(RES_AB[[#This Row],[Data Reserva - Feriado e Fds]],TODAY(),Feriados[Data])-1))</f>
        <v>D+1</v>
      </c>
      <c r="K51" s="40" t="str">
        <f ca="1">IF(RES_AB[[#This Row],[Reserva]]="","",CONCATENATE(RES_AB[[#This Row],[Cen.]]," | ",RES_AB[[#This Row],[SLA2]]))</f>
        <v>11EU | D+1</v>
      </c>
      <c r="L51" s="40">
        <f ca="1">IF(RES_AB[[#This Row],[Reserva]]="","",IF(RES_AB[[#This Row],[SLA2]]=RES_AB[[#This Row],[Reserva]]="","",COUNTIF(MB25_VOLUMETRIA[Reserva],RES_AB[[#This Row],[Reserva]])))</f>
        <v>1</v>
      </c>
      <c r="M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1" s="37" t="str">
        <f>IF(RES_AB[[#This Row],[Cen.]]="","",IFERROR(VLOOKUP(RES_AB[[#This Row],[Cen.]],Dados_Empresas[],2,FALSE),"Verificar empresa"))</f>
        <v>EMBRATEL</v>
      </c>
      <c r="P51" s="37" t="str">
        <f>IF(RES_AB[[#This Row],[Empresa]]="","",IF(OR(RES_AB[[#This Row],[Empresa]]="NET MASSIVO",RES_AB[[#This Row],[Empresa]]="NET PROJETOS"),"NET","EMPRESARIAL"))</f>
        <v>EMPRESARIAL</v>
      </c>
      <c r="Q51" s="37" t="str">
        <f>IF(RES_AB[[#This Row],[Reserva]]="","",IFERROR(VLOOKUP(RES_AB[[#This Row],[Reserva]],Tabela3[[Reserva]:[Descrição do status]],18,FALSE),"CONVENCIONAL"))</f>
        <v>CONVENCIONAL</v>
      </c>
    </row>
    <row r="52" spans="1:17" x14ac:dyDescent="0.25">
      <c r="A52" s="37">
        <v>4382717</v>
      </c>
      <c r="B52" s="37" t="s">
        <v>17</v>
      </c>
      <c r="C52" s="38" t="s">
        <v>17</v>
      </c>
      <c r="D52" s="38">
        <v>45449</v>
      </c>
      <c r="E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2" s="39">
        <f>IFERROR(VLOOKUP(RES_AB[[#This Row],[Reserva]],Tabela8[[Reserva]:[Usuário]],7,FALSE),Dados!$A$17)</f>
        <v>0.3972222222222222</v>
      </c>
      <c r="G52" s="40">
        <f>IF(RES_AB[[#This Row],[Reserva]]="","",IF(RES_AB[[#This Row],[Hora Int WMS]]&lt;Dados!$A$16,2,2))</f>
        <v>2</v>
      </c>
      <c r="H52" s="40" t="str">
        <f>IF(RES_AB[[#This Row],[Reserva]]="","",IFERROR(VLOOKUP(RES_AB[[#This Row],[Reserva]],Tabela3[[Reserva]:[Condição para Faturamento]],20,FALSE),"IMPORTADO COM SUCESSO"))</f>
        <v>PEDIDO EM LABORATORIO</v>
      </c>
      <c r="I52" s="38">
        <f>IF(RES_AB[[#This Row],[Data base]]="","",WORKDAY(RES_AB[[#This Row],[Data Reserva - Feriado e Fds]],RES_AB[[#This Row],[Dias para atendimento]],Feriados[Data]))</f>
        <v>45453</v>
      </c>
      <c r="J52" s="40" t="str">
        <f ca="1">IF(RES_AB[[#This Row],[Reserva]]="","",CONCATENATE("D+",NETWORKDAYS(RES_AB[[#This Row],[Data Reserva - Feriado e Fds]],TODAY(),Feriados[Data])-1))</f>
        <v>D+1</v>
      </c>
      <c r="K52" s="40" t="str">
        <f ca="1">IF(RES_AB[[#This Row],[Reserva]]="","",CONCATENATE(RES_AB[[#This Row],[Cen.]]," | ",RES_AB[[#This Row],[SLA2]]))</f>
        <v>11EU | D+1</v>
      </c>
      <c r="L52" s="40">
        <f ca="1">IF(RES_AB[[#This Row],[Reserva]]="","",IF(RES_AB[[#This Row],[SLA2]]=RES_AB[[#This Row],[Reserva]]="","",COUNTIF(MB25_VOLUMETRIA[Reserva],RES_AB[[#This Row],[Reserva]])))</f>
        <v>1</v>
      </c>
      <c r="M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LAB|EMBRATEL</v>
      </c>
      <c r="N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2" s="37" t="str">
        <f>IF(RES_AB[[#This Row],[Cen.]]="","",IFERROR(VLOOKUP(RES_AB[[#This Row],[Cen.]],Dados_Empresas[],2,FALSE),"Verificar empresa"))</f>
        <v>EMBRATEL</v>
      </c>
      <c r="P52" s="37" t="str">
        <f>IF(RES_AB[[#This Row],[Empresa]]="","",IF(OR(RES_AB[[#This Row],[Empresa]]="NET MASSIVO",RES_AB[[#This Row],[Empresa]]="NET PROJETOS"),"NET","EMPRESARIAL"))</f>
        <v>EMPRESARIAL</v>
      </c>
      <c r="Q52" s="37" t="str">
        <f>IF(RES_AB[[#This Row],[Reserva]]="","",IFERROR(VLOOKUP(RES_AB[[#This Row],[Reserva]],Tabela3[[Reserva]:[Descrição do status]],18,FALSE),"CONVENCIONAL"))</f>
        <v>CONVENCIONAL</v>
      </c>
    </row>
    <row r="53" spans="1:17" x14ac:dyDescent="0.25">
      <c r="A53" s="37">
        <v>4382729</v>
      </c>
      <c r="B53" s="37" t="s">
        <v>17</v>
      </c>
      <c r="C53" s="38" t="s">
        <v>17</v>
      </c>
      <c r="D53" s="38">
        <v>45449</v>
      </c>
      <c r="E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" s="39">
        <f>IFERROR(VLOOKUP(RES_AB[[#This Row],[Reserva]],Tabela8[[Reserva]:[Usuário]],7,FALSE),Dados!$A$17)</f>
        <v>0.39733796296296298</v>
      </c>
      <c r="G53" s="40">
        <f>IF(RES_AB[[#This Row],[Reserva]]="","",IF(RES_AB[[#This Row],[Hora Int WMS]]&lt;Dados!$A$16,2,2))</f>
        <v>2</v>
      </c>
      <c r="H53" s="40" t="str">
        <f>IF(RES_AB[[#This Row],[Reserva]]="","",IFERROR(VLOOKUP(RES_AB[[#This Row],[Reserva]],Tabela3[[Reserva]:[Condição para Faturamento]],20,FALSE),"IMPORTADO COM SUCESSO"))</f>
        <v>EM SEPARAÇÃO</v>
      </c>
      <c r="I53" s="38">
        <f>IF(RES_AB[[#This Row],[Data base]]="","",WORKDAY(RES_AB[[#This Row],[Data Reserva - Feriado e Fds]],RES_AB[[#This Row],[Dias para atendimento]],Feriados[Data]))</f>
        <v>45453</v>
      </c>
      <c r="J53" s="40" t="str">
        <f ca="1">IF(RES_AB[[#This Row],[Reserva]]="","",CONCATENATE("D+",NETWORKDAYS(RES_AB[[#This Row],[Data Reserva - Feriado e Fds]],TODAY(),Feriados[Data])-1))</f>
        <v>D+1</v>
      </c>
      <c r="K53" s="40" t="str">
        <f ca="1">IF(RES_AB[[#This Row],[Reserva]]="","",CONCATENATE(RES_AB[[#This Row],[Cen.]]," | ",RES_AB[[#This Row],[SLA2]]))</f>
        <v>11EU | D+1</v>
      </c>
      <c r="L53" s="40">
        <f ca="1">IF(RES_AB[[#This Row],[Reserva]]="","",IF(RES_AB[[#This Row],[SLA2]]=RES_AB[[#This Row],[Reserva]]="","",COUNTIF(MB25_VOLUMETRIA[Reserva],RES_AB[[#This Row],[Reserva]])))</f>
        <v>1</v>
      </c>
      <c r="M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" s="37" t="str">
        <f>IF(RES_AB[[#This Row],[Cen.]]="","",IFERROR(VLOOKUP(RES_AB[[#This Row],[Cen.]],Dados_Empresas[],2,FALSE),"Verificar empresa"))</f>
        <v>EMBRATEL</v>
      </c>
      <c r="P53" s="37" t="str">
        <f>IF(RES_AB[[#This Row],[Empresa]]="","",IF(OR(RES_AB[[#This Row],[Empresa]]="NET MASSIVO",RES_AB[[#This Row],[Empresa]]="NET PROJETOS"),"NET","EMPRESARIAL"))</f>
        <v>EMPRESARIAL</v>
      </c>
      <c r="Q53" s="37" t="str">
        <f>IF(RES_AB[[#This Row],[Reserva]]="","",IFERROR(VLOOKUP(RES_AB[[#This Row],[Reserva]],Tabela3[[Reserva]:[Descrição do status]],18,FALSE),"CONVENCIONAL"))</f>
        <v>CONVENCIONAL</v>
      </c>
    </row>
    <row r="54" spans="1:17" x14ac:dyDescent="0.25">
      <c r="A54" s="37">
        <v>4382730</v>
      </c>
      <c r="B54" s="37" t="s">
        <v>17</v>
      </c>
      <c r="C54" s="38" t="s">
        <v>17</v>
      </c>
      <c r="D54" s="38">
        <v>45449</v>
      </c>
      <c r="E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" s="39">
        <f>IFERROR(VLOOKUP(RES_AB[[#This Row],[Reserva]],Tabela8[[Reserva]:[Usuário]],7,FALSE),Dados!$A$17)</f>
        <v>0.3974537037037037</v>
      </c>
      <c r="G54" s="40">
        <f>IF(RES_AB[[#This Row],[Reserva]]="","",IF(RES_AB[[#This Row],[Hora Int WMS]]&lt;Dados!$A$16,2,2))</f>
        <v>2</v>
      </c>
      <c r="H54" s="40" t="str">
        <f>IF(RES_AB[[#This Row],[Reserva]]="","",IFERROR(VLOOKUP(RES_AB[[#This Row],[Reserva]],Tabela3[[Reserva]:[Condição para Faturamento]],20,FALSE),"IMPORTADO COM SUCESSO"))</f>
        <v>AGUARDANDO SEPARAÇÃO</v>
      </c>
      <c r="I54" s="38">
        <f>IF(RES_AB[[#This Row],[Data base]]="","",WORKDAY(RES_AB[[#This Row],[Data Reserva - Feriado e Fds]],RES_AB[[#This Row],[Dias para atendimento]],Feriados[Data]))</f>
        <v>45453</v>
      </c>
      <c r="J54" s="40" t="str">
        <f ca="1">IF(RES_AB[[#This Row],[Reserva]]="","",CONCATENATE("D+",NETWORKDAYS(RES_AB[[#This Row],[Data Reserva - Feriado e Fds]],TODAY(),Feriados[Data])-1))</f>
        <v>D+1</v>
      </c>
      <c r="K54" s="40" t="str">
        <f ca="1">IF(RES_AB[[#This Row],[Reserva]]="","",CONCATENATE(RES_AB[[#This Row],[Cen.]]," | ",RES_AB[[#This Row],[SLA2]]))</f>
        <v>11EU | D+1</v>
      </c>
      <c r="L54" s="40">
        <f ca="1">IF(RES_AB[[#This Row],[Reserva]]="","",IF(RES_AB[[#This Row],[SLA2]]=RES_AB[[#This Row],[Reserva]]="","",COUNTIF(MB25_VOLUMETRIA[Reserva],RES_AB[[#This Row],[Reserva]])))</f>
        <v>1</v>
      </c>
      <c r="M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" s="37" t="str">
        <f>IF(RES_AB[[#This Row],[Cen.]]="","",IFERROR(VLOOKUP(RES_AB[[#This Row],[Cen.]],Dados_Empresas[],2,FALSE),"Verificar empresa"))</f>
        <v>EMBRATEL</v>
      </c>
      <c r="P54" s="37" t="str">
        <f>IF(RES_AB[[#This Row],[Empresa]]="","",IF(OR(RES_AB[[#This Row],[Empresa]]="NET MASSIVO",RES_AB[[#This Row],[Empresa]]="NET PROJETOS"),"NET","EMPRESARIAL"))</f>
        <v>EMPRESARIAL</v>
      </c>
      <c r="Q54" s="37" t="str">
        <f>IF(RES_AB[[#This Row],[Reserva]]="","",IFERROR(VLOOKUP(RES_AB[[#This Row],[Reserva]],Tabela3[[Reserva]:[Descrição do status]],18,FALSE),"CONVENCIONAL"))</f>
        <v>CONVENCIONAL</v>
      </c>
    </row>
    <row r="55" spans="1:17" x14ac:dyDescent="0.25">
      <c r="A55" s="37">
        <v>4382763</v>
      </c>
      <c r="B55" s="37" t="s">
        <v>17</v>
      </c>
      <c r="C55" s="38" t="s">
        <v>17</v>
      </c>
      <c r="D55" s="38">
        <v>45449</v>
      </c>
      <c r="E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" s="39">
        <f>IFERROR(VLOOKUP(RES_AB[[#This Row],[Reserva]],Tabela8[[Reserva]:[Usuário]],7,FALSE),Dados!$A$17)</f>
        <v>0.42395833333333333</v>
      </c>
      <c r="G55" s="40">
        <f>IF(RES_AB[[#This Row],[Reserva]]="","",IF(RES_AB[[#This Row],[Hora Int WMS]]&lt;Dados!$A$16,2,2))</f>
        <v>2</v>
      </c>
      <c r="H55" s="40" t="str">
        <f>IF(RES_AB[[#This Row],[Reserva]]="","",IFERROR(VLOOKUP(RES_AB[[#This Row],[Reserva]],Tabela3[[Reserva]:[Condição para Faturamento]],20,FALSE),"IMPORTADO COM SUCESSO"))</f>
        <v>EM RESSUPRIMENTO</v>
      </c>
      <c r="I55" s="38">
        <f>IF(RES_AB[[#This Row],[Data base]]="","",WORKDAY(RES_AB[[#This Row],[Data Reserva - Feriado e Fds]],RES_AB[[#This Row],[Dias para atendimento]],Feriados[Data]))</f>
        <v>45453</v>
      </c>
      <c r="J55" s="40" t="str">
        <f ca="1">IF(RES_AB[[#This Row],[Reserva]]="","",CONCATENATE("D+",NETWORKDAYS(RES_AB[[#This Row],[Data Reserva - Feriado e Fds]],TODAY(),Feriados[Data])-1))</f>
        <v>D+1</v>
      </c>
      <c r="K55" s="40" t="str">
        <f ca="1">IF(RES_AB[[#This Row],[Reserva]]="","",CONCATENATE(RES_AB[[#This Row],[Cen.]]," | ",RES_AB[[#This Row],[SLA2]]))</f>
        <v>11EU | D+1</v>
      </c>
      <c r="L55" s="40">
        <f ca="1">IF(RES_AB[[#This Row],[Reserva]]="","",IF(RES_AB[[#This Row],[SLA2]]=RES_AB[[#This Row],[Reserva]]="","",COUNTIF(MB25_VOLUMETRIA[Reserva],RES_AB[[#This Row],[Reserva]])))</f>
        <v>10</v>
      </c>
      <c r="M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" s="37" t="str">
        <f>IF(RES_AB[[#This Row],[Cen.]]="","",IFERROR(VLOOKUP(RES_AB[[#This Row],[Cen.]],Dados_Empresas[],2,FALSE),"Verificar empresa"))</f>
        <v>EMBRATEL</v>
      </c>
      <c r="P55" s="37" t="str">
        <f>IF(RES_AB[[#This Row],[Empresa]]="","",IF(OR(RES_AB[[#This Row],[Empresa]]="NET MASSIVO",RES_AB[[#This Row],[Empresa]]="NET PROJETOS"),"NET","EMPRESARIAL"))</f>
        <v>EMPRESARIAL</v>
      </c>
      <c r="Q55" s="37" t="str">
        <f>IF(RES_AB[[#This Row],[Reserva]]="","",IFERROR(VLOOKUP(RES_AB[[#This Row],[Reserva]],Tabela3[[Reserva]:[Descrição do status]],18,FALSE),"CONVENCIONAL"))</f>
        <v>CONVENCIONAL</v>
      </c>
    </row>
    <row r="56" spans="1:17" x14ac:dyDescent="0.25">
      <c r="A56" s="37">
        <v>4382773</v>
      </c>
      <c r="B56" s="37" t="s">
        <v>17</v>
      </c>
      <c r="C56" s="38" t="s">
        <v>17</v>
      </c>
      <c r="D56" s="38">
        <v>45449</v>
      </c>
      <c r="E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" s="39">
        <f>IFERROR(VLOOKUP(RES_AB[[#This Row],[Reserva]],Tabela8[[Reserva]:[Usuário]],7,FALSE),Dados!$A$17)</f>
        <v>0.42407407407407405</v>
      </c>
      <c r="G56" s="40">
        <f>IF(RES_AB[[#This Row],[Reserva]]="","",IF(RES_AB[[#This Row],[Hora Int WMS]]&lt;Dados!$A$16,2,2))</f>
        <v>2</v>
      </c>
      <c r="H56" s="40" t="str">
        <f>IF(RES_AB[[#This Row],[Reserva]]="","",IFERROR(VLOOKUP(RES_AB[[#This Row],[Reserva]],Tabela3[[Reserva]:[Condição para Faturamento]],20,FALSE),"IMPORTADO COM SUCESSO"))</f>
        <v>EM RESSUPRIMENTO</v>
      </c>
      <c r="I56" s="38">
        <f>IF(RES_AB[[#This Row],[Data base]]="","",WORKDAY(RES_AB[[#This Row],[Data Reserva - Feriado e Fds]],RES_AB[[#This Row],[Dias para atendimento]],Feriados[Data]))</f>
        <v>45453</v>
      </c>
      <c r="J56" s="40" t="str">
        <f ca="1">IF(RES_AB[[#This Row],[Reserva]]="","",CONCATENATE("D+",NETWORKDAYS(RES_AB[[#This Row],[Data Reserva - Feriado e Fds]],TODAY(),Feriados[Data])-1))</f>
        <v>D+1</v>
      </c>
      <c r="K56" s="40" t="str">
        <f ca="1">IF(RES_AB[[#This Row],[Reserva]]="","",CONCATENATE(RES_AB[[#This Row],[Cen.]]," | ",RES_AB[[#This Row],[SLA2]]))</f>
        <v>11EU | D+1</v>
      </c>
      <c r="L56" s="40">
        <f ca="1">IF(RES_AB[[#This Row],[Reserva]]="","",IF(RES_AB[[#This Row],[SLA2]]=RES_AB[[#This Row],[Reserva]]="","",COUNTIF(MB25_VOLUMETRIA[Reserva],RES_AB[[#This Row],[Reserva]])))</f>
        <v>8</v>
      </c>
      <c r="M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" s="37" t="str">
        <f>IF(RES_AB[[#This Row],[Cen.]]="","",IFERROR(VLOOKUP(RES_AB[[#This Row],[Cen.]],Dados_Empresas[],2,FALSE),"Verificar empresa"))</f>
        <v>EMBRATEL</v>
      </c>
      <c r="P56" s="37" t="str">
        <f>IF(RES_AB[[#This Row],[Empresa]]="","",IF(OR(RES_AB[[#This Row],[Empresa]]="NET MASSIVO",RES_AB[[#This Row],[Empresa]]="NET PROJETOS"),"NET","EMPRESARIAL"))</f>
        <v>EMPRESARIAL</v>
      </c>
      <c r="Q56" s="37" t="str">
        <f>IF(RES_AB[[#This Row],[Reserva]]="","",IFERROR(VLOOKUP(RES_AB[[#This Row],[Reserva]],Tabela3[[Reserva]:[Descrição do status]],18,FALSE),"CONVENCIONAL"))</f>
        <v>CONVENCIONAL</v>
      </c>
    </row>
    <row r="57" spans="1:17" x14ac:dyDescent="0.25">
      <c r="A57" s="37">
        <v>4382796</v>
      </c>
      <c r="B57" s="37" t="s">
        <v>17</v>
      </c>
      <c r="C57" s="38" t="s">
        <v>17</v>
      </c>
      <c r="D57" s="38">
        <v>45449</v>
      </c>
      <c r="E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" s="39">
        <f>IFERROR(VLOOKUP(RES_AB[[#This Row],[Reserva]],Tabela8[[Reserva]:[Usuário]],7,FALSE),Dados!$A$17)</f>
        <v>0.48726851851851855</v>
      </c>
      <c r="G57" s="40">
        <f>IF(RES_AB[[#This Row],[Reserva]]="","",IF(RES_AB[[#This Row],[Hora Int WMS]]&lt;Dados!$A$16,2,2))</f>
        <v>2</v>
      </c>
      <c r="H57" s="40" t="str">
        <f>IF(RES_AB[[#This Row],[Reserva]]="","",IFERROR(VLOOKUP(RES_AB[[#This Row],[Reserva]],Tabela3[[Reserva]:[Condição para Faturamento]],20,FALSE),"IMPORTADO COM SUCESSO"))</f>
        <v>AGUARDANDO SEPARAÇÃO</v>
      </c>
      <c r="I57" s="38">
        <f>IF(RES_AB[[#This Row],[Data base]]="","",WORKDAY(RES_AB[[#This Row],[Data Reserva - Feriado e Fds]],RES_AB[[#This Row],[Dias para atendimento]],Feriados[Data]))</f>
        <v>45453</v>
      </c>
      <c r="J57" s="40" t="str">
        <f ca="1">IF(RES_AB[[#This Row],[Reserva]]="","",CONCATENATE("D+",NETWORKDAYS(RES_AB[[#This Row],[Data Reserva - Feriado e Fds]],TODAY(),Feriados[Data])-1))</f>
        <v>D+1</v>
      </c>
      <c r="K57" s="40" t="str">
        <f ca="1">IF(RES_AB[[#This Row],[Reserva]]="","",CONCATENATE(RES_AB[[#This Row],[Cen.]]," | ",RES_AB[[#This Row],[SLA2]]))</f>
        <v>11EU | D+1</v>
      </c>
      <c r="L57" s="40">
        <f ca="1">IF(RES_AB[[#This Row],[Reserva]]="","",IF(RES_AB[[#This Row],[SLA2]]=RES_AB[[#This Row],[Reserva]]="","",COUNTIF(MB25_VOLUMETRIA[Reserva],RES_AB[[#This Row],[Reserva]])))</f>
        <v>1</v>
      </c>
      <c r="M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" s="37" t="str">
        <f>IF(RES_AB[[#This Row],[Cen.]]="","",IFERROR(VLOOKUP(RES_AB[[#This Row],[Cen.]],Dados_Empresas[],2,FALSE),"Verificar empresa"))</f>
        <v>EMBRATEL</v>
      </c>
      <c r="P57" s="37" t="str">
        <f>IF(RES_AB[[#This Row],[Empresa]]="","",IF(OR(RES_AB[[#This Row],[Empresa]]="NET MASSIVO",RES_AB[[#This Row],[Empresa]]="NET PROJETOS"),"NET","EMPRESARIAL"))</f>
        <v>EMPRESARIAL</v>
      </c>
      <c r="Q57" s="37" t="str">
        <f>IF(RES_AB[[#This Row],[Reserva]]="","",IFERROR(VLOOKUP(RES_AB[[#This Row],[Reserva]],Tabela3[[Reserva]:[Descrição do status]],18,FALSE),"CONVENCIONAL"))</f>
        <v>CONVENCIONAL</v>
      </c>
    </row>
    <row r="58" spans="1:17" x14ac:dyDescent="0.25">
      <c r="A58" s="37">
        <v>4382798</v>
      </c>
      <c r="B58" s="37" t="s">
        <v>17</v>
      </c>
      <c r="C58" s="38" t="s">
        <v>17</v>
      </c>
      <c r="D58" s="38">
        <v>45449</v>
      </c>
      <c r="E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" s="39">
        <f>IFERROR(VLOOKUP(RES_AB[[#This Row],[Reserva]],Tabela8[[Reserva]:[Usuário]],7,FALSE),Dados!$A$17)</f>
        <v>0.48726851851851855</v>
      </c>
      <c r="G58" s="40">
        <f>IF(RES_AB[[#This Row],[Reserva]]="","",IF(RES_AB[[#This Row],[Hora Int WMS]]&lt;Dados!$A$16,2,2))</f>
        <v>2</v>
      </c>
      <c r="H58" s="40" t="str">
        <f>IF(RES_AB[[#This Row],[Reserva]]="","",IFERROR(VLOOKUP(RES_AB[[#This Row],[Reserva]],Tabela3[[Reserva]:[Condição para Faturamento]],20,FALSE),"IMPORTADO COM SUCESSO"))</f>
        <v>EM RESSUPRIMENTO</v>
      </c>
      <c r="I58" s="38">
        <f>IF(RES_AB[[#This Row],[Data base]]="","",WORKDAY(RES_AB[[#This Row],[Data Reserva - Feriado e Fds]],RES_AB[[#This Row],[Dias para atendimento]],Feriados[Data]))</f>
        <v>45453</v>
      </c>
      <c r="J58" s="40" t="str">
        <f ca="1">IF(RES_AB[[#This Row],[Reserva]]="","",CONCATENATE("D+",NETWORKDAYS(RES_AB[[#This Row],[Data Reserva - Feriado e Fds]],TODAY(),Feriados[Data])-1))</f>
        <v>D+1</v>
      </c>
      <c r="K58" s="40" t="str">
        <f ca="1">IF(RES_AB[[#This Row],[Reserva]]="","",CONCATENATE(RES_AB[[#This Row],[Cen.]]," | ",RES_AB[[#This Row],[SLA2]]))</f>
        <v>11EU | D+1</v>
      </c>
      <c r="L58" s="40">
        <f ca="1">IF(RES_AB[[#This Row],[Reserva]]="","",IF(RES_AB[[#This Row],[SLA2]]=RES_AB[[#This Row],[Reserva]]="","",COUNTIF(MB25_VOLUMETRIA[Reserva],RES_AB[[#This Row],[Reserva]])))</f>
        <v>1</v>
      </c>
      <c r="M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" s="37" t="str">
        <f>IF(RES_AB[[#This Row],[Cen.]]="","",IFERROR(VLOOKUP(RES_AB[[#This Row],[Cen.]],Dados_Empresas[],2,FALSE),"Verificar empresa"))</f>
        <v>EMBRATEL</v>
      </c>
      <c r="P58" s="37" t="str">
        <f>IF(RES_AB[[#This Row],[Empresa]]="","",IF(OR(RES_AB[[#This Row],[Empresa]]="NET MASSIVO",RES_AB[[#This Row],[Empresa]]="NET PROJETOS"),"NET","EMPRESARIAL"))</f>
        <v>EMPRESARIAL</v>
      </c>
      <c r="Q58" s="37" t="str">
        <f>IF(RES_AB[[#This Row],[Reserva]]="","",IFERROR(VLOOKUP(RES_AB[[#This Row],[Reserva]],Tabela3[[Reserva]:[Descrição do status]],18,FALSE),"CONVENCIONAL"))</f>
        <v>CONVENCIONAL</v>
      </c>
    </row>
    <row r="59" spans="1:17" x14ac:dyDescent="0.25">
      <c r="A59" s="37">
        <v>4382799</v>
      </c>
      <c r="B59" s="37" t="s">
        <v>17</v>
      </c>
      <c r="C59" s="38" t="s">
        <v>17</v>
      </c>
      <c r="D59" s="38">
        <v>45449</v>
      </c>
      <c r="E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" s="39">
        <f>IFERROR(VLOOKUP(RES_AB[[#This Row],[Reserva]],Tabela8[[Reserva]:[Usuário]],7,FALSE),Dados!$A$17)</f>
        <v>0.48738425925925927</v>
      </c>
      <c r="G59" s="40">
        <f>IF(RES_AB[[#This Row],[Reserva]]="","",IF(RES_AB[[#This Row],[Hora Int WMS]]&lt;Dados!$A$16,2,2))</f>
        <v>2</v>
      </c>
      <c r="H59" s="40" t="str">
        <f>IF(RES_AB[[#This Row],[Reserva]]="","",IFERROR(VLOOKUP(RES_AB[[#This Row],[Reserva]],Tabela3[[Reserva]:[Condição para Faturamento]],20,FALSE),"IMPORTADO COM SUCESSO"))</f>
        <v>EM RESSUPRIMENTO</v>
      </c>
      <c r="I59" s="38">
        <f>IF(RES_AB[[#This Row],[Data base]]="","",WORKDAY(RES_AB[[#This Row],[Data Reserva - Feriado e Fds]],RES_AB[[#This Row],[Dias para atendimento]],Feriados[Data]))</f>
        <v>45453</v>
      </c>
      <c r="J59" s="40" t="str">
        <f ca="1">IF(RES_AB[[#This Row],[Reserva]]="","",CONCATENATE("D+",NETWORKDAYS(RES_AB[[#This Row],[Data Reserva - Feriado e Fds]],TODAY(),Feriados[Data])-1))</f>
        <v>D+1</v>
      </c>
      <c r="K59" s="40" t="str">
        <f ca="1">IF(RES_AB[[#This Row],[Reserva]]="","",CONCATENATE(RES_AB[[#This Row],[Cen.]]," | ",RES_AB[[#This Row],[SLA2]]))</f>
        <v>11EU | D+1</v>
      </c>
      <c r="L59" s="40">
        <f ca="1">IF(RES_AB[[#This Row],[Reserva]]="","",IF(RES_AB[[#This Row],[SLA2]]=RES_AB[[#This Row],[Reserva]]="","",COUNTIF(MB25_VOLUMETRIA[Reserva],RES_AB[[#This Row],[Reserva]])))</f>
        <v>1</v>
      </c>
      <c r="M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" s="37" t="str">
        <f>IF(RES_AB[[#This Row],[Cen.]]="","",IFERROR(VLOOKUP(RES_AB[[#This Row],[Cen.]],Dados_Empresas[],2,FALSE),"Verificar empresa"))</f>
        <v>EMBRATEL</v>
      </c>
      <c r="P59" s="37" t="str">
        <f>IF(RES_AB[[#This Row],[Empresa]]="","",IF(OR(RES_AB[[#This Row],[Empresa]]="NET MASSIVO",RES_AB[[#This Row],[Empresa]]="NET PROJETOS"),"NET","EMPRESARIAL"))</f>
        <v>EMPRESARIAL</v>
      </c>
      <c r="Q59" s="37" t="str">
        <f>IF(RES_AB[[#This Row],[Reserva]]="","",IFERROR(VLOOKUP(RES_AB[[#This Row],[Reserva]],Tabela3[[Reserva]:[Descrição do status]],18,FALSE),"CONVENCIONAL"))</f>
        <v>CONVENCIONAL</v>
      </c>
    </row>
    <row r="60" spans="1:17" x14ac:dyDescent="0.25">
      <c r="A60" s="37">
        <v>4382800</v>
      </c>
      <c r="B60" s="37" t="s">
        <v>17</v>
      </c>
      <c r="C60" s="38" t="s">
        <v>17</v>
      </c>
      <c r="D60" s="38">
        <v>45449</v>
      </c>
      <c r="E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" s="39">
        <f>IFERROR(VLOOKUP(RES_AB[[#This Row],[Reserva]],Tabela8[[Reserva]:[Usuário]],7,FALSE),Dados!$A$17)</f>
        <v>0.48738425925925927</v>
      </c>
      <c r="G60" s="40">
        <f>IF(RES_AB[[#This Row],[Reserva]]="","",IF(RES_AB[[#This Row],[Hora Int WMS]]&lt;Dados!$A$16,2,2))</f>
        <v>2</v>
      </c>
      <c r="H60" s="40" t="str">
        <f>IF(RES_AB[[#This Row],[Reserva]]="","",IFERROR(VLOOKUP(RES_AB[[#This Row],[Reserva]],Tabela3[[Reserva]:[Condição para Faturamento]],20,FALSE),"IMPORTADO COM SUCESSO"))</f>
        <v>AGUARDANDO SEPARAÇÃO</v>
      </c>
      <c r="I60" s="38">
        <f>IF(RES_AB[[#This Row],[Data base]]="","",WORKDAY(RES_AB[[#This Row],[Data Reserva - Feriado e Fds]],RES_AB[[#This Row],[Dias para atendimento]],Feriados[Data]))</f>
        <v>45453</v>
      </c>
      <c r="J60" s="40" t="str">
        <f ca="1">IF(RES_AB[[#This Row],[Reserva]]="","",CONCATENATE("D+",NETWORKDAYS(RES_AB[[#This Row],[Data Reserva - Feriado e Fds]],TODAY(),Feriados[Data])-1))</f>
        <v>D+1</v>
      </c>
      <c r="K60" s="40" t="str">
        <f ca="1">IF(RES_AB[[#This Row],[Reserva]]="","",CONCATENATE(RES_AB[[#This Row],[Cen.]]," | ",RES_AB[[#This Row],[SLA2]]))</f>
        <v>11EU | D+1</v>
      </c>
      <c r="L60" s="40">
        <f ca="1">IF(RES_AB[[#This Row],[Reserva]]="","",IF(RES_AB[[#This Row],[SLA2]]=RES_AB[[#This Row],[Reserva]]="","",COUNTIF(MB25_VOLUMETRIA[Reserva],RES_AB[[#This Row],[Reserva]])))</f>
        <v>2</v>
      </c>
      <c r="M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" s="37" t="str">
        <f>IF(RES_AB[[#This Row],[Cen.]]="","",IFERROR(VLOOKUP(RES_AB[[#This Row],[Cen.]],Dados_Empresas[],2,FALSE),"Verificar empresa"))</f>
        <v>EMBRATEL</v>
      </c>
      <c r="P60" s="37" t="str">
        <f>IF(RES_AB[[#This Row],[Empresa]]="","",IF(OR(RES_AB[[#This Row],[Empresa]]="NET MASSIVO",RES_AB[[#This Row],[Empresa]]="NET PROJETOS"),"NET","EMPRESARIAL"))</f>
        <v>EMPRESARIAL</v>
      </c>
      <c r="Q60" s="37" t="str">
        <f>IF(RES_AB[[#This Row],[Reserva]]="","",IFERROR(VLOOKUP(RES_AB[[#This Row],[Reserva]],Tabela3[[Reserva]:[Descrição do status]],18,FALSE),"CONVENCIONAL"))</f>
        <v>CONVENCIONAL</v>
      </c>
    </row>
    <row r="61" spans="1:17" x14ac:dyDescent="0.25">
      <c r="A61" s="37">
        <v>4382813</v>
      </c>
      <c r="B61" s="37" t="s">
        <v>17</v>
      </c>
      <c r="C61" s="38" t="s">
        <v>17</v>
      </c>
      <c r="D61" s="38">
        <v>45449</v>
      </c>
      <c r="E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" s="39">
        <f>IFERROR(VLOOKUP(RES_AB[[#This Row],[Reserva]],Tabela8[[Reserva]:[Usuário]],7,FALSE),Dados!$A$17)</f>
        <v>0.44189814814814815</v>
      </c>
      <c r="G61" s="40">
        <f>IF(RES_AB[[#This Row],[Reserva]]="","",IF(RES_AB[[#This Row],[Hora Int WMS]]&lt;Dados!$A$16,2,2))</f>
        <v>2</v>
      </c>
      <c r="H61" s="40" t="str">
        <f>IF(RES_AB[[#This Row],[Reserva]]="","",IFERROR(VLOOKUP(RES_AB[[#This Row],[Reserva]],Tabela3[[Reserva]:[Condição para Faturamento]],20,FALSE),"IMPORTADO COM SUCESSO"))</f>
        <v>AGUARDANDO SEPARAÇÃO</v>
      </c>
      <c r="I61" s="38">
        <f>IF(RES_AB[[#This Row],[Data base]]="","",WORKDAY(RES_AB[[#This Row],[Data Reserva - Feriado e Fds]],RES_AB[[#This Row],[Dias para atendimento]],Feriados[Data]))</f>
        <v>45453</v>
      </c>
      <c r="J61" s="40" t="str">
        <f ca="1">IF(RES_AB[[#This Row],[Reserva]]="","",CONCATENATE("D+",NETWORKDAYS(RES_AB[[#This Row],[Data Reserva - Feriado e Fds]],TODAY(),Feriados[Data])-1))</f>
        <v>D+1</v>
      </c>
      <c r="K61" s="40" t="str">
        <f ca="1">IF(RES_AB[[#This Row],[Reserva]]="","",CONCATENATE(RES_AB[[#This Row],[Cen.]]," | ",RES_AB[[#This Row],[SLA2]]))</f>
        <v>11EU | D+1</v>
      </c>
      <c r="L61" s="40">
        <f ca="1">IF(RES_AB[[#This Row],[Reserva]]="","",IF(RES_AB[[#This Row],[SLA2]]=RES_AB[[#This Row],[Reserva]]="","",COUNTIF(MB25_VOLUMETRIA[Reserva],RES_AB[[#This Row],[Reserva]])))</f>
        <v>1</v>
      </c>
      <c r="M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" s="37" t="str">
        <f>IF(RES_AB[[#This Row],[Cen.]]="","",IFERROR(VLOOKUP(RES_AB[[#This Row],[Cen.]],Dados_Empresas[],2,FALSE),"Verificar empresa"))</f>
        <v>EMBRATEL</v>
      </c>
      <c r="P61" s="37" t="str">
        <f>IF(RES_AB[[#This Row],[Empresa]]="","",IF(OR(RES_AB[[#This Row],[Empresa]]="NET MASSIVO",RES_AB[[#This Row],[Empresa]]="NET PROJETOS"),"NET","EMPRESARIAL"))</f>
        <v>EMPRESARIAL</v>
      </c>
      <c r="Q61" s="37" t="str">
        <f>IF(RES_AB[[#This Row],[Reserva]]="","",IFERROR(VLOOKUP(RES_AB[[#This Row],[Reserva]],Tabela3[[Reserva]:[Descrição do status]],18,FALSE),"CONVENCIONAL"))</f>
        <v>CONVENCIONAL</v>
      </c>
    </row>
    <row r="62" spans="1:17" x14ac:dyDescent="0.25">
      <c r="A62" s="37">
        <v>4382814</v>
      </c>
      <c r="B62" s="37" t="s">
        <v>17</v>
      </c>
      <c r="C62" s="38" t="s">
        <v>17</v>
      </c>
      <c r="D62" s="38">
        <v>45449</v>
      </c>
      <c r="E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" s="39">
        <f>IFERROR(VLOOKUP(RES_AB[[#This Row],[Reserva]],Tabela8[[Reserva]:[Usuário]],7,FALSE),Dados!$A$17)</f>
        <v>0.44201388888888887</v>
      </c>
      <c r="G62" s="40">
        <f>IF(RES_AB[[#This Row],[Reserva]]="","",IF(RES_AB[[#This Row],[Hora Int WMS]]&lt;Dados!$A$16,2,2))</f>
        <v>2</v>
      </c>
      <c r="H62" s="40" t="str">
        <f>IF(RES_AB[[#This Row],[Reserva]]="","",IFERROR(VLOOKUP(RES_AB[[#This Row],[Reserva]],Tabela3[[Reserva]:[Condição para Faturamento]],20,FALSE),"IMPORTADO COM SUCESSO"))</f>
        <v>AGUARDANDO SEPARAÇÃO</v>
      </c>
      <c r="I62" s="38">
        <f>IF(RES_AB[[#This Row],[Data base]]="","",WORKDAY(RES_AB[[#This Row],[Data Reserva - Feriado e Fds]],RES_AB[[#This Row],[Dias para atendimento]],Feriados[Data]))</f>
        <v>45453</v>
      </c>
      <c r="J62" s="40" t="str">
        <f ca="1">IF(RES_AB[[#This Row],[Reserva]]="","",CONCATENATE("D+",NETWORKDAYS(RES_AB[[#This Row],[Data Reserva - Feriado e Fds]],TODAY(),Feriados[Data])-1))</f>
        <v>D+1</v>
      </c>
      <c r="K62" s="40" t="str">
        <f ca="1">IF(RES_AB[[#This Row],[Reserva]]="","",CONCATENATE(RES_AB[[#This Row],[Cen.]]," | ",RES_AB[[#This Row],[SLA2]]))</f>
        <v>11EU | D+1</v>
      </c>
      <c r="L62" s="40">
        <f ca="1">IF(RES_AB[[#This Row],[Reserva]]="","",IF(RES_AB[[#This Row],[SLA2]]=RES_AB[[#This Row],[Reserva]]="","",COUNTIF(MB25_VOLUMETRIA[Reserva],RES_AB[[#This Row],[Reserva]])))</f>
        <v>1</v>
      </c>
      <c r="M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" s="37" t="str">
        <f>IF(RES_AB[[#This Row],[Cen.]]="","",IFERROR(VLOOKUP(RES_AB[[#This Row],[Cen.]],Dados_Empresas[],2,FALSE),"Verificar empresa"))</f>
        <v>EMBRATEL</v>
      </c>
      <c r="P62" s="37" t="str">
        <f>IF(RES_AB[[#This Row],[Empresa]]="","",IF(OR(RES_AB[[#This Row],[Empresa]]="NET MASSIVO",RES_AB[[#This Row],[Empresa]]="NET PROJETOS"),"NET","EMPRESARIAL"))</f>
        <v>EMPRESARIAL</v>
      </c>
      <c r="Q62" s="37" t="str">
        <f>IF(RES_AB[[#This Row],[Reserva]]="","",IFERROR(VLOOKUP(RES_AB[[#This Row],[Reserva]],Tabela3[[Reserva]:[Descrição do status]],18,FALSE),"CONVENCIONAL"))</f>
        <v>CONVENCIONAL</v>
      </c>
    </row>
    <row r="63" spans="1:17" x14ac:dyDescent="0.25">
      <c r="A63" s="37">
        <v>4382816</v>
      </c>
      <c r="B63" s="37" t="s">
        <v>17</v>
      </c>
      <c r="C63" s="38" t="s">
        <v>17</v>
      </c>
      <c r="D63" s="38">
        <v>45449</v>
      </c>
      <c r="E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" s="39">
        <f>IFERROR(VLOOKUP(RES_AB[[#This Row],[Reserva]],Tabela8[[Reserva]:[Usuário]],7,FALSE),Dados!$A$17)</f>
        <v>0.44201388888888887</v>
      </c>
      <c r="G63" s="40">
        <f>IF(RES_AB[[#This Row],[Reserva]]="","",IF(RES_AB[[#This Row],[Hora Int WMS]]&lt;Dados!$A$16,2,2))</f>
        <v>2</v>
      </c>
      <c r="H63" s="40" t="str">
        <f>IF(RES_AB[[#This Row],[Reserva]]="","",IFERROR(VLOOKUP(RES_AB[[#This Row],[Reserva]],Tabela3[[Reserva]:[Condição para Faturamento]],20,FALSE),"IMPORTADO COM SUCESSO"))</f>
        <v>AGUARDANDO SEPARAÇÃO</v>
      </c>
      <c r="I63" s="38">
        <f>IF(RES_AB[[#This Row],[Data base]]="","",WORKDAY(RES_AB[[#This Row],[Data Reserva - Feriado e Fds]],RES_AB[[#This Row],[Dias para atendimento]],Feriados[Data]))</f>
        <v>45453</v>
      </c>
      <c r="J63" s="40" t="str">
        <f ca="1">IF(RES_AB[[#This Row],[Reserva]]="","",CONCATENATE("D+",NETWORKDAYS(RES_AB[[#This Row],[Data Reserva - Feriado e Fds]],TODAY(),Feriados[Data])-1))</f>
        <v>D+1</v>
      </c>
      <c r="K63" s="40" t="str">
        <f ca="1">IF(RES_AB[[#This Row],[Reserva]]="","",CONCATENATE(RES_AB[[#This Row],[Cen.]]," | ",RES_AB[[#This Row],[SLA2]]))</f>
        <v>11EU | D+1</v>
      </c>
      <c r="L63" s="40">
        <f ca="1">IF(RES_AB[[#This Row],[Reserva]]="","",IF(RES_AB[[#This Row],[SLA2]]=RES_AB[[#This Row],[Reserva]]="","",COUNTIF(MB25_VOLUMETRIA[Reserva],RES_AB[[#This Row],[Reserva]])))</f>
        <v>1</v>
      </c>
      <c r="M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" s="37" t="str">
        <f>IF(RES_AB[[#This Row],[Cen.]]="","",IFERROR(VLOOKUP(RES_AB[[#This Row],[Cen.]],Dados_Empresas[],2,FALSE),"Verificar empresa"))</f>
        <v>EMBRATEL</v>
      </c>
      <c r="P63" s="37" t="str">
        <f>IF(RES_AB[[#This Row],[Empresa]]="","",IF(OR(RES_AB[[#This Row],[Empresa]]="NET MASSIVO",RES_AB[[#This Row],[Empresa]]="NET PROJETOS"),"NET","EMPRESARIAL"))</f>
        <v>EMPRESARIAL</v>
      </c>
      <c r="Q63" s="37" t="str">
        <f>IF(RES_AB[[#This Row],[Reserva]]="","",IFERROR(VLOOKUP(RES_AB[[#This Row],[Reserva]],Tabela3[[Reserva]:[Descrição do status]],18,FALSE),"CONVENCIONAL"))</f>
        <v>CONVENCIONAL</v>
      </c>
    </row>
    <row r="64" spans="1:17" x14ac:dyDescent="0.25">
      <c r="A64" s="37">
        <v>4382817</v>
      </c>
      <c r="B64" s="37" t="s">
        <v>17</v>
      </c>
      <c r="C64" s="38" t="s">
        <v>17</v>
      </c>
      <c r="D64" s="38">
        <v>45449</v>
      </c>
      <c r="E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" s="39">
        <f>IFERROR(VLOOKUP(RES_AB[[#This Row],[Reserva]],Tabela8[[Reserva]:[Usuário]],7,FALSE),Dados!$A$17)</f>
        <v>0.44201388888888887</v>
      </c>
      <c r="G64" s="40">
        <f>IF(RES_AB[[#This Row],[Reserva]]="","",IF(RES_AB[[#This Row],[Hora Int WMS]]&lt;Dados!$A$16,2,2))</f>
        <v>2</v>
      </c>
      <c r="H64" s="40" t="str">
        <f>IF(RES_AB[[#This Row],[Reserva]]="","",IFERROR(VLOOKUP(RES_AB[[#This Row],[Reserva]],Tabela3[[Reserva]:[Condição para Faturamento]],20,FALSE),"IMPORTADO COM SUCESSO"))</f>
        <v>AGUARDANDO SEPARAÇÃO</v>
      </c>
      <c r="I64" s="38">
        <f>IF(RES_AB[[#This Row],[Data base]]="","",WORKDAY(RES_AB[[#This Row],[Data Reserva - Feriado e Fds]],RES_AB[[#This Row],[Dias para atendimento]],Feriados[Data]))</f>
        <v>45453</v>
      </c>
      <c r="J64" s="40" t="str">
        <f ca="1">IF(RES_AB[[#This Row],[Reserva]]="","",CONCATENATE("D+",NETWORKDAYS(RES_AB[[#This Row],[Data Reserva - Feriado e Fds]],TODAY(),Feriados[Data])-1))</f>
        <v>D+1</v>
      </c>
      <c r="K64" s="40" t="str">
        <f ca="1">IF(RES_AB[[#This Row],[Reserva]]="","",CONCATENATE(RES_AB[[#This Row],[Cen.]]," | ",RES_AB[[#This Row],[SLA2]]))</f>
        <v>11EU | D+1</v>
      </c>
      <c r="L64" s="40">
        <f ca="1">IF(RES_AB[[#This Row],[Reserva]]="","",IF(RES_AB[[#This Row],[SLA2]]=RES_AB[[#This Row],[Reserva]]="","",COUNTIF(MB25_VOLUMETRIA[Reserva],RES_AB[[#This Row],[Reserva]])))</f>
        <v>1</v>
      </c>
      <c r="M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" s="37" t="str">
        <f>IF(RES_AB[[#This Row],[Cen.]]="","",IFERROR(VLOOKUP(RES_AB[[#This Row],[Cen.]],Dados_Empresas[],2,FALSE),"Verificar empresa"))</f>
        <v>EMBRATEL</v>
      </c>
      <c r="P64" s="37" t="str">
        <f>IF(RES_AB[[#This Row],[Empresa]]="","",IF(OR(RES_AB[[#This Row],[Empresa]]="NET MASSIVO",RES_AB[[#This Row],[Empresa]]="NET PROJETOS"),"NET","EMPRESARIAL"))</f>
        <v>EMPRESARIAL</v>
      </c>
      <c r="Q64" s="37" t="str">
        <f>IF(RES_AB[[#This Row],[Reserva]]="","",IFERROR(VLOOKUP(RES_AB[[#This Row],[Reserva]],Tabela3[[Reserva]:[Descrição do status]],18,FALSE),"CONVENCIONAL"))</f>
        <v>CONVENCIONAL</v>
      </c>
    </row>
    <row r="65" spans="1:17" x14ac:dyDescent="0.25">
      <c r="A65" s="37">
        <v>4382818</v>
      </c>
      <c r="B65" s="37" t="s">
        <v>17</v>
      </c>
      <c r="C65" s="38" t="s">
        <v>17</v>
      </c>
      <c r="D65" s="38">
        <v>45449</v>
      </c>
      <c r="E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" s="39">
        <f>IFERROR(VLOOKUP(RES_AB[[#This Row],[Reserva]],Tabela8[[Reserva]:[Usuário]],7,FALSE),Dados!$A$17)</f>
        <v>0.44212962962962965</v>
      </c>
      <c r="G65" s="40">
        <f>IF(RES_AB[[#This Row],[Reserva]]="","",IF(RES_AB[[#This Row],[Hora Int WMS]]&lt;Dados!$A$16,2,2))</f>
        <v>2</v>
      </c>
      <c r="H65" s="40" t="str">
        <f>IF(RES_AB[[#This Row],[Reserva]]="","",IFERROR(VLOOKUP(RES_AB[[#This Row],[Reserva]],Tabela3[[Reserva]:[Condição para Faturamento]],20,FALSE),"IMPORTADO COM SUCESSO"))</f>
        <v>AGUARDANDO SEPARAÇÃO</v>
      </c>
      <c r="I65" s="38">
        <f>IF(RES_AB[[#This Row],[Data base]]="","",WORKDAY(RES_AB[[#This Row],[Data Reserva - Feriado e Fds]],RES_AB[[#This Row],[Dias para atendimento]],Feriados[Data]))</f>
        <v>45453</v>
      </c>
      <c r="J65" s="40" t="str">
        <f ca="1">IF(RES_AB[[#This Row],[Reserva]]="","",CONCATENATE("D+",NETWORKDAYS(RES_AB[[#This Row],[Data Reserva - Feriado e Fds]],TODAY(),Feriados[Data])-1))</f>
        <v>D+1</v>
      </c>
      <c r="K65" s="40" t="str">
        <f ca="1">IF(RES_AB[[#This Row],[Reserva]]="","",CONCATENATE(RES_AB[[#This Row],[Cen.]]," | ",RES_AB[[#This Row],[SLA2]]))</f>
        <v>11EU | D+1</v>
      </c>
      <c r="L65" s="40">
        <f ca="1">IF(RES_AB[[#This Row],[Reserva]]="","",IF(RES_AB[[#This Row],[SLA2]]=RES_AB[[#This Row],[Reserva]]="","",COUNTIF(MB25_VOLUMETRIA[Reserva],RES_AB[[#This Row],[Reserva]])))</f>
        <v>1</v>
      </c>
      <c r="M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" s="37" t="str">
        <f>IF(RES_AB[[#This Row],[Cen.]]="","",IFERROR(VLOOKUP(RES_AB[[#This Row],[Cen.]],Dados_Empresas[],2,FALSE),"Verificar empresa"))</f>
        <v>EMBRATEL</v>
      </c>
      <c r="P65" s="37" t="str">
        <f>IF(RES_AB[[#This Row],[Empresa]]="","",IF(OR(RES_AB[[#This Row],[Empresa]]="NET MASSIVO",RES_AB[[#This Row],[Empresa]]="NET PROJETOS"),"NET","EMPRESARIAL"))</f>
        <v>EMPRESARIAL</v>
      </c>
      <c r="Q65" s="37" t="str">
        <f>IF(RES_AB[[#This Row],[Reserva]]="","",IFERROR(VLOOKUP(RES_AB[[#This Row],[Reserva]],Tabela3[[Reserva]:[Descrição do status]],18,FALSE),"CONVENCIONAL"))</f>
        <v>CONVENCIONAL</v>
      </c>
    </row>
    <row r="66" spans="1:17" x14ac:dyDescent="0.25">
      <c r="A66" s="37">
        <v>4382819</v>
      </c>
      <c r="B66" s="37" t="s">
        <v>17</v>
      </c>
      <c r="C66" s="38" t="s">
        <v>17</v>
      </c>
      <c r="D66" s="38">
        <v>45449</v>
      </c>
      <c r="E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" s="39">
        <f>IFERROR(VLOOKUP(RES_AB[[#This Row],[Reserva]],Tabela8[[Reserva]:[Usuário]],7,FALSE),Dados!$A$17)</f>
        <v>0.44212962962962965</v>
      </c>
      <c r="G66" s="40">
        <f>IF(RES_AB[[#This Row],[Reserva]]="","",IF(RES_AB[[#This Row],[Hora Int WMS]]&lt;Dados!$A$16,2,2))</f>
        <v>2</v>
      </c>
      <c r="H66" s="40" t="str">
        <f>IF(RES_AB[[#This Row],[Reserva]]="","",IFERROR(VLOOKUP(RES_AB[[#This Row],[Reserva]],Tabela3[[Reserva]:[Condição para Faturamento]],20,FALSE),"IMPORTADO COM SUCESSO"))</f>
        <v>AGUARDANDO SEPARAÇÃO</v>
      </c>
      <c r="I66" s="38">
        <f>IF(RES_AB[[#This Row],[Data base]]="","",WORKDAY(RES_AB[[#This Row],[Data Reserva - Feriado e Fds]],RES_AB[[#This Row],[Dias para atendimento]],Feriados[Data]))</f>
        <v>45453</v>
      </c>
      <c r="J66" s="40" t="str">
        <f ca="1">IF(RES_AB[[#This Row],[Reserva]]="","",CONCATENATE("D+",NETWORKDAYS(RES_AB[[#This Row],[Data Reserva - Feriado e Fds]],TODAY(),Feriados[Data])-1))</f>
        <v>D+1</v>
      </c>
      <c r="K66" s="40" t="str">
        <f ca="1">IF(RES_AB[[#This Row],[Reserva]]="","",CONCATENATE(RES_AB[[#This Row],[Cen.]]," | ",RES_AB[[#This Row],[SLA2]]))</f>
        <v>11EU | D+1</v>
      </c>
      <c r="L66" s="40">
        <f ca="1">IF(RES_AB[[#This Row],[Reserva]]="","",IF(RES_AB[[#This Row],[SLA2]]=RES_AB[[#This Row],[Reserva]]="","",COUNTIF(MB25_VOLUMETRIA[Reserva],RES_AB[[#This Row],[Reserva]])))</f>
        <v>1</v>
      </c>
      <c r="M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" s="37" t="str">
        <f>IF(RES_AB[[#This Row],[Cen.]]="","",IFERROR(VLOOKUP(RES_AB[[#This Row],[Cen.]],Dados_Empresas[],2,FALSE),"Verificar empresa"))</f>
        <v>EMBRATEL</v>
      </c>
      <c r="P66" s="37" t="str">
        <f>IF(RES_AB[[#This Row],[Empresa]]="","",IF(OR(RES_AB[[#This Row],[Empresa]]="NET MASSIVO",RES_AB[[#This Row],[Empresa]]="NET PROJETOS"),"NET","EMPRESARIAL"))</f>
        <v>EMPRESARIAL</v>
      </c>
      <c r="Q66" s="37" t="str">
        <f>IF(RES_AB[[#This Row],[Reserva]]="","",IFERROR(VLOOKUP(RES_AB[[#This Row],[Reserva]],Tabela3[[Reserva]:[Descrição do status]],18,FALSE),"CONVENCIONAL"))</f>
        <v>CONVENCIONAL</v>
      </c>
    </row>
    <row r="67" spans="1:17" x14ac:dyDescent="0.25">
      <c r="A67" s="37">
        <v>4382820</v>
      </c>
      <c r="B67" s="37" t="s">
        <v>17</v>
      </c>
      <c r="C67" s="38" t="s">
        <v>17</v>
      </c>
      <c r="D67" s="38">
        <v>45449</v>
      </c>
      <c r="E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7" s="39">
        <f>IFERROR(VLOOKUP(RES_AB[[#This Row],[Reserva]],Tabela8[[Reserva]:[Usuário]],7,FALSE),Dados!$A$17)</f>
        <v>0.44224537037037037</v>
      </c>
      <c r="G67" s="40">
        <f>IF(RES_AB[[#This Row],[Reserva]]="","",IF(RES_AB[[#This Row],[Hora Int WMS]]&lt;Dados!$A$16,2,2))</f>
        <v>2</v>
      </c>
      <c r="H67" s="40" t="str">
        <f>IF(RES_AB[[#This Row],[Reserva]]="","",IFERROR(VLOOKUP(RES_AB[[#This Row],[Reserva]],Tabela3[[Reserva]:[Condição para Faturamento]],20,FALSE),"IMPORTADO COM SUCESSO"))</f>
        <v>AGUARDANDO SEPARAÇÃO</v>
      </c>
      <c r="I67" s="38">
        <f>IF(RES_AB[[#This Row],[Data base]]="","",WORKDAY(RES_AB[[#This Row],[Data Reserva - Feriado e Fds]],RES_AB[[#This Row],[Dias para atendimento]],Feriados[Data]))</f>
        <v>45453</v>
      </c>
      <c r="J67" s="40" t="str">
        <f ca="1">IF(RES_AB[[#This Row],[Reserva]]="","",CONCATENATE("D+",NETWORKDAYS(RES_AB[[#This Row],[Data Reserva - Feriado e Fds]],TODAY(),Feriados[Data])-1))</f>
        <v>D+1</v>
      </c>
      <c r="K67" s="40" t="str">
        <f ca="1">IF(RES_AB[[#This Row],[Reserva]]="","",CONCATENATE(RES_AB[[#This Row],[Cen.]]," | ",RES_AB[[#This Row],[SLA2]]))</f>
        <v>11EU | D+1</v>
      </c>
      <c r="L67" s="40">
        <f ca="1">IF(RES_AB[[#This Row],[Reserva]]="","",IF(RES_AB[[#This Row],[SLA2]]=RES_AB[[#This Row],[Reserva]]="","",COUNTIF(MB25_VOLUMETRIA[Reserva],RES_AB[[#This Row],[Reserva]])))</f>
        <v>1</v>
      </c>
      <c r="M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7" s="37" t="str">
        <f>IF(RES_AB[[#This Row],[Cen.]]="","",IFERROR(VLOOKUP(RES_AB[[#This Row],[Cen.]],Dados_Empresas[],2,FALSE),"Verificar empresa"))</f>
        <v>EMBRATEL</v>
      </c>
      <c r="P67" s="37" t="str">
        <f>IF(RES_AB[[#This Row],[Empresa]]="","",IF(OR(RES_AB[[#This Row],[Empresa]]="NET MASSIVO",RES_AB[[#This Row],[Empresa]]="NET PROJETOS"),"NET","EMPRESARIAL"))</f>
        <v>EMPRESARIAL</v>
      </c>
      <c r="Q67" s="37" t="str">
        <f>IF(RES_AB[[#This Row],[Reserva]]="","",IFERROR(VLOOKUP(RES_AB[[#This Row],[Reserva]],Tabela3[[Reserva]:[Descrição do status]],18,FALSE),"CONVENCIONAL"))</f>
        <v>CONVENCIONAL</v>
      </c>
    </row>
    <row r="68" spans="1:17" x14ac:dyDescent="0.25">
      <c r="A68" s="37">
        <v>4382821</v>
      </c>
      <c r="B68" s="37" t="s">
        <v>17</v>
      </c>
      <c r="C68" s="38" t="s">
        <v>17</v>
      </c>
      <c r="D68" s="38">
        <v>45449</v>
      </c>
      <c r="E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8" s="39">
        <f>IFERROR(VLOOKUP(RES_AB[[#This Row],[Reserva]],Tabela8[[Reserva]:[Usuário]],7,FALSE),Dados!$A$17)</f>
        <v>0.4599537037037037</v>
      </c>
      <c r="G68" s="40">
        <f>IF(RES_AB[[#This Row],[Reserva]]="","",IF(RES_AB[[#This Row],[Hora Int WMS]]&lt;Dados!$A$16,2,2))</f>
        <v>2</v>
      </c>
      <c r="H68" s="40" t="str">
        <f>IF(RES_AB[[#This Row],[Reserva]]="","",IFERROR(VLOOKUP(RES_AB[[#This Row],[Reserva]],Tabela3[[Reserva]:[Condição para Faturamento]],20,FALSE),"IMPORTADO COM SUCESSO"))</f>
        <v>AGUARDANDO SEPARAÇÃO</v>
      </c>
      <c r="I68" s="38">
        <f>IF(RES_AB[[#This Row],[Data base]]="","",WORKDAY(RES_AB[[#This Row],[Data Reserva - Feriado e Fds]],RES_AB[[#This Row],[Dias para atendimento]],Feriados[Data]))</f>
        <v>45453</v>
      </c>
      <c r="J68" s="40" t="str">
        <f ca="1">IF(RES_AB[[#This Row],[Reserva]]="","",CONCATENATE("D+",NETWORKDAYS(RES_AB[[#This Row],[Data Reserva - Feriado e Fds]],TODAY(),Feriados[Data])-1))</f>
        <v>D+1</v>
      </c>
      <c r="K68" s="40" t="str">
        <f ca="1">IF(RES_AB[[#This Row],[Reserva]]="","",CONCATENATE(RES_AB[[#This Row],[Cen.]]," | ",RES_AB[[#This Row],[SLA2]]))</f>
        <v>11EU | D+1</v>
      </c>
      <c r="L68" s="40">
        <f ca="1">IF(RES_AB[[#This Row],[Reserva]]="","",IF(RES_AB[[#This Row],[SLA2]]=RES_AB[[#This Row],[Reserva]]="","",COUNTIF(MB25_VOLUMETRIA[Reserva],RES_AB[[#This Row],[Reserva]])))</f>
        <v>2</v>
      </c>
      <c r="M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8" s="37" t="str">
        <f>IF(RES_AB[[#This Row],[Cen.]]="","",IFERROR(VLOOKUP(RES_AB[[#This Row],[Cen.]],Dados_Empresas[],2,FALSE),"Verificar empresa"))</f>
        <v>EMBRATEL</v>
      </c>
      <c r="P68" s="37" t="str">
        <f>IF(RES_AB[[#This Row],[Empresa]]="","",IF(OR(RES_AB[[#This Row],[Empresa]]="NET MASSIVO",RES_AB[[#This Row],[Empresa]]="NET PROJETOS"),"NET","EMPRESARIAL"))</f>
        <v>EMPRESARIAL</v>
      </c>
      <c r="Q68" s="37" t="str">
        <f>IF(RES_AB[[#This Row],[Reserva]]="","",IFERROR(VLOOKUP(RES_AB[[#This Row],[Reserva]],Tabela3[[Reserva]:[Descrição do status]],18,FALSE),"CONVENCIONAL"))</f>
        <v>CONVENCIONAL</v>
      </c>
    </row>
    <row r="69" spans="1:17" x14ac:dyDescent="0.25">
      <c r="A69" s="37">
        <v>4382869</v>
      </c>
      <c r="B69" s="37" t="s">
        <v>17</v>
      </c>
      <c r="C69" s="38" t="s">
        <v>17</v>
      </c>
      <c r="D69" s="38">
        <v>45449</v>
      </c>
      <c r="E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9" s="39">
        <f>IFERROR(VLOOKUP(RES_AB[[#This Row],[Reserva]],Tabela8[[Reserva]:[Usuário]],7,FALSE),Dados!$A$17)</f>
        <v>0.52326388888888886</v>
      </c>
      <c r="G69" s="40">
        <f>IF(RES_AB[[#This Row],[Reserva]]="","",IF(RES_AB[[#This Row],[Hora Int WMS]]&lt;Dados!$A$16,2,2))</f>
        <v>2</v>
      </c>
      <c r="H69" s="40" t="str">
        <f>IF(RES_AB[[#This Row],[Reserva]]="","",IFERROR(VLOOKUP(RES_AB[[#This Row],[Reserva]],Tabela3[[Reserva]:[Condição para Faturamento]],20,FALSE),"IMPORTADO COM SUCESSO"))</f>
        <v>AGUARDANDO SEPARAÇÃO</v>
      </c>
      <c r="I69" s="38">
        <f>IF(RES_AB[[#This Row],[Data base]]="","",WORKDAY(RES_AB[[#This Row],[Data Reserva - Feriado e Fds]],RES_AB[[#This Row],[Dias para atendimento]],Feriados[Data]))</f>
        <v>45453</v>
      </c>
      <c r="J69" s="40" t="str">
        <f ca="1">IF(RES_AB[[#This Row],[Reserva]]="","",CONCATENATE("D+",NETWORKDAYS(RES_AB[[#This Row],[Data Reserva - Feriado e Fds]],TODAY(),Feriados[Data])-1))</f>
        <v>D+1</v>
      </c>
      <c r="K69" s="40" t="str">
        <f ca="1">IF(RES_AB[[#This Row],[Reserva]]="","",CONCATENATE(RES_AB[[#This Row],[Cen.]]," | ",RES_AB[[#This Row],[SLA2]]))</f>
        <v>11EU | D+1</v>
      </c>
      <c r="L69" s="40">
        <f ca="1">IF(RES_AB[[#This Row],[Reserva]]="","",IF(RES_AB[[#This Row],[SLA2]]=RES_AB[[#This Row],[Reserva]]="","",COUNTIF(MB25_VOLUMETRIA[Reserva],RES_AB[[#This Row],[Reserva]])))</f>
        <v>1</v>
      </c>
      <c r="M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9" s="37" t="str">
        <f>IF(RES_AB[[#This Row],[Cen.]]="","",IFERROR(VLOOKUP(RES_AB[[#This Row],[Cen.]],Dados_Empresas[],2,FALSE),"Verificar empresa"))</f>
        <v>EMBRATEL</v>
      </c>
      <c r="P69" s="37" t="str">
        <f>IF(RES_AB[[#This Row],[Empresa]]="","",IF(OR(RES_AB[[#This Row],[Empresa]]="NET MASSIVO",RES_AB[[#This Row],[Empresa]]="NET PROJETOS"),"NET","EMPRESARIAL"))</f>
        <v>EMPRESARIAL</v>
      </c>
      <c r="Q69" s="37" t="str">
        <f>IF(RES_AB[[#This Row],[Reserva]]="","",IFERROR(VLOOKUP(RES_AB[[#This Row],[Reserva]],Tabela3[[Reserva]:[Descrição do status]],18,FALSE),"CONVENCIONAL"))</f>
        <v>CONVENCIONAL</v>
      </c>
    </row>
    <row r="70" spans="1:17" x14ac:dyDescent="0.25">
      <c r="A70" s="37">
        <v>4382961</v>
      </c>
      <c r="B70" s="37" t="s">
        <v>17</v>
      </c>
      <c r="C70" s="38" t="s">
        <v>17</v>
      </c>
      <c r="D70" s="38">
        <v>45449</v>
      </c>
      <c r="E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0" s="39">
        <f>IFERROR(VLOOKUP(RES_AB[[#This Row],[Reserva]],Tabela8[[Reserva]:[Usuário]],7,FALSE),Dados!$A$17)</f>
        <v>0.48738425925925927</v>
      </c>
      <c r="G70" s="40">
        <f>IF(RES_AB[[#This Row],[Reserva]]="","",IF(RES_AB[[#This Row],[Hora Int WMS]]&lt;Dados!$A$16,2,2))</f>
        <v>2</v>
      </c>
      <c r="H70" s="40" t="str">
        <f>IF(RES_AB[[#This Row],[Reserva]]="","",IFERROR(VLOOKUP(RES_AB[[#This Row],[Reserva]],Tabela3[[Reserva]:[Condição para Faturamento]],20,FALSE),"IMPORTADO COM SUCESSO"))</f>
        <v>AGUARDANDO SEPARAÇÃO</v>
      </c>
      <c r="I70" s="38">
        <f>IF(RES_AB[[#This Row],[Data base]]="","",WORKDAY(RES_AB[[#This Row],[Data Reserva - Feriado e Fds]],RES_AB[[#This Row],[Dias para atendimento]],Feriados[Data]))</f>
        <v>45453</v>
      </c>
      <c r="J70" s="40" t="str">
        <f ca="1">IF(RES_AB[[#This Row],[Reserva]]="","",CONCATENATE("D+",NETWORKDAYS(RES_AB[[#This Row],[Data Reserva - Feriado e Fds]],TODAY(),Feriados[Data])-1))</f>
        <v>D+1</v>
      </c>
      <c r="K70" s="40" t="str">
        <f ca="1">IF(RES_AB[[#This Row],[Reserva]]="","",CONCATENATE(RES_AB[[#This Row],[Cen.]]," | ",RES_AB[[#This Row],[SLA2]]))</f>
        <v>11EU | D+1</v>
      </c>
      <c r="L70" s="40">
        <f ca="1">IF(RES_AB[[#This Row],[Reserva]]="","",IF(RES_AB[[#This Row],[SLA2]]=RES_AB[[#This Row],[Reserva]]="","",COUNTIF(MB25_VOLUMETRIA[Reserva],RES_AB[[#This Row],[Reserva]])))</f>
        <v>1</v>
      </c>
      <c r="M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0" s="37" t="str">
        <f>IF(RES_AB[[#This Row],[Cen.]]="","",IFERROR(VLOOKUP(RES_AB[[#This Row],[Cen.]],Dados_Empresas[],2,FALSE),"Verificar empresa"))</f>
        <v>EMBRATEL</v>
      </c>
      <c r="P70" s="37" t="str">
        <f>IF(RES_AB[[#This Row],[Empresa]]="","",IF(OR(RES_AB[[#This Row],[Empresa]]="NET MASSIVO",RES_AB[[#This Row],[Empresa]]="NET PROJETOS"),"NET","EMPRESARIAL"))</f>
        <v>EMPRESARIAL</v>
      </c>
      <c r="Q70" s="37" t="str">
        <f>IF(RES_AB[[#This Row],[Reserva]]="","",IFERROR(VLOOKUP(RES_AB[[#This Row],[Reserva]],Tabela3[[Reserva]:[Descrição do status]],18,FALSE),"CONVENCIONAL"))</f>
        <v>CONVENCIONAL</v>
      </c>
    </row>
    <row r="71" spans="1:17" x14ac:dyDescent="0.25">
      <c r="A71" s="37">
        <v>4382962</v>
      </c>
      <c r="B71" s="37" t="s">
        <v>17</v>
      </c>
      <c r="C71" s="38" t="s">
        <v>17</v>
      </c>
      <c r="D71" s="38">
        <v>45449</v>
      </c>
      <c r="E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1" s="39">
        <f>IFERROR(VLOOKUP(RES_AB[[#This Row],[Reserva]],Tabela8[[Reserva]:[Usuário]],7,FALSE),Dados!$A$17)</f>
        <v>0.48749999999999999</v>
      </c>
      <c r="G71" s="40">
        <f>IF(RES_AB[[#This Row],[Reserva]]="","",IF(RES_AB[[#This Row],[Hora Int WMS]]&lt;Dados!$A$16,2,2))</f>
        <v>2</v>
      </c>
      <c r="H71" s="40" t="str">
        <f>IF(RES_AB[[#This Row],[Reserva]]="","",IFERROR(VLOOKUP(RES_AB[[#This Row],[Reserva]],Tabela3[[Reserva]:[Condição para Faturamento]],20,FALSE),"IMPORTADO COM SUCESSO"))</f>
        <v>AGUARDANDO SEPARAÇÃO</v>
      </c>
      <c r="I71" s="38">
        <f>IF(RES_AB[[#This Row],[Data base]]="","",WORKDAY(RES_AB[[#This Row],[Data Reserva - Feriado e Fds]],RES_AB[[#This Row],[Dias para atendimento]],Feriados[Data]))</f>
        <v>45453</v>
      </c>
      <c r="J71" s="40" t="str">
        <f ca="1">IF(RES_AB[[#This Row],[Reserva]]="","",CONCATENATE("D+",NETWORKDAYS(RES_AB[[#This Row],[Data Reserva - Feriado e Fds]],TODAY(),Feriados[Data])-1))</f>
        <v>D+1</v>
      </c>
      <c r="K71" s="40" t="str">
        <f ca="1">IF(RES_AB[[#This Row],[Reserva]]="","",CONCATENATE(RES_AB[[#This Row],[Cen.]]," | ",RES_AB[[#This Row],[SLA2]]))</f>
        <v>11EU | D+1</v>
      </c>
      <c r="L71" s="40">
        <f ca="1">IF(RES_AB[[#This Row],[Reserva]]="","",IF(RES_AB[[#This Row],[SLA2]]=RES_AB[[#This Row],[Reserva]]="","",COUNTIF(MB25_VOLUMETRIA[Reserva],RES_AB[[#This Row],[Reserva]])))</f>
        <v>1</v>
      </c>
      <c r="M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1" s="37" t="str">
        <f>IF(RES_AB[[#This Row],[Cen.]]="","",IFERROR(VLOOKUP(RES_AB[[#This Row],[Cen.]],Dados_Empresas[],2,FALSE),"Verificar empresa"))</f>
        <v>EMBRATEL</v>
      </c>
      <c r="P71" s="37" t="str">
        <f>IF(RES_AB[[#This Row],[Empresa]]="","",IF(OR(RES_AB[[#This Row],[Empresa]]="NET MASSIVO",RES_AB[[#This Row],[Empresa]]="NET PROJETOS"),"NET","EMPRESARIAL"))</f>
        <v>EMPRESARIAL</v>
      </c>
      <c r="Q71" s="37" t="str">
        <f>IF(RES_AB[[#This Row],[Reserva]]="","",IFERROR(VLOOKUP(RES_AB[[#This Row],[Reserva]],Tabela3[[Reserva]:[Descrição do status]],18,FALSE),"CONVENCIONAL"))</f>
        <v>CONVENCIONAL</v>
      </c>
    </row>
    <row r="72" spans="1:17" x14ac:dyDescent="0.25">
      <c r="A72" s="37">
        <v>4382963</v>
      </c>
      <c r="B72" s="37" t="s">
        <v>17</v>
      </c>
      <c r="C72" s="38" t="s">
        <v>17</v>
      </c>
      <c r="D72" s="38">
        <v>45449</v>
      </c>
      <c r="E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2" s="39">
        <f>IFERROR(VLOOKUP(RES_AB[[#This Row],[Reserva]],Tabela8[[Reserva]:[Usuário]],7,FALSE),Dados!$A$17)</f>
        <v>0.48761574074074077</v>
      </c>
      <c r="G72" s="40">
        <f>IF(RES_AB[[#This Row],[Reserva]]="","",IF(RES_AB[[#This Row],[Hora Int WMS]]&lt;Dados!$A$16,2,2))</f>
        <v>2</v>
      </c>
      <c r="H72" s="40" t="str">
        <f>IF(RES_AB[[#This Row],[Reserva]]="","",IFERROR(VLOOKUP(RES_AB[[#This Row],[Reserva]],Tabela3[[Reserva]:[Condição para Faturamento]],20,FALSE),"IMPORTADO COM SUCESSO"))</f>
        <v>EM RESSUPRIMENTO</v>
      </c>
      <c r="I72" s="38">
        <f>IF(RES_AB[[#This Row],[Data base]]="","",WORKDAY(RES_AB[[#This Row],[Data Reserva - Feriado e Fds]],RES_AB[[#This Row],[Dias para atendimento]],Feriados[Data]))</f>
        <v>45453</v>
      </c>
      <c r="J72" s="40" t="str">
        <f ca="1">IF(RES_AB[[#This Row],[Reserva]]="","",CONCATENATE("D+",NETWORKDAYS(RES_AB[[#This Row],[Data Reserva - Feriado e Fds]],TODAY(),Feriados[Data])-1))</f>
        <v>D+1</v>
      </c>
      <c r="K72" s="40" t="str">
        <f ca="1">IF(RES_AB[[#This Row],[Reserva]]="","",CONCATENATE(RES_AB[[#This Row],[Cen.]]," | ",RES_AB[[#This Row],[SLA2]]))</f>
        <v>11EU | D+1</v>
      </c>
      <c r="L72" s="40">
        <f ca="1">IF(RES_AB[[#This Row],[Reserva]]="","",IF(RES_AB[[#This Row],[SLA2]]=RES_AB[[#This Row],[Reserva]]="","",COUNTIF(MB25_VOLUMETRIA[Reserva],RES_AB[[#This Row],[Reserva]])))</f>
        <v>1</v>
      </c>
      <c r="M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2" s="37" t="str">
        <f>IF(RES_AB[[#This Row],[Cen.]]="","",IFERROR(VLOOKUP(RES_AB[[#This Row],[Cen.]],Dados_Empresas[],2,FALSE),"Verificar empresa"))</f>
        <v>EMBRATEL</v>
      </c>
      <c r="P72" s="37" t="str">
        <f>IF(RES_AB[[#This Row],[Empresa]]="","",IF(OR(RES_AB[[#This Row],[Empresa]]="NET MASSIVO",RES_AB[[#This Row],[Empresa]]="NET PROJETOS"),"NET","EMPRESARIAL"))</f>
        <v>EMPRESARIAL</v>
      </c>
      <c r="Q72" s="37" t="str">
        <f>IF(RES_AB[[#This Row],[Reserva]]="","",IFERROR(VLOOKUP(RES_AB[[#This Row],[Reserva]],Tabela3[[Reserva]:[Descrição do status]],18,FALSE),"CONVENCIONAL"))</f>
        <v>CONVENCIONAL</v>
      </c>
    </row>
    <row r="73" spans="1:17" x14ac:dyDescent="0.25">
      <c r="A73" s="37">
        <v>4382964</v>
      </c>
      <c r="B73" s="37" t="s">
        <v>17</v>
      </c>
      <c r="C73" s="38" t="s">
        <v>17</v>
      </c>
      <c r="D73" s="38">
        <v>45449</v>
      </c>
      <c r="E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3" s="39">
        <f>IFERROR(VLOOKUP(RES_AB[[#This Row],[Reserva]],Tabela8[[Reserva]:[Usuário]],7,FALSE),Dados!$A$17)</f>
        <v>0.48761574074074077</v>
      </c>
      <c r="G73" s="40">
        <f>IF(RES_AB[[#This Row],[Reserva]]="","",IF(RES_AB[[#This Row],[Hora Int WMS]]&lt;Dados!$A$16,2,2))</f>
        <v>2</v>
      </c>
      <c r="H73" s="40" t="str">
        <f>IF(RES_AB[[#This Row],[Reserva]]="","",IFERROR(VLOOKUP(RES_AB[[#This Row],[Reserva]],Tabela3[[Reserva]:[Condição para Faturamento]],20,FALSE),"IMPORTADO COM SUCESSO"))</f>
        <v>EM RESSUPRIMENTO</v>
      </c>
      <c r="I73" s="38">
        <f>IF(RES_AB[[#This Row],[Data base]]="","",WORKDAY(RES_AB[[#This Row],[Data Reserva - Feriado e Fds]],RES_AB[[#This Row],[Dias para atendimento]],Feriados[Data]))</f>
        <v>45453</v>
      </c>
      <c r="J73" s="40" t="str">
        <f ca="1">IF(RES_AB[[#This Row],[Reserva]]="","",CONCATENATE("D+",NETWORKDAYS(RES_AB[[#This Row],[Data Reserva - Feriado e Fds]],TODAY(),Feriados[Data])-1))</f>
        <v>D+1</v>
      </c>
      <c r="K73" s="40" t="str">
        <f ca="1">IF(RES_AB[[#This Row],[Reserva]]="","",CONCATENATE(RES_AB[[#This Row],[Cen.]]," | ",RES_AB[[#This Row],[SLA2]]))</f>
        <v>11EU | D+1</v>
      </c>
      <c r="L73" s="40">
        <f ca="1">IF(RES_AB[[#This Row],[Reserva]]="","",IF(RES_AB[[#This Row],[SLA2]]=RES_AB[[#This Row],[Reserva]]="","",COUNTIF(MB25_VOLUMETRIA[Reserva],RES_AB[[#This Row],[Reserva]])))</f>
        <v>1</v>
      </c>
      <c r="M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3" s="37" t="str">
        <f>IF(RES_AB[[#This Row],[Cen.]]="","",IFERROR(VLOOKUP(RES_AB[[#This Row],[Cen.]],Dados_Empresas[],2,FALSE),"Verificar empresa"))</f>
        <v>EMBRATEL</v>
      </c>
      <c r="P73" s="37" t="str">
        <f>IF(RES_AB[[#This Row],[Empresa]]="","",IF(OR(RES_AB[[#This Row],[Empresa]]="NET MASSIVO",RES_AB[[#This Row],[Empresa]]="NET PROJETOS"),"NET","EMPRESARIAL"))</f>
        <v>EMPRESARIAL</v>
      </c>
      <c r="Q73" s="37" t="str">
        <f>IF(RES_AB[[#This Row],[Reserva]]="","",IFERROR(VLOOKUP(RES_AB[[#This Row],[Reserva]],Tabela3[[Reserva]:[Descrição do status]],18,FALSE),"CONVENCIONAL"))</f>
        <v>CONVENCIONAL</v>
      </c>
    </row>
    <row r="74" spans="1:17" x14ac:dyDescent="0.25">
      <c r="A74" s="37">
        <v>4382965</v>
      </c>
      <c r="B74" s="37" t="s">
        <v>17</v>
      </c>
      <c r="C74" s="38" t="s">
        <v>17</v>
      </c>
      <c r="D74" s="38">
        <v>45449</v>
      </c>
      <c r="E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4" s="39">
        <f>IFERROR(VLOOKUP(RES_AB[[#This Row],[Reserva]],Tabela8[[Reserva]:[Usuário]],7,FALSE),Dados!$A$17)</f>
        <v>0.48773148148148149</v>
      </c>
      <c r="G74" s="40">
        <f>IF(RES_AB[[#This Row],[Reserva]]="","",IF(RES_AB[[#This Row],[Hora Int WMS]]&lt;Dados!$A$16,2,2))</f>
        <v>2</v>
      </c>
      <c r="H74" s="40" t="str">
        <f>IF(RES_AB[[#This Row],[Reserva]]="","",IFERROR(VLOOKUP(RES_AB[[#This Row],[Reserva]],Tabela3[[Reserva]:[Condição para Faturamento]],20,FALSE),"IMPORTADO COM SUCESSO"))</f>
        <v>AGUARDANDO SEPARAÇÃO</v>
      </c>
      <c r="I74" s="38">
        <f>IF(RES_AB[[#This Row],[Data base]]="","",WORKDAY(RES_AB[[#This Row],[Data Reserva - Feriado e Fds]],RES_AB[[#This Row],[Dias para atendimento]],Feriados[Data]))</f>
        <v>45453</v>
      </c>
      <c r="J74" s="40" t="str">
        <f ca="1">IF(RES_AB[[#This Row],[Reserva]]="","",CONCATENATE("D+",NETWORKDAYS(RES_AB[[#This Row],[Data Reserva - Feriado e Fds]],TODAY(),Feriados[Data])-1))</f>
        <v>D+1</v>
      </c>
      <c r="K74" s="40" t="str">
        <f ca="1">IF(RES_AB[[#This Row],[Reserva]]="","",CONCATENATE(RES_AB[[#This Row],[Cen.]]," | ",RES_AB[[#This Row],[SLA2]]))</f>
        <v>11EU | D+1</v>
      </c>
      <c r="L74" s="40">
        <f ca="1">IF(RES_AB[[#This Row],[Reserva]]="","",IF(RES_AB[[#This Row],[SLA2]]=RES_AB[[#This Row],[Reserva]]="","",COUNTIF(MB25_VOLUMETRIA[Reserva],RES_AB[[#This Row],[Reserva]])))</f>
        <v>1</v>
      </c>
      <c r="M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4" s="37" t="str">
        <f>IF(RES_AB[[#This Row],[Cen.]]="","",IFERROR(VLOOKUP(RES_AB[[#This Row],[Cen.]],Dados_Empresas[],2,FALSE),"Verificar empresa"))</f>
        <v>EMBRATEL</v>
      </c>
      <c r="P74" s="37" t="str">
        <f>IF(RES_AB[[#This Row],[Empresa]]="","",IF(OR(RES_AB[[#This Row],[Empresa]]="NET MASSIVO",RES_AB[[#This Row],[Empresa]]="NET PROJETOS"),"NET","EMPRESARIAL"))</f>
        <v>EMPRESARIAL</v>
      </c>
      <c r="Q74" s="37" t="str">
        <f>IF(RES_AB[[#This Row],[Reserva]]="","",IFERROR(VLOOKUP(RES_AB[[#This Row],[Reserva]],Tabela3[[Reserva]:[Descrição do status]],18,FALSE),"CONVENCIONAL"))</f>
        <v>CONVENCIONAL</v>
      </c>
    </row>
    <row r="75" spans="1:17" x14ac:dyDescent="0.25">
      <c r="A75" s="37">
        <v>4382966</v>
      </c>
      <c r="B75" s="37" t="s">
        <v>17</v>
      </c>
      <c r="C75" s="38" t="s">
        <v>17</v>
      </c>
      <c r="D75" s="38">
        <v>45449</v>
      </c>
      <c r="E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5" s="39">
        <f>IFERROR(VLOOKUP(RES_AB[[#This Row],[Reserva]],Tabela8[[Reserva]:[Usuário]],7,FALSE),Dados!$A$17)</f>
        <v>0.48773148148148149</v>
      </c>
      <c r="G75" s="40">
        <f>IF(RES_AB[[#This Row],[Reserva]]="","",IF(RES_AB[[#This Row],[Hora Int WMS]]&lt;Dados!$A$16,2,2))</f>
        <v>2</v>
      </c>
      <c r="H75" s="40" t="str">
        <f>IF(RES_AB[[#This Row],[Reserva]]="","",IFERROR(VLOOKUP(RES_AB[[#This Row],[Reserva]],Tabela3[[Reserva]:[Condição para Faturamento]],20,FALSE),"IMPORTADO COM SUCESSO"))</f>
        <v>AGUARDANDO SEPARAÇÃO</v>
      </c>
      <c r="I75" s="38">
        <f>IF(RES_AB[[#This Row],[Data base]]="","",WORKDAY(RES_AB[[#This Row],[Data Reserva - Feriado e Fds]],RES_AB[[#This Row],[Dias para atendimento]],Feriados[Data]))</f>
        <v>45453</v>
      </c>
      <c r="J75" s="40" t="str">
        <f ca="1">IF(RES_AB[[#This Row],[Reserva]]="","",CONCATENATE("D+",NETWORKDAYS(RES_AB[[#This Row],[Data Reserva - Feriado e Fds]],TODAY(),Feriados[Data])-1))</f>
        <v>D+1</v>
      </c>
      <c r="K75" s="40" t="str">
        <f ca="1">IF(RES_AB[[#This Row],[Reserva]]="","",CONCATENATE(RES_AB[[#This Row],[Cen.]]," | ",RES_AB[[#This Row],[SLA2]]))</f>
        <v>11EU | D+1</v>
      </c>
      <c r="L75" s="40">
        <f ca="1">IF(RES_AB[[#This Row],[Reserva]]="","",IF(RES_AB[[#This Row],[SLA2]]=RES_AB[[#This Row],[Reserva]]="","",COUNTIF(MB25_VOLUMETRIA[Reserva],RES_AB[[#This Row],[Reserva]])))</f>
        <v>1</v>
      </c>
      <c r="M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5" s="37" t="str">
        <f>IF(RES_AB[[#This Row],[Cen.]]="","",IFERROR(VLOOKUP(RES_AB[[#This Row],[Cen.]],Dados_Empresas[],2,FALSE),"Verificar empresa"))</f>
        <v>EMBRATEL</v>
      </c>
      <c r="P75" s="37" t="str">
        <f>IF(RES_AB[[#This Row],[Empresa]]="","",IF(OR(RES_AB[[#This Row],[Empresa]]="NET MASSIVO",RES_AB[[#This Row],[Empresa]]="NET PROJETOS"),"NET","EMPRESARIAL"))</f>
        <v>EMPRESARIAL</v>
      </c>
      <c r="Q75" s="37" t="str">
        <f>IF(RES_AB[[#This Row],[Reserva]]="","",IFERROR(VLOOKUP(RES_AB[[#This Row],[Reserva]],Tabela3[[Reserva]:[Descrição do status]],18,FALSE),"CONVENCIONAL"))</f>
        <v>CONVENCIONAL</v>
      </c>
    </row>
    <row r="76" spans="1:17" x14ac:dyDescent="0.25">
      <c r="A76" s="37">
        <v>4382967</v>
      </c>
      <c r="B76" s="37" t="s">
        <v>17</v>
      </c>
      <c r="C76" s="38" t="s">
        <v>17</v>
      </c>
      <c r="D76" s="38">
        <v>45449</v>
      </c>
      <c r="E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6" s="39">
        <f>IFERROR(VLOOKUP(RES_AB[[#This Row],[Reserva]],Tabela8[[Reserva]:[Usuário]],7,FALSE),Dados!$A$17)</f>
        <v>0.48784722222222221</v>
      </c>
      <c r="G76" s="40">
        <f>IF(RES_AB[[#This Row],[Reserva]]="","",IF(RES_AB[[#This Row],[Hora Int WMS]]&lt;Dados!$A$16,2,2))</f>
        <v>2</v>
      </c>
      <c r="H76" s="40" t="str">
        <f>IF(RES_AB[[#This Row],[Reserva]]="","",IFERROR(VLOOKUP(RES_AB[[#This Row],[Reserva]],Tabela3[[Reserva]:[Condição para Faturamento]],20,FALSE),"IMPORTADO COM SUCESSO"))</f>
        <v>EM RESSUPRIMENTO</v>
      </c>
      <c r="I76" s="38">
        <f>IF(RES_AB[[#This Row],[Data base]]="","",WORKDAY(RES_AB[[#This Row],[Data Reserva - Feriado e Fds]],RES_AB[[#This Row],[Dias para atendimento]],Feriados[Data]))</f>
        <v>45453</v>
      </c>
      <c r="J76" s="40" t="str">
        <f ca="1">IF(RES_AB[[#This Row],[Reserva]]="","",CONCATENATE("D+",NETWORKDAYS(RES_AB[[#This Row],[Data Reserva - Feriado e Fds]],TODAY(),Feriados[Data])-1))</f>
        <v>D+1</v>
      </c>
      <c r="K76" s="40" t="str">
        <f ca="1">IF(RES_AB[[#This Row],[Reserva]]="","",CONCATENATE(RES_AB[[#This Row],[Cen.]]," | ",RES_AB[[#This Row],[SLA2]]))</f>
        <v>11EU | D+1</v>
      </c>
      <c r="L76" s="40">
        <f ca="1">IF(RES_AB[[#This Row],[Reserva]]="","",IF(RES_AB[[#This Row],[SLA2]]=RES_AB[[#This Row],[Reserva]]="","",COUNTIF(MB25_VOLUMETRIA[Reserva],RES_AB[[#This Row],[Reserva]])))</f>
        <v>1</v>
      </c>
      <c r="M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6" s="37" t="str">
        <f>IF(RES_AB[[#This Row],[Cen.]]="","",IFERROR(VLOOKUP(RES_AB[[#This Row],[Cen.]],Dados_Empresas[],2,FALSE),"Verificar empresa"))</f>
        <v>EMBRATEL</v>
      </c>
      <c r="P76" s="37" t="str">
        <f>IF(RES_AB[[#This Row],[Empresa]]="","",IF(OR(RES_AB[[#This Row],[Empresa]]="NET MASSIVO",RES_AB[[#This Row],[Empresa]]="NET PROJETOS"),"NET","EMPRESARIAL"))</f>
        <v>EMPRESARIAL</v>
      </c>
      <c r="Q76" s="37" t="str">
        <f>IF(RES_AB[[#This Row],[Reserva]]="","",IFERROR(VLOOKUP(RES_AB[[#This Row],[Reserva]],Tabela3[[Reserva]:[Descrição do status]],18,FALSE),"CONVENCIONAL"))</f>
        <v>CONVENCIONAL</v>
      </c>
    </row>
    <row r="77" spans="1:17" x14ac:dyDescent="0.25">
      <c r="A77" s="37">
        <v>4382968</v>
      </c>
      <c r="B77" s="37" t="s">
        <v>17</v>
      </c>
      <c r="C77" s="38" t="s">
        <v>17</v>
      </c>
      <c r="D77" s="38">
        <v>45449</v>
      </c>
      <c r="E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7" s="39">
        <f>IFERROR(VLOOKUP(RES_AB[[#This Row],[Reserva]],Tabela8[[Reserva]:[Usuário]],7,FALSE),Dados!$A$17)</f>
        <v>0.48784722222222221</v>
      </c>
      <c r="G77" s="40">
        <f>IF(RES_AB[[#This Row],[Reserva]]="","",IF(RES_AB[[#This Row],[Hora Int WMS]]&lt;Dados!$A$16,2,2))</f>
        <v>2</v>
      </c>
      <c r="H77" s="40" t="str">
        <f>IF(RES_AB[[#This Row],[Reserva]]="","",IFERROR(VLOOKUP(RES_AB[[#This Row],[Reserva]],Tabela3[[Reserva]:[Condição para Faturamento]],20,FALSE),"IMPORTADO COM SUCESSO"))</f>
        <v>AGUARDANDO SEPARAÇÃO</v>
      </c>
      <c r="I77" s="38">
        <f>IF(RES_AB[[#This Row],[Data base]]="","",WORKDAY(RES_AB[[#This Row],[Data Reserva - Feriado e Fds]],RES_AB[[#This Row],[Dias para atendimento]],Feriados[Data]))</f>
        <v>45453</v>
      </c>
      <c r="J77" s="40" t="str">
        <f ca="1">IF(RES_AB[[#This Row],[Reserva]]="","",CONCATENATE("D+",NETWORKDAYS(RES_AB[[#This Row],[Data Reserva - Feriado e Fds]],TODAY(),Feriados[Data])-1))</f>
        <v>D+1</v>
      </c>
      <c r="K77" s="40" t="str">
        <f ca="1">IF(RES_AB[[#This Row],[Reserva]]="","",CONCATENATE(RES_AB[[#This Row],[Cen.]]," | ",RES_AB[[#This Row],[SLA2]]))</f>
        <v>11EU | D+1</v>
      </c>
      <c r="L77" s="40">
        <f ca="1">IF(RES_AB[[#This Row],[Reserva]]="","",IF(RES_AB[[#This Row],[SLA2]]=RES_AB[[#This Row],[Reserva]]="","",COUNTIF(MB25_VOLUMETRIA[Reserva],RES_AB[[#This Row],[Reserva]])))</f>
        <v>1</v>
      </c>
      <c r="M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7" s="37" t="str">
        <f>IF(RES_AB[[#This Row],[Cen.]]="","",IFERROR(VLOOKUP(RES_AB[[#This Row],[Cen.]],Dados_Empresas[],2,FALSE),"Verificar empresa"))</f>
        <v>EMBRATEL</v>
      </c>
      <c r="P77" s="37" t="str">
        <f>IF(RES_AB[[#This Row],[Empresa]]="","",IF(OR(RES_AB[[#This Row],[Empresa]]="NET MASSIVO",RES_AB[[#This Row],[Empresa]]="NET PROJETOS"),"NET","EMPRESARIAL"))</f>
        <v>EMPRESARIAL</v>
      </c>
      <c r="Q77" s="37" t="str">
        <f>IF(RES_AB[[#This Row],[Reserva]]="","",IFERROR(VLOOKUP(RES_AB[[#This Row],[Reserva]],Tabela3[[Reserva]:[Descrição do status]],18,FALSE),"CONVENCIONAL"))</f>
        <v>CONVENCIONAL</v>
      </c>
    </row>
    <row r="78" spans="1:17" x14ac:dyDescent="0.25">
      <c r="A78" s="37">
        <v>4382969</v>
      </c>
      <c r="B78" s="37" t="s">
        <v>17</v>
      </c>
      <c r="C78" s="38" t="s">
        <v>17</v>
      </c>
      <c r="D78" s="38">
        <v>45449</v>
      </c>
      <c r="E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8" s="39">
        <f>IFERROR(VLOOKUP(RES_AB[[#This Row],[Reserva]],Tabela8[[Reserva]:[Usuário]],7,FALSE),Dados!$A$17)</f>
        <v>0.48796296296296299</v>
      </c>
      <c r="G78" s="40">
        <f>IF(RES_AB[[#This Row],[Reserva]]="","",IF(RES_AB[[#This Row],[Hora Int WMS]]&lt;Dados!$A$16,2,2))</f>
        <v>2</v>
      </c>
      <c r="H78" s="40" t="str">
        <f>IF(RES_AB[[#This Row],[Reserva]]="","",IFERROR(VLOOKUP(RES_AB[[#This Row],[Reserva]],Tabela3[[Reserva]:[Condição para Faturamento]],20,FALSE),"IMPORTADO COM SUCESSO"))</f>
        <v>AGUARDANDO SEPARAÇÃO</v>
      </c>
      <c r="I78" s="38">
        <f>IF(RES_AB[[#This Row],[Data base]]="","",WORKDAY(RES_AB[[#This Row],[Data Reserva - Feriado e Fds]],RES_AB[[#This Row],[Dias para atendimento]],Feriados[Data]))</f>
        <v>45453</v>
      </c>
      <c r="J78" s="40" t="str">
        <f ca="1">IF(RES_AB[[#This Row],[Reserva]]="","",CONCATENATE("D+",NETWORKDAYS(RES_AB[[#This Row],[Data Reserva - Feriado e Fds]],TODAY(),Feriados[Data])-1))</f>
        <v>D+1</v>
      </c>
      <c r="K78" s="40" t="str">
        <f ca="1">IF(RES_AB[[#This Row],[Reserva]]="","",CONCATENATE(RES_AB[[#This Row],[Cen.]]," | ",RES_AB[[#This Row],[SLA2]]))</f>
        <v>11EU | D+1</v>
      </c>
      <c r="L78" s="40">
        <f ca="1">IF(RES_AB[[#This Row],[Reserva]]="","",IF(RES_AB[[#This Row],[SLA2]]=RES_AB[[#This Row],[Reserva]]="","",COUNTIF(MB25_VOLUMETRIA[Reserva],RES_AB[[#This Row],[Reserva]])))</f>
        <v>1</v>
      </c>
      <c r="M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8" s="37" t="str">
        <f>IF(RES_AB[[#This Row],[Cen.]]="","",IFERROR(VLOOKUP(RES_AB[[#This Row],[Cen.]],Dados_Empresas[],2,FALSE),"Verificar empresa"))</f>
        <v>EMBRATEL</v>
      </c>
      <c r="P78" s="37" t="str">
        <f>IF(RES_AB[[#This Row],[Empresa]]="","",IF(OR(RES_AB[[#This Row],[Empresa]]="NET MASSIVO",RES_AB[[#This Row],[Empresa]]="NET PROJETOS"),"NET","EMPRESARIAL"))</f>
        <v>EMPRESARIAL</v>
      </c>
      <c r="Q78" s="37" t="str">
        <f>IF(RES_AB[[#This Row],[Reserva]]="","",IFERROR(VLOOKUP(RES_AB[[#This Row],[Reserva]],Tabela3[[Reserva]:[Descrição do status]],18,FALSE),"CONVENCIONAL"))</f>
        <v>CONVENCIONAL</v>
      </c>
    </row>
    <row r="79" spans="1:17" x14ac:dyDescent="0.25">
      <c r="A79" s="37">
        <v>4382970</v>
      </c>
      <c r="B79" s="37" t="s">
        <v>17</v>
      </c>
      <c r="C79" s="38" t="s">
        <v>17</v>
      </c>
      <c r="D79" s="38">
        <v>45449</v>
      </c>
      <c r="E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79" s="39">
        <f>IFERROR(VLOOKUP(RES_AB[[#This Row],[Reserva]],Tabela8[[Reserva]:[Usuário]],7,FALSE),Dados!$A$17)</f>
        <v>0.48796296296296299</v>
      </c>
      <c r="G79" s="40">
        <f>IF(RES_AB[[#This Row],[Reserva]]="","",IF(RES_AB[[#This Row],[Hora Int WMS]]&lt;Dados!$A$16,2,2))</f>
        <v>2</v>
      </c>
      <c r="H79" s="40" t="str">
        <f>IF(RES_AB[[#This Row],[Reserva]]="","",IFERROR(VLOOKUP(RES_AB[[#This Row],[Reserva]],Tabela3[[Reserva]:[Condição para Faturamento]],20,FALSE),"IMPORTADO COM SUCESSO"))</f>
        <v>AGUARDANDO SEPARAÇÃO</v>
      </c>
      <c r="I79" s="38">
        <f>IF(RES_AB[[#This Row],[Data base]]="","",WORKDAY(RES_AB[[#This Row],[Data Reserva - Feriado e Fds]],RES_AB[[#This Row],[Dias para atendimento]],Feriados[Data]))</f>
        <v>45453</v>
      </c>
      <c r="J79" s="40" t="str">
        <f ca="1">IF(RES_AB[[#This Row],[Reserva]]="","",CONCATENATE("D+",NETWORKDAYS(RES_AB[[#This Row],[Data Reserva - Feriado e Fds]],TODAY(),Feriados[Data])-1))</f>
        <v>D+1</v>
      </c>
      <c r="K79" s="40" t="str">
        <f ca="1">IF(RES_AB[[#This Row],[Reserva]]="","",CONCATENATE(RES_AB[[#This Row],[Cen.]]," | ",RES_AB[[#This Row],[SLA2]]))</f>
        <v>11EU | D+1</v>
      </c>
      <c r="L79" s="40">
        <f ca="1">IF(RES_AB[[#This Row],[Reserva]]="","",IF(RES_AB[[#This Row],[SLA2]]=RES_AB[[#This Row],[Reserva]]="","",COUNTIF(MB25_VOLUMETRIA[Reserva],RES_AB[[#This Row],[Reserva]])))</f>
        <v>1</v>
      </c>
      <c r="M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79" s="37" t="str">
        <f>IF(RES_AB[[#This Row],[Cen.]]="","",IFERROR(VLOOKUP(RES_AB[[#This Row],[Cen.]],Dados_Empresas[],2,FALSE),"Verificar empresa"))</f>
        <v>EMBRATEL</v>
      </c>
      <c r="P79" s="37" t="str">
        <f>IF(RES_AB[[#This Row],[Empresa]]="","",IF(OR(RES_AB[[#This Row],[Empresa]]="NET MASSIVO",RES_AB[[#This Row],[Empresa]]="NET PROJETOS"),"NET","EMPRESARIAL"))</f>
        <v>EMPRESARIAL</v>
      </c>
      <c r="Q79" s="37" t="str">
        <f>IF(RES_AB[[#This Row],[Reserva]]="","",IFERROR(VLOOKUP(RES_AB[[#This Row],[Reserva]],Tabela3[[Reserva]:[Descrição do status]],18,FALSE),"CONVENCIONAL"))</f>
        <v>CONVENCIONAL</v>
      </c>
    </row>
    <row r="80" spans="1:17" x14ac:dyDescent="0.25">
      <c r="A80" s="37">
        <v>4382971</v>
      </c>
      <c r="B80" s="37" t="s">
        <v>17</v>
      </c>
      <c r="C80" s="38" t="s">
        <v>17</v>
      </c>
      <c r="D80" s="38">
        <v>45449</v>
      </c>
      <c r="E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0" s="39">
        <f>IFERROR(VLOOKUP(RES_AB[[#This Row],[Reserva]],Tabela8[[Reserva]:[Usuário]],7,FALSE),Dados!$A$17)</f>
        <v>0.48807870370370371</v>
      </c>
      <c r="G80" s="40">
        <f>IF(RES_AB[[#This Row],[Reserva]]="","",IF(RES_AB[[#This Row],[Hora Int WMS]]&lt;Dados!$A$16,2,2))</f>
        <v>2</v>
      </c>
      <c r="H80" s="40" t="str">
        <f>IF(RES_AB[[#This Row],[Reserva]]="","",IFERROR(VLOOKUP(RES_AB[[#This Row],[Reserva]],Tabela3[[Reserva]:[Condição para Faturamento]],20,FALSE),"IMPORTADO COM SUCESSO"))</f>
        <v>AGUARDANDO SEPARAÇÃO</v>
      </c>
      <c r="I80" s="38">
        <f>IF(RES_AB[[#This Row],[Data base]]="","",WORKDAY(RES_AB[[#This Row],[Data Reserva - Feriado e Fds]],RES_AB[[#This Row],[Dias para atendimento]],Feriados[Data]))</f>
        <v>45453</v>
      </c>
      <c r="J80" s="40" t="str">
        <f ca="1">IF(RES_AB[[#This Row],[Reserva]]="","",CONCATENATE("D+",NETWORKDAYS(RES_AB[[#This Row],[Data Reserva - Feriado e Fds]],TODAY(),Feriados[Data])-1))</f>
        <v>D+1</v>
      </c>
      <c r="K80" s="40" t="str">
        <f ca="1">IF(RES_AB[[#This Row],[Reserva]]="","",CONCATENATE(RES_AB[[#This Row],[Cen.]]," | ",RES_AB[[#This Row],[SLA2]]))</f>
        <v>11EU | D+1</v>
      </c>
      <c r="L80" s="40">
        <f ca="1">IF(RES_AB[[#This Row],[Reserva]]="","",IF(RES_AB[[#This Row],[SLA2]]=RES_AB[[#This Row],[Reserva]]="","",COUNTIF(MB25_VOLUMETRIA[Reserva],RES_AB[[#This Row],[Reserva]])))</f>
        <v>1</v>
      </c>
      <c r="M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0" s="37" t="str">
        <f>IF(RES_AB[[#This Row],[Cen.]]="","",IFERROR(VLOOKUP(RES_AB[[#This Row],[Cen.]],Dados_Empresas[],2,FALSE),"Verificar empresa"))</f>
        <v>EMBRATEL</v>
      </c>
      <c r="P80" s="37" t="str">
        <f>IF(RES_AB[[#This Row],[Empresa]]="","",IF(OR(RES_AB[[#This Row],[Empresa]]="NET MASSIVO",RES_AB[[#This Row],[Empresa]]="NET PROJETOS"),"NET","EMPRESARIAL"))</f>
        <v>EMPRESARIAL</v>
      </c>
      <c r="Q80" s="37" t="str">
        <f>IF(RES_AB[[#This Row],[Reserva]]="","",IFERROR(VLOOKUP(RES_AB[[#This Row],[Reserva]],Tabela3[[Reserva]:[Descrição do status]],18,FALSE),"CONVENCIONAL"))</f>
        <v>CONVENCIONAL</v>
      </c>
    </row>
    <row r="81" spans="1:17" x14ac:dyDescent="0.25">
      <c r="A81" s="37">
        <v>4382972</v>
      </c>
      <c r="B81" s="37" t="s">
        <v>17</v>
      </c>
      <c r="C81" s="38" t="s">
        <v>17</v>
      </c>
      <c r="D81" s="38">
        <v>45449</v>
      </c>
      <c r="E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1" s="39">
        <f>IFERROR(VLOOKUP(RES_AB[[#This Row],[Reserva]],Tabela8[[Reserva]:[Usuário]],7,FALSE),Dados!$A$17)</f>
        <v>0.48807870370370371</v>
      </c>
      <c r="G81" s="40">
        <f>IF(RES_AB[[#This Row],[Reserva]]="","",IF(RES_AB[[#This Row],[Hora Int WMS]]&lt;Dados!$A$16,2,2))</f>
        <v>2</v>
      </c>
      <c r="H81" s="40" t="str">
        <f>IF(RES_AB[[#This Row],[Reserva]]="","",IFERROR(VLOOKUP(RES_AB[[#This Row],[Reserva]],Tabela3[[Reserva]:[Condição para Faturamento]],20,FALSE),"IMPORTADO COM SUCESSO"))</f>
        <v>AGUARDANDO SEPARAÇÃO</v>
      </c>
      <c r="I81" s="38">
        <f>IF(RES_AB[[#This Row],[Data base]]="","",WORKDAY(RES_AB[[#This Row],[Data Reserva - Feriado e Fds]],RES_AB[[#This Row],[Dias para atendimento]],Feriados[Data]))</f>
        <v>45453</v>
      </c>
      <c r="J81" s="40" t="str">
        <f ca="1">IF(RES_AB[[#This Row],[Reserva]]="","",CONCATENATE("D+",NETWORKDAYS(RES_AB[[#This Row],[Data Reserva - Feriado e Fds]],TODAY(),Feriados[Data])-1))</f>
        <v>D+1</v>
      </c>
      <c r="K81" s="40" t="str">
        <f ca="1">IF(RES_AB[[#This Row],[Reserva]]="","",CONCATENATE(RES_AB[[#This Row],[Cen.]]," | ",RES_AB[[#This Row],[SLA2]]))</f>
        <v>11EU | D+1</v>
      </c>
      <c r="L81" s="40">
        <f ca="1">IF(RES_AB[[#This Row],[Reserva]]="","",IF(RES_AB[[#This Row],[SLA2]]=RES_AB[[#This Row],[Reserva]]="","",COUNTIF(MB25_VOLUMETRIA[Reserva],RES_AB[[#This Row],[Reserva]])))</f>
        <v>1</v>
      </c>
      <c r="M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1" s="37" t="str">
        <f>IF(RES_AB[[#This Row],[Cen.]]="","",IFERROR(VLOOKUP(RES_AB[[#This Row],[Cen.]],Dados_Empresas[],2,FALSE),"Verificar empresa"))</f>
        <v>EMBRATEL</v>
      </c>
      <c r="P81" s="37" t="str">
        <f>IF(RES_AB[[#This Row],[Empresa]]="","",IF(OR(RES_AB[[#This Row],[Empresa]]="NET MASSIVO",RES_AB[[#This Row],[Empresa]]="NET PROJETOS"),"NET","EMPRESARIAL"))</f>
        <v>EMPRESARIAL</v>
      </c>
      <c r="Q81" s="37" t="str">
        <f>IF(RES_AB[[#This Row],[Reserva]]="","",IFERROR(VLOOKUP(RES_AB[[#This Row],[Reserva]],Tabela3[[Reserva]:[Descrição do status]],18,FALSE),"CONVENCIONAL"))</f>
        <v>CONVENCIONAL</v>
      </c>
    </row>
    <row r="82" spans="1:17" x14ac:dyDescent="0.25">
      <c r="A82" s="37">
        <v>4382973</v>
      </c>
      <c r="B82" s="37" t="s">
        <v>17</v>
      </c>
      <c r="C82" s="38" t="s">
        <v>17</v>
      </c>
      <c r="D82" s="38">
        <v>45449</v>
      </c>
      <c r="E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2" s="39">
        <f>IFERROR(VLOOKUP(RES_AB[[#This Row],[Reserva]],Tabela8[[Reserva]:[Usuário]],7,FALSE),Dados!$A$17)</f>
        <v>0.48819444444444443</v>
      </c>
      <c r="G82" s="40">
        <f>IF(RES_AB[[#This Row],[Reserva]]="","",IF(RES_AB[[#This Row],[Hora Int WMS]]&lt;Dados!$A$16,2,2))</f>
        <v>2</v>
      </c>
      <c r="H82" s="40" t="str">
        <f>IF(RES_AB[[#This Row],[Reserva]]="","",IFERROR(VLOOKUP(RES_AB[[#This Row],[Reserva]],Tabela3[[Reserva]:[Condição para Faturamento]],20,FALSE),"IMPORTADO COM SUCESSO"))</f>
        <v>AGUARDANDO SEPARAÇÃO</v>
      </c>
      <c r="I82" s="38">
        <f>IF(RES_AB[[#This Row],[Data base]]="","",WORKDAY(RES_AB[[#This Row],[Data Reserva - Feriado e Fds]],RES_AB[[#This Row],[Dias para atendimento]],Feriados[Data]))</f>
        <v>45453</v>
      </c>
      <c r="J82" s="40" t="str">
        <f ca="1">IF(RES_AB[[#This Row],[Reserva]]="","",CONCATENATE("D+",NETWORKDAYS(RES_AB[[#This Row],[Data Reserva - Feriado e Fds]],TODAY(),Feriados[Data])-1))</f>
        <v>D+1</v>
      </c>
      <c r="K82" s="40" t="str">
        <f ca="1">IF(RES_AB[[#This Row],[Reserva]]="","",CONCATENATE(RES_AB[[#This Row],[Cen.]]," | ",RES_AB[[#This Row],[SLA2]]))</f>
        <v>11EU | D+1</v>
      </c>
      <c r="L82" s="40">
        <f ca="1">IF(RES_AB[[#This Row],[Reserva]]="","",IF(RES_AB[[#This Row],[SLA2]]=RES_AB[[#This Row],[Reserva]]="","",COUNTIF(MB25_VOLUMETRIA[Reserva],RES_AB[[#This Row],[Reserva]])))</f>
        <v>1</v>
      </c>
      <c r="M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2" s="37" t="str">
        <f>IF(RES_AB[[#This Row],[Cen.]]="","",IFERROR(VLOOKUP(RES_AB[[#This Row],[Cen.]],Dados_Empresas[],2,FALSE),"Verificar empresa"))</f>
        <v>EMBRATEL</v>
      </c>
      <c r="P82" s="37" t="str">
        <f>IF(RES_AB[[#This Row],[Empresa]]="","",IF(OR(RES_AB[[#This Row],[Empresa]]="NET MASSIVO",RES_AB[[#This Row],[Empresa]]="NET PROJETOS"),"NET","EMPRESARIAL"))</f>
        <v>EMPRESARIAL</v>
      </c>
      <c r="Q82" s="37" t="str">
        <f>IF(RES_AB[[#This Row],[Reserva]]="","",IFERROR(VLOOKUP(RES_AB[[#This Row],[Reserva]],Tabela3[[Reserva]:[Descrição do status]],18,FALSE),"CONVENCIONAL"))</f>
        <v>CONVENCIONAL</v>
      </c>
    </row>
    <row r="83" spans="1:17" x14ac:dyDescent="0.25">
      <c r="A83" s="37">
        <v>4382974</v>
      </c>
      <c r="B83" s="37" t="s">
        <v>17</v>
      </c>
      <c r="C83" s="38" t="s">
        <v>17</v>
      </c>
      <c r="D83" s="38">
        <v>45449</v>
      </c>
      <c r="E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3" s="39">
        <f>IFERROR(VLOOKUP(RES_AB[[#This Row],[Reserva]],Tabela8[[Reserva]:[Usuário]],7,FALSE),Dados!$A$17)</f>
        <v>0.48819444444444443</v>
      </c>
      <c r="G83" s="40">
        <f>IF(RES_AB[[#This Row],[Reserva]]="","",IF(RES_AB[[#This Row],[Hora Int WMS]]&lt;Dados!$A$16,2,2))</f>
        <v>2</v>
      </c>
      <c r="H83" s="40" t="str">
        <f>IF(RES_AB[[#This Row],[Reserva]]="","",IFERROR(VLOOKUP(RES_AB[[#This Row],[Reserva]],Tabela3[[Reserva]:[Condição para Faturamento]],20,FALSE),"IMPORTADO COM SUCESSO"))</f>
        <v>EM RESSUPRIMENTO</v>
      </c>
      <c r="I83" s="38">
        <f>IF(RES_AB[[#This Row],[Data base]]="","",WORKDAY(RES_AB[[#This Row],[Data Reserva - Feriado e Fds]],RES_AB[[#This Row],[Dias para atendimento]],Feriados[Data]))</f>
        <v>45453</v>
      </c>
      <c r="J83" s="40" t="str">
        <f ca="1">IF(RES_AB[[#This Row],[Reserva]]="","",CONCATENATE("D+",NETWORKDAYS(RES_AB[[#This Row],[Data Reserva - Feriado e Fds]],TODAY(),Feriados[Data])-1))</f>
        <v>D+1</v>
      </c>
      <c r="K83" s="40" t="str">
        <f ca="1">IF(RES_AB[[#This Row],[Reserva]]="","",CONCATENATE(RES_AB[[#This Row],[Cen.]]," | ",RES_AB[[#This Row],[SLA2]]))</f>
        <v>11EU | D+1</v>
      </c>
      <c r="L83" s="40">
        <f ca="1">IF(RES_AB[[#This Row],[Reserva]]="","",IF(RES_AB[[#This Row],[SLA2]]=RES_AB[[#This Row],[Reserva]]="","",COUNTIF(MB25_VOLUMETRIA[Reserva],RES_AB[[#This Row],[Reserva]])))</f>
        <v>1</v>
      </c>
      <c r="M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3" s="37" t="str">
        <f>IF(RES_AB[[#This Row],[Cen.]]="","",IFERROR(VLOOKUP(RES_AB[[#This Row],[Cen.]],Dados_Empresas[],2,FALSE),"Verificar empresa"))</f>
        <v>EMBRATEL</v>
      </c>
      <c r="P83" s="37" t="str">
        <f>IF(RES_AB[[#This Row],[Empresa]]="","",IF(OR(RES_AB[[#This Row],[Empresa]]="NET MASSIVO",RES_AB[[#This Row],[Empresa]]="NET PROJETOS"),"NET","EMPRESARIAL"))</f>
        <v>EMPRESARIAL</v>
      </c>
      <c r="Q83" s="37" t="str">
        <f>IF(RES_AB[[#This Row],[Reserva]]="","",IFERROR(VLOOKUP(RES_AB[[#This Row],[Reserva]],Tabela3[[Reserva]:[Descrição do status]],18,FALSE),"CONVENCIONAL"))</f>
        <v>CONVENCIONAL</v>
      </c>
    </row>
    <row r="84" spans="1:17" x14ac:dyDescent="0.25">
      <c r="A84" s="37">
        <v>4382975</v>
      </c>
      <c r="B84" s="37" t="s">
        <v>17</v>
      </c>
      <c r="C84" s="38" t="s">
        <v>17</v>
      </c>
      <c r="D84" s="38">
        <v>45449</v>
      </c>
      <c r="E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4" s="39">
        <f>IFERROR(VLOOKUP(RES_AB[[#This Row],[Reserva]],Tabela8[[Reserva]:[Usuário]],7,FALSE),Dados!$A$17)</f>
        <v>0.48819444444444443</v>
      </c>
      <c r="G84" s="40">
        <f>IF(RES_AB[[#This Row],[Reserva]]="","",IF(RES_AB[[#This Row],[Hora Int WMS]]&lt;Dados!$A$16,2,2))</f>
        <v>2</v>
      </c>
      <c r="H84" s="40" t="str">
        <f>IF(RES_AB[[#This Row],[Reserva]]="","",IFERROR(VLOOKUP(RES_AB[[#This Row],[Reserva]],Tabela3[[Reserva]:[Condição para Faturamento]],20,FALSE),"IMPORTADO COM SUCESSO"))</f>
        <v>EM RESSUPRIMENTO</v>
      </c>
      <c r="I84" s="38">
        <f>IF(RES_AB[[#This Row],[Data base]]="","",WORKDAY(RES_AB[[#This Row],[Data Reserva - Feriado e Fds]],RES_AB[[#This Row],[Dias para atendimento]],Feriados[Data]))</f>
        <v>45453</v>
      </c>
      <c r="J84" s="40" t="str">
        <f ca="1">IF(RES_AB[[#This Row],[Reserva]]="","",CONCATENATE("D+",NETWORKDAYS(RES_AB[[#This Row],[Data Reserva - Feriado e Fds]],TODAY(),Feriados[Data])-1))</f>
        <v>D+1</v>
      </c>
      <c r="K84" s="40" t="str">
        <f ca="1">IF(RES_AB[[#This Row],[Reserva]]="","",CONCATENATE(RES_AB[[#This Row],[Cen.]]," | ",RES_AB[[#This Row],[SLA2]]))</f>
        <v>11EU | D+1</v>
      </c>
      <c r="L84" s="40">
        <f ca="1">IF(RES_AB[[#This Row],[Reserva]]="","",IF(RES_AB[[#This Row],[SLA2]]=RES_AB[[#This Row],[Reserva]]="","",COUNTIF(MB25_VOLUMETRIA[Reserva],RES_AB[[#This Row],[Reserva]])))</f>
        <v>1</v>
      </c>
      <c r="M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4" s="37" t="str">
        <f>IF(RES_AB[[#This Row],[Cen.]]="","",IFERROR(VLOOKUP(RES_AB[[#This Row],[Cen.]],Dados_Empresas[],2,FALSE),"Verificar empresa"))</f>
        <v>EMBRATEL</v>
      </c>
      <c r="P84" s="37" t="str">
        <f>IF(RES_AB[[#This Row],[Empresa]]="","",IF(OR(RES_AB[[#This Row],[Empresa]]="NET MASSIVO",RES_AB[[#This Row],[Empresa]]="NET PROJETOS"),"NET","EMPRESARIAL"))</f>
        <v>EMPRESARIAL</v>
      </c>
      <c r="Q84" s="37" t="str">
        <f>IF(RES_AB[[#This Row],[Reserva]]="","",IFERROR(VLOOKUP(RES_AB[[#This Row],[Reserva]],Tabela3[[Reserva]:[Descrição do status]],18,FALSE),"CONVENCIONAL"))</f>
        <v>CONVENCIONAL</v>
      </c>
    </row>
    <row r="85" spans="1:17" x14ac:dyDescent="0.25">
      <c r="A85" s="37">
        <v>4382976</v>
      </c>
      <c r="B85" s="37" t="s">
        <v>17</v>
      </c>
      <c r="C85" s="38" t="s">
        <v>17</v>
      </c>
      <c r="D85" s="38">
        <v>45449</v>
      </c>
      <c r="E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5" s="39">
        <f>IFERROR(VLOOKUP(RES_AB[[#This Row],[Reserva]],Tabela8[[Reserva]:[Usuário]],7,FALSE),Dados!$A$17)</f>
        <v>0.48831018518518521</v>
      </c>
      <c r="G85" s="40">
        <f>IF(RES_AB[[#This Row],[Reserva]]="","",IF(RES_AB[[#This Row],[Hora Int WMS]]&lt;Dados!$A$16,2,2))</f>
        <v>2</v>
      </c>
      <c r="H85" s="40" t="str">
        <f>IF(RES_AB[[#This Row],[Reserva]]="","",IFERROR(VLOOKUP(RES_AB[[#This Row],[Reserva]],Tabela3[[Reserva]:[Condição para Faturamento]],20,FALSE),"IMPORTADO COM SUCESSO"))</f>
        <v>EM RESSUPRIMENTO</v>
      </c>
      <c r="I85" s="38">
        <f>IF(RES_AB[[#This Row],[Data base]]="","",WORKDAY(RES_AB[[#This Row],[Data Reserva - Feriado e Fds]],RES_AB[[#This Row],[Dias para atendimento]],Feriados[Data]))</f>
        <v>45453</v>
      </c>
      <c r="J85" s="40" t="str">
        <f ca="1">IF(RES_AB[[#This Row],[Reserva]]="","",CONCATENATE("D+",NETWORKDAYS(RES_AB[[#This Row],[Data Reserva - Feriado e Fds]],TODAY(),Feriados[Data])-1))</f>
        <v>D+1</v>
      </c>
      <c r="K85" s="40" t="str">
        <f ca="1">IF(RES_AB[[#This Row],[Reserva]]="","",CONCATENATE(RES_AB[[#This Row],[Cen.]]," | ",RES_AB[[#This Row],[SLA2]]))</f>
        <v>11EU | D+1</v>
      </c>
      <c r="L85" s="40">
        <f ca="1">IF(RES_AB[[#This Row],[Reserva]]="","",IF(RES_AB[[#This Row],[SLA2]]=RES_AB[[#This Row],[Reserva]]="","",COUNTIF(MB25_VOLUMETRIA[Reserva],RES_AB[[#This Row],[Reserva]])))</f>
        <v>1</v>
      </c>
      <c r="M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5" s="37" t="str">
        <f>IF(RES_AB[[#This Row],[Cen.]]="","",IFERROR(VLOOKUP(RES_AB[[#This Row],[Cen.]],Dados_Empresas[],2,FALSE),"Verificar empresa"))</f>
        <v>EMBRATEL</v>
      </c>
      <c r="P85" s="37" t="str">
        <f>IF(RES_AB[[#This Row],[Empresa]]="","",IF(OR(RES_AB[[#This Row],[Empresa]]="NET MASSIVO",RES_AB[[#This Row],[Empresa]]="NET PROJETOS"),"NET","EMPRESARIAL"))</f>
        <v>EMPRESARIAL</v>
      </c>
      <c r="Q85" s="37" t="str">
        <f>IF(RES_AB[[#This Row],[Reserva]]="","",IFERROR(VLOOKUP(RES_AB[[#This Row],[Reserva]],Tabela3[[Reserva]:[Descrição do status]],18,FALSE),"CONVENCIONAL"))</f>
        <v>CONVENCIONAL</v>
      </c>
    </row>
    <row r="86" spans="1:17" x14ac:dyDescent="0.25">
      <c r="A86" s="37">
        <v>4382977</v>
      </c>
      <c r="B86" s="37" t="s">
        <v>17</v>
      </c>
      <c r="C86" s="38" t="s">
        <v>17</v>
      </c>
      <c r="D86" s="38">
        <v>45449</v>
      </c>
      <c r="E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6" s="39">
        <f>IFERROR(VLOOKUP(RES_AB[[#This Row],[Reserva]],Tabela8[[Reserva]:[Usuário]],7,FALSE),Dados!$A$17)</f>
        <v>0.48831018518518521</v>
      </c>
      <c r="G86" s="40">
        <f>IF(RES_AB[[#This Row],[Reserva]]="","",IF(RES_AB[[#This Row],[Hora Int WMS]]&lt;Dados!$A$16,2,2))</f>
        <v>2</v>
      </c>
      <c r="H86" s="40" t="str">
        <f>IF(RES_AB[[#This Row],[Reserva]]="","",IFERROR(VLOOKUP(RES_AB[[#This Row],[Reserva]],Tabela3[[Reserva]:[Condição para Faturamento]],20,FALSE),"IMPORTADO COM SUCESSO"))</f>
        <v>AGUARDANDO SEPARAÇÃO</v>
      </c>
      <c r="I86" s="38">
        <f>IF(RES_AB[[#This Row],[Data base]]="","",WORKDAY(RES_AB[[#This Row],[Data Reserva - Feriado e Fds]],RES_AB[[#This Row],[Dias para atendimento]],Feriados[Data]))</f>
        <v>45453</v>
      </c>
      <c r="J86" s="40" t="str">
        <f ca="1">IF(RES_AB[[#This Row],[Reserva]]="","",CONCATENATE("D+",NETWORKDAYS(RES_AB[[#This Row],[Data Reserva - Feriado e Fds]],TODAY(),Feriados[Data])-1))</f>
        <v>D+1</v>
      </c>
      <c r="K86" s="40" t="str">
        <f ca="1">IF(RES_AB[[#This Row],[Reserva]]="","",CONCATENATE(RES_AB[[#This Row],[Cen.]]," | ",RES_AB[[#This Row],[SLA2]]))</f>
        <v>11EU | D+1</v>
      </c>
      <c r="L86" s="40">
        <f ca="1">IF(RES_AB[[#This Row],[Reserva]]="","",IF(RES_AB[[#This Row],[SLA2]]=RES_AB[[#This Row],[Reserva]]="","",COUNTIF(MB25_VOLUMETRIA[Reserva],RES_AB[[#This Row],[Reserva]])))</f>
        <v>1</v>
      </c>
      <c r="M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6" s="37" t="str">
        <f>IF(RES_AB[[#This Row],[Cen.]]="","",IFERROR(VLOOKUP(RES_AB[[#This Row],[Cen.]],Dados_Empresas[],2,FALSE),"Verificar empresa"))</f>
        <v>EMBRATEL</v>
      </c>
      <c r="P86" s="37" t="str">
        <f>IF(RES_AB[[#This Row],[Empresa]]="","",IF(OR(RES_AB[[#This Row],[Empresa]]="NET MASSIVO",RES_AB[[#This Row],[Empresa]]="NET PROJETOS"),"NET","EMPRESARIAL"))</f>
        <v>EMPRESARIAL</v>
      </c>
      <c r="Q86" s="37" t="str">
        <f>IF(RES_AB[[#This Row],[Reserva]]="","",IFERROR(VLOOKUP(RES_AB[[#This Row],[Reserva]],Tabela3[[Reserva]:[Descrição do status]],18,FALSE),"CONVENCIONAL"))</f>
        <v>CONVENCIONAL</v>
      </c>
    </row>
    <row r="87" spans="1:17" x14ac:dyDescent="0.25">
      <c r="A87" s="37">
        <v>4382978</v>
      </c>
      <c r="B87" s="37" t="s">
        <v>17</v>
      </c>
      <c r="C87" s="38" t="s">
        <v>17</v>
      </c>
      <c r="D87" s="38">
        <v>45449</v>
      </c>
      <c r="E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7" s="39">
        <f>IFERROR(VLOOKUP(RES_AB[[#This Row],[Reserva]],Tabela8[[Reserva]:[Usuário]],7,FALSE),Dados!$A$17)</f>
        <v>0.48842592592592593</v>
      </c>
      <c r="G87" s="40">
        <f>IF(RES_AB[[#This Row],[Reserva]]="","",IF(RES_AB[[#This Row],[Hora Int WMS]]&lt;Dados!$A$16,2,2))</f>
        <v>2</v>
      </c>
      <c r="H87" s="40" t="str">
        <f>IF(RES_AB[[#This Row],[Reserva]]="","",IFERROR(VLOOKUP(RES_AB[[#This Row],[Reserva]],Tabela3[[Reserva]:[Condição para Faturamento]],20,FALSE),"IMPORTADO COM SUCESSO"))</f>
        <v>EM RESSUPRIMENTO</v>
      </c>
      <c r="I87" s="38">
        <f>IF(RES_AB[[#This Row],[Data base]]="","",WORKDAY(RES_AB[[#This Row],[Data Reserva - Feriado e Fds]],RES_AB[[#This Row],[Dias para atendimento]],Feriados[Data]))</f>
        <v>45453</v>
      </c>
      <c r="J87" s="40" t="str">
        <f ca="1">IF(RES_AB[[#This Row],[Reserva]]="","",CONCATENATE("D+",NETWORKDAYS(RES_AB[[#This Row],[Data Reserva - Feriado e Fds]],TODAY(),Feriados[Data])-1))</f>
        <v>D+1</v>
      </c>
      <c r="K87" s="40" t="str">
        <f ca="1">IF(RES_AB[[#This Row],[Reserva]]="","",CONCATENATE(RES_AB[[#This Row],[Cen.]]," | ",RES_AB[[#This Row],[SLA2]]))</f>
        <v>11EU | D+1</v>
      </c>
      <c r="L87" s="40">
        <f ca="1">IF(RES_AB[[#This Row],[Reserva]]="","",IF(RES_AB[[#This Row],[SLA2]]=RES_AB[[#This Row],[Reserva]]="","",COUNTIF(MB25_VOLUMETRIA[Reserva],RES_AB[[#This Row],[Reserva]])))</f>
        <v>1</v>
      </c>
      <c r="M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7" s="37" t="str">
        <f>IF(RES_AB[[#This Row],[Cen.]]="","",IFERROR(VLOOKUP(RES_AB[[#This Row],[Cen.]],Dados_Empresas[],2,FALSE),"Verificar empresa"))</f>
        <v>EMBRATEL</v>
      </c>
      <c r="P87" s="37" t="str">
        <f>IF(RES_AB[[#This Row],[Empresa]]="","",IF(OR(RES_AB[[#This Row],[Empresa]]="NET MASSIVO",RES_AB[[#This Row],[Empresa]]="NET PROJETOS"),"NET","EMPRESARIAL"))</f>
        <v>EMPRESARIAL</v>
      </c>
      <c r="Q87" s="37" t="str">
        <f>IF(RES_AB[[#This Row],[Reserva]]="","",IFERROR(VLOOKUP(RES_AB[[#This Row],[Reserva]],Tabela3[[Reserva]:[Descrição do status]],18,FALSE),"CONVENCIONAL"))</f>
        <v>CONVENCIONAL</v>
      </c>
    </row>
    <row r="88" spans="1:17" x14ac:dyDescent="0.25">
      <c r="A88" s="37">
        <v>4382979</v>
      </c>
      <c r="B88" s="37" t="s">
        <v>17</v>
      </c>
      <c r="C88" s="38" t="s">
        <v>17</v>
      </c>
      <c r="D88" s="38">
        <v>45449</v>
      </c>
      <c r="E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8" s="39">
        <f>IFERROR(VLOOKUP(RES_AB[[#This Row],[Reserva]],Tabela8[[Reserva]:[Usuário]],7,FALSE),Dados!$A$17)</f>
        <v>0.48842592592592593</v>
      </c>
      <c r="G88" s="40">
        <f>IF(RES_AB[[#This Row],[Reserva]]="","",IF(RES_AB[[#This Row],[Hora Int WMS]]&lt;Dados!$A$16,2,2))</f>
        <v>2</v>
      </c>
      <c r="H88" s="40" t="str">
        <f>IF(RES_AB[[#This Row],[Reserva]]="","",IFERROR(VLOOKUP(RES_AB[[#This Row],[Reserva]],Tabela3[[Reserva]:[Condição para Faturamento]],20,FALSE),"IMPORTADO COM SUCESSO"))</f>
        <v>EM RESSUPRIMENTO</v>
      </c>
      <c r="I88" s="38">
        <f>IF(RES_AB[[#This Row],[Data base]]="","",WORKDAY(RES_AB[[#This Row],[Data Reserva - Feriado e Fds]],RES_AB[[#This Row],[Dias para atendimento]],Feriados[Data]))</f>
        <v>45453</v>
      </c>
      <c r="J88" s="40" t="str">
        <f ca="1">IF(RES_AB[[#This Row],[Reserva]]="","",CONCATENATE("D+",NETWORKDAYS(RES_AB[[#This Row],[Data Reserva - Feriado e Fds]],TODAY(),Feriados[Data])-1))</f>
        <v>D+1</v>
      </c>
      <c r="K88" s="40" t="str">
        <f ca="1">IF(RES_AB[[#This Row],[Reserva]]="","",CONCATENATE(RES_AB[[#This Row],[Cen.]]," | ",RES_AB[[#This Row],[SLA2]]))</f>
        <v>11EU | D+1</v>
      </c>
      <c r="L88" s="40">
        <f ca="1">IF(RES_AB[[#This Row],[Reserva]]="","",IF(RES_AB[[#This Row],[SLA2]]=RES_AB[[#This Row],[Reserva]]="","",COUNTIF(MB25_VOLUMETRIA[Reserva],RES_AB[[#This Row],[Reserva]])))</f>
        <v>1</v>
      </c>
      <c r="M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8" s="37" t="str">
        <f>IF(RES_AB[[#This Row],[Cen.]]="","",IFERROR(VLOOKUP(RES_AB[[#This Row],[Cen.]],Dados_Empresas[],2,FALSE),"Verificar empresa"))</f>
        <v>EMBRATEL</v>
      </c>
      <c r="P88" s="37" t="str">
        <f>IF(RES_AB[[#This Row],[Empresa]]="","",IF(OR(RES_AB[[#This Row],[Empresa]]="NET MASSIVO",RES_AB[[#This Row],[Empresa]]="NET PROJETOS"),"NET","EMPRESARIAL"))</f>
        <v>EMPRESARIAL</v>
      </c>
      <c r="Q88" s="37" t="str">
        <f>IF(RES_AB[[#This Row],[Reserva]]="","",IFERROR(VLOOKUP(RES_AB[[#This Row],[Reserva]],Tabela3[[Reserva]:[Descrição do status]],18,FALSE),"CONVENCIONAL"))</f>
        <v>CONVENCIONAL</v>
      </c>
    </row>
    <row r="89" spans="1:17" x14ac:dyDescent="0.25">
      <c r="A89" s="37">
        <v>4382980</v>
      </c>
      <c r="B89" s="37" t="s">
        <v>17</v>
      </c>
      <c r="C89" s="38" t="s">
        <v>17</v>
      </c>
      <c r="D89" s="38">
        <v>45449</v>
      </c>
      <c r="E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89" s="39">
        <f>IFERROR(VLOOKUP(RES_AB[[#This Row],[Reserva]],Tabela8[[Reserva]:[Usuário]],7,FALSE),Dados!$A$17)</f>
        <v>0.48854166666666665</v>
      </c>
      <c r="G89" s="40">
        <f>IF(RES_AB[[#This Row],[Reserva]]="","",IF(RES_AB[[#This Row],[Hora Int WMS]]&lt;Dados!$A$16,2,2))</f>
        <v>2</v>
      </c>
      <c r="H89" s="40" t="str">
        <f>IF(RES_AB[[#This Row],[Reserva]]="","",IFERROR(VLOOKUP(RES_AB[[#This Row],[Reserva]],Tabela3[[Reserva]:[Condição para Faturamento]],20,FALSE),"IMPORTADO COM SUCESSO"))</f>
        <v>EM RESSUPRIMENTO</v>
      </c>
      <c r="I89" s="38">
        <f>IF(RES_AB[[#This Row],[Data base]]="","",WORKDAY(RES_AB[[#This Row],[Data Reserva - Feriado e Fds]],RES_AB[[#This Row],[Dias para atendimento]],Feriados[Data]))</f>
        <v>45453</v>
      </c>
      <c r="J89" s="40" t="str">
        <f ca="1">IF(RES_AB[[#This Row],[Reserva]]="","",CONCATENATE("D+",NETWORKDAYS(RES_AB[[#This Row],[Data Reserva - Feriado e Fds]],TODAY(),Feriados[Data])-1))</f>
        <v>D+1</v>
      </c>
      <c r="K89" s="40" t="str">
        <f ca="1">IF(RES_AB[[#This Row],[Reserva]]="","",CONCATENATE(RES_AB[[#This Row],[Cen.]]," | ",RES_AB[[#This Row],[SLA2]]))</f>
        <v>11EU | D+1</v>
      </c>
      <c r="L89" s="40">
        <f ca="1">IF(RES_AB[[#This Row],[Reserva]]="","",IF(RES_AB[[#This Row],[SLA2]]=RES_AB[[#This Row],[Reserva]]="","",COUNTIF(MB25_VOLUMETRIA[Reserva],RES_AB[[#This Row],[Reserva]])))</f>
        <v>1</v>
      </c>
      <c r="M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89" s="37" t="str">
        <f>IF(RES_AB[[#This Row],[Cen.]]="","",IFERROR(VLOOKUP(RES_AB[[#This Row],[Cen.]],Dados_Empresas[],2,FALSE),"Verificar empresa"))</f>
        <v>EMBRATEL</v>
      </c>
      <c r="P89" s="37" t="str">
        <f>IF(RES_AB[[#This Row],[Empresa]]="","",IF(OR(RES_AB[[#This Row],[Empresa]]="NET MASSIVO",RES_AB[[#This Row],[Empresa]]="NET PROJETOS"),"NET","EMPRESARIAL"))</f>
        <v>EMPRESARIAL</v>
      </c>
      <c r="Q89" s="37" t="str">
        <f>IF(RES_AB[[#This Row],[Reserva]]="","",IFERROR(VLOOKUP(RES_AB[[#This Row],[Reserva]],Tabela3[[Reserva]:[Descrição do status]],18,FALSE),"CONVENCIONAL"))</f>
        <v>CONVENCIONAL</v>
      </c>
    </row>
    <row r="90" spans="1:17" x14ac:dyDescent="0.25">
      <c r="A90" s="37">
        <v>4382981</v>
      </c>
      <c r="B90" s="37" t="s">
        <v>17</v>
      </c>
      <c r="C90" s="38" t="s">
        <v>17</v>
      </c>
      <c r="D90" s="38">
        <v>45449</v>
      </c>
      <c r="E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0" s="39">
        <f>IFERROR(VLOOKUP(RES_AB[[#This Row],[Reserva]],Tabela8[[Reserva]:[Usuário]],7,FALSE),Dados!$A$17)</f>
        <v>0.48854166666666665</v>
      </c>
      <c r="G90" s="40">
        <f>IF(RES_AB[[#This Row],[Reserva]]="","",IF(RES_AB[[#This Row],[Hora Int WMS]]&lt;Dados!$A$16,2,2))</f>
        <v>2</v>
      </c>
      <c r="H90" s="40" t="str">
        <f>IF(RES_AB[[#This Row],[Reserva]]="","",IFERROR(VLOOKUP(RES_AB[[#This Row],[Reserva]],Tabela3[[Reserva]:[Condição para Faturamento]],20,FALSE),"IMPORTADO COM SUCESSO"))</f>
        <v>EM RESSUPRIMENTO</v>
      </c>
      <c r="I90" s="38">
        <f>IF(RES_AB[[#This Row],[Data base]]="","",WORKDAY(RES_AB[[#This Row],[Data Reserva - Feriado e Fds]],RES_AB[[#This Row],[Dias para atendimento]],Feriados[Data]))</f>
        <v>45453</v>
      </c>
      <c r="J90" s="40" t="str">
        <f ca="1">IF(RES_AB[[#This Row],[Reserva]]="","",CONCATENATE("D+",NETWORKDAYS(RES_AB[[#This Row],[Data Reserva - Feriado e Fds]],TODAY(),Feriados[Data])-1))</f>
        <v>D+1</v>
      </c>
      <c r="K90" s="40" t="str">
        <f ca="1">IF(RES_AB[[#This Row],[Reserva]]="","",CONCATENATE(RES_AB[[#This Row],[Cen.]]," | ",RES_AB[[#This Row],[SLA2]]))</f>
        <v>11EU | D+1</v>
      </c>
      <c r="L90" s="40">
        <f ca="1">IF(RES_AB[[#This Row],[Reserva]]="","",IF(RES_AB[[#This Row],[SLA2]]=RES_AB[[#This Row],[Reserva]]="","",COUNTIF(MB25_VOLUMETRIA[Reserva],RES_AB[[#This Row],[Reserva]])))</f>
        <v>1</v>
      </c>
      <c r="M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0" s="37" t="str">
        <f>IF(RES_AB[[#This Row],[Cen.]]="","",IFERROR(VLOOKUP(RES_AB[[#This Row],[Cen.]],Dados_Empresas[],2,FALSE),"Verificar empresa"))</f>
        <v>EMBRATEL</v>
      </c>
      <c r="P90" s="37" t="str">
        <f>IF(RES_AB[[#This Row],[Empresa]]="","",IF(OR(RES_AB[[#This Row],[Empresa]]="NET MASSIVO",RES_AB[[#This Row],[Empresa]]="NET PROJETOS"),"NET","EMPRESARIAL"))</f>
        <v>EMPRESARIAL</v>
      </c>
      <c r="Q90" s="37" t="str">
        <f>IF(RES_AB[[#This Row],[Reserva]]="","",IFERROR(VLOOKUP(RES_AB[[#This Row],[Reserva]],Tabela3[[Reserva]:[Descrição do status]],18,FALSE),"CONVENCIONAL"))</f>
        <v>CONVENCIONAL</v>
      </c>
    </row>
    <row r="91" spans="1:17" x14ac:dyDescent="0.25">
      <c r="A91" s="37">
        <v>4382982</v>
      </c>
      <c r="B91" s="37" t="s">
        <v>17</v>
      </c>
      <c r="C91" s="38" t="s">
        <v>17</v>
      </c>
      <c r="D91" s="38">
        <v>45449</v>
      </c>
      <c r="E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1" s="39">
        <f>IFERROR(VLOOKUP(RES_AB[[#This Row],[Reserva]],Tabela8[[Reserva]:[Usuário]],7,FALSE),Dados!$A$17)</f>
        <v>0.48865740740740743</v>
      </c>
      <c r="G91" s="40">
        <f>IF(RES_AB[[#This Row],[Reserva]]="","",IF(RES_AB[[#This Row],[Hora Int WMS]]&lt;Dados!$A$16,2,2))</f>
        <v>2</v>
      </c>
      <c r="H91" s="40" t="str">
        <f>IF(RES_AB[[#This Row],[Reserva]]="","",IFERROR(VLOOKUP(RES_AB[[#This Row],[Reserva]],Tabela3[[Reserva]:[Condição para Faturamento]],20,FALSE),"IMPORTADO COM SUCESSO"))</f>
        <v>EM RESSUPRIMENTO</v>
      </c>
      <c r="I91" s="38">
        <f>IF(RES_AB[[#This Row],[Data base]]="","",WORKDAY(RES_AB[[#This Row],[Data Reserva - Feriado e Fds]],RES_AB[[#This Row],[Dias para atendimento]],Feriados[Data]))</f>
        <v>45453</v>
      </c>
      <c r="J91" s="40" t="str">
        <f ca="1">IF(RES_AB[[#This Row],[Reserva]]="","",CONCATENATE("D+",NETWORKDAYS(RES_AB[[#This Row],[Data Reserva - Feriado e Fds]],TODAY(),Feriados[Data])-1))</f>
        <v>D+1</v>
      </c>
      <c r="K91" s="40" t="str">
        <f ca="1">IF(RES_AB[[#This Row],[Reserva]]="","",CONCATENATE(RES_AB[[#This Row],[Cen.]]," | ",RES_AB[[#This Row],[SLA2]]))</f>
        <v>11EU | D+1</v>
      </c>
      <c r="L91" s="40">
        <f ca="1">IF(RES_AB[[#This Row],[Reserva]]="","",IF(RES_AB[[#This Row],[SLA2]]=RES_AB[[#This Row],[Reserva]]="","",COUNTIF(MB25_VOLUMETRIA[Reserva],RES_AB[[#This Row],[Reserva]])))</f>
        <v>1</v>
      </c>
      <c r="M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1" s="37" t="str">
        <f>IF(RES_AB[[#This Row],[Cen.]]="","",IFERROR(VLOOKUP(RES_AB[[#This Row],[Cen.]],Dados_Empresas[],2,FALSE),"Verificar empresa"))</f>
        <v>EMBRATEL</v>
      </c>
      <c r="P91" s="37" t="str">
        <f>IF(RES_AB[[#This Row],[Empresa]]="","",IF(OR(RES_AB[[#This Row],[Empresa]]="NET MASSIVO",RES_AB[[#This Row],[Empresa]]="NET PROJETOS"),"NET","EMPRESARIAL"))</f>
        <v>EMPRESARIAL</v>
      </c>
      <c r="Q91" s="37" t="str">
        <f>IF(RES_AB[[#This Row],[Reserva]]="","",IFERROR(VLOOKUP(RES_AB[[#This Row],[Reserva]],Tabela3[[Reserva]:[Descrição do status]],18,FALSE),"CONVENCIONAL"))</f>
        <v>CONVENCIONAL</v>
      </c>
    </row>
    <row r="92" spans="1:17" x14ac:dyDescent="0.25">
      <c r="A92" s="37">
        <v>4382983</v>
      </c>
      <c r="B92" s="37" t="s">
        <v>17</v>
      </c>
      <c r="C92" s="38" t="s">
        <v>17</v>
      </c>
      <c r="D92" s="38">
        <v>45449</v>
      </c>
      <c r="E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2" s="39">
        <f>IFERROR(VLOOKUP(RES_AB[[#This Row],[Reserva]],Tabela8[[Reserva]:[Usuário]],7,FALSE),Dados!$A$17)</f>
        <v>0.48865740740740743</v>
      </c>
      <c r="G92" s="40">
        <f>IF(RES_AB[[#This Row],[Reserva]]="","",IF(RES_AB[[#This Row],[Hora Int WMS]]&lt;Dados!$A$16,2,2))</f>
        <v>2</v>
      </c>
      <c r="H92" s="40" t="str">
        <f>IF(RES_AB[[#This Row],[Reserva]]="","",IFERROR(VLOOKUP(RES_AB[[#This Row],[Reserva]],Tabela3[[Reserva]:[Condição para Faturamento]],20,FALSE),"IMPORTADO COM SUCESSO"))</f>
        <v>EM RESSUPRIMENTO</v>
      </c>
      <c r="I92" s="38">
        <f>IF(RES_AB[[#This Row],[Data base]]="","",WORKDAY(RES_AB[[#This Row],[Data Reserva - Feriado e Fds]],RES_AB[[#This Row],[Dias para atendimento]],Feriados[Data]))</f>
        <v>45453</v>
      </c>
      <c r="J92" s="40" t="str">
        <f ca="1">IF(RES_AB[[#This Row],[Reserva]]="","",CONCATENATE("D+",NETWORKDAYS(RES_AB[[#This Row],[Data Reserva - Feriado e Fds]],TODAY(),Feriados[Data])-1))</f>
        <v>D+1</v>
      </c>
      <c r="K92" s="40" t="str">
        <f ca="1">IF(RES_AB[[#This Row],[Reserva]]="","",CONCATENATE(RES_AB[[#This Row],[Cen.]]," | ",RES_AB[[#This Row],[SLA2]]))</f>
        <v>11EU | D+1</v>
      </c>
      <c r="L92" s="40">
        <f ca="1">IF(RES_AB[[#This Row],[Reserva]]="","",IF(RES_AB[[#This Row],[SLA2]]=RES_AB[[#This Row],[Reserva]]="","",COUNTIF(MB25_VOLUMETRIA[Reserva],RES_AB[[#This Row],[Reserva]])))</f>
        <v>1</v>
      </c>
      <c r="M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2" s="37" t="str">
        <f>IF(RES_AB[[#This Row],[Cen.]]="","",IFERROR(VLOOKUP(RES_AB[[#This Row],[Cen.]],Dados_Empresas[],2,FALSE),"Verificar empresa"))</f>
        <v>EMBRATEL</v>
      </c>
      <c r="P92" s="37" t="str">
        <f>IF(RES_AB[[#This Row],[Empresa]]="","",IF(OR(RES_AB[[#This Row],[Empresa]]="NET MASSIVO",RES_AB[[#This Row],[Empresa]]="NET PROJETOS"),"NET","EMPRESARIAL"))</f>
        <v>EMPRESARIAL</v>
      </c>
      <c r="Q92" s="37" t="str">
        <f>IF(RES_AB[[#This Row],[Reserva]]="","",IFERROR(VLOOKUP(RES_AB[[#This Row],[Reserva]],Tabela3[[Reserva]:[Descrição do status]],18,FALSE),"CONVENCIONAL"))</f>
        <v>CONVENCIONAL</v>
      </c>
    </row>
    <row r="93" spans="1:17" x14ac:dyDescent="0.25">
      <c r="A93" s="37">
        <v>4382984</v>
      </c>
      <c r="B93" s="37" t="s">
        <v>17</v>
      </c>
      <c r="C93" s="38" t="s">
        <v>17</v>
      </c>
      <c r="D93" s="38">
        <v>45449</v>
      </c>
      <c r="E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3" s="39">
        <f>IFERROR(VLOOKUP(RES_AB[[#This Row],[Reserva]],Tabela8[[Reserva]:[Usuário]],7,FALSE),Dados!$A$17)</f>
        <v>0.48877314814814815</v>
      </c>
      <c r="G93" s="40">
        <f>IF(RES_AB[[#This Row],[Reserva]]="","",IF(RES_AB[[#This Row],[Hora Int WMS]]&lt;Dados!$A$16,2,2))</f>
        <v>2</v>
      </c>
      <c r="H93" s="40" t="str">
        <f>IF(RES_AB[[#This Row],[Reserva]]="","",IFERROR(VLOOKUP(RES_AB[[#This Row],[Reserva]],Tabela3[[Reserva]:[Condição para Faturamento]],20,FALSE),"IMPORTADO COM SUCESSO"))</f>
        <v>EM RESSUPRIMENTO</v>
      </c>
      <c r="I93" s="38">
        <f>IF(RES_AB[[#This Row],[Data base]]="","",WORKDAY(RES_AB[[#This Row],[Data Reserva - Feriado e Fds]],RES_AB[[#This Row],[Dias para atendimento]],Feriados[Data]))</f>
        <v>45453</v>
      </c>
      <c r="J93" s="40" t="str">
        <f ca="1">IF(RES_AB[[#This Row],[Reserva]]="","",CONCATENATE("D+",NETWORKDAYS(RES_AB[[#This Row],[Data Reserva - Feriado e Fds]],TODAY(),Feriados[Data])-1))</f>
        <v>D+1</v>
      </c>
      <c r="K93" s="40" t="str">
        <f ca="1">IF(RES_AB[[#This Row],[Reserva]]="","",CONCATENATE(RES_AB[[#This Row],[Cen.]]," | ",RES_AB[[#This Row],[SLA2]]))</f>
        <v>11EU | D+1</v>
      </c>
      <c r="L93" s="40">
        <f ca="1">IF(RES_AB[[#This Row],[Reserva]]="","",IF(RES_AB[[#This Row],[SLA2]]=RES_AB[[#This Row],[Reserva]]="","",COUNTIF(MB25_VOLUMETRIA[Reserva],RES_AB[[#This Row],[Reserva]])))</f>
        <v>1</v>
      </c>
      <c r="M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3" s="37" t="str">
        <f>IF(RES_AB[[#This Row],[Cen.]]="","",IFERROR(VLOOKUP(RES_AB[[#This Row],[Cen.]],Dados_Empresas[],2,FALSE),"Verificar empresa"))</f>
        <v>EMBRATEL</v>
      </c>
      <c r="P93" s="37" t="str">
        <f>IF(RES_AB[[#This Row],[Empresa]]="","",IF(OR(RES_AB[[#This Row],[Empresa]]="NET MASSIVO",RES_AB[[#This Row],[Empresa]]="NET PROJETOS"),"NET","EMPRESARIAL"))</f>
        <v>EMPRESARIAL</v>
      </c>
      <c r="Q93" s="37" t="str">
        <f>IF(RES_AB[[#This Row],[Reserva]]="","",IFERROR(VLOOKUP(RES_AB[[#This Row],[Reserva]],Tabela3[[Reserva]:[Descrição do status]],18,FALSE),"CONVENCIONAL"))</f>
        <v>CONVENCIONAL</v>
      </c>
    </row>
    <row r="94" spans="1:17" x14ac:dyDescent="0.25">
      <c r="A94" s="37">
        <v>4382985</v>
      </c>
      <c r="B94" s="37" t="s">
        <v>17</v>
      </c>
      <c r="C94" s="38" t="s">
        <v>17</v>
      </c>
      <c r="D94" s="38">
        <v>45449</v>
      </c>
      <c r="E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4" s="39">
        <f>IFERROR(VLOOKUP(RES_AB[[#This Row],[Reserva]],Tabela8[[Reserva]:[Usuário]],7,FALSE),Dados!$A$17)</f>
        <v>0.48877314814814815</v>
      </c>
      <c r="G94" s="40">
        <f>IF(RES_AB[[#This Row],[Reserva]]="","",IF(RES_AB[[#This Row],[Hora Int WMS]]&lt;Dados!$A$16,2,2))</f>
        <v>2</v>
      </c>
      <c r="H94" s="40" t="str">
        <f>IF(RES_AB[[#This Row],[Reserva]]="","",IFERROR(VLOOKUP(RES_AB[[#This Row],[Reserva]],Tabela3[[Reserva]:[Condição para Faturamento]],20,FALSE),"IMPORTADO COM SUCESSO"))</f>
        <v>EM RESSUPRIMENTO</v>
      </c>
      <c r="I94" s="38">
        <f>IF(RES_AB[[#This Row],[Data base]]="","",WORKDAY(RES_AB[[#This Row],[Data Reserva - Feriado e Fds]],RES_AB[[#This Row],[Dias para atendimento]],Feriados[Data]))</f>
        <v>45453</v>
      </c>
      <c r="J94" s="40" t="str">
        <f ca="1">IF(RES_AB[[#This Row],[Reserva]]="","",CONCATENATE("D+",NETWORKDAYS(RES_AB[[#This Row],[Data Reserva - Feriado e Fds]],TODAY(),Feriados[Data])-1))</f>
        <v>D+1</v>
      </c>
      <c r="K94" s="40" t="str">
        <f ca="1">IF(RES_AB[[#This Row],[Reserva]]="","",CONCATENATE(RES_AB[[#This Row],[Cen.]]," | ",RES_AB[[#This Row],[SLA2]]))</f>
        <v>11EU | D+1</v>
      </c>
      <c r="L94" s="40">
        <f ca="1">IF(RES_AB[[#This Row],[Reserva]]="","",IF(RES_AB[[#This Row],[SLA2]]=RES_AB[[#This Row],[Reserva]]="","",COUNTIF(MB25_VOLUMETRIA[Reserva],RES_AB[[#This Row],[Reserva]])))</f>
        <v>1</v>
      </c>
      <c r="M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4" s="37" t="str">
        <f>IF(RES_AB[[#This Row],[Cen.]]="","",IFERROR(VLOOKUP(RES_AB[[#This Row],[Cen.]],Dados_Empresas[],2,FALSE),"Verificar empresa"))</f>
        <v>EMBRATEL</v>
      </c>
      <c r="P94" s="37" t="str">
        <f>IF(RES_AB[[#This Row],[Empresa]]="","",IF(OR(RES_AB[[#This Row],[Empresa]]="NET MASSIVO",RES_AB[[#This Row],[Empresa]]="NET PROJETOS"),"NET","EMPRESARIAL"))</f>
        <v>EMPRESARIAL</v>
      </c>
      <c r="Q94" s="37" t="str">
        <f>IF(RES_AB[[#This Row],[Reserva]]="","",IFERROR(VLOOKUP(RES_AB[[#This Row],[Reserva]],Tabela3[[Reserva]:[Descrição do status]],18,FALSE),"CONVENCIONAL"))</f>
        <v>CONVENCIONAL</v>
      </c>
    </row>
    <row r="95" spans="1:17" x14ac:dyDescent="0.25">
      <c r="A95" s="37">
        <v>4382986</v>
      </c>
      <c r="B95" s="37" t="s">
        <v>17</v>
      </c>
      <c r="C95" s="38" t="s">
        <v>17</v>
      </c>
      <c r="D95" s="38">
        <v>45449</v>
      </c>
      <c r="E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5" s="39">
        <f>IFERROR(VLOOKUP(RES_AB[[#This Row],[Reserva]],Tabela8[[Reserva]:[Usuário]],7,FALSE),Dados!$A$17)</f>
        <v>0.48888888888888887</v>
      </c>
      <c r="G95" s="40">
        <f>IF(RES_AB[[#This Row],[Reserva]]="","",IF(RES_AB[[#This Row],[Hora Int WMS]]&lt;Dados!$A$16,2,2))</f>
        <v>2</v>
      </c>
      <c r="H95" s="40" t="str">
        <f>IF(RES_AB[[#This Row],[Reserva]]="","",IFERROR(VLOOKUP(RES_AB[[#This Row],[Reserva]],Tabela3[[Reserva]:[Condição para Faturamento]],20,FALSE),"IMPORTADO COM SUCESSO"))</f>
        <v>EM RESSUPRIMENTO</v>
      </c>
      <c r="I95" s="38">
        <f>IF(RES_AB[[#This Row],[Data base]]="","",WORKDAY(RES_AB[[#This Row],[Data Reserva - Feriado e Fds]],RES_AB[[#This Row],[Dias para atendimento]],Feriados[Data]))</f>
        <v>45453</v>
      </c>
      <c r="J95" s="40" t="str">
        <f ca="1">IF(RES_AB[[#This Row],[Reserva]]="","",CONCATENATE("D+",NETWORKDAYS(RES_AB[[#This Row],[Data Reserva - Feriado e Fds]],TODAY(),Feriados[Data])-1))</f>
        <v>D+1</v>
      </c>
      <c r="K95" s="40" t="str">
        <f ca="1">IF(RES_AB[[#This Row],[Reserva]]="","",CONCATENATE(RES_AB[[#This Row],[Cen.]]," | ",RES_AB[[#This Row],[SLA2]]))</f>
        <v>11EU | D+1</v>
      </c>
      <c r="L95" s="40">
        <f ca="1">IF(RES_AB[[#This Row],[Reserva]]="","",IF(RES_AB[[#This Row],[SLA2]]=RES_AB[[#This Row],[Reserva]]="","",COUNTIF(MB25_VOLUMETRIA[Reserva],RES_AB[[#This Row],[Reserva]])))</f>
        <v>1</v>
      </c>
      <c r="M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5" s="37" t="str">
        <f>IF(RES_AB[[#This Row],[Cen.]]="","",IFERROR(VLOOKUP(RES_AB[[#This Row],[Cen.]],Dados_Empresas[],2,FALSE),"Verificar empresa"))</f>
        <v>EMBRATEL</v>
      </c>
      <c r="P95" s="37" t="str">
        <f>IF(RES_AB[[#This Row],[Empresa]]="","",IF(OR(RES_AB[[#This Row],[Empresa]]="NET MASSIVO",RES_AB[[#This Row],[Empresa]]="NET PROJETOS"),"NET","EMPRESARIAL"))</f>
        <v>EMPRESARIAL</v>
      </c>
      <c r="Q95" s="37" t="str">
        <f>IF(RES_AB[[#This Row],[Reserva]]="","",IFERROR(VLOOKUP(RES_AB[[#This Row],[Reserva]],Tabela3[[Reserva]:[Descrição do status]],18,FALSE),"CONVENCIONAL"))</f>
        <v>CONVENCIONAL</v>
      </c>
    </row>
    <row r="96" spans="1:17" x14ac:dyDescent="0.25">
      <c r="A96" s="37">
        <v>4382987</v>
      </c>
      <c r="B96" s="37" t="s">
        <v>17</v>
      </c>
      <c r="C96" s="38" t="s">
        <v>17</v>
      </c>
      <c r="D96" s="38">
        <v>45449</v>
      </c>
      <c r="E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6" s="39">
        <f>IFERROR(VLOOKUP(RES_AB[[#This Row],[Reserva]],Tabela8[[Reserva]:[Usuário]],7,FALSE),Dados!$A$17)</f>
        <v>0.48888888888888887</v>
      </c>
      <c r="G96" s="40">
        <f>IF(RES_AB[[#This Row],[Reserva]]="","",IF(RES_AB[[#This Row],[Hora Int WMS]]&lt;Dados!$A$16,2,2))</f>
        <v>2</v>
      </c>
      <c r="H96" s="40" t="str">
        <f>IF(RES_AB[[#This Row],[Reserva]]="","",IFERROR(VLOOKUP(RES_AB[[#This Row],[Reserva]],Tabela3[[Reserva]:[Condição para Faturamento]],20,FALSE),"IMPORTADO COM SUCESSO"))</f>
        <v>EM RESSUPRIMENTO</v>
      </c>
      <c r="I96" s="38">
        <f>IF(RES_AB[[#This Row],[Data base]]="","",WORKDAY(RES_AB[[#This Row],[Data Reserva - Feriado e Fds]],RES_AB[[#This Row],[Dias para atendimento]],Feriados[Data]))</f>
        <v>45453</v>
      </c>
      <c r="J96" s="40" t="str">
        <f ca="1">IF(RES_AB[[#This Row],[Reserva]]="","",CONCATENATE("D+",NETWORKDAYS(RES_AB[[#This Row],[Data Reserva - Feriado e Fds]],TODAY(),Feriados[Data])-1))</f>
        <v>D+1</v>
      </c>
      <c r="K96" s="40" t="str">
        <f ca="1">IF(RES_AB[[#This Row],[Reserva]]="","",CONCATENATE(RES_AB[[#This Row],[Cen.]]," | ",RES_AB[[#This Row],[SLA2]]))</f>
        <v>11EU | D+1</v>
      </c>
      <c r="L96" s="40">
        <f ca="1">IF(RES_AB[[#This Row],[Reserva]]="","",IF(RES_AB[[#This Row],[SLA2]]=RES_AB[[#This Row],[Reserva]]="","",COUNTIF(MB25_VOLUMETRIA[Reserva],RES_AB[[#This Row],[Reserva]])))</f>
        <v>1</v>
      </c>
      <c r="M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6" s="37" t="str">
        <f>IF(RES_AB[[#This Row],[Cen.]]="","",IFERROR(VLOOKUP(RES_AB[[#This Row],[Cen.]],Dados_Empresas[],2,FALSE),"Verificar empresa"))</f>
        <v>EMBRATEL</v>
      </c>
      <c r="P96" s="37" t="str">
        <f>IF(RES_AB[[#This Row],[Empresa]]="","",IF(OR(RES_AB[[#This Row],[Empresa]]="NET MASSIVO",RES_AB[[#This Row],[Empresa]]="NET PROJETOS"),"NET","EMPRESARIAL"))</f>
        <v>EMPRESARIAL</v>
      </c>
      <c r="Q96" s="37" t="str">
        <f>IF(RES_AB[[#This Row],[Reserva]]="","",IFERROR(VLOOKUP(RES_AB[[#This Row],[Reserva]],Tabela3[[Reserva]:[Descrição do status]],18,FALSE),"CONVENCIONAL"))</f>
        <v>CONVENCIONAL</v>
      </c>
    </row>
    <row r="97" spans="1:17" x14ac:dyDescent="0.25">
      <c r="A97" s="37">
        <v>4382988</v>
      </c>
      <c r="B97" s="37" t="s">
        <v>17</v>
      </c>
      <c r="C97" s="38" t="s">
        <v>17</v>
      </c>
      <c r="D97" s="38">
        <v>45449</v>
      </c>
      <c r="E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7" s="39">
        <f>IFERROR(VLOOKUP(RES_AB[[#This Row],[Reserva]],Tabela8[[Reserva]:[Usuário]],7,FALSE),Dados!$A$17)</f>
        <v>0.48888888888888887</v>
      </c>
      <c r="G97" s="40">
        <f>IF(RES_AB[[#This Row],[Reserva]]="","",IF(RES_AB[[#This Row],[Hora Int WMS]]&lt;Dados!$A$16,2,2))</f>
        <v>2</v>
      </c>
      <c r="H97" s="40" t="str">
        <f>IF(RES_AB[[#This Row],[Reserva]]="","",IFERROR(VLOOKUP(RES_AB[[#This Row],[Reserva]],Tabela3[[Reserva]:[Condição para Faturamento]],20,FALSE),"IMPORTADO COM SUCESSO"))</f>
        <v>EM RESSUPRIMENTO</v>
      </c>
      <c r="I97" s="38">
        <f>IF(RES_AB[[#This Row],[Data base]]="","",WORKDAY(RES_AB[[#This Row],[Data Reserva - Feriado e Fds]],RES_AB[[#This Row],[Dias para atendimento]],Feriados[Data]))</f>
        <v>45453</v>
      </c>
      <c r="J97" s="40" t="str">
        <f ca="1">IF(RES_AB[[#This Row],[Reserva]]="","",CONCATENATE("D+",NETWORKDAYS(RES_AB[[#This Row],[Data Reserva - Feriado e Fds]],TODAY(),Feriados[Data])-1))</f>
        <v>D+1</v>
      </c>
      <c r="K97" s="40" t="str">
        <f ca="1">IF(RES_AB[[#This Row],[Reserva]]="","",CONCATENATE(RES_AB[[#This Row],[Cen.]]," | ",RES_AB[[#This Row],[SLA2]]))</f>
        <v>11EU | D+1</v>
      </c>
      <c r="L97" s="40">
        <f ca="1">IF(RES_AB[[#This Row],[Reserva]]="","",IF(RES_AB[[#This Row],[SLA2]]=RES_AB[[#This Row],[Reserva]]="","",COUNTIF(MB25_VOLUMETRIA[Reserva],RES_AB[[#This Row],[Reserva]])))</f>
        <v>2</v>
      </c>
      <c r="M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7" s="37" t="str">
        <f>IF(RES_AB[[#This Row],[Cen.]]="","",IFERROR(VLOOKUP(RES_AB[[#This Row],[Cen.]],Dados_Empresas[],2,FALSE),"Verificar empresa"))</f>
        <v>EMBRATEL</v>
      </c>
      <c r="P97" s="37" t="str">
        <f>IF(RES_AB[[#This Row],[Empresa]]="","",IF(OR(RES_AB[[#This Row],[Empresa]]="NET MASSIVO",RES_AB[[#This Row],[Empresa]]="NET PROJETOS"),"NET","EMPRESARIAL"))</f>
        <v>EMPRESARIAL</v>
      </c>
      <c r="Q97" s="37" t="str">
        <f>IF(RES_AB[[#This Row],[Reserva]]="","",IFERROR(VLOOKUP(RES_AB[[#This Row],[Reserva]],Tabela3[[Reserva]:[Descrição do status]],18,FALSE),"CONVENCIONAL"))</f>
        <v>CONVENCIONAL</v>
      </c>
    </row>
    <row r="98" spans="1:17" x14ac:dyDescent="0.25">
      <c r="A98" s="37">
        <v>4382989</v>
      </c>
      <c r="B98" s="37" t="s">
        <v>17</v>
      </c>
      <c r="C98" s="38" t="s">
        <v>17</v>
      </c>
      <c r="D98" s="38">
        <v>45449</v>
      </c>
      <c r="E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8" s="39">
        <f>IFERROR(VLOOKUP(RES_AB[[#This Row],[Reserva]],Tabela8[[Reserva]:[Usuário]],7,FALSE),Dados!$A$17)</f>
        <v>0.48900462962962965</v>
      </c>
      <c r="G98" s="40">
        <f>IF(RES_AB[[#This Row],[Reserva]]="","",IF(RES_AB[[#This Row],[Hora Int WMS]]&lt;Dados!$A$16,2,2))</f>
        <v>2</v>
      </c>
      <c r="H98" s="40" t="str">
        <f>IF(RES_AB[[#This Row],[Reserva]]="","",IFERROR(VLOOKUP(RES_AB[[#This Row],[Reserva]],Tabela3[[Reserva]:[Condição para Faturamento]],20,FALSE),"IMPORTADO COM SUCESSO"))</f>
        <v>EM RESSUPRIMENTO</v>
      </c>
      <c r="I98" s="38">
        <f>IF(RES_AB[[#This Row],[Data base]]="","",WORKDAY(RES_AB[[#This Row],[Data Reserva - Feriado e Fds]],RES_AB[[#This Row],[Dias para atendimento]],Feriados[Data]))</f>
        <v>45453</v>
      </c>
      <c r="J98" s="40" t="str">
        <f ca="1">IF(RES_AB[[#This Row],[Reserva]]="","",CONCATENATE("D+",NETWORKDAYS(RES_AB[[#This Row],[Data Reserva - Feriado e Fds]],TODAY(),Feriados[Data])-1))</f>
        <v>D+1</v>
      </c>
      <c r="K98" s="40" t="str">
        <f ca="1">IF(RES_AB[[#This Row],[Reserva]]="","",CONCATENATE(RES_AB[[#This Row],[Cen.]]," | ",RES_AB[[#This Row],[SLA2]]))</f>
        <v>11EU | D+1</v>
      </c>
      <c r="L98" s="40">
        <f ca="1">IF(RES_AB[[#This Row],[Reserva]]="","",IF(RES_AB[[#This Row],[SLA2]]=RES_AB[[#This Row],[Reserva]]="","",COUNTIF(MB25_VOLUMETRIA[Reserva],RES_AB[[#This Row],[Reserva]])))</f>
        <v>1</v>
      </c>
      <c r="M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8" s="37" t="str">
        <f>IF(RES_AB[[#This Row],[Cen.]]="","",IFERROR(VLOOKUP(RES_AB[[#This Row],[Cen.]],Dados_Empresas[],2,FALSE),"Verificar empresa"))</f>
        <v>EMBRATEL</v>
      </c>
      <c r="P98" s="37" t="str">
        <f>IF(RES_AB[[#This Row],[Empresa]]="","",IF(OR(RES_AB[[#This Row],[Empresa]]="NET MASSIVO",RES_AB[[#This Row],[Empresa]]="NET PROJETOS"),"NET","EMPRESARIAL"))</f>
        <v>EMPRESARIAL</v>
      </c>
      <c r="Q98" s="37" t="str">
        <f>IF(RES_AB[[#This Row],[Reserva]]="","",IFERROR(VLOOKUP(RES_AB[[#This Row],[Reserva]],Tabela3[[Reserva]:[Descrição do status]],18,FALSE),"CONVENCIONAL"))</f>
        <v>CONVENCIONAL</v>
      </c>
    </row>
    <row r="99" spans="1:17" x14ac:dyDescent="0.25">
      <c r="A99" s="37">
        <v>4382990</v>
      </c>
      <c r="B99" s="37" t="s">
        <v>17</v>
      </c>
      <c r="C99" s="38" t="s">
        <v>17</v>
      </c>
      <c r="D99" s="38">
        <v>45449</v>
      </c>
      <c r="E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99" s="39">
        <f>IFERROR(VLOOKUP(RES_AB[[#This Row],[Reserva]],Tabela8[[Reserva]:[Usuário]],7,FALSE),Dados!$A$17)</f>
        <v>0.48900462962962965</v>
      </c>
      <c r="G99" s="40">
        <f>IF(RES_AB[[#This Row],[Reserva]]="","",IF(RES_AB[[#This Row],[Hora Int WMS]]&lt;Dados!$A$16,2,2))</f>
        <v>2</v>
      </c>
      <c r="H99" s="40" t="str">
        <f>IF(RES_AB[[#This Row],[Reserva]]="","",IFERROR(VLOOKUP(RES_AB[[#This Row],[Reserva]],Tabela3[[Reserva]:[Condição para Faturamento]],20,FALSE),"IMPORTADO COM SUCESSO"))</f>
        <v>EM RESSUPRIMENTO</v>
      </c>
      <c r="I99" s="38">
        <f>IF(RES_AB[[#This Row],[Data base]]="","",WORKDAY(RES_AB[[#This Row],[Data Reserva - Feriado e Fds]],RES_AB[[#This Row],[Dias para atendimento]],Feriados[Data]))</f>
        <v>45453</v>
      </c>
      <c r="J99" s="40" t="str">
        <f ca="1">IF(RES_AB[[#This Row],[Reserva]]="","",CONCATENATE("D+",NETWORKDAYS(RES_AB[[#This Row],[Data Reserva - Feriado e Fds]],TODAY(),Feriados[Data])-1))</f>
        <v>D+1</v>
      </c>
      <c r="K99" s="40" t="str">
        <f ca="1">IF(RES_AB[[#This Row],[Reserva]]="","",CONCATENATE(RES_AB[[#This Row],[Cen.]]," | ",RES_AB[[#This Row],[SLA2]]))</f>
        <v>11EU | D+1</v>
      </c>
      <c r="L99" s="40">
        <f ca="1">IF(RES_AB[[#This Row],[Reserva]]="","",IF(RES_AB[[#This Row],[SLA2]]=RES_AB[[#This Row],[Reserva]]="","",COUNTIF(MB25_VOLUMETRIA[Reserva],RES_AB[[#This Row],[Reserva]])))</f>
        <v>1</v>
      </c>
      <c r="M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99" s="37" t="str">
        <f>IF(RES_AB[[#This Row],[Cen.]]="","",IFERROR(VLOOKUP(RES_AB[[#This Row],[Cen.]],Dados_Empresas[],2,FALSE),"Verificar empresa"))</f>
        <v>EMBRATEL</v>
      </c>
      <c r="P99" s="37" t="str">
        <f>IF(RES_AB[[#This Row],[Empresa]]="","",IF(OR(RES_AB[[#This Row],[Empresa]]="NET MASSIVO",RES_AB[[#This Row],[Empresa]]="NET PROJETOS"),"NET","EMPRESARIAL"))</f>
        <v>EMPRESARIAL</v>
      </c>
      <c r="Q99" s="37" t="str">
        <f>IF(RES_AB[[#This Row],[Reserva]]="","",IFERROR(VLOOKUP(RES_AB[[#This Row],[Reserva]],Tabela3[[Reserva]:[Descrição do status]],18,FALSE),"CONVENCIONAL"))</f>
        <v>CONVENCIONAL</v>
      </c>
    </row>
    <row r="100" spans="1:17" x14ac:dyDescent="0.25">
      <c r="A100" s="37">
        <v>4383065</v>
      </c>
      <c r="B100" s="37" t="s">
        <v>17</v>
      </c>
      <c r="C100" s="38" t="s">
        <v>17</v>
      </c>
      <c r="D100" s="38">
        <v>45449</v>
      </c>
      <c r="E1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0" s="39">
        <f>IFERROR(VLOOKUP(RES_AB[[#This Row],[Reserva]],Tabela8[[Reserva]:[Usuário]],7,FALSE),Dados!$A$17)</f>
        <v>0.62245370370370368</v>
      </c>
      <c r="G100" s="40">
        <f>IF(RES_AB[[#This Row],[Reserva]]="","",IF(RES_AB[[#This Row],[Hora Int WMS]]&lt;Dados!$A$16,2,2))</f>
        <v>2</v>
      </c>
      <c r="H100" s="40" t="str">
        <f>IF(RES_AB[[#This Row],[Reserva]]="","",IFERROR(VLOOKUP(RES_AB[[#This Row],[Reserva]],Tabela3[[Reserva]:[Condição para Faturamento]],20,FALSE),"IMPORTADO COM SUCESSO"))</f>
        <v>IMPORTADO</v>
      </c>
      <c r="I100" s="38">
        <f>IF(RES_AB[[#This Row],[Data base]]="","",WORKDAY(RES_AB[[#This Row],[Data Reserva - Feriado e Fds]],RES_AB[[#This Row],[Dias para atendimento]],Feriados[Data]))</f>
        <v>45453</v>
      </c>
      <c r="J100" s="40" t="str">
        <f ca="1">IF(RES_AB[[#This Row],[Reserva]]="","",CONCATENATE("D+",NETWORKDAYS(RES_AB[[#This Row],[Data Reserva - Feriado e Fds]],TODAY(),Feriados[Data])-1))</f>
        <v>D+1</v>
      </c>
      <c r="K100" s="40" t="str">
        <f ca="1">IF(RES_AB[[#This Row],[Reserva]]="","",CONCATENATE(RES_AB[[#This Row],[Cen.]]," | ",RES_AB[[#This Row],[SLA2]]))</f>
        <v>11EU | D+1</v>
      </c>
      <c r="L100" s="40">
        <f ca="1">IF(RES_AB[[#This Row],[Reserva]]="","",IF(RES_AB[[#This Row],[SLA2]]=RES_AB[[#This Row],[Reserva]]="","",COUNTIF(MB25_VOLUMETRIA[Reserva],RES_AB[[#This Row],[Reserva]])))</f>
        <v>1</v>
      </c>
      <c r="M1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0" s="37" t="str">
        <f>IF(RES_AB[[#This Row],[Cen.]]="","",IFERROR(VLOOKUP(RES_AB[[#This Row],[Cen.]],Dados_Empresas[],2,FALSE),"Verificar empresa"))</f>
        <v>EMBRATEL</v>
      </c>
      <c r="P100" s="37" t="str">
        <f>IF(RES_AB[[#This Row],[Empresa]]="","",IF(OR(RES_AB[[#This Row],[Empresa]]="NET MASSIVO",RES_AB[[#This Row],[Empresa]]="NET PROJETOS"),"NET","EMPRESARIAL"))</f>
        <v>EMPRESARIAL</v>
      </c>
      <c r="Q100" s="37" t="str">
        <f>IF(RES_AB[[#This Row],[Reserva]]="","",IFERROR(VLOOKUP(RES_AB[[#This Row],[Reserva]],Tabela3[[Reserva]:[Descrição do status]],18,FALSE),"CONVENCIONAL"))</f>
        <v>CONVENCIONAL</v>
      </c>
    </row>
    <row r="101" spans="1:17" x14ac:dyDescent="0.25">
      <c r="A101" s="37">
        <v>4383066</v>
      </c>
      <c r="B101" s="37" t="s">
        <v>17</v>
      </c>
      <c r="C101" s="38" t="s">
        <v>17</v>
      </c>
      <c r="D101" s="38">
        <v>45449</v>
      </c>
      <c r="E1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1" s="39">
        <f>IFERROR(VLOOKUP(RES_AB[[#This Row],[Reserva]],Tabela8[[Reserva]:[Usuário]],7,FALSE),Dados!$A$17)</f>
        <v>0.6225694444444444</v>
      </c>
      <c r="G101" s="40">
        <f>IF(RES_AB[[#This Row],[Reserva]]="","",IF(RES_AB[[#This Row],[Hora Int WMS]]&lt;Dados!$A$16,2,2))</f>
        <v>2</v>
      </c>
      <c r="H101" s="40" t="str">
        <f>IF(RES_AB[[#This Row],[Reserva]]="","",IFERROR(VLOOKUP(RES_AB[[#This Row],[Reserva]],Tabela3[[Reserva]:[Condição para Faturamento]],20,FALSE),"IMPORTADO COM SUCESSO"))</f>
        <v>IMPORTADO</v>
      </c>
      <c r="I101" s="38">
        <f>IF(RES_AB[[#This Row],[Data base]]="","",WORKDAY(RES_AB[[#This Row],[Data Reserva - Feriado e Fds]],RES_AB[[#This Row],[Dias para atendimento]],Feriados[Data]))</f>
        <v>45453</v>
      </c>
      <c r="J101" s="40" t="str">
        <f ca="1">IF(RES_AB[[#This Row],[Reserva]]="","",CONCATENATE("D+",NETWORKDAYS(RES_AB[[#This Row],[Data Reserva - Feriado e Fds]],TODAY(),Feriados[Data])-1))</f>
        <v>D+1</v>
      </c>
      <c r="K101" s="40" t="str">
        <f ca="1">IF(RES_AB[[#This Row],[Reserva]]="","",CONCATENATE(RES_AB[[#This Row],[Cen.]]," | ",RES_AB[[#This Row],[SLA2]]))</f>
        <v>11EU | D+1</v>
      </c>
      <c r="L101" s="40">
        <f ca="1">IF(RES_AB[[#This Row],[Reserva]]="","",IF(RES_AB[[#This Row],[SLA2]]=RES_AB[[#This Row],[Reserva]]="","",COUNTIF(MB25_VOLUMETRIA[Reserva],RES_AB[[#This Row],[Reserva]])))</f>
        <v>1</v>
      </c>
      <c r="M1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1" s="37" t="str">
        <f>IF(RES_AB[[#This Row],[Cen.]]="","",IFERROR(VLOOKUP(RES_AB[[#This Row],[Cen.]],Dados_Empresas[],2,FALSE),"Verificar empresa"))</f>
        <v>EMBRATEL</v>
      </c>
      <c r="P101" s="37" t="str">
        <f>IF(RES_AB[[#This Row],[Empresa]]="","",IF(OR(RES_AB[[#This Row],[Empresa]]="NET MASSIVO",RES_AB[[#This Row],[Empresa]]="NET PROJETOS"),"NET","EMPRESARIAL"))</f>
        <v>EMPRESARIAL</v>
      </c>
      <c r="Q101" s="37" t="str">
        <f>IF(RES_AB[[#This Row],[Reserva]]="","",IFERROR(VLOOKUP(RES_AB[[#This Row],[Reserva]],Tabela3[[Reserva]:[Descrição do status]],18,FALSE),"CONVENCIONAL"))</f>
        <v>CONVENCIONAL</v>
      </c>
    </row>
    <row r="102" spans="1:17" x14ac:dyDescent="0.25">
      <c r="A102" s="37">
        <v>4383067</v>
      </c>
      <c r="B102" s="37" t="s">
        <v>17</v>
      </c>
      <c r="C102" s="38" t="s">
        <v>17</v>
      </c>
      <c r="D102" s="38">
        <v>45449</v>
      </c>
      <c r="E1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2" s="39">
        <f>IFERROR(VLOOKUP(RES_AB[[#This Row],[Reserva]],Tabela8[[Reserva]:[Usuário]],7,FALSE),Dados!$A$17)</f>
        <v>0.6225694444444444</v>
      </c>
      <c r="G102" s="40">
        <f>IF(RES_AB[[#This Row],[Reserva]]="","",IF(RES_AB[[#This Row],[Hora Int WMS]]&lt;Dados!$A$16,2,2))</f>
        <v>2</v>
      </c>
      <c r="H102" s="40" t="str">
        <f>IF(RES_AB[[#This Row],[Reserva]]="","",IFERROR(VLOOKUP(RES_AB[[#This Row],[Reserva]],Tabela3[[Reserva]:[Condição para Faturamento]],20,FALSE),"IMPORTADO COM SUCESSO"))</f>
        <v>IMPORTADO</v>
      </c>
      <c r="I102" s="38">
        <f>IF(RES_AB[[#This Row],[Data base]]="","",WORKDAY(RES_AB[[#This Row],[Data Reserva - Feriado e Fds]],RES_AB[[#This Row],[Dias para atendimento]],Feriados[Data]))</f>
        <v>45453</v>
      </c>
      <c r="J102" s="40" t="str">
        <f ca="1">IF(RES_AB[[#This Row],[Reserva]]="","",CONCATENATE("D+",NETWORKDAYS(RES_AB[[#This Row],[Data Reserva - Feriado e Fds]],TODAY(),Feriados[Data])-1))</f>
        <v>D+1</v>
      </c>
      <c r="K102" s="40" t="str">
        <f ca="1">IF(RES_AB[[#This Row],[Reserva]]="","",CONCATENATE(RES_AB[[#This Row],[Cen.]]," | ",RES_AB[[#This Row],[SLA2]]))</f>
        <v>11EU | D+1</v>
      </c>
      <c r="L102" s="40">
        <f ca="1">IF(RES_AB[[#This Row],[Reserva]]="","",IF(RES_AB[[#This Row],[SLA2]]=RES_AB[[#This Row],[Reserva]]="","",COUNTIF(MB25_VOLUMETRIA[Reserva],RES_AB[[#This Row],[Reserva]])))</f>
        <v>1</v>
      </c>
      <c r="M1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2" s="37" t="str">
        <f>IF(RES_AB[[#This Row],[Cen.]]="","",IFERROR(VLOOKUP(RES_AB[[#This Row],[Cen.]],Dados_Empresas[],2,FALSE),"Verificar empresa"))</f>
        <v>EMBRATEL</v>
      </c>
      <c r="P102" s="37" t="str">
        <f>IF(RES_AB[[#This Row],[Empresa]]="","",IF(OR(RES_AB[[#This Row],[Empresa]]="NET MASSIVO",RES_AB[[#This Row],[Empresa]]="NET PROJETOS"),"NET","EMPRESARIAL"))</f>
        <v>EMPRESARIAL</v>
      </c>
      <c r="Q102" s="37" t="str">
        <f>IF(RES_AB[[#This Row],[Reserva]]="","",IFERROR(VLOOKUP(RES_AB[[#This Row],[Reserva]],Tabela3[[Reserva]:[Descrição do status]],18,FALSE),"CONVENCIONAL"))</f>
        <v>CONVENCIONAL</v>
      </c>
    </row>
    <row r="103" spans="1:17" x14ac:dyDescent="0.25">
      <c r="A103" s="37">
        <v>4383068</v>
      </c>
      <c r="B103" s="37" t="s">
        <v>17</v>
      </c>
      <c r="C103" s="38" t="s">
        <v>17</v>
      </c>
      <c r="D103" s="38">
        <v>45449</v>
      </c>
      <c r="E1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3" s="39">
        <f>IFERROR(VLOOKUP(RES_AB[[#This Row],[Reserva]],Tabela8[[Reserva]:[Usuário]],7,FALSE),Dados!$A$17)</f>
        <v>0.6225694444444444</v>
      </c>
      <c r="G103" s="40">
        <f>IF(RES_AB[[#This Row],[Reserva]]="","",IF(RES_AB[[#This Row],[Hora Int WMS]]&lt;Dados!$A$16,2,2))</f>
        <v>2</v>
      </c>
      <c r="H103" s="40" t="str">
        <f>IF(RES_AB[[#This Row],[Reserva]]="","",IFERROR(VLOOKUP(RES_AB[[#This Row],[Reserva]],Tabela3[[Reserva]:[Condição para Faturamento]],20,FALSE),"IMPORTADO COM SUCESSO"))</f>
        <v>IMPORTADO</v>
      </c>
      <c r="I103" s="38">
        <f>IF(RES_AB[[#This Row],[Data base]]="","",WORKDAY(RES_AB[[#This Row],[Data Reserva - Feriado e Fds]],RES_AB[[#This Row],[Dias para atendimento]],Feriados[Data]))</f>
        <v>45453</v>
      </c>
      <c r="J103" s="40" t="str">
        <f ca="1">IF(RES_AB[[#This Row],[Reserva]]="","",CONCATENATE("D+",NETWORKDAYS(RES_AB[[#This Row],[Data Reserva - Feriado e Fds]],TODAY(),Feriados[Data])-1))</f>
        <v>D+1</v>
      </c>
      <c r="K103" s="40" t="str">
        <f ca="1">IF(RES_AB[[#This Row],[Reserva]]="","",CONCATENATE(RES_AB[[#This Row],[Cen.]]," | ",RES_AB[[#This Row],[SLA2]]))</f>
        <v>11EU | D+1</v>
      </c>
      <c r="L103" s="40">
        <f ca="1">IF(RES_AB[[#This Row],[Reserva]]="","",IF(RES_AB[[#This Row],[SLA2]]=RES_AB[[#This Row],[Reserva]]="","",COUNTIF(MB25_VOLUMETRIA[Reserva],RES_AB[[#This Row],[Reserva]])))</f>
        <v>1</v>
      </c>
      <c r="M1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3" s="37" t="str">
        <f>IF(RES_AB[[#This Row],[Cen.]]="","",IFERROR(VLOOKUP(RES_AB[[#This Row],[Cen.]],Dados_Empresas[],2,FALSE),"Verificar empresa"))</f>
        <v>EMBRATEL</v>
      </c>
      <c r="P103" s="37" t="str">
        <f>IF(RES_AB[[#This Row],[Empresa]]="","",IF(OR(RES_AB[[#This Row],[Empresa]]="NET MASSIVO",RES_AB[[#This Row],[Empresa]]="NET PROJETOS"),"NET","EMPRESARIAL"))</f>
        <v>EMPRESARIAL</v>
      </c>
      <c r="Q103" s="37" t="str">
        <f>IF(RES_AB[[#This Row],[Reserva]]="","",IFERROR(VLOOKUP(RES_AB[[#This Row],[Reserva]],Tabela3[[Reserva]:[Descrição do status]],18,FALSE),"CONVENCIONAL"))</f>
        <v>CONVENCIONAL</v>
      </c>
    </row>
    <row r="104" spans="1:17" x14ac:dyDescent="0.25">
      <c r="A104" s="37">
        <v>4383069</v>
      </c>
      <c r="B104" s="37" t="s">
        <v>17</v>
      </c>
      <c r="C104" s="38" t="s">
        <v>17</v>
      </c>
      <c r="D104" s="38">
        <v>45449</v>
      </c>
      <c r="E1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4" s="39">
        <f>IFERROR(VLOOKUP(RES_AB[[#This Row],[Reserva]],Tabela8[[Reserva]:[Usuário]],7,FALSE),Dados!$A$17)</f>
        <v>0.62268518518518523</v>
      </c>
      <c r="G104" s="40">
        <f>IF(RES_AB[[#This Row],[Reserva]]="","",IF(RES_AB[[#This Row],[Hora Int WMS]]&lt;Dados!$A$16,2,2))</f>
        <v>2</v>
      </c>
      <c r="H104" s="40" t="str">
        <f>IF(RES_AB[[#This Row],[Reserva]]="","",IFERROR(VLOOKUP(RES_AB[[#This Row],[Reserva]],Tabela3[[Reserva]:[Condição para Faturamento]],20,FALSE),"IMPORTADO COM SUCESSO"))</f>
        <v>AGUARDANDO SEPARAÇÃO</v>
      </c>
      <c r="I104" s="38">
        <f>IF(RES_AB[[#This Row],[Data base]]="","",WORKDAY(RES_AB[[#This Row],[Data Reserva - Feriado e Fds]],RES_AB[[#This Row],[Dias para atendimento]],Feriados[Data]))</f>
        <v>45453</v>
      </c>
      <c r="J104" s="40" t="str">
        <f ca="1">IF(RES_AB[[#This Row],[Reserva]]="","",CONCATENATE("D+",NETWORKDAYS(RES_AB[[#This Row],[Data Reserva - Feriado e Fds]],TODAY(),Feriados[Data])-1))</f>
        <v>D+1</v>
      </c>
      <c r="K104" s="40" t="str">
        <f ca="1">IF(RES_AB[[#This Row],[Reserva]]="","",CONCATENATE(RES_AB[[#This Row],[Cen.]]," | ",RES_AB[[#This Row],[SLA2]]))</f>
        <v>11EU | D+1</v>
      </c>
      <c r="L104" s="40">
        <f ca="1">IF(RES_AB[[#This Row],[Reserva]]="","",IF(RES_AB[[#This Row],[SLA2]]=RES_AB[[#This Row],[Reserva]]="","",COUNTIF(MB25_VOLUMETRIA[Reserva],RES_AB[[#This Row],[Reserva]])))</f>
        <v>1</v>
      </c>
      <c r="M1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4" s="37" t="str">
        <f>IF(RES_AB[[#This Row],[Cen.]]="","",IFERROR(VLOOKUP(RES_AB[[#This Row],[Cen.]],Dados_Empresas[],2,FALSE),"Verificar empresa"))</f>
        <v>EMBRATEL</v>
      </c>
      <c r="P104" s="37" t="str">
        <f>IF(RES_AB[[#This Row],[Empresa]]="","",IF(OR(RES_AB[[#This Row],[Empresa]]="NET MASSIVO",RES_AB[[#This Row],[Empresa]]="NET PROJETOS"),"NET","EMPRESARIAL"))</f>
        <v>EMPRESARIAL</v>
      </c>
      <c r="Q104" s="37" t="str">
        <f>IF(RES_AB[[#This Row],[Reserva]]="","",IFERROR(VLOOKUP(RES_AB[[#This Row],[Reserva]],Tabela3[[Reserva]:[Descrição do status]],18,FALSE),"CONVENCIONAL"))</f>
        <v>CONVENCIONAL</v>
      </c>
    </row>
    <row r="105" spans="1:17" x14ac:dyDescent="0.25">
      <c r="A105" s="37">
        <v>4383070</v>
      </c>
      <c r="B105" s="37" t="s">
        <v>17</v>
      </c>
      <c r="C105" s="38" t="s">
        <v>17</v>
      </c>
      <c r="D105" s="38">
        <v>45449</v>
      </c>
      <c r="E1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5" s="39">
        <f>IFERROR(VLOOKUP(RES_AB[[#This Row],[Reserva]],Tabela8[[Reserva]:[Usuário]],7,FALSE),Dados!$A$17)</f>
        <v>0.62268518518518523</v>
      </c>
      <c r="G105" s="40">
        <f>IF(RES_AB[[#This Row],[Reserva]]="","",IF(RES_AB[[#This Row],[Hora Int WMS]]&lt;Dados!$A$16,2,2))</f>
        <v>2</v>
      </c>
      <c r="H105" s="40" t="str">
        <f>IF(RES_AB[[#This Row],[Reserva]]="","",IFERROR(VLOOKUP(RES_AB[[#This Row],[Reserva]],Tabela3[[Reserva]:[Condição para Faturamento]],20,FALSE),"IMPORTADO COM SUCESSO"))</f>
        <v>IMPORTADO</v>
      </c>
      <c r="I105" s="38">
        <f>IF(RES_AB[[#This Row],[Data base]]="","",WORKDAY(RES_AB[[#This Row],[Data Reserva - Feriado e Fds]],RES_AB[[#This Row],[Dias para atendimento]],Feriados[Data]))</f>
        <v>45453</v>
      </c>
      <c r="J105" s="40" t="str">
        <f ca="1">IF(RES_AB[[#This Row],[Reserva]]="","",CONCATENATE("D+",NETWORKDAYS(RES_AB[[#This Row],[Data Reserva - Feriado e Fds]],TODAY(),Feriados[Data])-1))</f>
        <v>D+1</v>
      </c>
      <c r="K105" s="40" t="str">
        <f ca="1">IF(RES_AB[[#This Row],[Reserva]]="","",CONCATENATE(RES_AB[[#This Row],[Cen.]]," | ",RES_AB[[#This Row],[SLA2]]))</f>
        <v>11EU | D+1</v>
      </c>
      <c r="L105" s="40">
        <f ca="1">IF(RES_AB[[#This Row],[Reserva]]="","",IF(RES_AB[[#This Row],[SLA2]]=RES_AB[[#This Row],[Reserva]]="","",COUNTIF(MB25_VOLUMETRIA[Reserva],RES_AB[[#This Row],[Reserva]])))</f>
        <v>1</v>
      </c>
      <c r="M1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5" s="37" t="str">
        <f>IF(RES_AB[[#This Row],[Cen.]]="","",IFERROR(VLOOKUP(RES_AB[[#This Row],[Cen.]],Dados_Empresas[],2,FALSE),"Verificar empresa"))</f>
        <v>EMBRATEL</v>
      </c>
      <c r="P105" s="37" t="str">
        <f>IF(RES_AB[[#This Row],[Empresa]]="","",IF(OR(RES_AB[[#This Row],[Empresa]]="NET MASSIVO",RES_AB[[#This Row],[Empresa]]="NET PROJETOS"),"NET","EMPRESARIAL"))</f>
        <v>EMPRESARIAL</v>
      </c>
      <c r="Q105" s="37" t="str">
        <f>IF(RES_AB[[#This Row],[Reserva]]="","",IFERROR(VLOOKUP(RES_AB[[#This Row],[Reserva]],Tabela3[[Reserva]:[Descrição do status]],18,FALSE),"CONVENCIONAL"))</f>
        <v>CONVENCIONAL</v>
      </c>
    </row>
    <row r="106" spans="1:17" x14ac:dyDescent="0.25">
      <c r="A106" s="37">
        <v>4383071</v>
      </c>
      <c r="B106" s="37" t="s">
        <v>17</v>
      </c>
      <c r="C106" s="38" t="s">
        <v>17</v>
      </c>
      <c r="D106" s="38">
        <v>45449</v>
      </c>
      <c r="E1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6" s="39">
        <f>IFERROR(VLOOKUP(RES_AB[[#This Row],[Reserva]],Tabela8[[Reserva]:[Usuário]],7,FALSE),Dados!$A$17)</f>
        <v>0.62280092592592595</v>
      </c>
      <c r="G106" s="40">
        <f>IF(RES_AB[[#This Row],[Reserva]]="","",IF(RES_AB[[#This Row],[Hora Int WMS]]&lt;Dados!$A$16,2,2))</f>
        <v>2</v>
      </c>
      <c r="H106" s="40" t="str">
        <f>IF(RES_AB[[#This Row],[Reserva]]="","",IFERROR(VLOOKUP(RES_AB[[#This Row],[Reserva]],Tabela3[[Reserva]:[Condição para Faturamento]],20,FALSE),"IMPORTADO COM SUCESSO"))</f>
        <v>IMPORTADO</v>
      </c>
      <c r="I106" s="38">
        <f>IF(RES_AB[[#This Row],[Data base]]="","",WORKDAY(RES_AB[[#This Row],[Data Reserva - Feriado e Fds]],RES_AB[[#This Row],[Dias para atendimento]],Feriados[Data]))</f>
        <v>45453</v>
      </c>
      <c r="J106" s="40" t="str">
        <f ca="1">IF(RES_AB[[#This Row],[Reserva]]="","",CONCATENATE("D+",NETWORKDAYS(RES_AB[[#This Row],[Data Reserva - Feriado e Fds]],TODAY(),Feriados[Data])-1))</f>
        <v>D+1</v>
      </c>
      <c r="K106" s="40" t="str">
        <f ca="1">IF(RES_AB[[#This Row],[Reserva]]="","",CONCATENATE(RES_AB[[#This Row],[Cen.]]," | ",RES_AB[[#This Row],[SLA2]]))</f>
        <v>11EU | D+1</v>
      </c>
      <c r="L106" s="40">
        <f ca="1">IF(RES_AB[[#This Row],[Reserva]]="","",IF(RES_AB[[#This Row],[SLA2]]=RES_AB[[#This Row],[Reserva]]="","",COUNTIF(MB25_VOLUMETRIA[Reserva],RES_AB[[#This Row],[Reserva]])))</f>
        <v>1</v>
      </c>
      <c r="M1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6" s="37" t="str">
        <f>IF(RES_AB[[#This Row],[Cen.]]="","",IFERROR(VLOOKUP(RES_AB[[#This Row],[Cen.]],Dados_Empresas[],2,FALSE),"Verificar empresa"))</f>
        <v>EMBRATEL</v>
      </c>
      <c r="P106" s="37" t="str">
        <f>IF(RES_AB[[#This Row],[Empresa]]="","",IF(OR(RES_AB[[#This Row],[Empresa]]="NET MASSIVO",RES_AB[[#This Row],[Empresa]]="NET PROJETOS"),"NET","EMPRESARIAL"))</f>
        <v>EMPRESARIAL</v>
      </c>
      <c r="Q106" s="37" t="str">
        <f>IF(RES_AB[[#This Row],[Reserva]]="","",IFERROR(VLOOKUP(RES_AB[[#This Row],[Reserva]],Tabela3[[Reserva]:[Descrição do status]],18,FALSE),"CONVENCIONAL"))</f>
        <v>CONVENCIONAL</v>
      </c>
    </row>
    <row r="107" spans="1:17" x14ac:dyDescent="0.25">
      <c r="A107" s="37">
        <v>4383072</v>
      </c>
      <c r="B107" s="37" t="s">
        <v>17</v>
      </c>
      <c r="C107" s="38" t="s">
        <v>17</v>
      </c>
      <c r="D107" s="38">
        <v>45449</v>
      </c>
      <c r="E1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7" s="39">
        <f>IFERROR(VLOOKUP(RES_AB[[#This Row],[Reserva]],Tabela8[[Reserva]:[Usuário]],7,FALSE),Dados!$A$17)</f>
        <v>0.62280092592592595</v>
      </c>
      <c r="G107" s="40">
        <f>IF(RES_AB[[#This Row],[Reserva]]="","",IF(RES_AB[[#This Row],[Hora Int WMS]]&lt;Dados!$A$16,2,2))</f>
        <v>2</v>
      </c>
      <c r="H107" s="40" t="str">
        <f>IF(RES_AB[[#This Row],[Reserva]]="","",IFERROR(VLOOKUP(RES_AB[[#This Row],[Reserva]],Tabela3[[Reserva]:[Condição para Faturamento]],20,FALSE),"IMPORTADO COM SUCESSO"))</f>
        <v>IMPORTADO</v>
      </c>
      <c r="I107" s="38">
        <f>IF(RES_AB[[#This Row],[Data base]]="","",WORKDAY(RES_AB[[#This Row],[Data Reserva - Feriado e Fds]],RES_AB[[#This Row],[Dias para atendimento]],Feriados[Data]))</f>
        <v>45453</v>
      </c>
      <c r="J107" s="40" t="str">
        <f ca="1">IF(RES_AB[[#This Row],[Reserva]]="","",CONCATENATE("D+",NETWORKDAYS(RES_AB[[#This Row],[Data Reserva - Feriado e Fds]],TODAY(),Feriados[Data])-1))</f>
        <v>D+1</v>
      </c>
      <c r="K107" s="40" t="str">
        <f ca="1">IF(RES_AB[[#This Row],[Reserva]]="","",CONCATENATE(RES_AB[[#This Row],[Cen.]]," | ",RES_AB[[#This Row],[SLA2]]))</f>
        <v>11EU | D+1</v>
      </c>
      <c r="L107" s="40">
        <f ca="1">IF(RES_AB[[#This Row],[Reserva]]="","",IF(RES_AB[[#This Row],[SLA2]]=RES_AB[[#This Row],[Reserva]]="","",COUNTIF(MB25_VOLUMETRIA[Reserva],RES_AB[[#This Row],[Reserva]])))</f>
        <v>1</v>
      </c>
      <c r="M1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7" s="37" t="str">
        <f>IF(RES_AB[[#This Row],[Cen.]]="","",IFERROR(VLOOKUP(RES_AB[[#This Row],[Cen.]],Dados_Empresas[],2,FALSE),"Verificar empresa"))</f>
        <v>EMBRATEL</v>
      </c>
      <c r="P107" s="37" t="str">
        <f>IF(RES_AB[[#This Row],[Empresa]]="","",IF(OR(RES_AB[[#This Row],[Empresa]]="NET MASSIVO",RES_AB[[#This Row],[Empresa]]="NET PROJETOS"),"NET","EMPRESARIAL"))</f>
        <v>EMPRESARIAL</v>
      </c>
      <c r="Q107" s="37" t="str">
        <f>IF(RES_AB[[#This Row],[Reserva]]="","",IFERROR(VLOOKUP(RES_AB[[#This Row],[Reserva]],Tabela3[[Reserva]:[Descrição do status]],18,FALSE),"CONVENCIONAL"))</f>
        <v>CONVENCIONAL</v>
      </c>
    </row>
    <row r="108" spans="1:17" x14ac:dyDescent="0.25">
      <c r="A108" s="37">
        <v>4383073</v>
      </c>
      <c r="B108" s="37" t="s">
        <v>17</v>
      </c>
      <c r="C108" s="38" t="s">
        <v>17</v>
      </c>
      <c r="D108" s="38">
        <v>45449</v>
      </c>
      <c r="E1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8" s="39">
        <f>IFERROR(VLOOKUP(RES_AB[[#This Row],[Reserva]],Tabela8[[Reserva]:[Usuário]],7,FALSE),Dados!$A$17)</f>
        <v>0.62280092592592595</v>
      </c>
      <c r="G108" s="40">
        <f>IF(RES_AB[[#This Row],[Reserva]]="","",IF(RES_AB[[#This Row],[Hora Int WMS]]&lt;Dados!$A$16,2,2))</f>
        <v>2</v>
      </c>
      <c r="H108" s="40" t="str">
        <f>IF(RES_AB[[#This Row],[Reserva]]="","",IFERROR(VLOOKUP(RES_AB[[#This Row],[Reserva]],Tabela3[[Reserva]:[Condição para Faturamento]],20,FALSE),"IMPORTADO COM SUCESSO"))</f>
        <v>IMPORTADO</v>
      </c>
      <c r="I108" s="38">
        <f>IF(RES_AB[[#This Row],[Data base]]="","",WORKDAY(RES_AB[[#This Row],[Data Reserva - Feriado e Fds]],RES_AB[[#This Row],[Dias para atendimento]],Feriados[Data]))</f>
        <v>45453</v>
      </c>
      <c r="J108" s="40" t="str">
        <f ca="1">IF(RES_AB[[#This Row],[Reserva]]="","",CONCATENATE("D+",NETWORKDAYS(RES_AB[[#This Row],[Data Reserva - Feriado e Fds]],TODAY(),Feriados[Data])-1))</f>
        <v>D+1</v>
      </c>
      <c r="K108" s="40" t="str">
        <f ca="1">IF(RES_AB[[#This Row],[Reserva]]="","",CONCATENATE(RES_AB[[#This Row],[Cen.]]," | ",RES_AB[[#This Row],[SLA2]]))</f>
        <v>11EU | D+1</v>
      </c>
      <c r="L108" s="40">
        <f ca="1">IF(RES_AB[[#This Row],[Reserva]]="","",IF(RES_AB[[#This Row],[SLA2]]=RES_AB[[#This Row],[Reserva]]="","",COUNTIF(MB25_VOLUMETRIA[Reserva],RES_AB[[#This Row],[Reserva]])))</f>
        <v>1</v>
      </c>
      <c r="M1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8" s="37" t="str">
        <f>IF(RES_AB[[#This Row],[Cen.]]="","",IFERROR(VLOOKUP(RES_AB[[#This Row],[Cen.]],Dados_Empresas[],2,FALSE),"Verificar empresa"))</f>
        <v>EMBRATEL</v>
      </c>
      <c r="P108" s="37" t="str">
        <f>IF(RES_AB[[#This Row],[Empresa]]="","",IF(OR(RES_AB[[#This Row],[Empresa]]="NET MASSIVO",RES_AB[[#This Row],[Empresa]]="NET PROJETOS"),"NET","EMPRESARIAL"))</f>
        <v>EMPRESARIAL</v>
      </c>
      <c r="Q108" s="37" t="str">
        <f>IF(RES_AB[[#This Row],[Reserva]]="","",IFERROR(VLOOKUP(RES_AB[[#This Row],[Reserva]],Tabela3[[Reserva]:[Descrição do status]],18,FALSE),"CONVENCIONAL"))</f>
        <v>CONVENCIONAL</v>
      </c>
    </row>
    <row r="109" spans="1:17" x14ac:dyDescent="0.25">
      <c r="A109" s="37">
        <v>4383074</v>
      </c>
      <c r="B109" s="37" t="s">
        <v>17</v>
      </c>
      <c r="C109" s="38" t="s">
        <v>17</v>
      </c>
      <c r="D109" s="38">
        <v>45449</v>
      </c>
      <c r="E1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09" s="39">
        <f>IFERROR(VLOOKUP(RES_AB[[#This Row],[Reserva]],Tabela8[[Reserva]:[Usuário]],7,FALSE),Dados!$A$17)</f>
        <v>0.62291666666666667</v>
      </c>
      <c r="G109" s="40">
        <f>IF(RES_AB[[#This Row],[Reserva]]="","",IF(RES_AB[[#This Row],[Hora Int WMS]]&lt;Dados!$A$16,2,2))</f>
        <v>2</v>
      </c>
      <c r="H109" s="40" t="str">
        <f>IF(RES_AB[[#This Row],[Reserva]]="","",IFERROR(VLOOKUP(RES_AB[[#This Row],[Reserva]],Tabela3[[Reserva]:[Condição para Faturamento]],20,FALSE),"IMPORTADO COM SUCESSO"))</f>
        <v>IMPORTADO</v>
      </c>
      <c r="I109" s="38">
        <f>IF(RES_AB[[#This Row],[Data base]]="","",WORKDAY(RES_AB[[#This Row],[Data Reserva - Feriado e Fds]],RES_AB[[#This Row],[Dias para atendimento]],Feriados[Data]))</f>
        <v>45453</v>
      </c>
      <c r="J109" s="40" t="str">
        <f ca="1">IF(RES_AB[[#This Row],[Reserva]]="","",CONCATENATE("D+",NETWORKDAYS(RES_AB[[#This Row],[Data Reserva - Feriado e Fds]],TODAY(),Feriados[Data])-1))</f>
        <v>D+1</v>
      </c>
      <c r="K109" s="40" t="str">
        <f ca="1">IF(RES_AB[[#This Row],[Reserva]]="","",CONCATENATE(RES_AB[[#This Row],[Cen.]]," | ",RES_AB[[#This Row],[SLA2]]))</f>
        <v>11EU | D+1</v>
      </c>
      <c r="L109" s="40">
        <f ca="1">IF(RES_AB[[#This Row],[Reserva]]="","",IF(RES_AB[[#This Row],[SLA2]]=RES_AB[[#This Row],[Reserva]]="","",COUNTIF(MB25_VOLUMETRIA[Reserva],RES_AB[[#This Row],[Reserva]])))</f>
        <v>1</v>
      </c>
      <c r="M1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09" s="37" t="str">
        <f>IF(RES_AB[[#This Row],[Cen.]]="","",IFERROR(VLOOKUP(RES_AB[[#This Row],[Cen.]],Dados_Empresas[],2,FALSE),"Verificar empresa"))</f>
        <v>EMBRATEL</v>
      </c>
      <c r="P109" s="37" t="str">
        <f>IF(RES_AB[[#This Row],[Empresa]]="","",IF(OR(RES_AB[[#This Row],[Empresa]]="NET MASSIVO",RES_AB[[#This Row],[Empresa]]="NET PROJETOS"),"NET","EMPRESARIAL"))</f>
        <v>EMPRESARIAL</v>
      </c>
      <c r="Q109" s="37" t="str">
        <f>IF(RES_AB[[#This Row],[Reserva]]="","",IFERROR(VLOOKUP(RES_AB[[#This Row],[Reserva]],Tabela3[[Reserva]:[Descrição do status]],18,FALSE),"CONVENCIONAL"))</f>
        <v>CONVENCIONAL</v>
      </c>
    </row>
    <row r="110" spans="1:17" x14ac:dyDescent="0.25">
      <c r="A110" s="37">
        <v>4383075</v>
      </c>
      <c r="B110" s="37" t="s">
        <v>17</v>
      </c>
      <c r="C110" s="38" t="s">
        <v>17</v>
      </c>
      <c r="D110" s="38">
        <v>45449</v>
      </c>
      <c r="E1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0" s="39">
        <f>IFERROR(VLOOKUP(RES_AB[[#This Row],[Reserva]],Tabela8[[Reserva]:[Usuário]],7,FALSE),Dados!$A$17)</f>
        <v>0.62291666666666667</v>
      </c>
      <c r="G110" s="40">
        <f>IF(RES_AB[[#This Row],[Reserva]]="","",IF(RES_AB[[#This Row],[Hora Int WMS]]&lt;Dados!$A$16,2,2))</f>
        <v>2</v>
      </c>
      <c r="H110" s="40" t="str">
        <f>IF(RES_AB[[#This Row],[Reserva]]="","",IFERROR(VLOOKUP(RES_AB[[#This Row],[Reserva]],Tabela3[[Reserva]:[Condição para Faturamento]],20,FALSE),"IMPORTADO COM SUCESSO"))</f>
        <v>IMPORTADO</v>
      </c>
      <c r="I110" s="38">
        <f>IF(RES_AB[[#This Row],[Data base]]="","",WORKDAY(RES_AB[[#This Row],[Data Reserva - Feriado e Fds]],RES_AB[[#This Row],[Dias para atendimento]],Feriados[Data]))</f>
        <v>45453</v>
      </c>
      <c r="J110" s="40" t="str">
        <f ca="1">IF(RES_AB[[#This Row],[Reserva]]="","",CONCATENATE("D+",NETWORKDAYS(RES_AB[[#This Row],[Data Reserva - Feriado e Fds]],TODAY(),Feriados[Data])-1))</f>
        <v>D+1</v>
      </c>
      <c r="K110" s="40" t="str">
        <f ca="1">IF(RES_AB[[#This Row],[Reserva]]="","",CONCATENATE(RES_AB[[#This Row],[Cen.]]," | ",RES_AB[[#This Row],[SLA2]]))</f>
        <v>11EU | D+1</v>
      </c>
      <c r="L110" s="40">
        <f ca="1">IF(RES_AB[[#This Row],[Reserva]]="","",IF(RES_AB[[#This Row],[SLA2]]=RES_AB[[#This Row],[Reserva]]="","",COUNTIF(MB25_VOLUMETRIA[Reserva],RES_AB[[#This Row],[Reserva]])))</f>
        <v>1</v>
      </c>
      <c r="M1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0" s="37" t="str">
        <f>IF(RES_AB[[#This Row],[Cen.]]="","",IFERROR(VLOOKUP(RES_AB[[#This Row],[Cen.]],Dados_Empresas[],2,FALSE),"Verificar empresa"))</f>
        <v>EMBRATEL</v>
      </c>
      <c r="P110" s="37" t="str">
        <f>IF(RES_AB[[#This Row],[Empresa]]="","",IF(OR(RES_AB[[#This Row],[Empresa]]="NET MASSIVO",RES_AB[[#This Row],[Empresa]]="NET PROJETOS"),"NET","EMPRESARIAL"))</f>
        <v>EMPRESARIAL</v>
      </c>
      <c r="Q110" s="37" t="str">
        <f>IF(RES_AB[[#This Row],[Reserva]]="","",IFERROR(VLOOKUP(RES_AB[[#This Row],[Reserva]],Tabela3[[Reserva]:[Descrição do status]],18,FALSE),"CONVENCIONAL"))</f>
        <v>CONVENCIONAL</v>
      </c>
    </row>
    <row r="111" spans="1:17" x14ac:dyDescent="0.25">
      <c r="A111" s="37">
        <v>4383076</v>
      </c>
      <c r="B111" s="37" t="s">
        <v>17</v>
      </c>
      <c r="C111" s="38" t="s">
        <v>17</v>
      </c>
      <c r="D111" s="38">
        <v>45449</v>
      </c>
      <c r="E1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1" s="39">
        <f>IFERROR(VLOOKUP(RES_AB[[#This Row],[Reserva]],Tabela8[[Reserva]:[Usuário]],7,FALSE),Dados!$A$17)</f>
        <v>0.6230324074074074</v>
      </c>
      <c r="G111" s="40">
        <f>IF(RES_AB[[#This Row],[Reserva]]="","",IF(RES_AB[[#This Row],[Hora Int WMS]]&lt;Dados!$A$16,2,2))</f>
        <v>2</v>
      </c>
      <c r="H111" s="40" t="str">
        <f>IF(RES_AB[[#This Row],[Reserva]]="","",IFERROR(VLOOKUP(RES_AB[[#This Row],[Reserva]],Tabela3[[Reserva]:[Condição para Faturamento]],20,FALSE),"IMPORTADO COM SUCESSO"))</f>
        <v>IMPORTADO</v>
      </c>
      <c r="I111" s="38">
        <f>IF(RES_AB[[#This Row],[Data base]]="","",WORKDAY(RES_AB[[#This Row],[Data Reserva - Feriado e Fds]],RES_AB[[#This Row],[Dias para atendimento]],Feriados[Data]))</f>
        <v>45453</v>
      </c>
      <c r="J111" s="40" t="str">
        <f ca="1">IF(RES_AB[[#This Row],[Reserva]]="","",CONCATENATE("D+",NETWORKDAYS(RES_AB[[#This Row],[Data Reserva - Feriado e Fds]],TODAY(),Feriados[Data])-1))</f>
        <v>D+1</v>
      </c>
      <c r="K111" s="40" t="str">
        <f ca="1">IF(RES_AB[[#This Row],[Reserva]]="","",CONCATENATE(RES_AB[[#This Row],[Cen.]]," | ",RES_AB[[#This Row],[SLA2]]))</f>
        <v>11EU | D+1</v>
      </c>
      <c r="L111" s="40">
        <f ca="1">IF(RES_AB[[#This Row],[Reserva]]="","",IF(RES_AB[[#This Row],[SLA2]]=RES_AB[[#This Row],[Reserva]]="","",COUNTIF(MB25_VOLUMETRIA[Reserva],RES_AB[[#This Row],[Reserva]])))</f>
        <v>1</v>
      </c>
      <c r="M1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1" s="37" t="str">
        <f>IF(RES_AB[[#This Row],[Cen.]]="","",IFERROR(VLOOKUP(RES_AB[[#This Row],[Cen.]],Dados_Empresas[],2,FALSE),"Verificar empresa"))</f>
        <v>EMBRATEL</v>
      </c>
      <c r="P111" s="37" t="str">
        <f>IF(RES_AB[[#This Row],[Empresa]]="","",IF(OR(RES_AB[[#This Row],[Empresa]]="NET MASSIVO",RES_AB[[#This Row],[Empresa]]="NET PROJETOS"),"NET","EMPRESARIAL"))</f>
        <v>EMPRESARIAL</v>
      </c>
      <c r="Q111" s="37" t="str">
        <f>IF(RES_AB[[#This Row],[Reserva]]="","",IFERROR(VLOOKUP(RES_AB[[#This Row],[Reserva]],Tabela3[[Reserva]:[Descrição do status]],18,FALSE),"CONVENCIONAL"))</f>
        <v>CONVENCIONAL</v>
      </c>
    </row>
    <row r="112" spans="1:17" x14ac:dyDescent="0.25">
      <c r="A112" s="37">
        <v>4383077</v>
      </c>
      <c r="B112" s="37" t="s">
        <v>17</v>
      </c>
      <c r="C112" s="38" t="s">
        <v>17</v>
      </c>
      <c r="D112" s="38">
        <v>45449</v>
      </c>
      <c r="E1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2" s="39">
        <f>IFERROR(VLOOKUP(RES_AB[[#This Row],[Reserva]],Tabela8[[Reserva]:[Usuário]],7,FALSE),Dados!$A$17)</f>
        <v>0.6230324074074074</v>
      </c>
      <c r="G112" s="40">
        <f>IF(RES_AB[[#This Row],[Reserva]]="","",IF(RES_AB[[#This Row],[Hora Int WMS]]&lt;Dados!$A$16,2,2))</f>
        <v>2</v>
      </c>
      <c r="H112" s="40" t="str">
        <f>IF(RES_AB[[#This Row],[Reserva]]="","",IFERROR(VLOOKUP(RES_AB[[#This Row],[Reserva]],Tabela3[[Reserva]:[Condição para Faturamento]],20,FALSE),"IMPORTADO COM SUCESSO"))</f>
        <v>IMPORTADO</v>
      </c>
      <c r="I112" s="38">
        <f>IF(RES_AB[[#This Row],[Data base]]="","",WORKDAY(RES_AB[[#This Row],[Data Reserva - Feriado e Fds]],RES_AB[[#This Row],[Dias para atendimento]],Feriados[Data]))</f>
        <v>45453</v>
      </c>
      <c r="J112" s="40" t="str">
        <f ca="1">IF(RES_AB[[#This Row],[Reserva]]="","",CONCATENATE("D+",NETWORKDAYS(RES_AB[[#This Row],[Data Reserva - Feriado e Fds]],TODAY(),Feriados[Data])-1))</f>
        <v>D+1</v>
      </c>
      <c r="K112" s="40" t="str">
        <f ca="1">IF(RES_AB[[#This Row],[Reserva]]="","",CONCATENATE(RES_AB[[#This Row],[Cen.]]," | ",RES_AB[[#This Row],[SLA2]]))</f>
        <v>11EU | D+1</v>
      </c>
      <c r="L112" s="40">
        <f ca="1">IF(RES_AB[[#This Row],[Reserva]]="","",IF(RES_AB[[#This Row],[SLA2]]=RES_AB[[#This Row],[Reserva]]="","",COUNTIF(MB25_VOLUMETRIA[Reserva],RES_AB[[#This Row],[Reserva]])))</f>
        <v>1</v>
      </c>
      <c r="M1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2" s="37" t="str">
        <f>IF(RES_AB[[#This Row],[Cen.]]="","",IFERROR(VLOOKUP(RES_AB[[#This Row],[Cen.]],Dados_Empresas[],2,FALSE),"Verificar empresa"))</f>
        <v>EMBRATEL</v>
      </c>
      <c r="P112" s="37" t="str">
        <f>IF(RES_AB[[#This Row],[Empresa]]="","",IF(OR(RES_AB[[#This Row],[Empresa]]="NET MASSIVO",RES_AB[[#This Row],[Empresa]]="NET PROJETOS"),"NET","EMPRESARIAL"))</f>
        <v>EMPRESARIAL</v>
      </c>
      <c r="Q112" s="37" t="str">
        <f>IF(RES_AB[[#This Row],[Reserva]]="","",IFERROR(VLOOKUP(RES_AB[[#This Row],[Reserva]],Tabela3[[Reserva]:[Descrição do status]],18,FALSE),"CONVENCIONAL"))</f>
        <v>CONVENCIONAL</v>
      </c>
    </row>
    <row r="113" spans="1:17" x14ac:dyDescent="0.25">
      <c r="A113" s="37">
        <v>4383081</v>
      </c>
      <c r="B113" s="37" t="s">
        <v>17</v>
      </c>
      <c r="C113" s="38" t="s">
        <v>17</v>
      </c>
      <c r="D113" s="38">
        <v>45449</v>
      </c>
      <c r="E1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3" s="39">
        <f>IFERROR(VLOOKUP(RES_AB[[#This Row],[Reserva]],Tabela8[[Reserva]:[Usuário]],7,FALSE),Dados!$A$17)</f>
        <v>0.33333333333333331</v>
      </c>
      <c r="G113" s="40">
        <f>IF(RES_AB[[#This Row],[Reserva]]="","",IF(RES_AB[[#This Row],[Hora Int WMS]]&lt;Dados!$A$16,2,2))</f>
        <v>2</v>
      </c>
      <c r="H113" s="40" t="str">
        <f>IF(RES_AB[[#This Row],[Reserva]]="","",IFERROR(VLOOKUP(RES_AB[[#This Row],[Reserva]],Tabela3[[Reserva]:[Condição para Faturamento]],20,FALSE),"IMPORTADO COM SUCESSO"))</f>
        <v>IMPORTADO</v>
      </c>
      <c r="I113" s="38">
        <f>IF(RES_AB[[#This Row],[Data base]]="","",WORKDAY(RES_AB[[#This Row],[Data Reserva - Feriado e Fds]],RES_AB[[#This Row],[Dias para atendimento]],Feriados[Data]))</f>
        <v>45453</v>
      </c>
      <c r="J113" s="40" t="str">
        <f ca="1">IF(RES_AB[[#This Row],[Reserva]]="","",CONCATENATE("D+",NETWORKDAYS(RES_AB[[#This Row],[Data Reserva - Feriado e Fds]],TODAY(),Feriados[Data])-1))</f>
        <v>D+1</v>
      </c>
      <c r="K113" s="40" t="str">
        <f ca="1">IF(RES_AB[[#This Row],[Reserva]]="","",CONCATENATE(RES_AB[[#This Row],[Cen.]]," | ",RES_AB[[#This Row],[SLA2]]))</f>
        <v>11EU | D+1</v>
      </c>
      <c r="L113" s="40">
        <f ca="1">IF(RES_AB[[#This Row],[Reserva]]="","",IF(RES_AB[[#This Row],[SLA2]]=RES_AB[[#This Row],[Reserva]]="","",COUNTIF(MB25_VOLUMETRIA[Reserva],RES_AB[[#This Row],[Reserva]])))</f>
        <v>1</v>
      </c>
      <c r="M1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3" s="37" t="str">
        <f>IF(RES_AB[[#This Row],[Cen.]]="","",IFERROR(VLOOKUP(RES_AB[[#This Row],[Cen.]],Dados_Empresas[],2,FALSE),"Verificar empresa"))</f>
        <v>EMBRATEL</v>
      </c>
      <c r="P113" s="37" t="str">
        <f>IF(RES_AB[[#This Row],[Empresa]]="","",IF(OR(RES_AB[[#This Row],[Empresa]]="NET MASSIVO",RES_AB[[#This Row],[Empresa]]="NET PROJETOS"),"NET","EMPRESARIAL"))</f>
        <v>EMPRESARIAL</v>
      </c>
      <c r="Q113" s="37" t="str">
        <f>IF(RES_AB[[#This Row],[Reserva]]="","",IFERROR(VLOOKUP(RES_AB[[#This Row],[Reserva]],Tabela3[[Reserva]:[Descrição do status]],18,FALSE),"CONVENCIONAL"))</f>
        <v>CONVENCIONAL</v>
      </c>
    </row>
    <row r="114" spans="1:17" x14ac:dyDescent="0.25">
      <c r="A114" s="37">
        <v>4383083</v>
      </c>
      <c r="B114" s="37" t="s">
        <v>17</v>
      </c>
      <c r="C114" s="38" t="s">
        <v>17</v>
      </c>
      <c r="D114" s="38">
        <v>45449</v>
      </c>
      <c r="E1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4" s="39">
        <f>IFERROR(VLOOKUP(RES_AB[[#This Row],[Reserva]],Tabela8[[Reserva]:[Usuário]],7,FALSE),Dados!$A$17)</f>
        <v>0.5864583333333333</v>
      </c>
      <c r="G114" s="40">
        <f>IF(RES_AB[[#This Row],[Reserva]]="","",IF(RES_AB[[#This Row],[Hora Int WMS]]&lt;Dados!$A$16,2,2))</f>
        <v>2</v>
      </c>
      <c r="H114" s="40" t="str">
        <f>IF(RES_AB[[#This Row],[Reserva]]="","",IFERROR(VLOOKUP(RES_AB[[#This Row],[Reserva]],Tabela3[[Reserva]:[Condição para Faturamento]],20,FALSE),"IMPORTADO COM SUCESSO"))</f>
        <v>AGUARDANDO SEPARAÇÃO</v>
      </c>
      <c r="I114" s="38">
        <f>IF(RES_AB[[#This Row],[Data base]]="","",WORKDAY(RES_AB[[#This Row],[Data Reserva - Feriado e Fds]],RES_AB[[#This Row],[Dias para atendimento]],Feriados[Data]))</f>
        <v>45453</v>
      </c>
      <c r="J114" s="40" t="str">
        <f ca="1">IF(RES_AB[[#This Row],[Reserva]]="","",CONCATENATE("D+",NETWORKDAYS(RES_AB[[#This Row],[Data Reserva - Feriado e Fds]],TODAY(),Feriados[Data])-1))</f>
        <v>D+1</v>
      </c>
      <c r="K114" s="40" t="str">
        <f ca="1">IF(RES_AB[[#This Row],[Reserva]]="","",CONCATENATE(RES_AB[[#This Row],[Cen.]]," | ",RES_AB[[#This Row],[SLA2]]))</f>
        <v>11EU | D+1</v>
      </c>
      <c r="L114" s="40">
        <f ca="1">IF(RES_AB[[#This Row],[Reserva]]="","",IF(RES_AB[[#This Row],[SLA2]]=RES_AB[[#This Row],[Reserva]]="","",COUNTIF(MB25_VOLUMETRIA[Reserva],RES_AB[[#This Row],[Reserva]])))</f>
        <v>2</v>
      </c>
      <c r="M1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4" s="37" t="str">
        <f>IF(RES_AB[[#This Row],[Cen.]]="","",IFERROR(VLOOKUP(RES_AB[[#This Row],[Cen.]],Dados_Empresas[],2,FALSE),"Verificar empresa"))</f>
        <v>EMBRATEL</v>
      </c>
      <c r="P114" s="37" t="str">
        <f>IF(RES_AB[[#This Row],[Empresa]]="","",IF(OR(RES_AB[[#This Row],[Empresa]]="NET MASSIVO",RES_AB[[#This Row],[Empresa]]="NET PROJETOS"),"NET","EMPRESARIAL"))</f>
        <v>EMPRESARIAL</v>
      </c>
      <c r="Q114" s="37" t="str">
        <f>IF(RES_AB[[#This Row],[Reserva]]="","",IFERROR(VLOOKUP(RES_AB[[#This Row],[Reserva]],Tabela3[[Reserva]:[Descrição do status]],18,FALSE),"CONVENCIONAL"))</f>
        <v>CONVENCIONAL</v>
      </c>
    </row>
    <row r="115" spans="1:17" x14ac:dyDescent="0.25">
      <c r="A115" s="37">
        <v>4383217</v>
      </c>
      <c r="B115" s="37" t="s">
        <v>17</v>
      </c>
      <c r="C115" s="38" t="s">
        <v>17</v>
      </c>
      <c r="D115" s="38">
        <v>45449</v>
      </c>
      <c r="E1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5" s="39">
        <f>IFERROR(VLOOKUP(RES_AB[[#This Row],[Reserva]],Tabela8[[Reserva]:[Usuário]],7,FALSE),Dados!$A$17)</f>
        <v>0.68564814814814812</v>
      </c>
      <c r="G115" s="40">
        <f>IF(RES_AB[[#This Row],[Reserva]]="","",IF(RES_AB[[#This Row],[Hora Int WMS]]&lt;Dados!$A$16,2,2))</f>
        <v>2</v>
      </c>
      <c r="H115" s="40" t="str">
        <f>IF(RES_AB[[#This Row],[Reserva]]="","",IFERROR(VLOOKUP(RES_AB[[#This Row],[Reserva]],Tabela3[[Reserva]:[Condição para Faturamento]],20,FALSE),"IMPORTADO COM SUCESSO"))</f>
        <v>AGUARDANDO SEPARAÇÃO</v>
      </c>
      <c r="I115" s="38">
        <f>IF(RES_AB[[#This Row],[Data base]]="","",WORKDAY(RES_AB[[#This Row],[Data Reserva - Feriado e Fds]],RES_AB[[#This Row],[Dias para atendimento]],Feriados[Data]))</f>
        <v>45453</v>
      </c>
      <c r="J115" s="40" t="str">
        <f ca="1">IF(RES_AB[[#This Row],[Reserva]]="","",CONCATENATE("D+",NETWORKDAYS(RES_AB[[#This Row],[Data Reserva - Feriado e Fds]],TODAY(),Feriados[Data])-1))</f>
        <v>D+1</v>
      </c>
      <c r="K115" s="40" t="str">
        <f ca="1">IF(RES_AB[[#This Row],[Reserva]]="","",CONCATENATE(RES_AB[[#This Row],[Cen.]]," | ",RES_AB[[#This Row],[SLA2]]))</f>
        <v>11EU | D+1</v>
      </c>
      <c r="L115" s="40">
        <f ca="1">IF(RES_AB[[#This Row],[Reserva]]="","",IF(RES_AB[[#This Row],[SLA2]]=RES_AB[[#This Row],[Reserva]]="","",COUNTIF(MB25_VOLUMETRIA[Reserva],RES_AB[[#This Row],[Reserva]])))</f>
        <v>1</v>
      </c>
      <c r="M1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5" s="37" t="str">
        <f>IF(RES_AB[[#This Row],[Cen.]]="","",IFERROR(VLOOKUP(RES_AB[[#This Row],[Cen.]],Dados_Empresas[],2,FALSE),"Verificar empresa"))</f>
        <v>EMBRATEL</v>
      </c>
      <c r="P115" s="37" t="str">
        <f>IF(RES_AB[[#This Row],[Empresa]]="","",IF(OR(RES_AB[[#This Row],[Empresa]]="NET MASSIVO",RES_AB[[#This Row],[Empresa]]="NET PROJETOS"),"NET","EMPRESARIAL"))</f>
        <v>EMPRESARIAL</v>
      </c>
      <c r="Q115" s="37" t="str">
        <f>IF(RES_AB[[#This Row],[Reserva]]="","",IFERROR(VLOOKUP(RES_AB[[#This Row],[Reserva]],Tabela3[[Reserva]:[Descrição do status]],18,FALSE),"CONVENCIONAL"))</f>
        <v>CONVENCIONAL</v>
      </c>
    </row>
    <row r="116" spans="1:17" x14ac:dyDescent="0.25">
      <c r="A116" s="37">
        <v>4383218</v>
      </c>
      <c r="B116" s="37" t="s">
        <v>17</v>
      </c>
      <c r="C116" s="38" t="s">
        <v>17</v>
      </c>
      <c r="D116" s="38">
        <v>45449</v>
      </c>
      <c r="E1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6" s="39">
        <f>IFERROR(VLOOKUP(RES_AB[[#This Row],[Reserva]],Tabela8[[Reserva]:[Usuário]],7,FALSE),Dados!$A$17)</f>
        <v>0.68576388888888884</v>
      </c>
      <c r="G116" s="40">
        <f>IF(RES_AB[[#This Row],[Reserva]]="","",IF(RES_AB[[#This Row],[Hora Int WMS]]&lt;Dados!$A$16,2,2))</f>
        <v>2</v>
      </c>
      <c r="H116" s="40" t="str">
        <f>IF(RES_AB[[#This Row],[Reserva]]="","",IFERROR(VLOOKUP(RES_AB[[#This Row],[Reserva]],Tabela3[[Reserva]:[Condição para Faturamento]],20,FALSE),"IMPORTADO COM SUCESSO"))</f>
        <v>AGUARDANDO SEPARAÇÃO</v>
      </c>
      <c r="I116" s="38">
        <f>IF(RES_AB[[#This Row],[Data base]]="","",WORKDAY(RES_AB[[#This Row],[Data Reserva - Feriado e Fds]],RES_AB[[#This Row],[Dias para atendimento]],Feriados[Data]))</f>
        <v>45453</v>
      </c>
      <c r="J116" s="40" t="str">
        <f ca="1">IF(RES_AB[[#This Row],[Reserva]]="","",CONCATENATE("D+",NETWORKDAYS(RES_AB[[#This Row],[Data Reserva - Feriado e Fds]],TODAY(),Feriados[Data])-1))</f>
        <v>D+1</v>
      </c>
      <c r="K116" s="40" t="str">
        <f ca="1">IF(RES_AB[[#This Row],[Reserva]]="","",CONCATENATE(RES_AB[[#This Row],[Cen.]]," | ",RES_AB[[#This Row],[SLA2]]))</f>
        <v>11EU | D+1</v>
      </c>
      <c r="L116" s="40">
        <f ca="1">IF(RES_AB[[#This Row],[Reserva]]="","",IF(RES_AB[[#This Row],[SLA2]]=RES_AB[[#This Row],[Reserva]]="","",COUNTIF(MB25_VOLUMETRIA[Reserva],RES_AB[[#This Row],[Reserva]])))</f>
        <v>1</v>
      </c>
      <c r="M1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6" s="37" t="str">
        <f>IF(RES_AB[[#This Row],[Cen.]]="","",IFERROR(VLOOKUP(RES_AB[[#This Row],[Cen.]],Dados_Empresas[],2,FALSE),"Verificar empresa"))</f>
        <v>EMBRATEL</v>
      </c>
      <c r="P116" s="37" t="str">
        <f>IF(RES_AB[[#This Row],[Empresa]]="","",IF(OR(RES_AB[[#This Row],[Empresa]]="NET MASSIVO",RES_AB[[#This Row],[Empresa]]="NET PROJETOS"),"NET","EMPRESARIAL"))</f>
        <v>EMPRESARIAL</v>
      </c>
      <c r="Q116" s="37" t="str">
        <f>IF(RES_AB[[#This Row],[Reserva]]="","",IFERROR(VLOOKUP(RES_AB[[#This Row],[Reserva]],Tabela3[[Reserva]:[Descrição do status]],18,FALSE),"CONVENCIONAL"))</f>
        <v>CONVENCIONAL</v>
      </c>
    </row>
    <row r="117" spans="1:17" x14ac:dyDescent="0.25">
      <c r="A117" s="37">
        <v>4383219</v>
      </c>
      <c r="B117" s="37" t="s">
        <v>17</v>
      </c>
      <c r="C117" s="38" t="s">
        <v>17</v>
      </c>
      <c r="D117" s="38">
        <v>45449</v>
      </c>
      <c r="E1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7" s="39">
        <f>IFERROR(VLOOKUP(RES_AB[[#This Row],[Reserva]],Tabela8[[Reserva]:[Usuário]],7,FALSE),Dados!$A$17)</f>
        <v>0.68576388888888884</v>
      </c>
      <c r="G117" s="40">
        <f>IF(RES_AB[[#This Row],[Reserva]]="","",IF(RES_AB[[#This Row],[Hora Int WMS]]&lt;Dados!$A$16,2,2))</f>
        <v>2</v>
      </c>
      <c r="H117" s="40" t="str">
        <f>IF(RES_AB[[#This Row],[Reserva]]="","",IFERROR(VLOOKUP(RES_AB[[#This Row],[Reserva]],Tabela3[[Reserva]:[Condição para Faturamento]],20,FALSE),"IMPORTADO COM SUCESSO"))</f>
        <v>IMPORTADO</v>
      </c>
      <c r="I117" s="38">
        <f>IF(RES_AB[[#This Row],[Data base]]="","",WORKDAY(RES_AB[[#This Row],[Data Reserva - Feriado e Fds]],RES_AB[[#This Row],[Dias para atendimento]],Feriados[Data]))</f>
        <v>45453</v>
      </c>
      <c r="J117" s="40" t="str">
        <f ca="1">IF(RES_AB[[#This Row],[Reserva]]="","",CONCATENATE("D+",NETWORKDAYS(RES_AB[[#This Row],[Data Reserva - Feriado e Fds]],TODAY(),Feriados[Data])-1))</f>
        <v>D+1</v>
      </c>
      <c r="K117" s="40" t="str">
        <f ca="1">IF(RES_AB[[#This Row],[Reserva]]="","",CONCATENATE(RES_AB[[#This Row],[Cen.]]," | ",RES_AB[[#This Row],[SLA2]]))</f>
        <v>11EU | D+1</v>
      </c>
      <c r="L117" s="40">
        <f ca="1">IF(RES_AB[[#This Row],[Reserva]]="","",IF(RES_AB[[#This Row],[SLA2]]=RES_AB[[#This Row],[Reserva]]="","",COUNTIF(MB25_VOLUMETRIA[Reserva],RES_AB[[#This Row],[Reserva]])))</f>
        <v>1</v>
      </c>
      <c r="M1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7" s="37" t="str">
        <f>IF(RES_AB[[#This Row],[Cen.]]="","",IFERROR(VLOOKUP(RES_AB[[#This Row],[Cen.]],Dados_Empresas[],2,FALSE),"Verificar empresa"))</f>
        <v>EMBRATEL</v>
      </c>
      <c r="P117" s="37" t="str">
        <f>IF(RES_AB[[#This Row],[Empresa]]="","",IF(OR(RES_AB[[#This Row],[Empresa]]="NET MASSIVO",RES_AB[[#This Row],[Empresa]]="NET PROJETOS"),"NET","EMPRESARIAL"))</f>
        <v>EMPRESARIAL</v>
      </c>
      <c r="Q117" s="37" t="str">
        <f>IF(RES_AB[[#This Row],[Reserva]]="","",IFERROR(VLOOKUP(RES_AB[[#This Row],[Reserva]],Tabela3[[Reserva]:[Descrição do status]],18,FALSE),"CONVENCIONAL"))</f>
        <v>CONVENCIONAL</v>
      </c>
    </row>
    <row r="118" spans="1:17" x14ac:dyDescent="0.25">
      <c r="A118" s="37">
        <v>4383220</v>
      </c>
      <c r="B118" s="37" t="s">
        <v>17</v>
      </c>
      <c r="C118" s="38" t="s">
        <v>17</v>
      </c>
      <c r="D118" s="38">
        <v>45449</v>
      </c>
      <c r="E1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8" s="39">
        <f>IFERROR(VLOOKUP(RES_AB[[#This Row],[Reserva]],Tabela8[[Reserva]:[Usuário]],7,FALSE),Dados!$A$17)</f>
        <v>0.68576388888888884</v>
      </c>
      <c r="G118" s="40">
        <f>IF(RES_AB[[#This Row],[Reserva]]="","",IF(RES_AB[[#This Row],[Hora Int WMS]]&lt;Dados!$A$16,2,2))</f>
        <v>2</v>
      </c>
      <c r="H118" s="40" t="str">
        <f>IF(RES_AB[[#This Row],[Reserva]]="","",IFERROR(VLOOKUP(RES_AB[[#This Row],[Reserva]],Tabela3[[Reserva]:[Condição para Faturamento]],20,FALSE),"IMPORTADO COM SUCESSO"))</f>
        <v>IMPORTADO</v>
      </c>
      <c r="I118" s="38">
        <f>IF(RES_AB[[#This Row],[Data base]]="","",WORKDAY(RES_AB[[#This Row],[Data Reserva - Feriado e Fds]],RES_AB[[#This Row],[Dias para atendimento]],Feriados[Data]))</f>
        <v>45453</v>
      </c>
      <c r="J118" s="40" t="str">
        <f ca="1">IF(RES_AB[[#This Row],[Reserva]]="","",CONCATENATE("D+",NETWORKDAYS(RES_AB[[#This Row],[Data Reserva - Feriado e Fds]],TODAY(),Feriados[Data])-1))</f>
        <v>D+1</v>
      </c>
      <c r="K118" s="40" t="str">
        <f ca="1">IF(RES_AB[[#This Row],[Reserva]]="","",CONCATENATE(RES_AB[[#This Row],[Cen.]]," | ",RES_AB[[#This Row],[SLA2]]))</f>
        <v>11EU | D+1</v>
      </c>
      <c r="L118" s="40">
        <f ca="1">IF(RES_AB[[#This Row],[Reserva]]="","",IF(RES_AB[[#This Row],[SLA2]]=RES_AB[[#This Row],[Reserva]]="","",COUNTIF(MB25_VOLUMETRIA[Reserva],RES_AB[[#This Row],[Reserva]])))</f>
        <v>1</v>
      </c>
      <c r="M1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8" s="37" t="str">
        <f>IF(RES_AB[[#This Row],[Cen.]]="","",IFERROR(VLOOKUP(RES_AB[[#This Row],[Cen.]],Dados_Empresas[],2,FALSE),"Verificar empresa"))</f>
        <v>EMBRATEL</v>
      </c>
      <c r="P118" s="37" t="str">
        <f>IF(RES_AB[[#This Row],[Empresa]]="","",IF(OR(RES_AB[[#This Row],[Empresa]]="NET MASSIVO",RES_AB[[#This Row],[Empresa]]="NET PROJETOS"),"NET","EMPRESARIAL"))</f>
        <v>EMPRESARIAL</v>
      </c>
      <c r="Q118" s="37" t="str">
        <f>IF(RES_AB[[#This Row],[Reserva]]="","",IFERROR(VLOOKUP(RES_AB[[#This Row],[Reserva]],Tabela3[[Reserva]:[Descrição do status]],18,FALSE),"CONVENCIONAL"))</f>
        <v>CONVENCIONAL</v>
      </c>
    </row>
    <row r="119" spans="1:17" x14ac:dyDescent="0.25">
      <c r="A119" s="37">
        <v>4383248</v>
      </c>
      <c r="B119" s="37" t="s">
        <v>17</v>
      </c>
      <c r="C119" s="38" t="s">
        <v>17</v>
      </c>
      <c r="D119" s="38">
        <v>45449</v>
      </c>
      <c r="E1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19" s="39">
        <f>IFERROR(VLOOKUP(RES_AB[[#This Row],[Reserva]],Tabela8[[Reserva]:[Usuário]],7,FALSE),Dados!$A$17)</f>
        <v>0.68587962962962967</v>
      </c>
      <c r="G119" s="40">
        <f>IF(RES_AB[[#This Row],[Reserva]]="","",IF(RES_AB[[#This Row],[Hora Int WMS]]&lt;Dados!$A$16,2,2))</f>
        <v>2</v>
      </c>
      <c r="H119" s="40" t="str">
        <f>IF(RES_AB[[#This Row],[Reserva]]="","",IFERROR(VLOOKUP(RES_AB[[#This Row],[Reserva]],Tabela3[[Reserva]:[Condição para Faturamento]],20,FALSE),"IMPORTADO COM SUCESSO"))</f>
        <v>IMPORTADO</v>
      </c>
      <c r="I119" s="38">
        <f>IF(RES_AB[[#This Row],[Data base]]="","",WORKDAY(RES_AB[[#This Row],[Data Reserva - Feriado e Fds]],RES_AB[[#This Row],[Dias para atendimento]],Feriados[Data]))</f>
        <v>45453</v>
      </c>
      <c r="J119" s="40" t="str">
        <f ca="1">IF(RES_AB[[#This Row],[Reserva]]="","",CONCATENATE("D+",NETWORKDAYS(RES_AB[[#This Row],[Data Reserva - Feriado e Fds]],TODAY(),Feriados[Data])-1))</f>
        <v>D+1</v>
      </c>
      <c r="K119" s="40" t="str">
        <f ca="1">IF(RES_AB[[#This Row],[Reserva]]="","",CONCATENATE(RES_AB[[#This Row],[Cen.]]," | ",RES_AB[[#This Row],[SLA2]]))</f>
        <v>11EU | D+1</v>
      </c>
      <c r="L119" s="40">
        <f ca="1">IF(RES_AB[[#This Row],[Reserva]]="","",IF(RES_AB[[#This Row],[SLA2]]=RES_AB[[#This Row],[Reserva]]="","",COUNTIF(MB25_VOLUMETRIA[Reserva],RES_AB[[#This Row],[Reserva]])))</f>
        <v>3</v>
      </c>
      <c r="M1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19" s="37" t="str">
        <f>IF(RES_AB[[#This Row],[Cen.]]="","",IFERROR(VLOOKUP(RES_AB[[#This Row],[Cen.]],Dados_Empresas[],2,FALSE),"Verificar empresa"))</f>
        <v>EMBRATEL</v>
      </c>
      <c r="P119" s="37" t="str">
        <f>IF(RES_AB[[#This Row],[Empresa]]="","",IF(OR(RES_AB[[#This Row],[Empresa]]="NET MASSIVO",RES_AB[[#This Row],[Empresa]]="NET PROJETOS"),"NET","EMPRESARIAL"))</f>
        <v>EMPRESARIAL</v>
      </c>
      <c r="Q119" s="37" t="str">
        <f>IF(RES_AB[[#This Row],[Reserva]]="","",IFERROR(VLOOKUP(RES_AB[[#This Row],[Reserva]],Tabela3[[Reserva]:[Descrição do status]],18,FALSE),"CONVENCIONAL"))</f>
        <v>CONVENCIONAL</v>
      </c>
    </row>
    <row r="120" spans="1:17" x14ac:dyDescent="0.25">
      <c r="A120" s="37">
        <v>4383282</v>
      </c>
      <c r="B120" s="37" t="s">
        <v>17</v>
      </c>
      <c r="C120" s="38" t="s">
        <v>17</v>
      </c>
      <c r="D120" s="38">
        <v>45449</v>
      </c>
      <c r="E1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0" s="39">
        <f>IFERROR(VLOOKUP(RES_AB[[#This Row],[Reserva]],Tabela8[[Reserva]:[Usuário]],7,FALSE),Dados!$A$17)</f>
        <v>0.68587962962962967</v>
      </c>
      <c r="G120" s="40">
        <f>IF(RES_AB[[#This Row],[Reserva]]="","",IF(RES_AB[[#This Row],[Hora Int WMS]]&lt;Dados!$A$16,2,2))</f>
        <v>2</v>
      </c>
      <c r="H120" s="40" t="str">
        <f>IF(RES_AB[[#This Row],[Reserva]]="","",IFERROR(VLOOKUP(RES_AB[[#This Row],[Reserva]],Tabela3[[Reserva]:[Condição para Faturamento]],20,FALSE),"IMPORTADO COM SUCESSO"))</f>
        <v>IMPORTADO</v>
      </c>
      <c r="I120" s="38">
        <f>IF(RES_AB[[#This Row],[Data base]]="","",WORKDAY(RES_AB[[#This Row],[Data Reserva - Feriado e Fds]],RES_AB[[#This Row],[Dias para atendimento]],Feriados[Data]))</f>
        <v>45453</v>
      </c>
      <c r="J120" s="40" t="str">
        <f ca="1">IF(RES_AB[[#This Row],[Reserva]]="","",CONCATENATE("D+",NETWORKDAYS(RES_AB[[#This Row],[Data Reserva - Feriado e Fds]],TODAY(),Feriados[Data])-1))</f>
        <v>D+1</v>
      </c>
      <c r="K120" s="40" t="str">
        <f ca="1">IF(RES_AB[[#This Row],[Reserva]]="","",CONCATENATE(RES_AB[[#This Row],[Cen.]]," | ",RES_AB[[#This Row],[SLA2]]))</f>
        <v>11EU | D+1</v>
      </c>
      <c r="L120" s="40">
        <f ca="1">IF(RES_AB[[#This Row],[Reserva]]="","",IF(RES_AB[[#This Row],[SLA2]]=RES_AB[[#This Row],[Reserva]]="","",COUNTIF(MB25_VOLUMETRIA[Reserva],RES_AB[[#This Row],[Reserva]])))</f>
        <v>1</v>
      </c>
      <c r="M1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0" s="37" t="str">
        <f>IF(RES_AB[[#This Row],[Cen.]]="","",IFERROR(VLOOKUP(RES_AB[[#This Row],[Cen.]],Dados_Empresas[],2,FALSE),"Verificar empresa"))</f>
        <v>EMBRATEL</v>
      </c>
      <c r="P120" s="37" t="str">
        <f>IF(RES_AB[[#This Row],[Empresa]]="","",IF(OR(RES_AB[[#This Row],[Empresa]]="NET MASSIVO",RES_AB[[#This Row],[Empresa]]="NET PROJETOS"),"NET","EMPRESARIAL"))</f>
        <v>EMPRESARIAL</v>
      </c>
      <c r="Q120" s="37" t="str">
        <f>IF(RES_AB[[#This Row],[Reserva]]="","",IFERROR(VLOOKUP(RES_AB[[#This Row],[Reserva]],Tabela3[[Reserva]:[Descrição do status]],18,FALSE),"CONVENCIONAL"))</f>
        <v>CONVENCIONAL</v>
      </c>
    </row>
    <row r="121" spans="1:17" x14ac:dyDescent="0.25">
      <c r="A121" s="37">
        <v>4383287</v>
      </c>
      <c r="B121" s="37" t="s">
        <v>17</v>
      </c>
      <c r="C121" s="38" t="s">
        <v>17</v>
      </c>
      <c r="D121" s="38">
        <v>45449</v>
      </c>
      <c r="E1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1" s="39">
        <f>IFERROR(VLOOKUP(RES_AB[[#This Row],[Reserva]],Tabela8[[Reserva]:[Usuário]],7,FALSE),Dados!$A$17)</f>
        <v>0.68599537037037039</v>
      </c>
      <c r="G121" s="40">
        <f>IF(RES_AB[[#This Row],[Reserva]]="","",IF(RES_AB[[#This Row],[Hora Int WMS]]&lt;Dados!$A$16,2,2))</f>
        <v>2</v>
      </c>
      <c r="H121" s="40" t="str">
        <f>IF(RES_AB[[#This Row],[Reserva]]="","",IFERROR(VLOOKUP(RES_AB[[#This Row],[Reserva]],Tabela3[[Reserva]:[Condição para Faturamento]],20,FALSE),"IMPORTADO COM SUCESSO"))</f>
        <v>IMPORTADO</v>
      </c>
      <c r="I121" s="38">
        <f>IF(RES_AB[[#This Row],[Data base]]="","",WORKDAY(RES_AB[[#This Row],[Data Reserva - Feriado e Fds]],RES_AB[[#This Row],[Dias para atendimento]],Feriados[Data]))</f>
        <v>45453</v>
      </c>
      <c r="J121" s="40" t="str">
        <f ca="1">IF(RES_AB[[#This Row],[Reserva]]="","",CONCATENATE("D+",NETWORKDAYS(RES_AB[[#This Row],[Data Reserva - Feriado e Fds]],TODAY(),Feriados[Data])-1))</f>
        <v>D+1</v>
      </c>
      <c r="K121" s="40" t="str">
        <f ca="1">IF(RES_AB[[#This Row],[Reserva]]="","",CONCATENATE(RES_AB[[#This Row],[Cen.]]," | ",RES_AB[[#This Row],[SLA2]]))</f>
        <v>11EU | D+1</v>
      </c>
      <c r="L121" s="40">
        <f ca="1">IF(RES_AB[[#This Row],[Reserva]]="","",IF(RES_AB[[#This Row],[SLA2]]=RES_AB[[#This Row],[Reserva]]="","",COUNTIF(MB25_VOLUMETRIA[Reserva],RES_AB[[#This Row],[Reserva]])))</f>
        <v>1</v>
      </c>
      <c r="M1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1" s="37" t="str">
        <f>IF(RES_AB[[#This Row],[Cen.]]="","",IFERROR(VLOOKUP(RES_AB[[#This Row],[Cen.]],Dados_Empresas[],2,FALSE),"Verificar empresa"))</f>
        <v>EMBRATEL</v>
      </c>
      <c r="P121" s="37" t="str">
        <f>IF(RES_AB[[#This Row],[Empresa]]="","",IF(OR(RES_AB[[#This Row],[Empresa]]="NET MASSIVO",RES_AB[[#This Row],[Empresa]]="NET PROJETOS"),"NET","EMPRESARIAL"))</f>
        <v>EMPRESARIAL</v>
      </c>
      <c r="Q121" s="37" t="str">
        <f>IF(RES_AB[[#This Row],[Reserva]]="","",IFERROR(VLOOKUP(RES_AB[[#This Row],[Reserva]],Tabela3[[Reserva]:[Descrição do status]],18,FALSE),"CONVENCIONAL"))</f>
        <v>CONVENCIONAL</v>
      </c>
    </row>
    <row r="122" spans="1:17" x14ac:dyDescent="0.25">
      <c r="A122" s="37">
        <v>4383305</v>
      </c>
      <c r="B122" s="37" t="s">
        <v>17</v>
      </c>
      <c r="C122" s="38" t="s">
        <v>17</v>
      </c>
      <c r="D122" s="38">
        <v>45449</v>
      </c>
      <c r="E1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2" s="39">
        <f>IFERROR(VLOOKUP(RES_AB[[#This Row],[Reserva]],Tabela8[[Reserva]:[Usuário]],7,FALSE),Dados!$A$17)</f>
        <v>0.73090277777777779</v>
      </c>
      <c r="G122" s="40">
        <f>IF(RES_AB[[#This Row],[Reserva]]="","",IF(RES_AB[[#This Row],[Hora Int WMS]]&lt;Dados!$A$16,2,2))</f>
        <v>2</v>
      </c>
      <c r="H122" s="40" t="str">
        <f>IF(RES_AB[[#This Row],[Reserva]]="","",IFERROR(VLOOKUP(RES_AB[[#This Row],[Reserva]],Tabela3[[Reserva]:[Condição para Faturamento]],20,FALSE),"IMPORTADO COM SUCESSO"))</f>
        <v>IMPORTADO</v>
      </c>
      <c r="I122" s="38">
        <f>IF(RES_AB[[#This Row],[Data base]]="","",WORKDAY(RES_AB[[#This Row],[Data Reserva - Feriado e Fds]],RES_AB[[#This Row],[Dias para atendimento]],Feriados[Data]))</f>
        <v>45453</v>
      </c>
      <c r="J122" s="40" t="str">
        <f ca="1">IF(RES_AB[[#This Row],[Reserva]]="","",CONCATENATE("D+",NETWORKDAYS(RES_AB[[#This Row],[Data Reserva - Feriado e Fds]],TODAY(),Feriados[Data])-1))</f>
        <v>D+1</v>
      </c>
      <c r="K122" s="40" t="str">
        <f ca="1">IF(RES_AB[[#This Row],[Reserva]]="","",CONCATENATE(RES_AB[[#This Row],[Cen.]]," | ",RES_AB[[#This Row],[SLA2]]))</f>
        <v>11EU | D+1</v>
      </c>
      <c r="L122" s="40">
        <f ca="1">IF(RES_AB[[#This Row],[Reserva]]="","",IF(RES_AB[[#This Row],[SLA2]]=RES_AB[[#This Row],[Reserva]]="","",COUNTIF(MB25_VOLUMETRIA[Reserva],RES_AB[[#This Row],[Reserva]])))</f>
        <v>1</v>
      </c>
      <c r="M1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2" s="37" t="str">
        <f>IF(RES_AB[[#This Row],[Cen.]]="","",IFERROR(VLOOKUP(RES_AB[[#This Row],[Cen.]],Dados_Empresas[],2,FALSE),"Verificar empresa"))</f>
        <v>EMBRATEL</v>
      </c>
      <c r="P122" s="37" t="str">
        <f>IF(RES_AB[[#This Row],[Empresa]]="","",IF(OR(RES_AB[[#This Row],[Empresa]]="NET MASSIVO",RES_AB[[#This Row],[Empresa]]="NET PROJETOS"),"NET","EMPRESARIAL"))</f>
        <v>EMPRESARIAL</v>
      </c>
      <c r="Q122" s="37" t="str">
        <f>IF(RES_AB[[#This Row],[Reserva]]="","",IFERROR(VLOOKUP(RES_AB[[#This Row],[Reserva]],Tabela3[[Reserva]:[Descrição do status]],18,FALSE),"CONVENCIONAL"))</f>
        <v>CONVENCIONAL</v>
      </c>
    </row>
    <row r="123" spans="1:17" x14ac:dyDescent="0.25">
      <c r="A123" s="37">
        <v>4383306</v>
      </c>
      <c r="B123" s="37" t="s">
        <v>17</v>
      </c>
      <c r="C123" s="38" t="s">
        <v>17</v>
      </c>
      <c r="D123" s="38">
        <v>45449</v>
      </c>
      <c r="E1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3" s="39">
        <f>IFERROR(VLOOKUP(RES_AB[[#This Row],[Reserva]],Tabela8[[Reserva]:[Usuário]],7,FALSE),Dados!$A$17)</f>
        <v>0.73090277777777779</v>
      </c>
      <c r="G123" s="40">
        <f>IF(RES_AB[[#This Row],[Reserva]]="","",IF(RES_AB[[#This Row],[Hora Int WMS]]&lt;Dados!$A$16,2,2))</f>
        <v>2</v>
      </c>
      <c r="H123" s="40" t="str">
        <f>IF(RES_AB[[#This Row],[Reserva]]="","",IFERROR(VLOOKUP(RES_AB[[#This Row],[Reserva]],Tabela3[[Reserva]:[Condição para Faturamento]],20,FALSE),"IMPORTADO COM SUCESSO"))</f>
        <v>IMPORTADO</v>
      </c>
      <c r="I123" s="38">
        <f>IF(RES_AB[[#This Row],[Data base]]="","",WORKDAY(RES_AB[[#This Row],[Data Reserva - Feriado e Fds]],RES_AB[[#This Row],[Dias para atendimento]],Feriados[Data]))</f>
        <v>45453</v>
      </c>
      <c r="J123" s="40" t="str">
        <f ca="1">IF(RES_AB[[#This Row],[Reserva]]="","",CONCATENATE("D+",NETWORKDAYS(RES_AB[[#This Row],[Data Reserva - Feriado e Fds]],TODAY(),Feriados[Data])-1))</f>
        <v>D+1</v>
      </c>
      <c r="K123" s="40" t="str">
        <f ca="1">IF(RES_AB[[#This Row],[Reserva]]="","",CONCATENATE(RES_AB[[#This Row],[Cen.]]," | ",RES_AB[[#This Row],[SLA2]]))</f>
        <v>11EU | D+1</v>
      </c>
      <c r="L123" s="40">
        <f ca="1">IF(RES_AB[[#This Row],[Reserva]]="","",IF(RES_AB[[#This Row],[SLA2]]=RES_AB[[#This Row],[Reserva]]="","",COUNTIF(MB25_VOLUMETRIA[Reserva],RES_AB[[#This Row],[Reserva]])))</f>
        <v>1</v>
      </c>
      <c r="M1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3" s="37" t="str">
        <f>IF(RES_AB[[#This Row],[Cen.]]="","",IFERROR(VLOOKUP(RES_AB[[#This Row],[Cen.]],Dados_Empresas[],2,FALSE),"Verificar empresa"))</f>
        <v>EMBRATEL</v>
      </c>
      <c r="P123" s="37" t="str">
        <f>IF(RES_AB[[#This Row],[Empresa]]="","",IF(OR(RES_AB[[#This Row],[Empresa]]="NET MASSIVO",RES_AB[[#This Row],[Empresa]]="NET PROJETOS"),"NET","EMPRESARIAL"))</f>
        <v>EMPRESARIAL</v>
      </c>
      <c r="Q123" s="37" t="str">
        <f>IF(RES_AB[[#This Row],[Reserva]]="","",IFERROR(VLOOKUP(RES_AB[[#This Row],[Reserva]],Tabela3[[Reserva]:[Descrição do status]],18,FALSE),"CONVENCIONAL"))</f>
        <v>CONVENCIONAL</v>
      </c>
    </row>
    <row r="124" spans="1:17" x14ac:dyDescent="0.25">
      <c r="A124" s="37">
        <v>4383307</v>
      </c>
      <c r="B124" s="37" t="s">
        <v>17</v>
      </c>
      <c r="C124" s="38" t="s">
        <v>17</v>
      </c>
      <c r="D124" s="38">
        <v>45449</v>
      </c>
      <c r="E1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4" s="39">
        <f>IFERROR(VLOOKUP(RES_AB[[#This Row],[Reserva]],Tabela8[[Reserva]:[Usuário]],7,FALSE),Dados!$A$17)</f>
        <v>0.73101851851851851</v>
      </c>
      <c r="G124" s="40">
        <f>IF(RES_AB[[#This Row],[Reserva]]="","",IF(RES_AB[[#This Row],[Hora Int WMS]]&lt;Dados!$A$16,2,2))</f>
        <v>2</v>
      </c>
      <c r="H124" s="40" t="str">
        <f>IF(RES_AB[[#This Row],[Reserva]]="","",IFERROR(VLOOKUP(RES_AB[[#This Row],[Reserva]],Tabela3[[Reserva]:[Condição para Faturamento]],20,FALSE),"IMPORTADO COM SUCESSO"))</f>
        <v>IMPORTADO</v>
      </c>
      <c r="I124" s="38">
        <f>IF(RES_AB[[#This Row],[Data base]]="","",WORKDAY(RES_AB[[#This Row],[Data Reserva - Feriado e Fds]],RES_AB[[#This Row],[Dias para atendimento]],Feriados[Data]))</f>
        <v>45453</v>
      </c>
      <c r="J124" s="40" t="str">
        <f ca="1">IF(RES_AB[[#This Row],[Reserva]]="","",CONCATENATE("D+",NETWORKDAYS(RES_AB[[#This Row],[Data Reserva - Feriado e Fds]],TODAY(),Feriados[Data])-1))</f>
        <v>D+1</v>
      </c>
      <c r="K124" s="40" t="str">
        <f ca="1">IF(RES_AB[[#This Row],[Reserva]]="","",CONCATENATE(RES_AB[[#This Row],[Cen.]]," | ",RES_AB[[#This Row],[SLA2]]))</f>
        <v>11EU | D+1</v>
      </c>
      <c r="L124" s="40">
        <f ca="1">IF(RES_AB[[#This Row],[Reserva]]="","",IF(RES_AB[[#This Row],[SLA2]]=RES_AB[[#This Row],[Reserva]]="","",COUNTIF(MB25_VOLUMETRIA[Reserva],RES_AB[[#This Row],[Reserva]])))</f>
        <v>1</v>
      </c>
      <c r="M1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4" s="37" t="str">
        <f>IF(RES_AB[[#This Row],[Cen.]]="","",IFERROR(VLOOKUP(RES_AB[[#This Row],[Cen.]],Dados_Empresas[],2,FALSE),"Verificar empresa"))</f>
        <v>EMBRATEL</v>
      </c>
      <c r="P124" s="37" t="str">
        <f>IF(RES_AB[[#This Row],[Empresa]]="","",IF(OR(RES_AB[[#This Row],[Empresa]]="NET MASSIVO",RES_AB[[#This Row],[Empresa]]="NET PROJETOS"),"NET","EMPRESARIAL"))</f>
        <v>EMPRESARIAL</v>
      </c>
      <c r="Q124" s="37" t="str">
        <f>IF(RES_AB[[#This Row],[Reserva]]="","",IFERROR(VLOOKUP(RES_AB[[#This Row],[Reserva]],Tabela3[[Reserva]:[Descrição do status]],18,FALSE),"CONVENCIONAL"))</f>
        <v>CONVENCIONAL</v>
      </c>
    </row>
    <row r="125" spans="1:17" x14ac:dyDescent="0.25">
      <c r="A125" s="37">
        <v>4383324</v>
      </c>
      <c r="B125" s="37" t="s">
        <v>17</v>
      </c>
      <c r="C125" s="38" t="s">
        <v>17</v>
      </c>
      <c r="D125" s="38">
        <v>45449</v>
      </c>
      <c r="E1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5" s="39">
        <f>IFERROR(VLOOKUP(RES_AB[[#This Row],[Reserva]],Tabela8[[Reserva]:[Usuário]],7,FALSE),Dados!$A$17)</f>
        <v>0.68599537037037039</v>
      </c>
      <c r="G125" s="40">
        <f>IF(RES_AB[[#This Row],[Reserva]]="","",IF(RES_AB[[#This Row],[Hora Int WMS]]&lt;Dados!$A$16,2,2))</f>
        <v>2</v>
      </c>
      <c r="H125" s="40" t="str">
        <f>IF(RES_AB[[#This Row],[Reserva]]="","",IFERROR(VLOOKUP(RES_AB[[#This Row],[Reserva]],Tabela3[[Reserva]:[Condição para Faturamento]],20,FALSE),"IMPORTADO COM SUCESSO"))</f>
        <v>IMPORTADO</v>
      </c>
      <c r="I125" s="38">
        <f>IF(RES_AB[[#This Row],[Data base]]="","",WORKDAY(RES_AB[[#This Row],[Data Reserva - Feriado e Fds]],RES_AB[[#This Row],[Dias para atendimento]],Feriados[Data]))</f>
        <v>45453</v>
      </c>
      <c r="J125" s="40" t="str">
        <f ca="1">IF(RES_AB[[#This Row],[Reserva]]="","",CONCATENATE("D+",NETWORKDAYS(RES_AB[[#This Row],[Data Reserva - Feriado e Fds]],TODAY(),Feriados[Data])-1))</f>
        <v>D+1</v>
      </c>
      <c r="K125" s="40" t="str">
        <f ca="1">IF(RES_AB[[#This Row],[Reserva]]="","",CONCATENATE(RES_AB[[#This Row],[Cen.]]," | ",RES_AB[[#This Row],[SLA2]]))</f>
        <v>11EU | D+1</v>
      </c>
      <c r="L125" s="40">
        <f ca="1">IF(RES_AB[[#This Row],[Reserva]]="","",IF(RES_AB[[#This Row],[SLA2]]=RES_AB[[#This Row],[Reserva]]="","",COUNTIF(MB25_VOLUMETRIA[Reserva],RES_AB[[#This Row],[Reserva]])))</f>
        <v>1</v>
      </c>
      <c r="M1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5" s="37" t="str">
        <f>IF(RES_AB[[#This Row],[Cen.]]="","",IFERROR(VLOOKUP(RES_AB[[#This Row],[Cen.]],Dados_Empresas[],2,FALSE),"Verificar empresa"))</f>
        <v>EMBRATEL</v>
      </c>
      <c r="P125" s="37" t="str">
        <f>IF(RES_AB[[#This Row],[Empresa]]="","",IF(OR(RES_AB[[#This Row],[Empresa]]="NET MASSIVO",RES_AB[[#This Row],[Empresa]]="NET PROJETOS"),"NET","EMPRESARIAL"))</f>
        <v>EMPRESARIAL</v>
      </c>
      <c r="Q125" s="37" t="str">
        <f>IF(RES_AB[[#This Row],[Reserva]]="","",IFERROR(VLOOKUP(RES_AB[[#This Row],[Reserva]],Tabela3[[Reserva]:[Descrição do status]],18,FALSE),"CONVENCIONAL"))</f>
        <v>CONVENCIONAL</v>
      </c>
    </row>
    <row r="126" spans="1:17" x14ac:dyDescent="0.25">
      <c r="A126" s="37">
        <v>4383570</v>
      </c>
      <c r="B126" s="37" t="s">
        <v>17</v>
      </c>
      <c r="C126" s="38" t="s">
        <v>17</v>
      </c>
      <c r="D126" s="38">
        <v>45449</v>
      </c>
      <c r="E1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6" s="39">
        <f>IFERROR(VLOOKUP(RES_AB[[#This Row],[Reserva]],Tabela8[[Reserva]:[Usuário]],7,FALSE),Dados!$A$17)</f>
        <v>0.70370370370370372</v>
      </c>
      <c r="G126" s="40">
        <f>IF(RES_AB[[#This Row],[Reserva]]="","",IF(RES_AB[[#This Row],[Hora Int WMS]]&lt;Dados!$A$16,2,2))</f>
        <v>2</v>
      </c>
      <c r="H126" s="40" t="str">
        <f>IF(RES_AB[[#This Row],[Reserva]]="","",IFERROR(VLOOKUP(RES_AB[[#This Row],[Reserva]],Tabela3[[Reserva]:[Condição para Faturamento]],20,FALSE),"IMPORTADO COM SUCESSO"))</f>
        <v>AGUARDANDO SEPARAÇÃO</v>
      </c>
      <c r="I126" s="38">
        <f>IF(RES_AB[[#This Row],[Data base]]="","",WORKDAY(RES_AB[[#This Row],[Data Reserva - Feriado e Fds]],RES_AB[[#This Row],[Dias para atendimento]],Feriados[Data]))</f>
        <v>45453</v>
      </c>
      <c r="J126" s="40" t="str">
        <f ca="1">IF(RES_AB[[#This Row],[Reserva]]="","",CONCATENATE("D+",NETWORKDAYS(RES_AB[[#This Row],[Data Reserva - Feriado e Fds]],TODAY(),Feriados[Data])-1))</f>
        <v>D+1</v>
      </c>
      <c r="K126" s="40" t="str">
        <f ca="1">IF(RES_AB[[#This Row],[Reserva]]="","",CONCATENATE(RES_AB[[#This Row],[Cen.]]," | ",RES_AB[[#This Row],[SLA2]]))</f>
        <v>11EU | D+1</v>
      </c>
      <c r="L126" s="40">
        <f ca="1">IF(RES_AB[[#This Row],[Reserva]]="","",IF(RES_AB[[#This Row],[SLA2]]=RES_AB[[#This Row],[Reserva]]="","",COUNTIF(MB25_VOLUMETRIA[Reserva],RES_AB[[#This Row],[Reserva]])))</f>
        <v>1</v>
      </c>
      <c r="M1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6" s="37" t="str">
        <f>IF(RES_AB[[#This Row],[Cen.]]="","",IFERROR(VLOOKUP(RES_AB[[#This Row],[Cen.]],Dados_Empresas[],2,FALSE),"Verificar empresa"))</f>
        <v>EMBRATEL</v>
      </c>
      <c r="P126" s="37" t="str">
        <f>IF(RES_AB[[#This Row],[Empresa]]="","",IF(OR(RES_AB[[#This Row],[Empresa]]="NET MASSIVO",RES_AB[[#This Row],[Empresa]]="NET PROJETOS"),"NET","EMPRESARIAL"))</f>
        <v>EMPRESARIAL</v>
      </c>
      <c r="Q126" s="37" t="str">
        <f>IF(RES_AB[[#This Row],[Reserva]]="","",IFERROR(VLOOKUP(RES_AB[[#This Row],[Reserva]],Tabela3[[Reserva]:[Descrição do status]],18,FALSE),"CONVENCIONAL"))</f>
        <v>CONVENCIONAL</v>
      </c>
    </row>
    <row r="127" spans="1:17" x14ac:dyDescent="0.25">
      <c r="A127" s="37">
        <v>4383571</v>
      </c>
      <c r="B127" s="37" t="s">
        <v>17</v>
      </c>
      <c r="C127" s="38" t="s">
        <v>17</v>
      </c>
      <c r="D127" s="38">
        <v>45449</v>
      </c>
      <c r="E1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7" s="39">
        <f>IFERROR(VLOOKUP(RES_AB[[#This Row],[Reserva]],Tabela8[[Reserva]:[Usuário]],7,FALSE),Dados!$A$17)</f>
        <v>0.70381944444444444</v>
      </c>
      <c r="G127" s="40">
        <f>IF(RES_AB[[#This Row],[Reserva]]="","",IF(RES_AB[[#This Row],[Hora Int WMS]]&lt;Dados!$A$16,2,2))</f>
        <v>2</v>
      </c>
      <c r="H127" s="40" t="str">
        <f>IF(RES_AB[[#This Row],[Reserva]]="","",IFERROR(VLOOKUP(RES_AB[[#This Row],[Reserva]],Tabela3[[Reserva]:[Condição para Faturamento]],20,FALSE),"IMPORTADO COM SUCESSO"))</f>
        <v>IMPORTADO</v>
      </c>
      <c r="I127" s="38">
        <f>IF(RES_AB[[#This Row],[Data base]]="","",WORKDAY(RES_AB[[#This Row],[Data Reserva - Feriado e Fds]],RES_AB[[#This Row],[Dias para atendimento]],Feriados[Data]))</f>
        <v>45453</v>
      </c>
      <c r="J127" s="40" t="str">
        <f ca="1">IF(RES_AB[[#This Row],[Reserva]]="","",CONCATENATE("D+",NETWORKDAYS(RES_AB[[#This Row],[Data Reserva - Feriado e Fds]],TODAY(),Feriados[Data])-1))</f>
        <v>D+1</v>
      </c>
      <c r="K127" s="40" t="str">
        <f ca="1">IF(RES_AB[[#This Row],[Reserva]]="","",CONCATENATE(RES_AB[[#This Row],[Cen.]]," | ",RES_AB[[#This Row],[SLA2]]))</f>
        <v>11EU | D+1</v>
      </c>
      <c r="L127" s="40">
        <f ca="1">IF(RES_AB[[#This Row],[Reserva]]="","",IF(RES_AB[[#This Row],[SLA2]]=RES_AB[[#This Row],[Reserva]]="","",COUNTIF(MB25_VOLUMETRIA[Reserva],RES_AB[[#This Row],[Reserva]])))</f>
        <v>1</v>
      </c>
      <c r="M1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7" s="37" t="str">
        <f>IF(RES_AB[[#This Row],[Cen.]]="","",IFERROR(VLOOKUP(RES_AB[[#This Row],[Cen.]],Dados_Empresas[],2,FALSE),"Verificar empresa"))</f>
        <v>EMBRATEL</v>
      </c>
      <c r="P127" s="37" t="str">
        <f>IF(RES_AB[[#This Row],[Empresa]]="","",IF(OR(RES_AB[[#This Row],[Empresa]]="NET MASSIVO",RES_AB[[#This Row],[Empresa]]="NET PROJETOS"),"NET","EMPRESARIAL"))</f>
        <v>EMPRESARIAL</v>
      </c>
      <c r="Q127" s="37" t="str">
        <f>IF(RES_AB[[#This Row],[Reserva]]="","",IFERROR(VLOOKUP(RES_AB[[#This Row],[Reserva]],Tabela3[[Reserva]:[Descrição do status]],18,FALSE),"CONVENCIONAL"))</f>
        <v>CONVENCIONAL</v>
      </c>
    </row>
    <row r="128" spans="1:17" x14ac:dyDescent="0.25">
      <c r="A128" s="37">
        <v>4383572</v>
      </c>
      <c r="B128" s="37" t="s">
        <v>17</v>
      </c>
      <c r="C128" s="38" t="s">
        <v>17</v>
      </c>
      <c r="D128" s="38">
        <v>45449</v>
      </c>
      <c r="E1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8" s="39">
        <f>IFERROR(VLOOKUP(RES_AB[[#This Row],[Reserva]],Tabela8[[Reserva]:[Usuário]],7,FALSE),Dados!$A$17)</f>
        <v>0.70381944444444444</v>
      </c>
      <c r="G128" s="40">
        <f>IF(RES_AB[[#This Row],[Reserva]]="","",IF(RES_AB[[#This Row],[Hora Int WMS]]&lt;Dados!$A$16,2,2))</f>
        <v>2</v>
      </c>
      <c r="H128" s="40" t="str">
        <f>IF(RES_AB[[#This Row],[Reserva]]="","",IFERROR(VLOOKUP(RES_AB[[#This Row],[Reserva]],Tabela3[[Reserva]:[Condição para Faturamento]],20,FALSE),"IMPORTADO COM SUCESSO"))</f>
        <v>AGUARDANDO SEPARAÇÃO</v>
      </c>
      <c r="I128" s="38">
        <f>IF(RES_AB[[#This Row],[Data base]]="","",WORKDAY(RES_AB[[#This Row],[Data Reserva - Feriado e Fds]],RES_AB[[#This Row],[Dias para atendimento]],Feriados[Data]))</f>
        <v>45453</v>
      </c>
      <c r="J128" s="40" t="str">
        <f ca="1">IF(RES_AB[[#This Row],[Reserva]]="","",CONCATENATE("D+",NETWORKDAYS(RES_AB[[#This Row],[Data Reserva - Feriado e Fds]],TODAY(),Feriados[Data])-1))</f>
        <v>D+1</v>
      </c>
      <c r="K128" s="40" t="str">
        <f ca="1">IF(RES_AB[[#This Row],[Reserva]]="","",CONCATENATE(RES_AB[[#This Row],[Cen.]]," | ",RES_AB[[#This Row],[SLA2]]))</f>
        <v>11EU | D+1</v>
      </c>
      <c r="L128" s="40">
        <f ca="1">IF(RES_AB[[#This Row],[Reserva]]="","",IF(RES_AB[[#This Row],[SLA2]]=RES_AB[[#This Row],[Reserva]]="","",COUNTIF(MB25_VOLUMETRIA[Reserva],RES_AB[[#This Row],[Reserva]])))</f>
        <v>1</v>
      </c>
      <c r="M1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8" s="37" t="str">
        <f>IF(RES_AB[[#This Row],[Cen.]]="","",IFERROR(VLOOKUP(RES_AB[[#This Row],[Cen.]],Dados_Empresas[],2,FALSE),"Verificar empresa"))</f>
        <v>EMBRATEL</v>
      </c>
      <c r="P128" s="37" t="str">
        <f>IF(RES_AB[[#This Row],[Empresa]]="","",IF(OR(RES_AB[[#This Row],[Empresa]]="NET MASSIVO",RES_AB[[#This Row],[Empresa]]="NET PROJETOS"),"NET","EMPRESARIAL"))</f>
        <v>EMPRESARIAL</v>
      </c>
      <c r="Q128" s="37" t="str">
        <f>IF(RES_AB[[#This Row],[Reserva]]="","",IFERROR(VLOOKUP(RES_AB[[#This Row],[Reserva]],Tabela3[[Reserva]:[Descrição do status]],18,FALSE),"CONVENCIONAL"))</f>
        <v>CONVENCIONAL</v>
      </c>
    </row>
    <row r="129" spans="1:17" x14ac:dyDescent="0.25">
      <c r="A129" s="37">
        <v>4383573</v>
      </c>
      <c r="B129" s="37" t="s">
        <v>17</v>
      </c>
      <c r="C129" s="38" t="s">
        <v>17</v>
      </c>
      <c r="D129" s="38">
        <v>45449</v>
      </c>
      <c r="E1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29" s="39">
        <f>IFERROR(VLOOKUP(RES_AB[[#This Row],[Reserva]],Tabela8[[Reserva]:[Usuário]],7,FALSE),Dados!$A$17)</f>
        <v>0.70393518518518516</v>
      </c>
      <c r="G129" s="40">
        <f>IF(RES_AB[[#This Row],[Reserva]]="","",IF(RES_AB[[#This Row],[Hora Int WMS]]&lt;Dados!$A$16,2,2))</f>
        <v>2</v>
      </c>
      <c r="H129" s="40" t="str">
        <f>IF(RES_AB[[#This Row],[Reserva]]="","",IFERROR(VLOOKUP(RES_AB[[#This Row],[Reserva]],Tabela3[[Reserva]:[Condição para Faturamento]],20,FALSE),"IMPORTADO COM SUCESSO"))</f>
        <v>IMPORTADO</v>
      </c>
      <c r="I129" s="38">
        <f>IF(RES_AB[[#This Row],[Data base]]="","",WORKDAY(RES_AB[[#This Row],[Data Reserva - Feriado e Fds]],RES_AB[[#This Row],[Dias para atendimento]],Feriados[Data]))</f>
        <v>45453</v>
      </c>
      <c r="J129" s="40" t="str">
        <f ca="1">IF(RES_AB[[#This Row],[Reserva]]="","",CONCATENATE("D+",NETWORKDAYS(RES_AB[[#This Row],[Data Reserva - Feriado e Fds]],TODAY(),Feriados[Data])-1))</f>
        <v>D+1</v>
      </c>
      <c r="K129" s="40" t="str">
        <f ca="1">IF(RES_AB[[#This Row],[Reserva]]="","",CONCATENATE(RES_AB[[#This Row],[Cen.]]," | ",RES_AB[[#This Row],[SLA2]]))</f>
        <v>11EU | D+1</v>
      </c>
      <c r="L129" s="40">
        <f ca="1">IF(RES_AB[[#This Row],[Reserva]]="","",IF(RES_AB[[#This Row],[SLA2]]=RES_AB[[#This Row],[Reserva]]="","",COUNTIF(MB25_VOLUMETRIA[Reserva],RES_AB[[#This Row],[Reserva]])))</f>
        <v>1</v>
      </c>
      <c r="M1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29" s="37" t="str">
        <f>IF(RES_AB[[#This Row],[Cen.]]="","",IFERROR(VLOOKUP(RES_AB[[#This Row],[Cen.]],Dados_Empresas[],2,FALSE),"Verificar empresa"))</f>
        <v>EMBRATEL</v>
      </c>
      <c r="P129" s="37" t="str">
        <f>IF(RES_AB[[#This Row],[Empresa]]="","",IF(OR(RES_AB[[#This Row],[Empresa]]="NET MASSIVO",RES_AB[[#This Row],[Empresa]]="NET PROJETOS"),"NET","EMPRESARIAL"))</f>
        <v>EMPRESARIAL</v>
      </c>
      <c r="Q129" s="37" t="str">
        <f>IF(RES_AB[[#This Row],[Reserva]]="","",IFERROR(VLOOKUP(RES_AB[[#This Row],[Reserva]],Tabela3[[Reserva]:[Descrição do status]],18,FALSE),"CONVENCIONAL"))</f>
        <v>CONVENCIONAL</v>
      </c>
    </row>
    <row r="130" spans="1:17" x14ac:dyDescent="0.25">
      <c r="A130" s="37">
        <v>4384157</v>
      </c>
      <c r="B130" s="37" t="s">
        <v>17</v>
      </c>
      <c r="C130" s="38" t="s">
        <v>397</v>
      </c>
      <c r="D130" s="38">
        <v>45450</v>
      </c>
      <c r="E1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130" s="39">
        <f>IFERROR(VLOOKUP(RES_AB[[#This Row],[Reserva]],Tabela8[[Reserva]:[Usuário]],7,FALSE),Dados!$A$17)</f>
        <v>0.40578703703703706</v>
      </c>
      <c r="G130" s="40">
        <f>IF(RES_AB[[#This Row],[Reserva]]="","",IF(RES_AB[[#This Row],[Hora Int WMS]]&lt;Dados!$A$16,2,2))</f>
        <v>2</v>
      </c>
      <c r="H130" s="40" t="str">
        <f>IF(RES_AB[[#This Row],[Reserva]]="","",IFERROR(VLOOKUP(RES_AB[[#This Row],[Reserva]],Tabela3[[Reserva]:[Condição para Faturamento]],20,FALSE),"IMPORTADO COM SUCESSO"))</f>
        <v>IMPORTADO COM SUCESSO</v>
      </c>
      <c r="I130" s="38">
        <f>IF(RES_AB[[#This Row],[Data base]]="","",WORKDAY(RES_AB[[#This Row],[Data Reserva - Feriado e Fds]],RES_AB[[#This Row],[Dias para atendimento]],Feriados[Data]))</f>
        <v>45454</v>
      </c>
      <c r="J130" s="40" t="str">
        <f ca="1">IF(RES_AB[[#This Row],[Reserva]]="","",CONCATENATE("D+",NETWORKDAYS(RES_AB[[#This Row],[Data Reserva - Feriado e Fds]],TODAY(),Feriados[Data])-1))</f>
        <v>D+0</v>
      </c>
      <c r="K130" s="40" t="str">
        <f ca="1">IF(RES_AB[[#This Row],[Reserva]]="","",CONCATENATE(RES_AB[[#This Row],[Cen.]]," | ",RES_AB[[#This Row],[SLA2]]))</f>
        <v>11EU | D+0</v>
      </c>
      <c r="L130" s="40">
        <f ca="1">IF(RES_AB[[#This Row],[Reserva]]="","",IF(RES_AB[[#This Row],[SLA2]]=RES_AB[[#This Row],[Reserva]]="","",COUNTIF(MB25_VOLUMETRIA[Reserva],RES_AB[[#This Row],[Reserva]])))</f>
        <v>1</v>
      </c>
      <c r="M1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0" s="37" t="str">
        <f>IF(RES_AB[[#This Row],[Cen.]]="","",IFERROR(VLOOKUP(RES_AB[[#This Row],[Cen.]],Dados_Empresas[],2,FALSE),"Verificar empresa"))</f>
        <v>EMBRATEL</v>
      </c>
      <c r="P130" s="37" t="str">
        <f>IF(RES_AB[[#This Row],[Empresa]]="","",IF(OR(RES_AB[[#This Row],[Empresa]]="NET MASSIVO",RES_AB[[#This Row],[Empresa]]="NET PROJETOS"),"NET","EMPRESARIAL"))</f>
        <v>EMPRESARIAL</v>
      </c>
      <c r="Q130" s="37" t="str">
        <f>IF(RES_AB[[#This Row],[Reserva]]="","",IFERROR(VLOOKUP(RES_AB[[#This Row],[Reserva]],Tabela3[[Reserva]:[Descrição do status]],18,FALSE),"CONVENCIONAL"))</f>
        <v>CONVENCIONAL</v>
      </c>
    </row>
    <row r="131" spans="1:17" x14ac:dyDescent="0.25">
      <c r="A131" s="37">
        <v>4378021</v>
      </c>
      <c r="B131" s="37" t="s">
        <v>18</v>
      </c>
      <c r="C131" s="38" t="s">
        <v>18</v>
      </c>
      <c r="D131" s="38">
        <v>45446</v>
      </c>
      <c r="E1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131" s="39">
        <f>IFERROR(VLOOKUP(RES_AB[[#This Row],[Reserva]],Tabela8[[Reserva]:[Usuário]],7,FALSE),Dados!$A$17)</f>
        <v>0.33333333333333331</v>
      </c>
      <c r="G131" s="40">
        <f>IF(RES_AB[[#This Row],[Reserva]]="","",IF(RES_AB[[#This Row],[Hora Int WMS]]&lt;Dados!$A$16,2,2))</f>
        <v>2</v>
      </c>
      <c r="H131" s="40" t="str">
        <f>IF(RES_AB[[#This Row],[Reserva]]="","",IFERROR(VLOOKUP(RES_AB[[#This Row],[Reserva]],Tabela3[[Reserva]:[Condição para Faturamento]],20,FALSE),"IMPORTADO COM SUCESSO"))</f>
        <v>CANCELAMENTO DE PEDIDO</v>
      </c>
      <c r="I131" s="38">
        <f>IF(RES_AB[[#This Row],[Data base]]="","",WORKDAY(RES_AB[[#This Row],[Data Reserva - Feriado e Fds]],RES_AB[[#This Row],[Dias para atendimento]],Feriados[Data]))</f>
        <v>45448</v>
      </c>
      <c r="J131" s="40" t="str">
        <f ca="1">IF(RES_AB[[#This Row],[Reserva]]="","",CONCATENATE("D+",NETWORKDAYS(RES_AB[[#This Row],[Data Reserva - Feriado e Fds]],TODAY(),Feriados[Data])-1))</f>
        <v>D+4</v>
      </c>
      <c r="K131" s="40" t="str">
        <f ca="1">IF(RES_AB[[#This Row],[Reserva]]="","",CONCATENATE(RES_AB[[#This Row],[Cen.]]," | ",RES_AB[[#This Row],[SLA2]]))</f>
        <v>N193 | D+4</v>
      </c>
      <c r="L131" s="40">
        <f ca="1">IF(RES_AB[[#This Row],[Reserva]]="","",IF(RES_AB[[#This Row],[SLA2]]=RES_AB[[#This Row],[Reserva]]="","",COUNTIF(MB25_VOLUMETRIA[Reserva],RES_AB[[#This Row],[Reserva]])))</f>
        <v>2</v>
      </c>
      <c r="M1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131" s="37" t="str">
        <f>IF(RES_AB[[#This Row],[Cen.]]="","",IFERROR(VLOOKUP(RES_AB[[#This Row],[Cen.]],Dados_Empresas[],2,FALSE),"Verificar empresa"))</f>
        <v>NET PROJETOS</v>
      </c>
      <c r="P131" s="37" t="str">
        <f>IF(RES_AB[[#This Row],[Empresa]]="","",IF(OR(RES_AB[[#This Row],[Empresa]]="NET MASSIVO",RES_AB[[#This Row],[Empresa]]="NET PROJETOS"),"NET","EMPRESARIAL"))</f>
        <v>NET</v>
      </c>
      <c r="Q131" s="37" t="str">
        <f>IF(RES_AB[[#This Row],[Reserva]]="","",IFERROR(VLOOKUP(RES_AB[[#This Row],[Reserva]],Tabela3[[Reserva]:[Descrição do status]],18,FALSE),"CONVENCIONAL"))</f>
        <v>CONVENCIONAL</v>
      </c>
    </row>
    <row r="132" spans="1:17" x14ac:dyDescent="0.25">
      <c r="A132" s="37">
        <v>4379569</v>
      </c>
      <c r="B132" s="37" t="s">
        <v>18</v>
      </c>
      <c r="C132" s="38" t="s">
        <v>18</v>
      </c>
      <c r="D132" s="38">
        <v>45447</v>
      </c>
      <c r="E1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132" s="39">
        <f>IFERROR(VLOOKUP(RES_AB[[#This Row],[Reserva]],Tabela8[[Reserva]:[Usuário]],7,FALSE),Dados!$A$17)</f>
        <v>0.35486111111111113</v>
      </c>
      <c r="G132" s="40">
        <f>IF(RES_AB[[#This Row],[Reserva]]="","",IF(RES_AB[[#This Row],[Hora Int WMS]]&lt;Dados!$A$16,2,2))</f>
        <v>2</v>
      </c>
      <c r="H132" s="40" t="str">
        <f>IF(RES_AB[[#This Row],[Reserva]]="","",IFERROR(VLOOKUP(RES_AB[[#This Row],[Reserva]],Tabela3[[Reserva]:[Condição para Faturamento]],20,FALSE),"IMPORTADO COM SUCESSO"))</f>
        <v>CANCELAMENTO DE PEDIDO</v>
      </c>
      <c r="I132" s="38">
        <f>IF(RES_AB[[#This Row],[Data base]]="","",WORKDAY(RES_AB[[#This Row],[Data Reserva - Feriado e Fds]],RES_AB[[#This Row],[Dias para atendimento]],Feriados[Data]))</f>
        <v>45449</v>
      </c>
      <c r="J132" s="40" t="str">
        <f ca="1">IF(RES_AB[[#This Row],[Reserva]]="","",CONCATENATE("D+",NETWORKDAYS(RES_AB[[#This Row],[Data Reserva - Feriado e Fds]],TODAY(),Feriados[Data])-1))</f>
        <v>D+3</v>
      </c>
      <c r="K132" s="40" t="str">
        <f ca="1">IF(RES_AB[[#This Row],[Reserva]]="","",CONCATENATE(RES_AB[[#This Row],[Cen.]]," | ",RES_AB[[#This Row],[SLA2]]))</f>
        <v>N193 | D+3</v>
      </c>
      <c r="L132" s="40">
        <f ca="1">IF(RES_AB[[#This Row],[Reserva]]="","",IF(RES_AB[[#This Row],[SLA2]]=RES_AB[[#This Row],[Reserva]]="","",COUNTIF(MB25_VOLUMETRIA[Reserva],RES_AB[[#This Row],[Reserva]])))</f>
        <v>1</v>
      </c>
      <c r="M1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132" s="37" t="str">
        <f>IF(RES_AB[[#This Row],[Cen.]]="","",IFERROR(VLOOKUP(RES_AB[[#This Row],[Cen.]],Dados_Empresas[],2,FALSE),"Verificar empresa"))</f>
        <v>NET PROJETOS</v>
      </c>
      <c r="P132" s="37" t="str">
        <f>IF(RES_AB[[#This Row],[Empresa]]="","",IF(OR(RES_AB[[#This Row],[Empresa]]="NET MASSIVO",RES_AB[[#This Row],[Empresa]]="NET PROJETOS"),"NET","EMPRESARIAL"))</f>
        <v>NET</v>
      </c>
      <c r="Q132" s="37" t="str">
        <f>IF(RES_AB[[#This Row],[Reserva]]="","",IFERROR(VLOOKUP(RES_AB[[#This Row],[Reserva]],Tabela3[[Reserva]:[Descrição do status]],18,FALSE),"CONVENCIONAL"))</f>
        <v>CONVENCIONAL</v>
      </c>
    </row>
    <row r="133" spans="1:17" x14ac:dyDescent="0.25">
      <c r="A133" s="37">
        <v>4382809</v>
      </c>
      <c r="B133" s="37" t="s">
        <v>18</v>
      </c>
      <c r="C133" s="38" t="s">
        <v>18</v>
      </c>
      <c r="D133" s="38">
        <v>45449</v>
      </c>
      <c r="E1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3" s="39">
        <f>IFERROR(VLOOKUP(RES_AB[[#This Row],[Reserva]],Tabela8[[Reserva]:[Usuário]],7,FALSE),Dados!$A$17)</f>
        <v>0.43148148148148147</v>
      </c>
      <c r="G133" s="40">
        <f>IF(RES_AB[[#This Row],[Reserva]]="","",IF(RES_AB[[#This Row],[Hora Int WMS]]&lt;Dados!$A$16,2,2))</f>
        <v>2</v>
      </c>
      <c r="H133" s="40" t="str">
        <f>IF(RES_AB[[#This Row],[Reserva]]="","",IFERROR(VLOOKUP(RES_AB[[#This Row],[Reserva]],Tabela3[[Reserva]:[Condição para Faturamento]],20,FALSE),"IMPORTADO COM SUCESSO"))</f>
        <v>CANCELAMENTO DE PEDIDO</v>
      </c>
      <c r="I133" s="38">
        <f>IF(RES_AB[[#This Row],[Data base]]="","",WORKDAY(RES_AB[[#This Row],[Data Reserva - Feriado e Fds]],RES_AB[[#This Row],[Dias para atendimento]],Feriados[Data]))</f>
        <v>45453</v>
      </c>
      <c r="J133" s="40" t="str">
        <f ca="1">IF(RES_AB[[#This Row],[Reserva]]="","",CONCATENATE("D+",NETWORKDAYS(RES_AB[[#This Row],[Data Reserva - Feriado e Fds]],TODAY(),Feriados[Data])-1))</f>
        <v>D+1</v>
      </c>
      <c r="K133" s="40" t="str">
        <f ca="1">IF(RES_AB[[#This Row],[Reserva]]="","",CONCATENATE(RES_AB[[#This Row],[Cen.]]," | ",RES_AB[[#This Row],[SLA2]]))</f>
        <v>N193 | D+1</v>
      </c>
      <c r="L133" s="40">
        <f ca="1">IF(RES_AB[[#This Row],[Reserva]]="","",IF(RES_AB[[#This Row],[SLA2]]=RES_AB[[#This Row],[Reserva]]="","",COUNTIF(MB25_VOLUMETRIA[Reserva],RES_AB[[#This Row],[Reserva]])))</f>
        <v>1</v>
      </c>
      <c r="M1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3" s="37" t="str">
        <f>IF(RES_AB[[#This Row],[Cen.]]="","",IFERROR(VLOOKUP(RES_AB[[#This Row],[Cen.]],Dados_Empresas[],2,FALSE),"Verificar empresa"))</f>
        <v>NET PROJETOS</v>
      </c>
      <c r="P133" s="37" t="str">
        <f>IF(RES_AB[[#This Row],[Empresa]]="","",IF(OR(RES_AB[[#This Row],[Empresa]]="NET MASSIVO",RES_AB[[#This Row],[Empresa]]="NET PROJETOS"),"NET","EMPRESARIAL"))</f>
        <v>NET</v>
      </c>
      <c r="Q133" s="37" t="str">
        <f>IF(RES_AB[[#This Row],[Reserva]]="","",IFERROR(VLOOKUP(RES_AB[[#This Row],[Reserva]],Tabela3[[Reserva]:[Descrição do status]],18,FALSE),"CONVENCIONAL"))</f>
        <v>CONVENCIONAL</v>
      </c>
    </row>
    <row r="134" spans="1:17" x14ac:dyDescent="0.25">
      <c r="A134" s="37">
        <v>4382895</v>
      </c>
      <c r="B134" s="37" t="s">
        <v>18</v>
      </c>
      <c r="C134" s="38" t="s">
        <v>18</v>
      </c>
      <c r="D134" s="38">
        <v>45449</v>
      </c>
      <c r="E1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34" s="39">
        <f>IFERROR(VLOOKUP(RES_AB[[#This Row],[Reserva]],Tabela8[[Reserva]:[Usuário]],7,FALSE),Dados!$A$17)</f>
        <v>0.33333333333333331</v>
      </c>
      <c r="G134" s="40">
        <f>IF(RES_AB[[#This Row],[Reserva]]="","",IF(RES_AB[[#This Row],[Hora Int WMS]]&lt;Dados!$A$16,2,2))</f>
        <v>2</v>
      </c>
      <c r="H134" s="40" t="str">
        <f>IF(RES_AB[[#This Row],[Reserva]]="","",IFERROR(VLOOKUP(RES_AB[[#This Row],[Reserva]],Tabela3[[Reserva]:[Condição para Faturamento]],20,FALSE),"IMPORTADO COM SUCESSO"))</f>
        <v>CANCELAMENTO DE PEDIDO</v>
      </c>
      <c r="I134" s="38">
        <f>IF(RES_AB[[#This Row],[Data base]]="","",WORKDAY(RES_AB[[#This Row],[Data Reserva - Feriado e Fds]],RES_AB[[#This Row],[Dias para atendimento]],Feriados[Data]))</f>
        <v>45453</v>
      </c>
      <c r="J134" s="40" t="str">
        <f ca="1">IF(RES_AB[[#This Row],[Reserva]]="","",CONCATENATE("D+",NETWORKDAYS(RES_AB[[#This Row],[Data Reserva - Feriado e Fds]],TODAY(),Feriados[Data])-1))</f>
        <v>D+1</v>
      </c>
      <c r="K134" s="40" t="str">
        <f ca="1">IF(RES_AB[[#This Row],[Reserva]]="","",CONCATENATE(RES_AB[[#This Row],[Cen.]]," | ",RES_AB[[#This Row],[SLA2]]))</f>
        <v>N193 | D+1</v>
      </c>
      <c r="L134" s="40">
        <f ca="1">IF(RES_AB[[#This Row],[Reserva]]="","",IF(RES_AB[[#This Row],[SLA2]]=RES_AB[[#This Row],[Reserva]]="","",COUNTIF(MB25_VOLUMETRIA[Reserva],RES_AB[[#This Row],[Reserva]])))</f>
        <v>1</v>
      </c>
      <c r="M1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4" s="37" t="str">
        <f>IF(RES_AB[[#This Row],[Cen.]]="","",IFERROR(VLOOKUP(RES_AB[[#This Row],[Cen.]],Dados_Empresas[],2,FALSE),"Verificar empresa"))</f>
        <v>NET PROJETOS</v>
      </c>
      <c r="P134" s="37" t="str">
        <f>IF(RES_AB[[#This Row],[Empresa]]="","",IF(OR(RES_AB[[#This Row],[Empresa]]="NET MASSIVO",RES_AB[[#This Row],[Empresa]]="NET PROJETOS"),"NET","EMPRESARIAL"))</f>
        <v>NET</v>
      </c>
      <c r="Q134" s="37" t="str">
        <f>IF(RES_AB[[#This Row],[Reserva]]="","",IFERROR(VLOOKUP(RES_AB[[#This Row],[Reserva]],Tabela3[[Reserva]:[Descrição do status]],18,FALSE),"CONVENCIONAL"))</f>
        <v>CONVENCIONAL</v>
      </c>
    </row>
    <row r="135" spans="1:17" x14ac:dyDescent="0.25">
      <c r="A135" s="37">
        <v>4383240</v>
      </c>
      <c r="B135" s="37" t="s">
        <v>18</v>
      </c>
      <c r="C135" s="38" t="s">
        <v>496</v>
      </c>
      <c r="D135" s="38">
        <v>45450</v>
      </c>
      <c r="E1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135" s="39">
        <f>IFERROR(VLOOKUP(RES_AB[[#This Row],[Reserva]],Tabela8[[Reserva]:[Usuário]],7,FALSE),Dados!$A$17)</f>
        <v>0.40370370370370373</v>
      </c>
      <c r="G135" s="40">
        <f>IF(RES_AB[[#This Row],[Reserva]]="","",IF(RES_AB[[#This Row],[Hora Int WMS]]&lt;Dados!$A$16,2,2))</f>
        <v>2</v>
      </c>
      <c r="H135" s="40" t="str">
        <f>IF(RES_AB[[#This Row],[Reserva]]="","",IFERROR(VLOOKUP(RES_AB[[#This Row],[Reserva]],Tabela3[[Reserva]:[Condição para Faturamento]],20,FALSE),"IMPORTADO COM SUCESSO"))</f>
        <v>IMPORTADO COM SUCESSO</v>
      </c>
      <c r="I135" s="38">
        <f>IF(RES_AB[[#This Row],[Data base]]="","",WORKDAY(RES_AB[[#This Row],[Data Reserva - Feriado e Fds]],RES_AB[[#This Row],[Dias para atendimento]],Feriados[Data]))</f>
        <v>45454</v>
      </c>
      <c r="J135" s="40" t="str">
        <f ca="1">IF(RES_AB[[#This Row],[Reserva]]="","",CONCATENATE("D+",NETWORKDAYS(RES_AB[[#This Row],[Data Reserva - Feriado e Fds]],TODAY(),Feriados[Data])-1))</f>
        <v>D+0</v>
      </c>
      <c r="K135" s="40" t="str">
        <f ca="1">IF(RES_AB[[#This Row],[Reserva]]="","",CONCATENATE(RES_AB[[#This Row],[Cen.]]," | ",RES_AB[[#This Row],[SLA2]]))</f>
        <v>N193 | D+0</v>
      </c>
      <c r="L135" s="40">
        <f ca="1">IF(RES_AB[[#This Row],[Reserva]]="","",IF(RES_AB[[#This Row],[SLA2]]=RES_AB[[#This Row],[Reserva]]="","",COUNTIF(MB25_VOLUMETRIA[Reserva],RES_AB[[#This Row],[Reserva]])))</f>
        <v>1</v>
      </c>
      <c r="M1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35" s="37" t="str">
        <f>IF(RES_AB[[#This Row],[Cen.]]="","",IFERROR(VLOOKUP(RES_AB[[#This Row],[Cen.]],Dados_Empresas[],2,FALSE),"Verificar empresa"))</f>
        <v>NET PROJETOS</v>
      </c>
      <c r="P135" s="37" t="str">
        <f>IF(RES_AB[[#This Row],[Empresa]]="","",IF(OR(RES_AB[[#This Row],[Empresa]]="NET MASSIVO",RES_AB[[#This Row],[Empresa]]="NET PROJETOS"),"NET","EMPRESARIAL"))</f>
        <v>NET</v>
      </c>
      <c r="Q135" s="37" t="str">
        <f>IF(RES_AB[[#This Row],[Reserva]]="","",IFERROR(VLOOKUP(RES_AB[[#This Row],[Reserva]],Tabela3[[Reserva]:[Descrição do status]],18,FALSE),"CONVENCIONAL"))</f>
        <v>CONVENCIONAL</v>
      </c>
    </row>
    <row r="136" spans="1:17" x14ac:dyDescent="0.25">
      <c r="A136" s="37">
        <v>4379075</v>
      </c>
      <c r="B136" s="37" t="s">
        <v>20</v>
      </c>
      <c r="C136" s="38" t="s">
        <v>20</v>
      </c>
      <c r="D136" s="38">
        <v>45448</v>
      </c>
      <c r="E1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6" s="39">
        <f>IFERROR(VLOOKUP(RES_AB[[#This Row],[Reserva]],Tabela8[[Reserva]:[Usuário]],7,FALSE),Dados!$A$17)</f>
        <v>0.46099537037037036</v>
      </c>
      <c r="G136" s="40">
        <f>IF(RES_AB[[#This Row],[Reserva]]="","",IF(RES_AB[[#This Row],[Hora Int WMS]]&lt;Dados!$A$16,2,2))</f>
        <v>2</v>
      </c>
      <c r="H136" s="40" t="str">
        <f>IF(RES_AB[[#This Row],[Reserva]]="","",IFERROR(VLOOKUP(RES_AB[[#This Row],[Reserva]],Tabela3[[Reserva]:[Condição para Faturamento]],20,FALSE),"IMPORTADO COM SUCESSO"))</f>
        <v>EM CONFERENCIA</v>
      </c>
      <c r="I136" s="38">
        <f>IF(RES_AB[[#This Row],[Data base]]="","",WORKDAY(RES_AB[[#This Row],[Data Reserva - Feriado e Fds]],RES_AB[[#This Row],[Dias para atendimento]],Feriados[Data]))</f>
        <v>45450</v>
      </c>
      <c r="J136" s="40" t="str">
        <f ca="1">IF(RES_AB[[#This Row],[Reserva]]="","",CONCATENATE("D+",NETWORKDAYS(RES_AB[[#This Row],[Data Reserva - Feriado e Fds]],TODAY(),Feriados[Data])-1))</f>
        <v>D+2</v>
      </c>
      <c r="K136" s="40" t="str">
        <f ca="1">IF(RES_AB[[#This Row],[Reserva]]="","",CONCATENATE(RES_AB[[#This Row],[Cen.]]," | ",RES_AB[[#This Row],[SLA2]]))</f>
        <v>11XD | D+2</v>
      </c>
      <c r="L136" s="40">
        <f ca="1">IF(RES_AB[[#This Row],[Reserva]]="","",IF(RES_AB[[#This Row],[SLA2]]=RES_AB[[#This Row],[Reserva]]="","",COUNTIF(MB25_VOLUMETRIA[Reserva],RES_AB[[#This Row],[Reserva]])))</f>
        <v>1</v>
      </c>
      <c r="M1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6" s="37" t="str">
        <f>IF(RES_AB[[#This Row],[Cen.]]="","",IFERROR(VLOOKUP(RES_AB[[#This Row],[Cen.]],Dados_Empresas[],2,FALSE),"Verificar empresa"))</f>
        <v>TELMEX</v>
      </c>
      <c r="P136" s="37" t="str">
        <f>IF(RES_AB[[#This Row],[Empresa]]="","",IF(OR(RES_AB[[#This Row],[Empresa]]="NET MASSIVO",RES_AB[[#This Row],[Empresa]]="NET PROJETOS"),"NET","EMPRESARIAL"))</f>
        <v>EMPRESARIAL</v>
      </c>
      <c r="Q136" s="37" t="str">
        <f>IF(RES_AB[[#This Row],[Reserva]]="","",IFERROR(VLOOKUP(RES_AB[[#This Row],[Reserva]],Tabela3[[Reserva]:[Descrição do status]],18,FALSE),"CONVENCIONAL"))</f>
        <v>CONVENCIONAL</v>
      </c>
    </row>
    <row r="137" spans="1:17" x14ac:dyDescent="0.25">
      <c r="A137" s="37">
        <v>4379076</v>
      </c>
      <c r="B137" s="37" t="s">
        <v>20</v>
      </c>
      <c r="C137" s="38" t="s">
        <v>20</v>
      </c>
      <c r="D137" s="38">
        <v>45448</v>
      </c>
      <c r="E1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7" s="39">
        <f>IFERROR(VLOOKUP(RES_AB[[#This Row],[Reserva]],Tabela8[[Reserva]:[Usuário]],7,FALSE),Dados!$A$17)</f>
        <v>0.46111111111111114</v>
      </c>
      <c r="G137" s="40">
        <f>IF(RES_AB[[#This Row],[Reserva]]="","",IF(RES_AB[[#This Row],[Hora Int WMS]]&lt;Dados!$A$16,2,2))</f>
        <v>2</v>
      </c>
      <c r="H137" s="40" t="str">
        <f>IF(RES_AB[[#This Row],[Reserva]]="","",IFERROR(VLOOKUP(RES_AB[[#This Row],[Reserva]],Tabela3[[Reserva]:[Condição para Faturamento]],20,FALSE),"IMPORTADO COM SUCESSO"))</f>
        <v>EM CONFERENCIA</v>
      </c>
      <c r="I137" s="38">
        <f>IF(RES_AB[[#This Row],[Data base]]="","",WORKDAY(RES_AB[[#This Row],[Data Reserva - Feriado e Fds]],RES_AB[[#This Row],[Dias para atendimento]],Feriados[Data]))</f>
        <v>45450</v>
      </c>
      <c r="J137" s="40" t="str">
        <f ca="1">IF(RES_AB[[#This Row],[Reserva]]="","",CONCATENATE("D+",NETWORKDAYS(RES_AB[[#This Row],[Data Reserva - Feriado e Fds]],TODAY(),Feriados[Data])-1))</f>
        <v>D+2</v>
      </c>
      <c r="K137" s="40" t="str">
        <f ca="1">IF(RES_AB[[#This Row],[Reserva]]="","",CONCATENATE(RES_AB[[#This Row],[Cen.]]," | ",RES_AB[[#This Row],[SLA2]]))</f>
        <v>11XD | D+2</v>
      </c>
      <c r="L137" s="40">
        <f ca="1">IF(RES_AB[[#This Row],[Reserva]]="","",IF(RES_AB[[#This Row],[SLA2]]=RES_AB[[#This Row],[Reserva]]="","",COUNTIF(MB25_VOLUMETRIA[Reserva],RES_AB[[#This Row],[Reserva]])))</f>
        <v>1</v>
      </c>
      <c r="M1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3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7" s="37" t="str">
        <f>IF(RES_AB[[#This Row],[Cen.]]="","",IFERROR(VLOOKUP(RES_AB[[#This Row],[Cen.]],Dados_Empresas[],2,FALSE),"Verificar empresa"))</f>
        <v>TELMEX</v>
      </c>
      <c r="P137" s="37" t="str">
        <f>IF(RES_AB[[#This Row],[Empresa]]="","",IF(OR(RES_AB[[#This Row],[Empresa]]="NET MASSIVO",RES_AB[[#This Row],[Empresa]]="NET PROJETOS"),"NET","EMPRESARIAL"))</f>
        <v>EMPRESARIAL</v>
      </c>
      <c r="Q137" s="37" t="str">
        <f>IF(RES_AB[[#This Row],[Reserva]]="","",IFERROR(VLOOKUP(RES_AB[[#This Row],[Reserva]],Tabela3[[Reserva]:[Descrição do status]],18,FALSE),"CONVENCIONAL"))</f>
        <v>CONVENCIONAL</v>
      </c>
    </row>
    <row r="138" spans="1:17" x14ac:dyDescent="0.25">
      <c r="A138" s="37">
        <v>4381634</v>
      </c>
      <c r="B138" s="37" t="s">
        <v>20</v>
      </c>
      <c r="C138" s="38" t="s">
        <v>20</v>
      </c>
      <c r="D138" s="38">
        <v>45448</v>
      </c>
      <c r="E1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8" s="39">
        <f>IFERROR(VLOOKUP(RES_AB[[#This Row],[Reserva]],Tabela8[[Reserva]:[Usuário]],7,FALSE),Dados!$A$17)</f>
        <v>0.66840277777777779</v>
      </c>
      <c r="G138" s="40">
        <f>IF(RES_AB[[#This Row],[Reserva]]="","",IF(RES_AB[[#This Row],[Hora Int WMS]]&lt;Dados!$A$16,2,2))</f>
        <v>2</v>
      </c>
      <c r="H138" s="40" t="str">
        <f>IF(RES_AB[[#This Row],[Reserva]]="","",IFERROR(VLOOKUP(RES_AB[[#This Row],[Reserva]],Tabela3[[Reserva]:[Condição para Faturamento]],20,FALSE),"IMPORTADO COM SUCESSO"))</f>
        <v>PEDIDO EM LABORATORIO</v>
      </c>
      <c r="I138" s="38">
        <f>IF(RES_AB[[#This Row],[Data base]]="","",WORKDAY(RES_AB[[#This Row],[Data Reserva - Feriado e Fds]],RES_AB[[#This Row],[Dias para atendimento]],Feriados[Data]))</f>
        <v>45450</v>
      </c>
      <c r="J138" s="40" t="str">
        <f ca="1">IF(RES_AB[[#This Row],[Reserva]]="","",CONCATENATE("D+",NETWORKDAYS(RES_AB[[#This Row],[Data Reserva - Feriado e Fds]],TODAY(),Feriados[Data])-1))</f>
        <v>D+2</v>
      </c>
      <c r="K138" s="40" t="str">
        <f ca="1">IF(RES_AB[[#This Row],[Reserva]]="","",CONCATENATE(RES_AB[[#This Row],[Cen.]]," | ",RES_AB[[#This Row],[SLA2]]))</f>
        <v>11XD | D+2</v>
      </c>
      <c r="L138" s="40">
        <f ca="1">IF(RES_AB[[#This Row],[Reserva]]="","",IF(RES_AB[[#This Row],[SLA2]]=RES_AB[[#This Row],[Reserva]]="","",COUNTIF(MB25_VOLUMETRIA[Reserva],RES_AB[[#This Row],[Reserva]])))</f>
        <v>2</v>
      </c>
      <c r="M1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3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8" s="37" t="str">
        <f>IF(RES_AB[[#This Row],[Cen.]]="","",IFERROR(VLOOKUP(RES_AB[[#This Row],[Cen.]],Dados_Empresas[],2,FALSE),"Verificar empresa"))</f>
        <v>TELMEX</v>
      </c>
      <c r="P138" s="37" t="str">
        <f>IF(RES_AB[[#This Row],[Empresa]]="","",IF(OR(RES_AB[[#This Row],[Empresa]]="NET MASSIVO",RES_AB[[#This Row],[Empresa]]="NET PROJETOS"),"NET","EMPRESARIAL"))</f>
        <v>EMPRESARIAL</v>
      </c>
      <c r="Q138" s="37" t="str">
        <f>IF(RES_AB[[#This Row],[Reserva]]="","",IFERROR(VLOOKUP(RES_AB[[#This Row],[Reserva]],Tabela3[[Reserva]:[Descrição do status]],18,FALSE),"CONVENCIONAL"))</f>
        <v>CONVENCIONAL</v>
      </c>
    </row>
    <row r="139" spans="1:17" x14ac:dyDescent="0.25">
      <c r="A139" s="37">
        <v>4381635</v>
      </c>
      <c r="B139" s="37" t="s">
        <v>20</v>
      </c>
      <c r="C139" s="38" t="s">
        <v>20</v>
      </c>
      <c r="D139" s="38">
        <v>45448</v>
      </c>
      <c r="E1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39" s="39">
        <f>IFERROR(VLOOKUP(RES_AB[[#This Row],[Reserva]],Tabela8[[Reserva]:[Usuário]],7,FALSE),Dados!$A$17)</f>
        <v>0.66840277777777779</v>
      </c>
      <c r="G139" s="40">
        <f>IF(RES_AB[[#This Row],[Reserva]]="","",IF(RES_AB[[#This Row],[Hora Int WMS]]&lt;Dados!$A$16,2,2))</f>
        <v>2</v>
      </c>
      <c r="H139" s="40" t="str">
        <f>IF(RES_AB[[#This Row],[Reserva]]="","",IFERROR(VLOOKUP(RES_AB[[#This Row],[Reserva]],Tabela3[[Reserva]:[Condição para Faturamento]],20,FALSE),"IMPORTADO COM SUCESSO"))</f>
        <v>PEDIDO EM LABORATORIO</v>
      </c>
      <c r="I139" s="38">
        <f>IF(RES_AB[[#This Row],[Data base]]="","",WORKDAY(RES_AB[[#This Row],[Data Reserva - Feriado e Fds]],RES_AB[[#This Row],[Dias para atendimento]],Feriados[Data]))</f>
        <v>45450</v>
      </c>
      <c r="J139" s="40" t="str">
        <f ca="1">IF(RES_AB[[#This Row],[Reserva]]="","",CONCATENATE("D+",NETWORKDAYS(RES_AB[[#This Row],[Data Reserva - Feriado e Fds]],TODAY(),Feriados[Data])-1))</f>
        <v>D+2</v>
      </c>
      <c r="K139" s="40" t="str">
        <f ca="1">IF(RES_AB[[#This Row],[Reserva]]="","",CONCATENATE(RES_AB[[#This Row],[Cen.]]," | ",RES_AB[[#This Row],[SLA2]]))</f>
        <v>11XD | D+2</v>
      </c>
      <c r="L139" s="40">
        <f ca="1">IF(RES_AB[[#This Row],[Reserva]]="","",IF(RES_AB[[#This Row],[SLA2]]=RES_AB[[#This Row],[Reserva]]="","",COUNTIF(MB25_VOLUMETRIA[Reserva],RES_AB[[#This Row],[Reserva]])))</f>
        <v>1</v>
      </c>
      <c r="M1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3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39" s="37" t="str">
        <f>IF(RES_AB[[#This Row],[Cen.]]="","",IFERROR(VLOOKUP(RES_AB[[#This Row],[Cen.]],Dados_Empresas[],2,FALSE),"Verificar empresa"))</f>
        <v>TELMEX</v>
      </c>
      <c r="P139" s="37" t="str">
        <f>IF(RES_AB[[#This Row],[Empresa]]="","",IF(OR(RES_AB[[#This Row],[Empresa]]="NET MASSIVO",RES_AB[[#This Row],[Empresa]]="NET PROJETOS"),"NET","EMPRESARIAL"))</f>
        <v>EMPRESARIAL</v>
      </c>
      <c r="Q139" s="37" t="str">
        <f>IF(RES_AB[[#This Row],[Reserva]]="","",IFERROR(VLOOKUP(RES_AB[[#This Row],[Reserva]],Tabela3[[Reserva]:[Descrição do status]],18,FALSE),"CONVENCIONAL"))</f>
        <v>CONVENCIONAL</v>
      </c>
    </row>
    <row r="140" spans="1:17" x14ac:dyDescent="0.25">
      <c r="A140" s="37">
        <v>4381636</v>
      </c>
      <c r="B140" s="37" t="s">
        <v>20</v>
      </c>
      <c r="C140" s="38" t="s">
        <v>20</v>
      </c>
      <c r="D140" s="38">
        <v>45448</v>
      </c>
      <c r="E1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0" s="39">
        <f>IFERROR(VLOOKUP(RES_AB[[#This Row],[Reserva]],Tabela8[[Reserva]:[Usuário]],7,FALSE),Dados!$A$17)</f>
        <v>0.66851851851851851</v>
      </c>
      <c r="G140" s="40">
        <f>IF(RES_AB[[#This Row],[Reserva]]="","",IF(RES_AB[[#This Row],[Hora Int WMS]]&lt;Dados!$A$16,2,2))</f>
        <v>2</v>
      </c>
      <c r="H140" s="40" t="str">
        <f>IF(RES_AB[[#This Row],[Reserva]]="","",IFERROR(VLOOKUP(RES_AB[[#This Row],[Reserva]],Tabela3[[Reserva]:[Condição para Faturamento]],20,FALSE),"IMPORTADO COM SUCESSO"))</f>
        <v>EM CONFERENCIA</v>
      </c>
      <c r="I140" s="38">
        <f>IF(RES_AB[[#This Row],[Data base]]="","",WORKDAY(RES_AB[[#This Row],[Data Reserva - Feriado e Fds]],RES_AB[[#This Row],[Dias para atendimento]],Feriados[Data]))</f>
        <v>45450</v>
      </c>
      <c r="J140" s="40" t="str">
        <f ca="1">IF(RES_AB[[#This Row],[Reserva]]="","",CONCATENATE("D+",NETWORKDAYS(RES_AB[[#This Row],[Data Reserva - Feriado e Fds]],TODAY(),Feriados[Data])-1))</f>
        <v>D+2</v>
      </c>
      <c r="K140" s="40" t="str">
        <f ca="1">IF(RES_AB[[#This Row],[Reserva]]="","",CONCATENATE(RES_AB[[#This Row],[Cen.]]," | ",RES_AB[[#This Row],[SLA2]]))</f>
        <v>11XD | D+2</v>
      </c>
      <c r="L140" s="40">
        <f ca="1">IF(RES_AB[[#This Row],[Reserva]]="","",IF(RES_AB[[#This Row],[SLA2]]=RES_AB[[#This Row],[Reserva]]="","",COUNTIF(MB25_VOLUMETRIA[Reserva],RES_AB[[#This Row],[Reserva]])))</f>
        <v>2</v>
      </c>
      <c r="M1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0" s="37" t="str">
        <f>IF(RES_AB[[#This Row],[Cen.]]="","",IFERROR(VLOOKUP(RES_AB[[#This Row],[Cen.]],Dados_Empresas[],2,FALSE),"Verificar empresa"))</f>
        <v>TELMEX</v>
      </c>
      <c r="P140" s="37" t="str">
        <f>IF(RES_AB[[#This Row],[Empresa]]="","",IF(OR(RES_AB[[#This Row],[Empresa]]="NET MASSIVO",RES_AB[[#This Row],[Empresa]]="NET PROJETOS"),"NET","EMPRESARIAL"))</f>
        <v>EMPRESARIAL</v>
      </c>
      <c r="Q140" s="37" t="str">
        <f>IF(RES_AB[[#This Row],[Reserva]]="","",IFERROR(VLOOKUP(RES_AB[[#This Row],[Reserva]],Tabela3[[Reserva]:[Descrição do status]],18,FALSE),"CONVENCIONAL"))</f>
        <v>CONVENCIONAL</v>
      </c>
    </row>
    <row r="141" spans="1:17" x14ac:dyDescent="0.25">
      <c r="A141" s="37">
        <v>4381637</v>
      </c>
      <c r="B141" s="37" t="s">
        <v>20</v>
      </c>
      <c r="C141" s="38" t="s">
        <v>20</v>
      </c>
      <c r="D141" s="38">
        <v>45448</v>
      </c>
      <c r="E1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1" s="39">
        <f>IFERROR(VLOOKUP(RES_AB[[#This Row],[Reserva]],Tabela8[[Reserva]:[Usuário]],7,FALSE),Dados!$A$17)</f>
        <v>0.66851851851851851</v>
      </c>
      <c r="G141" s="40">
        <f>IF(RES_AB[[#This Row],[Reserva]]="","",IF(RES_AB[[#This Row],[Hora Int WMS]]&lt;Dados!$A$16,2,2))</f>
        <v>2</v>
      </c>
      <c r="H141" s="40" t="str">
        <f>IF(RES_AB[[#This Row],[Reserva]]="","",IFERROR(VLOOKUP(RES_AB[[#This Row],[Reserva]],Tabela3[[Reserva]:[Condição para Faturamento]],20,FALSE),"IMPORTADO COM SUCESSO"))</f>
        <v>EM CONFERENCIA</v>
      </c>
      <c r="I141" s="38">
        <f>IF(RES_AB[[#This Row],[Data base]]="","",WORKDAY(RES_AB[[#This Row],[Data Reserva - Feriado e Fds]],RES_AB[[#This Row],[Dias para atendimento]],Feriados[Data]))</f>
        <v>45450</v>
      </c>
      <c r="J141" s="40" t="str">
        <f ca="1">IF(RES_AB[[#This Row],[Reserva]]="","",CONCATENATE("D+",NETWORKDAYS(RES_AB[[#This Row],[Data Reserva - Feriado e Fds]],TODAY(),Feriados[Data])-1))</f>
        <v>D+2</v>
      </c>
      <c r="K141" s="40" t="str">
        <f ca="1">IF(RES_AB[[#This Row],[Reserva]]="","",CONCATENATE(RES_AB[[#This Row],[Cen.]]," | ",RES_AB[[#This Row],[SLA2]]))</f>
        <v>11XD | D+2</v>
      </c>
      <c r="L141" s="40">
        <f ca="1">IF(RES_AB[[#This Row],[Reserva]]="","",IF(RES_AB[[#This Row],[SLA2]]=RES_AB[[#This Row],[Reserva]]="","",COUNTIF(MB25_VOLUMETRIA[Reserva],RES_AB[[#This Row],[Reserva]])))</f>
        <v>1</v>
      </c>
      <c r="M1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1" s="37" t="str">
        <f>IF(RES_AB[[#This Row],[Cen.]]="","",IFERROR(VLOOKUP(RES_AB[[#This Row],[Cen.]],Dados_Empresas[],2,FALSE),"Verificar empresa"))</f>
        <v>TELMEX</v>
      </c>
      <c r="P141" s="37" t="str">
        <f>IF(RES_AB[[#This Row],[Empresa]]="","",IF(OR(RES_AB[[#This Row],[Empresa]]="NET MASSIVO",RES_AB[[#This Row],[Empresa]]="NET PROJETOS"),"NET","EMPRESARIAL"))</f>
        <v>EMPRESARIAL</v>
      </c>
      <c r="Q141" s="37" t="str">
        <f>IF(RES_AB[[#This Row],[Reserva]]="","",IFERROR(VLOOKUP(RES_AB[[#This Row],[Reserva]],Tabela3[[Reserva]:[Descrição do status]],18,FALSE),"CONVENCIONAL"))</f>
        <v>CONVENCIONAL</v>
      </c>
    </row>
    <row r="142" spans="1:17" x14ac:dyDescent="0.25">
      <c r="A142" s="37">
        <v>4381638</v>
      </c>
      <c r="B142" s="37" t="s">
        <v>20</v>
      </c>
      <c r="C142" s="38" t="s">
        <v>20</v>
      </c>
      <c r="D142" s="38">
        <v>45448</v>
      </c>
      <c r="E1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2" s="39">
        <f>IFERROR(VLOOKUP(RES_AB[[#This Row],[Reserva]],Tabela8[[Reserva]:[Usuário]],7,FALSE),Dados!$A$17)</f>
        <v>0.67743055555555554</v>
      </c>
      <c r="G142" s="40">
        <f>IF(RES_AB[[#This Row],[Reserva]]="","",IF(RES_AB[[#This Row],[Hora Int WMS]]&lt;Dados!$A$16,2,2))</f>
        <v>2</v>
      </c>
      <c r="H142" s="40" t="str">
        <f>IF(RES_AB[[#This Row],[Reserva]]="","",IFERROR(VLOOKUP(RES_AB[[#This Row],[Reserva]],Tabela3[[Reserva]:[Condição para Faturamento]],20,FALSE),"IMPORTADO COM SUCESSO"))</f>
        <v>EM CONFERENCIA</v>
      </c>
      <c r="I142" s="38">
        <f>IF(RES_AB[[#This Row],[Data base]]="","",WORKDAY(RES_AB[[#This Row],[Data Reserva - Feriado e Fds]],RES_AB[[#This Row],[Dias para atendimento]],Feriados[Data]))</f>
        <v>45450</v>
      </c>
      <c r="J142" s="40" t="str">
        <f ca="1">IF(RES_AB[[#This Row],[Reserva]]="","",CONCATENATE("D+",NETWORKDAYS(RES_AB[[#This Row],[Data Reserva - Feriado e Fds]],TODAY(),Feriados[Data])-1))</f>
        <v>D+2</v>
      </c>
      <c r="K142" s="40" t="str">
        <f ca="1">IF(RES_AB[[#This Row],[Reserva]]="","",CONCATENATE(RES_AB[[#This Row],[Cen.]]," | ",RES_AB[[#This Row],[SLA2]]))</f>
        <v>11XD | D+2</v>
      </c>
      <c r="L142" s="40">
        <f ca="1">IF(RES_AB[[#This Row],[Reserva]]="","",IF(RES_AB[[#This Row],[SLA2]]=RES_AB[[#This Row],[Reserva]]="","",COUNTIF(MB25_VOLUMETRIA[Reserva],RES_AB[[#This Row],[Reserva]])))</f>
        <v>2</v>
      </c>
      <c r="M1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2" s="37" t="str">
        <f>IF(RES_AB[[#This Row],[Cen.]]="","",IFERROR(VLOOKUP(RES_AB[[#This Row],[Cen.]],Dados_Empresas[],2,FALSE),"Verificar empresa"))</f>
        <v>TELMEX</v>
      </c>
      <c r="P142" s="37" t="str">
        <f>IF(RES_AB[[#This Row],[Empresa]]="","",IF(OR(RES_AB[[#This Row],[Empresa]]="NET MASSIVO",RES_AB[[#This Row],[Empresa]]="NET PROJETOS"),"NET","EMPRESARIAL"))</f>
        <v>EMPRESARIAL</v>
      </c>
      <c r="Q142" s="37" t="str">
        <f>IF(RES_AB[[#This Row],[Reserva]]="","",IFERROR(VLOOKUP(RES_AB[[#This Row],[Reserva]],Tabela3[[Reserva]:[Descrição do status]],18,FALSE),"CONVENCIONAL"))</f>
        <v>CONVENCIONAL</v>
      </c>
    </row>
    <row r="143" spans="1:17" x14ac:dyDescent="0.25">
      <c r="A143" s="37">
        <v>4381639</v>
      </c>
      <c r="B143" s="37" t="s">
        <v>20</v>
      </c>
      <c r="C143" s="38" t="s">
        <v>20</v>
      </c>
      <c r="D143" s="38">
        <v>45448</v>
      </c>
      <c r="E1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3" s="39">
        <f>IFERROR(VLOOKUP(RES_AB[[#This Row],[Reserva]],Tabela8[[Reserva]:[Usuário]],7,FALSE),Dados!$A$17)</f>
        <v>0.67743055555555554</v>
      </c>
      <c r="G143" s="40">
        <f>IF(RES_AB[[#This Row],[Reserva]]="","",IF(RES_AB[[#This Row],[Hora Int WMS]]&lt;Dados!$A$16,2,2))</f>
        <v>2</v>
      </c>
      <c r="H143" s="40" t="str">
        <f>IF(RES_AB[[#This Row],[Reserva]]="","",IFERROR(VLOOKUP(RES_AB[[#This Row],[Reserva]],Tabela3[[Reserva]:[Condição para Faturamento]],20,FALSE),"IMPORTADO COM SUCESSO"))</f>
        <v>EM CONFERENCIA</v>
      </c>
      <c r="I143" s="38">
        <f>IF(RES_AB[[#This Row],[Data base]]="","",WORKDAY(RES_AB[[#This Row],[Data Reserva - Feriado e Fds]],RES_AB[[#This Row],[Dias para atendimento]],Feriados[Data]))</f>
        <v>45450</v>
      </c>
      <c r="J143" s="40" t="str">
        <f ca="1">IF(RES_AB[[#This Row],[Reserva]]="","",CONCATENATE("D+",NETWORKDAYS(RES_AB[[#This Row],[Data Reserva - Feriado e Fds]],TODAY(),Feriados[Data])-1))</f>
        <v>D+2</v>
      </c>
      <c r="K143" s="40" t="str">
        <f ca="1">IF(RES_AB[[#This Row],[Reserva]]="","",CONCATENATE(RES_AB[[#This Row],[Cen.]]," | ",RES_AB[[#This Row],[SLA2]]))</f>
        <v>11XD | D+2</v>
      </c>
      <c r="L143" s="40">
        <f ca="1">IF(RES_AB[[#This Row],[Reserva]]="","",IF(RES_AB[[#This Row],[SLA2]]=RES_AB[[#This Row],[Reserva]]="","",COUNTIF(MB25_VOLUMETRIA[Reserva],RES_AB[[#This Row],[Reserva]])))</f>
        <v>1</v>
      </c>
      <c r="M1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3" s="37" t="str">
        <f>IF(RES_AB[[#This Row],[Cen.]]="","",IFERROR(VLOOKUP(RES_AB[[#This Row],[Cen.]],Dados_Empresas[],2,FALSE),"Verificar empresa"))</f>
        <v>TELMEX</v>
      </c>
      <c r="P143" s="37" t="str">
        <f>IF(RES_AB[[#This Row],[Empresa]]="","",IF(OR(RES_AB[[#This Row],[Empresa]]="NET MASSIVO",RES_AB[[#This Row],[Empresa]]="NET PROJETOS"),"NET","EMPRESARIAL"))</f>
        <v>EMPRESARIAL</v>
      </c>
      <c r="Q143" s="37" t="str">
        <f>IF(RES_AB[[#This Row],[Reserva]]="","",IFERROR(VLOOKUP(RES_AB[[#This Row],[Reserva]],Tabela3[[Reserva]:[Descrição do status]],18,FALSE),"CONVENCIONAL"))</f>
        <v>CONVENCIONAL</v>
      </c>
    </row>
    <row r="144" spans="1:17" x14ac:dyDescent="0.25">
      <c r="A144" s="37">
        <v>4381912</v>
      </c>
      <c r="B144" s="37" t="s">
        <v>20</v>
      </c>
      <c r="C144" s="38" t="s">
        <v>314</v>
      </c>
      <c r="D144" s="38">
        <v>45448</v>
      </c>
      <c r="E1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4" s="39">
        <f>IFERROR(VLOOKUP(RES_AB[[#This Row],[Reserva]],Tabela8[[Reserva]:[Usuário]],7,FALSE),Dados!$A$17)</f>
        <v>0.65960648148148149</v>
      </c>
      <c r="G144" s="40">
        <f>IF(RES_AB[[#This Row],[Reserva]]="","",IF(RES_AB[[#This Row],[Hora Int WMS]]&lt;Dados!$A$16,2,2))</f>
        <v>2</v>
      </c>
      <c r="H144" s="40" t="str">
        <f>IF(RES_AB[[#This Row],[Reserva]]="","",IFERROR(VLOOKUP(RES_AB[[#This Row],[Reserva]],Tabela3[[Reserva]:[Condição para Faturamento]],20,FALSE),"IMPORTADO COM SUCESSO"))</f>
        <v>EM FATURAMENTO</v>
      </c>
      <c r="I144" s="38">
        <f>IF(RES_AB[[#This Row],[Data base]]="","",WORKDAY(RES_AB[[#This Row],[Data Reserva - Feriado e Fds]],RES_AB[[#This Row],[Dias para atendimento]],Feriados[Data]))</f>
        <v>45450</v>
      </c>
      <c r="J144" s="40" t="str">
        <f ca="1">IF(RES_AB[[#This Row],[Reserva]]="","",CONCATENATE("D+",NETWORKDAYS(RES_AB[[#This Row],[Data Reserva - Feriado e Fds]],TODAY(),Feriados[Data])-1))</f>
        <v>D+2</v>
      </c>
      <c r="K144" s="40" t="str">
        <f ca="1">IF(RES_AB[[#This Row],[Reserva]]="","",CONCATENATE(RES_AB[[#This Row],[Cen.]]," | ",RES_AB[[#This Row],[SLA2]]))</f>
        <v>11XD | D+2</v>
      </c>
      <c r="L144" s="40">
        <f ca="1">IF(RES_AB[[#This Row],[Reserva]]="","",IF(RES_AB[[#This Row],[SLA2]]=RES_AB[[#This Row],[Reserva]]="","",COUNTIF(MB25_VOLUMETRIA[Reserva],RES_AB[[#This Row],[Reserva]])))</f>
        <v>1</v>
      </c>
      <c r="M1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4" s="37" t="str">
        <f>IF(RES_AB[[#This Row],[Cen.]]="","",IFERROR(VLOOKUP(RES_AB[[#This Row],[Cen.]],Dados_Empresas[],2,FALSE),"Verificar empresa"))</f>
        <v>TELMEX</v>
      </c>
      <c r="P144" s="37" t="str">
        <f>IF(RES_AB[[#This Row],[Empresa]]="","",IF(OR(RES_AB[[#This Row],[Empresa]]="NET MASSIVO",RES_AB[[#This Row],[Empresa]]="NET PROJETOS"),"NET","EMPRESARIAL"))</f>
        <v>EMPRESARIAL</v>
      </c>
      <c r="Q144" s="37" t="str">
        <f>IF(RES_AB[[#This Row],[Reserva]]="","",IFERROR(VLOOKUP(RES_AB[[#This Row],[Reserva]],Tabela3[[Reserva]:[Descrição do status]],18,FALSE),"CONVENCIONAL"))</f>
        <v>CONVENCIONAL</v>
      </c>
    </row>
    <row r="145" spans="1:17" x14ac:dyDescent="0.25">
      <c r="A145" s="37">
        <v>4381913</v>
      </c>
      <c r="B145" s="37" t="s">
        <v>20</v>
      </c>
      <c r="C145" s="38" t="s">
        <v>314</v>
      </c>
      <c r="D145" s="38">
        <v>45448</v>
      </c>
      <c r="E1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145" s="39">
        <f>IFERROR(VLOOKUP(RES_AB[[#This Row],[Reserva]],Tabela8[[Reserva]:[Usuário]],7,FALSE),Dados!$A$17)</f>
        <v>0.33333333333333331</v>
      </c>
      <c r="G145" s="40">
        <f>IF(RES_AB[[#This Row],[Reserva]]="","",IF(RES_AB[[#This Row],[Hora Int WMS]]&lt;Dados!$A$16,2,2))</f>
        <v>2</v>
      </c>
      <c r="H145" s="40" t="str">
        <f>IF(RES_AB[[#This Row],[Reserva]]="","",IFERROR(VLOOKUP(RES_AB[[#This Row],[Reserva]],Tabela3[[Reserva]:[Condição para Faturamento]],20,FALSE),"IMPORTADO COM SUCESSO"))</f>
        <v>EM FATURAMENTO</v>
      </c>
      <c r="I145" s="38">
        <f>IF(RES_AB[[#This Row],[Data base]]="","",WORKDAY(RES_AB[[#This Row],[Data Reserva - Feriado e Fds]],RES_AB[[#This Row],[Dias para atendimento]],Feriados[Data]))</f>
        <v>45450</v>
      </c>
      <c r="J145" s="40" t="str">
        <f ca="1">IF(RES_AB[[#This Row],[Reserva]]="","",CONCATENATE("D+",NETWORKDAYS(RES_AB[[#This Row],[Data Reserva - Feriado e Fds]],TODAY(),Feriados[Data])-1))</f>
        <v>D+2</v>
      </c>
      <c r="K145" s="40" t="str">
        <f ca="1">IF(RES_AB[[#This Row],[Reserva]]="","",CONCATENATE(RES_AB[[#This Row],[Cen.]]," | ",RES_AB[[#This Row],[SLA2]]))</f>
        <v>11XD | D+2</v>
      </c>
      <c r="L145" s="40">
        <f ca="1">IF(RES_AB[[#This Row],[Reserva]]="","",IF(RES_AB[[#This Row],[SLA2]]=RES_AB[[#This Row],[Reserva]]="","",COUNTIF(MB25_VOLUMETRIA[Reserva],RES_AB[[#This Row],[Reserva]])))</f>
        <v>1</v>
      </c>
      <c r="M1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145" s="37" t="str">
        <f>IF(RES_AB[[#This Row],[Cen.]]="","",IFERROR(VLOOKUP(RES_AB[[#This Row],[Cen.]],Dados_Empresas[],2,FALSE),"Verificar empresa"))</f>
        <v>TELMEX</v>
      </c>
      <c r="P145" s="37" t="str">
        <f>IF(RES_AB[[#This Row],[Empresa]]="","",IF(OR(RES_AB[[#This Row],[Empresa]]="NET MASSIVO",RES_AB[[#This Row],[Empresa]]="NET PROJETOS"),"NET","EMPRESARIAL"))</f>
        <v>EMPRESARIAL</v>
      </c>
      <c r="Q145" s="37" t="str">
        <f>IF(RES_AB[[#This Row],[Reserva]]="","",IFERROR(VLOOKUP(RES_AB[[#This Row],[Reserva]],Tabela3[[Reserva]:[Descrição do status]],18,FALSE),"CONVENCIONAL"))</f>
        <v>CONVENCIONAL</v>
      </c>
    </row>
    <row r="146" spans="1:17" x14ac:dyDescent="0.25">
      <c r="A146" s="37">
        <v>4382286</v>
      </c>
      <c r="B146" s="37" t="s">
        <v>20</v>
      </c>
      <c r="C146" s="38" t="s">
        <v>314</v>
      </c>
      <c r="D146" s="38">
        <v>45449</v>
      </c>
      <c r="E1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6" s="39">
        <f>IFERROR(VLOOKUP(RES_AB[[#This Row],[Reserva]],Tabela8[[Reserva]:[Usuário]],7,FALSE),Dados!$A$17)</f>
        <v>0.39803240740740742</v>
      </c>
      <c r="G146" s="40">
        <f>IF(RES_AB[[#This Row],[Reserva]]="","",IF(RES_AB[[#This Row],[Hora Int WMS]]&lt;Dados!$A$16,2,2))</f>
        <v>2</v>
      </c>
      <c r="H146" s="40" t="str">
        <f>IF(RES_AB[[#This Row],[Reserva]]="","",IFERROR(VLOOKUP(RES_AB[[#This Row],[Reserva]],Tabela3[[Reserva]:[Condição para Faturamento]],20,FALSE),"IMPORTADO COM SUCESSO"))</f>
        <v>PEDIDO EM LABORATORIO</v>
      </c>
      <c r="I146" s="38">
        <f>IF(RES_AB[[#This Row],[Data base]]="","",WORKDAY(RES_AB[[#This Row],[Data Reserva - Feriado e Fds]],RES_AB[[#This Row],[Dias para atendimento]],Feriados[Data]))</f>
        <v>45453</v>
      </c>
      <c r="J146" s="40" t="str">
        <f ca="1">IF(RES_AB[[#This Row],[Reserva]]="","",CONCATENATE("D+",NETWORKDAYS(RES_AB[[#This Row],[Data Reserva - Feriado e Fds]],TODAY(),Feriados[Data])-1))</f>
        <v>D+1</v>
      </c>
      <c r="K146" s="40" t="str">
        <f ca="1">IF(RES_AB[[#This Row],[Reserva]]="","",CONCATENATE(RES_AB[[#This Row],[Cen.]]," | ",RES_AB[[#This Row],[SLA2]]))</f>
        <v>11XD | D+1</v>
      </c>
      <c r="L146" s="40">
        <f ca="1">IF(RES_AB[[#This Row],[Reserva]]="","",IF(RES_AB[[#This Row],[SLA2]]=RES_AB[[#This Row],[Reserva]]="","",COUNTIF(MB25_VOLUMETRIA[Reserva],RES_AB[[#This Row],[Reserva]])))</f>
        <v>1</v>
      </c>
      <c r="M1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6" s="37" t="str">
        <f>IF(RES_AB[[#This Row],[Cen.]]="","",IFERROR(VLOOKUP(RES_AB[[#This Row],[Cen.]],Dados_Empresas[],2,FALSE),"Verificar empresa"))</f>
        <v>TELMEX</v>
      </c>
      <c r="P146" s="37" t="str">
        <f>IF(RES_AB[[#This Row],[Empresa]]="","",IF(OR(RES_AB[[#This Row],[Empresa]]="NET MASSIVO",RES_AB[[#This Row],[Empresa]]="NET PROJETOS"),"NET","EMPRESARIAL"))</f>
        <v>EMPRESARIAL</v>
      </c>
      <c r="Q146" s="37" t="str">
        <f>IF(RES_AB[[#This Row],[Reserva]]="","",IFERROR(VLOOKUP(RES_AB[[#This Row],[Reserva]],Tabela3[[Reserva]:[Descrição do status]],18,FALSE),"CONVENCIONAL"))</f>
        <v>CONVENCIONAL</v>
      </c>
    </row>
    <row r="147" spans="1:17" x14ac:dyDescent="0.25">
      <c r="A147" s="37">
        <v>4382287</v>
      </c>
      <c r="B147" s="37" t="s">
        <v>20</v>
      </c>
      <c r="C147" s="38" t="s">
        <v>419</v>
      </c>
      <c r="D147" s="38">
        <v>45449</v>
      </c>
      <c r="E1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7" s="39">
        <f>IFERROR(VLOOKUP(RES_AB[[#This Row],[Reserva]],Tabela8[[Reserva]:[Usuário]],7,FALSE),Dados!$A$17)</f>
        <v>0.33333333333333331</v>
      </c>
      <c r="G147" s="40">
        <f>IF(RES_AB[[#This Row],[Reserva]]="","",IF(RES_AB[[#This Row],[Hora Int WMS]]&lt;Dados!$A$16,2,2))</f>
        <v>2</v>
      </c>
      <c r="H147" s="40" t="str">
        <f>IF(RES_AB[[#This Row],[Reserva]]="","",IFERROR(VLOOKUP(RES_AB[[#This Row],[Reserva]],Tabela3[[Reserva]:[Condição para Faturamento]],20,FALSE),"IMPORTADO COM SUCESSO"))</f>
        <v>IMPORTADO</v>
      </c>
      <c r="I147" s="38">
        <f>IF(RES_AB[[#This Row],[Data base]]="","",WORKDAY(RES_AB[[#This Row],[Data Reserva - Feriado e Fds]],RES_AB[[#This Row],[Dias para atendimento]],Feriados[Data]))</f>
        <v>45453</v>
      </c>
      <c r="J147" s="40" t="str">
        <f ca="1">IF(RES_AB[[#This Row],[Reserva]]="","",CONCATENATE("D+",NETWORKDAYS(RES_AB[[#This Row],[Data Reserva - Feriado e Fds]],TODAY(),Feriados[Data])-1))</f>
        <v>D+1</v>
      </c>
      <c r="K147" s="40" t="str">
        <f ca="1">IF(RES_AB[[#This Row],[Reserva]]="","",CONCATENATE(RES_AB[[#This Row],[Cen.]]," | ",RES_AB[[#This Row],[SLA2]]))</f>
        <v>11XD | D+1</v>
      </c>
      <c r="L147" s="40">
        <f ca="1">IF(RES_AB[[#This Row],[Reserva]]="","",IF(RES_AB[[#This Row],[SLA2]]=RES_AB[[#This Row],[Reserva]]="","",COUNTIF(MB25_VOLUMETRIA[Reserva],RES_AB[[#This Row],[Reserva]])))</f>
        <v>1</v>
      </c>
      <c r="M1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7" s="37" t="str">
        <f>IF(RES_AB[[#This Row],[Cen.]]="","",IFERROR(VLOOKUP(RES_AB[[#This Row],[Cen.]],Dados_Empresas[],2,FALSE),"Verificar empresa"))</f>
        <v>TELMEX</v>
      </c>
      <c r="P147" s="37" t="str">
        <f>IF(RES_AB[[#This Row],[Empresa]]="","",IF(OR(RES_AB[[#This Row],[Empresa]]="NET MASSIVO",RES_AB[[#This Row],[Empresa]]="NET PROJETOS"),"NET","EMPRESARIAL"))</f>
        <v>EMPRESARIAL</v>
      </c>
      <c r="Q147" s="37" t="str">
        <f>IF(RES_AB[[#This Row],[Reserva]]="","",IFERROR(VLOOKUP(RES_AB[[#This Row],[Reserva]],Tabela3[[Reserva]:[Descrição do status]],18,FALSE),"CONVENCIONAL"))</f>
        <v>CONVENCIONAL</v>
      </c>
    </row>
    <row r="148" spans="1:17" x14ac:dyDescent="0.25">
      <c r="A148" s="37">
        <v>4382288</v>
      </c>
      <c r="B148" s="37" t="s">
        <v>20</v>
      </c>
      <c r="C148" s="38" t="s">
        <v>314</v>
      </c>
      <c r="D148" s="38">
        <v>45449</v>
      </c>
      <c r="E1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8" s="39">
        <f>IFERROR(VLOOKUP(RES_AB[[#This Row],[Reserva]],Tabela8[[Reserva]:[Usuário]],7,FALSE),Dados!$A$17)</f>
        <v>0.33333333333333331</v>
      </c>
      <c r="G148" s="40">
        <f>IF(RES_AB[[#This Row],[Reserva]]="","",IF(RES_AB[[#This Row],[Hora Int WMS]]&lt;Dados!$A$16,2,2))</f>
        <v>2</v>
      </c>
      <c r="H148" s="40" t="str">
        <f>IF(RES_AB[[#This Row],[Reserva]]="","",IFERROR(VLOOKUP(RES_AB[[#This Row],[Reserva]],Tabela3[[Reserva]:[Condição para Faturamento]],20,FALSE),"IMPORTADO COM SUCESSO"))</f>
        <v>PEDIDO EM LABORATORIO</v>
      </c>
      <c r="I148" s="38">
        <f>IF(RES_AB[[#This Row],[Data base]]="","",WORKDAY(RES_AB[[#This Row],[Data Reserva - Feriado e Fds]],RES_AB[[#This Row],[Dias para atendimento]],Feriados[Data]))</f>
        <v>45453</v>
      </c>
      <c r="J148" s="40" t="str">
        <f ca="1">IF(RES_AB[[#This Row],[Reserva]]="","",CONCATENATE("D+",NETWORKDAYS(RES_AB[[#This Row],[Data Reserva - Feriado e Fds]],TODAY(),Feriados[Data])-1))</f>
        <v>D+1</v>
      </c>
      <c r="K148" s="40" t="str">
        <f ca="1">IF(RES_AB[[#This Row],[Reserva]]="","",CONCATENATE(RES_AB[[#This Row],[Cen.]]," | ",RES_AB[[#This Row],[SLA2]]))</f>
        <v>11XD | D+1</v>
      </c>
      <c r="L148" s="40">
        <f ca="1">IF(RES_AB[[#This Row],[Reserva]]="","",IF(RES_AB[[#This Row],[SLA2]]=RES_AB[[#This Row],[Reserva]]="","",COUNTIF(MB25_VOLUMETRIA[Reserva],RES_AB[[#This Row],[Reserva]])))</f>
        <v>1</v>
      </c>
      <c r="M1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8" s="37" t="str">
        <f>IF(RES_AB[[#This Row],[Cen.]]="","",IFERROR(VLOOKUP(RES_AB[[#This Row],[Cen.]],Dados_Empresas[],2,FALSE),"Verificar empresa"))</f>
        <v>TELMEX</v>
      </c>
      <c r="P148" s="37" t="str">
        <f>IF(RES_AB[[#This Row],[Empresa]]="","",IF(OR(RES_AB[[#This Row],[Empresa]]="NET MASSIVO",RES_AB[[#This Row],[Empresa]]="NET PROJETOS"),"NET","EMPRESARIAL"))</f>
        <v>EMPRESARIAL</v>
      </c>
      <c r="Q148" s="37" t="str">
        <f>IF(RES_AB[[#This Row],[Reserva]]="","",IFERROR(VLOOKUP(RES_AB[[#This Row],[Reserva]],Tabela3[[Reserva]:[Descrição do status]],18,FALSE),"CONVENCIONAL"))</f>
        <v>CONVENCIONAL</v>
      </c>
    </row>
    <row r="149" spans="1:17" x14ac:dyDescent="0.25">
      <c r="A149" s="37">
        <v>4382289</v>
      </c>
      <c r="B149" s="37" t="s">
        <v>20</v>
      </c>
      <c r="C149" s="38" t="s">
        <v>314</v>
      </c>
      <c r="D149" s="38">
        <v>45449</v>
      </c>
      <c r="E1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49" s="39">
        <f>IFERROR(VLOOKUP(RES_AB[[#This Row],[Reserva]],Tabela8[[Reserva]:[Usuário]],7,FALSE),Dados!$A$17)</f>
        <v>0.33333333333333331</v>
      </c>
      <c r="G149" s="40">
        <f>IF(RES_AB[[#This Row],[Reserva]]="","",IF(RES_AB[[#This Row],[Hora Int WMS]]&lt;Dados!$A$16,2,2))</f>
        <v>2</v>
      </c>
      <c r="H149" s="40" t="str">
        <f>IF(RES_AB[[#This Row],[Reserva]]="","",IFERROR(VLOOKUP(RES_AB[[#This Row],[Reserva]],Tabela3[[Reserva]:[Condição para Faturamento]],20,FALSE),"IMPORTADO COM SUCESSO"))</f>
        <v>PEDIDO EM LABORATORIO</v>
      </c>
      <c r="I149" s="38">
        <f>IF(RES_AB[[#This Row],[Data base]]="","",WORKDAY(RES_AB[[#This Row],[Data Reserva - Feriado e Fds]],RES_AB[[#This Row],[Dias para atendimento]],Feriados[Data]))</f>
        <v>45453</v>
      </c>
      <c r="J149" s="40" t="str">
        <f ca="1">IF(RES_AB[[#This Row],[Reserva]]="","",CONCATENATE("D+",NETWORKDAYS(RES_AB[[#This Row],[Data Reserva - Feriado e Fds]],TODAY(),Feriados[Data])-1))</f>
        <v>D+1</v>
      </c>
      <c r="K149" s="40" t="str">
        <f ca="1">IF(RES_AB[[#This Row],[Reserva]]="","",CONCATENATE(RES_AB[[#This Row],[Cen.]]," | ",RES_AB[[#This Row],[SLA2]]))</f>
        <v>11XD | D+1</v>
      </c>
      <c r="L149" s="40">
        <f ca="1">IF(RES_AB[[#This Row],[Reserva]]="","",IF(RES_AB[[#This Row],[SLA2]]=RES_AB[[#This Row],[Reserva]]="","",COUNTIF(MB25_VOLUMETRIA[Reserva],RES_AB[[#This Row],[Reserva]])))</f>
        <v>1</v>
      </c>
      <c r="M1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49" s="37" t="str">
        <f>IF(RES_AB[[#This Row],[Cen.]]="","",IFERROR(VLOOKUP(RES_AB[[#This Row],[Cen.]],Dados_Empresas[],2,FALSE),"Verificar empresa"))</f>
        <v>TELMEX</v>
      </c>
      <c r="P149" s="37" t="str">
        <f>IF(RES_AB[[#This Row],[Empresa]]="","",IF(OR(RES_AB[[#This Row],[Empresa]]="NET MASSIVO",RES_AB[[#This Row],[Empresa]]="NET PROJETOS"),"NET","EMPRESARIAL"))</f>
        <v>EMPRESARIAL</v>
      </c>
      <c r="Q149" s="37" t="str">
        <f>IF(RES_AB[[#This Row],[Reserva]]="","",IFERROR(VLOOKUP(RES_AB[[#This Row],[Reserva]],Tabela3[[Reserva]:[Descrição do status]],18,FALSE),"CONVENCIONAL"))</f>
        <v>CONVENCIONAL</v>
      </c>
    </row>
    <row r="150" spans="1:17" x14ac:dyDescent="0.25">
      <c r="A150" s="37">
        <v>4382290</v>
      </c>
      <c r="B150" s="37" t="s">
        <v>20</v>
      </c>
      <c r="C150" s="38" t="s">
        <v>314</v>
      </c>
      <c r="D150" s="38">
        <v>45449</v>
      </c>
      <c r="E1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0" s="39">
        <f>IFERROR(VLOOKUP(RES_AB[[#This Row],[Reserva]],Tabela8[[Reserva]:[Usuário]],7,FALSE),Dados!$A$17)</f>
        <v>0.33333333333333331</v>
      </c>
      <c r="G150" s="40">
        <f>IF(RES_AB[[#This Row],[Reserva]]="","",IF(RES_AB[[#This Row],[Hora Int WMS]]&lt;Dados!$A$16,2,2))</f>
        <v>2</v>
      </c>
      <c r="H150" s="40" t="str">
        <f>IF(RES_AB[[#This Row],[Reserva]]="","",IFERROR(VLOOKUP(RES_AB[[#This Row],[Reserva]],Tabela3[[Reserva]:[Condição para Faturamento]],20,FALSE),"IMPORTADO COM SUCESSO"))</f>
        <v>PEDIDO EM LABORATORIO</v>
      </c>
      <c r="I150" s="38">
        <f>IF(RES_AB[[#This Row],[Data base]]="","",WORKDAY(RES_AB[[#This Row],[Data Reserva - Feriado e Fds]],RES_AB[[#This Row],[Dias para atendimento]],Feriados[Data]))</f>
        <v>45453</v>
      </c>
      <c r="J150" s="40" t="str">
        <f ca="1">IF(RES_AB[[#This Row],[Reserva]]="","",CONCATENATE("D+",NETWORKDAYS(RES_AB[[#This Row],[Data Reserva - Feriado e Fds]],TODAY(),Feriados[Data])-1))</f>
        <v>D+1</v>
      </c>
      <c r="K150" s="40" t="str">
        <f ca="1">IF(RES_AB[[#This Row],[Reserva]]="","",CONCATENATE(RES_AB[[#This Row],[Cen.]]," | ",RES_AB[[#This Row],[SLA2]]))</f>
        <v>11XD | D+1</v>
      </c>
      <c r="L150" s="40">
        <f ca="1">IF(RES_AB[[#This Row],[Reserva]]="","",IF(RES_AB[[#This Row],[SLA2]]=RES_AB[[#This Row],[Reserva]]="","",COUNTIF(MB25_VOLUMETRIA[Reserva],RES_AB[[#This Row],[Reserva]])))</f>
        <v>1</v>
      </c>
      <c r="M1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0" s="37" t="str">
        <f>IF(RES_AB[[#This Row],[Cen.]]="","",IFERROR(VLOOKUP(RES_AB[[#This Row],[Cen.]],Dados_Empresas[],2,FALSE),"Verificar empresa"))</f>
        <v>TELMEX</v>
      </c>
      <c r="P150" s="37" t="str">
        <f>IF(RES_AB[[#This Row],[Empresa]]="","",IF(OR(RES_AB[[#This Row],[Empresa]]="NET MASSIVO",RES_AB[[#This Row],[Empresa]]="NET PROJETOS"),"NET","EMPRESARIAL"))</f>
        <v>EMPRESARIAL</v>
      </c>
      <c r="Q150" s="37" t="str">
        <f>IF(RES_AB[[#This Row],[Reserva]]="","",IFERROR(VLOOKUP(RES_AB[[#This Row],[Reserva]],Tabela3[[Reserva]:[Descrição do status]],18,FALSE),"CONVENCIONAL"))</f>
        <v>CONVENCIONAL</v>
      </c>
    </row>
    <row r="151" spans="1:17" x14ac:dyDescent="0.25">
      <c r="A151" s="37">
        <v>4382291</v>
      </c>
      <c r="B151" s="37" t="s">
        <v>20</v>
      </c>
      <c r="C151" s="38" t="s">
        <v>314</v>
      </c>
      <c r="D151" s="38">
        <v>45449</v>
      </c>
      <c r="E1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1" s="39">
        <f>IFERROR(VLOOKUP(RES_AB[[#This Row],[Reserva]],Tabela8[[Reserva]:[Usuário]],7,FALSE),Dados!$A$17)</f>
        <v>0.33333333333333331</v>
      </c>
      <c r="G151" s="40">
        <f>IF(RES_AB[[#This Row],[Reserva]]="","",IF(RES_AB[[#This Row],[Hora Int WMS]]&lt;Dados!$A$16,2,2))</f>
        <v>2</v>
      </c>
      <c r="H151" s="40" t="str">
        <f>IF(RES_AB[[#This Row],[Reserva]]="","",IFERROR(VLOOKUP(RES_AB[[#This Row],[Reserva]],Tabela3[[Reserva]:[Condição para Faturamento]],20,FALSE),"IMPORTADO COM SUCESSO"))</f>
        <v>PEDIDO EM LABORATORIO</v>
      </c>
      <c r="I151" s="38">
        <f>IF(RES_AB[[#This Row],[Data base]]="","",WORKDAY(RES_AB[[#This Row],[Data Reserva - Feriado e Fds]],RES_AB[[#This Row],[Dias para atendimento]],Feriados[Data]))</f>
        <v>45453</v>
      </c>
      <c r="J151" s="40" t="str">
        <f ca="1">IF(RES_AB[[#This Row],[Reserva]]="","",CONCATENATE("D+",NETWORKDAYS(RES_AB[[#This Row],[Data Reserva - Feriado e Fds]],TODAY(),Feriados[Data])-1))</f>
        <v>D+1</v>
      </c>
      <c r="K151" s="40" t="str">
        <f ca="1">IF(RES_AB[[#This Row],[Reserva]]="","",CONCATENATE(RES_AB[[#This Row],[Cen.]]," | ",RES_AB[[#This Row],[SLA2]]))</f>
        <v>11XD | D+1</v>
      </c>
      <c r="L151" s="40">
        <f ca="1">IF(RES_AB[[#This Row],[Reserva]]="","",IF(RES_AB[[#This Row],[SLA2]]=RES_AB[[#This Row],[Reserva]]="","",COUNTIF(MB25_VOLUMETRIA[Reserva],RES_AB[[#This Row],[Reserva]])))</f>
        <v>1</v>
      </c>
      <c r="M1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1" s="37" t="str">
        <f>IF(RES_AB[[#This Row],[Cen.]]="","",IFERROR(VLOOKUP(RES_AB[[#This Row],[Cen.]],Dados_Empresas[],2,FALSE),"Verificar empresa"))</f>
        <v>TELMEX</v>
      </c>
      <c r="P151" s="37" t="str">
        <f>IF(RES_AB[[#This Row],[Empresa]]="","",IF(OR(RES_AB[[#This Row],[Empresa]]="NET MASSIVO",RES_AB[[#This Row],[Empresa]]="NET PROJETOS"),"NET","EMPRESARIAL"))</f>
        <v>EMPRESARIAL</v>
      </c>
      <c r="Q151" s="37" t="str">
        <f>IF(RES_AB[[#This Row],[Reserva]]="","",IFERROR(VLOOKUP(RES_AB[[#This Row],[Reserva]],Tabela3[[Reserva]:[Descrição do status]],18,FALSE),"CONVENCIONAL"))</f>
        <v>CONVENCIONAL</v>
      </c>
    </row>
    <row r="152" spans="1:17" x14ac:dyDescent="0.25">
      <c r="A152" s="37">
        <v>4382292</v>
      </c>
      <c r="B152" s="37" t="s">
        <v>20</v>
      </c>
      <c r="C152" s="38" t="s">
        <v>314</v>
      </c>
      <c r="D152" s="38">
        <v>45449</v>
      </c>
      <c r="E1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2" s="39">
        <f>IFERROR(VLOOKUP(RES_AB[[#This Row],[Reserva]],Tabela8[[Reserva]:[Usuário]],7,FALSE),Dados!$A$17)</f>
        <v>0.33333333333333331</v>
      </c>
      <c r="G152" s="40">
        <f>IF(RES_AB[[#This Row],[Reserva]]="","",IF(RES_AB[[#This Row],[Hora Int WMS]]&lt;Dados!$A$16,2,2))</f>
        <v>2</v>
      </c>
      <c r="H152" s="40" t="str">
        <f>IF(RES_AB[[#This Row],[Reserva]]="","",IFERROR(VLOOKUP(RES_AB[[#This Row],[Reserva]],Tabela3[[Reserva]:[Condição para Faturamento]],20,FALSE),"IMPORTADO COM SUCESSO"))</f>
        <v>PEDIDO EM LABORATORIO</v>
      </c>
      <c r="I152" s="38">
        <f>IF(RES_AB[[#This Row],[Data base]]="","",WORKDAY(RES_AB[[#This Row],[Data Reserva - Feriado e Fds]],RES_AB[[#This Row],[Dias para atendimento]],Feriados[Data]))</f>
        <v>45453</v>
      </c>
      <c r="J152" s="40" t="str">
        <f ca="1">IF(RES_AB[[#This Row],[Reserva]]="","",CONCATENATE("D+",NETWORKDAYS(RES_AB[[#This Row],[Data Reserva - Feriado e Fds]],TODAY(),Feriados[Data])-1))</f>
        <v>D+1</v>
      </c>
      <c r="K152" s="40" t="str">
        <f ca="1">IF(RES_AB[[#This Row],[Reserva]]="","",CONCATENATE(RES_AB[[#This Row],[Cen.]]," | ",RES_AB[[#This Row],[SLA2]]))</f>
        <v>11XD | D+1</v>
      </c>
      <c r="L152" s="40">
        <f ca="1">IF(RES_AB[[#This Row],[Reserva]]="","",IF(RES_AB[[#This Row],[SLA2]]=RES_AB[[#This Row],[Reserva]]="","",COUNTIF(MB25_VOLUMETRIA[Reserva],RES_AB[[#This Row],[Reserva]])))</f>
        <v>1</v>
      </c>
      <c r="M1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2" s="37" t="str">
        <f>IF(RES_AB[[#This Row],[Cen.]]="","",IFERROR(VLOOKUP(RES_AB[[#This Row],[Cen.]],Dados_Empresas[],2,FALSE),"Verificar empresa"))</f>
        <v>TELMEX</v>
      </c>
      <c r="P152" s="37" t="str">
        <f>IF(RES_AB[[#This Row],[Empresa]]="","",IF(OR(RES_AB[[#This Row],[Empresa]]="NET MASSIVO",RES_AB[[#This Row],[Empresa]]="NET PROJETOS"),"NET","EMPRESARIAL"))</f>
        <v>EMPRESARIAL</v>
      </c>
      <c r="Q152" s="37" t="str">
        <f>IF(RES_AB[[#This Row],[Reserva]]="","",IFERROR(VLOOKUP(RES_AB[[#This Row],[Reserva]],Tabela3[[Reserva]:[Descrição do status]],18,FALSE),"CONVENCIONAL"))</f>
        <v>CONVENCIONAL</v>
      </c>
    </row>
    <row r="153" spans="1:17" x14ac:dyDescent="0.25">
      <c r="A153" s="37">
        <v>4382293</v>
      </c>
      <c r="B153" s="37" t="s">
        <v>20</v>
      </c>
      <c r="C153" s="38" t="s">
        <v>314</v>
      </c>
      <c r="D153" s="38">
        <v>45449</v>
      </c>
      <c r="E1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3" s="39">
        <f>IFERROR(VLOOKUP(RES_AB[[#This Row],[Reserva]],Tabela8[[Reserva]:[Usuário]],7,FALSE),Dados!$A$17)</f>
        <v>0.33333333333333331</v>
      </c>
      <c r="G153" s="40">
        <f>IF(RES_AB[[#This Row],[Reserva]]="","",IF(RES_AB[[#This Row],[Hora Int WMS]]&lt;Dados!$A$16,2,2))</f>
        <v>2</v>
      </c>
      <c r="H153" s="40" t="str">
        <f>IF(RES_AB[[#This Row],[Reserva]]="","",IFERROR(VLOOKUP(RES_AB[[#This Row],[Reserva]],Tabela3[[Reserva]:[Condição para Faturamento]],20,FALSE),"IMPORTADO COM SUCESSO"))</f>
        <v>PEDIDO EM LABORATORIO</v>
      </c>
      <c r="I153" s="38">
        <f>IF(RES_AB[[#This Row],[Data base]]="","",WORKDAY(RES_AB[[#This Row],[Data Reserva - Feriado e Fds]],RES_AB[[#This Row],[Dias para atendimento]],Feriados[Data]))</f>
        <v>45453</v>
      </c>
      <c r="J153" s="40" t="str">
        <f ca="1">IF(RES_AB[[#This Row],[Reserva]]="","",CONCATENATE("D+",NETWORKDAYS(RES_AB[[#This Row],[Data Reserva - Feriado e Fds]],TODAY(),Feriados[Data])-1))</f>
        <v>D+1</v>
      </c>
      <c r="K153" s="40" t="str">
        <f ca="1">IF(RES_AB[[#This Row],[Reserva]]="","",CONCATENATE(RES_AB[[#This Row],[Cen.]]," | ",RES_AB[[#This Row],[SLA2]]))</f>
        <v>11XD | D+1</v>
      </c>
      <c r="L153" s="40">
        <f ca="1">IF(RES_AB[[#This Row],[Reserva]]="","",IF(RES_AB[[#This Row],[SLA2]]=RES_AB[[#This Row],[Reserva]]="","",COUNTIF(MB25_VOLUMETRIA[Reserva],RES_AB[[#This Row],[Reserva]])))</f>
        <v>1</v>
      </c>
      <c r="M1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3" s="37" t="str">
        <f>IF(RES_AB[[#This Row],[Cen.]]="","",IFERROR(VLOOKUP(RES_AB[[#This Row],[Cen.]],Dados_Empresas[],2,FALSE),"Verificar empresa"))</f>
        <v>TELMEX</v>
      </c>
      <c r="P153" s="37" t="str">
        <f>IF(RES_AB[[#This Row],[Empresa]]="","",IF(OR(RES_AB[[#This Row],[Empresa]]="NET MASSIVO",RES_AB[[#This Row],[Empresa]]="NET PROJETOS"),"NET","EMPRESARIAL"))</f>
        <v>EMPRESARIAL</v>
      </c>
      <c r="Q153" s="37" t="str">
        <f>IF(RES_AB[[#This Row],[Reserva]]="","",IFERROR(VLOOKUP(RES_AB[[#This Row],[Reserva]],Tabela3[[Reserva]:[Descrição do status]],18,FALSE),"CONVENCIONAL"))</f>
        <v>CONVENCIONAL</v>
      </c>
    </row>
    <row r="154" spans="1:17" x14ac:dyDescent="0.25">
      <c r="A154" s="37">
        <v>4382294</v>
      </c>
      <c r="B154" s="37" t="s">
        <v>20</v>
      </c>
      <c r="C154" s="38" t="s">
        <v>314</v>
      </c>
      <c r="D154" s="38">
        <v>45449</v>
      </c>
      <c r="E1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4" s="39">
        <f>IFERROR(VLOOKUP(RES_AB[[#This Row],[Reserva]],Tabela8[[Reserva]:[Usuário]],7,FALSE),Dados!$A$17)</f>
        <v>0.33333333333333331</v>
      </c>
      <c r="G154" s="40">
        <f>IF(RES_AB[[#This Row],[Reserva]]="","",IF(RES_AB[[#This Row],[Hora Int WMS]]&lt;Dados!$A$16,2,2))</f>
        <v>2</v>
      </c>
      <c r="H154" s="40" t="str">
        <f>IF(RES_AB[[#This Row],[Reserva]]="","",IFERROR(VLOOKUP(RES_AB[[#This Row],[Reserva]],Tabela3[[Reserva]:[Condição para Faturamento]],20,FALSE),"IMPORTADO COM SUCESSO"))</f>
        <v>PEDIDO EM LABORATORIO</v>
      </c>
      <c r="I154" s="38">
        <f>IF(RES_AB[[#This Row],[Data base]]="","",WORKDAY(RES_AB[[#This Row],[Data Reserva - Feriado e Fds]],RES_AB[[#This Row],[Dias para atendimento]],Feriados[Data]))</f>
        <v>45453</v>
      </c>
      <c r="J154" s="40" t="str">
        <f ca="1">IF(RES_AB[[#This Row],[Reserva]]="","",CONCATENATE("D+",NETWORKDAYS(RES_AB[[#This Row],[Data Reserva - Feriado e Fds]],TODAY(),Feriados[Data])-1))</f>
        <v>D+1</v>
      </c>
      <c r="K154" s="40" t="str">
        <f ca="1">IF(RES_AB[[#This Row],[Reserva]]="","",CONCATENATE(RES_AB[[#This Row],[Cen.]]," | ",RES_AB[[#This Row],[SLA2]]))</f>
        <v>11XD | D+1</v>
      </c>
      <c r="L154" s="40">
        <f ca="1">IF(RES_AB[[#This Row],[Reserva]]="","",IF(RES_AB[[#This Row],[SLA2]]=RES_AB[[#This Row],[Reserva]]="","",COUNTIF(MB25_VOLUMETRIA[Reserva],RES_AB[[#This Row],[Reserva]])))</f>
        <v>1</v>
      </c>
      <c r="M1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4" s="37" t="str">
        <f>IF(RES_AB[[#This Row],[Cen.]]="","",IFERROR(VLOOKUP(RES_AB[[#This Row],[Cen.]],Dados_Empresas[],2,FALSE),"Verificar empresa"))</f>
        <v>TELMEX</v>
      </c>
      <c r="P154" s="37" t="str">
        <f>IF(RES_AB[[#This Row],[Empresa]]="","",IF(OR(RES_AB[[#This Row],[Empresa]]="NET MASSIVO",RES_AB[[#This Row],[Empresa]]="NET PROJETOS"),"NET","EMPRESARIAL"))</f>
        <v>EMPRESARIAL</v>
      </c>
      <c r="Q154" s="37" t="str">
        <f>IF(RES_AB[[#This Row],[Reserva]]="","",IFERROR(VLOOKUP(RES_AB[[#This Row],[Reserva]],Tabela3[[Reserva]:[Descrição do status]],18,FALSE),"CONVENCIONAL"))</f>
        <v>CONVENCIONAL</v>
      </c>
    </row>
    <row r="155" spans="1:17" x14ac:dyDescent="0.25">
      <c r="A155" s="37">
        <v>4382295</v>
      </c>
      <c r="B155" s="37" t="s">
        <v>20</v>
      </c>
      <c r="C155" s="38" t="s">
        <v>314</v>
      </c>
      <c r="D155" s="38">
        <v>45449</v>
      </c>
      <c r="E1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5" s="39">
        <f>IFERROR(VLOOKUP(RES_AB[[#This Row],[Reserva]],Tabela8[[Reserva]:[Usuário]],7,FALSE),Dados!$A$17)</f>
        <v>0.39849537037037036</v>
      </c>
      <c r="G155" s="40">
        <f>IF(RES_AB[[#This Row],[Reserva]]="","",IF(RES_AB[[#This Row],[Hora Int WMS]]&lt;Dados!$A$16,2,2))</f>
        <v>2</v>
      </c>
      <c r="H155" s="40" t="str">
        <f>IF(RES_AB[[#This Row],[Reserva]]="","",IFERROR(VLOOKUP(RES_AB[[#This Row],[Reserva]],Tabela3[[Reserva]:[Condição para Faturamento]],20,FALSE),"IMPORTADO COM SUCESSO"))</f>
        <v>PEDIDO EM LABORATORIO</v>
      </c>
      <c r="I155" s="38">
        <f>IF(RES_AB[[#This Row],[Data base]]="","",WORKDAY(RES_AB[[#This Row],[Data Reserva - Feriado e Fds]],RES_AB[[#This Row],[Dias para atendimento]],Feriados[Data]))</f>
        <v>45453</v>
      </c>
      <c r="J155" s="40" t="str">
        <f ca="1">IF(RES_AB[[#This Row],[Reserva]]="","",CONCATENATE("D+",NETWORKDAYS(RES_AB[[#This Row],[Data Reserva - Feriado e Fds]],TODAY(),Feriados[Data])-1))</f>
        <v>D+1</v>
      </c>
      <c r="K155" s="40" t="str">
        <f ca="1">IF(RES_AB[[#This Row],[Reserva]]="","",CONCATENATE(RES_AB[[#This Row],[Cen.]]," | ",RES_AB[[#This Row],[SLA2]]))</f>
        <v>11XD | D+1</v>
      </c>
      <c r="L155" s="40">
        <f ca="1">IF(RES_AB[[#This Row],[Reserva]]="","",IF(RES_AB[[#This Row],[SLA2]]=RES_AB[[#This Row],[Reserva]]="","",COUNTIF(MB25_VOLUMETRIA[Reserva],RES_AB[[#This Row],[Reserva]])))</f>
        <v>1</v>
      </c>
      <c r="M1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5" s="37" t="str">
        <f>IF(RES_AB[[#This Row],[Cen.]]="","",IFERROR(VLOOKUP(RES_AB[[#This Row],[Cen.]],Dados_Empresas[],2,FALSE),"Verificar empresa"))</f>
        <v>TELMEX</v>
      </c>
      <c r="P155" s="37" t="str">
        <f>IF(RES_AB[[#This Row],[Empresa]]="","",IF(OR(RES_AB[[#This Row],[Empresa]]="NET MASSIVO",RES_AB[[#This Row],[Empresa]]="NET PROJETOS"),"NET","EMPRESARIAL"))</f>
        <v>EMPRESARIAL</v>
      </c>
      <c r="Q155" s="37" t="str">
        <f>IF(RES_AB[[#This Row],[Reserva]]="","",IFERROR(VLOOKUP(RES_AB[[#This Row],[Reserva]],Tabela3[[Reserva]:[Descrição do status]],18,FALSE),"CONVENCIONAL"))</f>
        <v>CONVENCIONAL</v>
      </c>
    </row>
    <row r="156" spans="1:17" x14ac:dyDescent="0.25">
      <c r="A156" s="37">
        <v>4382296</v>
      </c>
      <c r="B156" s="37" t="s">
        <v>20</v>
      </c>
      <c r="C156" s="38" t="s">
        <v>419</v>
      </c>
      <c r="D156" s="38">
        <v>45449</v>
      </c>
      <c r="E1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6" s="39">
        <f>IFERROR(VLOOKUP(RES_AB[[#This Row],[Reserva]],Tabela8[[Reserva]:[Usuário]],7,FALSE),Dados!$A$17)</f>
        <v>0.39861111111111114</v>
      </c>
      <c r="G156" s="40">
        <f>IF(RES_AB[[#This Row],[Reserva]]="","",IF(RES_AB[[#This Row],[Hora Int WMS]]&lt;Dados!$A$16,2,2))</f>
        <v>2</v>
      </c>
      <c r="H156" s="40" t="str">
        <f>IF(RES_AB[[#This Row],[Reserva]]="","",IFERROR(VLOOKUP(RES_AB[[#This Row],[Reserva]],Tabela3[[Reserva]:[Condição para Faturamento]],20,FALSE),"IMPORTADO COM SUCESSO"))</f>
        <v>IMPORTADO</v>
      </c>
      <c r="I156" s="38">
        <f>IF(RES_AB[[#This Row],[Data base]]="","",WORKDAY(RES_AB[[#This Row],[Data Reserva - Feriado e Fds]],RES_AB[[#This Row],[Dias para atendimento]],Feriados[Data]))</f>
        <v>45453</v>
      </c>
      <c r="J156" s="40" t="str">
        <f ca="1">IF(RES_AB[[#This Row],[Reserva]]="","",CONCATENATE("D+",NETWORKDAYS(RES_AB[[#This Row],[Data Reserva - Feriado e Fds]],TODAY(),Feriados[Data])-1))</f>
        <v>D+1</v>
      </c>
      <c r="K156" s="40" t="str">
        <f ca="1">IF(RES_AB[[#This Row],[Reserva]]="","",CONCATENATE(RES_AB[[#This Row],[Cen.]]," | ",RES_AB[[#This Row],[SLA2]]))</f>
        <v>11XD | D+1</v>
      </c>
      <c r="L156" s="40">
        <f ca="1">IF(RES_AB[[#This Row],[Reserva]]="","",IF(RES_AB[[#This Row],[SLA2]]=RES_AB[[#This Row],[Reserva]]="","",COUNTIF(MB25_VOLUMETRIA[Reserva],RES_AB[[#This Row],[Reserva]])))</f>
        <v>1</v>
      </c>
      <c r="M1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6" s="37" t="str">
        <f>IF(RES_AB[[#This Row],[Cen.]]="","",IFERROR(VLOOKUP(RES_AB[[#This Row],[Cen.]],Dados_Empresas[],2,FALSE),"Verificar empresa"))</f>
        <v>TELMEX</v>
      </c>
      <c r="P156" s="37" t="str">
        <f>IF(RES_AB[[#This Row],[Empresa]]="","",IF(OR(RES_AB[[#This Row],[Empresa]]="NET MASSIVO",RES_AB[[#This Row],[Empresa]]="NET PROJETOS"),"NET","EMPRESARIAL"))</f>
        <v>EMPRESARIAL</v>
      </c>
      <c r="Q156" s="37" t="str">
        <f>IF(RES_AB[[#This Row],[Reserva]]="","",IFERROR(VLOOKUP(RES_AB[[#This Row],[Reserva]],Tabela3[[Reserva]:[Descrição do status]],18,FALSE),"CONVENCIONAL"))</f>
        <v>CONVENCIONAL</v>
      </c>
    </row>
    <row r="157" spans="1:17" x14ac:dyDescent="0.25">
      <c r="A157" s="37">
        <v>4382297</v>
      </c>
      <c r="B157" s="37" t="s">
        <v>20</v>
      </c>
      <c r="C157" s="38" t="s">
        <v>314</v>
      </c>
      <c r="D157" s="38">
        <v>45449</v>
      </c>
      <c r="E1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7" s="39">
        <f>IFERROR(VLOOKUP(RES_AB[[#This Row],[Reserva]],Tabela8[[Reserva]:[Usuário]],7,FALSE),Dados!$A$17)</f>
        <v>0.33333333333333331</v>
      </c>
      <c r="G157" s="40">
        <f>IF(RES_AB[[#This Row],[Reserva]]="","",IF(RES_AB[[#This Row],[Hora Int WMS]]&lt;Dados!$A$16,2,2))</f>
        <v>2</v>
      </c>
      <c r="H157" s="40" t="str">
        <f>IF(RES_AB[[#This Row],[Reserva]]="","",IFERROR(VLOOKUP(RES_AB[[#This Row],[Reserva]],Tabela3[[Reserva]:[Condição para Faturamento]],20,FALSE),"IMPORTADO COM SUCESSO"))</f>
        <v>AGUARDANDO SEPARAÇÃO</v>
      </c>
      <c r="I157" s="38">
        <f>IF(RES_AB[[#This Row],[Data base]]="","",WORKDAY(RES_AB[[#This Row],[Data Reserva - Feriado e Fds]],RES_AB[[#This Row],[Dias para atendimento]],Feriados[Data]))</f>
        <v>45453</v>
      </c>
      <c r="J157" s="40" t="str">
        <f ca="1">IF(RES_AB[[#This Row],[Reserva]]="","",CONCATENATE("D+",NETWORKDAYS(RES_AB[[#This Row],[Data Reserva - Feriado e Fds]],TODAY(),Feriados[Data])-1))</f>
        <v>D+1</v>
      </c>
      <c r="K157" s="40" t="str">
        <f ca="1">IF(RES_AB[[#This Row],[Reserva]]="","",CONCATENATE(RES_AB[[#This Row],[Cen.]]," | ",RES_AB[[#This Row],[SLA2]]))</f>
        <v>11XD | D+1</v>
      </c>
      <c r="L157" s="40">
        <f ca="1">IF(RES_AB[[#This Row],[Reserva]]="","",IF(RES_AB[[#This Row],[SLA2]]=RES_AB[[#This Row],[Reserva]]="","",COUNTIF(MB25_VOLUMETRIA[Reserva],RES_AB[[#This Row],[Reserva]])))</f>
        <v>1</v>
      </c>
      <c r="M1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7" s="37" t="str">
        <f>IF(RES_AB[[#This Row],[Cen.]]="","",IFERROR(VLOOKUP(RES_AB[[#This Row],[Cen.]],Dados_Empresas[],2,FALSE),"Verificar empresa"))</f>
        <v>TELMEX</v>
      </c>
      <c r="P157" s="37" t="str">
        <f>IF(RES_AB[[#This Row],[Empresa]]="","",IF(OR(RES_AB[[#This Row],[Empresa]]="NET MASSIVO",RES_AB[[#This Row],[Empresa]]="NET PROJETOS"),"NET","EMPRESARIAL"))</f>
        <v>EMPRESARIAL</v>
      </c>
      <c r="Q157" s="37" t="str">
        <f>IF(RES_AB[[#This Row],[Reserva]]="","",IFERROR(VLOOKUP(RES_AB[[#This Row],[Reserva]],Tabela3[[Reserva]:[Descrição do status]],18,FALSE),"CONVENCIONAL"))</f>
        <v>CONVENCIONAL</v>
      </c>
    </row>
    <row r="158" spans="1:17" x14ac:dyDescent="0.25">
      <c r="A158" s="37">
        <v>4382298</v>
      </c>
      <c r="B158" s="37" t="s">
        <v>20</v>
      </c>
      <c r="C158" s="38" t="s">
        <v>314</v>
      </c>
      <c r="D158" s="38">
        <v>45449</v>
      </c>
      <c r="E1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8" s="39">
        <f>IFERROR(VLOOKUP(RES_AB[[#This Row],[Reserva]],Tabela8[[Reserva]:[Usuário]],7,FALSE),Dados!$A$17)</f>
        <v>0.33333333333333331</v>
      </c>
      <c r="G158" s="40">
        <f>IF(RES_AB[[#This Row],[Reserva]]="","",IF(RES_AB[[#This Row],[Hora Int WMS]]&lt;Dados!$A$16,2,2))</f>
        <v>2</v>
      </c>
      <c r="H158" s="40" t="str">
        <f>IF(RES_AB[[#This Row],[Reserva]]="","",IFERROR(VLOOKUP(RES_AB[[#This Row],[Reserva]],Tabela3[[Reserva]:[Condição para Faturamento]],20,FALSE),"IMPORTADO COM SUCESSO"))</f>
        <v>PEDIDO EM LABORATORIO</v>
      </c>
      <c r="I158" s="38">
        <f>IF(RES_AB[[#This Row],[Data base]]="","",WORKDAY(RES_AB[[#This Row],[Data Reserva - Feriado e Fds]],RES_AB[[#This Row],[Dias para atendimento]],Feriados[Data]))</f>
        <v>45453</v>
      </c>
      <c r="J158" s="40" t="str">
        <f ca="1">IF(RES_AB[[#This Row],[Reserva]]="","",CONCATENATE("D+",NETWORKDAYS(RES_AB[[#This Row],[Data Reserva - Feriado e Fds]],TODAY(),Feriados[Data])-1))</f>
        <v>D+1</v>
      </c>
      <c r="K158" s="40" t="str">
        <f ca="1">IF(RES_AB[[#This Row],[Reserva]]="","",CONCATENATE(RES_AB[[#This Row],[Cen.]]," | ",RES_AB[[#This Row],[SLA2]]))</f>
        <v>11XD | D+1</v>
      </c>
      <c r="L158" s="40">
        <f ca="1">IF(RES_AB[[#This Row],[Reserva]]="","",IF(RES_AB[[#This Row],[SLA2]]=RES_AB[[#This Row],[Reserva]]="","",COUNTIF(MB25_VOLUMETRIA[Reserva],RES_AB[[#This Row],[Reserva]])))</f>
        <v>1</v>
      </c>
      <c r="M1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8" s="37" t="str">
        <f>IF(RES_AB[[#This Row],[Cen.]]="","",IFERROR(VLOOKUP(RES_AB[[#This Row],[Cen.]],Dados_Empresas[],2,FALSE),"Verificar empresa"))</f>
        <v>TELMEX</v>
      </c>
      <c r="P158" s="37" t="str">
        <f>IF(RES_AB[[#This Row],[Empresa]]="","",IF(OR(RES_AB[[#This Row],[Empresa]]="NET MASSIVO",RES_AB[[#This Row],[Empresa]]="NET PROJETOS"),"NET","EMPRESARIAL"))</f>
        <v>EMPRESARIAL</v>
      </c>
      <c r="Q158" s="37" t="str">
        <f>IF(RES_AB[[#This Row],[Reserva]]="","",IFERROR(VLOOKUP(RES_AB[[#This Row],[Reserva]],Tabela3[[Reserva]:[Descrição do status]],18,FALSE),"CONVENCIONAL"))</f>
        <v>CONVENCIONAL</v>
      </c>
    </row>
    <row r="159" spans="1:17" x14ac:dyDescent="0.25">
      <c r="A159" s="37">
        <v>4382299</v>
      </c>
      <c r="B159" s="37" t="s">
        <v>20</v>
      </c>
      <c r="C159" s="38" t="s">
        <v>314</v>
      </c>
      <c r="D159" s="38">
        <v>45449</v>
      </c>
      <c r="E1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59" s="39">
        <f>IFERROR(VLOOKUP(RES_AB[[#This Row],[Reserva]],Tabela8[[Reserva]:[Usuário]],7,FALSE),Dados!$A$17)</f>
        <v>0.33333333333333331</v>
      </c>
      <c r="G159" s="40">
        <f>IF(RES_AB[[#This Row],[Reserva]]="","",IF(RES_AB[[#This Row],[Hora Int WMS]]&lt;Dados!$A$16,2,2))</f>
        <v>2</v>
      </c>
      <c r="H159" s="40" t="str">
        <f>IF(RES_AB[[#This Row],[Reserva]]="","",IFERROR(VLOOKUP(RES_AB[[#This Row],[Reserva]],Tabela3[[Reserva]:[Condição para Faturamento]],20,FALSE),"IMPORTADO COM SUCESSO"))</f>
        <v>PEDIDO EM LABORATORIO</v>
      </c>
      <c r="I159" s="38">
        <f>IF(RES_AB[[#This Row],[Data base]]="","",WORKDAY(RES_AB[[#This Row],[Data Reserva - Feriado e Fds]],RES_AB[[#This Row],[Dias para atendimento]],Feriados[Data]))</f>
        <v>45453</v>
      </c>
      <c r="J159" s="40" t="str">
        <f ca="1">IF(RES_AB[[#This Row],[Reserva]]="","",CONCATENATE("D+",NETWORKDAYS(RES_AB[[#This Row],[Data Reserva - Feriado e Fds]],TODAY(),Feriados[Data])-1))</f>
        <v>D+1</v>
      </c>
      <c r="K159" s="40" t="str">
        <f ca="1">IF(RES_AB[[#This Row],[Reserva]]="","",CONCATENATE(RES_AB[[#This Row],[Cen.]]," | ",RES_AB[[#This Row],[SLA2]]))</f>
        <v>11XD | D+1</v>
      </c>
      <c r="L159" s="40">
        <f ca="1">IF(RES_AB[[#This Row],[Reserva]]="","",IF(RES_AB[[#This Row],[SLA2]]=RES_AB[[#This Row],[Reserva]]="","",COUNTIF(MB25_VOLUMETRIA[Reserva],RES_AB[[#This Row],[Reserva]])))</f>
        <v>1</v>
      </c>
      <c r="M1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59" s="37" t="str">
        <f>IF(RES_AB[[#This Row],[Cen.]]="","",IFERROR(VLOOKUP(RES_AB[[#This Row],[Cen.]],Dados_Empresas[],2,FALSE),"Verificar empresa"))</f>
        <v>TELMEX</v>
      </c>
      <c r="P159" s="37" t="str">
        <f>IF(RES_AB[[#This Row],[Empresa]]="","",IF(OR(RES_AB[[#This Row],[Empresa]]="NET MASSIVO",RES_AB[[#This Row],[Empresa]]="NET PROJETOS"),"NET","EMPRESARIAL"))</f>
        <v>EMPRESARIAL</v>
      </c>
      <c r="Q159" s="37" t="str">
        <f>IF(RES_AB[[#This Row],[Reserva]]="","",IFERROR(VLOOKUP(RES_AB[[#This Row],[Reserva]],Tabela3[[Reserva]:[Descrição do status]],18,FALSE),"CONVENCIONAL"))</f>
        <v>CONVENCIONAL</v>
      </c>
    </row>
    <row r="160" spans="1:17" x14ac:dyDescent="0.25">
      <c r="A160" s="37">
        <v>4382300</v>
      </c>
      <c r="B160" s="37" t="s">
        <v>20</v>
      </c>
      <c r="C160" s="38" t="s">
        <v>314</v>
      </c>
      <c r="D160" s="38">
        <v>45449</v>
      </c>
      <c r="E1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0" s="39">
        <f>IFERROR(VLOOKUP(RES_AB[[#This Row],[Reserva]],Tabela8[[Reserva]:[Usuário]],7,FALSE),Dados!$A$17)</f>
        <v>0.33333333333333331</v>
      </c>
      <c r="G160" s="40">
        <f>IF(RES_AB[[#This Row],[Reserva]]="","",IF(RES_AB[[#This Row],[Hora Int WMS]]&lt;Dados!$A$16,2,2))</f>
        <v>2</v>
      </c>
      <c r="H160" s="40" t="str">
        <f>IF(RES_AB[[#This Row],[Reserva]]="","",IFERROR(VLOOKUP(RES_AB[[#This Row],[Reserva]],Tabela3[[Reserva]:[Condição para Faturamento]],20,FALSE),"IMPORTADO COM SUCESSO"))</f>
        <v>EM RESSUPRIMENTO</v>
      </c>
      <c r="I160" s="38">
        <f>IF(RES_AB[[#This Row],[Data base]]="","",WORKDAY(RES_AB[[#This Row],[Data Reserva - Feriado e Fds]],RES_AB[[#This Row],[Dias para atendimento]],Feriados[Data]))</f>
        <v>45453</v>
      </c>
      <c r="J160" s="40" t="str">
        <f ca="1">IF(RES_AB[[#This Row],[Reserva]]="","",CONCATENATE("D+",NETWORKDAYS(RES_AB[[#This Row],[Data Reserva - Feriado e Fds]],TODAY(),Feriados[Data])-1))</f>
        <v>D+1</v>
      </c>
      <c r="K160" s="40" t="str">
        <f ca="1">IF(RES_AB[[#This Row],[Reserva]]="","",CONCATENATE(RES_AB[[#This Row],[Cen.]]," | ",RES_AB[[#This Row],[SLA2]]))</f>
        <v>11XD | D+1</v>
      </c>
      <c r="L160" s="40">
        <f ca="1">IF(RES_AB[[#This Row],[Reserva]]="","",IF(RES_AB[[#This Row],[SLA2]]=RES_AB[[#This Row],[Reserva]]="","",COUNTIF(MB25_VOLUMETRIA[Reserva],RES_AB[[#This Row],[Reserva]])))</f>
        <v>1</v>
      </c>
      <c r="M1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0" s="37" t="str">
        <f>IF(RES_AB[[#This Row],[Cen.]]="","",IFERROR(VLOOKUP(RES_AB[[#This Row],[Cen.]],Dados_Empresas[],2,FALSE),"Verificar empresa"))</f>
        <v>TELMEX</v>
      </c>
      <c r="P160" s="37" t="str">
        <f>IF(RES_AB[[#This Row],[Empresa]]="","",IF(OR(RES_AB[[#This Row],[Empresa]]="NET MASSIVO",RES_AB[[#This Row],[Empresa]]="NET PROJETOS"),"NET","EMPRESARIAL"))</f>
        <v>EMPRESARIAL</v>
      </c>
      <c r="Q160" s="37" t="str">
        <f>IF(RES_AB[[#This Row],[Reserva]]="","",IFERROR(VLOOKUP(RES_AB[[#This Row],[Reserva]],Tabela3[[Reserva]:[Descrição do status]],18,FALSE),"CONVENCIONAL"))</f>
        <v>CONVENCIONAL</v>
      </c>
    </row>
    <row r="161" spans="1:17" x14ac:dyDescent="0.25">
      <c r="A161" s="37">
        <v>4382706</v>
      </c>
      <c r="B161" s="37" t="s">
        <v>20</v>
      </c>
      <c r="C161" s="38" t="s">
        <v>314</v>
      </c>
      <c r="D161" s="38">
        <v>45449</v>
      </c>
      <c r="E1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1" s="39">
        <f>IFERROR(VLOOKUP(RES_AB[[#This Row],[Reserva]],Tabela8[[Reserva]:[Usuário]],7,FALSE),Dados!$A$17)</f>
        <v>0.39884259259259258</v>
      </c>
      <c r="G161" s="40">
        <f>IF(RES_AB[[#This Row],[Reserva]]="","",IF(RES_AB[[#This Row],[Hora Int WMS]]&lt;Dados!$A$16,2,2))</f>
        <v>2</v>
      </c>
      <c r="H161" s="40" t="str">
        <f>IF(RES_AB[[#This Row],[Reserva]]="","",IFERROR(VLOOKUP(RES_AB[[#This Row],[Reserva]],Tabela3[[Reserva]:[Condição para Faturamento]],20,FALSE),"IMPORTADO COM SUCESSO"))</f>
        <v>AGUARDANDO SEPARAÇÃO</v>
      </c>
      <c r="I161" s="38">
        <f>IF(RES_AB[[#This Row],[Data base]]="","",WORKDAY(RES_AB[[#This Row],[Data Reserva - Feriado e Fds]],RES_AB[[#This Row],[Dias para atendimento]],Feriados[Data]))</f>
        <v>45453</v>
      </c>
      <c r="J161" s="40" t="str">
        <f ca="1">IF(RES_AB[[#This Row],[Reserva]]="","",CONCATENATE("D+",NETWORKDAYS(RES_AB[[#This Row],[Data Reserva - Feriado e Fds]],TODAY(),Feriados[Data])-1))</f>
        <v>D+1</v>
      </c>
      <c r="K161" s="40" t="str">
        <f ca="1">IF(RES_AB[[#This Row],[Reserva]]="","",CONCATENATE(RES_AB[[#This Row],[Cen.]]," | ",RES_AB[[#This Row],[SLA2]]))</f>
        <v>11XD | D+1</v>
      </c>
      <c r="L161" s="40">
        <f ca="1">IF(RES_AB[[#This Row],[Reserva]]="","",IF(RES_AB[[#This Row],[SLA2]]=RES_AB[[#This Row],[Reserva]]="","",COUNTIF(MB25_VOLUMETRIA[Reserva],RES_AB[[#This Row],[Reserva]])))</f>
        <v>1</v>
      </c>
      <c r="M1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1" s="37" t="str">
        <f>IF(RES_AB[[#This Row],[Cen.]]="","",IFERROR(VLOOKUP(RES_AB[[#This Row],[Cen.]],Dados_Empresas[],2,FALSE),"Verificar empresa"))</f>
        <v>TELMEX</v>
      </c>
      <c r="P161" s="37" t="str">
        <f>IF(RES_AB[[#This Row],[Empresa]]="","",IF(OR(RES_AB[[#This Row],[Empresa]]="NET MASSIVO",RES_AB[[#This Row],[Empresa]]="NET PROJETOS"),"NET","EMPRESARIAL"))</f>
        <v>EMPRESARIAL</v>
      </c>
      <c r="Q161" s="37" t="str">
        <f>IF(RES_AB[[#This Row],[Reserva]]="","",IFERROR(VLOOKUP(RES_AB[[#This Row],[Reserva]],Tabela3[[Reserva]:[Descrição do status]],18,FALSE),"CONVENCIONAL"))</f>
        <v>CONVENCIONAL</v>
      </c>
    </row>
    <row r="162" spans="1:17" x14ac:dyDescent="0.25">
      <c r="A162" s="37">
        <v>4382707</v>
      </c>
      <c r="B162" s="37" t="s">
        <v>20</v>
      </c>
      <c r="C162" s="38" t="s">
        <v>314</v>
      </c>
      <c r="D162" s="38">
        <v>45449</v>
      </c>
      <c r="E1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2" s="39">
        <f>IFERROR(VLOOKUP(RES_AB[[#This Row],[Reserva]],Tabela8[[Reserva]:[Usuário]],7,FALSE),Dados!$A$17)</f>
        <v>0.39895833333333336</v>
      </c>
      <c r="G162" s="40">
        <f>IF(RES_AB[[#This Row],[Reserva]]="","",IF(RES_AB[[#This Row],[Hora Int WMS]]&lt;Dados!$A$16,2,2))</f>
        <v>2</v>
      </c>
      <c r="H162" s="40" t="str">
        <f>IF(RES_AB[[#This Row],[Reserva]]="","",IFERROR(VLOOKUP(RES_AB[[#This Row],[Reserva]],Tabela3[[Reserva]:[Condição para Faturamento]],20,FALSE),"IMPORTADO COM SUCESSO"))</f>
        <v>PEDIDO EM LABORATORIO</v>
      </c>
      <c r="I162" s="38">
        <f>IF(RES_AB[[#This Row],[Data base]]="","",WORKDAY(RES_AB[[#This Row],[Data Reserva - Feriado e Fds]],RES_AB[[#This Row],[Dias para atendimento]],Feriados[Data]))</f>
        <v>45453</v>
      </c>
      <c r="J162" s="40" t="str">
        <f ca="1">IF(RES_AB[[#This Row],[Reserva]]="","",CONCATENATE("D+",NETWORKDAYS(RES_AB[[#This Row],[Data Reserva - Feriado e Fds]],TODAY(),Feriados[Data])-1))</f>
        <v>D+1</v>
      </c>
      <c r="K162" s="40" t="str">
        <f ca="1">IF(RES_AB[[#This Row],[Reserva]]="","",CONCATENATE(RES_AB[[#This Row],[Cen.]]," | ",RES_AB[[#This Row],[SLA2]]))</f>
        <v>11XD | D+1</v>
      </c>
      <c r="L162" s="40">
        <f ca="1">IF(RES_AB[[#This Row],[Reserva]]="","",IF(RES_AB[[#This Row],[SLA2]]=RES_AB[[#This Row],[Reserva]]="","",COUNTIF(MB25_VOLUMETRIA[Reserva],RES_AB[[#This Row],[Reserva]])))</f>
        <v>1</v>
      </c>
      <c r="M1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2" s="37" t="str">
        <f>IF(RES_AB[[#This Row],[Cen.]]="","",IFERROR(VLOOKUP(RES_AB[[#This Row],[Cen.]],Dados_Empresas[],2,FALSE),"Verificar empresa"))</f>
        <v>TELMEX</v>
      </c>
      <c r="P162" s="37" t="str">
        <f>IF(RES_AB[[#This Row],[Empresa]]="","",IF(OR(RES_AB[[#This Row],[Empresa]]="NET MASSIVO",RES_AB[[#This Row],[Empresa]]="NET PROJETOS"),"NET","EMPRESARIAL"))</f>
        <v>EMPRESARIAL</v>
      </c>
      <c r="Q162" s="37" t="str">
        <f>IF(RES_AB[[#This Row],[Reserva]]="","",IFERROR(VLOOKUP(RES_AB[[#This Row],[Reserva]],Tabela3[[Reserva]:[Descrição do status]],18,FALSE),"CONVENCIONAL"))</f>
        <v>CONVENCIONAL</v>
      </c>
    </row>
    <row r="163" spans="1:17" x14ac:dyDescent="0.25">
      <c r="A163" s="37">
        <v>4382708</v>
      </c>
      <c r="B163" s="37" t="s">
        <v>20</v>
      </c>
      <c r="C163" s="38" t="s">
        <v>314</v>
      </c>
      <c r="D163" s="38">
        <v>45449</v>
      </c>
      <c r="E1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3" s="39">
        <f>IFERROR(VLOOKUP(RES_AB[[#This Row],[Reserva]],Tabela8[[Reserva]:[Usuário]],7,FALSE),Dados!$A$17)</f>
        <v>0.33333333333333331</v>
      </c>
      <c r="G163" s="40">
        <f>IF(RES_AB[[#This Row],[Reserva]]="","",IF(RES_AB[[#This Row],[Hora Int WMS]]&lt;Dados!$A$16,2,2))</f>
        <v>2</v>
      </c>
      <c r="H163" s="40" t="str">
        <f>IF(RES_AB[[#This Row],[Reserva]]="","",IFERROR(VLOOKUP(RES_AB[[#This Row],[Reserva]],Tabela3[[Reserva]:[Condição para Faturamento]],20,FALSE),"IMPORTADO COM SUCESSO"))</f>
        <v>AGUARDANDO SEPARAÇÃO</v>
      </c>
      <c r="I163" s="38">
        <f>IF(RES_AB[[#This Row],[Data base]]="","",WORKDAY(RES_AB[[#This Row],[Data Reserva - Feriado e Fds]],RES_AB[[#This Row],[Dias para atendimento]],Feriados[Data]))</f>
        <v>45453</v>
      </c>
      <c r="J163" s="40" t="str">
        <f ca="1">IF(RES_AB[[#This Row],[Reserva]]="","",CONCATENATE("D+",NETWORKDAYS(RES_AB[[#This Row],[Data Reserva - Feriado e Fds]],TODAY(),Feriados[Data])-1))</f>
        <v>D+1</v>
      </c>
      <c r="K163" s="40" t="str">
        <f ca="1">IF(RES_AB[[#This Row],[Reserva]]="","",CONCATENATE(RES_AB[[#This Row],[Cen.]]," | ",RES_AB[[#This Row],[SLA2]]))</f>
        <v>11XD | D+1</v>
      </c>
      <c r="L163" s="40">
        <f ca="1">IF(RES_AB[[#This Row],[Reserva]]="","",IF(RES_AB[[#This Row],[SLA2]]=RES_AB[[#This Row],[Reserva]]="","",COUNTIF(MB25_VOLUMETRIA[Reserva],RES_AB[[#This Row],[Reserva]])))</f>
        <v>1</v>
      </c>
      <c r="M1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3" s="37" t="str">
        <f>IF(RES_AB[[#This Row],[Cen.]]="","",IFERROR(VLOOKUP(RES_AB[[#This Row],[Cen.]],Dados_Empresas[],2,FALSE),"Verificar empresa"))</f>
        <v>TELMEX</v>
      </c>
      <c r="P163" s="37" t="str">
        <f>IF(RES_AB[[#This Row],[Empresa]]="","",IF(OR(RES_AB[[#This Row],[Empresa]]="NET MASSIVO",RES_AB[[#This Row],[Empresa]]="NET PROJETOS"),"NET","EMPRESARIAL"))</f>
        <v>EMPRESARIAL</v>
      </c>
      <c r="Q163" s="37" t="str">
        <f>IF(RES_AB[[#This Row],[Reserva]]="","",IFERROR(VLOOKUP(RES_AB[[#This Row],[Reserva]],Tabela3[[Reserva]:[Descrição do status]],18,FALSE),"CONVENCIONAL"))</f>
        <v>CONVENCIONAL</v>
      </c>
    </row>
    <row r="164" spans="1:17" x14ac:dyDescent="0.25">
      <c r="A164" s="37">
        <v>4382709</v>
      </c>
      <c r="B164" s="37" t="s">
        <v>20</v>
      </c>
      <c r="C164" s="38" t="s">
        <v>314</v>
      </c>
      <c r="D164" s="38">
        <v>45449</v>
      </c>
      <c r="E1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4" s="39">
        <f>IFERROR(VLOOKUP(RES_AB[[#This Row],[Reserva]],Tabela8[[Reserva]:[Usuário]],7,FALSE),Dados!$A$17)</f>
        <v>0.39907407407407408</v>
      </c>
      <c r="G164" s="40">
        <f>IF(RES_AB[[#This Row],[Reserva]]="","",IF(RES_AB[[#This Row],[Hora Int WMS]]&lt;Dados!$A$16,2,2))</f>
        <v>2</v>
      </c>
      <c r="H164" s="40" t="str">
        <f>IF(RES_AB[[#This Row],[Reserva]]="","",IFERROR(VLOOKUP(RES_AB[[#This Row],[Reserva]],Tabela3[[Reserva]:[Condição para Faturamento]],20,FALSE),"IMPORTADO COM SUCESSO"))</f>
        <v>PEDIDO EM LABORATORIO</v>
      </c>
      <c r="I164" s="38">
        <f>IF(RES_AB[[#This Row],[Data base]]="","",WORKDAY(RES_AB[[#This Row],[Data Reserva - Feriado e Fds]],RES_AB[[#This Row],[Dias para atendimento]],Feriados[Data]))</f>
        <v>45453</v>
      </c>
      <c r="J164" s="40" t="str">
        <f ca="1">IF(RES_AB[[#This Row],[Reserva]]="","",CONCATENATE("D+",NETWORKDAYS(RES_AB[[#This Row],[Data Reserva - Feriado e Fds]],TODAY(),Feriados[Data])-1))</f>
        <v>D+1</v>
      </c>
      <c r="K164" s="40" t="str">
        <f ca="1">IF(RES_AB[[#This Row],[Reserva]]="","",CONCATENATE(RES_AB[[#This Row],[Cen.]]," | ",RES_AB[[#This Row],[SLA2]]))</f>
        <v>11XD | D+1</v>
      </c>
      <c r="L164" s="40">
        <f ca="1">IF(RES_AB[[#This Row],[Reserva]]="","",IF(RES_AB[[#This Row],[SLA2]]=RES_AB[[#This Row],[Reserva]]="","",COUNTIF(MB25_VOLUMETRIA[Reserva],RES_AB[[#This Row],[Reserva]])))</f>
        <v>1</v>
      </c>
      <c r="M1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4" s="37" t="str">
        <f>IF(RES_AB[[#This Row],[Cen.]]="","",IFERROR(VLOOKUP(RES_AB[[#This Row],[Cen.]],Dados_Empresas[],2,FALSE),"Verificar empresa"))</f>
        <v>TELMEX</v>
      </c>
      <c r="P164" s="37" t="str">
        <f>IF(RES_AB[[#This Row],[Empresa]]="","",IF(OR(RES_AB[[#This Row],[Empresa]]="NET MASSIVO",RES_AB[[#This Row],[Empresa]]="NET PROJETOS"),"NET","EMPRESARIAL"))</f>
        <v>EMPRESARIAL</v>
      </c>
      <c r="Q164" s="37" t="str">
        <f>IF(RES_AB[[#This Row],[Reserva]]="","",IFERROR(VLOOKUP(RES_AB[[#This Row],[Reserva]],Tabela3[[Reserva]:[Descrição do status]],18,FALSE),"CONVENCIONAL"))</f>
        <v>CONVENCIONAL</v>
      </c>
    </row>
    <row r="165" spans="1:17" x14ac:dyDescent="0.25">
      <c r="A165" s="37">
        <v>4382710</v>
      </c>
      <c r="B165" s="37" t="s">
        <v>20</v>
      </c>
      <c r="C165" s="38" t="s">
        <v>314</v>
      </c>
      <c r="D165" s="38">
        <v>45449</v>
      </c>
      <c r="E1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5" s="39">
        <f>IFERROR(VLOOKUP(RES_AB[[#This Row],[Reserva]],Tabela8[[Reserva]:[Usuário]],7,FALSE),Dados!$A$17)</f>
        <v>0.33333333333333331</v>
      </c>
      <c r="G165" s="40">
        <f>IF(RES_AB[[#This Row],[Reserva]]="","",IF(RES_AB[[#This Row],[Hora Int WMS]]&lt;Dados!$A$16,2,2))</f>
        <v>2</v>
      </c>
      <c r="H165" s="40" t="str">
        <f>IF(RES_AB[[#This Row],[Reserva]]="","",IFERROR(VLOOKUP(RES_AB[[#This Row],[Reserva]],Tabela3[[Reserva]:[Condição para Faturamento]],20,FALSE),"IMPORTADO COM SUCESSO"))</f>
        <v>PEDIDO EM LABORATORIO</v>
      </c>
      <c r="I165" s="38">
        <f>IF(RES_AB[[#This Row],[Data base]]="","",WORKDAY(RES_AB[[#This Row],[Data Reserva - Feriado e Fds]],RES_AB[[#This Row],[Dias para atendimento]],Feriados[Data]))</f>
        <v>45453</v>
      </c>
      <c r="J165" s="40" t="str">
        <f ca="1">IF(RES_AB[[#This Row],[Reserva]]="","",CONCATENATE("D+",NETWORKDAYS(RES_AB[[#This Row],[Data Reserva - Feriado e Fds]],TODAY(),Feriados[Data])-1))</f>
        <v>D+1</v>
      </c>
      <c r="K165" s="40" t="str">
        <f ca="1">IF(RES_AB[[#This Row],[Reserva]]="","",CONCATENATE(RES_AB[[#This Row],[Cen.]]," | ",RES_AB[[#This Row],[SLA2]]))</f>
        <v>11XD | D+1</v>
      </c>
      <c r="L165" s="40">
        <f ca="1">IF(RES_AB[[#This Row],[Reserva]]="","",IF(RES_AB[[#This Row],[SLA2]]=RES_AB[[#This Row],[Reserva]]="","",COUNTIF(MB25_VOLUMETRIA[Reserva],RES_AB[[#This Row],[Reserva]])))</f>
        <v>1</v>
      </c>
      <c r="M1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5" s="37" t="str">
        <f>IF(RES_AB[[#This Row],[Cen.]]="","",IFERROR(VLOOKUP(RES_AB[[#This Row],[Cen.]],Dados_Empresas[],2,FALSE),"Verificar empresa"))</f>
        <v>TELMEX</v>
      </c>
      <c r="P165" s="37" t="str">
        <f>IF(RES_AB[[#This Row],[Empresa]]="","",IF(OR(RES_AB[[#This Row],[Empresa]]="NET MASSIVO",RES_AB[[#This Row],[Empresa]]="NET PROJETOS"),"NET","EMPRESARIAL"))</f>
        <v>EMPRESARIAL</v>
      </c>
      <c r="Q165" s="37" t="str">
        <f>IF(RES_AB[[#This Row],[Reserva]]="","",IFERROR(VLOOKUP(RES_AB[[#This Row],[Reserva]],Tabela3[[Reserva]:[Descrição do status]],18,FALSE),"CONVENCIONAL"))</f>
        <v>CONVENCIONAL</v>
      </c>
    </row>
    <row r="166" spans="1:17" x14ac:dyDescent="0.25">
      <c r="A166" s="37">
        <v>4382711</v>
      </c>
      <c r="B166" s="37" t="s">
        <v>20</v>
      </c>
      <c r="C166" s="38" t="s">
        <v>314</v>
      </c>
      <c r="D166" s="38">
        <v>45449</v>
      </c>
      <c r="E1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6" s="39">
        <f>IFERROR(VLOOKUP(RES_AB[[#This Row],[Reserva]],Tabela8[[Reserva]:[Usuário]],7,FALSE),Dados!$A$17)</f>
        <v>0.33333333333333331</v>
      </c>
      <c r="G166" s="40">
        <f>IF(RES_AB[[#This Row],[Reserva]]="","",IF(RES_AB[[#This Row],[Hora Int WMS]]&lt;Dados!$A$16,2,2))</f>
        <v>2</v>
      </c>
      <c r="H166" s="40" t="str">
        <f>IF(RES_AB[[#This Row],[Reserva]]="","",IFERROR(VLOOKUP(RES_AB[[#This Row],[Reserva]],Tabela3[[Reserva]:[Condição para Faturamento]],20,FALSE),"IMPORTADO COM SUCESSO"))</f>
        <v>PEDIDO EM LABORATORIO</v>
      </c>
      <c r="I166" s="38">
        <f>IF(RES_AB[[#This Row],[Data base]]="","",WORKDAY(RES_AB[[#This Row],[Data Reserva - Feriado e Fds]],RES_AB[[#This Row],[Dias para atendimento]],Feriados[Data]))</f>
        <v>45453</v>
      </c>
      <c r="J166" s="40" t="str">
        <f ca="1">IF(RES_AB[[#This Row],[Reserva]]="","",CONCATENATE("D+",NETWORKDAYS(RES_AB[[#This Row],[Data Reserva - Feriado e Fds]],TODAY(),Feriados[Data])-1))</f>
        <v>D+1</v>
      </c>
      <c r="K166" s="40" t="str">
        <f ca="1">IF(RES_AB[[#This Row],[Reserva]]="","",CONCATENATE(RES_AB[[#This Row],[Cen.]]," | ",RES_AB[[#This Row],[SLA2]]))</f>
        <v>11XD | D+1</v>
      </c>
      <c r="L166" s="40">
        <f ca="1">IF(RES_AB[[#This Row],[Reserva]]="","",IF(RES_AB[[#This Row],[SLA2]]=RES_AB[[#This Row],[Reserva]]="","",COUNTIF(MB25_VOLUMETRIA[Reserva],RES_AB[[#This Row],[Reserva]])))</f>
        <v>1</v>
      </c>
      <c r="M1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6" s="37" t="str">
        <f>IF(RES_AB[[#This Row],[Cen.]]="","",IFERROR(VLOOKUP(RES_AB[[#This Row],[Cen.]],Dados_Empresas[],2,FALSE),"Verificar empresa"))</f>
        <v>TELMEX</v>
      </c>
      <c r="P166" s="37" t="str">
        <f>IF(RES_AB[[#This Row],[Empresa]]="","",IF(OR(RES_AB[[#This Row],[Empresa]]="NET MASSIVO",RES_AB[[#This Row],[Empresa]]="NET PROJETOS"),"NET","EMPRESARIAL"))</f>
        <v>EMPRESARIAL</v>
      </c>
      <c r="Q166" s="37" t="str">
        <f>IF(RES_AB[[#This Row],[Reserva]]="","",IFERROR(VLOOKUP(RES_AB[[#This Row],[Reserva]],Tabela3[[Reserva]:[Descrição do status]],18,FALSE),"CONVENCIONAL"))</f>
        <v>CONVENCIONAL</v>
      </c>
    </row>
    <row r="167" spans="1:17" x14ac:dyDescent="0.25">
      <c r="A167" s="37">
        <v>4382712</v>
      </c>
      <c r="B167" s="37" t="s">
        <v>20</v>
      </c>
      <c r="C167" s="38" t="s">
        <v>314</v>
      </c>
      <c r="D167" s="38">
        <v>45449</v>
      </c>
      <c r="E1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7" s="39">
        <f>IFERROR(VLOOKUP(RES_AB[[#This Row],[Reserva]],Tabela8[[Reserva]:[Usuário]],7,FALSE),Dados!$A$17)</f>
        <v>0.33333333333333331</v>
      </c>
      <c r="G167" s="40">
        <f>IF(RES_AB[[#This Row],[Reserva]]="","",IF(RES_AB[[#This Row],[Hora Int WMS]]&lt;Dados!$A$16,2,2))</f>
        <v>2</v>
      </c>
      <c r="H167" s="40" t="str">
        <f>IF(RES_AB[[#This Row],[Reserva]]="","",IFERROR(VLOOKUP(RES_AB[[#This Row],[Reserva]],Tabela3[[Reserva]:[Condição para Faturamento]],20,FALSE),"IMPORTADO COM SUCESSO"))</f>
        <v>PEDIDO EM LABORATORIO</v>
      </c>
      <c r="I167" s="38">
        <f>IF(RES_AB[[#This Row],[Data base]]="","",WORKDAY(RES_AB[[#This Row],[Data Reserva - Feriado e Fds]],RES_AB[[#This Row],[Dias para atendimento]],Feriados[Data]))</f>
        <v>45453</v>
      </c>
      <c r="J167" s="40" t="str">
        <f ca="1">IF(RES_AB[[#This Row],[Reserva]]="","",CONCATENATE("D+",NETWORKDAYS(RES_AB[[#This Row],[Data Reserva - Feriado e Fds]],TODAY(),Feriados[Data])-1))</f>
        <v>D+1</v>
      </c>
      <c r="K167" s="40" t="str">
        <f ca="1">IF(RES_AB[[#This Row],[Reserva]]="","",CONCATENATE(RES_AB[[#This Row],[Cen.]]," | ",RES_AB[[#This Row],[SLA2]]))</f>
        <v>11XD | D+1</v>
      </c>
      <c r="L167" s="40">
        <f ca="1">IF(RES_AB[[#This Row],[Reserva]]="","",IF(RES_AB[[#This Row],[SLA2]]=RES_AB[[#This Row],[Reserva]]="","",COUNTIF(MB25_VOLUMETRIA[Reserva],RES_AB[[#This Row],[Reserva]])))</f>
        <v>1</v>
      </c>
      <c r="M1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7" s="37" t="str">
        <f>IF(RES_AB[[#This Row],[Cen.]]="","",IFERROR(VLOOKUP(RES_AB[[#This Row],[Cen.]],Dados_Empresas[],2,FALSE),"Verificar empresa"))</f>
        <v>TELMEX</v>
      </c>
      <c r="P167" s="37" t="str">
        <f>IF(RES_AB[[#This Row],[Empresa]]="","",IF(OR(RES_AB[[#This Row],[Empresa]]="NET MASSIVO",RES_AB[[#This Row],[Empresa]]="NET PROJETOS"),"NET","EMPRESARIAL"))</f>
        <v>EMPRESARIAL</v>
      </c>
      <c r="Q167" s="37" t="str">
        <f>IF(RES_AB[[#This Row],[Reserva]]="","",IFERROR(VLOOKUP(RES_AB[[#This Row],[Reserva]],Tabela3[[Reserva]:[Descrição do status]],18,FALSE),"CONVENCIONAL"))</f>
        <v>CONVENCIONAL</v>
      </c>
    </row>
    <row r="168" spans="1:17" x14ac:dyDescent="0.25">
      <c r="A168" s="37">
        <v>4382713</v>
      </c>
      <c r="B168" s="37" t="s">
        <v>20</v>
      </c>
      <c r="C168" s="38" t="s">
        <v>419</v>
      </c>
      <c r="D168" s="38">
        <v>45449</v>
      </c>
      <c r="E1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8" s="39">
        <f>IFERROR(VLOOKUP(RES_AB[[#This Row],[Reserva]],Tabela8[[Reserva]:[Usuário]],7,FALSE),Dados!$A$17)</f>
        <v>0.33333333333333331</v>
      </c>
      <c r="G168" s="40">
        <f>IF(RES_AB[[#This Row],[Reserva]]="","",IF(RES_AB[[#This Row],[Hora Int WMS]]&lt;Dados!$A$16,2,2))</f>
        <v>2</v>
      </c>
      <c r="H168" s="40" t="str">
        <f>IF(RES_AB[[#This Row],[Reserva]]="","",IFERROR(VLOOKUP(RES_AB[[#This Row],[Reserva]],Tabela3[[Reserva]:[Condição para Faturamento]],20,FALSE),"IMPORTADO COM SUCESSO"))</f>
        <v>IMPORTADO</v>
      </c>
      <c r="I168" s="38">
        <f>IF(RES_AB[[#This Row],[Data base]]="","",WORKDAY(RES_AB[[#This Row],[Data Reserva - Feriado e Fds]],RES_AB[[#This Row],[Dias para atendimento]],Feriados[Data]))</f>
        <v>45453</v>
      </c>
      <c r="J168" s="40" t="str">
        <f ca="1">IF(RES_AB[[#This Row],[Reserva]]="","",CONCATENATE("D+",NETWORKDAYS(RES_AB[[#This Row],[Data Reserva - Feriado e Fds]],TODAY(),Feriados[Data])-1))</f>
        <v>D+1</v>
      </c>
      <c r="K168" s="40" t="str">
        <f ca="1">IF(RES_AB[[#This Row],[Reserva]]="","",CONCATENATE(RES_AB[[#This Row],[Cen.]]," | ",RES_AB[[#This Row],[SLA2]]))</f>
        <v>11XD | D+1</v>
      </c>
      <c r="L168" s="40">
        <f ca="1">IF(RES_AB[[#This Row],[Reserva]]="","",IF(RES_AB[[#This Row],[SLA2]]=RES_AB[[#This Row],[Reserva]]="","",COUNTIF(MB25_VOLUMETRIA[Reserva],RES_AB[[#This Row],[Reserva]])))</f>
        <v>1</v>
      </c>
      <c r="M1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8" s="37" t="str">
        <f>IF(RES_AB[[#This Row],[Cen.]]="","",IFERROR(VLOOKUP(RES_AB[[#This Row],[Cen.]],Dados_Empresas[],2,FALSE),"Verificar empresa"))</f>
        <v>TELMEX</v>
      </c>
      <c r="P168" s="37" t="str">
        <f>IF(RES_AB[[#This Row],[Empresa]]="","",IF(OR(RES_AB[[#This Row],[Empresa]]="NET MASSIVO",RES_AB[[#This Row],[Empresa]]="NET PROJETOS"),"NET","EMPRESARIAL"))</f>
        <v>EMPRESARIAL</v>
      </c>
      <c r="Q168" s="37" t="str">
        <f>IF(RES_AB[[#This Row],[Reserva]]="","",IFERROR(VLOOKUP(RES_AB[[#This Row],[Reserva]],Tabela3[[Reserva]:[Descrição do status]],18,FALSE),"CONVENCIONAL"))</f>
        <v>CONVENCIONAL</v>
      </c>
    </row>
    <row r="169" spans="1:17" x14ac:dyDescent="0.25">
      <c r="A169" s="37">
        <v>4382714</v>
      </c>
      <c r="B169" s="37" t="s">
        <v>20</v>
      </c>
      <c r="C169" s="38" t="s">
        <v>314</v>
      </c>
      <c r="D169" s="38">
        <v>45449</v>
      </c>
      <c r="E1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69" s="39">
        <f>IFERROR(VLOOKUP(RES_AB[[#This Row],[Reserva]],Tabela8[[Reserva]:[Usuário]],7,FALSE),Dados!$A$17)</f>
        <v>0.33333333333333331</v>
      </c>
      <c r="G169" s="40">
        <f>IF(RES_AB[[#This Row],[Reserva]]="","",IF(RES_AB[[#This Row],[Hora Int WMS]]&lt;Dados!$A$16,2,2))</f>
        <v>2</v>
      </c>
      <c r="H169" s="40" t="str">
        <f>IF(RES_AB[[#This Row],[Reserva]]="","",IFERROR(VLOOKUP(RES_AB[[#This Row],[Reserva]],Tabela3[[Reserva]:[Condição para Faturamento]],20,FALSE),"IMPORTADO COM SUCESSO"))</f>
        <v>PEDIDO EM LABORATORIO</v>
      </c>
      <c r="I169" s="38">
        <f>IF(RES_AB[[#This Row],[Data base]]="","",WORKDAY(RES_AB[[#This Row],[Data Reserva - Feriado e Fds]],RES_AB[[#This Row],[Dias para atendimento]],Feriados[Data]))</f>
        <v>45453</v>
      </c>
      <c r="J169" s="40" t="str">
        <f ca="1">IF(RES_AB[[#This Row],[Reserva]]="","",CONCATENATE("D+",NETWORKDAYS(RES_AB[[#This Row],[Data Reserva - Feriado e Fds]],TODAY(),Feriados[Data])-1))</f>
        <v>D+1</v>
      </c>
      <c r="K169" s="40" t="str">
        <f ca="1">IF(RES_AB[[#This Row],[Reserva]]="","",CONCATENATE(RES_AB[[#This Row],[Cen.]]," | ",RES_AB[[#This Row],[SLA2]]))</f>
        <v>11XD | D+1</v>
      </c>
      <c r="L169" s="40">
        <f ca="1">IF(RES_AB[[#This Row],[Reserva]]="","",IF(RES_AB[[#This Row],[SLA2]]=RES_AB[[#This Row],[Reserva]]="","",COUNTIF(MB25_VOLUMETRIA[Reserva],RES_AB[[#This Row],[Reserva]])))</f>
        <v>1</v>
      </c>
      <c r="M1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69" s="37" t="str">
        <f>IF(RES_AB[[#This Row],[Cen.]]="","",IFERROR(VLOOKUP(RES_AB[[#This Row],[Cen.]],Dados_Empresas[],2,FALSE),"Verificar empresa"))</f>
        <v>TELMEX</v>
      </c>
      <c r="P169" s="37" t="str">
        <f>IF(RES_AB[[#This Row],[Empresa]]="","",IF(OR(RES_AB[[#This Row],[Empresa]]="NET MASSIVO",RES_AB[[#This Row],[Empresa]]="NET PROJETOS"),"NET","EMPRESARIAL"))</f>
        <v>EMPRESARIAL</v>
      </c>
      <c r="Q169" s="37" t="str">
        <f>IF(RES_AB[[#This Row],[Reserva]]="","",IFERROR(VLOOKUP(RES_AB[[#This Row],[Reserva]],Tabela3[[Reserva]:[Descrição do status]],18,FALSE),"CONVENCIONAL"))</f>
        <v>CONVENCIONAL</v>
      </c>
    </row>
    <row r="170" spans="1:17" x14ac:dyDescent="0.25">
      <c r="A170" s="37">
        <v>4382715</v>
      </c>
      <c r="B170" s="37" t="s">
        <v>20</v>
      </c>
      <c r="C170" s="38" t="s">
        <v>314</v>
      </c>
      <c r="D170" s="38">
        <v>45449</v>
      </c>
      <c r="E1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0" s="39">
        <f>IFERROR(VLOOKUP(RES_AB[[#This Row],[Reserva]],Tabela8[[Reserva]:[Usuário]],7,FALSE),Dados!$A$17)</f>
        <v>0.33333333333333331</v>
      </c>
      <c r="G170" s="40">
        <f>IF(RES_AB[[#This Row],[Reserva]]="","",IF(RES_AB[[#This Row],[Hora Int WMS]]&lt;Dados!$A$16,2,2))</f>
        <v>2</v>
      </c>
      <c r="H170" s="40" t="str">
        <f>IF(RES_AB[[#This Row],[Reserva]]="","",IFERROR(VLOOKUP(RES_AB[[#This Row],[Reserva]],Tabela3[[Reserva]:[Condição para Faturamento]],20,FALSE),"IMPORTADO COM SUCESSO"))</f>
        <v>PEDIDO EM LABORATORIO</v>
      </c>
      <c r="I170" s="38">
        <f>IF(RES_AB[[#This Row],[Data base]]="","",WORKDAY(RES_AB[[#This Row],[Data Reserva - Feriado e Fds]],RES_AB[[#This Row],[Dias para atendimento]],Feriados[Data]))</f>
        <v>45453</v>
      </c>
      <c r="J170" s="40" t="str">
        <f ca="1">IF(RES_AB[[#This Row],[Reserva]]="","",CONCATENATE("D+",NETWORKDAYS(RES_AB[[#This Row],[Data Reserva - Feriado e Fds]],TODAY(),Feriados[Data])-1))</f>
        <v>D+1</v>
      </c>
      <c r="K170" s="40" t="str">
        <f ca="1">IF(RES_AB[[#This Row],[Reserva]]="","",CONCATENATE(RES_AB[[#This Row],[Cen.]]," | ",RES_AB[[#This Row],[SLA2]]))</f>
        <v>11XD | D+1</v>
      </c>
      <c r="L170" s="40">
        <f ca="1">IF(RES_AB[[#This Row],[Reserva]]="","",IF(RES_AB[[#This Row],[SLA2]]=RES_AB[[#This Row],[Reserva]]="","",COUNTIF(MB25_VOLUMETRIA[Reserva],RES_AB[[#This Row],[Reserva]])))</f>
        <v>1</v>
      </c>
      <c r="M1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0" s="37" t="str">
        <f>IF(RES_AB[[#This Row],[Cen.]]="","",IFERROR(VLOOKUP(RES_AB[[#This Row],[Cen.]],Dados_Empresas[],2,FALSE),"Verificar empresa"))</f>
        <v>TELMEX</v>
      </c>
      <c r="P170" s="37" t="str">
        <f>IF(RES_AB[[#This Row],[Empresa]]="","",IF(OR(RES_AB[[#This Row],[Empresa]]="NET MASSIVO",RES_AB[[#This Row],[Empresa]]="NET PROJETOS"),"NET","EMPRESARIAL"))</f>
        <v>EMPRESARIAL</v>
      </c>
      <c r="Q170" s="37" t="str">
        <f>IF(RES_AB[[#This Row],[Reserva]]="","",IFERROR(VLOOKUP(RES_AB[[#This Row],[Reserva]],Tabela3[[Reserva]:[Descrição do status]],18,FALSE),"CONVENCIONAL"))</f>
        <v>CONVENCIONAL</v>
      </c>
    </row>
    <row r="171" spans="1:17" x14ac:dyDescent="0.25">
      <c r="A171" s="37">
        <v>4382716</v>
      </c>
      <c r="B171" s="37" t="s">
        <v>20</v>
      </c>
      <c r="C171" s="38" t="s">
        <v>314</v>
      </c>
      <c r="D171" s="38">
        <v>45449</v>
      </c>
      <c r="E1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1" s="39">
        <f>IFERROR(VLOOKUP(RES_AB[[#This Row],[Reserva]],Tabela8[[Reserva]:[Usuário]],7,FALSE),Dados!$A$17)</f>
        <v>0.33333333333333331</v>
      </c>
      <c r="G171" s="40">
        <f>IF(RES_AB[[#This Row],[Reserva]]="","",IF(RES_AB[[#This Row],[Hora Int WMS]]&lt;Dados!$A$16,2,2))</f>
        <v>2</v>
      </c>
      <c r="H171" s="40" t="str">
        <f>IF(RES_AB[[#This Row],[Reserva]]="","",IFERROR(VLOOKUP(RES_AB[[#This Row],[Reserva]],Tabela3[[Reserva]:[Condição para Faturamento]],20,FALSE),"IMPORTADO COM SUCESSO"))</f>
        <v>PEDIDO EM LABORATORIO</v>
      </c>
      <c r="I171" s="38">
        <f>IF(RES_AB[[#This Row],[Data base]]="","",WORKDAY(RES_AB[[#This Row],[Data Reserva - Feriado e Fds]],RES_AB[[#This Row],[Dias para atendimento]],Feriados[Data]))</f>
        <v>45453</v>
      </c>
      <c r="J171" s="40" t="str">
        <f ca="1">IF(RES_AB[[#This Row],[Reserva]]="","",CONCATENATE("D+",NETWORKDAYS(RES_AB[[#This Row],[Data Reserva - Feriado e Fds]],TODAY(),Feriados[Data])-1))</f>
        <v>D+1</v>
      </c>
      <c r="K171" s="40" t="str">
        <f ca="1">IF(RES_AB[[#This Row],[Reserva]]="","",CONCATENATE(RES_AB[[#This Row],[Cen.]]," | ",RES_AB[[#This Row],[SLA2]]))</f>
        <v>11XD | D+1</v>
      </c>
      <c r="L171" s="40">
        <f ca="1">IF(RES_AB[[#This Row],[Reserva]]="","",IF(RES_AB[[#This Row],[SLA2]]=RES_AB[[#This Row],[Reserva]]="","",COUNTIF(MB25_VOLUMETRIA[Reserva],RES_AB[[#This Row],[Reserva]])))</f>
        <v>1</v>
      </c>
      <c r="M1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1" s="37" t="str">
        <f>IF(RES_AB[[#This Row],[Cen.]]="","",IFERROR(VLOOKUP(RES_AB[[#This Row],[Cen.]],Dados_Empresas[],2,FALSE),"Verificar empresa"))</f>
        <v>TELMEX</v>
      </c>
      <c r="P171" s="37" t="str">
        <f>IF(RES_AB[[#This Row],[Empresa]]="","",IF(OR(RES_AB[[#This Row],[Empresa]]="NET MASSIVO",RES_AB[[#This Row],[Empresa]]="NET PROJETOS"),"NET","EMPRESARIAL"))</f>
        <v>EMPRESARIAL</v>
      </c>
      <c r="Q171" s="37" t="str">
        <f>IF(RES_AB[[#This Row],[Reserva]]="","",IFERROR(VLOOKUP(RES_AB[[#This Row],[Reserva]],Tabela3[[Reserva]:[Descrição do status]],18,FALSE),"CONVENCIONAL"))</f>
        <v>CONVENCIONAL</v>
      </c>
    </row>
    <row r="172" spans="1:17" x14ac:dyDescent="0.25">
      <c r="A172" s="37">
        <v>4382718</v>
      </c>
      <c r="B172" s="37" t="s">
        <v>20</v>
      </c>
      <c r="C172" s="38" t="s">
        <v>314</v>
      </c>
      <c r="D172" s="38">
        <v>45449</v>
      </c>
      <c r="E1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2" s="39">
        <f>IFERROR(VLOOKUP(RES_AB[[#This Row],[Reserva]],Tabela8[[Reserva]:[Usuário]],7,FALSE),Dados!$A$17)</f>
        <v>0.33333333333333331</v>
      </c>
      <c r="G172" s="40">
        <f>IF(RES_AB[[#This Row],[Reserva]]="","",IF(RES_AB[[#This Row],[Hora Int WMS]]&lt;Dados!$A$16,2,2))</f>
        <v>2</v>
      </c>
      <c r="H172" s="40" t="str">
        <f>IF(RES_AB[[#This Row],[Reserva]]="","",IFERROR(VLOOKUP(RES_AB[[#This Row],[Reserva]],Tabela3[[Reserva]:[Condição para Faturamento]],20,FALSE),"IMPORTADO COM SUCESSO"))</f>
        <v>PEDIDO EM LABORATORIO</v>
      </c>
      <c r="I172" s="38">
        <f>IF(RES_AB[[#This Row],[Data base]]="","",WORKDAY(RES_AB[[#This Row],[Data Reserva - Feriado e Fds]],RES_AB[[#This Row],[Dias para atendimento]],Feriados[Data]))</f>
        <v>45453</v>
      </c>
      <c r="J172" s="40" t="str">
        <f ca="1">IF(RES_AB[[#This Row],[Reserva]]="","",CONCATENATE("D+",NETWORKDAYS(RES_AB[[#This Row],[Data Reserva - Feriado e Fds]],TODAY(),Feriados[Data])-1))</f>
        <v>D+1</v>
      </c>
      <c r="K172" s="40" t="str">
        <f ca="1">IF(RES_AB[[#This Row],[Reserva]]="","",CONCATENATE(RES_AB[[#This Row],[Cen.]]," | ",RES_AB[[#This Row],[SLA2]]))</f>
        <v>11XD | D+1</v>
      </c>
      <c r="L172" s="40">
        <f ca="1">IF(RES_AB[[#This Row],[Reserva]]="","",IF(RES_AB[[#This Row],[SLA2]]=RES_AB[[#This Row],[Reserva]]="","",COUNTIF(MB25_VOLUMETRIA[Reserva],RES_AB[[#This Row],[Reserva]])))</f>
        <v>1</v>
      </c>
      <c r="M1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2" s="37" t="str">
        <f>IF(RES_AB[[#This Row],[Cen.]]="","",IFERROR(VLOOKUP(RES_AB[[#This Row],[Cen.]],Dados_Empresas[],2,FALSE),"Verificar empresa"))</f>
        <v>TELMEX</v>
      </c>
      <c r="P172" s="37" t="str">
        <f>IF(RES_AB[[#This Row],[Empresa]]="","",IF(OR(RES_AB[[#This Row],[Empresa]]="NET MASSIVO",RES_AB[[#This Row],[Empresa]]="NET PROJETOS"),"NET","EMPRESARIAL"))</f>
        <v>EMPRESARIAL</v>
      </c>
      <c r="Q172" s="37" t="str">
        <f>IF(RES_AB[[#This Row],[Reserva]]="","",IFERROR(VLOOKUP(RES_AB[[#This Row],[Reserva]],Tabela3[[Reserva]:[Descrição do status]],18,FALSE),"CONVENCIONAL"))</f>
        <v>CONVENCIONAL</v>
      </c>
    </row>
    <row r="173" spans="1:17" x14ac:dyDescent="0.25">
      <c r="A173" s="37">
        <v>4382719</v>
      </c>
      <c r="B173" s="37" t="s">
        <v>20</v>
      </c>
      <c r="C173" s="38" t="s">
        <v>314</v>
      </c>
      <c r="D173" s="38">
        <v>45449</v>
      </c>
      <c r="E1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3" s="39">
        <f>IFERROR(VLOOKUP(RES_AB[[#This Row],[Reserva]],Tabela8[[Reserva]:[Usuário]],7,FALSE),Dados!$A$17)</f>
        <v>0.33333333333333331</v>
      </c>
      <c r="G173" s="40">
        <f>IF(RES_AB[[#This Row],[Reserva]]="","",IF(RES_AB[[#This Row],[Hora Int WMS]]&lt;Dados!$A$16,2,2))</f>
        <v>2</v>
      </c>
      <c r="H173" s="40" t="str">
        <f>IF(RES_AB[[#This Row],[Reserva]]="","",IFERROR(VLOOKUP(RES_AB[[#This Row],[Reserva]],Tabela3[[Reserva]:[Condição para Faturamento]],20,FALSE),"IMPORTADO COM SUCESSO"))</f>
        <v>PEDIDO EM LABORATORIO</v>
      </c>
      <c r="I173" s="38">
        <f>IF(RES_AB[[#This Row],[Data base]]="","",WORKDAY(RES_AB[[#This Row],[Data Reserva - Feriado e Fds]],RES_AB[[#This Row],[Dias para atendimento]],Feriados[Data]))</f>
        <v>45453</v>
      </c>
      <c r="J173" s="40" t="str">
        <f ca="1">IF(RES_AB[[#This Row],[Reserva]]="","",CONCATENATE("D+",NETWORKDAYS(RES_AB[[#This Row],[Data Reserva - Feriado e Fds]],TODAY(),Feriados[Data])-1))</f>
        <v>D+1</v>
      </c>
      <c r="K173" s="40" t="str">
        <f ca="1">IF(RES_AB[[#This Row],[Reserva]]="","",CONCATENATE(RES_AB[[#This Row],[Cen.]]," | ",RES_AB[[#This Row],[SLA2]]))</f>
        <v>11XD | D+1</v>
      </c>
      <c r="L173" s="40">
        <f ca="1">IF(RES_AB[[#This Row],[Reserva]]="","",IF(RES_AB[[#This Row],[SLA2]]=RES_AB[[#This Row],[Reserva]]="","",COUNTIF(MB25_VOLUMETRIA[Reserva],RES_AB[[#This Row],[Reserva]])))</f>
        <v>1</v>
      </c>
      <c r="M1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3" s="37" t="str">
        <f>IF(RES_AB[[#This Row],[Cen.]]="","",IFERROR(VLOOKUP(RES_AB[[#This Row],[Cen.]],Dados_Empresas[],2,FALSE),"Verificar empresa"))</f>
        <v>TELMEX</v>
      </c>
      <c r="P173" s="37" t="str">
        <f>IF(RES_AB[[#This Row],[Empresa]]="","",IF(OR(RES_AB[[#This Row],[Empresa]]="NET MASSIVO",RES_AB[[#This Row],[Empresa]]="NET PROJETOS"),"NET","EMPRESARIAL"))</f>
        <v>EMPRESARIAL</v>
      </c>
      <c r="Q173" s="37" t="str">
        <f>IF(RES_AB[[#This Row],[Reserva]]="","",IFERROR(VLOOKUP(RES_AB[[#This Row],[Reserva]],Tabela3[[Reserva]:[Descrição do status]],18,FALSE),"CONVENCIONAL"))</f>
        <v>CONVENCIONAL</v>
      </c>
    </row>
    <row r="174" spans="1:17" x14ac:dyDescent="0.25">
      <c r="A174" s="37">
        <v>4382720</v>
      </c>
      <c r="B174" s="37" t="s">
        <v>20</v>
      </c>
      <c r="C174" s="38" t="s">
        <v>314</v>
      </c>
      <c r="D174" s="38">
        <v>45449</v>
      </c>
      <c r="E1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4" s="39">
        <f>IFERROR(VLOOKUP(RES_AB[[#This Row],[Reserva]],Tabela8[[Reserva]:[Usuário]],7,FALSE),Dados!$A$17)</f>
        <v>0.3996527777777778</v>
      </c>
      <c r="G174" s="40">
        <f>IF(RES_AB[[#This Row],[Reserva]]="","",IF(RES_AB[[#This Row],[Hora Int WMS]]&lt;Dados!$A$16,2,2))</f>
        <v>2</v>
      </c>
      <c r="H174" s="40" t="str">
        <f>IF(RES_AB[[#This Row],[Reserva]]="","",IFERROR(VLOOKUP(RES_AB[[#This Row],[Reserva]],Tabela3[[Reserva]:[Condição para Faturamento]],20,FALSE),"IMPORTADO COM SUCESSO"))</f>
        <v>PEDIDO EM LABORATORIO</v>
      </c>
      <c r="I174" s="38">
        <f>IF(RES_AB[[#This Row],[Data base]]="","",WORKDAY(RES_AB[[#This Row],[Data Reserva - Feriado e Fds]],RES_AB[[#This Row],[Dias para atendimento]],Feriados[Data]))</f>
        <v>45453</v>
      </c>
      <c r="J174" s="40" t="str">
        <f ca="1">IF(RES_AB[[#This Row],[Reserva]]="","",CONCATENATE("D+",NETWORKDAYS(RES_AB[[#This Row],[Data Reserva - Feriado e Fds]],TODAY(),Feriados[Data])-1))</f>
        <v>D+1</v>
      </c>
      <c r="K174" s="40" t="str">
        <f ca="1">IF(RES_AB[[#This Row],[Reserva]]="","",CONCATENATE(RES_AB[[#This Row],[Cen.]]," | ",RES_AB[[#This Row],[SLA2]]))</f>
        <v>11XD | D+1</v>
      </c>
      <c r="L174" s="40">
        <f ca="1">IF(RES_AB[[#This Row],[Reserva]]="","",IF(RES_AB[[#This Row],[SLA2]]=RES_AB[[#This Row],[Reserva]]="","",COUNTIF(MB25_VOLUMETRIA[Reserva],RES_AB[[#This Row],[Reserva]])))</f>
        <v>1</v>
      </c>
      <c r="M1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4" s="37" t="str">
        <f>IF(RES_AB[[#This Row],[Cen.]]="","",IFERROR(VLOOKUP(RES_AB[[#This Row],[Cen.]],Dados_Empresas[],2,FALSE),"Verificar empresa"))</f>
        <v>TELMEX</v>
      </c>
      <c r="P174" s="37" t="str">
        <f>IF(RES_AB[[#This Row],[Empresa]]="","",IF(OR(RES_AB[[#This Row],[Empresa]]="NET MASSIVO",RES_AB[[#This Row],[Empresa]]="NET PROJETOS"),"NET","EMPRESARIAL"))</f>
        <v>EMPRESARIAL</v>
      </c>
      <c r="Q174" s="37" t="str">
        <f>IF(RES_AB[[#This Row],[Reserva]]="","",IFERROR(VLOOKUP(RES_AB[[#This Row],[Reserva]],Tabela3[[Reserva]:[Descrição do status]],18,FALSE),"CONVENCIONAL"))</f>
        <v>CONVENCIONAL</v>
      </c>
    </row>
    <row r="175" spans="1:17" x14ac:dyDescent="0.25">
      <c r="A175" s="37">
        <v>4382721</v>
      </c>
      <c r="B175" s="37" t="s">
        <v>20</v>
      </c>
      <c r="C175" s="38" t="s">
        <v>314</v>
      </c>
      <c r="D175" s="38">
        <v>45449</v>
      </c>
      <c r="E1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5" s="39">
        <f>IFERROR(VLOOKUP(RES_AB[[#This Row],[Reserva]],Tabela8[[Reserva]:[Usuário]],7,FALSE),Dados!$A$17)</f>
        <v>0.33333333333333331</v>
      </c>
      <c r="G175" s="40">
        <f>IF(RES_AB[[#This Row],[Reserva]]="","",IF(RES_AB[[#This Row],[Hora Int WMS]]&lt;Dados!$A$16,2,2))</f>
        <v>2</v>
      </c>
      <c r="H175" s="40" t="str">
        <f>IF(RES_AB[[#This Row],[Reserva]]="","",IFERROR(VLOOKUP(RES_AB[[#This Row],[Reserva]],Tabela3[[Reserva]:[Condição para Faturamento]],20,FALSE),"IMPORTADO COM SUCESSO"))</f>
        <v>PEDIDO EM LABORATORIO</v>
      </c>
      <c r="I175" s="38">
        <f>IF(RES_AB[[#This Row],[Data base]]="","",WORKDAY(RES_AB[[#This Row],[Data Reserva - Feriado e Fds]],RES_AB[[#This Row],[Dias para atendimento]],Feriados[Data]))</f>
        <v>45453</v>
      </c>
      <c r="J175" s="40" t="str">
        <f ca="1">IF(RES_AB[[#This Row],[Reserva]]="","",CONCATENATE("D+",NETWORKDAYS(RES_AB[[#This Row],[Data Reserva - Feriado e Fds]],TODAY(),Feriados[Data])-1))</f>
        <v>D+1</v>
      </c>
      <c r="K175" s="40" t="str">
        <f ca="1">IF(RES_AB[[#This Row],[Reserva]]="","",CONCATENATE(RES_AB[[#This Row],[Cen.]]," | ",RES_AB[[#This Row],[SLA2]]))</f>
        <v>11XD | D+1</v>
      </c>
      <c r="L175" s="40">
        <f ca="1">IF(RES_AB[[#This Row],[Reserva]]="","",IF(RES_AB[[#This Row],[SLA2]]=RES_AB[[#This Row],[Reserva]]="","",COUNTIF(MB25_VOLUMETRIA[Reserva],RES_AB[[#This Row],[Reserva]])))</f>
        <v>1</v>
      </c>
      <c r="M1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5" s="37" t="str">
        <f>IF(RES_AB[[#This Row],[Cen.]]="","",IFERROR(VLOOKUP(RES_AB[[#This Row],[Cen.]],Dados_Empresas[],2,FALSE),"Verificar empresa"))</f>
        <v>TELMEX</v>
      </c>
      <c r="P175" s="37" t="str">
        <f>IF(RES_AB[[#This Row],[Empresa]]="","",IF(OR(RES_AB[[#This Row],[Empresa]]="NET MASSIVO",RES_AB[[#This Row],[Empresa]]="NET PROJETOS"),"NET","EMPRESARIAL"))</f>
        <v>EMPRESARIAL</v>
      </c>
      <c r="Q175" s="37" t="str">
        <f>IF(RES_AB[[#This Row],[Reserva]]="","",IFERROR(VLOOKUP(RES_AB[[#This Row],[Reserva]],Tabela3[[Reserva]:[Descrição do status]],18,FALSE),"CONVENCIONAL"))</f>
        <v>CONVENCIONAL</v>
      </c>
    </row>
    <row r="176" spans="1:17" x14ac:dyDescent="0.25">
      <c r="A176" s="37">
        <v>4382722</v>
      </c>
      <c r="B176" s="37" t="s">
        <v>20</v>
      </c>
      <c r="C176" s="38" t="s">
        <v>314</v>
      </c>
      <c r="D176" s="38">
        <v>45449</v>
      </c>
      <c r="E1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6" s="39">
        <f>IFERROR(VLOOKUP(RES_AB[[#This Row],[Reserva]],Tabela8[[Reserva]:[Usuário]],7,FALSE),Dados!$A$17)</f>
        <v>0.33333333333333331</v>
      </c>
      <c r="G176" s="40">
        <f>IF(RES_AB[[#This Row],[Reserva]]="","",IF(RES_AB[[#This Row],[Hora Int WMS]]&lt;Dados!$A$16,2,2))</f>
        <v>2</v>
      </c>
      <c r="H176" s="40" t="str">
        <f>IF(RES_AB[[#This Row],[Reserva]]="","",IFERROR(VLOOKUP(RES_AB[[#This Row],[Reserva]],Tabela3[[Reserva]:[Condição para Faturamento]],20,FALSE),"IMPORTADO COM SUCESSO"))</f>
        <v>PEDIDO EM LABORATORIO</v>
      </c>
      <c r="I176" s="38">
        <f>IF(RES_AB[[#This Row],[Data base]]="","",WORKDAY(RES_AB[[#This Row],[Data Reserva - Feriado e Fds]],RES_AB[[#This Row],[Dias para atendimento]],Feriados[Data]))</f>
        <v>45453</v>
      </c>
      <c r="J176" s="40" t="str">
        <f ca="1">IF(RES_AB[[#This Row],[Reserva]]="","",CONCATENATE("D+",NETWORKDAYS(RES_AB[[#This Row],[Data Reserva - Feriado e Fds]],TODAY(),Feriados[Data])-1))</f>
        <v>D+1</v>
      </c>
      <c r="K176" s="40" t="str">
        <f ca="1">IF(RES_AB[[#This Row],[Reserva]]="","",CONCATENATE(RES_AB[[#This Row],[Cen.]]," | ",RES_AB[[#This Row],[SLA2]]))</f>
        <v>11XD | D+1</v>
      </c>
      <c r="L176" s="40">
        <f ca="1">IF(RES_AB[[#This Row],[Reserva]]="","",IF(RES_AB[[#This Row],[SLA2]]=RES_AB[[#This Row],[Reserva]]="","",COUNTIF(MB25_VOLUMETRIA[Reserva],RES_AB[[#This Row],[Reserva]])))</f>
        <v>1</v>
      </c>
      <c r="M1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6" s="37" t="str">
        <f>IF(RES_AB[[#This Row],[Cen.]]="","",IFERROR(VLOOKUP(RES_AB[[#This Row],[Cen.]],Dados_Empresas[],2,FALSE),"Verificar empresa"))</f>
        <v>TELMEX</v>
      </c>
      <c r="P176" s="37" t="str">
        <f>IF(RES_AB[[#This Row],[Empresa]]="","",IF(OR(RES_AB[[#This Row],[Empresa]]="NET MASSIVO",RES_AB[[#This Row],[Empresa]]="NET PROJETOS"),"NET","EMPRESARIAL"))</f>
        <v>EMPRESARIAL</v>
      </c>
      <c r="Q176" s="37" t="str">
        <f>IF(RES_AB[[#This Row],[Reserva]]="","",IFERROR(VLOOKUP(RES_AB[[#This Row],[Reserva]],Tabela3[[Reserva]:[Descrição do status]],18,FALSE),"CONVENCIONAL"))</f>
        <v>CONVENCIONAL</v>
      </c>
    </row>
    <row r="177" spans="1:17" x14ac:dyDescent="0.25">
      <c r="A177" s="37">
        <v>4382723</v>
      </c>
      <c r="B177" s="37" t="s">
        <v>20</v>
      </c>
      <c r="C177" s="38" t="s">
        <v>314</v>
      </c>
      <c r="D177" s="38">
        <v>45449</v>
      </c>
      <c r="E1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7" s="39">
        <f>IFERROR(VLOOKUP(RES_AB[[#This Row],[Reserva]],Tabela8[[Reserva]:[Usuário]],7,FALSE),Dados!$A$17)</f>
        <v>0.33333333333333331</v>
      </c>
      <c r="G177" s="40">
        <f>IF(RES_AB[[#This Row],[Reserva]]="","",IF(RES_AB[[#This Row],[Hora Int WMS]]&lt;Dados!$A$16,2,2))</f>
        <v>2</v>
      </c>
      <c r="H177" s="40" t="str">
        <f>IF(RES_AB[[#This Row],[Reserva]]="","",IFERROR(VLOOKUP(RES_AB[[#This Row],[Reserva]],Tabela3[[Reserva]:[Condição para Faturamento]],20,FALSE),"IMPORTADO COM SUCESSO"))</f>
        <v>PEDIDO EM LABORATORIO</v>
      </c>
      <c r="I177" s="38">
        <f>IF(RES_AB[[#This Row],[Data base]]="","",WORKDAY(RES_AB[[#This Row],[Data Reserva - Feriado e Fds]],RES_AB[[#This Row],[Dias para atendimento]],Feriados[Data]))</f>
        <v>45453</v>
      </c>
      <c r="J177" s="40" t="str">
        <f ca="1">IF(RES_AB[[#This Row],[Reserva]]="","",CONCATENATE("D+",NETWORKDAYS(RES_AB[[#This Row],[Data Reserva - Feriado e Fds]],TODAY(),Feriados[Data])-1))</f>
        <v>D+1</v>
      </c>
      <c r="K177" s="40" t="str">
        <f ca="1">IF(RES_AB[[#This Row],[Reserva]]="","",CONCATENATE(RES_AB[[#This Row],[Cen.]]," | ",RES_AB[[#This Row],[SLA2]]))</f>
        <v>11XD | D+1</v>
      </c>
      <c r="L177" s="40">
        <f ca="1">IF(RES_AB[[#This Row],[Reserva]]="","",IF(RES_AB[[#This Row],[SLA2]]=RES_AB[[#This Row],[Reserva]]="","",COUNTIF(MB25_VOLUMETRIA[Reserva],RES_AB[[#This Row],[Reserva]])))</f>
        <v>1</v>
      </c>
      <c r="M1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7" s="37" t="str">
        <f>IF(RES_AB[[#This Row],[Cen.]]="","",IFERROR(VLOOKUP(RES_AB[[#This Row],[Cen.]],Dados_Empresas[],2,FALSE),"Verificar empresa"))</f>
        <v>TELMEX</v>
      </c>
      <c r="P177" s="37" t="str">
        <f>IF(RES_AB[[#This Row],[Empresa]]="","",IF(OR(RES_AB[[#This Row],[Empresa]]="NET MASSIVO",RES_AB[[#This Row],[Empresa]]="NET PROJETOS"),"NET","EMPRESARIAL"))</f>
        <v>EMPRESARIAL</v>
      </c>
      <c r="Q177" s="37" t="str">
        <f>IF(RES_AB[[#This Row],[Reserva]]="","",IFERROR(VLOOKUP(RES_AB[[#This Row],[Reserva]],Tabela3[[Reserva]:[Descrição do status]],18,FALSE),"CONVENCIONAL"))</f>
        <v>CONVENCIONAL</v>
      </c>
    </row>
    <row r="178" spans="1:17" x14ac:dyDescent="0.25">
      <c r="A178" s="37">
        <v>4382724</v>
      </c>
      <c r="B178" s="37" t="s">
        <v>20</v>
      </c>
      <c r="C178" s="38" t="s">
        <v>314</v>
      </c>
      <c r="D178" s="38">
        <v>45449</v>
      </c>
      <c r="E1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8" s="39">
        <f>IFERROR(VLOOKUP(RES_AB[[#This Row],[Reserva]],Tabela8[[Reserva]:[Usuário]],7,FALSE),Dados!$A$17)</f>
        <v>0.33333333333333331</v>
      </c>
      <c r="G178" s="40">
        <f>IF(RES_AB[[#This Row],[Reserva]]="","",IF(RES_AB[[#This Row],[Hora Int WMS]]&lt;Dados!$A$16,2,2))</f>
        <v>2</v>
      </c>
      <c r="H178" s="40" t="str">
        <f>IF(RES_AB[[#This Row],[Reserva]]="","",IFERROR(VLOOKUP(RES_AB[[#This Row],[Reserva]],Tabela3[[Reserva]:[Condição para Faturamento]],20,FALSE),"IMPORTADO COM SUCESSO"))</f>
        <v>PEDIDO EM LABORATORIO</v>
      </c>
      <c r="I178" s="38">
        <f>IF(RES_AB[[#This Row],[Data base]]="","",WORKDAY(RES_AB[[#This Row],[Data Reserva - Feriado e Fds]],RES_AB[[#This Row],[Dias para atendimento]],Feriados[Data]))</f>
        <v>45453</v>
      </c>
      <c r="J178" s="40" t="str">
        <f ca="1">IF(RES_AB[[#This Row],[Reserva]]="","",CONCATENATE("D+",NETWORKDAYS(RES_AB[[#This Row],[Data Reserva - Feriado e Fds]],TODAY(),Feriados[Data])-1))</f>
        <v>D+1</v>
      </c>
      <c r="K178" s="40" t="str">
        <f ca="1">IF(RES_AB[[#This Row],[Reserva]]="","",CONCATENATE(RES_AB[[#This Row],[Cen.]]," | ",RES_AB[[#This Row],[SLA2]]))</f>
        <v>11XD | D+1</v>
      </c>
      <c r="L178" s="40">
        <f ca="1">IF(RES_AB[[#This Row],[Reserva]]="","",IF(RES_AB[[#This Row],[SLA2]]=RES_AB[[#This Row],[Reserva]]="","",COUNTIF(MB25_VOLUMETRIA[Reserva],RES_AB[[#This Row],[Reserva]])))</f>
        <v>1</v>
      </c>
      <c r="M1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8" s="37" t="str">
        <f>IF(RES_AB[[#This Row],[Cen.]]="","",IFERROR(VLOOKUP(RES_AB[[#This Row],[Cen.]],Dados_Empresas[],2,FALSE),"Verificar empresa"))</f>
        <v>TELMEX</v>
      </c>
      <c r="P178" s="37" t="str">
        <f>IF(RES_AB[[#This Row],[Empresa]]="","",IF(OR(RES_AB[[#This Row],[Empresa]]="NET MASSIVO",RES_AB[[#This Row],[Empresa]]="NET PROJETOS"),"NET","EMPRESARIAL"))</f>
        <v>EMPRESARIAL</v>
      </c>
      <c r="Q178" s="37" t="str">
        <f>IF(RES_AB[[#This Row],[Reserva]]="","",IFERROR(VLOOKUP(RES_AB[[#This Row],[Reserva]],Tabela3[[Reserva]:[Descrição do status]],18,FALSE),"CONVENCIONAL"))</f>
        <v>CONVENCIONAL</v>
      </c>
    </row>
    <row r="179" spans="1:17" x14ac:dyDescent="0.25">
      <c r="A179" s="37">
        <v>4382725</v>
      </c>
      <c r="B179" s="37" t="s">
        <v>20</v>
      </c>
      <c r="C179" s="38" t="s">
        <v>314</v>
      </c>
      <c r="D179" s="38">
        <v>45449</v>
      </c>
      <c r="E1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79" s="39">
        <f>IFERROR(VLOOKUP(RES_AB[[#This Row],[Reserva]],Tabela8[[Reserva]:[Usuário]],7,FALSE),Dados!$A$17)</f>
        <v>0.33333333333333331</v>
      </c>
      <c r="G179" s="40">
        <f>IF(RES_AB[[#This Row],[Reserva]]="","",IF(RES_AB[[#This Row],[Hora Int WMS]]&lt;Dados!$A$16,2,2))</f>
        <v>2</v>
      </c>
      <c r="H179" s="40" t="str">
        <f>IF(RES_AB[[#This Row],[Reserva]]="","",IFERROR(VLOOKUP(RES_AB[[#This Row],[Reserva]],Tabela3[[Reserva]:[Condição para Faturamento]],20,FALSE),"IMPORTADO COM SUCESSO"))</f>
        <v>EM SEPARAÇÃO</v>
      </c>
      <c r="I179" s="38">
        <f>IF(RES_AB[[#This Row],[Data base]]="","",WORKDAY(RES_AB[[#This Row],[Data Reserva - Feriado e Fds]],RES_AB[[#This Row],[Dias para atendimento]],Feriados[Data]))</f>
        <v>45453</v>
      </c>
      <c r="J179" s="40" t="str">
        <f ca="1">IF(RES_AB[[#This Row],[Reserva]]="","",CONCATENATE("D+",NETWORKDAYS(RES_AB[[#This Row],[Data Reserva - Feriado e Fds]],TODAY(),Feriados[Data])-1))</f>
        <v>D+1</v>
      </c>
      <c r="K179" s="40" t="str">
        <f ca="1">IF(RES_AB[[#This Row],[Reserva]]="","",CONCATENATE(RES_AB[[#This Row],[Cen.]]," | ",RES_AB[[#This Row],[SLA2]]))</f>
        <v>11XD | D+1</v>
      </c>
      <c r="L179" s="40">
        <f ca="1">IF(RES_AB[[#This Row],[Reserva]]="","",IF(RES_AB[[#This Row],[SLA2]]=RES_AB[[#This Row],[Reserva]]="","",COUNTIF(MB25_VOLUMETRIA[Reserva],RES_AB[[#This Row],[Reserva]])))</f>
        <v>1</v>
      </c>
      <c r="M1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79" s="37" t="str">
        <f>IF(RES_AB[[#This Row],[Cen.]]="","",IFERROR(VLOOKUP(RES_AB[[#This Row],[Cen.]],Dados_Empresas[],2,FALSE),"Verificar empresa"))</f>
        <v>TELMEX</v>
      </c>
      <c r="P179" s="37" t="str">
        <f>IF(RES_AB[[#This Row],[Empresa]]="","",IF(OR(RES_AB[[#This Row],[Empresa]]="NET MASSIVO",RES_AB[[#This Row],[Empresa]]="NET PROJETOS"),"NET","EMPRESARIAL"))</f>
        <v>EMPRESARIAL</v>
      </c>
      <c r="Q179" s="37" t="str">
        <f>IF(RES_AB[[#This Row],[Reserva]]="","",IFERROR(VLOOKUP(RES_AB[[#This Row],[Reserva]],Tabela3[[Reserva]:[Descrição do status]],18,FALSE),"CONVENCIONAL"))</f>
        <v>CONVENCIONAL</v>
      </c>
    </row>
    <row r="180" spans="1:17" x14ac:dyDescent="0.25">
      <c r="A180" s="37">
        <v>4382726</v>
      </c>
      <c r="B180" s="37" t="s">
        <v>20</v>
      </c>
      <c r="C180" s="38" t="s">
        <v>314</v>
      </c>
      <c r="D180" s="38">
        <v>45449</v>
      </c>
      <c r="E1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0" s="39">
        <f>IFERROR(VLOOKUP(RES_AB[[#This Row],[Reserva]],Tabela8[[Reserva]:[Usuário]],7,FALSE),Dados!$A$17)</f>
        <v>0.33333333333333331</v>
      </c>
      <c r="G180" s="40">
        <f>IF(RES_AB[[#This Row],[Reserva]]="","",IF(RES_AB[[#This Row],[Hora Int WMS]]&lt;Dados!$A$16,2,2))</f>
        <v>2</v>
      </c>
      <c r="H180" s="40" t="str">
        <f>IF(RES_AB[[#This Row],[Reserva]]="","",IFERROR(VLOOKUP(RES_AB[[#This Row],[Reserva]],Tabela3[[Reserva]:[Condição para Faturamento]],20,FALSE),"IMPORTADO COM SUCESSO"))</f>
        <v>EM SEPARAÇÃO</v>
      </c>
      <c r="I180" s="38">
        <f>IF(RES_AB[[#This Row],[Data base]]="","",WORKDAY(RES_AB[[#This Row],[Data Reserva - Feriado e Fds]],RES_AB[[#This Row],[Dias para atendimento]],Feriados[Data]))</f>
        <v>45453</v>
      </c>
      <c r="J180" s="40" t="str">
        <f ca="1">IF(RES_AB[[#This Row],[Reserva]]="","",CONCATENATE("D+",NETWORKDAYS(RES_AB[[#This Row],[Data Reserva - Feriado e Fds]],TODAY(),Feriados[Data])-1))</f>
        <v>D+1</v>
      </c>
      <c r="K180" s="40" t="str">
        <f ca="1">IF(RES_AB[[#This Row],[Reserva]]="","",CONCATENATE(RES_AB[[#This Row],[Cen.]]," | ",RES_AB[[#This Row],[SLA2]]))</f>
        <v>11XD | D+1</v>
      </c>
      <c r="L180" s="40">
        <f ca="1">IF(RES_AB[[#This Row],[Reserva]]="","",IF(RES_AB[[#This Row],[SLA2]]=RES_AB[[#This Row],[Reserva]]="","",COUNTIF(MB25_VOLUMETRIA[Reserva],RES_AB[[#This Row],[Reserva]])))</f>
        <v>1</v>
      </c>
      <c r="M1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0" s="37" t="str">
        <f>IF(RES_AB[[#This Row],[Cen.]]="","",IFERROR(VLOOKUP(RES_AB[[#This Row],[Cen.]],Dados_Empresas[],2,FALSE),"Verificar empresa"))</f>
        <v>TELMEX</v>
      </c>
      <c r="P180" s="37" t="str">
        <f>IF(RES_AB[[#This Row],[Empresa]]="","",IF(OR(RES_AB[[#This Row],[Empresa]]="NET MASSIVO",RES_AB[[#This Row],[Empresa]]="NET PROJETOS"),"NET","EMPRESARIAL"))</f>
        <v>EMPRESARIAL</v>
      </c>
      <c r="Q180" s="37" t="str">
        <f>IF(RES_AB[[#This Row],[Reserva]]="","",IFERROR(VLOOKUP(RES_AB[[#This Row],[Reserva]],Tabela3[[Reserva]:[Descrição do status]],18,FALSE),"CONVENCIONAL"))</f>
        <v>CONVENCIONAL</v>
      </c>
    </row>
    <row r="181" spans="1:17" x14ac:dyDescent="0.25">
      <c r="A181" s="37">
        <v>4382727</v>
      </c>
      <c r="B181" s="37" t="s">
        <v>20</v>
      </c>
      <c r="C181" s="38" t="s">
        <v>314</v>
      </c>
      <c r="D181" s="38">
        <v>45449</v>
      </c>
      <c r="E1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1" s="39">
        <f>IFERROR(VLOOKUP(RES_AB[[#This Row],[Reserva]],Tabela8[[Reserva]:[Usuário]],7,FALSE),Dados!$A$17)</f>
        <v>0.33333333333333331</v>
      </c>
      <c r="G181" s="40">
        <f>IF(RES_AB[[#This Row],[Reserva]]="","",IF(RES_AB[[#This Row],[Hora Int WMS]]&lt;Dados!$A$16,2,2))</f>
        <v>2</v>
      </c>
      <c r="H181" s="40" t="str">
        <f>IF(RES_AB[[#This Row],[Reserva]]="","",IFERROR(VLOOKUP(RES_AB[[#This Row],[Reserva]],Tabela3[[Reserva]:[Condição para Faturamento]],20,FALSE),"IMPORTADO COM SUCESSO"))</f>
        <v>PEDIDO EM LABORATORIO</v>
      </c>
      <c r="I181" s="38">
        <f>IF(RES_AB[[#This Row],[Data base]]="","",WORKDAY(RES_AB[[#This Row],[Data Reserva - Feriado e Fds]],RES_AB[[#This Row],[Dias para atendimento]],Feriados[Data]))</f>
        <v>45453</v>
      </c>
      <c r="J181" s="40" t="str">
        <f ca="1">IF(RES_AB[[#This Row],[Reserva]]="","",CONCATENATE("D+",NETWORKDAYS(RES_AB[[#This Row],[Data Reserva - Feriado e Fds]],TODAY(),Feriados[Data])-1))</f>
        <v>D+1</v>
      </c>
      <c r="K181" s="40" t="str">
        <f ca="1">IF(RES_AB[[#This Row],[Reserva]]="","",CONCATENATE(RES_AB[[#This Row],[Cen.]]," | ",RES_AB[[#This Row],[SLA2]]))</f>
        <v>11XD | D+1</v>
      </c>
      <c r="L181" s="40">
        <f ca="1">IF(RES_AB[[#This Row],[Reserva]]="","",IF(RES_AB[[#This Row],[SLA2]]=RES_AB[[#This Row],[Reserva]]="","",COUNTIF(MB25_VOLUMETRIA[Reserva],RES_AB[[#This Row],[Reserva]])))</f>
        <v>1</v>
      </c>
      <c r="M1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1" s="37" t="str">
        <f>IF(RES_AB[[#This Row],[Cen.]]="","",IFERROR(VLOOKUP(RES_AB[[#This Row],[Cen.]],Dados_Empresas[],2,FALSE),"Verificar empresa"))</f>
        <v>TELMEX</v>
      </c>
      <c r="P181" s="37" t="str">
        <f>IF(RES_AB[[#This Row],[Empresa]]="","",IF(OR(RES_AB[[#This Row],[Empresa]]="NET MASSIVO",RES_AB[[#This Row],[Empresa]]="NET PROJETOS"),"NET","EMPRESARIAL"))</f>
        <v>EMPRESARIAL</v>
      </c>
      <c r="Q181" s="37" t="str">
        <f>IF(RES_AB[[#This Row],[Reserva]]="","",IFERROR(VLOOKUP(RES_AB[[#This Row],[Reserva]],Tabela3[[Reserva]:[Descrição do status]],18,FALSE),"CONVENCIONAL"))</f>
        <v>CONVENCIONAL</v>
      </c>
    </row>
    <row r="182" spans="1:17" x14ac:dyDescent="0.25">
      <c r="A182" s="37">
        <v>4382728</v>
      </c>
      <c r="B182" s="37" t="s">
        <v>20</v>
      </c>
      <c r="C182" s="38" t="s">
        <v>314</v>
      </c>
      <c r="D182" s="38">
        <v>45449</v>
      </c>
      <c r="E1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2" s="39">
        <f>IFERROR(VLOOKUP(RES_AB[[#This Row],[Reserva]],Tabela8[[Reserva]:[Usuário]],7,FALSE),Dados!$A$17)</f>
        <v>0.33333333333333331</v>
      </c>
      <c r="G182" s="40">
        <f>IF(RES_AB[[#This Row],[Reserva]]="","",IF(RES_AB[[#This Row],[Hora Int WMS]]&lt;Dados!$A$16,2,2))</f>
        <v>2</v>
      </c>
      <c r="H182" s="40" t="str">
        <f>IF(RES_AB[[#This Row],[Reserva]]="","",IFERROR(VLOOKUP(RES_AB[[#This Row],[Reserva]],Tabela3[[Reserva]:[Condição para Faturamento]],20,FALSE),"IMPORTADO COM SUCESSO"))</f>
        <v>EM SEPARAÇÃO</v>
      </c>
      <c r="I182" s="38">
        <f>IF(RES_AB[[#This Row],[Data base]]="","",WORKDAY(RES_AB[[#This Row],[Data Reserva - Feriado e Fds]],RES_AB[[#This Row],[Dias para atendimento]],Feriados[Data]))</f>
        <v>45453</v>
      </c>
      <c r="J182" s="40" t="str">
        <f ca="1">IF(RES_AB[[#This Row],[Reserva]]="","",CONCATENATE("D+",NETWORKDAYS(RES_AB[[#This Row],[Data Reserva - Feriado e Fds]],TODAY(),Feriados[Data])-1))</f>
        <v>D+1</v>
      </c>
      <c r="K182" s="40" t="str">
        <f ca="1">IF(RES_AB[[#This Row],[Reserva]]="","",CONCATENATE(RES_AB[[#This Row],[Cen.]]," | ",RES_AB[[#This Row],[SLA2]]))</f>
        <v>11XD | D+1</v>
      </c>
      <c r="L182" s="40">
        <f ca="1">IF(RES_AB[[#This Row],[Reserva]]="","",IF(RES_AB[[#This Row],[SLA2]]=RES_AB[[#This Row],[Reserva]]="","",COUNTIF(MB25_VOLUMETRIA[Reserva],RES_AB[[#This Row],[Reserva]])))</f>
        <v>1</v>
      </c>
      <c r="M1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2" s="37" t="str">
        <f>IF(RES_AB[[#This Row],[Cen.]]="","",IFERROR(VLOOKUP(RES_AB[[#This Row],[Cen.]],Dados_Empresas[],2,FALSE),"Verificar empresa"))</f>
        <v>TELMEX</v>
      </c>
      <c r="P182" s="37" t="str">
        <f>IF(RES_AB[[#This Row],[Empresa]]="","",IF(OR(RES_AB[[#This Row],[Empresa]]="NET MASSIVO",RES_AB[[#This Row],[Empresa]]="NET PROJETOS"),"NET","EMPRESARIAL"))</f>
        <v>EMPRESARIAL</v>
      </c>
      <c r="Q182" s="37" t="str">
        <f>IF(RES_AB[[#This Row],[Reserva]]="","",IFERROR(VLOOKUP(RES_AB[[#This Row],[Reserva]],Tabela3[[Reserva]:[Descrição do status]],18,FALSE),"CONVENCIONAL"))</f>
        <v>CONVENCIONAL</v>
      </c>
    </row>
    <row r="183" spans="1:17" x14ac:dyDescent="0.25">
      <c r="A183" s="37">
        <v>4382731</v>
      </c>
      <c r="B183" s="37" t="s">
        <v>20</v>
      </c>
      <c r="C183" s="38" t="s">
        <v>19</v>
      </c>
      <c r="D183" s="38">
        <v>45449</v>
      </c>
      <c r="E1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3" s="39">
        <f>IFERROR(VLOOKUP(RES_AB[[#This Row],[Reserva]],Tabela8[[Reserva]:[Usuário]],7,FALSE),Dados!$A$17)</f>
        <v>0.33333333333333331</v>
      </c>
      <c r="G183" s="40">
        <f>IF(RES_AB[[#This Row],[Reserva]]="","",IF(RES_AB[[#This Row],[Hora Int WMS]]&lt;Dados!$A$16,2,2))</f>
        <v>2</v>
      </c>
      <c r="H183" s="40" t="str">
        <f>IF(RES_AB[[#This Row],[Reserva]]="","",IFERROR(VLOOKUP(RES_AB[[#This Row],[Reserva]],Tabela3[[Reserva]:[Condição para Faturamento]],20,FALSE),"IMPORTADO COM SUCESSO"))</f>
        <v>PEDIDO EM LABORATORIO</v>
      </c>
      <c r="I183" s="38">
        <f>IF(RES_AB[[#This Row],[Data base]]="","",WORKDAY(RES_AB[[#This Row],[Data Reserva - Feriado e Fds]],RES_AB[[#This Row],[Dias para atendimento]],Feriados[Data]))</f>
        <v>45453</v>
      </c>
      <c r="J183" s="40" t="str">
        <f ca="1">IF(RES_AB[[#This Row],[Reserva]]="","",CONCATENATE("D+",NETWORKDAYS(RES_AB[[#This Row],[Data Reserva - Feriado e Fds]],TODAY(),Feriados[Data])-1))</f>
        <v>D+1</v>
      </c>
      <c r="K183" s="40" t="str">
        <f ca="1">IF(RES_AB[[#This Row],[Reserva]]="","",CONCATENATE(RES_AB[[#This Row],[Cen.]]," | ",RES_AB[[#This Row],[SLA2]]))</f>
        <v>11XD | D+1</v>
      </c>
      <c r="L183" s="40">
        <f ca="1">IF(RES_AB[[#This Row],[Reserva]]="","",IF(RES_AB[[#This Row],[SLA2]]=RES_AB[[#This Row],[Reserva]]="","",COUNTIF(MB25_VOLUMETRIA[Reserva],RES_AB[[#This Row],[Reserva]])))</f>
        <v>1</v>
      </c>
      <c r="M1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3" s="37" t="str">
        <f>IF(RES_AB[[#This Row],[Cen.]]="","",IFERROR(VLOOKUP(RES_AB[[#This Row],[Cen.]],Dados_Empresas[],2,FALSE),"Verificar empresa"))</f>
        <v>TELMEX</v>
      </c>
      <c r="P183" s="37" t="str">
        <f>IF(RES_AB[[#This Row],[Empresa]]="","",IF(OR(RES_AB[[#This Row],[Empresa]]="NET MASSIVO",RES_AB[[#This Row],[Empresa]]="NET PROJETOS"),"NET","EMPRESARIAL"))</f>
        <v>EMPRESARIAL</v>
      </c>
      <c r="Q183" s="37" t="str">
        <f>IF(RES_AB[[#This Row],[Reserva]]="","",IFERROR(VLOOKUP(RES_AB[[#This Row],[Reserva]],Tabela3[[Reserva]:[Descrição do status]],18,FALSE),"CONVENCIONAL"))</f>
        <v>CONVENCIONAL</v>
      </c>
    </row>
    <row r="184" spans="1:17" x14ac:dyDescent="0.25">
      <c r="A184" s="37">
        <v>4382732</v>
      </c>
      <c r="B184" s="37" t="s">
        <v>20</v>
      </c>
      <c r="C184" s="38" t="s">
        <v>19</v>
      </c>
      <c r="D184" s="38">
        <v>45449</v>
      </c>
      <c r="E1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4" s="39">
        <f>IFERROR(VLOOKUP(RES_AB[[#This Row],[Reserva]],Tabela8[[Reserva]:[Usuário]],7,FALSE),Dados!$A$17)</f>
        <v>0.33333333333333331</v>
      </c>
      <c r="G184" s="40">
        <f>IF(RES_AB[[#This Row],[Reserva]]="","",IF(RES_AB[[#This Row],[Hora Int WMS]]&lt;Dados!$A$16,2,2))</f>
        <v>2</v>
      </c>
      <c r="H184" s="40" t="str">
        <f>IF(RES_AB[[#This Row],[Reserva]]="","",IFERROR(VLOOKUP(RES_AB[[#This Row],[Reserva]],Tabela3[[Reserva]:[Condição para Faturamento]],20,FALSE),"IMPORTADO COM SUCESSO"))</f>
        <v>PEDIDO EM LABORATORIO</v>
      </c>
      <c r="I184" s="38">
        <f>IF(RES_AB[[#This Row],[Data base]]="","",WORKDAY(RES_AB[[#This Row],[Data Reserva - Feriado e Fds]],RES_AB[[#This Row],[Dias para atendimento]],Feriados[Data]))</f>
        <v>45453</v>
      </c>
      <c r="J184" s="40" t="str">
        <f ca="1">IF(RES_AB[[#This Row],[Reserva]]="","",CONCATENATE("D+",NETWORKDAYS(RES_AB[[#This Row],[Data Reserva - Feriado e Fds]],TODAY(),Feriados[Data])-1))</f>
        <v>D+1</v>
      </c>
      <c r="K184" s="40" t="str">
        <f ca="1">IF(RES_AB[[#This Row],[Reserva]]="","",CONCATENATE(RES_AB[[#This Row],[Cen.]]," | ",RES_AB[[#This Row],[SLA2]]))</f>
        <v>11XD | D+1</v>
      </c>
      <c r="L184" s="40">
        <f ca="1">IF(RES_AB[[#This Row],[Reserva]]="","",IF(RES_AB[[#This Row],[SLA2]]=RES_AB[[#This Row],[Reserva]]="","",COUNTIF(MB25_VOLUMETRIA[Reserva],RES_AB[[#This Row],[Reserva]])))</f>
        <v>1</v>
      </c>
      <c r="M1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4" s="37" t="str">
        <f>IF(RES_AB[[#This Row],[Cen.]]="","",IFERROR(VLOOKUP(RES_AB[[#This Row],[Cen.]],Dados_Empresas[],2,FALSE),"Verificar empresa"))</f>
        <v>TELMEX</v>
      </c>
      <c r="P184" s="37" t="str">
        <f>IF(RES_AB[[#This Row],[Empresa]]="","",IF(OR(RES_AB[[#This Row],[Empresa]]="NET MASSIVO",RES_AB[[#This Row],[Empresa]]="NET PROJETOS"),"NET","EMPRESARIAL"))</f>
        <v>EMPRESARIAL</v>
      </c>
      <c r="Q184" s="37" t="str">
        <f>IF(RES_AB[[#This Row],[Reserva]]="","",IFERROR(VLOOKUP(RES_AB[[#This Row],[Reserva]],Tabela3[[Reserva]:[Descrição do status]],18,FALSE),"CONVENCIONAL"))</f>
        <v>CONVENCIONAL</v>
      </c>
    </row>
    <row r="185" spans="1:17" x14ac:dyDescent="0.25">
      <c r="A185" s="37">
        <v>4382733</v>
      </c>
      <c r="B185" s="37" t="s">
        <v>20</v>
      </c>
      <c r="C185" s="38" t="s">
        <v>19</v>
      </c>
      <c r="D185" s="38">
        <v>45449</v>
      </c>
      <c r="E1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5" s="39">
        <f>IFERROR(VLOOKUP(RES_AB[[#This Row],[Reserva]],Tabela8[[Reserva]:[Usuário]],7,FALSE),Dados!$A$17)</f>
        <v>0.40034722222222224</v>
      </c>
      <c r="G185" s="40">
        <f>IF(RES_AB[[#This Row],[Reserva]]="","",IF(RES_AB[[#This Row],[Hora Int WMS]]&lt;Dados!$A$16,2,2))</f>
        <v>2</v>
      </c>
      <c r="H185" s="40" t="str">
        <f>IF(RES_AB[[#This Row],[Reserva]]="","",IFERROR(VLOOKUP(RES_AB[[#This Row],[Reserva]],Tabela3[[Reserva]:[Condição para Faturamento]],20,FALSE),"IMPORTADO COM SUCESSO"))</f>
        <v>PEDIDO EM LABORATORIO</v>
      </c>
      <c r="I185" s="38">
        <f>IF(RES_AB[[#This Row],[Data base]]="","",WORKDAY(RES_AB[[#This Row],[Data Reserva - Feriado e Fds]],RES_AB[[#This Row],[Dias para atendimento]],Feriados[Data]))</f>
        <v>45453</v>
      </c>
      <c r="J185" s="40" t="str">
        <f ca="1">IF(RES_AB[[#This Row],[Reserva]]="","",CONCATENATE("D+",NETWORKDAYS(RES_AB[[#This Row],[Data Reserva - Feriado e Fds]],TODAY(),Feriados[Data])-1))</f>
        <v>D+1</v>
      </c>
      <c r="K185" s="40" t="str">
        <f ca="1">IF(RES_AB[[#This Row],[Reserva]]="","",CONCATENATE(RES_AB[[#This Row],[Cen.]]," | ",RES_AB[[#This Row],[SLA2]]))</f>
        <v>11XD | D+1</v>
      </c>
      <c r="L185" s="40">
        <f ca="1">IF(RES_AB[[#This Row],[Reserva]]="","",IF(RES_AB[[#This Row],[SLA2]]=RES_AB[[#This Row],[Reserva]]="","",COUNTIF(MB25_VOLUMETRIA[Reserva],RES_AB[[#This Row],[Reserva]])))</f>
        <v>1</v>
      </c>
      <c r="M1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5" s="37" t="str">
        <f>IF(RES_AB[[#This Row],[Cen.]]="","",IFERROR(VLOOKUP(RES_AB[[#This Row],[Cen.]],Dados_Empresas[],2,FALSE),"Verificar empresa"))</f>
        <v>TELMEX</v>
      </c>
      <c r="P185" s="37" t="str">
        <f>IF(RES_AB[[#This Row],[Empresa]]="","",IF(OR(RES_AB[[#This Row],[Empresa]]="NET MASSIVO",RES_AB[[#This Row],[Empresa]]="NET PROJETOS"),"NET","EMPRESARIAL"))</f>
        <v>EMPRESARIAL</v>
      </c>
      <c r="Q185" s="37" t="str">
        <f>IF(RES_AB[[#This Row],[Reserva]]="","",IFERROR(VLOOKUP(RES_AB[[#This Row],[Reserva]],Tabela3[[Reserva]:[Descrição do status]],18,FALSE),"CONVENCIONAL"))</f>
        <v>CONVENCIONAL</v>
      </c>
    </row>
    <row r="186" spans="1:17" x14ac:dyDescent="0.25">
      <c r="A186" s="37">
        <v>4382734</v>
      </c>
      <c r="B186" s="37" t="s">
        <v>20</v>
      </c>
      <c r="C186" s="38" t="s">
        <v>19</v>
      </c>
      <c r="D186" s="38">
        <v>45449</v>
      </c>
      <c r="E1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6" s="39">
        <f>IFERROR(VLOOKUP(RES_AB[[#This Row],[Reserva]],Tabela8[[Reserva]:[Usuário]],7,FALSE),Dados!$A$17)</f>
        <v>0.40034722222222224</v>
      </c>
      <c r="G186" s="40">
        <f>IF(RES_AB[[#This Row],[Reserva]]="","",IF(RES_AB[[#This Row],[Hora Int WMS]]&lt;Dados!$A$16,2,2))</f>
        <v>2</v>
      </c>
      <c r="H186" s="40" t="str">
        <f>IF(RES_AB[[#This Row],[Reserva]]="","",IFERROR(VLOOKUP(RES_AB[[#This Row],[Reserva]],Tabela3[[Reserva]:[Condição para Faturamento]],20,FALSE),"IMPORTADO COM SUCESSO"))</f>
        <v>PEDIDO EM LABORATORIO</v>
      </c>
      <c r="I186" s="38">
        <f>IF(RES_AB[[#This Row],[Data base]]="","",WORKDAY(RES_AB[[#This Row],[Data Reserva - Feriado e Fds]],RES_AB[[#This Row],[Dias para atendimento]],Feriados[Data]))</f>
        <v>45453</v>
      </c>
      <c r="J186" s="40" t="str">
        <f ca="1">IF(RES_AB[[#This Row],[Reserva]]="","",CONCATENATE("D+",NETWORKDAYS(RES_AB[[#This Row],[Data Reserva - Feriado e Fds]],TODAY(),Feriados[Data])-1))</f>
        <v>D+1</v>
      </c>
      <c r="K186" s="40" t="str">
        <f ca="1">IF(RES_AB[[#This Row],[Reserva]]="","",CONCATENATE(RES_AB[[#This Row],[Cen.]]," | ",RES_AB[[#This Row],[SLA2]]))</f>
        <v>11XD | D+1</v>
      </c>
      <c r="L186" s="40">
        <f ca="1">IF(RES_AB[[#This Row],[Reserva]]="","",IF(RES_AB[[#This Row],[SLA2]]=RES_AB[[#This Row],[Reserva]]="","",COUNTIF(MB25_VOLUMETRIA[Reserva],RES_AB[[#This Row],[Reserva]])))</f>
        <v>1</v>
      </c>
      <c r="M1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6" s="37" t="str">
        <f>IF(RES_AB[[#This Row],[Cen.]]="","",IFERROR(VLOOKUP(RES_AB[[#This Row],[Cen.]],Dados_Empresas[],2,FALSE),"Verificar empresa"))</f>
        <v>TELMEX</v>
      </c>
      <c r="P186" s="37" t="str">
        <f>IF(RES_AB[[#This Row],[Empresa]]="","",IF(OR(RES_AB[[#This Row],[Empresa]]="NET MASSIVO",RES_AB[[#This Row],[Empresa]]="NET PROJETOS"),"NET","EMPRESARIAL"))</f>
        <v>EMPRESARIAL</v>
      </c>
      <c r="Q186" s="37" t="str">
        <f>IF(RES_AB[[#This Row],[Reserva]]="","",IFERROR(VLOOKUP(RES_AB[[#This Row],[Reserva]],Tabela3[[Reserva]:[Descrição do status]],18,FALSE),"CONVENCIONAL"))</f>
        <v>CONVENCIONAL</v>
      </c>
    </row>
    <row r="187" spans="1:17" x14ac:dyDescent="0.25">
      <c r="A187" s="37">
        <v>4382735</v>
      </c>
      <c r="B187" s="37" t="s">
        <v>20</v>
      </c>
      <c r="C187" s="38" t="s">
        <v>19</v>
      </c>
      <c r="D187" s="38">
        <v>45449</v>
      </c>
      <c r="E1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7" s="39">
        <f>IFERROR(VLOOKUP(RES_AB[[#This Row],[Reserva]],Tabela8[[Reserva]:[Usuário]],7,FALSE),Dados!$A$17)</f>
        <v>0.33333333333333331</v>
      </c>
      <c r="G187" s="40">
        <f>IF(RES_AB[[#This Row],[Reserva]]="","",IF(RES_AB[[#This Row],[Hora Int WMS]]&lt;Dados!$A$16,2,2))</f>
        <v>2</v>
      </c>
      <c r="H187" s="40" t="str">
        <f>IF(RES_AB[[#This Row],[Reserva]]="","",IFERROR(VLOOKUP(RES_AB[[#This Row],[Reserva]],Tabela3[[Reserva]:[Condição para Faturamento]],20,FALSE),"IMPORTADO COM SUCESSO"))</f>
        <v>PEDIDO EM LABORATORIO</v>
      </c>
      <c r="I187" s="38">
        <f>IF(RES_AB[[#This Row],[Data base]]="","",WORKDAY(RES_AB[[#This Row],[Data Reserva - Feriado e Fds]],RES_AB[[#This Row],[Dias para atendimento]],Feriados[Data]))</f>
        <v>45453</v>
      </c>
      <c r="J187" s="40" t="str">
        <f ca="1">IF(RES_AB[[#This Row],[Reserva]]="","",CONCATENATE("D+",NETWORKDAYS(RES_AB[[#This Row],[Data Reserva - Feriado e Fds]],TODAY(),Feriados[Data])-1))</f>
        <v>D+1</v>
      </c>
      <c r="K187" s="40" t="str">
        <f ca="1">IF(RES_AB[[#This Row],[Reserva]]="","",CONCATENATE(RES_AB[[#This Row],[Cen.]]," | ",RES_AB[[#This Row],[SLA2]]))</f>
        <v>11XD | D+1</v>
      </c>
      <c r="L187" s="40">
        <f ca="1">IF(RES_AB[[#This Row],[Reserva]]="","",IF(RES_AB[[#This Row],[SLA2]]=RES_AB[[#This Row],[Reserva]]="","",COUNTIF(MB25_VOLUMETRIA[Reserva],RES_AB[[#This Row],[Reserva]])))</f>
        <v>1</v>
      </c>
      <c r="M1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7" s="37" t="str">
        <f>IF(RES_AB[[#This Row],[Cen.]]="","",IFERROR(VLOOKUP(RES_AB[[#This Row],[Cen.]],Dados_Empresas[],2,FALSE),"Verificar empresa"))</f>
        <v>TELMEX</v>
      </c>
      <c r="P187" s="37" t="str">
        <f>IF(RES_AB[[#This Row],[Empresa]]="","",IF(OR(RES_AB[[#This Row],[Empresa]]="NET MASSIVO",RES_AB[[#This Row],[Empresa]]="NET PROJETOS"),"NET","EMPRESARIAL"))</f>
        <v>EMPRESARIAL</v>
      </c>
      <c r="Q187" s="37" t="str">
        <f>IF(RES_AB[[#This Row],[Reserva]]="","",IFERROR(VLOOKUP(RES_AB[[#This Row],[Reserva]],Tabela3[[Reserva]:[Descrição do status]],18,FALSE),"CONVENCIONAL"))</f>
        <v>CONVENCIONAL</v>
      </c>
    </row>
    <row r="188" spans="1:17" x14ac:dyDescent="0.25">
      <c r="A188" s="37">
        <v>4382736</v>
      </c>
      <c r="B188" s="37" t="s">
        <v>20</v>
      </c>
      <c r="C188" s="38" t="s">
        <v>19</v>
      </c>
      <c r="D188" s="38">
        <v>45449</v>
      </c>
      <c r="E1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8" s="39">
        <f>IFERROR(VLOOKUP(RES_AB[[#This Row],[Reserva]],Tabela8[[Reserva]:[Usuário]],7,FALSE),Dados!$A$17)</f>
        <v>0.33333333333333331</v>
      </c>
      <c r="G188" s="40">
        <f>IF(RES_AB[[#This Row],[Reserva]]="","",IF(RES_AB[[#This Row],[Hora Int WMS]]&lt;Dados!$A$16,2,2))</f>
        <v>2</v>
      </c>
      <c r="H188" s="40" t="str">
        <f>IF(RES_AB[[#This Row],[Reserva]]="","",IFERROR(VLOOKUP(RES_AB[[#This Row],[Reserva]],Tabela3[[Reserva]:[Condição para Faturamento]],20,FALSE),"IMPORTADO COM SUCESSO"))</f>
        <v>PEDIDO EM LABORATORIO</v>
      </c>
      <c r="I188" s="38">
        <f>IF(RES_AB[[#This Row],[Data base]]="","",WORKDAY(RES_AB[[#This Row],[Data Reserva - Feriado e Fds]],RES_AB[[#This Row],[Dias para atendimento]],Feriados[Data]))</f>
        <v>45453</v>
      </c>
      <c r="J188" s="40" t="str">
        <f ca="1">IF(RES_AB[[#This Row],[Reserva]]="","",CONCATENATE("D+",NETWORKDAYS(RES_AB[[#This Row],[Data Reserva - Feriado e Fds]],TODAY(),Feriados[Data])-1))</f>
        <v>D+1</v>
      </c>
      <c r="K188" s="40" t="str">
        <f ca="1">IF(RES_AB[[#This Row],[Reserva]]="","",CONCATENATE(RES_AB[[#This Row],[Cen.]]," | ",RES_AB[[#This Row],[SLA2]]))</f>
        <v>11XD | D+1</v>
      </c>
      <c r="L188" s="40">
        <f ca="1">IF(RES_AB[[#This Row],[Reserva]]="","",IF(RES_AB[[#This Row],[SLA2]]=RES_AB[[#This Row],[Reserva]]="","",COUNTIF(MB25_VOLUMETRIA[Reserva],RES_AB[[#This Row],[Reserva]])))</f>
        <v>1</v>
      </c>
      <c r="M1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8" s="37" t="str">
        <f>IF(RES_AB[[#This Row],[Cen.]]="","",IFERROR(VLOOKUP(RES_AB[[#This Row],[Cen.]],Dados_Empresas[],2,FALSE),"Verificar empresa"))</f>
        <v>TELMEX</v>
      </c>
      <c r="P188" s="37" t="str">
        <f>IF(RES_AB[[#This Row],[Empresa]]="","",IF(OR(RES_AB[[#This Row],[Empresa]]="NET MASSIVO",RES_AB[[#This Row],[Empresa]]="NET PROJETOS"),"NET","EMPRESARIAL"))</f>
        <v>EMPRESARIAL</v>
      </c>
      <c r="Q188" s="37" t="str">
        <f>IF(RES_AB[[#This Row],[Reserva]]="","",IFERROR(VLOOKUP(RES_AB[[#This Row],[Reserva]],Tabela3[[Reserva]:[Descrição do status]],18,FALSE),"CONVENCIONAL"))</f>
        <v>CONVENCIONAL</v>
      </c>
    </row>
    <row r="189" spans="1:17" x14ac:dyDescent="0.25">
      <c r="A189" s="37">
        <v>4382737</v>
      </c>
      <c r="B189" s="37" t="s">
        <v>20</v>
      </c>
      <c r="C189" s="38" t="s">
        <v>19</v>
      </c>
      <c r="D189" s="38">
        <v>45449</v>
      </c>
      <c r="E1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89" s="39">
        <f>IFERROR(VLOOKUP(RES_AB[[#This Row],[Reserva]],Tabela8[[Reserva]:[Usuário]],7,FALSE),Dados!$A$17)</f>
        <v>0.33333333333333331</v>
      </c>
      <c r="G189" s="40">
        <f>IF(RES_AB[[#This Row],[Reserva]]="","",IF(RES_AB[[#This Row],[Hora Int WMS]]&lt;Dados!$A$16,2,2))</f>
        <v>2</v>
      </c>
      <c r="H189" s="40" t="str">
        <f>IF(RES_AB[[#This Row],[Reserva]]="","",IFERROR(VLOOKUP(RES_AB[[#This Row],[Reserva]],Tabela3[[Reserva]:[Condição para Faturamento]],20,FALSE),"IMPORTADO COM SUCESSO"))</f>
        <v>PEDIDO EM LABORATORIO</v>
      </c>
      <c r="I189" s="38">
        <f>IF(RES_AB[[#This Row],[Data base]]="","",WORKDAY(RES_AB[[#This Row],[Data Reserva - Feriado e Fds]],RES_AB[[#This Row],[Dias para atendimento]],Feriados[Data]))</f>
        <v>45453</v>
      </c>
      <c r="J189" s="40" t="str">
        <f ca="1">IF(RES_AB[[#This Row],[Reserva]]="","",CONCATENATE("D+",NETWORKDAYS(RES_AB[[#This Row],[Data Reserva - Feriado e Fds]],TODAY(),Feriados[Data])-1))</f>
        <v>D+1</v>
      </c>
      <c r="K189" s="40" t="str">
        <f ca="1">IF(RES_AB[[#This Row],[Reserva]]="","",CONCATENATE(RES_AB[[#This Row],[Cen.]]," | ",RES_AB[[#This Row],[SLA2]]))</f>
        <v>11XD | D+1</v>
      </c>
      <c r="L189" s="40">
        <f ca="1">IF(RES_AB[[#This Row],[Reserva]]="","",IF(RES_AB[[#This Row],[SLA2]]=RES_AB[[#This Row],[Reserva]]="","",COUNTIF(MB25_VOLUMETRIA[Reserva],RES_AB[[#This Row],[Reserva]])))</f>
        <v>1</v>
      </c>
      <c r="M1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89" s="37" t="str">
        <f>IF(RES_AB[[#This Row],[Cen.]]="","",IFERROR(VLOOKUP(RES_AB[[#This Row],[Cen.]],Dados_Empresas[],2,FALSE),"Verificar empresa"))</f>
        <v>TELMEX</v>
      </c>
      <c r="P189" s="37" t="str">
        <f>IF(RES_AB[[#This Row],[Empresa]]="","",IF(OR(RES_AB[[#This Row],[Empresa]]="NET MASSIVO",RES_AB[[#This Row],[Empresa]]="NET PROJETOS"),"NET","EMPRESARIAL"))</f>
        <v>EMPRESARIAL</v>
      </c>
      <c r="Q189" s="37" t="str">
        <f>IF(RES_AB[[#This Row],[Reserva]]="","",IFERROR(VLOOKUP(RES_AB[[#This Row],[Reserva]],Tabela3[[Reserva]:[Descrição do status]],18,FALSE),"CONVENCIONAL"))</f>
        <v>CONVENCIONAL</v>
      </c>
    </row>
    <row r="190" spans="1:17" x14ac:dyDescent="0.25">
      <c r="A190" s="37">
        <v>4382738</v>
      </c>
      <c r="B190" s="37" t="s">
        <v>20</v>
      </c>
      <c r="C190" s="38" t="s">
        <v>19</v>
      </c>
      <c r="D190" s="38">
        <v>45449</v>
      </c>
      <c r="E1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0" s="39">
        <f>IFERROR(VLOOKUP(RES_AB[[#This Row],[Reserva]],Tabela8[[Reserva]:[Usuário]],7,FALSE),Dados!$A$17)</f>
        <v>0.33333333333333331</v>
      </c>
      <c r="G190" s="40">
        <f>IF(RES_AB[[#This Row],[Reserva]]="","",IF(RES_AB[[#This Row],[Hora Int WMS]]&lt;Dados!$A$16,2,2))</f>
        <v>2</v>
      </c>
      <c r="H190" s="40" t="str">
        <f>IF(RES_AB[[#This Row],[Reserva]]="","",IFERROR(VLOOKUP(RES_AB[[#This Row],[Reserva]],Tabela3[[Reserva]:[Condição para Faturamento]],20,FALSE),"IMPORTADO COM SUCESSO"))</f>
        <v>PEDIDO EM LABORATORIO</v>
      </c>
      <c r="I190" s="38">
        <f>IF(RES_AB[[#This Row],[Data base]]="","",WORKDAY(RES_AB[[#This Row],[Data Reserva - Feriado e Fds]],RES_AB[[#This Row],[Dias para atendimento]],Feriados[Data]))</f>
        <v>45453</v>
      </c>
      <c r="J190" s="40" t="str">
        <f ca="1">IF(RES_AB[[#This Row],[Reserva]]="","",CONCATENATE("D+",NETWORKDAYS(RES_AB[[#This Row],[Data Reserva - Feriado e Fds]],TODAY(),Feriados[Data])-1))</f>
        <v>D+1</v>
      </c>
      <c r="K190" s="40" t="str">
        <f ca="1">IF(RES_AB[[#This Row],[Reserva]]="","",CONCATENATE(RES_AB[[#This Row],[Cen.]]," | ",RES_AB[[#This Row],[SLA2]]))</f>
        <v>11XD | D+1</v>
      </c>
      <c r="L190" s="40">
        <f ca="1">IF(RES_AB[[#This Row],[Reserva]]="","",IF(RES_AB[[#This Row],[SLA2]]=RES_AB[[#This Row],[Reserva]]="","",COUNTIF(MB25_VOLUMETRIA[Reserva],RES_AB[[#This Row],[Reserva]])))</f>
        <v>1</v>
      </c>
      <c r="M1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0" s="37" t="str">
        <f>IF(RES_AB[[#This Row],[Cen.]]="","",IFERROR(VLOOKUP(RES_AB[[#This Row],[Cen.]],Dados_Empresas[],2,FALSE),"Verificar empresa"))</f>
        <v>TELMEX</v>
      </c>
      <c r="P190" s="37" t="str">
        <f>IF(RES_AB[[#This Row],[Empresa]]="","",IF(OR(RES_AB[[#This Row],[Empresa]]="NET MASSIVO",RES_AB[[#This Row],[Empresa]]="NET PROJETOS"),"NET","EMPRESARIAL"))</f>
        <v>EMPRESARIAL</v>
      </c>
      <c r="Q190" s="37" t="str">
        <f>IF(RES_AB[[#This Row],[Reserva]]="","",IFERROR(VLOOKUP(RES_AB[[#This Row],[Reserva]],Tabela3[[Reserva]:[Descrição do status]],18,FALSE),"CONVENCIONAL"))</f>
        <v>CONVENCIONAL</v>
      </c>
    </row>
    <row r="191" spans="1:17" x14ac:dyDescent="0.25">
      <c r="A191" s="37">
        <v>4382739</v>
      </c>
      <c r="B191" s="37" t="s">
        <v>20</v>
      </c>
      <c r="C191" s="38" t="s">
        <v>19</v>
      </c>
      <c r="D191" s="38">
        <v>45449</v>
      </c>
      <c r="E1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1" s="39">
        <f>IFERROR(VLOOKUP(RES_AB[[#This Row],[Reserva]],Tabela8[[Reserva]:[Usuário]],7,FALSE),Dados!$A$17)</f>
        <v>0.33333333333333331</v>
      </c>
      <c r="G191" s="40">
        <f>IF(RES_AB[[#This Row],[Reserva]]="","",IF(RES_AB[[#This Row],[Hora Int WMS]]&lt;Dados!$A$16,2,2))</f>
        <v>2</v>
      </c>
      <c r="H191" s="40" t="str">
        <f>IF(RES_AB[[#This Row],[Reserva]]="","",IFERROR(VLOOKUP(RES_AB[[#This Row],[Reserva]],Tabela3[[Reserva]:[Condição para Faturamento]],20,FALSE),"IMPORTADO COM SUCESSO"))</f>
        <v>PEDIDO EM LABORATORIO</v>
      </c>
      <c r="I191" s="38">
        <f>IF(RES_AB[[#This Row],[Data base]]="","",WORKDAY(RES_AB[[#This Row],[Data Reserva - Feriado e Fds]],RES_AB[[#This Row],[Dias para atendimento]],Feriados[Data]))</f>
        <v>45453</v>
      </c>
      <c r="J191" s="40" t="str">
        <f ca="1">IF(RES_AB[[#This Row],[Reserva]]="","",CONCATENATE("D+",NETWORKDAYS(RES_AB[[#This Row],[Data Reserva - Feriado e Fds]],TODAY(),Feriados[Data])-1))</f>
        <v>D+1</v>
      </c>
      <c r="K191" s="40" t="str">
        <f ca="1">IF(RES_AB[[#This Row],[Reserva]]="","",CONCATENATE(RES_AB[[#This Row],[Cen.]]," | ",RES_AB[[#This Row],[SLA2]]))</f>
        <v>11XD | D+1</v>
      </c>
      <c r="L191" s="40">
        <f ca="1">IF(RES_AB[[#This Row],[Reserva]]="","",IF(RES_AB[[#This Row],[SLA2]]=RES_AB[[#This Row],[Reserva]]="","",COUNTIF(MB25_VOLUMETRIA[Reserva],RES_AB[[#This Row],[Reserva]])))</f>
        <v>1</v>
      </c>
      <c r="M1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1" s="37" t="str">
        <f>IF(RES_AB[[#This Row],[Cen.]]="","",IFERROR(VLOOKUP(RES_AB[[#This Row],[Cen.]],Dados_Empresas[],2,FALSE),"Verificar empresa"))</f>
        <v>TELMEX</v>
      </c>
      <c r="P191" s="37" t="str">
        <f>IF(RES_AB[[#This Row],[Empresa]]="","",IF(OR(RES_AB[[#This Row],[Empresa]]="NET MASSIVO",RES_AB[[#This Row],[Empresa]]="NET PROJETOS"),"NET","EMPRESARIAL"))</f>
        <v>EMPRESARIAL</v>
      </c>
      <c r="Q191" s="37" t="str">
        <f>IF(RES_AB[[#This Row],[Reserva]]="","",IFERROR(VLOOKUP(RES_AB[[#This Row],[Reserva]],Tabela3[[Reserva]:[Descrição do status]],18,FALSE),"CONVENCIONAL"))</f>
        <v>CONVENCIONAL</v>
      </c>
    </row>
    <row r="192" spans="1:17" x14ac:dyDescent="0.25">
      <c r="A192" s="37">
        <v>4382812</v>
      </c>
      <c r="B192" s="37" t="s">
        <v>20</v>
      </c>
      <c r="C192" s="38" t="s">
        <v>314</v>
      </c>
      <c r="D192" s="38">
        <v>45449</v>
      </c>
      <c r="E1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2" s="39">
        <f>IFERROR(VLOOKUP(RES_AB[[#This Row],[Reserva]],Tabela8[[Reserva]:[Usuário]],7,FALSE),Dados!$A$17)</f>
        <v>0.44282407407407409</v>
      </c>
      <c r="G192" s="40">
        <f>IF(RES_AB[[#This Row],[Reserva]]="","",IF(RES_AB[[#This Row],[Hora Int WMS]]&lt;Dados!$A$16,2,2))</f>
        <v>2</v>
      </c>
      <c r="H192" s="40" t="str">
        <f>IF(RES_AB[[#This Row],[Reserva]]="","",IFERROR(VLOOKUP(RES_AB[[#This Row],[Reserva]],Tabela3[[Reserva]:[Condição para Faturamento]],20,FALSE),"IMPORTADO COM SUCESSO"))</f>
        <v>PEDIDO EM LABORATORIO</v>
      </c>
      <c r="I192" s="38">
        <f>IF(RES_AB[[#This Row],[Data base]]="","",WORKDAY(RES_AB[[#This Row],[Data Reserva - Feriado e Fds]],RES_AB[[#This Row],[Dias para atendimento]],Feriados[Data]))</f>
        <v>45453</v>
      </c>
      <c r="J192" s="40" t="str">
        <f ca="1">IF(RES_AB[[#This Row],[Reserva]]="","",CONCATENATE("D+",NETWORKDAYS(RES_AB[[#This Row],[Data Reserva - Feriado e Fds]],TODAY(),Feriados[Data])-1))</f>
        <v>D+1</v>
      </c>
      <c r="K192" s="40" t="str">
        <f ca="1">IF(RES_AB[[#This Row],[Reserva]]="","",CONCATENATE(RES_AB[[#This Row],[Cen.]]," | ",RES_AB[[#This Row],[SLA2]]))</f>
        <v>11XD | D+1</v>
      </c>
      <c r="L192" s="40">
        <f ca="1">IF(RES_AB[[#This Row],[Reserva]]="","",IF(RES_AB[[#This Row],[SLA2]]=RES_AB[[#This Row],[Reserva]]="","",COUNTIF(MB25_VOLUMETRIA[Reserva],RES_AB[[#This Row],[Reserva]])))</f>
        <v>1</v>
      </c>
      <c r="M1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LAB|TELMEX</v>
      </c>
      <c r="N1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2" s="37" t="str">
        <f>IF(RES_AB[[#This Row],[Cen.]]="","",IFERROR(VLOOKUP(RES_AB[[#This Row],[Cen.]],Dados_Empresas[],2,FALSE),"Verificar empresa"))</f>
        <v>TELMEX</v>
      </c>
      <c r="P192" s="37" t="str">
        <f>IF(RES_AB[[#This Row],[Empresa]]="","",IF(OR(RES_AB[[#This Row],[Empresa]]="NET MASSIVO",RES_AB[[#This Row],[Empresa]]="NET PROJETOS"),"NET","EMPRESARIAL"))</f>
        <v>EMPRESARIAL</v>
      </c>
      <c r="Q192" s="37" t="str">
        <f>IF(RES_AB[[#This Row],[Reserva]]="","",IFERROR(VLOOKUP(RES_AB[[#This Row],[Reserva]],Tabela3[[Reserva]:[Descrição do status]],18,FALSE),"CONVENCIONAL"))</f>
        <v>CONVENCIONAL</v>
      </c>
    </row>
    <row r="193" spans="1:17" x14ac:dyDescent="0.25">
      <c r="A193" s="37">
        <v>4382865</v>
      </c>
      <c r="B193" s="37" t="s">
        <v>20</v>
      </c>
      <c r="C193" s="38" t="s">
        <v>419</v>
      </c>
      <c r="D193" s="38">
        <v>45449</v>
      </c>
      <c r="E1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3" s="39">
        <f>IFERROR(VLOOKUP(RES_AB[[#This Row],[Reserva]],Tabela8[[Reserva]:[Usuário]],7,FALSE),Dados!$A$17)</f>
        <v>0.49664351851851851</v>
      </c>
      <c r="G193" s="40">
        <f>IF(RES_AB[[#This Row],[Reserva]]="","",IF(RES_AB[[#This Row],[Hora Int WMS]]&lt;Dados!$A$16,2,2))</f>
        <v>2</v>
      </c>
      <c r="H193" s="40" t="str">
        <f>IF(RES_AB[[#This Row],[Reserva]]="","",IFERROR(VLOOKUP(RES_AB[[#This Row],[Reserva]],Tabela3[[Reserva]:[Condição para Faturamento]],20,FALSE),"IMPORTADO COM SUCESSO"))</f>
        <v>EM SEPARAÇÃO</v>
      </c>
      <c r="I193" s="38">
        <f>IF(RES_AB[[#This Row],[Data base]]="","",WORKDAY(RES_AB[[#This Row],[Data Reserva - Feriado e Fds]],RES_AB[[#This Row],[Dias para atendimento]],Feriados[Data]))</f>
        <v>45453</v>
      </c>
      <c r="J193" s="40" t="str">
        <f ca="1">IF(RES_AB[[#This Row],[Reserva]]="","",CONCATENATE("D+",NETWORKDAYS(RES_AB[[#This Row],[Data Reserva - Feriado e Fds]],TODAY(),Feriados[Data])-1))</f>
        <v>D+1</v>
      </c>
      <c r="K193" s="40" t="str">
        <f ca="1">IF(RES_AB[[#This Row],[Reserva]]="","",CONCATENATE(RES_AB[[#This Row],[Cen.]]," | ",RES_AB[[#This Row],[SLA2]]))</f>
        <v>11XD | D+1</v>
      </c>
      <c r="L193" s="40">
        <f ca="1">IF(RES_AB[[#This Row],[Reserva]]="","",IF(RES_AB[[#This Row],[SLA2]]=RES_AB[[#This Row],[Reserva]]="","",COUNTIF(MB25_VOLUMETRIA[Reserva],RES_AB[[#This Row],[Reserva]])))</f>
        <v>2</v>
      </c>
      <c r="M1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3" s="37" t="str">
        <f>IF(RES_AB[[#This Row],[Cen.]]="","",IFERROR(VLOOKUP(RES_AB[[#This Row],[Cen.]],Dados_Empresas[],2,FALSE),"Verificar empresa"))</f>
        <v>TELMEX</v>
      </c>
      <c r="P193" s="37" t="str">
        <f>IF(RES_AB[[#This Row],[Empresa]]="","",IF(OR(RES_AB[[#This Row],[Empresa]]="NET MASSIVO",RES_AB[[#This Row],[Empresa]]="NET PROJETOS"),"NET","EMPRESARIAL"))</f>
        <v>EMPRESARIAL</v>
      </c>
      <c r="Q193" s="37" t="str">
        <f>IF(RES_AB[[#This Row],[Reserva]]="","",IFERROR(VLOOKUP(RES_AB[[#This Row],[Reserva]],Tabela3[[Reserva]:[Descrição do status]],18,FALSE),"CONVENCIONAL"))</f>
        <v>CONVENCIONAL</v>
      </c>
    </row>
    <row r="194" spans="1:17" x14ac:dyDescent="0.25">
      <c r="A194" s="37">
        <v>4383021</v>
      </c>
      <c r="B194" s="37" t="s">
        <v>20</v>
      </c>
      <c r="C194" s="38" t="s">
        <v>20</v>
      </c>
      <c r="D194" s="38">
        <v>45449</v>
      </c>
      <c r="E1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4" s="39">
        <f>IFERROR(VLOOKUP(RES_AB[[#This Row],[Reserva]],Tabela8[[Reserva]:[Usuário]],7,FALSE),Dados!$A$17)</f>
        <v>0.33333333333333331</v>
      </c>
      <c r="G194" s="40">
        <f>IF(RES_AB[[#This Row],[Reserva]]="","",IF(RES_AB[[#This Row],[Hora Int WMS]]&lt;Dados!$A$16,2,2))</f>
        <v>2</v>
      </c>
      <c r="H194" s="40" t="str">
        <f>IF(RES_AB[[#This Row],[Reserva]]="","",IFERROR(VLOOKUP(RES_AB[[#This Row],[Reserva]],Tabela3[[Reserva]:[Condição para Faturamento]],20,FALSE),"IMPORTADO COM SUCESSO"))</f>
        <v>AGUARDANDO SEPARAÇÃO</v>
      </c>
      <c r="I194" s="38">
        <f>IF(RES_AB[[#This Row],[Data base]]="","",WORKDAY(RES_AB[[#This Row],[Data Reserva - Feriado e Fds]],RES_AB[[#This Row],[Dias para atendimento]],Feriados[Data]))</f>
        <v>45453</v>
      </c>
      <c r="J194" s="40" t="str">
        <f ca="1">IF(RES_AB[[#This Row],[Reserva]]="","",CONCATENATE("D+",NETWORKDAYS(RES_AB[[#This Row],[Data Reserva - Feriado e Fds]],TODAY(),Feriados[Data])-1))</f>
        <v>D+1</v>
      </c>
      <c r="K194" s="40" t="str">
        <f ca="1">IF(RES_AB[[#This Row],[Reserva]]="","",CONCATENATE(RES_AB[[#This Row],[Cen.]]," | ",RES_AB[[#This Row],[SLA2]]))</f>
        <v>11XD | D+1</v>
      </c>
      <c r="L194" s="40">
        <f ca="1">IF(RES_AB[[#This Row],[Reserva]]="","",IF(RES_AB[[#This Row],[SLA2]]=RES_AB[[#This Row],[Reserva]]="","",COUNTIF(MB25_VOLUMETRIA[Reserva],RES_AB[[#This Row],[Reserva]])))</f>
        <v>1</v>
      </c>
      <c r="M1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4" s="37" t="str">
        <f>IF(RES_AB[[#This Row],[Cen.]]="","",IFERROR(VLOOKUP(RES_AB[[#This Row],[Cen.]],Dados_Empresas[],2,FALSE),"Verificar empresa"))</f>
        <v>TELMEX</v>
      </c>
      <c r="P194" s="37" t="str">
        <f>IF(RES_AB[[#This Row],[Empresa]]="","",IF(OR(RES_AB[[#This Row],[Empresa]]="NET MASSIVO",RES_AB[[#This Row],[Empresa]]="NET PROJETOS"),"NET","EMPRESARIAL"))</f>
        <v>EMPRESARIAL</v>
      </c>
      <c r="Q194" s="37" t="str">
        <f>IF(RES_AB[[#This Row],[Reserva]]="","",IFERROR(VLOOKUP(RES_AB[[#This Row],[Reserva]],Tabela3[[Reserva]:[Descrição do status]],18,FALSE),"CONVENCIONAL"))</f>
        <v>CONVENCIONAL</v>
      </c>
    </row>
    <row r="195" spans="1:17" x14ac:dyDescent="0.25">
      <c r="A195" s="37">
        <v>4383022</v>
      </c>
      <c r="B195" s="37" t="s">
        <v>20</v>
      </c>
      <c r="C195" s="38" t="s">
        <v>20</v>
      </c>
      <c r="D195" s="38">
        <v>45449</v>
      </c>
      <c r="E1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5" s="39">
        <f>IFERROR(VLOOKUP(RES_AB[[#This Row],[Reserva]],Tabela8[[Reserva]:[Usuário]],7,FALSE),Dados!$A$17)</f>
        <v>0.33333333333333331</v>
      </c>
      <c r="G195" s="40">
        <f>IF(RES_AB[[#This Row],[Reserva]]="","",IF(RES_AB[[#This Row],[Hora Int WMS]]&lt;Dados!$A$16,2,2))</f>
        <v>2</v>
      </c>
      <c r="H195" s="40" t="str">
        <f>IF(RES_AB[[#This Row],[Reserva]]="","",IFERROR(VLOOKUP(RES_AB[[#This Row],[Reserva]],Tabela3[[Reserva]:[Condição para Faturamento]],20,FALSE),"IMPORTADO COM SUCESSO"))</f>
        <v>AGUARDANDO SEPARAÇÃO</v>
      </c>
      <c r="I195" s="38">
        <f>IF(RES_AB[[#This Row],[Data base]]="","",WORKDAY(RES_AB[[#This Row],[Data Reserva - Feriado e Fds]],RES_AB[[#This Row],[Dias para atendimento]],Feriados[Data]))</f>
        <v>45453</v>
      </c>
      <c r="J195" s="40" t="str">
        <f ca="1">IF(RES_AB[[#This Row],[Reserva]]="","",CONCATENATE("D+",NETWORKDAYS(RES_AB[[#This Row],[Data Reserva - Feriado e Fds]],TODAY(),Feriados[Data])-1))</f>
        <v>D+1</v>
      </c>
      <c r="K195" s="40" t="str">
        <f ca="1">IF(RES_AB[[#This Row],[Reserva]]="","",CONCATENATE(RES_AB[[#This Row],[Cen.]]," | ",RES_AB[[#This Row],[SLA2]]))</f>
        <v>11XD | D+1</v>
      </c>
      <c r="L195" s="40">
        <f ca="1">IF(RES_AB[[#This Row],[Reserva]]="","",IF(RES_AB[[#This Row],[SLA2]]=RES_AB[[#This Row],[Reserva]]="","",COUNTIF(MB25_VOLUMETRIA[Reserva],RES_AB[[#This Row],[Reserva]])))</f>
        <v>1</v>
      </c>
      <c r="M1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5" s="37" t="str">
        <f>IF(RES_AB[[#This Row],[Cen.]]="","",IFERROR(VLOOKUP(RES_AB[[#This Row],[Cen.]],Dados_Empresas[],2,FALSE),"Verificar empresa"))</f>
        <v>TELMEX</v>
      </c>
      <c r="P195" s="37" t="str">
        <f>IF(RES_AB[[#This Row],[Empresa]]="","",IF(OR(RES_AB[[#This Row],[Empresa]]="NET MASSIVO",RES_AB[[#This Row],[Empresa]]="NET PROJETOS"),"NET","EMPRESARIAL"))</f>
        <v>EMPRESARIAL</v>
      </c>
      <c r="Q195" s="37" t="str">
        <f>IF(RES_AB[[#This Row],[Reserva]]="","",IFERROR(VLOOKUP(RES_AB[[#This Row],[Reserva]],Tabela3[[Reserva]:[Descrição do status]],18,FALSE),"CONVENCIONAL"))</f>
        <v>CONVENCIONAL</v>
      </c>
    </row>
    <row r="196" spans="1:17" x14ac:dyDescent="0.25">
      <c r="A196" s="37">
        <v>4383023</v>
      </c>
      <c r="B196" s="37" t="s">
        <v>20</v>
      </c>
      <c r="C196" s="38" t="s">
        <v>20</v>
      </c>
      <c r="D196" s="38">
        <v>45449</v>
      </c>
      <c r="E1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6" s="39">
        <f>IFERROR(VLOOKUP(RES_AB[[#This Row],[Reserva]],Tabela8[[Reserva]:[Usuário]],7,FALSE),Dados!$A$17)</f>
        <v>0.33333333333333331</v>
      </c>
      <c r="G196" s="40">
        <f>IF(RES_AB[[#This Row],[Reserva]]="","",IF(RES_AB[[#This Row],[Hora Int WMS]]&lt;Dados!$A$16,2,2))</f>
        <v>2</v>
      </c>
      <c r="H196" s="40" t="str">
        <f>IF(RES_AB[[#This Row],[Reserva]]="","",IFERROR(VLOOKUP(RES_AB[[#This Row],[Reserva]],Tabela3[[Reserva]:[Condição para Faturamento]],20,FALSE),"IMPORTADO COM SUCESSO"))</f>
        <v>AGUARDANDO SEPARAÇÃO</v>
      </c>
      <c r="I196" s="38">
        <f>IF(RES_AB[[#This Row],[Data base]]="","",WORKDAY(RES_AB[[#This Row],[Data Reserva - Feriado e Fds]],RES_AB[[#This Row],[Dias para atendimento]],Feriados[Data]))</f>
        <v>45453</v>
      </c>
      <c r="J196" s="40" t="str">
        <f ca="1">IF(RES_AB[[#This Row],[Reserva]]="","",CONCATENATE("D+",NETWORKDAYS(RES_AB[[#This Row],[Data Reserva - Feriado e Fds]],TODAY(),Feriados[Data])-1))</f>
        <v>D+1</v>
      </c>
      <c r="K196" s="40" t="str">
        <f ca="1">IF(RES_AB[[#This Row],[Reserva]]="","",CONCATENATE(RES_AB[[#This Row],[Cen.]]," | ",RES_AB[[#This Row],[SLA2]]))</f>
        <v>11XD | D+1</v>
      </c>
      <c r="L196" s="40">
        <f ca="1">IF(RES_AB[[#This Row],[Reserva]]="","",IF(RES_AB[[#This Row],[SLA2]]=RES_AB[[#This Row],[Reserva]]="","",COUNTIF(MB25_VOLUMETRIA[Reserva],RES_AB[[#This Row],[Reserva]])))</f>
        <v>1</v>
      </c>
      <c r="M1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6" s="37" t="str">
        <f>IF(RES_AB[[#This Row],[Cen.]]="","",IFERROR(VLOOKUP(RES_AB[[#This Row],[Cen.]],Dados_Empresas[],2,FALSE),"Verificar empresa"))</f>
        <v>TELMEX</v>
      </c>
      <c r="P196" s="37" t="str">
        <f>IF(RES_AB[[#This Row],[Empresa]]="","",IF(OR(RES_AB[[#This Row],[Empresa]]="NET MASSIVO",RES_AB[[#This Row],[Empresa]]="NET PROJETOS"),"NET","EMPRESARIAL"))</f>
        <v>EMPRESARIAL</v>
      </c>
      <c r="Q196" s="37" t="str">
        <f>IF(RES_AB[[#This Row],[Reserva]]="","",IFERROR(VLOOKUP(RES_AB[[#This Row],[Reserva]],Tabela3[[Reserva]:[Descrição do status]],18,FALSE),"CONVENCIONAL"))</f>
        <v>CONVENCIONAL</v>
      </c>
    </row>
    <row r="197" spans="1:17" x14ac:dyDescent="0.25">
      <c r="A197" s="37">
        <v>4383024</v>
      </c>
      <c r="B197" s="37" t="s">
        <v>20</v>
      </c>
      <c r="C197" s="38" t="s">
        <v>20</v>
      </c>
      <c r="D197" s="38">
        <v>45449</v>
      </c>
      <c r="E1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7" s="39">
        <f>IFERROR(VLOOKUP(RES_AB[[#This Row],[Reserva]],Tabela8[[Reserva]:[Usuário]],7,FALSE),Dados!$A$17)</f>
        <v>0.33333333333333331</v>
      </c>
      <c r="G197" s="40">
        <f>IF(RES_AB[[#This Row],[Reserva]]="","",IF(RES_AB[[#This Row],[Hora Int WMS]]&lt;Dados!$A$16,2,2))</f>
        <v>2</v>
      </c>
      <c r="H197" s="40" t="str">
        <f>IF(RES_AB[[#This Row],[Reserva]]="","",IFERROR(VLOOKUP(RES_AB[[#This Row],[Reserva]],Tabela3[[Reserva]:[Condição para Faturamento]],20,FALSE),"IMPORTADO COM SUCESSO"))</f>
        <v>AGUARDANDO SEPARAÇÃO</v>
      </c>
      <c r="I197" s="38">
        <f>IF(RES_AB[[#This Row],[Data base]]="","",WORKDAY(RES_AB[[#This Row],[Data Reserva - Feriado e Fds]],RES_AB[[#This Row],[Dias para atendimento]],Feriados[Data]))</f>
        <v>45453</v>
      </c>
      <c r="J197" s="40" t="str">
        <f ca="1">IF(RES_AB[[#This Row],[Reserva]]="","",CONCATENATE("D+",NETWORKDAYS(RES_AB[[#This Row],[Data Reserva - Feriado e Fds]],TODAY(),Feriados[Data])-1))</f>
        <v>D+1</v>
      </c>
      <c r="K197" s="40" t="str">
        <f ca="1">IF(RES_AB[[#This Row],[Reserva]]="","",CONCATENATE(RES_AB[[#This Row],[Cen.]]," | ",RES_AB[[#This Row],[SLA2]]))</f>
        <v>11XD | D+1</v>
      </c>
      <c r="L197" s="40">
        <f ca="1">IF(RES_AB[[#This Row],[Reserva]]="","",IF(RES_AB[[#This Row],[SLA2]]=RES_AB[[#This Row],[Reserva]]="","",COUNTIF(MB25_VOLUMETRIA[Reserva],RES_AB[[#This Row],[Reserva]])))</f>
        <v>1</v>
      </c>
      <c r="M1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7" s="37" t="str">
        <f>IF(RES_AB[[#This Row],[Cen.]]="","",IFERROR(VLOOKUP(RES_AB[[#This Row],[Cen.]],Dados_Empresas[],2,FALSE),"Verificar empresa"))</f>
        <v>TELMEX</v>
      </c>
      <c r="P197" s="37" t="str">
        <f>IF(RES_AB[[#This Row],[Empresa]]="","",IF(OR(RES_AB[[#This Row],[Empresa]]="NET MASSIVO",RES_AB[[#This Row],[Empresa]]="NET PROJETOS"),"NET","EMPRESARIAL"))</f>
        <v>EMPRESARIAL</v>
      </c>
      <c r="Q197" s="37" t="str">
        <f>IF(RES_AB[[#This Row],[Reserva]]="","",IFERROR(VLOOKUP(RES_AB[[#This Row],[Reserva]],Tabela3[[Reserva]:[Descrição do status]],18,FALSE),"CONVENCIONAL"))</f>
        <v>CONVENCIONAL</v>
      </c>
    </row>
    <row r="198" spans="1:17" x14ac:dyDescent="0.25">
      <c r="A198" s="37">
        <v>4383025</v>
      </c>
      <c r="B198" s="37" t="s">
        <v>20</v>
      </c>
      <c r="C198" s="38" t="s">
        <v>20</v>
      </c>
      <c r="D198" s="38">
        <v>45449</v>
      </c>
      <c r="E1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8" s="39">
        <f>IFERROR(VLOOKUP(RES_AB[[#This Row],[Reserva]],Tabela8[[Reserva]:[Usuário]],7,FALSE),Dados!$A$17)</f>
        <v>0.68657407407407411</v>
      </c>
      <c r="G198" s="40">
        <f>IF(RES_AB[[#This Row],[Reserva]]="","",IF(RES_AB[[#This Row],[Hora Int WMS]]&lt;Dados!$A$16,2,2))</f>
        <v>2</v>
      </c>
      <c r="H198" s="40" t="str">
        <f>IF(RES_AB[[#This Row],[Reserva]]="","",IFERROR(VLOOKUP(RES_AB[[#This Row],[Reserva]],Tabela3[[Reserva]:[Condição para Faturamento]],20,FALSE),"IMPORTADO COM SUCESSO"))</f>
        <v>IMPORTADO</v>
      </c>
      <c r="I198" s="38">
        <f>IF(RES_AB[[#This Row],[Data base]]="","",WORKDAY(RES_AB[[#This Row],[Data Reserva - Feriado e Fds]],RES_AB[[#This Row],[Dias para atendimento]],Feriados[Data]))</f>
        <v>45453</v>
      </c>
      <c r="J198" s="40" t="str">
        <f ca="1">IF(RES_AB[[#This Row],[Reserva]]="","",CONCATENATE("D+",NETWORKDAYS(RES_AB[[#This Row],[Data Reserva - Feriado e Fds]],TODAY(),Feriados[Data])-1))</f>
        <v>D+1</v>
      </c>
      <c r="K198" s="40" t="str">
        <f ca="1">IF(RES_AB[[#This Row],[Reserva]]="","",CONCATENATE(RES_AB[[#This Row],[Cen.]]," | ",RES_AB[[#This Row],[SLA2]]))</f>
        <v>11XD | D+1</v>
      </c>
      <c r="L198" s="40">
        <f ca="1">IF(RES_AB[[#This Row],[Reserva]]="","",IF(RES_AB[[#This Row],[SLA2]]=RES_AB[[#This Row],[Reserva]]="","",COUNTIF(MB25_VOLUMETRIA[Reserva],RES_AB[[#This Row],[Reserva]])))</f>
        <v>1</v>
      </c>
      <c r="M1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8" s="37" t="str">
        <f>IF(RES_AB[[#This Row],[Cen.]]="","",IFERROR(VLOOKUP(RES_AB[[#This Row],[Cen.]],Dados_Empresas[],2,FALSE),"Verificar empresa"))</f>
        <v>TELMEX</v>
      </c>
      <c r="P198" s="37" t="str">
        <f>IF(RES_AB[[#This Row],[Empresa]]="","",IF(OR(RES_AB[[#This Row],[Empresa]]="NET MASSIVO",RES_AB[[#This Row],[Empresa]]="NET PROJETOS"),"NET","EMPRESARIAL"))</f>
        <v>EMPRESARIAL</v>
      </c>
      <c r="Q198" s="37" t="str">
        <f>IF(RES_AB[[#This Row],[Reserva]]="","",IFERROR(VLOOKUP(RES_AB[[#This Row],[Reserva]],Tabela3[[Reserva]:[Descrição do status]],18,FALSE),"CONVENCIONAL"))</f>
        <v>CONVENCIONAL</v>
      </c>
    </row>
    <row r="199" spans="1:17" x14ac:dyDescent="0.25">
      <c r="A199" s="37">
        <v>4383026</v>
      </c>
      <c r="B199" s="37" t="s">
        <v>20</v>
      </c>
      <c r="C199" s="38" t="s">
        <v>20</v>
      </c>
      <c r="D199" s="38">
        <v>45449</v>
      </c>
      <c r="E1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199" s="39">
        <f>IFERROR(VLOOKUP(RES_AB[[#This Row],[Reserva]],Tabela8[[Reserva]:[Usuário]],7,FALSE),Dados!$A$17)</f>
        <v>0.68668981481481484</v>
      </c>
      <c r="G199" s="40">
        <f>IF(RES_AB[[#This Row],[Reserva]]="","",IF(RES_AB[[#This Row],[Hora Int WMS]]&lt;Dados!$A$16,2,2))</f>
        <v>2</v>
      </c>
      <c r="H199" s="40" t="str">
        <f>IF(RES_AB[[#This Row],[Reserva]]="","",IFERROR(VLOOKUP(RES_AB[[#This Row],[Reserva]],Tabela3[[Reserva]:[Condição para Faturamento]],20,FALSE),"IMPORTADO COM SUCESSO"))</f>
        <v>IMPORTADO</v>
      </c>
      <c r="I199" s="38">
        <f>IF(RES_AB[[#This Row],[Data base]]="","",WORKDAY(RES_AB[[#This Row],[Data Reserva - Feriado e Fds]],RES_AB[[#This Row],[Dias para atendimento]],Feriados[Data]))</f>
        <v>45453</v>
      </c>
      <c r="J199" s="40" t="str">
        <f ca="1">IF(RES_AB[[#This Row],[Reserva]]="","",CONCATENATE("D+",NETWORKDAYS(RES_AB[[#This Row],[Data Reserva - Feriado e Fds]],TODAY(),Feriados[Data])-1))</f>
        <v>D+1</v>
      </c>
      <c r="K199" s="40" t="str">
        <f ca="1">IF(RES_AB[[#This Row],[Reserva]]="","",CONCATENATE(RES_AB[[#This Row],[Cen.]]," | ",RES_AB[[#This Row],[SLA2]]))</f>
        <v>11XD | D+1</v>
      </c>
      <c r="L199" s="40">
        <f ca="1">IF(RES_AB[[#This Row],[Reserva]]="","",IF(RES_AB[[#This Row],[SLA2]]=RES_AB[[#This Row],[Reserva]]="","",COUNTIF(MB25_VOLUMETRIA[Reserva],RES_AB[[#This Row],[Reserva]])))</f>
        <v>1</v>
      </c>
      <c r="M1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1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199" s="37" t="str">
        <f>IF(RES_AB[[#This Row],[Cen.]]="","",IFERROR(VLOOKUP(RES_AB[[#This Row],[Cen.]],Dados_Empresas[],2,FALSE),"Verificar empresa"))</f>
        <v>TELMEX</v>
      </c>
      <c r="P199" s="37" t="str">
        <f>IF(RES_AB[[#This Row],[Empresa]]="","",IF(OR(RES_AB[[#This Row],[Empresa]]="NET MASSIVO",RES_AB[[#This Row],[Empresa]]="NET PROJETOS"),"NET","EMPRESARIAL"))</f>
        <v>EMPRESARIAL</v>
      </c>
      <c r="Q199" s="37" t="str">
        <f>IF(RES_AB[[#This Row],[Reserva]]="","",IFERROR(VLOOKUP(RES_AB[[#This Row],[Reserva]],Tabela3[[Reserva]:[Descrição do status]],18,FALSE),"CONVENCIONAL"))</f>
        <v>CONVENCIONAL</v>
      </c>
    </row>
    <row r="200" spans="1:17" x14ac:dyDescent="0.25">
      <c r="A200" s="37">
        <v>4383027</v>
      </c>
      <c r="B200" s="37" t="s">
        <v>20</v>
      </c>
      <c r="C200" s="38" t="s">
        <v>20</v>
      </c>
      <c r="D200" s="38">
        <v>45449</v>
      </c>
      <c r="E2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0" s="39">
        <f>IFERROR(VLOOKUP(RES_AB[[#This Row],[Reserva]],Tabela8[[Reserva]:[Usuário]],7,FALSE),Dados!$A$17)</f>
        <v>0.68668981481481484</v>
      </c>
      <c r="G200" s="40">
        <f>IF(RES_AB[[#This Row],[Reserva]]="","",IF(RES_AB[[#This Row],[Hora Int WMS]]&lt;Dados!$A$16,2,2))</f>
        <v>2</v>
      </c>
      <c r="H200" s="40" t="str">
        <f>IF(RES_AB[[#This Row],[Reserva]]="","",IFERROR(VLOOKUP(RES_AB[[#This Row],[Reserva]],Tabela3[[Reserva]:[Condição para Faturamento]],20,FALSE),"IMPORTADO COM SUCESSO"))</f>
        <v>IMPORTADO</v>
      </c>
      <c r="I200" s="38">
        <f>IF(RES_AB[[#This Row],[Data base]]="","",WORKDAY(RES_AB[[#This Row],[Data Reserva - Feriado e Fds]],RES_AB[[#This Row],[Dias para atendimento]],Feriados[Data]))</f>
        <v>45453</v>
      </c>
      <c r="J200" s="40" t="str">
        <f ca="1">IF(RES_AB[[#This Row],[Reserva]]="","",CONCATENATE("D+",NETWORKDAYS(RES_AB[[#This Row],[Data Reserva - Feriado e Fds]],TODAY(),Feriados[Data])-1))</f>
        <v>D+1</v>
      </c>
      <c r="K200" s="40" t="str">
        <f ca="1">IF(RES_AB[[#This Row],[Reserva]]="","",CONCATENATE(RES_AB[[#This Row],[Cen.]]," | ",RES_AB[[#This Row],[SLA2]]))</f>
        <v>11XD | D+1</v>
      </c>
      <c r="L200" s="40">
        <f ca="1">IF(RES_AB[[#This Row],[Reserva]]="","",IF(RES_AB[[#This Row],[SLA2]]=RES_AB[[#This Row],[Reserva]]="","",COUNTIF(MB25_VOLUMETRIA[Reserva],RES_AB[[#This Row],[Reserva]])))</f>
        <v>2</v>
      </c>
      <c r="M2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0" s="37" t="str">
        <f>IF(RES_AB[[#This Row],[Cen.]]="","",IFERROR(VLOOKUP(RES_AB[[#This Row],[Cen.]],Dados_Empresas[],2,FALSE),"Verificar empresa"))</f>
        <v>TELMEX</v>
      </c>
      <c r="P200" s="37" t="str">
        <f>IF(RES_AB[[#This Row],[Empresa]]="","",IF(OR(RES_AB[[#This Row],[Empresa]]="NET MASSIVO",RES_AB[[#This Row],[Empresa]]="NET PROJETOS"),"NET","EMPRESARIAL"))</f>
        <v>EMPRESARIAL</v>
      </c>
      <c r="Q200" s="37" t="str">
        <f>IF(RES_AB[[#This Row],[Reserva]]="","",IFERROR(VLOOKUP(RES_AB[[#This Row],[Reserva]],Tabela3[[Reserva]:[Descrição do status]],18,FALSE),"CONVENCIONAL"))</f>
        <v>CONVENCIONAL</v>
      </c>
    </row>
    <row r="201" spans="1:17" x14ac:dyDescent="0.25">
      <c r="A201" s="37">
        <v>4383028</v>
      </c>
      <c r="B201" s="37" t="s">
        <v>20</v>
      </c>
      <c r="C201" s="38" t="s">
        <v>20</v>
      </c>
      <c r="D201" s="38">
        <v>45449</v>
      </c>
      <c r="E2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1" s="39">
        <f>IFERROR(VLOOKUP(RES_AB[[#This Row],[Reserva]],Tabela8[[Reserva]:[Usuário]],7,FALSE),Dados!$A$17)</f>
        <v>0.68680555555555556</v>
      </c>
      <c r="G201" s="40">
        <f>IF(RES_AB[[#This Row],[Reserva]]="","",IF(RES_AB[[#This Row],[Hora Int WMS]]&lt;Dados!$A$16,2,2))</f>
        <v>2</v>
      </c>
      <c r="H201" s="40" t="str">
        <f>IF(RES_AB[[#This Row],[Reserva]]="","",IFERROR(VLOOKUP(RES_AB[[#This Row],[Reserva]],Tabela3[[Reserva]:[Condição para Faturamento]],20,FALSE),"IMPORTADO COM SUCESSO"))</f>
        <v>IMPORTADO</v>
      </c>
      <c r="I201" s="38">
        <f>IF(RES_AB[[#This Row],[Data base]]="","",WORKDAY(RES_AB[[#This Row],[Data Reserva - Feriado e Fds]],RES_AB[[#This Row],[Dias para atendimento]],Feriados[Data]))</f>
        <v>45453</v>
      </c>
      <c r="J201" s="40" t="str">
        <f ca="1">IF(RES_AB[[#This Row],[Reserva]]="","",CONCATENATE("D+",NETWORKDAYS(RES_AB[[#This Row],[Data Reserva - Feriado e Fds]],TODAY(),Feriados[Data])-1))</f>
        <v>D+1</v>
      </c>
      <c r="K201" s="40" t="str">
        <f ca="1">IF(RES_AB[[#This Row],[Reserva]]="","",CONCATENATE(RES_AB[[#This Row],[Cen.]]," | ",RES_AB[[#This Row],[SLA2]]))</f>
        <v>11XD | D+1</v>
      </c>
      <c r="L201" s="40">
        <f ca="1">IF(RES_AB[[#This Row],[Reserva]]="","",IF(RES_AB[[#This Row],[SLA2]]=RES_AB[[#This Row],[Reserva]]="","",COUNTIF(MB25_VOLUMETRIA[Reserva],RES_AB[[#This Row],[Reserva]])))</f>
        <v>1</v>
      </c>
      <c r="M2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1" s="37" t="str">
        <f>IF(RES_AB[[#This Row],[Cen.]]="","",IFERROR(VLOOKUP(RES_AB[[#This Row],[Cen.]],Dados_Empresas[],2,FALSE),"Verificar empresa"))</f>
        <v>TELMEX</v>
      </c>
      <c r="P201" s="37" t="str">
        <f>IF(RES_AB[[#This Row],[Empresa]]="","",IF(OR(RES_AB[[#This Row],[Empresa]]="NET MASSIVO",RES_AB[[#This Row],[Empresa]]="NET PROJETOS"),"NET","EMPRESARIAL"))</f>
        <v>EMPRESARIAL</v>
      </c>
      <c r="Q201" s="37" t="str">
        <f>IF(RES_AB[[#This Row],[Reserva]]="","",IFERROR(VLOOKUP(RES_AB[[#This Row],[Reserva]],Tabela3[[Reserva]:[Descrição do status]],18,FALSE),"CONVENCIONAL"))</f>
        <v>CONVENCIONAL</v>
      </c>
    </row>
    <row r="202" spans="1:17" x14ac:dyDescent="0.25">
      <c r="A202" s="37">
        <v>4383029</v>
      </c>
      <c r="B202" s="37" t="s">
        <v>20</v>
      </c>
      <c r="C202" s="38" t="s">
        <v>20</v>
      </c>
      <c r="D202" s="38">
        <v>45449</v>
      </c>
      <c r="E2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2" s="39">
        <f>IFERROR(VLOOKUP(RES_AB[[#This Row],[Reserva]],Tabela8[[Reserva]:[Usuário]],7,FALSE),Dados!$A$17)</f>
        <v>0.68680555555555556</v>
      </c>
      <c r="G202" s="40">
        <f>IF(RES_AB[[#This Row],[Reserva]]="","",IF(RES_AB[[#This Row],[Hora Int WMS]]&lt;Dados!$A$16,2,2))</f>
        <v>2</v>
      </c>
      <c r="H202" s="40" t="str">
        <f>IF(RES_AB[[#This Row],[Reserva]]="","",IFERROR(VLOOKUP(RES_AB[[#This Row],[Reserva]],Tabela3[[Reserva]:[Condição para Faturamento]],20,FALSE),"IMPORTADO COM SUCESSO"))</f>
        <v>IMPORTADO</v>
      </c>
      <c r="I202" s="38">
        <f>IF(RES_AB[[#This Row],[Data base]]="","",WORKDAY(RES_AB[[#This Row],[Data Reserva - Feriado e Fds]],RES_AB[[#This Row],[Dias para atendimento]],Feriados[Data]))</f>
        <v>45453</v>
      </c>
      <c r="J202" s="40" t="str">
        <f ca="1">IF(RES_AB[[#This Row],[Reserva]]="","",CONCATENATE("D+",NETWORKDAYS(RES_AB[[#This Row],[Data Reserva - Feriado e Fds]],TODAY(),Feriados[Data])-1))</f>
        <v>D+1</v>
      </c>
      <c r="K202" s="40" t="str">
        <f ca="1">IF(RES_AB[[#This Row],[Reserva]]="","",CONCATENATE(RES_AB[[#This Row],[Cen.]]," | ",RES_AB[[#This Row],[SLA2]]))</f>
        <v>11XD | D+1</v>
      </c>
      <c r="L202" s="40">
        <f ca="1">IF(RES_AB[[#This Row],[Reserva]]="","",IF(RES_AB[[#This Row],[SLA2]]=RES_AB[[#This Row],[Reserva]]="","",COUNTIF(MB25_VOLUMETRIA[Reserva],RES_AB[[#This Row],[Reserva]])))</f>
        <v>1</v>
      </c>
      <c r="M2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2" s="37" t="str">
        <f>IF(RES_AB[[#This Row],[Cen.]]="","",IFERROR(VLOOKUP(RES_AB[[#This Row],[Cen.]],Dados_Empresas[],2,FALSE),"Verificar empresa"))</f>
        <v>TELMEX</v>
      </c>
      <c r="P202" s="37" t="str">
        <f>IF(RES_AB[[#This Row],[Empresa]]="","",IF(OR(RES_AB[[#This Row],[Empresa]]="NET MASSIVO",RES_AB[[#This Row],[Empresa]]="NET PROJETOS"),"NET","EMPRESARIAL"))</f>
        <v>EMPRESARIAL</v>
      </c>
      <c r="Q202" s="37" t="str">
        <f>IF(RES_AB[[#This Row],[Reserva]]="","",IFERROR(VLOOKUP(RES_AB[[#This Row],[Reserva]],Tabela3[[Reserva]:[Descrição do status]],18,FALSE),"CONVENCIONAL"))</f>
        <v>CONVENCIONAL</v>
      </c>
    </row>
    <row r="203" spans="1:17" x14ac:dyDescent="0.25">
      <c r="A203" s="37">
        <v>4383030</v>
      </c>
      <c r="B203" s="37" t="s">
        <v>20</v>
      </c>
      <c r="C203" s="38" t="s">
        <v>20</v>
      </c>
      <c r="D203" s="38">
        <v>45449</v>
      </c>
      <c r="E2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3" s="39">
        <f>IFERROR(VLOOKUP(RES_AB[[#This Row],[Reserva]],Tabela8[[Reserva]:[Usuário]],7,FALSE),Dados!$A$17)</f>
        <v>0.33333333333333331</v>
      </c>
      <c r="G203" s="40">
        <f>IF(RES_AB[[#This Row],[Reserva]]="","",IF(RES_AB[[#This Row],[Hora Int WMS]]&lt;Dados!$A$16,2,2))</f>
        <v>2</v>
      </c>
      <c r="H203" s="40" t="str">
        <f>IF(RES_AB[[#This Row],[Reserva]]="","",IFERROR(VLOOKUP(RES_AB[[#This Row],[Reserva]],Tabela3[[Reserva]:[Condição para Faturamento]],20,FALSE),"IMPORTADO COM SUCESSO"))</f>
        <v>IMPORTADO</v>
      </c>
      <c r="I203" s="38">
        <f>IF(RES_AB[[#This Row],[Data base]]="","",WORKDAY(RES_AB[[#This Row],[Data Reserva - Feriado e Fds]],RES_AB[[#This Row],[Dias para atendimento]],Feriados[Data]))</f>
        <v>45453</v>
      </c>
      <c r="J203" s="40" t="str">
        <f ca="1">IF(RES_AB[[#This Row],[Reserva]]="","",CONCATENATE("D+",NETWORKDAYS(RES_AB[[#This Row],[Data Reserva - Feriado e Fds]],TODAY(),Feriados[Data])-1))</f>
        <v>D+1</v>
      </c>
      <c r="K203" s="40" t="str">
        <f ca="1">IF(RES_AB[[#This Row],[Reserva]]="","",CONCATENATE(RES_AB[[#This Row],[Cen.]]," | ",RES_AB[[#This Row],[SLA2]]))</f>
        <v>11XD | D+1</v>
      </c>
      <c r="L203" s="40">
        <f ca="1">IF(RES_AB[[#This Row],[Reserva]]="","",IF(RES_AB[[#This Row],[SLA2]]=RES_AB[[#This Row],[Reserva]]="","",COUNTIF(MB25_VOLUMETRIA[Reserva],RES_AB[[#This Row],[Reserva]])))</f>
        <v>2</v>
      </c>
      <c r="M2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3" s="37" t="str">
        <f>IF(RES_AB[[#This Row],[Cen.]]="","",IFERROR(VLOOKUP(RES_AB[[#This Row],[Cen.]],Dados_Empresas[],2,FALSE),"Verificar empresa"))</f>
        <v>TELMEX</v>
      </c>
      <c r="P203" s="37" t="str">
        <f>IF(RES_AB[[#This Row],[Empresa]]="","",IF(OR(RES_AB[[#This Row],[Empresa]]="NET MASSIVO",RES_AB[[#This Row],[Empresa]]="NET PROJETOS"),"NET","EMPRESARIAL"))</f>
        <v>EMPRESARIAL</v>
      </c>
      <c r="Q203" s="37" t="str">
        <f>IF(RES_AB[[#This Row],[Reserva]]="","",IFERROR(VLOOKUP(RES_AB[[#This Row],[Reserva]],Tabela3[[Reserva]:[Descrição do status]],18,FALSE),"CONVENCIONAL"))</f>
        <v>CONVENCIONAL</v>
      </c>
    </row>
    <row r="204" spans="1:17" x14ac:dyDescent="0.25">
      <c r="A204" s="37">
        <v>4383031</v>
      </c>
      <c r="B204" s="37" t="s">
        <v>20</v>
      </c>
      <c r="C204" s="38" t="s">
        <v>20</v>
      </c>
      <c r="D204" s="38">
        <v>45449</v>
      </c>
      <c r="E2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4" s="39">
        <f>IFERROR(VLOOKUP(RES_AB[[#This Row],[Reserva]],Tabela8[[Reserva]:[Usuário]],7,FALSE),Dados!$A$17)</f>
        <v>0.33333333333333331</v>
      </c>
      <c r="G204" s="40">
        <f>IF(RES_AB[[#This Row],[Reserva]]="","",IF(RES_AB[[#This Row],[Hora Int WMS]]&lt;Dados!$A$16,2,2))</f>
        <v>2</v>
      </c>
      <c r="H204" s="40" t="str">
        <f>IF(RES_AB[[#This Row],[Reserva]]="","",IFERROR(VLOOKUP(RES_AB[[#This Row],[Reserva]],Tabela3[[Reserva]:[Condição para Faturamento]],20,FALSE),"IMPORTADO COM SUCESSO"))</f>
        <v>IMPORTADO</v>
      </c>
      <c r="I204" s="38">
        <f>IF(RES_AB[[#This Row],[Data base]]="","",WORKDAY(RES_AB[[#This Row],[Data Reserva - Feriado e Fds]],RES_AB[[#This Row],[Dias para atendimento]],Feriados[Data]))</f>
        <v>45453</v>
      </c>
      <c r="J204" s="40" t="str">
        <f ca="1">IF(RES_AB[[#This Row],[Reserva]]="","",CONCATENATE("D+",NETWORKDAYS(RES_AB[[#This Row],[Data Reserva - Feriado e Fds]],TODAY(),Feriados[Data])-1))</f>
        <v>D+1</v>
      </c>
      <c r="K204" s="40" t="str">
        <f ca="1">IF(RES_AB[[#This Row],[Reserva]]="","",CONCATENATE(RES_AB[[#This Row],[Cen.]]," | ",RES_AB[[#This Row],[SLA2]]))</f>
        <v>11XD | D+1</v>
      </c>
      <c r="L204" s="40">
        <f ca="1">IF(RES_AB[[#This Row],[Reserva]]="","",IF(RES_AB[[#This Row],[SLA2]]=RES_AB[[#This Row],[Reserva]]="","",COUNTIF(MB25_VOLUMETRIA[Reserva],RES_AB[[#This Row],[Reserva]])))</f>
        <v>1</v>
      </c>
      <c r="M2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4" s="37" t="str">
        <f>IF(RES_AB[[#This Row],[Cen.]]="","",IFERROR(VLOOKUP(RES_AB[[#This Row],[Cen.]],Dados_Empresas[],2,FALSE),"Verificar empresa"))</f>
        <v>TELMEX</v>
      </c>
      <c r="P204" s="37" t="str">
        <f>IF(RES_AB[[#This Row],[Empresa]]="","",IF(OR(RES_AB[[#This Row],[Empresa]]="NET MASSIVO",RES_AB[[#This Row],[Empresa]]="NET PROJETOS"),"NET","EMPRESARIAL"))</f>
        <v>EMPRESARIAL</v>
      </c>
      <c r="Q204" s="37" t="str">
        <f>IF(RES_AB[[#This Row],[Reserva]]="","",IFERROR(VLOOKUP(RES_AB[[#This Row],[Reserva]],Tabela3[[Reserva]:[Descrição do status]],18,FALSE),"CONVENCIONAL"))</f>
        <v>CONVENCIONAL</v>
      </c>
    </row>
    <row r="205" spans="1:17" x14ac:dyDescent="0.25">
      <c r="A205" s="37">
        <v>4383032</v>
      </c>
      <c r="B205" s="37" t="s">
        <v>20</v>
      </c>
      <c r="C205" s="38" t="s">
        <v>20</v>
      </c>
      <c r="D205" s="38">
        <v>45449</v>
      </c>
      <c r="E2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5" s="39">
        <f>IFERROR(VLOOKUP(RES_AB[[#This Row],[Reserva]],Tabela8[[Reserva]:[Usuário]],7,FALSE),Dados!$A$17)</f>
        <v>0.33333333333333331</v>
      </c>
      <c r="G205" s="40">
        <f>IF(RES_AB[[#This Row],[Reserva]]="","",IF(RES_AB[[#This Row],[Hora Int WMS]]&lt;Dados!$A$16,2,2))</f>
        <v>2</v>
      </c>
      <c r="H205" s="40" t="str">
        <f>IF(RES_AB[[#This Row],[Reserva]]="","",IFERROR(VLOOKUP(RES_AB[[#This Row],[Reserva]],Tabela3[[Reserva]:[Condição para Faturamento]],20,FALSE),"IMPORTADO COM SUCESSO"))</f>
        <v>IMPORTADO</v>
      </c>
      <c r="I205" s="38">
        <f>IF(RES_AB[[#This Row],[Data base]]="","",WORKDAY(RES_AB[[#This Row],[Data Reserva - Feriado e Fds]],RES_AB[[#This Row],[Dias para atendimento]],Feriados[Data]))</f>
        <v>45453</v>
      </c>
      <c r="J205" s="40" t="str">
        <f ca="1">IF(RES_AB[[#This Row],[Reserva]]="","",CONCATENATE("D+",NETWORKDAYS(RES_AB[[#This Row],[Data Reserva - Feriado e Fds]],TODAY(),Feriados[Data])-1))</f>
        <v>D+1</v>
      </c>
      <c r="K205" s="40" t="str">
        <f ca="1">IF(RES_AB[[#This Row],[Reserva]]="","",CONCATENATE(RES_AB[[#This Row],[Cen.]]," | ",RES_AB[[#This Row],[SLA2]]))</f>
        <v>11XD | D+1</v>
      </c>
      <c r="L205" s="40">
        <f ca="1">IF(RES_AB[[#This Row],[Reserva]]="","",IF(RES_AB[[#This Row],[SLA2]]=RES_AB[[#This Row],[Reserva]]="","",COUNTIF(MB25_VOLUMETRIA[Reserva],RES_AB[[#This Row],[Reserva]])))</f>
        <v>1</v>
      </c>
      <c r="M2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5" s="37" t="str">
        <f>IF(RES_AB[[#This Row],[Cen.]]="","",IFERROR(VLOOKUP(RES_AB[[#This Row],[Cen.]],Dados_Empresas[],2,FALSE),"Verificar empresa"))</f>
        <v>TELMEX</v>
      </c>
      <c r="P205" s="37" t="str">
        <f>IF(RES_AB[[#This Row],[Empresa]]="","",IF(OR(RES_AB[[#This Row],[Empresa]]="NET MASSIVO",RES_AB[[#This Row],[Empresa]]="NET PROJETOS"),"NET","EMPRESARIAL"))</f>
        <v>EMPRESARIAL</v>
      </c>
      <c r="Q205" s="37" t="str">
        <f>IF(RES_AB[[#This Row],[Reserva]]="","",IFERROR(VLOOKUP(RES_AB[[#This Row],[Reserva]],Tabela3[[Reserva]:[Descrição do status]],18,FALSE),"CONVENCIONAL"))</f>
        <v>CONVENCIONAL</v>
      </c>
    </row>
    <row r="206" spans="1:17" x14ac:dyDescent="0.25">
      <c r="A206" s="37">
        <v>4383033</v>
      </c>
      <c r="B206" s="37" t="s">
        <v>20</v>
      </c>
      <c r="C206" s="38" t="s">
        <v>20</v>
      </c>
      <c r="D206" s="38">
        <v>45449</v>
      </c>
      <c r="E2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6" s="39">
        <f>IFERROR(VLOOKUP(RES_AB[[#This Row],[Reserva]],Tabela8[[Reserva]:[Usuário]],7,FALSE),Dados!$A$17)</f>
        <v>0.33333333333333331</v>
      </c>
      <c r="G206" s="40">
        <f>IF(RES_AB[[#This Row],[Reserva]]="","",IF(RES_AB[[#This Row],[Hora Int WMS]]&lt;Dados!$A$16,2,2))</f>
        <v>2</v>
      </c>
      <c r="H206" s="40" t="str">
        <f>IF(RES_AB[[#This Row],[Reserva]]="","",IFERROR(VLOOKUP(RES_AB[[#This Row],[Reserva]],Tabela3[[Reserva]:[Condição para Faturamento]],20,FALSE),"IMPORTADO COM SUCESSO"))</f>
        <v>IMPORTADO</v>
      </c>
      <c r="I206" s="38">
        <f>IF(RES_AB[[#This Row],[Data base]]="","",WORKDAY(RES_AB[[#This Row],[Data Reserva - Feriado e Fds]],RES_AB[[#This Row],[Dias para atendimento]],Feriados[Data]))</f>
        <v>45453</v>
      </c>
      <c r="J206" s="40" t="str">
        <f ca="1">IF(RES_AB[[#This Row],[Reserva]]="","",CONCATENATE("D+",NETWORKDAYS(RES_AB[[#This Row],[Data Reserva - Feriado e Fds]],TODAY(),Feriados[Data])-1))</f>
        <v>D+1</v>
      </c>
      <c r="K206" s="40" t="str">
        <f ca="1">IF(RES_AB[[#This Row],[Reserva]]="","",CONCATENATE(RES_AB[[#This Row],[Cen.]]," | ",RES_AB[[#This Row],[SLA2]]))</f>
        <v>11XD | D+1</v>
      </c>
      <c r="L206" s="40">
        <f ca="1">IF(RES_AB[[#This Row],[Reserva]]="","",IF(RES_AB[[#This Row],[SLA2]]=RES_AB[[#This Row],[Reserva]]="","",COUNTIF(MB25_VOLUMETRIA[Reserva],RES_AB[[#This Row],[Reserva]])))</f>
        <v>1</v>
      </c>
      <c r="M2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6" s="37" t="str">
        <f>IF(RES_AB[[#This Row],[Cen.]]="","",IFERROR(VLOOKUP(RES_AB[[#This Row],[Cen.]],Dados_Empresas[],2,FALSE),"Verificar empresa"))</f>
        <v>TELMEX</v>
      </c>
      <c r="P206" s="37" t="str">
        <f>IF(RES_AB[[#This Row],[Empresa]]="","",IF(OR(RES_AB[[#This Row],[Empresa]]="NET MASSIVO",RES_AB[[#This Row],[Empresa]]="NET PROJETOS"),"NET","EMPRESARIAL"))</f>
        <v>EMPRESARIAL</v>
      </c>
      <c r="Q206" s="37" t="str">
        <f>IF(RES_AB[[#This Row],[Reserva]]="","",IFERROR(VLOOKUP(RES_AB[[#This Row],[Reserva]],Tabela3[[Reserva]:[Descrição do status]],18,FALSE),"CONVENCIONAL"))</f>
        <v>CONVENCIONAL</v>
      </c>
    </row>
    <row r="207" spans="1:17" x14ac:dyDescent="0.25">
      <c r="A207" s="37">
        <v>4383034</v>
      </c>
      <c r="B207" s="37" t="s">
        <v>20</v>
      </c>
      <c r="C207" s="38" t="s">
        <v>20</v>
      </c>
      <c r="D207" s="38">
        <v>45449</v>
      </c>
      <c r="E2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07" s="39">
        <f>IFERROR(VLOOKUP(RES_AB[[#This Row],[Reserva]],Tabela8[[Reserva]:[Usuário]],7,FALSE),Dados!$A$17)</f>
        <v>0.33333333333333331</v>
      </c>
      <c r="G207" s="40">
        <f>IF(RES_AB[[#This Row],[Reserva]]="","",IF(RES_AB[[#This Row],[Hora Int WMS]]&lt;Dados!$A$16,2,2))</f>
        <v>2</v>
      </c>
      <c r="H207" s="40" t="str">
        <f>IF(RES_AB[[#This Row],[Reserva]]="","",IFERROR(VLOOKUP(RES_AB[[#This Row],[Reserva]],Tabela3[[Reserva]:[Condição para Faturamento]],20,FALSE),"IMPORTADO COM SUCESSO"))</f>
        <v>IMPORTADO</v>
      </c>
      <c r="I207" s="38">
        <f>IF(RES_AB[[#This Row],[Data base]]="","",WORKDAY(RES_AB[[#This Row],[Data Reserva - Feriado e Fds]],RES_AB[[#This Row],[Dias para atendimento]],Feriados[Data]))</f>
        <v>45453</v>
      </c>
      <c r="J207" s="40" t="str">
        <f ca="1">IF(RES_AB[[#This Row],[Reserva]]="","",CONCATENATE("D+",NETWORKDAYS(RES_AB[[#This Row],[Data Reserva - Feriado e Fds]],TODAY(),Feriados[Data])-1))</f>
        <v>D+1</v>
      </c>
      <c r="K207" s="40" t="str">
        <f ca="1">IF(RES_AB[[#This Row],[Reserva]]="","",CONCATENATE(RES_AB[[#This Row],[Cen.]]," | ",RES_AB[[#This Row],[SLA2]]))</f>
        <v>11XD | D+1</v>
      </c>
      <c r="L207" s="40">
        <f ca="1">IF(RES_AB[[#This Row],[Reserva]]="","",IF(RES_AB[[#This Row],[SLA2]]=RES_AB[[#This Row],[Reserva]]="","",COUNTIF(MB25_VOLUMETRIA[Reserva],RES_AB[[#This Row],[Reserva]])))</f>
        <v>1</v>
      </c>
      <c r="M2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7" s="37" t="str">
        <f>IF(RES_AB[[#This Row],[Cen.]]="","",IFERROR(VLOOKUP(RES_AB[[#This Row],[Cen.]],Dados_Empresas[],2,FALSE),"Verificar empresa"))</f>
        <v>TELMEX</v>
      </c>
      <c r="P207" s="37" t="str">
        <f>IF(RES_AB[[#This Row],[Empresa]]="","",IF(OR(RES_AB[[#This Row],[Empresa]]="NET MASSIVO",RES_AB[[#This Row],[Empresa]]="NET PROJETOS"),"NET","EMPRESARIAL"))</f>
        <v>EMPRESARIAL</v>
      </c>
      <c r="Q207" s="37" t="str">
        <f>IF(RES_AB[[#This Row],[Reserva]]="","",IFERROR(VLOOKUP(RES_AB[[#This Row],[Reserva]],Tabela3[[Reserva]:[Descrição do status]],18,FALSE),"CONVENCIONAL"))</f>
        <v>CONVENCIONAL</v>
      </c>
    </row>
    <row r="208" spans="1:17" x14ac:dyDescent="0.25">
      <c r="A208" s="37">
        <v>4383040</v>
      </c>
      <c r="B208" s="37" t="s">
        <v>20</v>
      </c>
      <c r="C208" s="38" t="s">
        <v>20</v>
      </c>
      <c r="D208" s="38">
        <v>45450</v>
      </c>
      <c r="E2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08" s="39">
        <f>IFERROR(VLOOKUP(RES_AB[[#This Row],[Reserva]],Tabela8[[Reserva]:[Usuário]],7,FALSE),Dados!$A$17)</f>
        <v>0.41539351851851852</v>
      </c>
      <c r="G208" s="40">
        <f>IF(RES_AB[[#This Row],[Reserva]]="","",IF(RES_AB[[#This Row],[Hora Int WMS]]&lt;Dados!$A$16,2,2))</f>
        <v>2</v>
      </c>
      <c r="H208" s="40" t="str">
        <f>IF(RES_AB[[#This Row],[Reserva]]="","",IFERROR(VLOOKUP(RES_AB[[#This Row],[Reserva]],Tabela3[[Reserva]:[Condição para Faturamento]],20,FALSE),"IMPORTADO COM SUCESSO"))</f>
        <v>IMPORTADO COM SUCESSO</v>
      </c>
      <c r="I208" s="38">
        <f>IF(RES_AB[[#This Row],[Data base]]="","",WORKDAY(RES_AB[[#This Row],[Data Reserva - Feriado e Fds]],RES_AB[[#This Row],[Dias para atendimento]],Feriados[Data]))</f>
        <v>45454</v>
      </c>
      <c r="J208" s="40" t="str">
        <f ca="1">IF(RES_AB[[#This Row],[Reserva]]="","",CONCATENATE("D+",NETWORKDAYS(RES_AB[[#This Row],[Data Reserva - Feriado e Fds]],TODAY(),Feriados[Data])-1))</f>
        <v>D+0</v>
      </c>
      <c r="K208" s="40" t="str">
        <f ca="1">IF(RES_AB[[#This Row],[Reserva]]="","",CONCATENATE(RES_AB[[#This Row],[Cen.]]," | ",RES_AB[[#This Row],[SLA2]]))</f>
        <v>11XD | D+0</v>
      </c>
      <c r="L208" s="40">
        <f ca="1">IF(RES_AB[[#This Row],[Reserva]]="","",IF(RES_AB[[#This Row],[SLA2]]=RES_AB[[#This Row],[Reserva]]="","",COUNTIF(MB25_VOLUMETRIA[Reserva],RES_AB[[#This Row],[Reserva]])))</f>
        <v>1</v>
      </c>
      <c r="M2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8" s="37" t="str">
        <f>IF(RES_AB[[#This Row],[Cen.]]="","",IFERROR(VLOOKUP(RES_AB[[#This Row],[Cen.]],Dados_Empresas[],2,FALSE),"Verificar empresa"))</f>
        <v>TELMEX</v>
      </c>
      <c r="P208" s="37" t="str">
        <f>IF(RES_AB[[#This Row],[Empresa]]="","",IF(OR(RES_AB[[#This Row],[Empresa]]="NET MASSIVO",RES_AB[[#This Row],[Empresa]]="NET PROJETOS"),"NET","EMPRESARIAL"))</f>
        <v>EMPRESARIAL</v>
      </c>
      <c r="Q208" s="37" t="str">
        <f>IF(RES_AB[[#This Row],[Reserva]]="","",IFERROR(VLOOKUP(RES_AB[[#This Row],[Reserva]],Tabela3[[Reserva]:[Descrição do status]],18,FALSE),"CONVENCIONAL"))</f>
        <v>CONVENCIONAL</v>
      </c>
    </row>
    <row r="209" spans="1:17" x14ac:dyDescent="0.25">
      <c r="A209" s="37">
        <v>4384161</v>
      </c>
      <c r="B209" s="37" t="s">
        <v>20</v>
      </c>
      <c r="C209" s="38" t="s">
        <v>20</v>
      </c>
      <c r="D209" s="38">
        <v>45450</v>
      </c>
      <c r="E2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09" s="39">
        <f>IFERROR(VLOOKUP(RES_AB[[#This Row],[Reserva]],Tabela8[[Reserva]:[Usuário]],7,FALSE),Dados!$A$17)</f>
        <v>0.41539351851851852</v>
      </c>
      <c r="G209" s="40">
        <f>IF(RES_AB[[#This Row],[Reserva]]="","",IF(RES_AB[[#This Row],[Hora Int WMS]]&lt;Dados!$A$16,2,2))</f>
        <v>2</v>
      </c>
      <c r="H209" s="40" t="str">
        <f>IF(RES_AB[[#This Row],[Reserva]]="","",IFERROR(VLOOKUP(RES_AB[[#This Row],[Reserva]],Tabela3[[Reserva]:[Condição para Faturamento]],20,FALSE),"IMPORTADO COM SUCESSO"))</f>
        <v>IMPORTADO COM SUCESSO</v>
      </c>
      <c r="I209" s="38">
        <f>IF(RES_AB[[#This Row],[Data base]]="","",WORKDAY(RES_AB[[#This Row],[Data Reserva - Feriado e Fds]],RES_AB[[#This Row],[Dias para atendimento]],Feriados[Data]))</f>
        <v>45454</v>
      </c>
      <c r="J209" s="40" t="str">
        <f ca="1">IF(RES_AB[[#This Row],[Reserva]]="","",CONCATENATE("D+",NETWORKDAYS(RES_AB[[#This Row],[Data Reserva - Feriado e Fds]],TODAY(),Feriados[Data])-1))</f>
        <v>D+0</v>
      </c>
      <c r="K209" s="40" t="str">
        <f ca="1">IF(RES_AB[[#This Row],[Reserva]]="","",CONCATENATE(RES_AB[[#This Row],[Cen.]]," | ",RES_AB[[#This Row],[SLA2]]))</f>
        <v>11XD | D+0</v>
      </c>
      <c r="L209" s="40">
        <f ca="1">IF(RES_AB[[#This Row],[Reserva]]="","",IF(RES_AB[[#This Row],[SLA2]]=RES_AB[[#This Row],[Reserva]]="","",COUNTIF(MB25_VOLUMETRIA[Reserva],RES_AB[[#This Row],[Reserva]])))</f>
        <v>1</v>
      </c>
      <c r="M2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09" s="37" t="str">
        <f>IF(RES_AB[[#This Row],[Cen.]]="","",IFERROR(VLOOKUP(RES_AB[[#This Row],[Cen.]],Dados_Empresas[],2,FALSE),"Verificar empresa"))</f>
        <v>TELMEX</v>
      </c>
      <c r="P209" s="37" t="str">
        <f>IF(RES_AB[[#This Row],[Empresa]]="","",IF(OR(RES_AB[[#This Row],[Empresa]]="NET MASSIVO",RES_AB[[#This Row],[Empresa]]="NET PROJETOS"),"NET","EMPRESARIAL"))</f>
        <v>EMPRESARIAL</v>
      </c>
      <c r="Q209" s="37" t="str">
        <f>IF(RES_AB[[#This Row],[Reserva]]="","",IFERROR(VLOOKUP(RES_AB[[#This Row],[Reserva]],Tabela3[[Reserva]:[Descrição do status]],18,FALSE),"CONVENCIONAL"))</f>
        <v>CONVENCIONAL</v>
      </c>
    </row>
    <row r="210" spans="1:17" x14ac:dyDescent="0.25">
      <c r="A210" s="37">
        <v>4384162</v>
      </c>
      <c r="B210" s="37" t="s">
        <v>20</v>
      </c>
      <c r="C210" s="38" t="s">
        <v>20</v>
      </c>
      <c r="D210" s="38">
        <v>45450</v>
      </c>
      <c r="E2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10" s="39">
        <f>IFERROR(VLOOKUP(RES_AB[[#This Row],[Reserva]],Tabela8[[Reserva]:[Usuário]],7,FALSE),Dados!$A$17)</f>
        <v>0.41550925925925924</v>
      </c>
      <c r="G210" s="40">
        <f>IF(RES_AB[[#This Row],[Reserva]]="","",IF(RES_AB[[#This Row],[Hora Int WMS]]&lt;Dados!$A$16,2,2))</f>
        <v>2</v>
      </c>
      <c r="H210" s="40" t="str">
        <f>IF(RES_AB[[#This Row],[Reserva]]="","",IFERROR(VLOOKUP(RES_AB[[#This Row],[Reserva]],Tabela3[[Reserva]:[Condição para Faturamento]],20,FALSE),"IMPORTADO COM SUCESSO"))</f>
        <v>IMPORTADO COM SUCESSO</v>
      </c>
      <c r="I210" s="38">
        <f>IF(RES_AB[[#This Row],[Data base]]="","",WORKDAY(RES_AB[[#This Row],[Data Reserva - Feriado e Fds]],RES_AB[[#This Row],[Dias para atendimento]],Feriados[Data]))</f>
        <v>45454</v>
      </c>
      <c r="J210" s="40" t="str">
        <f ca="1">IF(RES_AB[[#This Row],[Reserva]]="","",CONCATENATE("D+",NETWORKDAYS(RES_AB[[#This Row],[Data Reserva - Feriado e Fds]],TODAY(),Feriados[Data])-1))</f>
        <v>D+0</v>
      </c>
      <c r="K210" s="40" t="str">
        <f ca="1">IF(RES_AB[[#This Row],[Reserva]]="","",CONCATENATE(RES_AB[[#This Row],[Cen.]]," | ",RES_AB[[#This Row],[SLA2]]))</f>
        <v>11XD | D+0</v>
      </c>
      <c r="L210" s="40">
        <f ca="1">IF(RES_AB[[#This Row],[Reserva]]="","",IF(RES_AB[[#This Row],[SLA2]]=RES_AB[[#This Row],[Reserva]]="","",COUNTIF(MB25_VOLUMETRIA[Reserva],RES_AB[[#This Row],[Reserva]])))</f>
        <v>1</v>
      </c>
      <c r="M2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0" s="37" t="str">
        <f>IF(RES_AB[[#This Row],[Cen.]]="","",IFERROR(VLOOKUP(RES_AB[[#This Row],[Cen.]],Dados_Empresas[],2,FALSE),"Verificar empresa"))</f>
        <v>TELMEX</v>
      </c>
      <c r="P210" s="37" t="str">
        <f>IF(RES_AB[[#This Row],[Empresa]]="","",IF(OR(RES_AB[[#This Row],[Empresa]]="NET MASSIVO",RES_AB[[#This Row],[Empresa]]="NET PROJETOS"),"NET","EMPRESARIAL"))</f>
        <v>EMPRESARIAL</v>
      </c>
      <c r="Q210" s="37" t="str">
        <f>IF(RES_AB[[#This Row],[Reserva]]="","",IFERROR(VLOOKUP(RES_AB[[#This Row],[Reserva]],Tabela3[[Reserva]:[Descrição do status]],18,FALSE),"CONVENCIONAL"))</f>
        <v>CONVENCIONAL</v>
      </c>
    </row>
    <row r="211" spans="1:17" x14ac:dyDescent="0.25">
      <c r="A211" s="37">
        <v>4384163</v>
      </c>
      <c r="B211" s="37" t="s">
        <v>20</v>
      </c>
      <c r="C211" s="38" t="s">
        <v>20</v>
      </c>
      <c r="D211" s="38">
        <v>45450</v>
      </c>
      <c r="E2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11" s="39">
        <f>IFERROR(VLOOKUP(RES_AB[[#This Row],[Reserva]],Tabela8[[Reserva]:[Usuário]],7,FALSE),Dados!$A$17)</f>
        <v>0.41550925925925924</v>
      </c>
      <c r="G211" s="40">
        <f>IF(RES_AB[[#This Row],[Reserva]]="","",IF(RES_AB[[#This Row],[Hora Int WMS]]&lt;Dados!$A$16,2,2))</f>
        <v>2</v>
      </c>
      <c r="H211" s="40" t="str">
        <f>IF(RES_AB[[#This Row],[Reserva]]="","",IFERROR(VLOOKUP(RES_AB[[#This Row],[Reserva]],Tabela3[[Reserva]:[Condição para Faturamento]],20,FALSE),"IMPORTADO COM SUCESSO"))</f>
        <v>IMPORTADO COM SUCESSO</v>
      </c>
      <c r="I211" s="38">
        <f>IF(RES_AB[[#This Row],[Data base]]="","",WORKDAY(RES_AB[[#This Row],[Data Reserva - Feriado e Fds]],RES_AB[[#This Row],[Dias para atendimento]],Feriados[Data]))</f>
        <v>45454</v>
      </c>
      <c r="J211" s="40" t="str">
        <f ca="1">IF(RES_AB[[#This Row],[Reserva]]="","",CONCATENATE("D+",NETWORKDAYS(RES_AB[[#This Row],[Data Reserva - Feriado e Fds]],TODAY(),Feriados[Data])-1))</f>
        <v>D+0</v>
      </c>
      <c r="K211" s="40" t="str">
        <f ca="1">IF(RES_AB[[#This Row],[Reserva]]="","",CONCATENATE(RES_AB[[#This Row],[Cen.]]," | ",RES_AB[[#This Row],[SLA2]]))</f>
        <v>11XD | D+0</v>
      </c>
      <c r="L211" s="40">
        <f ca="1">IF(RES_AB[[#This Row],[Reserva]]="","",IF(RES_AB[[#This Row],[SLA2]]=RES_AB[[#This Row],[Reserva]]="","",COUNTIF(MB25_VOLUMETRIA[Reserva],RES_AB[[#This Row],[Reserva]])))</f>
        <v>1</v>
      </c>
      <c r="M2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1" s="37" t="str">
        <f>IF(RES_AB[[#This Row],[Cen.]]="","",IFERROR(VLOOKUP(RES_AB[[#This Row],[Cen.]],Dados_Empresas[],2,FALSE),"Verificar empresa"))</f>
        <v>TELMEX</v>
      </c>
      <c r="P211" s="37" t="str">
        <f>IF(RES_AB[[#This Row],[Empresa]]="","",IF(OR(RES_AB[[#This Row],[Empresa]]="NET MASSIVO",RES_AB[[#This Row],[Empresa]]="NET PROJETOS"),"NET","EMPRESARIAL"))</f>
        <v>EMPRESARIAL</v>
      </c>
      <c r="Q211" s="37" t="str">
        <f>IF(RES_AB[[#This Row],[Reserva]]="","",IFERROR(VLOOKUP(RES_AB[[#This Row],[Reserva]],Tabela3[[Reserva]:[Descrição do status]],18,FALSE),"CONVENCIONAL"))</f>
        <v>CONVENCIONAL</v>
      </c>
    </row>
    <row r="212" spans="1:17" x14ac:dyDescent="0.25">
      <c r="A212" s="37">
        <v>4384164</v>
      </c>
      <c r="B212" s="37" t="s">
        <v>20</v>
      </c>
      <c r="C212" s="38" t="s">
        <v>20</v>
      </c>
      <c r="D212" s="38">
        <v>45450</v>
      </c>
      <c r="E2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12" s="39">
        <f>IFERROR(VLOOKUP(RES_AB[[#This Row],[Reserva]],Tabela8[[Reserva]:[Usuário]],7,FALSE),Dados!$A$17)</f>
        <v>0.41562500000000002</v>
      </c>
      <c r="G212" s="40">
        <f>IF(RES_AB[[#This Row],[Reserva]]="","",IF(RES_AB[[#This Row],[Hora Int WMS]]&lt;Dados!$A$16,2,2))</f>
        <v>2</v>
      </c>
      <c r="H212" s="40" t="str">
        <f>IF(RES_AB[[#This Row],[Reserva]]="","",IFERROR(VLOOKUP(RES_AB[[#This Row],[Reserva]],Tabela3[[Reserva]:[Condição para Faturamento]],20,FALSE),"IMPORTADO COM SUCESSO"))</f>
        <v>IMPORTADO COM SUCESSO</v>
      </c>
      <c r="I212" s="38">
        <f>IF(RES_AB[[#This Row],[Data base]]="","",WORKDAY(RES_AB[[#This Row],[Data Reserva - Feriado e Fds]],RES_AB[[#This Row],[Dias para atendimento]],Feriados[Data]))</f>
        <v>45454</v>
      </c>
      <c r="J212" s="40" t="str">
        <f ca="1">IF(RES_AB[[#This Row],[Reserva]]="","",CONCATENATE("D+",NETWORKDAYS(RES_AB[[#This Row],[Data Reserva - Feriado e Fds]],TODAY(),Feriados[Data])-1))</f>
        <v>D+0</v>
      </c>
      <c r="K212" s="40" t="str">
        <f ca="1">IF(RES_AB[[#This Row],[Reserva]]="","",CONCATENATE(RES_AB[[#This Row],[Cen.]]," | ",RES_AB[[#This Row],[SLA2]]))</f>
        <v>11XD | D+0</v>
      </c>
      <c r="L212" s="40">
        <f ca="1">IF(RES_AB[[#This Row],[Reserva]]="","",IF(RES_AB[[#This Row],[SLA2]]=RES_AB[[#This Row],[Reserva]]="","",COUNTIF(MB25_VOLUMETRIA[Reserva],RES_AB[[#This Row],[Reserva]])))</f>
        <v>1</v>
      </c>
      <c r="M2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2" s="37" t="str">
        <f>IF(RES_AB[[#This Row],[Cen.]]="","",IFERROR(VLOOKUP(RES_AB[[#This Row],[Cen.]],Dados_Empresas[],2,FALSE),"Verificar empresa"))</f>
        <v>TELMEX</v>
      </c>
      <c r="P212" s="37" t="str">
        <f>IF(RES_AB[[#This Row],[Empresa]]="","",IF(OR(RES_AB[[#This Row],[Empresa]]="NET MASSIVO",RES_AB[[#This Row],[Empresa]]="NET PROJETOS"),"NET","EMPRESARIAL"))</f>
        <v>EMPRESARIAL</v>
      </c>
      <c r="Q212" s="37" t="str">
        <f>IF(RES_AB[[#This Row],[Reserva]]="","",IFERROR(VLOOKUP(RES_AB[[#This Row],[Reserva]],Tabela3[[Reserva]:[Descrição do status]],18,FALSE),"CONVENCIONAL"))</f>
        <v>CONVENCIONAL</v>
      </c>
    </row>
    <row r="213" spans="1:17" x14ac:dyDescent="0.25">
      <c r="A213" s="37">
        <v>4384165</v>
      </c>
      <c r="B213" s="37" t="s">
        <v>20</v>
      </c>
      <c r="C213" s="38" t="s">
        <v>20</v>
      </c>
      <c r="D213" s="38">
        <v>45450</v>
      </c>
      <c r="E2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13" s="39">
        <f>IFERROR(VLOOKUP(RES_AB[[#This Row],[Reserva]],Tabela8[[Reserva]:[Usuário]],7,FALSE),Dados!$A$17)</f>
        <v>0.41562500000000002</v>
      </c>
      <c r="G213" s="40">
        <f>IF(RES_AB[[#This Row],[Reserva]]="","",IF(RES_AB[[#This Row],[Hora Int WMS]]&lt;Dados!$A$16,2,2))</f>
        <v>2</v>
      </c>
      <c r="H213" s="40" t="str">
        <f>IF(RES_AB[[#This Row],[Reserva]]="","",IFERROR(VLOOKUP(RES_AB[[#This Row],[Reserva]],Tabela3[[Reserva]:[Condição para Faturamento]],20,FALSE),"IMPORTADO COM SUCESSO"))</f>
        <v>IMPORTADO COM SUCESSO</v>
      </c>
      <c r="I213" s="38">
        <f>IF(RES_AB[[#This Row],[Data base]]="","",WORKDAY(RES_AB[[#This Row],[Data Reserva - Feriado e Fds]],RES_AB[[#This Row],[Dias para atendimento]],Feriados[Data]))</f>
        <v>45454</v>
      </c>
      <c r="J213" s="40" t="str">
        <f ca="1">IF(RES_AB[[#This Row],[Reserva]]="","",CONCATENATE("D+",NETWORKDAYS(RES_AB[[#This Row],[Data Reserva - Feriado e Fds]],TODAY(),Feriados[Data])-1))</f>
        <v>D+0</v>
      </c>
      <c r="K213" s="40" t="str">
        <f ca="1">IF(RES_AB[[#This Row],[Reserva]]="","",CONCATENATE(RES_AB[[#This Row],[Cen.]]," | ",RES_AB[[#This Row],[SLA2]]))</f>
        <v>11XD | D+0</v>
      </c>
      <c r="L213" s="40">
        <f ca="1">IF(RES_AB[[#This Row],[Reserva]]="","",IF(RES_AB[[#This Row],[SLA2]]=RES_AB[[#This Row],[Reserva]]="","",COUNTIF(MB25_VOLUMETRIA[Reserva],RES_AB[[#This Row],[Reserva]])))</f>
        <v>1</v>
      </c>
      <c r="M2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3" s="37" t="str">
        <f>IF(RES_AB[[#This Row],[Cen.]]="","",IFERROR(VLOOKUP(RES_AB[[#This Row],[Cen.]],Dados_Empresas[],2,FALSE),"Verificar empresa"))</f>
        <v>TELMEX</v>
      </c>
      <c r="P213" s="37" t="str">
        <f>IF(RES_AB[[#This Row],[Empresa]]="","",IF(OR(RES_AB[[#This Row],[Empresa]]="NET MASSIVO",RES_AB[[#This Row],[Empresa]]="NET PROJETOS"),"NET","EMPRESARIAL"))</f>
        <v>EMPRESARIAL</v>
      </c>
      <c r="Q213" s="37" t="str">
        <f>IF(RES_AB[[#This Row],[Reserva]]="","",IFERROR(VLOOKUP(RES_AB[[#This Row],[Reserva]],Tabela3[[Reserva]:[Descrição do status]],18,FALSE),"CONVENCIONAL"))</f>
        <v>CONVENCIONAL</v>
      </c>
    </row>
    <row r="214" spans="1:17" x14ac:dyDescent="0.25">
      <c r="A214" s="37">
        <v>4384166</v>
      </c>
      <c r="B214" s="37" t="s">
        <v>20</v>
      </c>
      <c r="C214" s="38" t="s">
        <v>20</v>
      </c>
      <c r="D214" s="38">
        <v>45450</v>
      </c>
      <c r="E2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214" s="39">
        <f>IFERROR(VLOOKUP(RES_AB[[#This Row],[Reserva]],Tabela8[[Reserva]:[Usuário]],7,FALSE),Dados!$A$17)</f>
        <v>0.41574074074074074</v>
      </c>
      <c r="G214" s="40">
        <f>IF(RES_AB[[#This Row],[Reserva]]="","",IF(RES_AB[[#This Row],[Hora Int WMS]]&lt;Dados!$A$16,2,2))</f>
        <v>2</v>
      </c>
      <c r="H214" s="40" t="str">
        <f>IF(RES_AB[[#This Row],[Reserva]]="","",IFERROR(VLOOKUP(RES_AB[[#This Row],[Reserva]],Tabela3[[Reserva]:[Condição para Faturamento]],20,FALSE),"IMPORTADO COM SUCESSO"))</f>
        <v>IMPORTADO COM SUCESSO</v>
      </c>
      <c r="I214" s="38">
        <f>IF(RES_AB[[#This Row],[Data base]]="","",WORKDAY(RES_AB[[#This Row],[Data Reserva - Feriado e Fds]],RES_AB[[#This Row],[Dias para atendimento]],Feriados[Data]))</f>
        <v>45454</v>
      </c>
      <c r="J214" s="40" t="str">
        <f ca="1">IF(RES_AB[[#This Row],[Reserva]]="","",CONCATENATE("D+",NETWORKDAYS(RES_AB[[#This Row],[Data Reserva - Feriado e Fds]],TODAY(),Feriados[Data])-1))</f>
        <v>D+0</v>
      </c>
      <c r="K214" s="40" t="str">
        <f ca="1">IF(RES_AB[[#This Row],[Reserva]]="","",CONCATENATE(RES_AB[[#This Row],[Cen.]]," | ",RES_AB[[#This Row],[SLA2]]))</f>
        <v>11XD | D+0</v>
      </c>
      <c r="L214" s="40">
        <f ca="1">IF(RES_AB[[#This Row],[Reserva]]="","",IF(RES_AB[[#This Row],[SLA2]]=RES_AB[[#This Row],[Reserva]]="","",COUNTIF(MB25_VOLUMETRIA[Reserva],RES_AB[[#This Row],[Reserva]])))</f>
        <v>1</v>
      </c>
      <c r="M2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14" s="37" t="str">
        <f>IF(RES_AB[[#This Row],[Cen.]]="","",IFERROR(VLOOKUP(RES_AB[[#This Row],[Cen.]],Dados_Empresas[],2,FALSE),"Verificar empresa"))</f>
        <v>TELMEX</v>
      </c>
      <c r="P214" s="37" t="str">
        <f>IF(RES_AB[[#This Row],[Empresa]]="","",IF(OR(RES_AB[[#This Row],[Empresa]]="NET MASSIVO",RES_AB[[#This Row],[Empresa]]="NET PROJETOS"),"NET","EMPRESARIAL"))</f>
        <v>EMPRESARIAL</v>
      </c>
      <c r="Q214" s="37" t="str">
        <f>IF(RES_AB[[#This Row],[Reserva]]="","",IFERROR(VLOOKUP(RES_AB[[#This Row],[Reserva]],Tabela3[[Reserva]:[Descrição do status]],18,FALSE),"CONVENCIONAL"))</f>
        <v>CONVENCIONAL</v>
      </c>
    </row>
    <row r="215" spans="1:17" x14ac:dyDescent="0.25">
      <c r="A215" s="37">
        <v>4382495</v>
      </c>
      <c r="B215" s="37">
        <v>1196</v>
      </c>
      <c r="C215" s="38" t="s">
        <v>309</v>
      </c>
      <c r="D215" s="38">
        <v>45448</v>
      </c>
      <c r="E2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5" s="39">
        <f>IFERROR(VLOOKUP(RES_AB[[#This Row],[Reserva]],Tabela8[[Reserva]:[Usuário]],7,FALSE),Dados!$A$17)</f>
        <v>0.93645833333333328</v>
      </c>
      <c r="G215" s="40">
        <f>IF(RES_AB[[#This Row],[Reserva]]="","",IF(RES_AB[[#This Row],[Hora Int WMS]]&lt;Dados!$A$16,2,2))</f>
        <v>2</v>
      </c>
      <c r="H215" s="40" t="str">
        <f>IF(RES_AB[[#This Row],[Reserva]]="","",IFERROR(VLOOKUP(RES_AB[[#This Row],[Reserva]],Tabela3[[Reserva]:[Condição para Faturamento]],20,FALSE),"IMPORTADO COM SUCESSO"))</f>
        <v>EM CONFERENCIA</v>
      </c>
      <c r="I215" s="38">
        <f>IF(RES_AB[[#This Row],[Data base]]="","",WORKDAY(RES_AB[[#This Row],[Data Reserva - Feriado e Fds]],RES_AB[[#This Row],[Dias para atendimento]],Feriados[Data]))</f>
        <v>45450</v>
      </c>
      <c r="J215" s="40" t="str">
        <f ca="1">IF(RES_AB[[#This Row],[Reserva]]="","",CONCATENATE("D+",NETWORKDAYS(RES_AB[[#This Row],[Data Reserva - Feriado e Fds]],TODAY(),Feriados[Data])-1))</f>
        <v>D+2</v>
      </c>
      <c r="K215" s="40" t="str">
        <f ca="1">IF(RES_AB[[#This Row],[Reserva]]="","",CONCATENATE(RES_AB[[#This Row],[Cen.]]," | ",RES_AB[[#This Row],[SLA2]]))</f>
        <v>1196 | D+2</v>
      </c>
      <c r="L215" s="40">
        <f ca="1">IF(RES_AB[[#This Row],[Reserva]]="","",IF(RES_AB[[#This Row],[SLA2]]=RES_AB[[#This Row],[Reserva]]="","",COUNTIF(MB25_VOLUMETRIA[Reserva],RES_AB[[#This Row],[Reserva]])))</f>
        <v>1</v>
      </c>
      <c r="M2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5" s="37" t="str">
        <f>IF(RES_AB[[#This Row],[Cen.]]="","",IFERROR(VLOOKUP(RES_AB[[#This Row],[Cen.]],Dados_Empresas[],2,FALSE),"Verificar empresa"))</f>
        <v>OMR</v>
      </c>
      <c r="P215" s="37" t="str">
        <f>IF(RES_AB[[#This Row],[Empresa]]="","",IF(OR(RES_AB[[#This Row],[Empresa]]="NET MASSIVO",RES_AB[[#This Row],[Empresa]]="NET PROJETOS"),"NET","EMPRESARIAL"))</f>
        <v>EMPRESARIAL</v>
      </c>
      <c r="Q215" s="37" t="str">
        <f>IF(RES_AB[[#This Row],[Reserva]]="","",IFERROR(VLOOKUP(RES_AB[[#This Row],[Reserva]],Tabela3[[Reserva]:[Descrição do status]],18,FALSE),"CONVENCIONAL"))</f>
        <v>CONVENCIONAL</v>
      </c>
    </row>
    <row r="216" spans="1:17" x14ac:dyDescent="0.25">
      <c r="A216" s="37">
        <v>4382519</v>
      </c>
      <c r="B216" s="37">
        <v>1196</v>
      </c>
      <c r="C216" s="38" t="s">
        <v>314</v>
      </c>
      <c r="D216" s="38">
        <v>45448</v>
      </c>
      <c r="E2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6" s="39">
        <f>IFERROR(VLOOKUP(RES_AB[[#This Row],[Reserva]],Tabela8[[Reserva]:[Usuário]],7,FALSE),Dados!$A$17)</f>
        <v>0.93657407407407411</v>
      </c>
      <c r="G216" s="40">
        <f>IF(RES_AB[[#This Row],[Reserva]]="","",IF(RES_AB[[#This Row],[Hora Int WMS]]&lt;Dados!$A$16,2,2))</f>
        <v>2</v>
      </c>
      <c r="H216" s="40" t="str">
        <f>IF(RES_AB[[#This Row],[Reserva]]="","",IFERROR(VLOOKUP(RES_AB[[#This Row],[Reserva]],Tabela3[[Reserva]:[Condição para Faturamento]],20,FALSE),"IMPORTADO COM SUCESSO"))</f>
        <v>EM CONFERENCIA</v>
      </c>
      <c r="I216" s="38">
        <f>IF(RES_AB[[#This Row],[Data base]]="","",WORKDAY(RES_AB[[#This Row],[Data Reserva - Feriado e Fds]],RES_AB[[#This Row],[Dias para atendimento]],Feriados[Data]))</f>
        <v>45450</v>
      </c>
      <c r="J216" s="40" t="str">
        <f ca="1">IF(RES_AB[[#This Row],[Reserva]]="","",CONCATENATE("D+",NETWORKDAYS(RES_AB[[#This Row],[Data Reserva - Feriado e Fds]],TODAY(),Feriados[Data])-1))</f>
        <v>D+2</v>
      </c>
      <c r="K216" s="40" t="str">
        <f ca="1">IF(RES_AB[[#This Row],[Reserva]]="","",CONCATENATE(RES_AB[[#This Row],[Cen.]]," | ",RES_AB[[#This Row],[SLA2]]))</f>
        <v>1196 | D+2</v>
      </c>
      <c r="L216" s="40">
        <f ca="1">IF(RES_AB[[#This Row],[Reserva]]="","",IF(RES_AB[[#This Row],[SLA2]]=RES_AB[[#This Row],[Reserva]]="","",COUNTIF(MB25_VOLUMETRIA[Reserva],RES_AB[[#This Row],[Reserva]])))</f>
        <v>1</v>
      </c>
      <c r="M2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6" s="37" t="str">
        <f>IF(RES_AB[[#This Row],[Cen.]]="","",IFERROR(VLOOKUP(RES_AB[[#This Row],[Cen.]],Dados_Empresas[],2,FALSE),"Verificar empresa"))</f>
        <v>OMR</v>
      </c>
      <c r="P216" s="37" t="str">
        <f>IF(RES_AB[[#This Row],[Empresa]]="","",IF(OR(RES_AB[[#This Row],[Empresa]]="NET MASSIVO",RES_AB[[#This Row],[Empresa]]="NET PROJETOS"),"NET","EMPRESARIAL"))</f>
        <v>EMPRESARIAL</v>
      </c>
      <c r="Q216" s="37" t="str">
        <f>IF(RES_AB[[#This Row],[Reserva]]="","",IFERROR(VLOOKUP(RES_AB[[#This Row],[Reserva]],Tabela3[[Reserva]:[Descrição do status]],18,FALSE),"CONVENCIONAL"))</f>
        <v>CONVENCIONAL</v>
      </c>
    </row>
    <row r="217" spans="1:17" x14ac:dyDescent="0.25">
      <c r="A217" s="37">
        <v>4382520</v>
      </c>
      <c r="B217" s="37">
        <v>1196</v>
      </c>
      <c r="C217" s="38" t="s">
        <v>314</v>
      </c>
      <c r="D217" s="38">
        <v>45448</v>
      </c>
      <c r="E2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7" s="39">
        <f>IFERROR(VLOOKUP(RES_AB[[#This Row],[Reserva]],Tabela8[[Reserva]:[Usuário]],7,FALSE),Dados!$A$17)</f>
        <v>0.93657407407407411</v>
      </c>
      <c r="G217" s="40">
        <f>IF(RES_AB[[#This Row],[Reserva]]="","",IF(RES_AB[[#This Row],[Hora Int WMS]]&lt;Dados!$A$16,2,2))</f>
        <v>2</v>
      </c>
      <c r="H217" s="40" t="str">
        <f>IF(RES_AB[[#This Row],[Reserva]]="","",IFERROR(VLOOKUP(RES_AB[[#This Row],[Reserva]],Tabela3[[Reserva]:[Condição para Faturamento]],20,FALSE),"IMPORTADO COM SUCESSO"))</f>
        <v>EM CONFERENCIA</v>
      </c>
      <c r="I217" s="38">
        <f>IF(RES_AB[[#This Row],[Data base]]="","",WORKDAY(RES_AB[[#This Row],[Data Reserva - Feriado e Fds]],RES_AB[[#This Row],[Dias para atendimento]],Feriados[Data]))</f>
        <v>45450</v>
      </c>
      <c r="J217" s="40" t="str">
        <f ca="1">IF(RES_AB[[#This Row],[Reserva]]="","",CONCATENATE("D+",NETWORKDAYS(RES_AB[[#This Row],[Data Reserva - Feriado e Fds]],TODAY(),Feriados[Data])-1))</f>
        <v>D+2</v>
      </c>
      <c r="K217" s="40" t="str">
        <f ca="1">IF(RES_AB[[#This Row],[Reserva]]="","",CONCATENATE(RES_AB[[#This Row],[Cen.]]," | ",RES_AB[[#This Row],[SLA2]]))</f>
        <v>1196 | D+2</v>
      </c>
      <c r="L217" s="40">
        <f ca="1">IF(RES_AB[[#This Row],[Reserva]]="","",IF(RES_AB[[#This Row],[SLA2]]=RES_AB[[#This Row],[Reserva]]="","",COUNTIF(MB25_VOLUMETRIA[Reserva],RES_AB[[#This Row],[Reserva]])))</f>
        <v>1</v>
      </c>
      <c r="M2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7" s="37" t="str">
        <f>IF(RES_AB[[#This Row],[Cen.]]="","",IFERROR(VLOOKUP(RES_AB[[#This Row],[Cen.]],Dados_Empresas[],2,FALSE),"Verificar empresa"))</f>
        <v>OMR</v>
      </c>
      <c r="P217" s="37" t="str">
        <f>IF(RES_AB[[#This Row],[Empresa]]="","",IF(OR(RES_AB[[#This Row],[Empresa]]="NET MASSIVO",RES_AB[[#This Row],[Empresa]]="NET PROJETOS"),"NET","EMPRESARIAL"))</f>
        <v>EMPRESARIAL</v>
      </c>
      <c r="Q217" s="37" t="str">
        <f>IF(RES_AB[[#This Row],[Reserva]]="","",IFERROR(VLOOKUP(RES_AB[[#This Row],[Reserva]],Tabela3[[Reserva]:[Descrição do status]],18,FALSE),"CONVENCIONAL"))</f>
        <v>CONVENCIONAL</v>
      </c>
    </row>
    <row r="218" spans="1:17" x14ac:dyDescent="0.25">
      <c r="A218" s="37">
        <v>4382528</v>
      </c>
      <c r="B218" s="37">
        <v>1196</v>
      </c>
      <c r="C218" s="38" t="s">
        <v>309</v>
      </c>
      <c r="D218" s="38">
        <v>45448</v>
      </c>
      <c r="E2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8" s="39">
        <f>IFERROR(VLOOKUP(RES_AB[[#This Row],[Reserva]],Tabela8[[Reserva]:[Usuário]],7,FALSE),Dados!$A$17)</f>
        <v>0.93668981481481484</v>
      </c>
      <c r="G218" s="40">
        <f>IF(RES_AB[[#This Row],[Reserva]]="","",IF(RES_AB[[#This Row],[Hora Int WMS]]&lt;Dados!$A$16,2,2))</f>
        <v>2</v>
      </c>
      <c r="H218" s="40" t="str">
        <f>IF(RES_AB[[#This Row],[Reserva]]="","",IFERROR(VLOOKUP(RES_AB[[#This Row],[Reserva]],Tabela3[[Reserva]:[Condição para Faturamento]],20,FALSE),"IMPORTADO COM SUCESSO"))</f>
        <v>EM CONFERENCIA</v>
      </c>
      <c r="I218" s="38">
        <f>IF(RES_AB[[#This Row],[Data base]]="","",WORKDAY(RES_AB[[#This Row],[Data Reserva - Feriado e Fds]],RES_AB[[#This Row],[Dias para atendimento]],Feriados[Data]))</f>
        <v>45450</v>
      </c>
      <c r="J218" s="40" t="str">
        <f ca="1">IF(RES_AB[[#This Row],[Reserva]]="","",CONCATENATE("D+",NETWORKDAYS(RES_AB[[#This Row],[Data Reserva - Feriado e Fds]],TODAY(),Feriados[Data])-1))</f>
        <v>D+2</v>
      </c>
      <c r="K218" s="40" t="str">
        <f ca="1">IF(RES_AB[[#This Row],[Reserva]]="","",CONCATENATE(RES_AB[[#This Row],[Cen.]]," | ",RES_AB[[#This Row],[SLA2]]))</f>
        <v>1196 | D+2</v>
      </c>
      <c r="L218" s="40">
        <f ca="1">IF(RES_AB[[#This Row],[Reserva]]="","",IF(RES_AB[[#This Row],[SLA2]]=RES_AB[[#This Row],[Reserva]]="","",COUNTIF(MB25_VOLUMETRIA[Reserva],RES_AB[[#This Row],[Reserva]])))</f>
        <v>1</v>
      </c>
      <c r="M2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8" s="37" t="str">
        <f>IF(RES_AB[[#This Row],[Cen.]]="","",IFERROR(VLOOKUP(RES_AB[[#This Row],[Cen.]],Dados_Empresas[],2,FALSE),"Verificar empresa"))</f>
        <v>OMR</v>
      </c>
      <c r="P218" s="37" t="str">
        <f>IF(RES_AB[[#This Row],[Empresa]]="","",IF(OR(RES_AB[[#This Row],[Empresa]]="NET MASSIVO",RES_AB[[#This Row],[Empresa]]="NET PROJETOS"),"NET","EMPRESARIAL"))</f>
        <v>EMPRESARIAL</v>
      </c>
      <c r="Q218" s="37" t="str">
        <f>IF(RES_AB[[#This Row],[Reserva]]="","",IFERROR(VLOOKUP(RES_AB[[#This Row],[Reserva]],Tabela3[[Reserva]:[Descrição do status]],18,FALSE),"CONVENCIONAL"))</f>
        <v>CONVENCIONAL</v>
      </c>
    </row>
    <row r="219" spans="1:17" x14ac:dyDescent="0.25">
      <c r="A219" s="37">
        <v>4382530</v>
      </c>
      <c r="B219" s="37">
        <v>1196</v>
      </c>
      <c r="C219" s="38" t="s">
        <v>309</v>
      </c>
      <c r="D219" s="38">
        <v>45448</v>
      </c>
      <c r="E2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19" s="39">
        <f>IFERROR(VLOOKUP(RES_AB[[#This Row],[Reserva]],Tabela8[[Reserva]:[Usuário]],7,FALSE),Dados!$A$17)</f>
        <v>0.93668981481481484</v>
      </c>
      <c r="G219" s="40">
        <f>IF(RES_AB[[#This Row],[Reserva]]="","",IF(RES_AB[[#This Row],[Hora Int WMS]]&lt;Dados!$A$16,2,2))</f>
        <v>2</v>
      </c>
      <c r="H219" s="40" t="str">
        <f>IF(RES_AB[[#This Row],[Reserva]]="","",IFERROR(VLOOKUP(RES_AB[[#This Row],[Reserva]],Tabela3[[Reserva]:[Condição para Faturamento]],20,FALSE),"IMPORTADO COM SUCESSO"))</f>
        <v>EM CONFERENCIA</v>
      </c>
      <c r="I219" s="38">
        <f>IF(RES_AB[[#This Row],[Data base]]="","",WORKDAY(RES_AB[[#This Row],[Data Reserva - Feriado e Fds]],RES_AB[[#This Row],[Dias para atendimento]],Feriados[Data]))</f>
        <v>45450</v>
      </c>
      <c r="J219" s="40" t="str">
        <f ca="1">IF(RES_AB[[#This Row],[Reserva]]="","",CONCATENATE("D+",NETWORKDAYS(RES_AB[[#This Row],[Data Reserva - Feriado e Fds]],TODAY(),Feriados[Data])-1))</f>
        <v>D+2</v>
      </c>
      <c r="K219" s="40" t="str">
        <f ca="1">IF(RES_AB[[#This Row],[Reserva]]="","",CONCATENATE(RES_AB[[#This Row],[Cen.]]," | ",RES_AB[[#This Row],[SLA2]]))</f>
        <v>1196 | D+2</v>
      </c>
      <c r="L219" s="40">
        <f ca="1">IF(RES_AB[[#This Row],[Reserva]]="","",IF(RES_AB[[#This Row],[SLA2]]=RES_AB[[#This Row],[Reserva]]="","",COUNTIF(MB25_VOLUMETRIA[Reserva],RES_AB[[#This Row],[Reserva]])))</f>
        <v>1</v>
      </c>
      <c r="M2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19" s="37" t="str">
        <f>IF(RES_AB[[#This Row],[Cen.]]="","",IFERROR(VLOOKUP(RES_AB[[#This Row],[Cen.]],Dados_Empresas[],2,FALSE),"Verificar empresa"))</f>
        <v>OMR</v>
      </c>
      <c r="P219" s="37" t="str">
        <f>IF(RES_AB[[#This Row],[Empresa]]="","",IF(OR(RES_AB[[#This Row],[Empresa]]="NET MASSIVO",RES_AB[[#This Row],[Empresa]]="NET PROJETOS"),"NET","EMPRESARIAL"))</f>
        <v>EMPRESARIAL</v>
      </c>
      <c r="Q219" s="37" t="str">
        <f>IF(RES_AB[[#This Row],[Reserva]]="","",IFERROR(VLOOKUP(RES_AB[[#This Row],[Reserva]],Tabela3[[Reserva]:[Descrição do status]],18,FALSE),"CONVENCIONAL"))</f>
        <v>CONVENCIONAL</v>
      </c>
    </row>
    <row r="220" spans="1:17" x14ac:dyDescent="0.25">
      <c r="A220" s="37">
        <v>4382531</v>
      </c>
      <c r="B220" s="37">
        <v>1196</v>
      </c>
      <c r="C220" s="38" t="s">
        <v>309</v>
      </c>
      <c r="D220" s="38">
        <v>45448</v>
      </c>
      <c r="E2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0" s="39">
        <f>IFERROR(VLOOKUP(RES_AB[[#This Row],[Reserva]],Tabela8[[Reserva]:[Usuário]],7,FALSE),Dados!$A$17)</f>
        <v>0.33333333333333331</v>
      </c>
      <c r="G220" s="40">
        <f>IF(RES_AB[[#This Row],[Reserva]]="","",IF(RES_AB[[#This Row],[Hora Int WMS]]&lt;Dados!$A$16,2,2))</f>
        <v>2</v>
      </c>
      <c r="H220" s="40" t="str">
        <f>IF(RES_AB[[#This Row],[Reserva]]="","",IFERROR(VLOOKUP(RES_AB[[#This Row],[Reserva]],Tabela3[[Reserva]:[Condição para Faturamento]],20,FALSE),"IMPORTADO COM SUCESSO"))</f>
        <v>EM FATURAMENTO</v>
      </c>
      <c r="I220" s="38">
        <f>IF(RES_AB[[#This Row],[Data base]]="","",WORKDAY(RES_AB[[#This Row],[Data Reserva - Feriado e Fds]],RES_AB[[#This Row],[Dias para atendimento]],Feriados[Data]))</f>
        <v>45450</v>
      </c>
      <c r="J220" s="40" t="str">
        <f ca="1">IF(RES_AB[[#This Row],[Reserva]]="","",CONCATENATE("D+",NETWORKDAYS(RES_AB[[#This Row],[Data Reserva - Feriado e Fds]],TODAY(),Feriados[Data])-1))</f>
        <v>D+2</v>
      </c>
      <c r="K220" s="40" t="str">
        <f ca="1">IF(RES_AB[[#This Row],[Reserva]]="","",CONCATENATE(RES_AB[[#This Row],[Cen.]]," | ",RES_AB[[#This Row],[SLA2]]))</f>
        <v>1196 | D+2</v>
      </c>
      <c r="L220" s="40">
        <f ca="1">IF(RES_AB[[#This Row],[Reserva]]="","",IF(RES_AB[[#This Row],[SLA2]]=RES_AB[[#This Row],[Reserva]]="","",COUNTIF(MB25_VOLUMETRIA[Reserva],RES_AB[[#This Row],[Reserva]])))</f>
        <v>1</v>
      </c>
      <c r="M2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0" s="37" t="str">
        <f>IF(RES_AB[[#This Row],[Cen.]]="","",IFERROR(VLOOKUP(RES_AB[[#This Row],[Cen.]],Dados_Empresas[],2,FALSE),"Verificar empresa"))</f>
        <v>OMR</v>
      </c>
      <c r="P220" s="37" t="str">
        <f>IF(RES_AB[[#This Row],[Empresa]]="","",IF(OR(RES_AB[[#This Row],[Empresa]]="NET MASSIVO",RES_AB[[#This Row],[Empresa]]="NET PROJETOS"),"NET","EMPRESARIAL"))</f>
        <v>EMPRESARIAL</v>
      </c>
      <c r="Q220" s="37" t="str">
        <f>IF(RES_AB[[#This Row],[Reserva]]="","",IFERROR(VLOOKUP(RES_AB[[#This Row],[Reserva]],Tabela3[[Reserva]:[Descrição do status]],18,FALSE),"CONVENCIONAL"))</f>
        <v>CONVENCIONAL</v>
      </c>
    </row>
    <row r="221" spans="1:17" x14ac:dyDescent="0.25">
      <c r="A221" s="37">
        <v>4382544</v>
      </c>
      <c r="B221" s="37">
        <v>1196</v>
      </c>
      <c r="C221" s="38" t="s">
        <v>309</v>
      </c>
      <c r="D221" s="38">
        <v>45448</v>
      </c>
      <c r="E2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1" s="39">
        <f>IFERROR(VLOOKUP(RES_AB[[#This Row],[Reserva]],Tabela8[[Reserva]:[Usuário]],7,FALSE),Dados!$A$17)</f>
        <v>0.33333333333333331</v>
      </c>
      <c r="G221" s="40">
        <f>IF(RES_AB[[#This Row],[Reserva]]="","",IF(RES_AB[[#This Row],[Hora Int WMS]]&lt;Dados!$A$16,2,2))</f>
        <v>2</v>
      </c>
      <c r="H221" s="40" t="str">
        <f>IF(RES_AB[[#This Row],[Reserva]]="","",IFERROR(VLOOKUP(RES_AB[[#This Row],[Reserva]],Tabela3[[Reserva]:[Condição para Faturamento]],20,FALSE),"IMPORTADO COM SUCESSO"))</f>
        <v>EM CONFERENCIA</v>
      </c>
      <c r="I221" s="38">
        <f>IF(RES_AB[[#This Row],[Data base]]="","",WORKDAY(RES_AB[[#This Row],[Data Reserva - Feriado e Fds]],RES_AB[[#This Row],[Dias para atendimento]],Feriados[Data]))</f>
        <v>45450</v>
      </c>
      <c r="J221" s="40" t="str">
        <f ca="1">IF(RES_AB[[#This Row],[Reserva]]="","",CONCATENATE("D+",NETWORKDAYS(RES_AB[[#This Row],[Data Reserva - Feriado e Fds]],TODAY(),Feriados[Data])-1))</f>
        <v>D+2</v>
      </c>
      <c r="K221" s="40" t="str">
        <f ca="1">IF(RES_AB[[#This Row],[Reserva]]="","",CONCATENATE(RES_AB[[#This Row],[Cen.]]," | ",RES_AB[[#This Row],[SLA2]]))</f>
        <v>1196 | D+2</v>
      </c>
      <c r="L221" s="40">
        <f ca="1">IF(RES_AB[[#This Row],[Reserva]]="","",IF(RES_AB[[#This Row],[SLA2]]=RES_AB[[#This Row],[Reserva]]="","",COUNTIF(MB25_VOLUMETRIA[Reserva],RES_AB[[#This Row],[Reserva]])))</f>
        <v>1</v>
      </c>
      <c r="M2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1" s="37" t="str">
        <f>IF(RES_AB[[#This Row],[Cen.]]="","",IFERROR(VLOOKUP(RES_AB[[#This Row],[Cen.]],Dados_Empresas[],2,FALSE),"Verificar empresa"))</f>
        <v>OMR</v>
      </c>
      <c r="P221" s="37" t="str">
        <f>IF(RES_AB[[#This Row],[Empresa]]="","",IF(OR(RES_AB[[#This Row],[Empresa]]="NET MASSIVO",RES_AB[[#This Row],[Empresa]]="NET PROJETOS"),"NET","EMPRESARIAL"))</f>
        <v>EMPRESARIAL</v>
      </c>
      <c r="Q221" s="37" t="str">
        <f>IF(RES_AB[[#This Row],[Reserva]]="","",IFERROR(VLOOKUP(RES_AB[[#This Row],[Reserva]],Tabela3[[Reserva]:[Descrição do status]],18,FALSE),"CONVENCIONAL"))</f>
        <v>CONVENCIONAL</v>
      </c>
    </row>
    <row r="222" spans="1:17" x14ac:dyDescent="0.25">
      <c r="A222" s="37">
        <v>4382557</v>
      </c>
      <c r="B222" s="37">
        <v>1196</v>
      </c>
      <c r="C222" s="38" t="s">
        <v>314</v>
      </c>
      <c r="D222" s="38">
        <v>45448</v>
      </c>
      <c r="E2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2" s="39">
        <f>IFERROR(VLOOKUP(RES_AB[[#This Row],[Reserva]],Tabela8[[Reserva]:[Usuário]],7,FALSE),Dados!$A$17)</f>
        <v>0.33333333333333331</v>
      </c>
      <c r="G222" s="40">
        <f>IF(RES_AB[[#This Row],[Reserva]]="","",IF(RES_AB[[#This Row],[Hora Int WMS]]&lt;Dados!$A$16,2,2))</f>
        <v>2</v>
      </c>
      <c r="H222" s="40" t="str">
        <f>IF(RES_AB[[#This Row],[Reserva]]="","",IFERROR(VLOOKUP(RES_AB[[#This Row],[Reserva]],Tabela3[[Reserva]:[Condição para Faturamento]],20,FALSE),"IMPORTADO COM SUCESSO"))</f>
        <v>EM CONFERENCIA</v>
      </c>
      <c r="I222" s="38">
        <f>IF(RES_AB[[#This Row],[Data base]]="","",WORKDAY(RES_AB[[#This Row],[Data Reserva - Feriado e Fds]],RES_AB[[#This Row],[Dias para atendimento]],Feriados[Data]))</f>
        <v>45450</v>
      </c>
      <c r="J222" s="40" t="str">
        <f ca="1">IF(RES_AB[[#This Row],[Reserva]]="","",CONCATENATE("D+",NETWORKDAYS(RES_AB[[#This Row],[Data Reserva - Feriado e Fds]],TODAY(),Feriados[Data])-1))</f>
        <v>D+2</v>
      </c>
      <c r="K222" s="40" t="str">
        <f ca="1">IF(RES_AB[[#This Row],[Reserva]]="","",CONCATENATE(RES_AB[[#This Row],[Cen.]]," | ",RES_AB[[#This Row],[SLA2]]))</f>
        <v>1196 | D+2</v>
      </c>
      <c r="L222" s="40">
        <f ca="1">IF(RES_AB[[#This Row],[Reserva]]="","",IF(RES_AB[[#This Row],[SLA2]]=RES_AB[[#This Row],[Reserva]]="","",COUNTIF(MB25_VOLUMETRIA[Reserva],RES_AB[[#This Row],[Reserva]])))</f>
        <v>1</v>
      </c>
      <c r="M2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2" s="37" t="str">
        <f>IF(RES_AB[[#This Row],[Cen.]]="","",IFERROR(VLOOKUP(RES_AB[[#This Row],[Cen.]],Dados_Empresas[],2,FALSE),"Verificar empresa"))</f>
        <v>OMR</v>
      </c>
      <c r="P222" s="37" t="str">
        <f>IF(RES_AB[[#This Row],[Empresa]]="","",IF(OR(RES_AB[[#This Row],[Empresa]]="NET MASSIVO",RES_AB[[#This Row],[Empresa]]="NET PROJETOS"),"NET","EMPRESARIAL"))</f>
        <v>EMPRESARIAL</v>
      </c>
      <c r="Q222" s="37" t="str">
        <f>IF(RES_AB[[#This Row],[Reserva]]="","",IFERROR(VLOOKUP(RES_AB[[#This Row],[Reserva]],Tabela3[[Reserva]:[Descrição do status]],18,FALSE),"CONVENCIONAL"))</f>
        <v>CONVENCIONAL</v>
      </c>
    </row>
    <row r="223" spans="1:17" x14ac:dyDescent="0.25">
      <c r="A223" s="37">
        <v>4382565</v>
      </c>
      <c r="B223" s="37">
        <v>1196</v>
      </c>
      <c r="C223" s="38" t="s">
        <v>412</v>
      </c>
      <c r="D223" s="38">
        <v>45448</v>
      </c>
      <c r="E2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3" s="39">
        <f>IFERROR(VLOOKUP(RES_AB[[#This Row],[Reserva]],Tabela8[[Reserva]:[Usuário]],7,FALSE),Dados!$A$17)</f>
        <v>0.33333333333333331</v>
      </c>
      <c r="G223" s="40">
        <f>IF(RES_AB[[#This Row],[Reserva]]="","",IF(RES_AB[[#This Row],[Hora Int WMS]]&lt;Dados!$A$16,2,2))</f>
        <v>2</v>
      </c>
      <c r="H223" s="40" t="str">
        <f>IF(RES_AB[[#This Row],[Reserva]]="","",IFERROR(VLOOKUP(RES_AB[[#This Row],[Reserva]],Tabela3[[Reserva]:[Condição para Faturamento]],20,FALSE),"IMPORTADO COM SUCESSO"))</f>
        <v>EM CONFERENCIA</v>
      </c>
      <c r="I223" s="38">
        <f>IF(RES_AB[[#This Row],[Data base]]="","",WORKDAY(RES_AB[[#This Row],[Data Reserva - Feriado e Fds]],RES_AB[[#This Row],[Dias para atendimento]],Feriados[Data]))</f>
        <v>45450</v>
      </c>
      <c r="J223" s="40" t="str">
        <f ca="1">IF(RES_AB[[#This Row],[Reserva]]="","",CONCATENATE("D+",NETWORKDAYS(RES_AB[[#This Row],[Data Reserva - Feriado e Fds]],TODAY(),Feriados[Data])-1))</f>
        <v>D+2</v>
      </c>
      <c r="K223" s="40" t="str">
        <f ca="1">IF(RES_AB[[#This Row],[Reserva]]="","",CONCATENATE(RES_AB[[#This Row],[Cen.]]," | ",RES_AB[[#This Row],[SLA2]]))</f>
        <v>1196 | D+2</v>
      </c>
      <c r="L223" s="40">
        <f ca="1">IF(RES_AB[[#This Row],[Reserva]]="","",IF(RES_AB[[#This Row],[SLA2]]=RES_AB[[#This Row],[Reserva]]="","",COUNTIF(MB25_VOLUMETRIA[Reserva],RES_AB[[#This Row],[Reserva]])))</f>
        <v>1</v>
      </c>
      <c r="M2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3" s="37" t="str">
        <f>IF(RES_AB[[#This Row],[Cen.]]="","",IFERROR(VLOOKUP(RES_AB[[#This Row],[Cen.]],Dados_Empresas[],2,FALSE),"Verificar empresa"))</f>
        <v>OMR</v>
      </c>
      <c r="P223" s="37" t="str">
        <f>IF(RES_AB[[#This Row],[Empresa]]="","",IF(OR(RES_AB[[#This Row],[Empresa]]="NET MASSIVO",RES_AB[[#This Row],[Empresa]]="NET PROJETOS"),"NET","EMPRESARIAL"))</f>
        <v>EMPRESARIAL</v>
      </c>
      <c r="Q223" s="37" t="str">
        <f>IF(RES_AB[[#This Row],[Reserva]]="","",IFERROR(VLOOKUP(RES_AB[[#This Row],[Reserva]],Tabela3[[Reserva]:[Descrição do status]],18,FALSE),"CONVENCIONAL"))</f>
        <v>CONVENCIONAL</v>
      </c>
    </row>
    <row r="224" spans="1:17" x14ac:dyDescent="0.25">
      <c r="A224" s="37">
        <v>4382566</v>
      </c>
      <c r="B224" s="37">
        <v>1196</v>
      </c>
      <c r="C224" s="38" t="s">
        <v>314</v>
      </c>
      <c r="D224" s="38">
        <v>45448</v>
      </c>
      <c r="E2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224" s="39">
        <f>IFERROR(VLOOKUP(RES_AB[[#This Row],[Reserva]],Tabela8[[Reserva]:[Usuário]],7,FALSE),Dados!$A$17)</f>
        <v>0.33333333333333331</v>
      </c>
      <c r="G224" s="40">
        <f>IF(RES_AB[[#This Row],[Reserva]]="","",IF(RES_AB[[#This Row],[Hora Int WMS]]&lt;Dados!$A$16,2,2))</f>
        <v>2</v>
      </c>
      <c r="H224" s="40" t="str">
        <f>IF(RES_AB[[#This Row],[Reserva]]="","",IFERROR(VLOOKUP(RES_AB[[#This Row],[Reserva]],Tabela3[[Reserva]:[Condição para Faturamento]],20,FALSE),"IMPORTADO COM SUCESSO"))</f>
        <v>EM CONFERENCIA</v>
      </c>
      <c r="I224" s="38">
        <f>IF(RES_AB[[#This Row],[Data base]]="","",WORKDAY(RES_AB[[#This Row],[Data Reserva - Feriado e Fds]],RES_AB[[#This Row],[Dias para atendimento]],Feriados[Data]))</f>
        <v>45450</v>
      </c>
      <c r="J224" s="40" t="str">
        <f ca="1">IF(RES_AB[[#This Row],[Reserva]]="","",CONCATENATE("D+",NETWORKDAYS(RES_AB[[#This Row],[Data Reserva - Feriado e Fds]],TODAY(),Feriados[Data])-1))</f>
        <v>D+2</v>
      </c>
      <c r="K224" s="40" t="str">
        <f ca="1">IF(RES_AB[[#This Row],[Reserva]]="","",CONCATENATE(RES_AB[[#This Row],[Cen.]]," | ",RES_AB[[#This Row],[SLA2]]))</f>
        <v>1196 | D+2</v>
      </c>
      <c r="L224" s="40">
        <f ca="1">IF(RES_AB[[#This Row],[Reserva]]="","",IF(RES_AB[[#This Row],[SLA2]]=RES_AB[[#This Row],[Reserva]]="","",COUNTIF(MB25_VOLUMETRIA[Reserva],RES_AB[[#This Row],[Reserva]])))</f>
        <v>1</v>
      </c>
      <c r="M2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224" s="37" t="str">
        <f>IF(RES_AB[[#This Row],[Cen.]]="","",IFERROR(VLOOKUP(RES_AB[[#This Row],[Cen.]],Dados_Empresas[],2,FALSE),"Verificar empresa"))</f>
        <v>OMR</v>
      </c>
      <c r="P224" s="37" t="str">
        <f>IF(RES_AB[[#This Row],[Empresa]]="","",IF(OR(RES_AB[[#This Row],[Empresa]]="NET MASSIVO",RES_AB[[#This Row],[Empresa]]="NET PROJETOS"),"NET","EMPRESARIAL"))</f>
        <v>EMPRESARIAL</v>
      </c>
      <c r="Q224" s="37" t="str">
        <f>IF(RES_AB[[#This Row],[Reserva]]="","",IFERROR(VLOOKUP(RES_AB[[#This Row],[Reserva]],Tabela3[[Reserva]:[Descrição do status]],18,FALSE),"CONVENCIONAL"))</f>
        <v>CONVENCIONAL</v>
      </c>
    </row>
    <row r="225" spans="1:17" x14ac:dyDescent="0.25">
      <c r="A225" s="37">
        <v>4382020</v>
      </c>
      <c r="B225" s="37">
        <v>1196</v>
      </c>
      <c r="C225" s="38" t="s">
        <v>309</v>
      </c>
      <c r="D225" s="38">
        <v>45449</v>
      </c>
      <c r="E2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5" s="39">
        <f>IFERROR(VLOOKUP(RES_AB[[#This Row],[Reserva]],Tabela8[[Reserva]:[Usuário]],7,FALSE),Dados!$A$17)</f>
        <v>0.42442129629629627</v>
      </c>
      <c r="G225" s="40">
        <f>IF(RES_AB[[#This Row],[Reserva]]="","",IF(RES_AB[[#This Row],[Hora Int WMS]]&lt;Dados!$A$16,2,2))</f>
        <v>2</v>
      </c>
      <c r="H225" s="40" t="str">
        <f>IF(RES_AB[[#This Row],[Reserva]]="","",IFERROR(VLOOKUP(RES_AB[[#This Row],[Reserva]],Tabela3[[Reserva]:[Condição para Faturamento]],20,FALSE),"IMPORTADO COM SUCESSO"))</f>
        <v>EM CONFERENCIA</v>
      </c>
      <c r="I225" s="38">
        <f>IF(RES_AB[[#This Row],[Data base]]="","",WORKDAY(RES_AB[[#This Row],[Data Reserva - Feriado e Fds]],RES_AB[[#This Row],[Dias para atendimento]],Feriados[Data]))</f>
        <v>45453</v>
      </c>
      <c r="J225" s="40" t="str">
        <f ca="1">IF(RES_AB[[#This Row],[Reserva]]="","",CONCATENATE("D+",NETWORKDAYS(RES_AB[[#This Row],[Data Reserva - Feriado e Fds]],TODAY(),Feriados[Data])-1))</f>
        <v>D+1</v>
      </c>
      <c r="K225" s="40" t="str">
        <f ca="1">IF(RES_AB[[#This Row],[Reserva]]="","",CONCATENATE(RES_AB[[#This Row],[Cen.]]," | ",RES_AB[[#This Row],[SLA2]]))</f>
        <v>1196 | D+1</v>
      </c>
      <c r="L225" s="40">
        <f ca="1">IF(RES_AB[[#This Row],[Reserva]]="","",IF(RES_AB[[#This Row],[SLA2]]=RES_AB[[#This Row],[Reserva]]="","",COUNTIF(MB25_VOLUMETRIA[Reserva],RES_AB[[#This Row],[Reserva]])))</f>
        <v>1</v>
      </c>
      <c r="M2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5" s="37" t="str">
        <f>IF(RES_AB[[#This Row],[Cen.]]="","",IFERROR(VLOOKUP(RES_AB[[#This Row],[Cen.]],Dados_Empresas[],2,FALSE),"Verificar empresa"))</f>
        <v>OMR</v>
      </c>
      <c r="P225" s="37" t="str">
        <f>IF(RES_AB[[#This Row],[Empresa]]="","",IF(OR(RES_AB[[#This Row],[Empresa]]="NET MASSIVO",RES_AB[[#This Row],[Empresa]]="NET PROJETOS"),"NET","EMPRESARIAL"))</f>
        <v>EMPRESARIAL</v>
      </c>
      <c r="Q225" s="37" t="str">
        <f>IF(RES_AB[[#This Row],[Reserva]]="","",IFERROR(VLOOKUP(RES_AB[[#This Row],[Reserva]],Tabela3[[Reserva]:[Descrição do status]],18,FALSE),"CONVENCIONAL"))</f>
        <v>CONVENCIONAL</v>
      </c>
    </row>
    <row r="226" spans="1:17" x14ac:dyDescent="0.25">
      <c r="A226" s="37">
        <v>4382314</v>
      </c>
      <c r="B226" s="37">
        <v>1196</v>
      </c>
      <c r="C226" s="38" t="s">
        <v>309</v>
      </c>
      <c r="D226" s="38">
        <v>45449</v>
      </c>
      <c r="E2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6" s="39">
        <f>IFERROR(VLOOKUP(RES_AB[[#This Row],[Reserva]],Tabela8[[Reserva]:[Usuário]],7,FALSE),Dados!$A$17)</f>
        <v>0.48935185185185187</v>
      </c>
      <c r="G226" s="40">
        <f>IF(RES_AB[[#This Row],[Reserva]]="","",IF(RES_AB[[#This Row],[Hora Int WMS]]&lt;Dados!$A$16,2,2))</f>
        <v>2</v>
      </c>
      <c r="H226" s="40" t="str">
        <f>IF(RES_AB[[#This Row],[Reserva]]="","",IFERROR(VLOOKUP(RES_AB[[#This Row],[Reserva]],Tabela3[[Reserva]:[Condição para Faturamento]],20,FALSE),"IMPORTADO COM SUCESSO"))</f>
        <v>EM CONFERENCIA</v>
      </c>
      <c r="I226" s="38">
        <f>IF(RES_AB[[#This Row],[Data base]]="","",WORKDAY(RES_AB[[#This Row],[Data Reserva - Feriado e Fds]],RES_AB[[#This Row],[Dias para atendimento]],Feriados[Data]))</f>
        <v>45453</v>
      </c>
      <c r="J226" s="40" t="str">
        <f ca="1">IF(RES_AB[[#This Row],[Reserva]]="","",CONCATENATE("D+",NETWORKDAYS(RES_AB[[#This Row],[Data Reserva - Feriado e Fds]],TODAY(),Feriados[Data])-1))</f>
        <v>D+1</v>
      </c>
      <c r="K226" s="40" t="str">
        <f ca="1">IF(RES_AB[[#This Row],[Reserva]]="","",CONCATENATE(RES_AB[[#This Row],[Cen.]]," | ",RES_AB[[#This Row],[SLA2]]))</f>
        <v>1196 | D+1</v>
      </c>
      <c r="L226" s="40">
        <f ca="1">IF(RES_AB[[#This Row],[Reserva]]="","",IF(RES_AB[[#This Row],[SLA2]]=RES_AB[[#This Row],[Reserva]]="","",COUNTIF(MB25_VOLUMETRIA[Reserva],RES_AB[[#This Row],[Reserva]])))</f>
        <v>1</v>
      </c>
      <c r="M2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6" s="37" t="str">
        <f>IF(RES_AB[[#This Row],[Cen.]]="","",IFERROR(VLOOKUP(RES_AB[[#This Row],[Cen.]],Dados_Empresas[],2,FALSE),"Verificar empresa"))</f>
        <v>OMR</v>
      </c>
      <c r="P226" s="37" t="str">
        <f>IF(RES_AB[[#This Row],[Empresa]]="","",IF(OR(RES_AB[[#This Row],[Empresa]]="NET MASSIVO",RES_AB[[#This Row],[Empresa]]="NET PROJETOS"),"NET","EMPRESARIAL"))</f>
        <v>EMPRESARIAL</v>
      </c>
      <c r="Q226" s="37" t="str">
        <f>IF(RES_AB[[#This Row],[Reserva]]="","",IFERROR(VLOOKUP(RES_AB[[#This Row],[Reserva]],Tabela3[[Reserva]:[Descrição do status]],18,FALSE),"CONVENCIONAL"))</f>
        <v>CONVENCIONAL</v>
      </c>
    </row>
    <row r="227" spans="1:17" x14ac:dyDescent="0.25">
      <c r="A227" s="37">
        <v>4382315</v>
      </c>
      <c r="B227" s="37">
        <v>1196</v>
      </c>
      <c r="C227" s="38" t="s">
        <v>309</v>
      </c>
      <c r="D227" s="38">
        <v>45449</v>
      </c>
      <c r="E2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7" s="39">
        <f>IFERROR(VLOOKUP(RES_AB[[#This Row],[Reserva]],Tabela8[[Reserva]:[Usuário]],7,FALSE),Dados!$A$17)</f>
        <v>0.48935185185185187</v>
      </c>
      <c r="G227" s="40">
        <f>IF(RES_AB[[#This Row],[Reserva]]="","",IF(RES_AB[[#This Row],[Hora Int WMS]]&lt;Dados!$A$16,2,2))</f>
        <v>2</v>
      </c>
      <c r="H227" s="40" t="str">
        <f>IF(RES_AB[[#This Row],[Reserva]]="","",IFERROR(VLOOKUP(RES_AB[[#This Row],[Reserva]],Tabela3[[Reserva]:[Condição para Faturamento]],20,FALSE),"IMPORTADO COM SUCESSO"))</f>
        <v>EM CONFERENCIA</v>
      </c>
      <c r="I227" s="38">
        <f>IF(RES_AB[[#This Row],[Data base]]="","",WORKDAY(RES_AB[[#This Row],[Data Reserva - Feriado e Fds]],RES_AB[[#This Row],[Dias para atendimento]],Feriados[Data]))</f>
        <v>45453</v>
      </c>
      <c r="J227" s="40" t="str">
        <f ca="1">IF(RES_AB[[#This Row],[Reserva]]="","",CONCATENATE("D+",NETWORKDAYS(RES_AB[[#This Row],[Data Reserva - Feriado e Fds]],TODAY(),Feriados[Data])-1))</f>
        <v>D+1</v>
      </c>
      <c r="K227" s="40" t="str">
        <f ca="1">IF(RES_AB[[#This Row],[Reserva]]="","",CONCATENATE(RES_AB[[#This Row],[Cen.]]," | ",RES_AB[[#This Row],[SLA2]]))</f>
        <v>1196 | D+1</v>
      </c>
      <c r="L227" s="40">
        <f ca="1">IF(RES_AB[[#This Row],[Reserva]]="","",IF(RES_AB[[#This Row],[SLA2]]=RES_AB[[#This Row],[Reserva]]="","",COUNTIF(MB25_VOLUMETRIA[Reserva],RES_AB[[#This Row],[Reserva]])))</f>
        <v>1</v>
      </c>
      <c r="M2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7" s="37" t="str">
        <f>IF(RES_AB[[#This Row],[Cen.]]="","",IFERROR(VLOOKUP(RES_AB[[#This Row],[Cen.]],Dados_Empresas[],2,FALSE),"Verificar empresa"))</f>
        <v>OMR</v>
      </c>
      <c r="P227" s="37" t="str">
        <f>IF(RES_AB[[#This Row],[Empresa]]="","",IF(OR(RES_AB[[#This Row],[Empresa]]="NET MASSIVO",RES_AB[[#This Row],[Empresa]]="NET PROJETOS"),"NET","EMPRESARIAL"))</f>
        <v>EMPRESARIAL</v>
      </c>
      <c r="Q227" s="37" t="str">
        <f>IF(RES_AB[[#This Row],[Reserva]]="","",IFERROR(VLOOKUP(RES_AB[[#This Row],[Reserva]],Tabela3[[Reserva]:[Descrição do status]],18,FALSE),"CONVENCIONAL"))</f>
        <v>CONVENCIONAL</v>
      </c>
    </row>
    <row r="228" spans="1:17" x14ac:dyDescent="0.25">
      <c r="A228" s="37">
        <v>4382316</v>
      </c>
      <c r="B228" s="37">
        <v>1196</v>
      </c>
      <c r="C228" s="38" t="s">
        <v>309</v>
      </c>
      <c r="D228" s="38">
        <v>45449</v>
      </c>
      <c r="E2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8" s="39">
        <f>IFERROR(VLOOKUP(RES_AB[[#This Row],[Reserva]],Tabela8[[Reserva]:[Usuário]],7,FALSE),Dados!$A$17)</f>
        <v>0.48946759259259259</v>
      </c>
      <c r="G228" s="40">
        <f>IF(RES_AB[[#This Row],[Reserva]]="","",IF(RES_AB[[#This Row],[Hora Int WMS]]&lt;Dados!$A$16,2,2))</f>
        <v>2</v>
      </c>
      <c r="H228" s="40" t="str">
        <f>IF(RES_AB[[#This Row],[Reserva]]="","",IFERROR(VLOOKUP(RES_AB[[#This Row],[Reserva]],Tabela3[[Reserva]:[Condição para Faturamento]],20,FALSE),"IMPORTADO COM SUCESSO"))</f>
        <v>EM CONFERENCIA</v>
      </c>
      <c r="I228" s="38">
        <f>IF(RES_AB[[#This Row],[Data base]]="","",WORKDAY(RES_AB[[#This Row],[Data Reserva - Feriado e Fds]],RES_AB[[#This Row],[Dias para atendimento]],Feriados[Data]))</f>
        <v>45453</v>
      </c>
      <c r="J228" s="40" t="str">
        <f ca="1">IF(RES_AB[[#This Row],[Reserva]]="","",CONCATENATE("D+",NETWORKDAYS(RES_AB[[#This Row],[Data Reserva - Feriado e Fds]],TODAY(),Feriados[Data])-1))</f>
        <v>D+1</v>
      </c>
      <c r="K228" s="40" t="str">
        <f ca="1">IF(RES_AB[[#This Row],[Reserva]]="","",CONCATENATE(RES_AB[[#This Row],[Cen.]]," | ",RES_AB[[#This Row],[SLA2]]))</f>
        <v>1196 | D+1</v>
      </c>
      <c r="L228" s="40">
        <f ca="1">IF(RES_AB[[#This Row],[Reserva]]="","",IF(RES_AB[[#This Row],[SLA2]]=RES_AB[[#This Row],[Reserva]]="","",COUNTIF(MB25_VOLUMETRIA[Reserva],RES_AB[[#This Row],[Reserva]])))</f>
        <v>1</v>
      </c>
      <c r="M2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8" s="37" t="str">
        <f>IF(RES_AB[[#This Row],[Cen.]]="","",IFERROR(VLOOKUP(RES_AB[[#This Row],[Cen.]],Dados_Empresas[],2,FALSE),"Verificar empresa"))</f>
        <v>OMR</v>
      </c>
      <c r="P228" s="37" t="str">
        <f>IF(RES_AB[[#This Row],[Empresa]]="","",IF(OR(RES_AB[[#This Row],[Empresa]]="NET MASSIVO",RES_AB[[#This Row],[Empresa]]="NET PROJETOS"),"NET","EMPRESARIAL"))</f>
        <v>EMPRESARIAL</v>
      </c>
      <c r="Q228" s="37" t="str">
        <f>IF(RES_AB[[#This Row],[Reserva]]="","",IFERROR(VLOOKUP(RES_AB[[#This Row],[Reserva]],Tabela3[[Reserva]:[Descrição do status]],18,FALSE),"CONVENCIONAL"))</f>
        <v>CONVENCIONAL</v>
      </c>
    </row>
    <row r="229" spans="1:17" x14ac:dyDescent="0.25">
      <c r="A229" s="37">
        <v>4382761</v>
      </c>
      <c r="B229" s="37">
        <v>1196</v>
      </c>
      <c r="C229" s="38" t="s">
        <v>309</v>
      </c>
      <c r="D229" s="38">
        <v>45449</v>
      </c>
      <c r="E2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29" s="39">
        <f>IFERROR(VLOOKUP(RES_AB[[#This Row],[Reserva]],Tabela8[[Reserva]:[Usuário]],7,FALSE),Dados!$A$17)</f>
        <v>0.42442129629629627</v>
      </c>
      <c r="G229" s="40">
        <f>IF(RES_AB[[#This Row],[Reserva]]="","",IF(RES_AB[[#This Row],[Hora Int WMS]]&lt;Dados!$A$16,2,2))</f>
        <v>2</v>
      </c>
      <c r="H229" s="40" t="str">
        <f>IF(RES_AB[[#This Row],[Reserva]]="","",IFERROR(VLOOKUP(RES_AB[[#This Row],[Reserva]],Tabela3[[Reserva]:[Condição para Faturamento]],20,FALSE),"IMPORTADO COM SUCESSO"))</f>
        <v>PEDIDO EM LABORATORIO</v>
      </c>
      <c r="I229" s="38">
        <f>IF(RES_AB[[#This Row],[Data base]]="","",WORKDAY(RES_AB[[#This Row],[Data Reserva - Feriado e Fds]],RES_AB[[#This Row],[Dias para atendimento]],Feriados[Data]))</f>
        <v>45453</v>
      </c>
      <c r="J229" s="40" t="str">
        <f ca="1">IF(RES_AB[[#This Row],[Reserva]]="","",CONCATENATE("D+",NETWORKDAYS(RES_AB[[#This Row],[Data Reserva - Feriado e Fds]],TODAY(),Feriados[Data])-1))</f>
        <v>D+1</v>
      </c>
      <c r="K229" s="40" t="str">
        <f ca="1">IF(RES_AB[[#This Row],[Reserva]]="","",CONCATENATE(RES_AB[[#This Row],[Cen.]]," | ",RES_AB[[#This Row],[SLA2]]))</f>
        <v>1196 | D+1</v>
      </c>
      <c r="L229" s="40">
        <f ca="1">IF(RES_AB[[#This Row],[Reserva]]="","",IF(RES_AB[[#This Row],[SLA2]]=RES_AB[[#This Row],[Reserva]]="","",COUNTIF(MB25_VOLUMETRIA[Reserva],RES_AB[[#This Row],[Reserva]])))</f>
        <v>1</v>
      </c>
      <c r="M2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LAB|DEMAIS CENTROS</v>
      </c>
      <c r="N2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29" s="37" t="str">
        <f>IF(RES_AB[[#This Row],[Cen.]]="","",IFERROR(VLOOKUP(RES_AB[[#This Row],[Cen.]],Dados_Empresas[],2,FALSE),"Verificar empresa"))</f>
        <v>OMR</v>
      </c>
      <c r="P229" s="37" t="str">
        <f>IF(RES_AB[[#This Row],[Empresa]]="","",IF(OR(RES_AB[[#This Row],[Empresa]]="NET MASSIVO",RES_AB[[#This Row],[Empresa]]="NET PROJETOS"),"NET","EMPRESARIAL"))</f>
        <v>EMPRESARIAL</v>
      </c>
      <c r="Q229" s="37" t="str">
        <f>IF(RES_AB[[#This Row],[Reserva]]="","",IFERROR(VLOOKUP(RES_AB[[#This Row],[Reserva]],Tabela3[[Reserva]:[Descrição do status]],18,FALSE),"CONVENCIONAL"))</f>
        <v>CONVENCIONAL</v>
      </c>
    </row>
    <row r="230" spans="1:17" x14ac:dyDescent="0.25">
      <c r="A230" s="37">
        <v>4382762</v>
      </c>
      <c r="B230" s="37">
        <v>1196</v>
      </c>
      <c r="C230" s="38" t="s">
        <v>309</v>
      </c>
      <c r="D230" s="38">
        <v>45449</v>
      </c>
      <c r="E2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0" s="39">
        <f>IFERROR(VLOOKUP(RES_AB[[#This Row],[Reserva]],Tabela8[[Reserva]:[Usuário]],7,FALSE),Dados!$A$17)</f>
        <v>0.42442129629629627</v>
      </c>
      <c r="G230" s="40">
        <f>IF(RES_AB[[#This Row],[Reserva]]="","",IF(RES_AB[[#This Row],[Hora Int WMS]]&lt;Dados!$A$16,2,2))</f>
        <v>2</v>
      </c>
      <c r="H230" s="40" t="str">
        <f>IF(RES_AB[[#This Row],[Reserva]]="","",IFERROR(VLOOKUP(RES_AB[[#This Row],[Reserva]],Tabela3[[Reserva]:[Condição para Faturamento]],20,FALSE),"IMPORTADO COM SUCESSO"))</f>
        <v>EM CONFERENCIA</v>
      </c>
      <c r="I230" s="38">
        <f>IF(RES_AB[[#This Row],[Data base]]="","",WORKDAY(RES_AB[[#This Row],[Data Reserva - Feriado e Fds]],RES_AB[[#This Row],[Dias para atendimento]],Feriados[Data]))</f>
        <v>45453</v>
      </c>
      <c r="J230" s="40" t="str">
        <f ca="1">IF(RES_AB[[#This Row],[Reserva]]="","",CONCATENATE("D+",NETWORKDAYS(RES_AB[[#This Row],[Data Reserva - Feriado e Fds]],TODAY(),Feriados[Data])-1))</f>
        <v>D+1</v>
      </c>
      <c r="K230" s="40" t="str">
        <f ca="1">IF(RES_AB[[#This Row],[Reserva]]="","",CONCATENATE(RES_AB[[#This Row],[Cen.]]," | ",RES_AB[[#This Row],[SLA2]]))</f>
        <v>1196 | D+1</v>
      </c>
      <c r="L230" s="40">
        <f ca="1">IF(RES_AB[[#This Row],[Reserva]]="","",IF(RES_AB[[#This Row],[SLA2]]=RES_AB[[#This Row],[Reserva]]="","",COUNTIF(MB25_VOLUMETRIA[Reserva],RES_AB[[#This Row],[Reserva]])))</f>
        <v>2</v>
      </c>
      <c r="M2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0" s="37" t="str">
        <f>IF(RES_AB[[#This Row],[Cen.]]="","",IFERROR(VLOOKUP(RES_AB[[#This Row],[Cen.]],Dados_Empresas[],2,FALSE),"Verificar empresa"))</f>
        <v>OMR</v>
      </c>
      <c r="P230" s="37" t="str">
        <f>IF(RES_AB[[#This Row],[Empresa]]="","",IF(OR(RES_AB[[#This Row],[Empresa]]="NET MASSIVO",RES_AB[[#This Row],[Empresa]]="NET PROJETOS"),"NET","EMPRESARIAL"))</f>
        <v>EMPRESARIAL</v>
      </c>
      <c r="Q230" s="37" t="str">
        <f>IF(RES_AB[[#This Row],[Reserva]]="","",IFERROR(VLOOKUP(RES_AB[[#This Row],[Reserva]],Tabela3[[Reserva]:[Descrição do status]],18,FALSE),"CONVENCIONAL"))</f>
        <v>CONVENCIONAL</v>
      </c>
    </row>
    <row r="231" spans="1:17" x14ac:dyDescent="0.25">
      <c r="A231" s="37">
        <v>4382764</v>
      </c>
      <c r="B231" s="37">
        <v>1196</v>
      </c>
      <c r="C231" s="38" t="s">
        <v>309</v>
      </c>
      <c r="D231" s="38">
        <v>45449</v>
      </c>
      <c r="E2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1" s="39">
        <f>IFERROR(VLOOKUP(RES_AB[[#This Row],[Reserva]],Tabela8[[Reserva]:[Usuário]],7,FALSE),Dados!$A$17)</f>
        <v>0.42453703703703705</v>
      </c>
      <c r="G231" s="40">
        <f>IF(RES_AB[[#This Row],[Reserva]]="","",IF(RES_AB[[#This Row],[Hora Int WMS]]&lt;Dados!$A$16,2,2))</f>
        <v>2</v>
      </c>
      <c r="H231" s="40" t="str">
        <f>IF(RES_AB[[#This Row],[Reserva]]="","",IFERROR(VLOOKUP(RES_AB[[#This Row],[Reserva]],Tabela3[[Reserva]:[Condição para Faturamento]],20,FALSE),"IMPORTADO COM SUCESSO"))</f>
        <v>EM CONFERENCIA</v>
      </c>
      <c r="I231" s="38">
        <f>IF(RES_AB[[#This Row],[Data base]]="","",WORKDAY(RES_AB[[#This Row],[Data Reserva - Feriado e Fds]],RES_AB[[#This Row],[Dias para atendimento]],Feriados[Data]))</f>
        <v>45453</v>
      </c>
      <c r="J231" s="40" t="str">
        <f ca="1">IF(RES_AB[[#This Row],[Reserva]]="","",CONCATENATE("D+",NETWORKDAYS(RES_AB[[#This Row],[Data Reserva - Feriado e Fds]],TODAY(),Feriados[Data])-1))</f>
        <v>D+1</v>
      </c>
      <c r="K231" s="40" t="str">
        <f ca="1">IF(RES_AB[[#This Row],[Reserva]]="","",CONCATENATE(RES_AB[[#This Row],[Cen.]]," | ",RES_AB[[#This Row],[SLA2]]))</f>
        <v>1196 | D+1</v>
      </c>
      <c r="L231" s="40">
        <f ca="1">IF(RES_AB[[#This Row],[Reserva]]="","",IF(RES_AB[[#This Row],[SLA2]]=RES_AB[[#This Row],[Reserva]]="","",COUNTIF(MB25_VOLUMETRIA[Reserva],RES_AB[[#This Row],[Reserva]])))</f>
        <v>1</v>
      </c>
      <c r="M2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1" s="37" t="str">
        <f>IF(RES_AB[[#This Row],[Cen.]]="","",IFERROR(VLOOKUP(RES_AB[[#This Row],[Cen.]],Dados_Empresas[],2,FALSE),"Verificar empresa"))</f>
        <v>OMR</v>
      </c>
      <c r="P231" s="37" t="str">
        <f>IF(RES_AB[[#This Row],[Empresa]]="","",IF(OR(RES_AB[[#This Row],[Empresa]]="NET MASSIVO",RES_AB[[#This Row],[Empresa]]="NET PROJETOS"),"NET","EMPRESARIAL"))</f>
        <v>EMPRESARIAL</v>
      </c>
      <c r="Q231" s="37" t="str">
        <f>IF(RES_AB[[#This Row],[Reserva]]="","",IFERROR(VLOOKUP(RES_AB[[#This Row],[Reserva]],Tabela3[[Reserva]:[Descrição do status]],18,FALSE),"CONVENCIONAL"))</f>
        <v>CONVENCIONAL</v>
      </c>
    </row>
    <row r="232" spans="1:17" x14ac:dyDescent="0.25">
      <c r="A232" s="37">
        <v>4382765</v>
      </c>
      <c r="B232" s="37">
        <v>1196</v>
      </c>
      <c r="C232" s="38" t="s">
        <v>309</v>
      </c>
      <c r="D232" s="38">
        <v>45449</v>
      </c>
      <c r="E2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2" s="39">
        <f>IFERROR(VLOOKUP(RES_AB[[#This Row],[Reserva]],Tabela8[[Reserva]:[Usuário]],7,FALSE),Dados!$A$17)</f>
        <v>0.42465277777777777</v>
      </c>
      <c r="G232" s="40">
        <f>IF(RES_AB[[#This Row],[Reserva]]="","",IF(RES_AB[[#This Row],[Hora Int WMS]]&lt;Dados!$A$16,2,2))</f>
        <v>2</v>
      </c>
      <c r="H232" s="40" t="str">
        <f>IF(RES_AB[[#This Row],[Reserva]]="","",IFERROR(VLOOKUP(RES_AB[[#This Row],[Reserva]],Tabela3[[Reserva]:[Condição para Faturamento]],20,FALSE),"IMPORTADO COM SUCESSO"))</f>
        <v>EM CONFERENCIA</v>
      </c>
      <c r="I232" s="38">
        <f>IF(RES_AB[[#This Row],[Data base]]="","",WORKDAY(RES_AB[[#This Row],[Data Reserva - Feriado e Fds]],RES_AB[[#This Row],[Dias para atendimento]],Feriados[Data]))</f>
        <v>45453</v>
      </c>
      <c r="J232" s="40" t="str">
        <f ca="1">IF(RES_AB[[#This Row],[Reserva]]="","",CONCATENATE("D+",NETWORKDAYS(RES_AB[[#This Row],[Data Reserva - Feriado e Fds]],TODAY(),Feriados[Data])-1))</f>
        <v>D+1</v>
      </c>
      <c r="K232" s="40" t="str">
        <f ca="1">IF(RES_AB[[#This Row],[Reserva]]="","",CONCATENATE(RES_AB[[#This Row],[Cen.]]," | ",RES_AB[[#This Row],[SLA2]]))</f>
        <v>1196 | D+1</v>
      </c>
      <c r="L232" s="40">
        <f ca="1">IF(RES_AB[[#This Row],[Reserva]]="","",IF(RES_AB[[#This Row],[SLA2]]=RES_AB[[#This Row],[Reserva]]="","",COUNTIF(MB25_VOLUMETRIA[Reserva],RES_AB[[#This Row],[Reserva]])))</f>
        <v>1</v>
      </c>
      <c r="M2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2" s="37" t="str">
        <f>IF(RES_AB[[#This Row],[Cen.]]="","",IFERROR(VLOOKUP(RES_AB[[#This Row],[Cen.]],Dados_Empresas[],2,FALSE),"Verificar empresa"))</f>
        <v>OMR</v>
      </c>
      <c r="P232" s="37" t="str">
        <f>IF(RES_AB[[#This Row],[Empresa]]="","",IF(OR(RES_AB[[#This Row],[Empresa]]="NET MASSIVO",RES_AB[[#This Row],[Empresa]]="NET PROJETOS"),"NET","EMPRESARIAL"))</f>
        <v>EMPRESARIAL</v>
      </c>
      <c r="Q232" s="37" t="str">
        <f>IF(RES_AB[[#This Row],[Reserva]]="","",IFERROR(VLOOKUP(RES_AB[[#This Row],[Reserva]],Tabela3[[Reserva]:[Descrição do status]],18,FALSE),"CONVENCIONAL"))</f>
        <v>CONVENCIONAL</v>
      </c>
    </row>
    <row r="233" spans="1:17" x14ac:dyDescent="0.25">
      <c r="A233" s="37">
        <v>4382771</v>
      </c>
      <c r="B233" s="37">
        <v>1196</v>
      </c>
      <c r="C233" s="38" t="s">
        <v>314</v>
      </c>
      <c r="D233" s="38">
        <v>45449</v>
      </c>
      <c r="E2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3" s="39">
        <f>IFERROR(VLOOKUP(RES_AB[[#This Row],[Reserva]],Tabela8[[Reserva]:[Usuário]],7,FALSE),Dados!$A$17)</f>
        <v>0.42465277777777777</v>
      </c>
      <c r="G233" s="40">
        <f>IF(RES_AB[[#This Row],[Reserva]]="","",IF(RES_AB[[#This Row],[Hora Int WMS]]&lt;Dados!$A$16,2,2))</f>
        <v>2</v>
      </c>
      <c r="H233" s="40" t="str">
        <f>IF(RES_AB[[#This Row],[Reserva]]="","",IFERROR(VLOOKUP(RES_AB[[#This Row],[Reserva]],Tabela3[[Reserva]:[Condição para Faturamento]],20,FALSE),"IMPORTADO COM SUCESSO"))</f>
        <v>EM CONFERENCIA</v>
      </c>
      <c r="I233" s="38">
        <f>IF(RES_AB[[#This Row],[Data base]]="","",WORKDAY(RES_AB[[#This Row],[Data Reserva - Feriado e Fds]],RES_AB[[#This Row],[Dias para atendimento]],Feriados[Data]))</f>
        <v>45453</v>
      </c>
      <c r="J233" s="40" t="str">
        <f ca="1">IF(RES_AB[[#This Row],[Reserva]]="","",CONCATENATE("D+",NETWORKDAYS(RES_AB[[#This Row],[Data Reserva - Feriado e Fds]],TODAY(),Feriados[Data])-1))</f>
        <v>D+1</v>
      </c>
      <c r="K233" s="40" t="str">
        <f ca="1">IF(RES_AB[[#This Row],[Reserva]]="","",CONCATENATE(RES_AB[[#This Row],[Cen.]]," | ",RES_AB[[#This Row],[SLA2]]))</f>
        <v>1196 | D+1</v>
      </c>
      <c r="L233" s="40">
        <f ca="1">IF(RES_AB[[#This Row],[Reserva]]="","",IF(RES_AB[[#This Row],[SLA2]]=RES_AB[[#This Row],[Reserva]]="","",COUNTIF(MB25_VOLUMETRIA[Reserva],RES_AB[[#This Row],[Reserva]])))</f>
        <v>1</v>
      </c>
      <c r="M2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3" s="37" t="str">
        <f>IF(RES_AB[[#This Row],[Cen.]]="","",IFERROR(VLOOKUP(RES_AB[[#This Row],[Cen.]],Dados_Empresas[],2,FALSE),"Verificar empresa"))</f>
        <v>OMR</v>
      </c>
      <c r="P233" s="37" t="str">
        <f>IF(RES_AB[[#This Row],[Empresa]]="","",IF(OR(RES_AB[[#This Row],[Empresa]]="NET MASSIVO",RES_AB[[#This Row],[Empresa]]="NET PROJETOS"),"NET","EMPRESARIAL"))</f>
        <v>EMPRESARIAL</v>
      </c>
      <c r="Q233" s="37" t="str">
        <f>IF(RES_AB[[#This Row],[Reserva]]="","",IFERROR(VLOOKUP(RES_AB[[#This Row],[Reserva]],Tabela3[[Reserva]:[Descrição do status]],18,FALSE),"CONVENCIONAL"))</f>
        <v>CONVENCIONAL</v>
      </c>
    </row>
    <row r="234" spans="1:17" x14ac:dyDescent="0.25">
      <c r="A234" s="37">
        <v>4383049</v>
      </c>
      <c r="B234" s="37">
        <v>1196</v>
      </c>
      <c r="C234" s="38" t="s">
        <v>309</v>
      </c>
      <c r="D234" s="38">
        <v>45449</v>
      </c>
      <c r="E2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4" s="39">
        <f>IFERROR(VLOOKUP(RES_AB[[#This Row],[Reserva]],Tabela8[[Reserva]:[Usuário]],7,FALSE),Dados!$A$17)</f>
        <v>0.33333333333333331</v>
      </c>
      <c r="G234" s="40">
        <f>IF(RES_AB[[#This Row],[Reserva]]="","",IF(RES_AB[[#This Row],[Hora Int WMS]]&lt;Dados!$A$16,2,2))</f>
        <v>2</v>
      </c>
      <c r="H234" s="40" t="str">
        <f>IF(RES_AB[[#This Row],[Reserva]]="","",IFERROR(VLOOKUP(RES_AB[[#This Row],[Reserva]],Tabela3[[Reserva]:[Condição para Faturamento]],20,FALSE),"IMPORTADO COM SUCESSO"))</f>
        <v>EM CONFERENCIA</v>
      </c>
      <c r="I234" s="38">
        <f>IF(RES_AB[[#This Row],[Data base]]="","",WORKDAY(RES_AB[[#This Row],[Data Reserva - Feriado e Fds]],RES_AB[[#This Row],[Dias para atendimento]],Feriados[Data]))</f>
        <v>45453</v>
      </c>
      <c r="J234" s="40" t="str">
        <f ca="1">IF(RES_AB[[#This Row],[Reserva]]="","",CONCATENATE("D+",NETWORKDAYS(RES_AB[[#This Row],[Data Reserva - Feriado e Fds]],TODAY(),Feriados[Data])-1))</f>
        <v>D+1</v>
      </c>
      <c r="K234" s="40" t="str">
        <f ca="1">IF(RES_AB[[#This Row],[Reserva]]="","",CONCATENATE(RES_AB[[#This Row],[Cen.]]," | ",RES_AB[[#This Row],[SLA2]]))</f>
        <v>1196 | D+1</v>
      </c>
      <c r="L234" s="40">
        <f ca="1">IF(RES_AB[[#This Row],[Reserva]]="","",IF(RES_AB[[#This Row],[SLA2]]=RES_AB[[#This Row],[Reserva]]="","",COUNTIF(MB25_VOLUMETRIA[Reserva],RES_AB[[#This Row],[Reserva]])))</f>
        <v>3</v>
      </c>
      <c r="M2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4" s="37" t="str">
        <f>IF(RES_AB[[#This Row],[Cen.]]="","",IFERROR(VLOOKUP(RES_AB[[#This Row],[Cen.]],Dados_Empresas[],2,FALSE),"Verificar empresa"))</f>
        <v>OMR</v>
      </c>
      <c r="P234" s="37" t="str">
        <f>IF(RES_AB[[#This Row],[Empresa]]="","",IF(OR(RES_AB[[#This Row],[Empresa]]="NET MASSIVO",RES_AB[[#This Row],[Empresa]]="NET PROJETOS"),"NET","EMPRESARIAL"))</f>
        <v>EMPRESARIAL</v>
      </c>
      <c r="Q234" s="37" t="str">
        <f>IF(RES_AB[[#This Row],[Reserva]]="","",IFERROR(VLOOKUP(RES_AB[[#This Row],[Reserva]],Tabela3[[Reserva]:[Descrição do status]],18,FALSE),"CONVENCIONAL"))</f>
        <v>CONVENCIONAL</v>
      </c>
    </row>
    <row r="235" spans="1:17" x14ac:dyDescent="0.25">
      <c r="A235" s="37">
        <v>4383113</v>
      </c>
      <c r="B235" s="37">
        <v>1196</v>
      </c>
      <c r="C235" s="38" t="s">
        <v>309</v>
      </c>
      <c r="D235" s="38">
        <v>45449</v>
      </c>
      <c r="E2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5" s="39">
        <f>IFERROR(VLOOKUP(RES_AB[[#This Row],[Reserva]],Tabela8[[Reserva]:[Usuário]],7,FALSE),Dados!$A$17)</f>
        <v>0.62337962962962967</v>
      </c>
      <c r="G235" s="40">
        <f>IF(RES_AB[[#This Row],[Reserva]]="","",IF(RES_AB[[#This Row],[Hora Int WMS]]&lt;Dados!$A$16,2,2))</f>
        <v>2</v>
      </c>
      <c r="H235" s="40" t="str">
        <f>IF(RES_AB[[#This Row],[Reserva]]="","",IFERROR(VLOOKUP(RES_AB[[#This Row],[Reserva]],Tabela3[[Reserva]:[Condição para Faturamento]],20,FALSE),"IMPORTADO COM SUCESSO"))</f>
        <v>EM CONFERENCIA</v>
      </c>
      <c r="I235" s="38">
        <f>IF(RES_AB[[#This Row],[Data base]]="","",WORKDAY(RES_AB[[#This Row],[Data Reserva - Feriado e Fds]],RES_AB[[#This Row],[Dias para atendimento]],Feriados[Data]))</f>
        <v>45453</v>
      </c>
      <c r="J235" s="40" t="str">
        <f ca="1">IF(RES_AB[[#This Row],[Reserva]]="","",CONCATENATE("D+",NETWORKDAYS(RES_AB[[#This Row],[Data Reserva - Feriado e Fds]],TODAY(),Feriados[Data])-1))</f>
        <v>D+1</v>
      </c>
      <c r="K235" s="40" t="str">
        <f ca="1">IF(RES_AB[[#This Row],[Reserva]]="","",CONCATENATE(RES_AB[[#This Row],[Cen.]]," | ",RES_AB[[#This Row],[SLA2]]))</f>
        <v>1196 | D+1</v>
      </c>
      <c r="L235" s="40">
        <f ca="1">IF(RES_AB[[#This Row],[Reserva]]="","",IF(RES_AB[[#This Row],[SLA2]]=RES_AB[[#This Row],[Reserva]]="","",COUNTIF(MB25_VOLUMETRIA[Reserva],RES_AB[[#This Row],[Reserva]])))</f>
        <v>1</v>
      </c>
      <c r="M2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5" s="37" t="str">
        <f>IF(RES_AB[[#This Row],[Cen.]]="","",IFERROR(VLOOKUP(RES_AB[[#This Row],[Cen.]],Dados_Empresas[],2,FALSE),"Verificar empresa"))</f>
        <v>OMR</v>
      </c>
      <c r="P235" s="37" t="str">
        <f>IF(RES_AB[[#This Row],[Empresa]]="","",IF(OR(RES_AB[[#This Row],[Empresa]]="NET MASSIVO",RES_AB[[#This Row],[Empresa]]="NET PROJETOS"),"NET","EMPRESARIAL"))</f>
        <v>EMPRESARIAL</v>
      </c>
      <c r="Q235" s="37" t="str">
        <f>IF(RES_AB[[#This Row],[Reserva]]="","",IFERROR(VLOOKUP(RES_AB[[#This Row],[Reserva]],Tabela3[[Reserva]:[Descrição do status]],18,FALSE),"CONVENCIONAL"))</f>
        <v>CONVENCIONAL</v>
      </c>
    </row>
    <row r="236" spans="1:17" x14ac:dyDescent="0.25">
      <c r="A236" s="37">
        <v>4383120</v>
      </c>
      <c r="B236" s="37">
        <v>1196</v>
      </c>
      <c r="C236" s="38" t="s">
        <v>309</v>
      </c>
      <c r="D236" s="38">
        <v>45449</v>
      </c>
      <c r="E2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6" s="39">
        <f>IFERROR(VLOOKUP(RES_AB[[#This Row],[Reserva]],Tabela8[[Reserva]:[Usuário]],7,FALSE),Dados!$A$17)</f>
        <v>0.62337962962962967</v>
      </c>
      <c r="G236" s="40">
        <f>IF(RES_AB[[#This Row],[Reserva]]="","",IF(RES_AB[[#This Row],[Hora Int WMS]]&lt;Dados!$A$16,2,2))</f>
        <v>2</v>
      </c>
      <c r="H236" s="40" t="str">
        <f>IF(RES_AB[[#This Row],[Reserva]]="","",IFERROR(VLOOKUP(RES_AB[[#This Row],[Reserva]],Tabela3[[Reserva]:[Condição para Faturamento]],20,FALSE),"IMPORTADO COM SUCESSO"))</f>
        <v>EM CONFERENCIA</v>
      </c>
      <c r="I236" s="38">
        <f>IF(RES_AB[[#This Row],[Data base]]="","",WORKDAY(RES_AB[[#This Row],[Data Reserva - Feriado e Fds]],RES_AB[[#This Row],[Dias para atendimento]],Feriados[Data]))</f>
        <v>45453</v>
      </c>
      <c r="J236" s="40" t="str">
        <f ca="1">IF(RES_AB[[#This Row],[Reserva]]="","",CONCATENATE("D+",NETWORKDAYS(RES_AB[[#This Row],[Data Reserva - Feriado e Fds]],TODAY(),Feriados[Data])-1))</f>
        <v>D+1</v>
      </c>
      <c r="K236" s="40" t="str">
        <f ca="1">IF(RES_AB[[#This Row],[Reserva]]="","",CONCATENATE(RES_AB[[#This Row],[Cen.]]," | ",RES_AB[[#This Row],[SLA2]]))</f>
        <v>1196 | D+1</v>
      </c>
      <c r="L236" s="40">
        <f ca="1">IF(RES_AB[[#This Row],[Reserva]]="","",IF(RES_AB[[#This Row],[SLA2]]=RES_AB[[#This Row],[Reserva]]="","",COUNTIF(MB25_VOLUMETRIA[Reserva],RES_AB[[#This Row],[Reserva]])))</f>
        <v>2</v>
      </c>
      <c r="M2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6" s="37" t="str">
        <f>IF(RES_AB[[#This Row],[Cen.]]="","",IFERROR(VLOOKUP(RES_AB[[#This Row],[Cen.]],Dados_Empresas[],2,FALSE),"Verificar empresa"))</f>
        <v>OMR</v>
      </c>
      <c r="P236" s="37" t="str">
        <f>IF(RES_AB[[#This Row],[Empresa]]="","",IF(OR(RES_AB[[#This Row],[Empresa]]="NET MASSIVO",RES_AB[[#This Row],[Empresa]]="NET PROJETOS"),"NET","EMPRESARIAL"))</f>
        <v>EMPRESARIAL</v>
      </c>
      <c r="Q236" s="37" t="str">
        <f>IF(RES_AB[[#This Row],[Reserva]]="","",IFERROR(VLOOKUP(RES_AB[[#This Row],[Reserva]],Tabela3[[Reserva]:[Descrição do status]],18,FALSE),"CONVENCIONAL"))</f>
        <v>CONVENCIONAL</v>
      </c>
    </row>
    <row r="237" spans="1:17" x14ac:dyDescent="0.25">
      <c r="A237" s="37">
        <v>4383136</v>
      </c>
      <c r="B237" s="37">
        <v>1196</v>
      </c>
      <c r="C237" s="38" t="s">
        <v>309</v>
      </c>
      <c r="D237" s="38">
        <v>45449</v>
      </c>
      <c r="E2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7" s="39">
        <f>IFERROR(VLOOKUP(RES_AB[[#This Row],[Reserva]],Tabela8[[Reserva]:[Usuário]],7,FALSE),Dados!$A$17)</f>
        <v>0.69502314814814814</v>
      </c>
      <c r="G237" s="40">
        <f>IF(RES_AB[[#This Row],[Reserva]]="","",IF(RES_AB[[#This Row],[Hora Int WMS]]&lt;Dados!$A$16,2,2))</f>
        <v>2</v>
      </c>
      <c r="H237" s="40" t="str">
        <f>IF(RES_AB[[#This Row],[Reserva]]="","",IFERROR(VLOOKUP(RES_AB[[#This Row],[Reserva]],Tabela3[[Reserva]:[Condição para Faturamento]],20,FALSE),"IMPORTADO COM SUCESSO"))</f>
        <v>EM CONFERENCIA</v>
      </c>
      <c r="I237" s="38">
        <f>IF(RES_AB[[#This Row],[Data base]]="","",WORKDAY(RES_AB[[#This Row],[Data Reserva - Feriado e Fds]],RES_AB[[#This Row],[Dias para atendimento]],Feriados[Data]))</f>
        <v>45453</v>
      </c>
      <c r="J237" s="40" t="str">
        <f ca="1">IF(RES_AB[[#This Row],[Reserva]]="","",CONCATENATE("D+",NETWORKDAYS(RES_AB[[#This Row],[Data Reserva - Feriado e Fds]],TODAY(),Feriados[Data])-1))</f>
        <v>D+1</v>
      </c>
      <c r="K237" s="40" t="str">
        <f ca="1">IF(RES_AB[[#This Row],[Reserva]]="","",CONCATENATE(RES_AB[[#This Row],[Cen.]]," | ",RES_AB[[#This Row],[SLA2]]))</f>
        <v>1196 | D+1</v>
      </c>
      <c r="L237" s="40">
        <f ca="1">IF(RES_AB[[#This Row],[Reserva]]="","",IF(RES_AB[[#This Row],[SLA2]]=RES_AB[[#This Row],[Reserva]]="","",COUNTIF(MB25_VOLUMETRIA[Reserva],RES_AB[[#This Row],[Reserva]])))</f>
        <v>1</v>
      </c>
      <c r="M2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7" s="37" t="str">
        <f>IF(RES_AB[[#This Row],[Cen.]]="","",IFERROR(VLOOKUP(RES_AB[[#This Row],[Cen.]],Dados_Empresas[],2,FALSE),"Verificar empresa"))</f>
        <v>OMR</v>
      </c>
      <c r="P237" s="37" t="str">
        <f>IF(RES_AB[[#This Row],[Empresa]]="","",IF(OR(RES_AB[[#This Row],[Empresa]]="NET MASSIVO",RES_AB[[#This Row],[Empresa]]="NET PROJETOS"),"NET","EMPRESARIAL"))</f>
        <v>EMPRESARIAL</v>
      </c>
      <c r="Q237" s="37" t="str">
        <f>IF(RES_AB[[#This Row],[Reserva]]="","",IFERROR(VLOOKUP(RES_AB[[#This Row],[Reserva]],Tabela3[[Reserva]:[Descrição do status]],18,FALSE),"CONVENCIONAL"))</f>
        <v>CONVENCIONAL</v>
      </c>
    </row>
    <row r="238" spans="1:17" x14ac:dyDescent="0.25">
      <c r="A238" s="37">
        <v>4383162</v>
      </c>
      <c r="B238" s="37">
        <v>1196</v>
      </c>
      <c r="C238" s="38" t="s">
        <v>309</v>
      </c>
      <c r="D238" s="38">
        <v>45449</v>
      </c>
      <c r="E2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8" s="39">
        <f>IFERROR(VLOOKUP(RES_AB[[#This Row],[Reserva]],Tabela8[[Reserva]:[Usuário]],7,FALSE),Dados!$A$17)</f>
        <v>0.62337962962962967</v>
      </c>
      <c r="G238" s="40">
        <f>IF(RES_AB[[#This Row],[Reserva]]="","",IF(RES_AB[[#This Row],[Hora Int WMS]]&lt;Dados!$A$16,2,2))</f>
        <v>2</v>
      </c>
      <c r="H238" s="40" t="str">
        <f>IF(RES_AB[[#This Row],[Reserva]]="","",IFERROR(VLOOKUP(RES_AB[[#This Row],[Reserva]],Tabela3[[Reserva]:[Condição para Faturamento]],20,FALSE),"IMPORTADO COM SUCESSO"))</f>
        <v>EM CONFERENCIA</v>
      </c>
      <c r="I238" s="38">
        <f>IF(RES_AB[[#This Row],[Data base]]="","",WORKDAY(RES_AB[[#This Row],[Data Reserva - Feriado e Fds]],RES_AB[[#This Row],[Dias para atendimento]],Feriados[Data]))</f>
        <v>45453</v>
      </c>
      <c r="J238" s="40" t="str">
        <f ca="1">IF(RES_AB[[#This Row],[Reserva]]="","",CONCATENATE("D+",NETWORKDAYS(RES_AB[[#This Row],[Data Reserva - Feriado e Fds]],TODAY(),Feriados[Data])-1))</f>
        <v>D+1</v>
      </c>
      <c r="K238" s="40" t="str">
        <f ca="1">IF(RES_AB[[#This Row],[Reserva]]="","",CONCATENATE(RES_AB[[#This Row],[Cen.]]," | ",RES_AB[[#This Row],[SLA2]]))</f>
        <v>1196 | D+1</v>
      </c>
      <c r="L238" s="40">
        <f ca="1">IF(RES_AB[[#This Row],[Reserva]]="","",IF(RES_AB[[#This Row],[SLA2]]=RES_AB[[#This Row],[Reserva]]="","",COUNTIF(MB25_VOLUMETRIA[Reserva],RES_AB[[#This Row],[Reserva]])))</f>
        <v>1</v>
      </c>
      <c r="M2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8" s="37" t="str">
        <f>IF(RES_AB[[#This Row],[Cen.]]="","",IFERROR(VLOOKUP(RES_AB[[#This Row],[Cen.]],Dados_Empresas[],2,FALSE),"Verificar empresa"))</f>
        <v>OMR</v>
      </c>
      <c r="P238" s="37" t="str">
        <f>IF(RES_AB[[#This Row],[Empresa]]="","",IF(OR(RES_AB[[#This Row],[Empresa]]="NET MASSIVO",RES_AB[[#This Row],[Empresa]]="NET PROJETOS"),"NET","EMPRESARIAL"))</f>
        <v>EMPRESARIAL</v>
      </c>
      <c r="Q238" s="37" t="str">
        <f>IF(RES_AB[[#This Row],[Reserva]]="","",IFERROR(VLOOKUP(RES_AB[[#This Row],[Reserva]],Tabela3[[Reserva]:[Descrição do status]],18,FALSE),"CONVENCIONAL"))</f>
        <v>CONVENCIONAL</v>
      </c>
    </row>
    <row r="239" spans="1:17" x14ac:dyDescent="0.25">
      <c r="A239" s="37">
        <v>4383164</v>
      </c>
      <c r="B239" s="37">
        <v>1196</v>
      </c>
      <c r="C239" s="38" t="s">
        <v>309</v>
      </c>
      <c r="D239" s="38">
        <v>45449</v>
      </c>
      <c r="E2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39" s="39">
        <f>IFERROR(VLOOKUP(RES_AB[[#This Row],[Reserva]],Tabela8[[Reserva]:[Usuário]],7,FALSE),Dados!$A$17)</f>
        <v>0.64085648148148144</v>
      </c>
      <c r="G239" s="40">
        <f>IF(RES_AB[[#This Row],[Reserva]]="","",IF(RES_AB[[#This Row],[Hora Int WMS]]&lt;Dados!$A$16,2,2))</f>
        <v>2</v>
      </c>
      <c r="H239" s="40" t="str">
        <f>IF(RES_AB[[#This Row],[Reserva]]="","",IFERROR(VLOOKUP(RES_AB[[#This Row],[Reserva]],Tabela3[[Reserva]:[Condição para Faturamento]],20,FALSE),"IMPORTADO COM SUCESSO"))</f>
        <v>EM CONFERENCIA</v>
      </c>
      <c r="I239" s="38">
        <f>IF(RES_AB[[#This Row],[Data base]]="","",WORKDAY(RES_AB[[#This Row],[Data Reserva - Feriado e Fds]],RES_AB[[#This Row],[Dias para atendimento]],Feriados[Data]))</f>
        <v>45453</v>
      </c>
      <c r="J239" s="40" t="str">
        <f ca="1">IF(RES_AB[[#This Row],[Reserva]]="","",CONCATENATE("D+",NETWORKDAYS(RES_AB[[#This Row],[Data Reserva - Feriado e Fds]],TODAY(),Feriados[Data])-1))</f>
        <v>D+1</v>
      </c>
      <c r="K239" s="40" t="str">
        <f ca="1">IF(RES_AB[[#This Row],[Reserva]]="","",CONCATENATE(RES_AB[[#This Row],[Cen.]]," | ",RES_AB[[#This Row],[SLA2]]))</f>
        <v>1196 | D+1</v>
      </c>
      <c r="L239" s="40">
        <f ca="1">IF(RES_AB[[#This Row],[Reserva]]="","",IF(RES_AB[[#This Row],[SLA2]]=RES_AB[[#This Row],[Reserva]]="","",COUNTIF(MB25_VOLUMETRIA[Reserva],RES_AB[[#This Row],[Reserva]])))</f>
        <v>1</v>
      </c>
      <c r="M2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39" s="37" t="str">
        <f>IF(RES_AB[[#This Row],[Cen.]]="","",IFERROR(VLOOKUP(RES_AB[[#This Row],[Cen.]],Dados_Empresas[],2,FALSE),"Verificar empresa"))</f>
        <v>OMR</v>
      </c>
      <c r="P239" s="37" t="str">
        <f>IF(RES_AB[[#This Row],[Empresa]]="","",IF(OR(RES_AB[[#This Row],[Empresa]]="NET MASSIVO",RES_AB[[#This Row],[Empresa]]="NET PROJETOS"),"NET","EMPRESARIAL"))</f>
        <v>EMPRESARIAL</v>
      </c>
      <c r="Q239" s="37" t="str">
        <f>IF(RES_AB[[#This Row],[Reserva]]="","",IFERROR(VLOOKUP(RES_AB[[#This Row],[Reserva]],Tabela3[[Reserva]:[Descrição do status]],18,FALSE),"CONVENCIONAL"))</f>
        <v>CONVENCIONAL</v>
      </c>
    </row>
    <row r="240" spans="1:17" x14ac:dyDescent="0.25">
      <c r="A240" s="37">
        <v>4383567</v>
      </c>
      <c r="B240" s="37">
        <v>1196</v>
      </c>
      <c r="C240" s="38" t="s">
        <v>309</v>
      </c>
      <c r="D240" s="38">
        <v>45449</v>
      </c>
      <c r="E2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40" s="39">
        <f>IFERROR(VLOOKUP(RES_AB[[#This Row],[Reserva]],Tabela8[[Reserva]:[Usuário]],7,FALSE),Dados!$A$17)</f>
        <v>0.70405092592592589</v>
      </c>
      <c r="G240" s="40">
        <f>IF(RES_AB[[#This Row],[Reserva]]="","",IF(RES_AB[[#This Row],[Hora Int WMS]]&lt;Dados!$A$16,2,2))</f>
        <v>2</v>
      </c>
      <c r="H240" s="40" t="str">
        <f>IF(RES_AB[[#This Row],[Reserva]]="","",IFERROR(VLOOKUP(RES_AB[[#This Row],[Reserva]],Tabela3[[Reserva]:[Condição para Faturamento]],20,FALSE),"IMPORTADO COM SUCESSO"))</f>
        <v>EM CONFERENCIA</v>
      </c>
      <c r="I240" s="38">
        <f>IF(RES_AB[[#This Row],[Data base]]="","",WORKDAY(RES_AB[[#This Row],[Data Reserva - Feriado e Fds]],RES_AB[[#This Row],[Dias para atendimento]],Feriados[Data]))</f>
        <v>45453</v>
      </c>
      <c r="J240" s="40" t="str">
        <f ca="1">IF(RES_AB[[#This Row],[Reserva]]="","",CONCATENATE("D+",NETWORKDAYS(RES_AB[[#This Row],[Data Reserva - Feriado e Fds]],TODAY(),Feriados[Data])-1))</f>
        <v>D+1</v>
      </c>
      <c r="K240" s="40" t="str">
        <f ca="1">IF(RES_AB[[#This Row],[Reserva]]="","",CONCATENATE(RES_AB[[#This Row],[Cen.]]," | ",RES_AB[[#This Row],[SLA2]]))</f>
        <v>1196 | D+1</v>
      </c>
      <c r="L240" s="40">
        <f ca="1">IF(RES_AB[[#This Row],[Reserva]]="","",IF(RES_AB[[#This Row],[SLA2]]=RES_AB[[#This Row],[Reserva]]="","",COUNTIF(MB25_VOLUMETRIA[Reserva],RES_AB[[#This Row],[Reserva]])))</f>
        <v>1</v>
      </c>
      <c r="M2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40" s="37" t="str">
        <f>IF(RES_AB[[#This Row],[Cen.]]="","",IFERROR(VLOOKUP(RES_AB[[#This Row],[Cen.]],Dados_Empresas[],2,FALSE),"Verificar empresa"))</f>
        <v>OMR</v>
      </c>
      <c r="P240" s="37" t="str">
        <f>IF(RES_AB[[#This Row],[Empresa]]="","",IF(OR(RES_AB[[#This Row],[Empresa]]="NET MASSIVO",RES_AB[[#This Row],[Empresa]]="NET PROJETOS"),"NET","EMPRESARIAL"))</f>
        <v>EMPRESARIAL</v>
      </c>
      <c r="Q240" s="37" t="str">
        <f>IF(RES_AB[[#This Row],[Reserva]]="","",IFERROR(VLOOKUP(RES_AB[[#This Row],[Reserva]],Tabela3[[Reserva]:[Descrição do status]],18,FALSE),"CONVENCIONAL"))</f>
        <v>CONVENCIONAL</v>
      </c>
    </row>
    <row r="241" spans="1:17" x14ac:dyDescent="0.25">
      <c r="A241" s="37">
        <v>4383568</v>
      </c>
      <c r="B241" s="37">
        <v>1196</v>
      </c>
      <c r="C241" s="38" t="s">
        <v>309</v>
      </c>
      <c r="D241" s="38">
        <v>45449</v>
      </c>
      <c r="E2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241" s="39">
        <f>IFERROR(VLOOKUP(RES_AB[[#This Row],[Reserva]],Tabela8[[Reserva]:[Usuário]],7,FALSE),Dados!$A$17)</f>
        <v>0.33333333333333331</v>
      </c>
      <c r="G241" s="40">
        <f>IF(RES_AB[[#This Row],[Reserva]]="","",IF(RES_AB[[#This Row],[Hora Int WMS]]&lt;Dados!$A$16,2,2))</f>
        <v>2</v>
      </c>
      <c r="H241" s="40" t="str">
        <f>IF(RES_AB[[#This Row],[Reserva]]="","",IFERROR(VLOOKUP(RES_AB[[#This Row],[Reserva]],Tabela3[[Reserva]:[Condição para Faturamento]],20,FALSE),"IMPORTADO COM SUCESSO"))</f>
        <v>EM CONFERENCIA</v>
      </c>
      <c r="I241" s="38">
        <f>IF(RES_AB[[#This Row],[Data base]]="","",WORKDAY(RES_AB[[#This Row],[Data Reserva - Feriado e Fds]],RES_AB[[#This Row],[Dias para atendimento]],Feriados[Data]))</f>
        <v>45453</v>
      </c>
      <c r="J241" s="40" t="str">
        <f ca="1">IF(RES_AB[[#This Row],[Reserva]]="","",CONCATENATE("D+",NETWORKDAYS(RES_AB[[#This Row],[Data Reserva - Feriado e Fds]],TODAY(),Feriados[Data])-1))</f>
        <v>D+1</v>
      </c>
      <c r="K241" s="40" t="str">
        <f ca="1">IF(RES_AB[[#This Row],[Reserva]]="","",CONCATENATE(RES_AB[[#This Row],[Cen.]]," | ",RES_AB[[#This Row],[SLA2]]))</f>
        <v>1196 | D+1</v>
      </c>
      <c r="L241" s="40">
        <f ca="1">IF(RES_AB[[#This Row],[Reserva]]="","",IF(RES_AB[[#This Row],[SLA2]]=RES_AB[[#This Row],[Reserva]]="","",COUNTIF(MB25_VOLUMETRIA[Reserva],RES_AB[[#This Row],[Reserva]])))</f>
        <v>1</v>
      </c>
      <c r="M2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241" s="37" t="str">
        <f>IF(RES_AB[[#This Row],[Cen.]]="","",IFERROR(VLOOKUP(RES_AB[[#This Row],[Cen.]],Dados_Empresas[],2,FALSE),"Verificar empresa"))</f>
        <v>OMR</v>
      </c>
      <c r="P241" s="37" t="str">
        <f>IF(RES_AB[[#This Row],[Empresa]]="","",IF(OR(RES_AB[[#This Row],[Empresa]]="NET MASSIVO",RES_AB[[#This Row],[Empresa]]="NET PROJETOS"),"NET","EMPRESARIAL"))</f>
        <v>EMPRESARIAL</v>
      </c>
      <c r="Q241" s="37" t="str">
        <f>IF(RES_AB[[#This Row],[Reserva]]="","",IFERROR(VLOOKUP(RES_AB[[#This Row],[Reserva]],Tabela3[[Reserva]:[Descrição do status]],18,FALSE),"CONVENCIONAL"))</f>
        <v>CONVENCIONAL</v>
      </c>
    </row>
    <row r="242" spans="1:17" x14ac:dyDescent="0.25">
      <c r="A242" s="37">
        <v>4378638</v>
      </c>
      <c r="B242" s="37" t="s">
        <v>21</v>
      </c>
      <c r="C242" s="38" t="s">
        <v>19</v>
      </c>
      <c r="D242" s="38">
        <v>45446</v>
      </c>
      <c r="E2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2" s="39">
        <f>IFERROR(VLOOKUP(RES_AB[[#This Row],[Reserva]],Tabela8[[Reserva]:[Usuário]],7,FALSE),Dados!$A$17)</f>
        <v>0.53622685185185182</v>
      </c>
      <c r="G242" s="40">
        <f>IF(RES_AB[[#This Row],[Reserva]]="","",IF(RES_AB[[#This Row],[Hora Int WMS]]&lt;Dados!$A$16,2,2))</f>
        <v>2</v>
      </c>
      <c r="H242" s="40" t="str">
        <f>IF(RES_AB[[#This Row],[Reserva]]="","",IFERROR(VLOOKUP(RES_AB[[#This Row],[Reserva]],Tabela3[[Reserva]:[Condição para Faturamento]],20,FALSE),"IMPORTADO COM SUCESSO"))</f>
        <v>EM CONFERENCIA</v>
      </c>
      <c r="I242" s="38">
        <f>IF(RES_AB[[#This Row],[Data base]]="","",WORKDAY(RES_AB[[#This Row],[Data Reserva - Feriado e Fds]],RES_AB[[#This Row],[Dias para atendimento]],Feriados[Data]))</f>
        <v>45448</v>
      </c>
      <c r="J242" s="40" t="str">
        <f ca="1">IF(RES_AB[[#This Row],[Reserva]]="","",CONCATENATE("D+",NETWORKDAYS(RES_AB[[#This Row],[Data Reserva - Feriado e Fds]],TODAY(),Feriados[Data])-1))</f>
        <v>D+4</v>
      </c>
      <c r="K242" s="40" t="str">
        <f ca="1">IF(RES_AB[[#This Row],[Reserva]]="","",CONCATENATE(RES_AB[[#This Row],[Cen.]]," | ",RES_AB[[#This Row],[SLA2]]))</f>
        <v>N190 | D+4</v>
      </c>
      <c r="L242" s="40">
        <f ca="1">IF(RES_AB[[#This Row],[Reserva]]="","",IF(RES_AB[[#This Row],[SLA2]]=RES_AB[[#This Row],[Reserva]]="","",COUNTIF(MB25_VOLUMETRIA[Reserva],RES_AB[[#This Row],[Reserva]])))</f>
        <v>4</v>
      </c>
      <c r="M2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2" s="37" t="str">
        <f>IF(RES_AB[[#This Row],[Cen.]]="","",IFERROR(VLOOKUP(RES_AB[[#This Row],[Cen.]],Dados_Empresas[],2,FALSE),"Verificar empresa"))</f>
        <v>NET MASSIVO</v>
      </c>
      <c r="P242" s="37" t="str">
        <f>IF(RES_AB[[#This Row],[Empresa]]="","",IF(OR(RES_AB[[#This Row],[Empresa]]="NET MASSIVO",RES_AB[[#This Row],[Empresa]]="NET PROJETOS"),"NET","EMPRESARIAL"))</f>
        <v>NET</v>
      </c>
      <c r="Q242" s="37" t="str">
        <f>IF(RES_AB[[#This Row],[Reserva]]="","",IFERROR(VLOOKUP(RES_AB[[#This Row],[Reserva]],Tabela3[[Reserva]:[Descrição do status]],18,FALSE),"CONVENCIONAL"))</f>
        <v>CONVENCIONAL</v>
      </c>
    </row>
    <row r="243" spans="1:17" x14ac:dyDescent="0.25">
      <c r="A243" s="37">
        <v>4379585</v>
      </c>
      <c r="B243" s="37" t="s">
        <v>21</v>
      </c>
      <c r="C243" s="38" t="s">
        <v>19</v>
      </c>
      <c r="D243" s="38">
        <v>45446</v>
      </c>
      <c r="E2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3" s="39">
        <f>IFERROR(VLOOKUP(RES_AB[[#This Row],[Reserva]],Tabela8[[Reserva]:[Usuário]],7,FALSE),Dados!$A$17)</f>
        <v>0.33333333333333331</v>
      </c>
      <c r="G243" s="40">
        <f>IF(RES_AB[[#This Row],[Reserva]]="","",IF(RES_AB[[#This Row],[Hora Int WMS]]&lt;Dados!$A$16,2,2))</f>
        <v>2</v>
      </c>
      <c r="H243" s="40" t="str">
        <f>IF(RES_AB[[#This Row],[Reserva]]="","",IFERROR(VLOOKUP(RES_AB[[#This Row],[Reserva]],Tabela3[[Reserva]:[Condição para Faturamento]],20,FALSE),"IMPORTADO COM SUCESSO"))</f>
        <v>EM CONFERENCIA</v>
      </c>
      <c r="I243" s="38">
        <f>IF(RES_AB[[#This Row],[Data base]]="","",WORKDAY(RES_AB[[#This Row],[Data Reserva - Feriado e Fds]],RES_AB[[#This Row],[Dias para atendimento]],Feriados[Data]))</f>
        <v>45448</v>
      </c>
      <c r="J243" s="40" t="str">
        <f ca="1">IF(RES_AB[[#This Row],[Reserva]]="","",CONCATENATE("D+",NETWORKDAYS(RES_AB[[#This Row],[Data Reserva - Feriado e Fds]],TODAY(),Feriados[Data])-1))</f>
        <v>D+4</v>
      </c>
      <c r="K243" s="40" t="str">
        <f ca="1">IF(RES_AB[[#This Row],[Reserva]]="","",CONCATENATE(RES_AB[[#This Row],[Cen.]]," | ",RES_AB[[#This Row],[SLA2]]))</f>
        <v>N190 | D+4</v>
      </c>
      <c r="L243" s="40">
        <f ca="1">IF(RES_AB[[#This Row],[Reserva]]="","",IF(RES_AB[[#This Row],[SLA2]]=RES_AB[[#This Row],[Reserva]]="","",COUNTIF(MB25_VOLUMETRIA[Reserva],RES_AB[[#This Row],[Reserva]])))</f>
        <v>3</v>
      </c>
      <c r="M2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3" s="37" t="str">
        <f>IF(RES_AB[[#This Row],[Cen.]]="","",IFERROR(VLOOKUP(RES_AB[[#This Row],[Cen.]],Dados_Empresas[],2,FALSE),"Verificar empresa"))</f>
        <v>NET MASSIVO</v>
      </c>
      <c r="P243" s="37" t="str">
        <f>IF(RES_AB[[#This Row],[Empresa]]="","",IF(OR(RES_AB[[#This Row],[Empresa]]="NET MASSIVO",RES_AB[[#This Row],[Empresa]]="NET PROJETOS"),"NET","EMPRESARIAL"))</f>
        <v>NET</v>
      </c>
      <c r="Q243" s="37" t="str">
        <f>IF(RES_AB[[#This Row],[Reserva]]="","",IFERROR(VLOOKUP(RES_AB[[#This Row],[Reserva]],Tabela3[[Reserva]:[Descrição do status]],18,FALSE),"CONVENCIONAL"))</f>
        <v>CONVENCIONAL</v>
      </c>
    </row>
    <row r="244" spans="1:17" x14ac:dyDescent="0.25">
      <c r="A244" s="37">
        <v>4379590</v>
      </c>
      <c r="B244" s="37" t="s">
        <v>21</v>
      </c>
      <c r="C244" s="38" t="s">
        <v>19</v>
      </c>
      <c r="D244" s="38">
        <v>45446</v>
      </c>
      <c r="E2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4" s="39">
        <f>IFERROR(VLOOKUP(RES_AB[[#This Row],[Reserva]],Tabela8[[Reserva]:[Usuário]],7,FALSE),Dados!$A$17)</f>
        <v>0.33333333333333331</v>
      </c>
      <c r="G244" s="40">
        <f>IF(RES_AB[[#This Row],[Reserva]]="","",IF(RES_AB[[#This Row],[Hora Int WMS]]&lt;Dados!$A$16,2,2))</f>
        <v>2</v>
      </c>
      <c r="H244" s="40" t="str">
        <f>IF(RES_AB[[#This Row],[Reserva]]="","",IFERROR(VLOOKUP(RES_AB[[#This Row],[Reserva]],Tabela3[[Reserva]:[Condição para Faturamento]],20,FALSE),"IMPORTADO COM SUCESSO"))</f>
        <v>AGUARDANDO SEPARAÇÃO</v>
      </c>
      <c r="I244" s="38">
        <f>IF(RES_AB[[#This Row],[Data base]]="","",WORKDAY(RES_AB[[#This Row],[Data Reserva - Feriado e Fds]],RES_AB[[#This Row],[Dias para atendimento]],Feriados[Data]))</f>
        <v>45448</v>
      </c>
      <c r="J244" s="40" t="str">
        <f ca="1">IF(RES_AB[[#This Row],[Reserva]]="","",CONCATENATE("D+",NETWORKDAYS(RES_AB[[#This Row],[Data Reserva - Feriado e Fds]],TODAY(),Feriados[Data])-1))</f>
        <v>D+4</v>
      </c>
      <c r="K244" s="40" t="str">
        <f ca="1">IF(RES_AB[[#This Row],[Reserva]]="","",CONCATENATE(RES_AB[[#This Row],[Cen.]]," | ",RES_AB[[#This Row],[SLA2]]))</f>
        <v>N190 | D+4</v>
      </c>
      <c r="L244" s="40">
        <f ca="1">IF(RES_AB[[#This Row],[Reserva]]="","",IF(RES_AB[[#This Row],[SLA2]]=RES_AB[[#This Row],[Reserva]]="","",COUNTIF(MB25_VOLUMETRIA[Reserva],RES_AB[[#This Row],[Reserva]])))</f>
        <v>2</v>
      </c>
      <c r="M2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4" s="37" t="str">
        <f>IF(RES_AB[[#This Row],[Cen.]]="","",IFERROR(VLOOKUP(RES_AB[[#This Row],[Cen.]],Dados_Empresas[],2,FALSE),"Verificar empresa"))</f>
        <v>NET MASSIVO</v>
      </c>
      <c r="P244" s="37" t="str">
        <f>IF(RES_AB[[#This Row],[Empresa]]="","",IF(OR(RES_AB[[#This Row],[Empresa]]="NET MASSIVO",RES_AB[[#This Row],[Empresa]]="NET PROJETOS"),"NET","EMPRESARIAL"))</f>
        <v>NET</v>
      </c>
      <c r="Q244" s="37" t="str">
        <f>IF(RES_AB[[#This Row],[Reserva]]="","",IFERROR(VLOOKUP(RES_AB[[#This Row],[Reserva]],Tabela3[[Reserva]:[Descrição do status]],18,FALSE),"CONVENCIONAL"))</f>
        <v>CONVENCIONAL</v>
      </c>
    </row>
    <row r="245" spans="1:17" x14ac:dyDescent="0.25">
      <c r="A245" s="37">
        <v>4379594</v>
      </c>
      <c r="B245" s="37" t="s">
        <v>21</v>
      </c>
      <c r="C245" s="38" t="s">
        <v>21</v>
      </c>
      <c r="D245" s="38">
        <v>45446</v>
      </c>
      <c r="E2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5" s="39">
        <f>IFERROR(VLOOKUP(RES_AB[[#This Row],[Reserva]],Tabela8[[Reserva]:[Usuário]],7,FALSE),Dados!$A$17)</f>
        <v>0.33333333333333331</v>
      </c>
      <c r="G245" s="40">
        <f>IF(RES_AB[[#This Row],[Reserva]]="","",IF(RES_AB[[#This Row],[Hora Int WMS]]&lt;Dados!$A$16,2,2))</f>
        <v>2</v>
      </c>
      <c r="H245" s="40" t="str">
        <f>IF(RES_AB[[#This Row],[Reserva]]="","",IFERROR(VLOOKUP(RES_AB[[#This Row],[Reserva]],Tabela3[[Reserva]:[Condição para Faturamento]],20,FALSE),"IMPORTADO COM SUCESSO"))</f>
        <v>EM SEPARAÇÃO</v>
      </c>
      <c r="I245" s="38">
        <f>IF(RES_AB[[#This Row],[Data base]]="","",WORKDAY(RES_AB[[#This Row],[Data Reserva - Feriado e Fds]],RES_AB[[#This Row],[Dias para atendimento]],Feriados[Data]))</f>
        <v>45448</v>
      </c>
      <c r="J245" s="40" t="str">
        <f ca="1">IF(RES_AB[[#This Row],[Reserva]]="","",CONCATENATE("D+",NETWORKDAYS(RES_AB[[#This Row],[Data Reserva - Feriado e Fds]],TODAY(),Feriados[Data])-1))</f>
        <v>D+4</v>
      </c>
      <c r="K245" s="40" t="str">
        <f ca="1">IF(RES_AB[[#This Row],[Reserva]]="","",CONCATENATE(RES_AB[[#This Row],[Cen.]]," | ",RES_AB[[#This Row],[SLA2]]))</f>
        <v>N190 | D+4</v>
      </c>
      <c r="L245" s="40">
        <f ca="1">IF(RES_AB[[#This Row],[Reserva]]="","",IF(RES_AB[[#This Row],[SLA2]]=RES_AB[[#This Row],[Reserva]]="","",COUNTIF(MB25_VOLUMETRIA[Reserva],RES_AB[[#This Row],[Reserva]])))</f>
        <v>22</v>
      </c>
      <c r="M2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5" s="37" t="str">
        <f>IF(RES_AB[[#This Row],[Cen.]]="","",IFERROR(VLOOKUP(RES_AB[[#This Row],[Cen.]],Dados_Empresas[],2,FALSE),"Verificar empresa"))</f>
        <v>NET MASSIVO</v>
      </c>
      <c r="P245" s="37" t="str">
        <f>IF(RES_AB[[#This Row],[Empresa]]="","",IF(OR(RES_AB[[#This Row],[Empresa]]="NET MASSIVO",RES_AB[[#This Row],[Empresa]]="NET PROJETOS"),"NET","EMPRESARIAL"))</f>
        <v>NET</v>
      </c>
      <c r="Q245" s="37" t="str">
        <f>IF(RES_AB[[#This Row],[Reserva]]="","",IFERROR(VLOOKUP(RES_AB[[#This Row],[Reserva]],Tabela3[[Reserva]:[Descrição do status]],18,FALSE),"CONVENCIONAL"))</f>
        <v>CONVENCIONAL</v>
      </c>
    </row>
    <row r="246" spans="1:17" x14ac:dyDescent="0.25">
      <c r="A246" s="37">
        <v>4379595</v>
      </c>
      <c r="B246" s="37" t="s">
        <v>21</v>
      </c>
      <c r="C246" s="38" t="s">
        <v>19</v>
      </c>
      <c r="D246" s="38">
        <v>45446</v>
      </c>
      <c r="E2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6" s="39">
        <f>IFERROR(VLOOKUP(RES_AB[[#This Row],[Reserva]],Tabela8[[Reserva]:[Usuário]],7,FALSE),Dados!$A$17)</f>
        <v>0.33333333333333331</v>
      </c>
      <c r="G246" s="40">
        <f>IF(RES_AB[[#This Row],[Reserva]]="","",IF(RES_AB[[#This Row],[Hora Int WMS]]&lt;Dados!$A$16,2,2))</f>
        <v>2</v>
      </c>
      <c r="H246" s="40" t="str">
        <f>IF(RES_AB[[#This Row],[Reserva]]="","",IFERROR(VLOOKUP(RES_AB[[#This Row],[Reserva]],Tabela3[[Reserva]:[Condição para Faturamento]],20,FALSE),"IMPORTADO COM SUCESSO"))</f>
        <v>EM CONFERENCIA</v>
      </c>
      <c r="I246" s="38">
        <f>IF(RES_AB[[#This Row],[Data base]]="","",WORKDAY(RES_AB[[#This Row],[Data Reserva - Feriado e Fds]],RES_AB[[#This Row],[Dias para atendimento]],Feriados[Data]))</f>
        <v>45448</v>
      </c>
      <c r="J246" s="40" t="str">
        <f ca="1">IF(RES_AB[[#This Row],[Reserva]]="","",CONCATENATE("D+",NETWORKDAYS(RES_AB[[#This Row],[Data Reserva - Feriado e Fds]],TODAY(),Feriados[Data])-1))</f>
        <v>D+4</v>
      </c>
      <c r="K246" s="40" t="str">
        <f ca="1">IF(RES_AB[[#This Row],[Reserva]]="","",CONCATENATE(RES_AB[[#This Row],[Cen.]]," | ",RES_AB[[#This Row],[SLA2]]))</f>
        <v>N190 | D+4</v>
      </c>
      <c r="L246" s="40">
        <f ca="1">IF(RES_AB[[#This Row],[Reserva]]="","",IF(RES_AB[[#This Row],[SLA2]]=RES_AB[[#This Row],[Reserva]]="","",COUNTIF(MB25_VOLUMETRIA[Reserva],RES_AB[[#This Row],[Reserva]])))</f>
        <v>2</v>
      </c>
      <c r="M2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6" s="37" t="str">
        <f>IF(RES_AB[[#This Row],[Cen.]]="","",IFERROR(VLOOKUP(RES_AB[[#This Row],[Cen.]],Dados_Empresas[],2,FALSE),"Verificar empresa"))</f>
        <v>NET MASSIVO</v>
      </c>
      <c r="P246" s="37" t="str">
        <f>IF(RES_AB[[#This Row],[Empresa]]="","",IF(OR(RES_AB[[#This Row],[Empresa]]="NET MASSIVO",RES_AB[[#This Row],[Empresa]]="NET PROJETOS"),"NET","EMPRESARIAL"))</f>
        <v>NET</v>
      </c>
      <c r="Q246" s="37" t="str">
        <f>IF(RES_AB[[#This Row],[Reserva]]="","",IFERROR(VLOOKUP(RES_AB[[#This Row],[Reserva]],Tabela3[[Reserva]:[Descrição do status]],18,FALSE),"CONVENCIONAL"))</f>
        <v>CONVENCIONAL</v>
      </c>
    </row>
    <row r="247" spans="1:17" x14ac:dyDescent="0.25">
      <c r="A247" s="37">
        <v>4379599</v>
      </c>
      <c r="B247" s="37" t="s">
        <v>21</v>
      </c>
      <c r="C247" s="38" t="s">
        <v>19</v>
      </c>
      <c r="D247" s="38">
        <v>45446</v>
      </c>
      <c r="E2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7" s="39">
        <f>IFERROR(VLOOKUP(RES_AB[[#This Row],[Reserva]],Tabela8[[Reserva]:[Usuário]],7,FALSE),Dados!$A$17)</f>
        <v>0.53657407407407409</v>
      </c>
      <c r="G247" s="40">
        <f>IF(RES_AB[[#This Row],[Reserva]]="","",IF(RES_AB[[#This Row],[Hora Int WMS]]&lt;Dados!$A$16,2,2))</f>
        <v>2</v>
      </c>
      <c r="H247" s="40" t="str">
        <f>IF(RES_AB[[#This Row],[Reserva]]="","",IFERROR(VLOOKUP(RES_AB[[#This Row],[Reserva]],Tabela3[[Reserva]:[Condição para Faturamento]],20,FALSE),"IMPORTADO COM SUCESSO"))</f>
        <v>EM CONFERENCIA</v>
      </c>
      <c r="I247" s="38">
        <f>IF(RES_AB[[#This Row],[Data base]]="","",WORKDAY(RES_AB[[#This Row],[Data Reserva - Feriado e Fds]],RES_AB[[#This Row],[Dias para atendimento]],Feriados[Data]))</f>
        <v>45448</v>
      </c>
      <c r="J247" s="40" t="str">
        <f ca="1">IF(RES_AB[[#This Row],[Reserva]]="","",CONCATENATE("D+",NETWORKDAYS(RES_AB[[#This Row],[Data Reserva - Feriado e Fds]],TODAY(),Feriados[Data])-1))</f>
        <v>D+4</v>
      </c>
      <c r="K247" s="40" t="str">
        <f ca="1">IF(RES_AB[[#This Row],[Reserva]]="","",CONCATENATE(RES_AB[[#This Row],[Cen.]]," | ",RES_AB[[#This Row],[SLA2]]))</f>
        <v>N190 | D+4</v>
      </c>
      <c r="L247" s="40">
        <f ca="1">IF(RES_AB[[#This Row],[Reserva]]="","",IF(RES_AB[[#This Row],[SLA2]]=RES_AB[[#This Row],[Reserva]]="","",COUNTIF(MB25_VOLUMETRIA[Reserva],RES_AB[[#This Row],[Reserva]])))</f>
        <v>4</v>
      </c>
      <c r="M2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7" s="37" t="str">
        <f>IF(RES_AB[[#This Row],[Cen.]]="","",IFERROR(VLOOKUP(RES_AB[[#This Row],[Cen.]],Dados_Empresas[],2,FALSE),"Verificar empresa"))</f>
        <v>NET MASSIVO</v>
      </c>
      <c r="P247" s="37" t="str">
        <f>IF(RES_AB[[#This Row],[Empresa]]="","",IF(OR(RES_AB[[#This Row],[Empresa]]="NET MASSIVO",RES_AB[[#This Row],[Empresa]]="NET PROJETOS"),"NET","EMPRESARIAL"))</f>
        <v>NET</v>
      </c>
      <c r="Q247" s="37" t="str">
        <f>IF(RES_AB[[#This Row],[Reserva]]="","",IFERROR(VLOOKUP(RES_AB[[#This Row],[Reserva]],Tabela3[[Reserva]:[Descrição do status]],18,FALSE),"CONVENCIONAL"))</f>
        <v>CONVENCIONAL</v>
      </c>
    </row>
    <row r="248" spans="1:17" x14ac:dyDescent="0.25">
      <c r="A248" s="37">
        <v>4379600</v>
      </c>
      <c r="B248" s="37" t="s">
        <v>21</v>
      </c>
      <c r="C248" s="38" t="s">
        <v>19</v>
      </c>
      <c r="D248" s="38">
        <v>45446</v>
      </c>
      <c r="E2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8" s="39">
        <f>IFERROR(VLOOKUP(RES_AB[[#This Row],[Reserva]],Tabela8[[Reserva]:[Usuário]],7,FALSE),Dados!$A$17)</f>
        <v>0.33333333333333331</v>
      </c>
      <c r="G248" s="40">
        <f>IF(RES_AB[[#This Row],[Reserva]]="","",IF(RES_AB[[#This Row],[Hora Int WMS]]&lt;Dados!$A$16,2,2))</f>
        <v>2</v>
      </c>
      <c r="H248" s="40" t="str">
        <f>IF(RES_AB[[#This Row],[Reserva]]="","",IFERROR(VLOOKUP(RES_AB[[#This Row],[Reserva]],Tabela3[[Reserva]:[Condição para Faturamento]],20,FALSE),"IMPORTADO COM SUCESSO"))</f>
        <v>AGUARDANDO SEPARAÇÃO</v>
      </c>
      <c r="I248" s="38">
        <f>IF(RES_AB[[#This Row],[Data base]]="","",WORKDAY(RES_AB[[#This Row],[Data Reserva - Feriado e Fds]],RES_AB[[#This Row],[Dias para atendimento]],Feriados[Data]))</f>
        <v>45448</v>
      </c>
      <c r="J248" s="40" t="str">
        <f ca="1">IF(RES_AB[[#This Row],[Reserva]]="","",CONCATENATE("D+",NETWORKDAYS(RES_AB[[#This Row],[Data Reserva - Feriado e Fds]],TODAY(),Feriados[Data])-1))</f>
        <v>D+4</v>
      </c>
      <c r="K248" s="40" t="str">
        <f ca="1">IF(RES_AB[[#This Row],[Reserva]]="","",CONCATENATE(RES_AB[[#This Row],[Cen.]]," | ",RES_AB[[#This Row],[SLA2]]))</f>
        <v>N190 | D+4</v>
      </c>
      <c r="L248" s="40">
        <f ca="1">IF(RES_AB[[#This Row],[Reserva]]="","",IF(RES_AB[[#This Row],[SLA2]]=RES_AB[[#This Row],[Reserva]]="","",COUNTIF(MB25_VOLUMETRIA[Reserva],RES_AB[[#This Row],[Reserva]])))</f>
        <v>3</v>
      </c>
      <c r="M2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8" s="37" t="str">
        <f>IF(RES_AB[[#This Row],[Cen.]]="","",IFERROR(VLOOKUP(RES_AB[[#This Row],[Cen.]],Dados_Empresas[],2,FALSE),"Verificar empresa"))</f>
        <v>NET MASSIVO</v>
      </c>
      <c r="P248" s="37" t="str">
        <f>IF(RES_AB[[#This Row],[Empresa]]="","",IF(OR(RES_AB[[#This Row],[Empresa]]="NET MASSIVO",RES_AB[[#This Row],[Empresa]]="NET PROJETOS"),"NET","EMPRESARIAL"))</f>
        <v>NET</v>
      </c>
      <c r="Q248" s="37" t="str">
        <f>IF(RES_AB[[#This Row],[Reserva]]="","",IFERROR(VLOOKUP(RES_AB[[#This Row],[Reserva]],Tabela3[[Reserva]:[Descrição do status]],18,FALSE),"CONVENCIONAL"))</f>
        <v>CONVENCIONAL</v>
      </c>
    </row>
    <row r="249" spans="1:17" x14ac:dyDescent="0.25">
      <c r="A249" s="37">
        <v>4379609</v>
      </c>
      <c r="B249" s="37" t="s">
        <v>21</v>
      </c>
      <c r="C249" s="38" t="s">
        <v>21</v>
      </c>
      <c r="D249" s="38">
        <v>45446</v>
      </c>
      <c r="E2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49" s="39">
        <f>IFERROR(VLOOKUP(RES_AB[[#This Row],[Reserva]],Tabela8[[Reserva]:[Usuário]],7,FALSE),Dados!$A$17)</f>
        <v>0.77476851851851847</v>
      </c>
      <c r="G249" s="40">
        <f>IF(RES_AB[[#This Row],[Reserva]]="","",IF(RES_AB[[#This Row],[Hora Int WMS]]&lt;Dados!$A$16,2,2))</f>
        <v>2</v>
      </c>
      <c r="H249" s="40" t="str">
        <f>IF(RES_AB[[#This Row],[Reserva]]="","",IFERROR(VLOOKUP(RES_AB[[#This Row],[Reserva]],Tabela3[[Reserva]:[Condição para Faturamento]],20,FALSE),"IMPORTADO COM SUCESSO"))</f>
        <v>AGUARDANDO SEPARAÇÃO</v>
      </c>
      <c r="I249" s="38">
        <f>IF(RES_AB[[#This Row],[Data base]]="","",WORKDAY(RES_AB[[#This Row],[Data Reserva - Feriado e Fds]],RES_AB[[#This Row],[Dias para atendimento]],Feriados[Data]))</f>
        <v>45448</v>
      </c>
      <c r="J249" s="40" t="str">
        <f ca="1">IF(RES_AB[[#This Row],[Reserva]]="","",CONCATENATE("D+",NETWORKDAYS(RES_AB[[#This Row],[Data Reserva - Feriado e Fds]],TODAY(),Feriados[Data])-1))</f>
        <v>D+4</v>
      </c>
      <c r="K249" s="40" t="str">
        <f ca="1">IF(RES_AB[[#This Row],[Reserva]]="","",CONCATENATE(RES_AB[[#This Row],[Cen.]]," | ",RES_AB[[#This Row],[SLA2]]))</f>
        <v>N190 | D+4</v>
      </c>
      <c r="L249" s="40">
        <f ca="1">IF(RES_AB[[#This Row],[Reserva]]="","",IF(RES_AB[[#This Row],[SLA2]]=RES_AB[[#This Row],[Reserva]]="","",COUNTIF(MB25_VOLUMETRIA[Reserva],RES_AB[[#This Row],[Reserva]])))</f>
        <v>31</v>
      </c>
      <c r="M2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49" s="37" t="str">
        <f>IF(RES_AB[[#This Row],[Cen.]]="","",IFERROR(VLOOKUP(RES_AB[[#This Row],[Cen.]],Dados_Empresas[],2,FALSE),"Verificar empresa"))</f>
        <v>NET MASSIVO</v>
      </c>
      <c r="P249" s="37" t="str">
        <f>IF(RES_AB[[#This Row],[Empresa]]="","",IF(OR(RES_AB[[#This Row],[Empresa]]="NET MASSIVO",RES_AB[[#This Row],[Empresa]]="NET PROJETOS"),"NET","EMPRESARIAL"))</f>
        <v>NET</v>
      </c>
      <c r="Q249" s="37" t="str">
        <f>IF(RES_AB[[#This Row],[Reserva]]="","",IFERROR(VLOOKUP(RES_AB[[#This Row],[Reserva]],Tabela3[[Reserva]:[Descrição do status]],18,FALSE),"CONVENCIONAL"))</f>
        <v>CONVENCIONAL</v>
      </c>
    </row>
    <row r="250" spans="1:17" x14ac:dyDescent="0.25">
      <c r="A250" s="37">
        <v>4379610</v>
      </c>
      <c r="B250" s="37" t="s">
        <v>21</v>
      </c>
      <c r="C250" s="38" t="s">
        <v>19</v>
      </c>
      <c r="D250" s="38">
        <v>45446</v>
      </c>
      <c r="E2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0" s="39">
        <f>IFERROR(VLOOKUP(RES_AB[[#This Row],[Reserva]],Tabela8[[Reserva]:[Usuário]],7,FALSE),Dados!$A$17)</f>
        <v>0.77500000000000002</v>
      </c>
      <c r="G250" s="40">
        <f>IF(RES_AB[[#This Row],[Reserva]]="","",IF(RES_AB[[#This Row],[Hora Int WMS]]&lt;Dados!$A$16,2,2))</f>
        <v>2</v>
      </c>
      <c r="H250" s="40" t="str">
        <f>IF(RES_AB[[#This Row],[Reserva]]="","",IFERROR(VLOOKUP(RES_AB[[#This Row],[Reserva]],Tabela3[[Reserva]:[Condição para Faturamento]],20,FALSE),"IMPORTADO COM SUCESSO"))</f>
        <v>AGUARDANDO SEPARAÇÃO</v>
      </c>
      <c r="I250" s="38">
        <f>IF(RES_AB[[#This Row],[Data base]]="","",WORKDAY(RES_AB[[#This Row],[Data Reserva - Feriado e Fds]],RES_AB[[#This Row],[Dias para atendimento]],Feriados[Data]))</f>
        <v>45448</v>
      </c>
      <c r="J250" s="40" t="str">
        <f ca="1">IF(RES_AB[[#This Row],[Reserva]]="","",CONCATENATE("D+",NETWORKDAYS(RES_AB[[#This Row],[Data Reserva - Feriado e Fds]],TODAY(),Feriados[Data])-1))</f>
        <v>D+4</v>
      </c>
      <c r="K250" s="40" t="str">
        <f ca="1">IF(RES_AB[[#This Row],[Reserva]]="","",CONCATENATE(RES_AB[[#This Row],[Cen.]]," | ",RES_AB[[#This Row],[SLA2]]))</f>
        <v>N190 | D+4</v>
      </c>
      <c r="L250" s="40">
        <f ca="1">IF(RES_AB[[#This Row],[Reserva]]="","",IF(RES_AB[[#This Row],[SLA2]]=RES_AB[[#This Row],[Reserva]]="","",COUNTIF(MB25_VOLUMETRIA[Reserva],RES_AB[[#This Row],[Reserva]])))</f>
        <v>3</v>
      </c>
      <c r="M2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0" s="37" t="str">
        <f>IF(RES_AB[[#This Row],[Cen.]]="","",IFERROR(VLOOKUP(RES_AB[[#This Row],[Cen.]],Dados_Empresas[],2,FALSE),"Verificar empresa"))</f>
        <v>NET MASSIVO</v>
      </c>
      <c r="P250" s="37" t="str">
        <f>IF(RES_AB[[#This Row],[Empresa]]="","",IF(OR(RES_AB[[#This Row],[Empresa]]="NET MASSIVO",RES_AB[[#This Row],[Empresa]]="NET PROJETOS"),"NET","EMPRESARIAL"))</f>
        <v>NET</v>
      </c>
      <c r="Q250" s="37" t="str">
        <f>IF(RES_AB[[#This Row],[Reserva]]="","",IFERROR(VLOOKUP(RES_AB[[#This Row],[Reserva]],Tabela3[[Reserva]:[Descrição do status]],18,FALSE),"CONVENCIONAL"))</f>
        <v>CONVENCIONAL</v>
      </c>
    </row>
    <row r="251" spans="1:17" x14ac:dyDescent="0.25">
      <c r="A251" s="37">
        <v>4379613</v>
      </c>
      <c r="B251" s="37" t="s">
        <v>21</v>
      </c>
      <c r="C251" s="38" t="s">
        <v>19</v>
      </c>
      <c r="D251" s="38">
        <v>45446</v>
      </c>
      <c r="E2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1" s="39">
        <f>IFERROR(VLOOKUP(RES_AB[[#This Row],[Reserva]],Tabela8[[Reserva]:[Usuário]],7,FALSE),Dados!$A$17)</f>
        <v>0.53668981481481481</v>
      </c>
      <c r="G251" s="40">
        <f>IF(RES_AB[[#This Row],[Reserva]]="","",IF(RES_AB[[#This Row],[Hora Int WMS]]&lt;Dados!$A$16,2,2))</f>
        <v>2</v>
      </c>
      <c r="H251" s="40" t="str">
        <f>IF(RES_AB[[#This Row],[Reserva]]="","",IFERROR(VLOOKUP(RES_AB[[#This Row],[Reserva]],Tabela3[[Reserva]:[Condição para Faturamento]],20,FALSE),"IMPORTADO COM SUCESSO"))</f>
        <v>EM CONFERENCIA</v>
      </c>
      <c r="I251" s="38">
        <f>IF(RES_AB[[#This Row],[Data base]]="","",WORKDAY(RES_AB[[#This Row],[Data Reserva - Feriado e Fds]],RES_AB[[#This Row],[Dias para atendimento]],Feriados[Data]))</f>
        <v>45448</v>
      </c>
      <c r="J251" s="40" t="str">
        <f ca="1">IF(RES_AB[[#This Row],[Reserva]]="","",CONCATENATE("D+",NETWORKDAYS(RES_AB[[#This Row],[Data Reserva - Feriado e Fds]],TODAY(),Feriados[Data])-1))</f>
        <v>D+4</v>
      </c>
      <c r="K251" s="40" t="str">
        <f ca="1">IF(RES_AB[[#This Row],[Reserva]]="","",CONCATENATE(RES_AB[[#This Row],[Cen.]]," | ",RES_AB[[#This Row],[SLA2]]))</f>
        <v>N190 | D+4</v>
      </c>
      <c r="L251" s="40">
        <f ca="1">IF(RES_AB[[#This Row],[Reserva]]="","",IF(RES_AB[[#This Row],[SLA2]]=RES_AB[[#This Row],[Reserva]]="","",COUNTIF(MB25_VOLUMETRIA[Reserva],RES_AB[[#This Row],[Reserva]])))</f>
        <v>4</v>
      </c>
      <c r="M2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1" s="37" t="str">
        <f>IF(RES_AB[[#This Row],[Cen.]]="","",IFERROR(VLOOKUP(RES_AB[[#This Row],[Cen.]],Dados_Empresas[],2,FALSE),"Verificar empresa"))</f>
        <v>NET MASSIVO</v>
      </c>
      <c r="P251" s="37" t="str">
        <f>IF(RES_AB[[#This Row],[Empresa]]="","",IF(OR(RES_AB[[#This Row],[Empresa]]="NET MASSIVO",RES_AB[[#This Row],[Empresa]]="NET PROJETOS"),"NET","EMPRESARIAL"))</f>
        <v>NET</v>
      </c>
      <c r="Q251" s="37" t="str">
        <f>IF(RES_AB[[#This Row],[Reserva]]="","",IFERROR(VLOOKUP(RES_AB[[#This Row],[Reserva]],Tabela3[[Reserva]:[Descrição do status]],18,FALSE),"CONVENCIONAL"))</f>
        <v>CONVENCIONAL</v>
      </c>
    </row>
    <row r="252" spans="1:17" x14ac:dyDescent="0.25">
      <c r="A252" s="37">
        <v>4379614</v>
      </c>
      <c r="B252" s="37" t="s">
        <v>21</v>
      </c>
      <c r="C252" s="38" t="s">
        <v>19</v>
      </c>
      <c r="D252" s="38">
        <v>45446</v>
      </c>
      <c r="E2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2" s="39">
        <f>IFERROR(VLOOKUP(RES_AB[[#This Row],[Reserva]],Tabela8[[Reserva]:[Usuário]],7,FALSE),Dados!$A$17)</f>
        <v>0.77534722222222219</v>
      </c>
      <c r="G252" s="40">
        <f>IF(RES_AB[[#This Row],[Reserva]]="","",IF(RES_AB[[#This Row],[Hora Int WMS]]&lt;Dados!$A$16,2,2))</f>
        <v>2</v>
      </c>
      <c r="H252" s="40" t="str">
        <f>IF(RES_AB[[#This Row],[Reserva]]="","",IFERROR(VLOOKUP(RES_AB[[#This Row],[Reserva]],Tabela3[[Reserva]:[Condição para Faturamento]],20,FALSE),"IMPORTADO COM SUCESSO"))</f>
        <v>EM SEPARAÇÃO</v>
      </c>
      <c r="I252" s="38">
        <f>IF(RES_AB[[#This Row],[Data base]]="","",WORKDAY(RES_AB[[#This Row],[Data Reserva - Feriado e Fds]],RES_AB[[#This Row],[Dias para atendimento]],Feriados[Data]))</f>
        <v>45448</v>
      </c>
      <c r="J252" s="40" t="str">
        <f ca="1">IF(RES_AB[[#This Row],[Reserva]]="","",CONCATENATE("D+",NETWORKDAYS(RES_AB[[#This Row],[Data Reserva - Feriado e Fds]],TODAY(),Feriados[Data])-1))</f>
        <v>D+4</v>
      </c>
      <c r="K252" s="40" t="str">
        <f ca="1">IF(RES_AB[[#This Row],[Reserva]]="","",CONCATENATE(RES_AB[[#This Row],[Cen.]]," | ",RES_AB[[#This Row],[SLA2]]))</f>
        <v>N190 | D+4</v>
      </c>
      <c r="L252" s="40">
        <f ca="1">IF(RES_AB[[#This Row],[Reserva]]="","",IF(RES_AB[[#This Row],[SLA2]]=RES_AB[[#This Row],[Reserva]]="","",COUNTIF(MB25_VOLUMETRIA[Reserva],RES_AB[[#This Row],[Reserva]])))</f>
        <v>3</v>
      </c>
      <c r="M2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2" s="37" t="str">
        <f>IF(RES_AB[[#This Row],[Cen.]]="","",IFERROR(VLOOKUP(RES_AB[[#This Row],[Cen.]],Dados_Empresas[],2,FALSE),"Verificar empresa"))</f>
        <v>NET MASSIVO</v>
      </c>
      <c r="P252" s="37" t="str">
        <f>IF(RES_AB[[#This Row],[Empresa]]="","",IF(OR(RES_AB[[#This Row],[Empresa]]="NET MASSIVO",RES_AB[[#This Row],[Empresa]]="NET PROJETOS"),"NET","EMPRESARIAL"))</f>
        <v>NET</v>
      </c>
      <c r="Q252" s="37" t="str">
        <f>IF(RES_AB[[#This Row],[Reserva]]="","",IFERROR(VLOOKUP(RES_AB[[#This Row],[Reserva]],Tabela3[[Reserva]:[Descrição do status]],18,FALSE),"CONVENCIONAL"))</f>
        <v>CONVENCIONAL</v>
      </c>
    </row>
    <row r="253" spans="1:17" x14ac:dyDescent="0.25">
      <c r="A253" s="37">
        <v>4379617</v>
      </c>
      <c r="B253" s="37" t="s">
        <v>21</v>
      </c>
      <c r="C253" s="38" t="s">
        <v>21</v>
      </c>
      <c r="D253" s="38">
        <v>45446</v>
      </c>
      <c r="E2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3" s="39">
        <f>IFERROR(VLOOKUP(RES_AB[[#This Row],[Reserva]],Tabela8[[Reserva]:[Usuário]],7,FALSE),Dados!$A$17)</f>
        <v>0.53680555555555554</v>
      </c>
      <c r="G253" s="40">
        <f>IF(RES_AB[[#This Row],[Reserva]]="","",IF(RES_AB[[#This Row],[Hora Int WMS]]&lt;Dados!$A$16,2,2))</f>
        <v>2</v>
      </c>
      <c r="H253" s="40" t="str">
        <f>IF(RES_AB[[#This Row],[Reserva]]="","",IFERROR(VLOOKUP(RES_AB[[#This Row],[Reserva]],Tabela3[[Reserva]:[Condição para Faturamento]],20,FALSE),"IMPORTADO COM SUCESSO"))</f>
        <v>EM CONFERENCIA</v>
      </c>
      <c r="I253" s="38">
        <f>IF(RES_AB[[#This Row],[Data base]]="","",WORKDAY(RES_AB[[#This Row],[Data Reserva - Feriado e Fds]],RES_AB[[#This Row],[Dias para atendimento]],Feriados[Data]))</f>
        <v>45448</v>
      </c>
      <c r="J253" s="40" t="str">
        <f ca="1">IF(RES_AB[[#This Row],[Reserva]]="","",CONCATENATE("D+",NETWORKDAYS(RES_AB[[#This Row],[Data Reserva - Feriado e Fds]],TODAY(),Feriados[Data])-1))</f>
        <v>D+4</v>
      </c>
      <c r="K253" s="40" t="str">
        <f ca="1">IF(RES_AB[[#This Row],[Reserva]]="","",CONCATENATE(RES_AB[[#This Row],[Cen.]]," | ",RES_AB[[#This Row],[SLA2]]))</f>
        <v>N190 | D+4</v>
      </c>
      <c r="L253" s="40">
        <f ca="1">IF(RES_AB[[#This Row],[Reserva]]="","",IF(RES_AB[[#This Row],[SLA2]]=RES_AB[[#This Row],[Reserva]]="","",COUNTIF(MB25_VOLUMETRIA[Reserva],RES_AB[[#This Row],[Reserva]])))</f>
        <v>20</v>
      </c>
      <c r="M2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3" s="37" t="str">
        <f>IF(RES_AB[[#This Row],[Cen.]]="","",IFERROR(VLOOKUP(RES_AB[[#This Row],[Cen.]],Dados_Empresas[],2,FALSE),"Verificar empresa"))</f>
        <v>NET MASSIVO</v>
      </c>
      <c r="P253" s="37" t="str">
        <f>IF(RES_AB[[#This Row],[Empresa]]="","",IF(OR(RES_AB[[#This Row],[Empresa]]="NET MASSIVO",RES_AB[[#This Row],[Empresa]]="NET PROJETOS"),"NET","EMPRESARIAL"))</f>
        <v>NET</v>
      </c>
      <c r="Q253" s="37" t="str">
        <f>IF(RES_AB[[#This Row],[Reserva]]="","",IFERROR(VLOOKUP(RES_AB[[#This Row],[Reserva]],Tabela3[[Reserva]:[Descrição do status]],18,FALSE),"CONVENCIONAL"))</f>
        <v>CONVENCIONAL</v>
      </c>
    </row>
    <row r="254" spans="1:17" x14ac:dyDescent="0.25">
      <c r="A254" s="37">
        <v>4379619</v>
      </c>
      <c r="B254" s="37" t="s">
        <v>21</v>
      </c>
      <c r="C254" s="38" t="s">
        <v>182</v>
      </c>
      <c r="D254" s="38">
        <v>45446</v>
      </c>
      <c r="E2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4" s="39">
        <f>IFERROR(VLOOKUP(RES_AB[[#This Row],[Reserva]],Tabela8[[Reserva]:[Usuário]],7,FALSE),Dados!$A$17)</f>
        <v>0.77557870370370374</v>
      </c>
      <c r="G254" s="40">
        <f>IF(RES_AB[[#This Row],[Reserva]]="","",IF(RES_AB[[#This Row],[Hora Int WMS]]&lt;Dados!$A$16,2,2))</f>
        <v>2</v>
      </c>
      <c r="H254" s="40" t="str">
        <f>IF(RES_AB[[#This Row],[Reserva]]="","",IFERROR(VLOOKUP(RES_AB[[#This Row],[Reserva]],Tabela3[[Reserva]:[Condição para Faturamento]],20,FALSE),"IMPORTADO COM SUCESSO"))</f>
        <v>AGUARDANDO SEPARAÇÃO</v>
      </c>
      <c r="I254" s="38">
        <f>IF(RES_AB[[#This Row],[Data base]]="","",WORKDAY(RES_AB[[#This Row],[Data Reserva - Feriado e Fds]],RES_AB[[#This Row],[Dias para atendimento]],Feriados[Data]))</f>
        <v>45448</v>
      </c>
      <c r="J254" s="40" t="str">
        <f ca="1">IF(RES_AB[[#This Row],[Reserva]]="","",CONCATENATE("D+",NETWORKDAYS(RES_AB[[#This Row],[Data Reserva - Feriado e Fds]],TODAY(),Feriados[Data])-1))</f>
        <v>D+4</v>
      </c>
      <c r="K254" s="40" t="str">
        <f ca="1">IF(RES_AB[[#This Row],[Reserva]]="","",CONCATENATE(RES_AB[[#This Row],[Cen.]]," | ",RES_AB[[#This Row],[SLA2]]))</f>
        <v>N190 | D+4</v>
      </c>
      <c r="L254" s="40">
        <f ca="1">IF(RES_AB[[#This Row],[Reserva]]="","",IF(RES_AB[[#This Row],[SLA2]]=RES_AB[[#This Row],[Reserva]]="","",COUNTIF(MB25_VOLUMETRIA[Reserva],RES_AB[[#This Row],[Reserva]])))</f>
        <v>2</v>
      </c>
      <c r="M2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4" s="37" t="str">
        <f>IF(RES_AB[[#This Row],[Cen.]]="","",IFERROR(VLOOKUP(RES_AB[[#This Row],[Cen.]],Dados_Empresas[],2,FALSE),"Verificar empresa"))</f>
        <v>NET MASSIVO</v>
      </c>
      <c r="P254" s="37" t="str">
        <f>IF(RES_AB[[#This Row],[Empresa]]="","",IF(OR(RES_AB[[#This Row],[Empresa]]="NET MASSIVO",RES_AB[[#This Row],[Empresa]]="NET PROJETOS"),"NET","EMPRESARIAL"))</f>
        <v>NET</v>
      </c>
      <c r="Q254" s="37" t="str">
        <f>IF(RES_AB[[#This Row],[Reserva]]="","",IFERROR(VLOOKUP(RES_AB[[#This Row],[Reserva]],Tabela3[[Reserva]:[Descrição do status]],18,FALSE),"CONVENCIONAL"))</f>
        <v>CONVENCIONAL</v>
      </c>
    </row>
    <row r="255" spans="1:17" x14ac:dyDescent="0.25">
      <c r="A255" s="37">
        <v>4379621</v>
      </c>
      <c r="B255" s="37" t="s">
        <v>21</v>
      </c>
      <c r="C255" s="38" t="s">
        <v>19</v>
      </c>
      <c r="D255" s="38">
        <v>45446</v>
      </c>
      <c r="E2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5" s="39">
        <f>IFERROR(VLOOKUP(RES_AB[[#This Row],[Reserva]],Tabela8[[Reserva]:[Usuário]],7,FALSE),Dados!$A$17)</f>
        <v>0.77581018518518519</v>
      </c>
      <c r="G255" s="40">
        <f>IF(RES_AB[[#This Row],[Reserva]]="","",IF(RES_AB[[#This Row],[Hora Int WMS]]&lt;Dados!$A$16,2,2))</f>
        <v>2</v>
      </c>
      <c r="H255" s="40" t="str">
        <f>IF(RES_AB[[#This Row],[Reserva]]="","",IFERROR(VLOOKUP(RES_AB[[#This Row],[Reserva]],Tabela3[[Reserva]:[Condição para Faturamento]],20,FALSE),"IMPORTADO COM SUCESSO"))</f>
        <v>EM CONFERENCIA</v>
      </c>
      <c r="I255" s="38">
        <f>IF(RES_AB[[#This Row],[Data base]]="","",WORKDAY(RES_AB[[#This Row],[Data Reserva - Feriado e Fds]],RES_AB[[#This Row],[Dias para atendimento]],Feriados[Data]))</f>
        <v>45448</v>
      </c>
      <c r="J255" s="40" t="str">
        <f ca="1">IF(RES_AB[[#This Row],[Reserva]]="","",CONCATENATE("D+",NETWORKDAYS(RES_AB[[#This Row],[Data Reserva - Feriado e Fds]],TODAY(),Feriados[Data])-1))</f>
        <v>D+4</v>
      </c>
      <c r="K255" s="40" t="str">
        <f ca="1">IF(RES_AB[[#This Row],[Reserva]]="","",CONCATENATE(RES_AB[[#This Row],[Cen.]]," | ",RES_AB[[#This Row],[SLA2]]))</f>
        <v>N190 | D+4</v>
      </c>
      <c r="L255" s="40">
        <f ca="1">IF(RES_AB[[#This Row],[Reserva]]="","",IF(RES_AB[[#This Row],[SLA2]]=RES_AB[[#This Row],[Reserva]]="","",COUNTIF(MB25_VOLUMETRIA[Reserva],RES_AB[[#This Row],[Reserva]])))</f>
        <v>3</v>
      </c>
      <c r="M2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5" s="37" t="str">
        <f>IF(RES_AB[[#This Row],[Cen.]]="","",IFERROR(VLOOKUP(RES_AB[[#This Row],[Cen.]],Dados_Empresas[],2,FALSE),"Verificar empresa"))</f>
        <v>NET MASSIVO</v>
      </c>
      <c r="P255" s="37" t="str">
        <f>IF(RES_AB[[#This Row],[Empresa]]="","",IF(OR(RES_AB[[#This Row],[Empresa]]="NET MASSIVO",RES_AB[[#This Row],[Empresa]]="NET PROJETOS"),"NET","EMPRESARIAL"))</f>
        <v>NET</v>
      </c>
      <c r="Q255" s="37" t="str">
        <f>IF(RES_AB[[#This Row],[Reserva]]="","",IFERROR(VLOOKUP(RES_AB[[#This Row],[Reserva]],Tabela3[[Reserva]:[Descrição do status]],18,FALSE),"CONVENCIONAL"))</f>
        <v>CONVENCIONAL</v>
      </c>
    </row>
    <row r="256" spans="1:17" x14ac:dyDescent="0.25">
      <c r="A256" s="37">
        <v>4379623</v>
      </c>
      <c r="B256" s="37" t="s">
        <v>21</v>
      </c>
      <c r="C256" s="38" t="s">
        <v>19</v>
      </c>
      <c r="D256" s="38">
        <v>45446</v>
      </c>
      <c r="E2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6" s="39">
        <f>IFERROR(VLOOKUP(RES_AB[[#This Row],[Reserva]],Tabela8[[Reserva]:[Usuário]],7,FALSE),Dados!$A$17)</f>
        <v>0.77592592592592591</v>
      </c>
      <c r="G256" s="40">
        <f>IF(RES_AB[[#This Row],[Reserva]]="","",IF(RES_AB[[#This Row],[Hora Int WMS]]&lt;Dados!$A$16,2,2))</f>
        <v>2</v>
      </c>
      <c r="H256" s="40" t="str">
        <f>IF(RES_AB[[#This Row],[Reserva]]="","",IFERROR(VLOOKUP(RES_AB[[#This Row],[Reserva]],Tabela3[[Reserva]:[Condição para Faturamento]],20,FALSE),"IMPORTADO COM SUCESSO"))</f>
        <v>EM CONFERENCIA</v>
      </c>
      <c r="I256" s="38">
        <f>IF(RES_AB[[#This Row],[Data base]]="","",WORKDAY(RES_AB[[#This Row],[Data Reserva - Feriado e Fds]],RES_AB[[#This Row],[Dias para atendimento]],Feriados[Data]))</f>
        <v>45448</v>
      </c>
      <c r="J256" s="40" t="str">
        <f ca="1">IF(RES_AB[[#This Row],[Reserva]]="","",CONCATENATE("D+",NETWORKDAYS(RES_AB[[#This Row],[Data Reserva - Feriado e Fds]],TODAY(),Feriados[Data])-1))</f>
        <v>D+4</v>
      </c>
      <c r="K256" s="40" t="str">
        <f ca="1">IF(RES_AB[[#This Row],[Reserva]]="","",CONCATENATE(RES_AB[[#This Row],[Cen.]]," | ",RES_AB[[#This Row],[SLA2]]))</f>
        <v>N190 | D+4</v>
      </c>
      <c r="L256" s="40">
        <f ca="1">IF(RES_AB[[#This Row],[Reserva]]="","",IF(RES_AB[[#This Row],[SLA2]]=RES_AB[[#This Row],[Reserva]]="","",COUNTIF(MB25_VOLUMETRIA[Reserva],RES_AB[[#This Row],[Reserva]])))</f>
        <v>3</v>
      </c>
      <c r="M2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6" s="37" t="str">
        <f>IF(RES_AB[[#This Row],[Cen.]]="","",IFERROR(VLOOKUP(RES_AB[[#This Row],[Cen.]],Dados_Empresas[],2,FALSE),"Verificar empresa"))</f>
        <v>NET MASSIVO</v>
      </c>
      <c r="P256" s="37" t="str">
        <f>IF(RES_AB[[#This Row],[Empresa]]="","",IF(OR(RES_AB[[#This Row],[Empresa]]="NET MASSIVO",RES_AB[[#This Row],[Empresa]]="NET PROJETOS"),"NET","EMPRESARIAL"))</f>
        <v>NET</v>
      </c>
      <c r="Q256" s="37" t="str">
        <f>IF(RES_AB[[#This Row],[Reserva]]="","",IFERROR(VLOOKUP(RES_AB[[#This Row],[Reserva]],Tabela3[[Reserva]:[Descrição do status]],18,FALSE),"CONVENCIONAL"))</f>
        <v>CONVENCIONAL</v>
      </c>
    </row>
    <row r="257" spans="1:17" x14ac:dyDescent="0.25">
      <c r="A257" s="37">
        <v>4379628</v>
      </c>
      <c r="B257" s="37" t="s">
        <v>21</v>
      </c>
      <c r="C257" s="38" t="s">
        <v>19</v>
      </c>
      <c r="D257" s="38">
        <v>45446</v>
      </c>
      <c r="E2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7" s="39">
        <f>IFERROR(VLOOKUP(RES_AB[[#This Row],[Reserva]],Tabela8[[Reserva]:[Usuário]],7,FALSE),Dados!$A$17)</f>
        <v>0.77638888888888891</v>
      </c>
      <c r="G257" s="40">
        <f>IF(RES_AB[[#This Row],[Reserva]]="","",IF(RES_AB[[#This Row],[Hora Int WMS]]&lt;Dados!$A$16,2,2))</f>
        <v>2</v>
      </c>
      <c r="H257" s="40" t="str">
        <f>IF(RES_AB[[#This Row],[Reserva]]="","",IFERROR(VLOOKUP(RES_AB[[#This Row],[Reserva]],Tabela3[[Reserva]:[Condição para Faturamento]],20,FALSE),"IMPORTADO COM SUCESSO"))</f>
        <v>AGUARDANDO SEPARAÇÃO</v>
      </c>
      <c r="I257" s="38">
        <f>IF(RES_AB[[#This Row],[Data base]]="","",WORKDAY(RES_AB[[#This Row],[Data Reserva - Feriado e Fds]],RES_AB[[#This Row],[Dias para atendimento]],Feriados[Data]))</f>
        <v>45448</v>
      </c>
      <c r="J257" s="40" t="str">
        <f ca="1">IF(RES_AB[[#This Row],[Reserva]]="","",CONCATENATE("D+",NETWORKDAYS(RES_AB[[#This Row],[Data Reserva - Feriado e Fds]],TODAY(),Feriados[Data])-1))</f>
        <v>D+4</v>
      </c>
      <c r="K257" s="40" t="str">
        <f ca="1">IF(RES_AB[[#This Row],[Reserva]]="","",CONCATENATE(RES_AB[[#This Row],[Cen.]]," | ",RES_AB[[#This Row],[SLA2]]))</f>
        <v>N190 | D+4</v>
      </c>
      <c r="L257" s="40">
        <f ca="1">IF(RES_AB[[#This Row],[Reserva]]="","",IF(RES_AB[[#This Row],[SLA2]]=RES_AB[[#This Row],[Reserva]]="","",COUNTIF(MB25_VOLUMETRIA[Reserva],RES_AB[[#This Row],[Reserva]])))</f>
        <v>3</v>
      </c>
      <c r="M2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7" s="37" t="str">
        <f>IF(RES_AB[[#This Row],[Cen.]]="","",IFERROR(VLOOKUP(RES_AB[[#This Row],[Cen.]],Dados_Empresas[],2,FALSE),"Verificar empresa"))</f>
        <v>NET MASSIVO</v>
      </c>
      <c r="P257" s="37" t="str">
        <f>IF(RES_AB[[#This Row],[Empresa]]="","",IF(OR(RES_AB[[#This Row],[Empresa]]="NET MASSIVO",RES_AB[[#This Row],[Empresa]]="NET PROJETOS"),"NET","EMPRESARIAL"))</f>
        <v>NET</v>
      </c>
      <c r="Q257" s="37" t="str">
        <f>IF(RES_AB[[#This Row],[Reserva]]="","",IFERROR(VLOOKUP(RES_AB[[#This Row],[Reserva]],Tabela3[[Reserva]:[Descrição do status]],18,FALSE),"CONVENCIONAL"))</f>
        <v>CONVENCIONAL</v>
      </c>
    </row>
    <row r="258" spans="1:17" x14ac:dyDescent="0.25">
      <c r="A258" s="37">
        <v>4379630</v>
      </c>
      <c r="B258" s="37" t="s">
        <v>21</v>
      </c>
      <c r="C258" s="38" t="s">
        <v>19</v>
      </c>
      <c r="D258" s="38">
        <v>45446</v>
      </c>
      <c r="E2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8" s="39">
        <f>IFERROR(VLOOKUP(RES_AB[[#This Row],[Reserva]],Tabela8[[Reserva]:[Usuário]],7,FALSE),Dados!$A$17)</f>
        <v>0.77638888888888891</v>
      </c>
      <c r="G258" s="40">
        <f>IF(RES_AB[[#This Row],[Reserva]]="","",IF(RES_AB[[#This Row],[Hora Int WMS]]&lt;Dados!$A$16,2,2))</f>
        <v>2</v>
      </c>
      <c r="H258" s="40" t="str">
        <f>IF(RES_AB[[#This Row],[Reserva]]="","",IFERROR(VLOOKUP(RES_AB[[#This Row],[Reserva]],Tabela3[[Reserva]:[Condição para Faturamento]],20,FALSE),"IMPORTADO COM SUCESSO"))</f>
        <v>EM CONFERENCIA</v>
      </c>
      <c r="I258" s="38">
        <f>IF(RES_AB[[#This Row],[Data base]]="","",WORKDAY(RES_AB[[#This Row],[Data Reserva - Feriado e Fds]],RES_AB[[#This Row],[Dias para atendimento]],Feriados[Data]))</f>
        <v>45448</v>
      </c>
      <c r="J258" s="40" t="str">
        <f ca="1">IF(RES_AB[[#This Row],[Reserva]]="","",CONCATENATE("D+",NETWORKDAYS(RES_AB[[#This Row],[Data Reserva - Feriado e Fds]],TODAY(),Feriados[Data])-1))</f>
        <v>D+4</v>
      </c>
      <c r="K258" s="40" t="str">
        <f ca="1">IF(RES_AB[[#This Row],[Reserva]]="","",CONCATENATE(RES_AB[[#This Row],[Cen.]]," | ",RES_AB[[#This Row],[SLA2]]))</f>
        <v>N190 | D+4</v>
      </c>
      <c r="L258" s="40">
        <f ca="1">IF(RES_AB[[#This Row],[Reserva]]="","",IF(RES_AB[[#This Row],[SLA2]]=RES_AB[[#This Row],[Reserva]]="","",COUNTIF(MB25_VOLUMETRIA[Reserva],RES_AB[[#This Row],[Reserva]])))</f>
        <v>5</v>
      </c>
      <c r="M2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8" s="37" t="str">
        <f>IF(RES_AB[[#This Row],[Cen.]]="","",IFERROR(VLOOKUP(RES_AB[[#This Row],[Cen.]],Dados_Empresas[],2,FALSE),"Verificar empresa"))</f>
        <v>NET MASSIVO</v>
      </c>
      <c r="P258" s="37" t="str">
        <f>IF(RES_AB[[#This Row],[Empresa]]="","",IF(OR(RES_AB[[#This Row],[Empresa]]="NET MASSIVO",RES_AB[[#This Row],[Empresa]]="NET PROJETOS"),"NET","EMPRESARIAL"))</f>
        <v>NET</v>
      </c>
      <c r="Q258" s="37" t="str">
        <f>IF(RES_AB[[#This Row],[Reserva]]="","",IFERROR(VLOOKUP(RES_AB[[#This Row],[Reserva]],Tabela3[[Reserva]:[Descrição do status]],18,FALSE),"CONVENCIONAL"))</f>
        <v>CONVENCIONAL</v>
      </c>
    </row>
    <row r="259" spans="1:17" x14ac:dyDescent="0.25">
      <c r="A259" s="37">
        <v>4379632</v>
      </c>
      <c r="B259" s="37" t="s">
        <v>21</v>
      </c>
      <c r="C259" s="38" t="s">
        <v>19</v>
      </c>
      <c r="D259" s="38">
        <v>45446</v>
      </c>
      <c r="E2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59" s="39">
        <f>IFERROR(VLOOKUP(RES_AB[[#This Row],[Reserva]],Tabela8[[Reserva]:[Usuário]],7,FALSE),Dados!$A$17)</f>
        <v>0.77662037037037035</v>
      </c>
      <c r="G259" s="40">
        <f>IF(RES_AB[[#This Row],[Reserva]]="","",IF(RES_AB[[#This Row],[Hora Int WMS]]&lt;Dados!$A$16,2,2))</f>
        <v>2</v>
      </c>
      <c r="H259" s="40" t="str">
        <f>IF(RES_AB[[#This Row],[Reserva]]="","",IFERROR(VLOOKUP(RES_AB[[#This Row],[Reserva]],Tabela3[[Reserva]:[Condição para Faturamento]],20,FALSE),"IMPORTADO COM SUCESSO"))</f>
        <v>AGUARDANDO SEPARAÇÃO</v>
      </c>
      <c r="I259" s="38">
        <f>IF(RES_AB[[#This Row],[Data base]]="","",WORKDAY(RES_AB[[#This Row],[Data Reserva - Feriado e Fds]],RES_AB[[#This Row],[Dias para atendimento]],Feriados[Data]))</f>
        <v>45448</v>
      </c>
      <c r="J259" s="40" t="str">
        <f ca="1">IF(RES_AB[[#This Row],[Reserva]]="","",CONCATENATE("D+",NETWORKDAYS(RES_AB[[#This Row],[Data Reserva - Feriado e Fds]],TODAY(),Feriados[Data])-1))</f>
        <v>D+4</v>
      </c>
      <c r="K259" s="40" t="str">
        <f ca="1">IF(RES_AB[[#This Row],[Reserva]]="","",CONCATENATE(RES_AB[[#This Row],[Cen.]]," | ",RES_AB[[#This Row],[SLA2]]))</f>
        <v>N190 | D+4</v>
      </c>
      <c r="L259" s="40">
        <f ca="1">IF(RES_AB[[#This Row],[Reserva]]="","",IF(RES_AB[[#This Row],[SLA2]]=RES_AB[[#This Row],[Reserva]]="","",COUNTIF(MB25_VOLUMETRIA[Reserva],RES_AB[[#This Row],[Reserva]])))</f>
        <v>1</v>
      </c>
      <c r="M2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59" s="37" t="str">
        <f>IF(RES_AB[[#This Row],[Cen.]]="","",IFERROR(VLOOKUP(RES_AB[[#This Row],[Cen.]],Dados_Empresas[],2,FALSE),"Verificar empresa"))</f>
        <v>NET MASSIVO</v>
      </c>
      <c r="P259" s="37" t="str">
        <f>IF(RES_AB[[#This Row],[Empresa]]="","",IF(OR(RES_AB[[#This Row],[Empresa]]="NET MASSIVO",RES_AB[[#This Row],[Empresa]]="NET PROJETOS"),"NET","EMPRESARIAL"))</f>
        <v>NET</v>
      </c>
      <c r="Q259" s="37" t="str">
        <f>IF(RES_AB[[#This Row],[Reserva]]="","",IFERROR(VLOOKUP(RES_AB[[#This Row],[Reserva]],Tabela3[[Reserva]:[Descrição do status]],18,FALSE),"CONVENCIONAL"))</f>
        <v>CONVENCIONAL</v>
      </c>
    </row>
    <row r="260" spans="1:17" x14ac:dyDescent="0.25">
      <c r="A260" s="37">
        <v>4379635</v>
      </c>
      <c r="B260" s="37" t="s">
        <v>21</v>
      </c>
      <c r="C260" s="38" t="s">
        <v>19</v>
      </c>
      <c r="D260" s="38">
        <v>45446</v>
      </c>
      <c r="E2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0" s="39">
        <f>IFERROR(VLOOKUP(RES_AB[[#This Row],[Reserva]],Tabela8[[Reserva]:[Usuário]],7,FALSE),Dados!$A$17)</f>
        <v>0.33333333333333331</v>
      </c>
      <c r="G260" s="40">
        <f>IF(RES_AB[[#This Row],[Reserva]]="","",IF(RES_AB[[#This Row],[Hora Int WMS]]&lt;Dados!$A$16,2,2))</f>
        <v>2</v>
      </c>
      <c r="H260" s="40" t="str">
        <f>IF(RES_AB[[#This Row],[Reserva]]="","",IFERROR(VLOOKUP(RES_AB[[#This Row],[Reserva]],Tabela3[[Reserva]:[Condição para Faturamento]],20,FALSE),"IMPORTADO COM SUCESSO"))</f>
        <v>EM SEPARAÇÃO</v>
      </c>
      <c r="I260" s="38">
        <f>IF(RES_AB[[#This Row],[Data base]]="","",WORKDAY(RES_AB[[#This Row],[Data Reserva - Feriado e Fds]],RES_AB[[#This Row],[Dias para atendimento]],Feriados[Data]))</f>
        <v>45448</v>
      </c>
      <c r="J260" s="40" t="str">
        <f ca="1">IF(RES_AB[[#This Row],[Reserva]]="","",CONCATENATE("D+",NETWORKDAYS(RES_AB[[#This Row],[Data Reserva - Feriado e Fds]],TODAY(),Feriados[Data])-1))</f>
        <v>D+4</v>
      </c>
      <c r="K260" s="40" t="str">
        <f ca="1">IF(RES_AB[[#This Row],[Reserva]]="","",CONCATENATE(RES_AB[[#This Row],[Cen.]]," | ",RES_AB[[#This Row],[SLA2]]))</f>
        <v>N190 | D+4</v>
      </c>
      <c r="L260" s="40">
        <f ca="1">IF(RES_AB[[#This Row],[Reserva]]="","",IF(RES_AB[[#This Row],[SLA2]]=RES_AB[[#This Row],[Reserva]]="","",COUNTIF(MB25_VOLUMETRIA[Reserva],RES_AB[[#This Row],[Reserva]])))</f>
        <v>4</v>
      </c>
      <c r="M2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0" s="37" t="str">
        <f>IF(RES_AB[[#This Row],[Cen.]]="","",IFERROR(VLOOKUP(RES_AB[[#This Row],[Cen.]],Dados_Empresas[],2,FALSE),"Verificar empresa"))</f>
        <v>NET MASSIVO</v>
      </c>
      <c r="P260" s="37" t="str">
        <f>IF(RES_AB[[#This Row],[Empresa]]="","",IF(OR(RES_AB[[#This Row],[Empresa]]="NET MASSIVO",RES_AB[[#This Row],[Empresa]]="NET PROJETOS"),"NET","EMPRESARIAL"))</f>
        <v>NET</v>
      </c>
      <c r="Q260" s="37" t="str">
        <f>IF(RES_AB[[#This Row],[Reserva]]="","",IFERROR(VLOOKUP(RES_AB[[#This Row],[Reserva]],Tabela3[[Reserva]:[Descrição do status]],18,FALSE),"CONVENCIONAL"))</f>
        <v>CONVENCIONAL</v>
      </c>
    </row>
    <row r="261" spans="1:17" x14ac:dyDescent="0.25">
      <c r="A261" s="37">
        <v>4379636</v>
      </c>
      <c r="B261" s="37" t="s">
        <v>21</v>
      </c>
      <c r="C261" s="38" t="s">
        <v>19</v>
      </c>
      <c r="D261" s="38">
        <v>45446</v>
      </c>
      <c r="E2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1" s="39">
        <f>IFERROR(VLOOKUP(RES_AB[[#This Row],[Reserva]],Tabela8[[Reserva]:[Usuário]],7,FALSE),Dados!$A$17)</f>
        <v>0.77662037037037035</v>
      </c>
      <c r="G261" s="40">
        <f>IF(RES_AB[[#This Row],[Reserva]]="","",IF(RES_AB[[#This Row],[Hora Int WMS]]&lt;Dados!$A$16,2,2))</f>
        <v>2</v>
      </c>
      <c r="H261" s="40" t="str">
        <f>IF(RES_AB[[#This Row],[Reserva]]="","",IFERROR(VLOOKUP(RES_AB[[#This Row],[Reserva]],Tabela3[[Reserva]:[Condição para Faturamento]],20,FALSE),"IMPORTADO COM SUCESSO"))</f>
        <v>EM CONFERENCIA</v>
      </c>
      <c r="I261" s="38">
        <f>IF(RES_AB[[#This Row],[Data base]]="","",WORKDAY(RES_AB[[#This Row],[Data Reserva - Feriado e Fds]],RES_AB[[#This Row],[Dias para atendimento]],Feriados[Data]))</f>
        <v>45448</v>
      </c>
      <c r="J261" s="40" t="str">
        <f ca="1">IF(RES_AB[[#This Row],[Reserva]]="","",CONCATENATE("D+",NETWORKDAYS(RES_AB[[#This Row],[Data Reserva - Feriado e Fds]],TODAY(),Feriados[Data])-1))</f>
        <v>D+4</v>
      </c>
      <c r="K261" s="40" t="str">
        <f ca="1">IF(RES_AB[[#This Row],[Reserva]]="","",CONCATENATE(RES_AB[[#This Row],[Cen.]]," | ",RES_AB[[#This Row],[SLA2]]))</f>
        <v>N190 | D+4</v>
      </c>
      <c r="L261" s="40">
        <f ca="1">IF(RES_AB[[#This Row],[Reserva]]="","",IF(RES_AB[[#This Row],[SLA2]]=RES_AB[[#This Row],[Reserva]]="","",COUNTIF(MB25_VOLUMETRIA[Reserva],RES_AB[[#This Row],[Reserva]])))</f>
        <v>3</v>
      </c>
      <c r="M2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1" s="37" t="str">
        <f>IF(RES_AB[[#This Row],[Cen.]]="","",IFERROR(VLOOKUP(RES_AB[[#This Row],[Cen.]],Dados_Empresas[],2,FALSE),"Verificar empresa"))</f>
        <v>NET MASSIVO</v>
      </c>
      <c r="P261" s="37" t="str">
        <f>IF(RES_AB[[#This Row],[Empresa]]="","",IF(OR(RES_AB[[#This Row],[Empresa]]="NET MASSIVO",RES_AB[[#This Row],[Empresa]]="NET PROJETOS"),"NET","EMPRESARIAL"))</f>
        <v>NET</v>
      </c>
      <c r="Q261" s="37" t="str">
        <f>IF(RES_AB[[#This Row],[Reserva]]="","",IFERROR(VLOOKUP(RES_AB[[#This Row],[Reserva]],Tabela3[[Reserva]:[Descrição do status]],18,FALSE),"CONVENCIONAL"))</f>
        <v>CONVENCIONAL</v>
      </c>
    </row>
    <row r="262" spans="1:17" x14ac:dyDescent="0.25">
      <c r="A262" s="37">
        <v>4379650</v>
      </c>
      <c r="B262" s="37" t="s">
        <v>21</v>
      </c>
      <c r="C262" s="38" t="s">
        <v>21</v>
      </c>
      <c r="D262" s="38">
        <v>45446</v>
      </c>
      <c r="E2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2" s="39">
        <f>IFERROR(VLOOKUP(RES_AB[[#This Row],[Reserva]],Tabela8[[Reserva]:[Usuário]],7,FALSE),Dados!$A$17)</f>
        <v>0.33333333333333331</v>
      </c>
      <c r="G262" s="40">
        <f>IF(RES_AB[[#This Row],[Reserva]]="","",IF(RES_AB[[#This Row],[Hora Int WMS]]&lt;Dados!$A$16,2,2))</f>
        <v>2</v>
      </c>
      <c r="H262" s="40" t="str">
        <f>IF(RES_AB[[#This Row],[Reserva]]="","",IFERROR(VLOOKUP(RES_AB[[#This Row],[Reserva]],Tabela3[[Reserva]:[Condição para Faturamento]],20,FALSE),"IMPORTADO COM SUCESSO"))</f>
        <v>EM SEPARAÇÃO</v>
      </c>
      <c r="I262" s="38">
        <f>IF(RES_AB[[#This Row],[Data base]]="","",WORKDAY(RES_AB[[#This Row],[Data Reserva - Feriado e Fds]],RES_AB[[#This Row],[Dias para atendimento]],Feriados[Data]))</f>
        <v>45448</v>
      </c>
      <c r="J262" s="40" t="str">
        <f ca="1">IF(RES_AB[[#This Row],[Reserva]]="","",CONCATENATE("D+",NETWORKDAYS(RES_AB[[#This Row],[Data Reserva - Feriado e Fds]],TODAY(),Feriados[Data])-1))</f>
        <v>D+4</v>
      </c>
      <c r="K262" s="40" t="str">
        <f ca="1">IF(RES_AB[[#This Row],[Reserva]]="","",CONCATENATE(RES_AB[[#This Row],[Cen.]]," | ",RES_AB[[#This Row],[SLA2]]))</f>
        <v>N190 | D+4</v>
      </c>
      <c r="L262" s="40">
        <f ca="1">IF(RES_AB[[#This Row],[Reserva]]="","",IF(RES_AB[[#This Row],[SLA2]]=RES_AB[[#This Row],[Reserva]]="","",COUNTIF(MB25_VOLUMETRIA[Reserva],RES_AB[[#This Row],[Reserva]])))</f>
        <v>13</v>
      </c>
      <c r="M2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2" s="37" t="str">
        <f>IF(RES_AB[[#This Row],[Cen.]]="","",IFERROR(VLOOKUP(RES_AB[[#This Row],[Cen.]],Dados_Empresas[],2,FALSE),"Verificar empresa"))</f>
        <v>NET MASSIVO</v>
      </c>
      <c r="P262" s="37" t="str">
        <f>IF(RES_AB[[#This Row],[Empresa]]="","",IF(OR(RES_AB[[#This Row],[Empresa]]="NET MASSIVO",RES_AB[[#This Row],[Empresa]]="NET PROJETOS"),"NET","EMPRESARIAL"))</f>
        <v>NET</v>
      </c>
      <c r="Q262" s="37" t="str">
        <f>IF(RES_AB[[#This Row],[Reserva]]="","",IFERROR(VLOOKUP(RES_AB[[#This Row],[Reserva]],Tabela3[[Reserva]:[Descrição do status]],18,FALSE),"CONVENCIONAL"))</f>
        <v>CONVENCIONAL</v>
      </c>
    </row>
    <row r="263" spans="1:17" x14ac:dyDescent="0.25">
      <c r="A263" s="37">
        <v>4379651</v>
      </c>
      <c r="B263" s="37" t="s">
        <v>21</v>
      </c>
      <c r="C263" s="38" t="s">
        <v>19</v>
      </c>
      <c r="D263" s="38">
        <v>45446</v>
      </c>
      <c r="E2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3" s="39">
        <f>IFERROR(VLOOKUP(RES_AB[[#This Row],[Reserva]],Tabela8[[Reserva]:[Usuário]],7,FALSE),Dados!$A$17)</f>
        <v>0.77766203703703707</v>
      </c>
      <c r="G263" s="40">
        <f>IF(RES_AB[[#This Row],[Reserva]]="","",IF(RES_AB[[#This Row],[Hora Int WMS]]&lt;Dados!$A$16,2,2))</f>
        <v>2</v>
      </c>
      <c r="H263" s="40" t="str">
        <f>IF(RES_AB[[#This Row],[Reserva]]="","",IFERROR(VLOOKUP(RES_AB[[#This Row],[Reserva]],Tabela3[[Reserva]:[Condição para Faturamento]],20,FALSE),"IMPORTADO COM SUCESSO"))</f>
        <v>AGUARDANDO SEPARAÇÃO</v>
      </c>
      <c r="I263" s="38">
        <f>IF(RES_AB[[#This Row],[Data base]]="","",WORKDAY(RES_AB[[#This Row],[Data Reserva - Feriado e Fds]],RES_AB[[#This Row],[Dias para atendimento]],Feriados[Data]))</f>
        <v>45448</v>
      </c>
      <c r="J263" s="40" t="str">
        <f ca="1">IF(RES_AB[[#This Row],[Reserva]]="","",CONCATENATE("D+",NETWORKDAYS(RES_AB[[#This Row],[Data Reserva - Feriado e Fds]],TODAY(),Feriados[Data])-1))</f>
        <v>D+4</v>
      </c>
      <c r="K263" s="40" t="str">
        <f ca="1">IF(RES_AB[[#This Row],[Reserva]]="","",CONCATENATE(RES_AB[[#This Row],[Cen.]]," | ",RES_AB[[#This Row],[SLA2]]))</f>
        <v>N190 | D+4</v>
      </c>
      <c r="L263" s="40">
        <f ca="1">IF(RES_AB[[#This Row],[Reserva]]="","",IF(RES_AB[[#This Row],[SLA2]]=RES_AB[[#This Row],[Reserva]]="","",COUNTIF(MB25_VOLUMETRIA[Reserva],RES_AB[[#This Row],[Reserva]])))</f>
        <v>5</v>
      </c>
      <c r="M2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3" s="37" t="str">
        <f>IF(RES_AB[[#This Row],[Cen.]]="","",IFERROR(VLOOKUP(RES_AB[[#This Row],[Cen.]],Dados_Empresas[],2,FALSE),"Verificar empresa"))</f>
        <v>NET MASSIVO</v>
      </c>
      <c r="P263" s="37" t="str">
        <f>IF(RES_AB[[#This Row],[Empresa]]="","",IF(OR(RES_AB[[#This Row],[Empresa]]="NET MASSIVO",RES_AB[[#This Row],[Empresa]]="NET PROJETOS"),"NET","EMPRESARIAL"))</f>
        <v>NET</v>
      </c>
      <c r="Q263" s="37" t="str">
        <f>IF(RES_AB[[#This Row],[Reserva]]="","",IFERROR(VLOOKUP(RES_AB[[#This Row],[Reserva]],Tabela3[[Reserva]:[Descrição do status]],18,FALSE),"CONVENCIONAL"))</f>
        <v>CONVENCIONAL</v>
      </c>
    </row>
    <row r="264" spans="1:17" x14ac:dyDescent="0.25">
      <c r="A264" s="37">
        <v>4379654</v>
      </c>
      <c r="B264" s="37" t="s">
        <v>21</v>
      </c>
      <c r="C264" s="38" t="s">
        <v>21</v>
      </c>
      <c r="D264" s="38">
        <v>45446</v>
      </c>
      <c r="E2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4" s="39">
        <f>IFERROR(VLOOKUP(RES_AB[[#This Row],[Reserva]],Tabela8[[Reserva]:[Usuário]],7,FALSE),Dados!$A$17)</f>
        <v>0.77789351851851851</v>
      </c>
      <c r="G264" s="40">
        <f>IF(RES_AB[[#This Row],[Reserva]]="","",IF(RES_AB[[#This Row],[Hora Int WMS]]&lt;Dados!$A$16,2,2))</f>
        <v>2</v>
      </c>
      <c r="H264" s="40" t="str">
        <f>IF(RES_AB[[#This Row],[Reserva]]="","",IFERROR(VLOOKUP(RES_AB[[#This Row],[Reserva]],Tabela3[[Reserva]:[Condição para Faturamento]],20,FALSE),"IMPORTADO COM SUCESSO"))</f>
        <v>AGUARDANDO SEPARAÇÃO</v>
      </c>
      <c r="I264" s="38">
        <f>IF(RES_AB[[#This Row],[Data base]]="","",WORKDAY(RES_AB[[#This Row],[Data Reserva - Feriado e Fds]],RES_AB[[#This Row],[Dias para atendimento]],Feriados[Data]))</f>
        <v>45448</v>
      </c>
      <c r="J264" s="40" t="str">
        <f ca="1">IF(RES_AB[[#This Row],[Reserva]]="","",CONCATENATE("D+",NETWORKDAYS(RES_AB[[#This Row],[Data Reserva - Feriado e Fds]],TODAY(),Feriados[Data])-1))</f>
        <v>D+4</v>
      </c>
      <c r="K264" s="40" t="str">
        <f ca="1">IF(RES_AB[[#This Row],[Reserva]]="","",CONCATENATE(RES_AB[[#This Row],[Cen.]]," | ",RES_AB[[#This Row],[SLA2]]))</f>
        <v>N190 | D+4</v>
      </c>
      <c r="L264" s="40">
        <f ca="1">IF(RES_AB[[#This Row],[Reserva]]="","",IF(RES_AB[[#This Row],[SLA2]]=RES_AB[[#This Row],[Reserva]]="","",COUNTIF(MB25_VOLUMETRIA[Reserva],RES_AB[[#This Row],[Reserva]])))</f>
        <v>12</v>
      </c>
      <c r="M2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4" s="37" t="str">
        <f>IF(RES_AB[[#This Row],[Cen.]]="","",IFERROR(VLOOKUP(RES_AB[[#This Row],[Cen.]],Dados_Empresas[],2,FALSE),"Verificar empresa"))</f>
        <v>NET MASSIVO</v>
      </c>
      <c r="P264" s="37" t="str">
        <f>IF(RES_AB[[#This Row],[Empresa]]="","",IF(OR(RES_AB[[#This Row],[Empresa]]="NET MASSIVO",RES_AB[[#This Row],[Empresa]]="NET PROJETOS"),"NET","EMPRESARIAL"))</f>
        <v>NET</v>
      </c>
      <c r="Q264" s="37" t="str">
        <f>IF(RES_AB[[#This Row],[Reserva]]="","",IFERROR(VLOOKUP(RES_AB[[#This Row],[Reserva]],Tabela3[[Reserva]:[Descrição do status]],18,FALSE),"CONVENCIONAL"))</f>
        <v>CONVENCIONAL</v>
      </c>
    </row>
    <row r="265" spans="1:17" x14ac:dyDescent="0.25">
      <c r="A265" s="37">
        <v>4379656</v>
      </c>
      <c r="B265" s="37" t="s">
        <v>21</v>
      </c>
      <c r="C265" s="38" t="s">
        <v>19</v>
      </c>
      <c r="D265" s="38">
        <v>45446</v>
      </c>
      <c r="E2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5" s="39">
        <f>IFERROR(VLOOKUP(RES_AB[[#This Row],[Reserva]],Tabela8[[Reserva]:[Usuário]],7,FALSE),Dados!$A$17)</f>
        <v>0.33333333333333331</v>
      </c>
      <c r="G265" s="40">
        <f>IF(RES_AB[[#This Row],[Reserva]]="","",IF(RES_AB[[#This Row],[Hora Int WMS]]&lt;Dados!$A$16,2,2))</f>
        <v>2</v>
      </c>
      <c r="H265" s="40" t="str">
        <f>IF(RES_AB[[#This Row],[Reserva]]="","",IFERROR(VLOOKUP(RES_AB[[#This Row],[Reserva]],Tabela3[[Reserva]:[Condição para Faturamento]],20,FALSE),"IMPORTADO COM SUCESSO"))</f>
        <v>EM CONFERENCIA</v>
      </c>
      <c r="I265" s="38">
        <f>IF(RES_AB[[#This Row],[Data base]]="","",WORKDAY(RES_AB[[#This Row],[Data Reserva - Feriado e Fds]],RES_AB[[#This Row],[Dias para atendimento]],Feriados[Data]))</f>
        <v>45448</v>
      </c>
      <c r="J265" s="40" t="str">
        <f ca="1">IF(RES_AB[[#This Row],[Reserva]]="","",CONCATENATE("D+",NETWORKDAYS(RES_AB[[#This Row],[Data Reserva - Feriado e Fds]],TODAY(),Feriados[Data])-1))</f>
        <v>D+4</v>
      </c>
      <c r="K265" s="40" t="str">
        <f ca="1">IF(RES_AB[[#This Row],[Reserva]]="","",CONCATENATE(RES_AB[[#This Row],[Cen.]]," | ",RES_AB[[#This Row],[SLA2]]))</f>
        <v>N190 | D+4</v>
      </c>
      <c r="L265" s="40">
        <f ca="1">IF(RES_AB[[#This Row],[Reserva]]="","",IF(RES_AB[[#This Row],[SLA2]]=RES_AB[[#This Row],[Reserva]]="","",COUNTIF(MB25_VOLUMETRIA[Reserva],RES_AB[[#This Row],[Reserva]])))</f>
        <v>5</v>
      </c>
      <c r="M2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5" s="37" t="str">
        <f>IF(RES_AB[[#This Row],[Cen.]]="","",IFERROR(VLOOKUP(RES_AB[[#This Row],[Cen.]],Dados_Empresas[],2,FALSE),"Verificar empresa"))</f>
        <v>NET MASSIVO</v>
      </c>
      <c r="P265" s="37" t="str">
        <f>IF(RES_AB[[#This Row],[Empresa]]="","",IF(OR(RES_AB[[#This Row],[Empresa]]="NET MASSIVO",RES_AB[[#This Row],[Empresa]]="NET PROJETOS"),"NET","EMPRESARIAL"))</f>
        <v>NET</v>
      </c>
      <c r="Q265" s="37" t="str">
        <f>IF(RES_AB[[#This Row],[Reserva]]="","",IFERROR(VLOOKUP(RES_AB[[#This Row],[Reserva]],Tabela3[[Reserva]:[Descrição do status]],18,FALSE),"CONVENCIONAL"))</f>
        <v>CONVENCIONAL</v>
      </c>
    </row>
    <row r="266" spans="1:17" x14ac:dyDescent="0.25">
      <c r="A266" s="37">
        <v>4379660</v>
      </c>
      <c r="B266" s="37" t="s">
        <v>21</v>
      </c>
      <c r="C266" s="38" t="s">
        <v>21</v>
      </c>
      <c r="D266" s="38">
        <v>45446</v>
      </c>
      <c r="E2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6" s="39">
        <f>IFERROR(VLOOKUP(RES_AB[[#This Row],[Reserva]],Tabela8[[Reserva]:[Usuário]],7,FALSE),Dados!$A$17)</f>
        <v>0.33333333333333331</v>
      </c>
      <c r="G266" s="40">
        <f>IF(RES_AB[[#This Row],[Reserva]]="","",IF(RES_AB[[#This Row],[Hora Int WMS]]&lt;Dados!$A$16,2,2))</f>
        <v>2</v>
      </c>
      <c r="H266" s="40" t="str">
        <f>IF(RES_AB[[#This Row],[Reserva]]="","",IFERROR(VLOOKUP(RES_AB[[#This Row],[Reserva]],Tabela3[[Reserva]:[Condição para Faturamento]],20,FALSE),"IMPORTADO COM SUCESSO"))</f>
        <v>EM CONFERENCIA</v>
      </c>
      <c r="I266" s="38">
        <f>IF(RES_AB[[#This Row],[Data base]]="","",WORKDAY(RES_AB[[#This Row],[Data Reserva - Feriado e Fds]],RES_AB[[#This Row],[Dias para atendimento]],Feriados[Data]))</f>
        <v>45448</v>
      </c>
      <c r="J266" s="40" t="str">
        <f ca="1">IF(RES_AB[[#This Row],[Reserva]]="","",CONCATENATE("D+",NETWORKDAYS(RES_AB[[#This Row],[Data Reserva - Feriado e Fds]],TODAY(),Feriados[Data])-1))</f>
        <v>D+4</v>
      </c>
      <c r="K266" s="40" t="str">
        <f ca="1">IF(RES_AB[[#This Row],[Reserva]]="","",CONCATENATE(RES_AB[[#This Row],[Cen.]]," | ",RES_AB[[#This Row],[SLA2]]))</f>
        <v>N190 | D+4</v>
      </c>
      <c r="L266" s="40">
        <f ca="1">IF(RES_AB[[#This Row],[Reserva]]="","",IF(RES_AB[[#This Row],[SLA2]]=RES_AB[[#This Row],[Reserva]]="","",COUNTIF(MB25_VOLUMETRIA[Reserva],RES_AB[[#This Row],[Reserva]])))</f>
        <v>12</v>
      </c>
      <c r="M2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6" s="37" t="str">
        <f>IF(RES_AB[[#This Row],[Cen.]]="","",IFERROR(VLOOKUP(RES_AB[[#This Row],[Cen.]],Dados_Empresas[],2,FALSE),"Verificar empresa"))</f>
        <v>NET MASSIVO</v>
      </c>
      <c r="P266" s="37" t="str">
        <f>IF(RES_AB[[#This Row],[Empresa]]="","",IF(OR(RES_AB[[#This Row],[Empresa]]="NET MASSIVO",RES_AB[[#This Row],[Empresa]]="NET PROJETOS"),"NET","EMPRESARIAL"))</f>
        <v>NET</v>
      </c>
      <c r="Q266" s="37" t="str">
        <f>IF(RES_AB[[#This Row],[Reserva]]="","",IFERROR(VLOOKUP(RES_AB[[#This Row],[Reserva]],Tabela3[[Reserva]:[Descrição do status]],18,FALSE),"CONVENCIONAL"))</f>
        <v>CONVENCIONAL</v>
      </c>
    </row>
    <row r="267" spans="1:17" x14ac:dyDescent="0.25">
      <c r="A267" s="37">
        <v>4379661</v>
      </c>
      <c r="B267" s="37" t="s">
        <v>21</v>
      </c>
      <c r="C267" s="38" t="s">
        <v>19</v>
      </c>
      <c r="D267" s="38">
        <v>45446</v>
      </c>
      <c r="E2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7" s="39">
        <f>IFERROR(VLOOKUP(RES_AB[[#This Row],[Reserva]],Tabela8[[Reserva]:[Usuário]],7,FALSE),Dados!$A$17)</f>
        <v>0.77835648148148151</v>
      </c>
      <c r="G267" s="40">
        <f>IF(RES_AB[[#This Row],[Reserva]]="","",IF(RES_AB[[#This Row],[Hora Int WMS]]&lt;Dados!$A$16,2,2))</f>
        <v>2</v>
      </c>
      <c r="H267" s="40" t="str">
        <f>IF(RES_AB[[#This Row],[Reserva]]="","",IFERROR(VLOOKUP(RES_AB[[#This Row],[Reserva]],Tabela3[[Reserva]:[Condição para Faturamento]],20,FALSE),"IMPORTADO COM SUCESSO"))</f>
        <v>AGUARDANDO SEPARAÇÃO</v>
      </c>
      <c r="I267" s="38">
        <f>IF(RES_AB[[#This Row],[Data base]]="","",WORKDAY(RES_AB[[#This Row],[Data Reserva - Feriado e Fds]],RES_AB[[#This Row],[Dias para atendimento]],Feriados[Data]))</f>
        <v>45448</v>
      </c>
      <c r="J267" s="40" t="str">
        <f ca="1">IF(RES_AB[[#This Row],[Reserva]]="","",CONCATENATE("D+",NETWORKDAYS(RES_AB[[#This Row],[Data Reserva - Feriado e Fds]],TODAY(),Feriados[Data])-1))</f>
        <v>D+4</v>
      </c>
      <c r="K267" s="40" t="str">
        <f ca="1">IF(RES_AB[[#This Row],[Reserva]]="","",CONCATENATE(RES_AB[[#This Row],[Cen.]]," | ",RES_AB[[#This Row],[SLA2]]))</f>
        <v>N190 | D+4</v>
      </c>
      <c r="L267" s="40">
        <f ca="1">IF(RES_AB[[#This Row],[Reserva]]="","",IF(RES_AB[[#This Row],[SLA2]]=RES_AB[[#This Row],[Reserva]]="","",COUNTIF(MB25_VOLUMETRIA[Reserva],RES_AB[[#This Row],[Reserva]])))</f>
        <v>6</v>
      </c>
      <c r="M2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7" s="37" t="str">
        <f>IF(RES_AB[[#This Row],[Cen.]]="","",IFERROR(VLOOKUP(RES_AB[[#This Row],[Cen.]],Dados_Empresas[],2,FALSE),"Verificar empresa"))</f>
        <v>NET MASSIVO</v>
      </c>
      <c r="P267" s="37" t="str">
        <f>IF(RES_AB[[#This Row],[Empresa]]="","",IF(OR(RES_AB[[#This Row],[Empresa]]="NET MASSIVO",RES_AB[[#This Row],[Empresa]]="NET PROJETOS"),"NET","EMPRESARIAL"))</f>
        <v>NET</v>
      </c>
      <c r="Q267" s="37" t="str">
        <f>IF(RES_AB[[#This Row],[Reserva]]="","",IFERROR(VLOOKUP(RES_AB[[#This Row],[Reserva]],Tabela3[[Reserva]:[Descrição do status]],18,FALSE),"CONVENCIONAL"))</f>
        <v>CONVENCIONAL</v>
      </c>
    </row>
    <row r="268" spans="1:17" x14ac:dyDescent="0.25">
      <c r="A268" s="37">
        <v>4379668</v>
      </c>
      <c r="B268" s="37" t="s">
        <v>21</v>
      </c>
      <c r="C268" s="38" t="s">
        <v>19</v>
      </c>
      <c r="D268" s="38">
        <v>45446</v>
      </c>
      <c r="E2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8" s="39">
        <f>IFERROR(VLOOKUP(RES_AB[[#This Row],[Reserva]],Tabela8[[Reserva]:[Usuário]],7,FALSE),Dados!$A$17)</f>
        <v>0.77858796296296295</v>
      </c>
      <c r="G268" s="40">
        <f>IF(RES_AB[[#This Row],[Reserva]]="","",IF(RES_AB[[#This Row],[Hora Int WMS]]&lt;Dados!$A$16,2,2))</f>
        <v>2</v>
      </c>
      <c r="H268" s="40" t="str">
        <f>IF(RES_AB[[#This Row],[Reserva]]="","",IFERROR(VLOOKUP(RES_AB[[#This Row],[Reserva]],Tabela3[[Reserva]:[Condição para Faturamento]],20,FALSE),"IMPORTADO COM SUCESSO"))</f>
        <v>EM CONFERENCIA</v>
      </c>
      <c r="I268" s="38">
        <f>IF(RES_AB[[#This Row],[Data base]]="","",WORKDAY(RES_AB[[#This Row],[Data Reserva - Feriado e Fds]],RES_AB[[#This Row],[Dias para atendimento]],Feriados[Data]))</f>
        <v>45448</v>
      </c>
      <c r="J268" s="40" t="str">
        <f ca="1">IF(RES_AB[[#This Row],[Reserva]]="","",CONCATENATE("D+",NETWORKDAYS(RES_AB[[#This Row],[Data Reserva - Feriado e Fds]],TODAY(),Feriados[Data])-1))</f>
        <v>D+4</v>
      </c>
      <c r="K268" s="40" t="str">
        <f ca="1">IF(RES_AB[[#This Row],[Reserva]]="","",CONCATENATE(RES_AB[[#This Row],[Cen.]]," | ",RES_AB[[#This Row],[SLA2]]))</f>
        <v>N190 | D+4</v>
      </c>
      <c r="L268" s="40">
        <f ca="1">IF(RES_AB[[#This Row],[Reserva]]="","",IF(RES_AB[[#This Row],[SLA2]]=RES_AB[[#This Row],[Reserva]]="","",COUNTIF(MB25_VOLUMETRIA[Reserva],RES_AB[[#This Row],[Reserva]])))</f>
        <v>5</v>
      </c>
      <c r="M2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8" s="37" t="str">
        <f>IF(RES_AB[[#This Row],[Cen.]]="","",IFERROR(VLOOKUP(RES_AB[[#This Row],[Cen.]],Dados_Empresas[],2,FALSE),"Verificar empresa"))</f>
        <v>NET MASSIVO</v>
      </c>
      <c r="P268" s="37" t="str">
        <f>IF(RES_AB[[#This Row],[Empresa]]="","",IF(OR(RES_AB[[#This Row],[Empresa]]="NET MASSIVO",RES_AB[[#This Row],[Empresa]]="NET PROJETOS"),"NET","EMPRESARIAL"))</f>
        <v>NET</v>
      </c>
      <c r="Q268" s="37" t="str">
        <f>IF(RES_AB[[#This Row],[Reserva]]="","",IFERROR(VLOOKUP(RES_AB[[#This Row],[Reserva]],Tabela3[[Reserva]:[Descrição do status]],18,FALSE),"CONVENCIONAL"))</f>
        <v>CONVENCIONAL</v>
      </c>
    </row>
    <row r="269" spans="1:17" x14ac:dyDescent="0.25">
      <c r="A269" s="37">
        <v>4379670</v>
      </c>
      <c r="B269" s="37" t="s">
        <v>21</v>
      </c>
      <c r="C269" s="38" t="s">
        <v>19</v>
      </c>
      <c r="D269" s="38">
        <v>45446</v>
      </c>
      <c r="E2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69" s="39">
        <f>IFERROR(VLOOKUP(RES_AB[[#This Row],[Reserva]],Tabela8[[Reserva]:[Usuário]],7,FALSE),Dados!$A$17)</f>
        <v>0.7788194444444444</v>
      </c>
      <c r="G269" s="40">
        <f>IF(RES_AB[[#This Row],[Reserva]]="","",IF(RES_AB[[#This Row],[Hora Int WMS]]&lt;Dados!$A$16,2,2))</f>
        <v>2</v>
      </c>
      <c r="H269" s="40" t="str">
        <f>IF(RES_AB[[#This Row],[Reserva]]="","",IFERROR(VLOOKUP(RES_AB[[#This Row],[Reserva]],Tabela3[[Reserva]:[Condição para Faturamento]],20,FALSE),"IMPORTADO COM SUCESSO"))</f>
        <v>EM CONFERENCIA</v>
      </c>
      <c r="I269" s="38">
        <f>IF(RES_AB[[#This Row],[Data base]]="","",WORKDAY(RES_AB[[#This Row],[Data Reserva - Feriado e Fds]],RES_AB[[#This Row],[Dias para atendimento]],Feriados[Data]))</f>
        <v>45448</v>
      </c>
      <c r="J269" s="40" t="str">
        <f ca="1">IF(RES_AB[[#This Row],[Reserva]]="","",CONCATENATE("D+",NETWORKDAYS(RES_AB[[#This Row],[Data Reserva - Feriado e Fds]],TODAY(),Feriados[Data])-1))</f>
        <v>D+4</v>
      </c>
      <c r="K269" s="40" t="str">
        <f ca="1">IF(RES_AB[[#This Row],[Reserva]]="","",CONCATENATE(RES_AB[[#This Row],[Cen.]]," | ",RES_AB[[#This Row],[SLA2]]))</f>
        <v>N190 | D+4</v>
      </c>
      <c r="L269" s="40">
        <f ca="1">IF(RES_AB[[#This Row],[Reserva]]="","",IF(RES_AB[[#This Row],[SLA2]]=RES_AB[[#This Row],[Reserva]]="","",COUNTIF(MB25_VOLUMETRIA[Reserva],RES_AB[[#This Row],[Reserva]])))</f>
        <v>5</v>
      </c>
      <c r="M2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69" s="37" t="str">
        <f>IF(RES_AB[[#This Row],[Cen.]]="","",IFERROR(VLOOKUP(RES_AB[[#This Row],[Cen.]],Dados_Empresas[],2,FALSE),"Verificar empresa"))</f>
        <v>NET MASSIVO</v>
      </c>
      <c r="P269" s="37" t="str">
        <f>IF(RES_AB[[#This Row],[Empresa]]="","",IF(OR(RES_AB[[#This Row],[Empresa]]="NET MASSIVO",RES_AB[[#This Row],[Empresa]]="NET PROJETOS"),"NET","EMPRESARIAL"))</f>
        <v>NET</v>
      </c>
      <c r="Q269" s="37" t="str">
        <f>IF(RES_AB[[#This Row],[Reserva]]="","",IFERROR(VLOOKUP(RES_AB[[#This Row],[Reserva]],Tabela3[[Reserva]:[Descrição do status]],18,FALSE),"CONVENCIONAL"))</f>
        <v>CONVENCIONAL</v>
      </c>
    </row>
    <row r="270" spans="1:17" x14ac:dyDescent="0.25">
      <c r="A270" s="37">
        <v>4379671</v>
      </c>
      <c r="B270" s="37" t="s">
        <v>21</v>
      </c>
      <c r="C270" s="38" t="s">
        <v>21</v>
      </c>
      <c r="D270" s="38">
        <v>45446</v>
      </c>
      <c r="E2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0" s="39">
        <f>IFERROR(VLOOKUP(RES_AB[[#This Row],[Reserva]],Tabela8[[Reserva]:[Usuário]],7,FALSE),Dados!$A$17)</f>
        <v>0.33333333333333331</v>
      </c>
      <c r="G270" s="40">
        <f>IF(RES_AB[[#This Row],[Reserva]]="","",IF(RES_AB[[#This Row],[Hora Int WMS]]&lt;Dados!$A$16,2,2))</f>
        <v>2</v>
      </c>
      <c r="H270" s="40" t="str">
        <f>IF(RES_AB[[#This Row],[Reserva]]="","",IFERROR(VLOOKUP(RES_AB[[#This Row],[Reserva]],Tabela3[[Reserva]:[Condição para Faturamento]],20,FALSE),"IMPORTADO COM SUCESSO"))</f>
        <v>AGUARDANDO SEPARAÇÃO</v>
      </c>
      <c r="I270" s="38">
        <f>IF(RES_AB[[#This Row],[Data base]]="","",WORKDAY(RES_AB[[#This Row],[Data Reserva - Feriado e Fds]],RES_AB[[#This Row],[Dias para atendimento]],Feriados[Data]))</f>
        <v>45448</v>
      </c>
      <c r="J270" s="40" t="str">
        <f ca="1">IF(RES_AB[[#This Row],[Reserva]]="","",CONCATENATE("D+",NETWORKDAYS(RES_AB[[#This Row],[Data Reserva - Feriado e Fds]],TODAY(),Feriados[Data])-1))</f>
        <v>D+4</v>
      </c>
      <c r="K270" s="40" t="str">
        <f ca="1">IF(RES_AB[[#This Row],[Reserva]]="","",CONCATENATE(RES_AB[[#This Row],[Cen.]]," | ",RES_AB[[#This Row],[SLA2]]))</f>
        <v>N190 | D+4</v>
      </c>
      <c r="L270" s="40">
        <f ca="1">IF(RES_AB[[#This Row],[Reserva]]="","",IF(RES_AB[[#This Row],[SLA2]]=RES_AB[[#This Row],[Reserva]]="","",COUNTIF(MB25_VOLUMETRIA[Reserva],RES_AB[[#This Row],[Reserva]])))</f>
        <v>25</v>
      </c>
      <c r="M2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0" s="37" t="str">
        <f>IF(RES_AB[[#This Row],[Cen.]]="","",IFERROR(VLOOKUP(RES_AB[[#This Row],[Cen.]],Dados_Empresas[],2,FALSE),"Verificar empresa"))</f>
        <v>NET MASSIVO</v>
      </c>
      <c r="P270" s="37" t="str">
        <f>IF(RES_AB[[#This Row],[Empresa]]="","",IF(OR(RES_AB[[#This Row],[Empresa]]="NET MASSIVO",RES_AB[[#This Row],[Empresa]]="NET PROJETOS"),"NET","EMPRESARIAL"))</f>
        <v>NET</v>
      </c>
      <c r="Q270" s="37" t="str">
        <f>IF(RES_AB[[#This Row],[Reserva]]="","",IFERROR(VLOOKUP(RES_AB[[#This Row],[Reserva]],Tabela3[[Reserva]:[Descrição do status]],18,FALSE),"CONVENCIONAL"))</f>
        <v>CONVENCIONAL</v>
      </c>
    </row>
    <row r="271" spans="1:17" x14ac:dyDescent="0.25">
      <c r="A271" s="37">
        <v>4379672</v>
      </c>
      <c r="B271" s="37" t="s">
        <v>21</v>
      </c>
      <c r="C271" s="38" t="s">
        <v>19</v>
      </c>
      <c r="D271" s="38">
        <v>45446</v>
      </c>
      <c r="E2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1" s="39">
        <f>IFERROR(VLOOKUP(RES_AB[[#This Row],[Reserva]],Tabela8[[Reserva]:[Usuário]],7,FALSE),Dados!$A$17)</f>
        <v>0.7788194444444444</v>
      </c>
      <c r="G271" s="40">
        <f>IF(RES_AB[[#This Row],[Reserva]]="","",IF(RES_AB[[#This Row],[Hora Int WMS]]&lt;Dados!$A$16,2,2))</f>
        <v>2</v>
      </c>
      <c r="H271" s="40" t="str">
        <f>IF(RES_AB[[#This Row],[Reserva]]="","",IFERROR(VLOOKUP(RES_AB[[#This Row],[Reserva]],Tabela3[[Reserva]:[Condição para Faturamento]],20,FALSE),"IMPORTADO COM SUCESSO"))</f>
        <v>EM SEPARAÇÃO</v>
      </c>
      <c r="I271" s="38">
        <f>IF(RES_AB[[#This Row],[Data base]]="","",WORKDAY(RES_AB[[#This Row],[Data Reserva - Feriado e Fds]],RES_AB[[#This Row],[Dias para atendimento]],Feriados[Data]))</f>
        <v>45448</v>
      </c>
      <c r="J271" s="40" t="str">
        <f ca="1">IF(RES_AB[[#This Row],[Reserva]]="","",CONCATENATE("D+",NETWORKDAYS(RES_AB[[#This Row],[Data Reserva - Feriado e Fds]],TODAY(),Feriados[Data])-1))</f>
        <v>D+4</v>
      </c>
      <c r="K271" s="40" t="str">
        <f ca="1">IF(RES_AB[[#This Row],[Reserva]]="","",CONCATENATE(RES_AB[[#This Row],[Cen.]]," | ",RES_AB[[#This Row],[SLA2]]))</f>
        <v>N190 | D+4</v>
      </c>
      <c r="L271" s="40">
        <f ca="1">IF(RES_AB[[#This Row],[Reserva]]="","",IF(RES_AB[[#This Row],[SLA2]]=RES_AB[[#This Row],[Reserva]]="","",COUNTIF(MB25_VOLUMETRIA[Reserva],RES_AB[[#This Row],[Reserva]])))</f>
        <v>5</v>
      </c>
      <c r="M2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1" s="37" t="str">
        <f>IF(RES_AB[[#This Row],[Cen.]]="","",IFERROR(VLOOKUP(RES_AB[[#This Row],[Cen.]],Dados_Empresas[],2,FALSE),"Verificar empresa"))</f>
        <v>NET MASSIVO</v>
      </c>
      <c r="P271" s="37" t="str">
        <f>IF(RES_AB[[#This Row],[Empresa]]="","",IF(OR(RES_AB[[#This Row],[Empresa]]="NET MASSIVO",RES_AB[[#This Row],[Empresa]]="NET PROJETOS"),"NET","EMPRESARIAL"))</f>
        <v>NET</v>
      </c>
      <c r="Q271" s="37" t="str">
        <f>IF(RES_AB[[#This Row],[Reserva]]="","",IFERROR(VLOOKUP(RES_AB[[#This Row],[Reserva]],Tabela3[[Reserva]:[Descrição do status]],18,FALSE),"CONVENCIONAL"))</f>
        <v>CONVENCIONAL</v>
      </c>
    </row>
    <row r="272" spans="1:17" x14ac:dyDescent="0.25">
      <c r="A272" s="37">
        <v>4379673</v>
      </c>
      <c r="B272" s="37" t="s">
        <v>21</v>
      </c>
      <c r="C272" s="38" t="s">
        <v>21</v>
      </c>
      <c r="D272" s="38">
        <v>45446</v>
      </c>
      <c r="E2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2" s="39">
        <f>IFERROR(VLOOKUP(RES_AB[[#This Row],[Reserva]],Tabela8[[Reserva]:[Usuário]],7,FALSE),Dados!$A$17)</f>
        <v>0.33333333333333331</v>
      </c>
      <c r="G272" s="40">
        <f>IF(RES_AB[[#This Row],[Reserva]]="","",IF(RES_AB[[#This Row],[Hora Int WMS]]&lt;Dados!$A$16,2,2))</f>
        <v>2</v>
      </c>
      <c r="H272" s="40" t="str">
        <f>IF(RES_AB[[#This Row],[Reserva]]="","",IFERROR(VLOOKUP(RES_AB[[#This Row],[Reserva]],Tabela3[[Reserva]:[Condição para Faturamento]],20,FALSE),"IMPORTADO COM SUCESSO"))</f>
        <v>EM CONFERENCIA</v>
      </c>
      <c r="I272" s="38">
        <f>IF(RES_AB[[#This Row],[Data base]]="","",WORKDAY(RES_AB[[#This Row],[Data Reserva - Feriado e Fds]],RES_AB[[#This Row],[Dias para atendimento]],Feriados[Data]))</f>
        <v>45448</v>
      </c>
      <c r="J272" s="40" t="str">
        <f ca="1">IF(RES_AB[[#This Row],[Reserva]]="","",CONCATENATE("D+",NETWORKDAYS(RES_AB[[#This Row],[Data Reserva - Feriado e Fds]],TODAY(),Feriados[Data])-1))</f>
        <v>D+4</v>
      </c>
      <c r="K272" s="40" t="str">
        <f ca="1">IF(RES_AB[[#This Row],[Reserva]]="","",CONCATENATE(RES_AB[[#This Row],[Cen.]]," | ",RES_AB[[#This Row],[SLA2]]))</f>
        <v>N190 | D+4</v>
      </c>
      <c r="L272" s="40">
        <f ca="1">IF(RES_AB[[#This Row],[Reserva]]="","",IF(RES_AB[[#This Row],[SLA2]]=RES_AB[[#This Row],[Reserva]]="","",COUNTIF(MB25_VOLUMETRIA[Reserva],RES_AB[[#This Row],[Reserva]])))</f>
        <v>18</v>
      </c>
      <c r="M2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2" s="37" t="str">
        <f>IF(RES_AB[[#This Row],[Cen.]]="","",IFERROR(VLOOKUP(RES_AB[[#This Row],[Cen.]],Dados_Empresas[],2,FALSE),"Verificar empresa"))</f>
        <v>NET MASSIVO</v>
      </c>
      <c r="P272" s="37" t="str">
        <f>IF(RES_AB[[#This Row],[Empresa]]="","",IF(OR(RES_AB[[#This Row],[Empresa]]="NET MASSIVO",RES_AB[[#This Row],[Empresa]]="NET PROJETOS"),"NET","EMPRESARIAL"))</f>
        <v>NET</v>
      </c>
      <c r="Q272" s="37" t="str">
        <f>IF(RES_AB[[#This Row],[Reserva]]="","",IFERROR(VLOOKUP(RES_AB[[#This Row],[Reserva]],Tabela3[[Reserva]:[Descrição do status]],18,FALSE),"CONVENCIONAL"))</f>
        <v>CONVENCIONAL</v>
      </c>
    </row>
    <row r="273" spans="1:17" x14ac:dyDescent="0.25">
      <c r="A273" s="37">
        <v>4379677</v>
      </c>
      <c r="B273" s="37" t="s">
        <v>21</v>
      </c>
      <c r="C273" s="38" t="s">
        <v>19</v>
      </c>
      <c r="D273" s="38">
        <v>45446</v>
      </c>
      <c r="E2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3" s="39">
        <f>IFERROR(VLOOKUP(RES_AB[[#This Row],[Reserva]],Tabela8[[Reserva]:[Usuário]],7,FALSE),Dados!$A$17)</f>
        <v>0.33333333333333331</v>
      </c>
      <c r="G273" s="40">
        <f>IF(RES_AB[[#This Row],[Reserva]]="","",IF(RES_AB[[#This Row],[Hora Int WMS]]&lt;Dados!$A$16,2,2))</f>
        <v>2</v>
      </c>
      <c r="H273" s="40" t="str">
        <f>IF(RES_AB[[#This Row],[Reserva]]="","",IFERROR(VLOOKUP(RES_AB[[#This Row],[Reserva]],Tabela3[[Reserva]:[Condição para Faturamento]],20,FALSE),"IMPORTADO COM SUCESSO"))</f>
        <v>EM CONFERENCIA</v>
      </c>
      <c r="I273" s="38">
        <f>IF(RES_AB[[#This Row],[Data base]]="","",WORKDAY(RES_AB[[#This Row],[Data Reserva - Feriado e Fds]],RES_AB[[#This Row],[Dias para atendimento]],Feriados[Data]))</f>
        <v>45448</v>
      </c>
      <c r="J273" s="40" t="str">
        <f ca="1">IF(RES_AB[[#This Row],[Reserva]]="","",CONCATENATE("D+",NETWORKDAYS(RES_AB[[#This Row],[Data Reserva - Feriado e Fds]],TODAY(),Feriados[Data])-1))</f>
        <v>D+4</v>
      </c>
      <c r="K273" s="40" t="str">
        <f ca="1">IF(RES_AB[[#This Row],[Reserva]]="","",CONCATENATE(RES_AB[[#This Row],[Cen.]]," | ",RES_AB[[#This Row],[SLA2]]))</f>
        <v>N190 | D+4</v>
      </c>
      <c r="L273" s="40">
        <f ca="1">IF(RES_AB[[#This Row],[Reserva]]="","",IF(RES_AB[[#This Row],[SLA2]]=RES_AB[[#This Row],[Reserva]]="","",COUNTIF(MB25_VOLUMETRIA[Reserva],RES_AB[[#This Row],[Reserva]])))</f>
        <v>6</v>
      </c>
      <c r="M2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3" s="37" t="str">
        <f>IF(RES_AB[[#This Row],[Cen.]]="","",IFERROR(VLOOKUP(RES_AB[[#This Row],[Cen.]],Dados_Empresas[],2,FALSE),"Verificar empresa"))</f>
        <v>NET MASSIVO</v>
      </c>
      <c r="P273" s="37" t="str">
        <f>IF(RES_AB[[#This Row],[Empresa]]="","",IF(OR(RES_AB[[#This Row],[Empresa]]="NET MASSIVO",RES_AB[[#This Row],[Empresa]]="NET PROJETOS"),"NET","EMPRESARIAL"))</f>
        <v>NET</v>
      </c>
      <c r="Q273" s="37" t="str">
        <f>IF(RES_AB[[#This Row],[Reserva]]="","",IFERROR(VLOOKUP(RES_AB[[#This Row],[Reserva]],Tabela3[[Reserva]:[Descrição do status]],18,FALSE),"CONVENCIONAL"))</f>
        <v>CONVENCIONAL</v>
      </c>
    </row>
    <row r="274" spans="1:17" x14ac:dyDescent="0.25">
      <c r="A274" s="37">
        <v>4379678</v>
      </c>
      <c r="B274" s="37" t="s">
        <v>21</v>
      </c>
      <c r="C274" s="38" t="s">
        <v>19</v>
      </c>
      <c r="D274" s="38">
        <v>45446</v>
      </c>
      <c r="E2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4" s="39">
        <f>IFERROR(VLOOKUP(RES_AB[[#This Row],[Reserva]],Tabela8[[Reserva]:[Usuário]],7,FALSE),Dados!$A$17)</f>
        <v>0.77916666666666667</v>
      </c>
      <c r="G274" s="40">
        <f>IF(RES_AB[[#This Row],[Reserva]]="","",IF(RES_AB[[#This Row],[Hora Int WMS]]&lt;Dados!$A$16,2,2))</f>
        <v>2</v>
      </c>
      <c r="H274" s="40" t="str">
        <f>IF(RES_AB[[#This Row],[Reserva]]="","",IFERROR(VLOOKUP(RES_AB[[#This Row],[Reserva]],Tabela3[[Reserva]:[Condição para Faturamento]],20,FALSE),"IMPORTADO COM SUCESSO"))</f>
        <v>AGUARDANDO SEPARAÇÃO</v>
      </c>
      <c r="I274" s="38">
        <f>IF(RES_AB[[#This Row],[Data base]]="","",WORKDAY(RES_AB[[#This Row],[Data Reserva - Feriado e Fds]],RES_AB[[#This Row],[Dias para atendimento]],Feriados[Data]))</f>
        <v>45448</v>
      </c>
      <c r="J274" s="40" t="str">
        <f ca="1">IF(RES_AB[[#This Row],[Reserva]]="","",CONCATENATE("D+",NETWORKDAYS(RES_AB[[#This Row],[Data Reserva - Feriado e Fds]],TODAY(),Feriados[Data])-1))</f>
        <v>D+4</v>
      </c>
      <c r="K274" s="40" t="str">
        <f ca="1">IF(RES_AB[[#This Row],[Reserva]]="","",CONCATENATE(RES_AB[[#This Row],[Cen.]]," | ",RES_AB[[#This Row],[SLA2]]))</f>
        <v>N190 | D+4</v>
      </c>
      <c r="L274" s="40">
        <f ca="1">IF(RES_AB[[#This Row],[Reserva]]="","",IF(RES_AB[[#This Row],[SLA2]]=RES_AB[[#This Row],[Reserva]]="","",COUNTIF(MB25_VOLUMETRIA[Reserva],RES_AB[[#This Row],[Reserva]])))</f>
        <v>5</v>
      </c>
      <c r="M2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4" s="37" t="str">
        <f>IF(RES_AB[[#This Row],[Cen.]]="","",IFERROR(VLOOKUP(RES_AB[[#This Row],[Cen.]],Dados_Empresas[],2,FALSE),"Verificar empresa"))</f>
        <v>NET MASSIVO</v>
      </c>
      <c r="P274" s="37" t="str">
        <f>IF(RES_AB[[#This Row],[Empresa]]="","",IF(OR(RES_AB[[#This Row],[Empresa]]="NET MASSIVO",RES_AB[[#This Row],[Empresa]]="NET PROJETOS"),"NET","EMPRESARIAL"))</f>
        <v>NET</v>
      </c>
      <c r="Q274" s="37" t="str">
        <f>IF(RES_AB[[#This Row],[Reserva]]="","",IFERROR(VLOOKUP(RES_AB[[#This Row],[Reserva]],Tabela3[[Reserva]:[Descrição do status]],18,FALSE),"CONVENCIONAL"))</f>
        <v>CONVENCIONAL</v>
      </c>
    </row>
    <row r="275" spans="1:17" x14ac:dyDescent="0.25">
      <c r="A275" s="37">
        <v>4379681</v>
      </c>
      <c r="B275" s="37" t="s">
        <v>21</v>
      </c>
      <c r="C275" s="38" t="s">
        <v>21</v>
      </c>
      <c r="D275" s="38">
        <v>45446</v>
      </c>
      <c r="E2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5" s="39">
        <f>IFERROR(VLOOKUP(RES_AB[[#This Row],[Reserva]],Tabela8[[Reserva]:[Usuário]],7,FALSE),Dados!$A$17)</f>
        <v>0.53831018518518514</v>
      </c>
      <c r="G275" s="40">
        <f>IF(RES_AB[[#This Row],[Reserva]]="","",IF(RES_AB[[#This Row],[Hora Int WMS]]&lt;Dados!$A$16,2,2))</f>
        <v>2</v>
      </c>
      <c r="H275" s="40" t="str">
        <f>IF(RES_AB[[#This Row],[Reserva]]="","",IFERROR(VLOOKUP(RES_AB[[#This Row],[Reserva]],Tabela3[[Reserva]:[Condição para Faturamento]],20,FALSE),"IMPORTADO COM SUCESSO"))</f>
        <v>AGUARDANDO SEPARAÇÃO</v>
      </c>
      <c r="I275" s="38">
        <f>IF(RES_AB[[#This Row],[Data base]]="","",WORKDAY(RES_AB[[#This Row],[Data Reserva - Feriado e Fds]],RES_AB[[#This Row],[Dias para atendimento]],Feriados[Data]))</f>
        <v>45448</v>
      </c>
      <c r="J275" s="40" t="str">
        <f ca="1">IF(RES_AB[[#This Row],[Reserva]]="","",CONCATENATE("D+",NETWORKDAYS(RES_AB[[#This Row],[Data Reserva - Feriado e Fds]],TODAY(),Feriados[Data])-1))</f>
        <v>D+4</v>
      </c>
      <c r="K275" s="40" t="str">
        <f ca="1">IF(RES_AB[[#This Row],[Reserva]]="","",CONCATENATE(RES_AB[[#This Row],[Cen.]]," | ",RES_AB[[#This Row],[SLA2]]))</f>
        <v>N190 | D+4</v>
      </c>
      <c r="L275" s="40">
        <f ca="1">IF(RES_AB[[#This Row],[Reserva]]="","",IF(RES_AB[[#This Row],[SLA2]]=RES_AB[[#This Row],[Reserva]]="","",COUNTIF(MB25_VOLUMETRIA[Reserva],RES_AB[[#This Row],[Reserva]])))</f>
        <v>15</v>
      </c>
      <c r="M2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5" s="37" t="str">
        <f>IF(RES_AB[[#This Row],[Cen.]]="","",IFERROR(VLOOKUP(RES_AB[[#This Row],[Cen.]],Dados_Empresas[],2,FALSE),"Verificar empresa"))</f>
        <v>NET MASSIVO</v>
      </c>
      <c r="P275" s="37" t="str">
        <f>IF(RES_AB[[#This Row],[Empresa]]="","",IF(OR(RES_AB[[#This Row],[Empresa]]="NET MASSIVO",RES_AB[[#This Row],[Empresa]]="NET PROJETOS"),"NET","EMPRESARIAL"))</f>
        <v>NET</v>
      </c>
      <c r="Q275" s="37" t="str">
        <f>IF(RES_AB[[#This Row],[Reserva]]="","",IFERROR(VLOOKUP(RES_AB[[#This Row],[Reserva]],Tabela3[[Reserva]:[Descrição do status]],18,FALSE),"CONVENCIONAL"))</f>
        <v>CONVENCIONAL</v>
      </c>
    </row>
    <row r="276" spans="1:17" x14ac:dyDescent="0.25">
      <c r="A276" s="37">
        <v>4379682</v>
      </c>
      <c r="B276" s="37" t="s">
        <v>21</v>
      </c>
      <c r="C276" s="38" t="s">
        <v>19</v>
      </c>
      <c r="D276" s="38">
        <v>45446</v>
      </c>
      <c r="E2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6" s="39">
        <f>IFERROR(VLOOKUP(RES_AB[[#This Row],[Reserva]],Tabela8[[Reserva]:[Usuário]],7,FALSE),Dados!$A$17)</f>
        <v>0.77939814814814812</v>
      </c>
      <c r="G276" s="40">
        <f>IF(RES_AB[[#This Row],[Reserva]]="","",IF(RES_AB[[#This Row],[Hora Int WMS]]&lt;Dados!$A$16,2,2))</f>
        <v>2</v>
      </c>
      <c r="H276" s="40" t="str">
        <f>IF(RES_AB[[#This Row],[Reserva]]="","",IFERROR(VLOOKUP(RES_AB[[#This Row],[Reserva]],Tabela3[[Reserva]:[Condição para Faturamento]],20,FALSE),"IMPORTADO COM SUCESSO"))</f>
        <v>AGUARDANDO SEPARAÇÃO</v>
      </c>
      <c r="I276" s="38">
        <f>IF(RES_AB[[#This Row],[Data base]]="","",WORKDAY(RES_AB[[#This Row],[Data Reserva - Feriado e Fds]],RES_AB[[#This Row],[Dias para atendimento]],Feriados[Data]))</f>
        <v>45448</v>
      </c>
      <c r="J276" s="40" t="str">
        <f ca="1">IF(RES_AB[[#This Row],[Reserva]]="","",CONCATENATE("D+",NETWORKDAYS(RES_AB[[#This Row],[Data Reserva - Feriado e Fds]],TODAY(),Feriados[Data])-1))</f>
        <v>D+4</v>
      </c>
      <c r="K276" s="40" t="str">
        <f ca="1">IF(RES_AB[[#This Row],[Reserva]]="","",CONCATENATE(RES_AB[[#This Row],[Cen.]]," | ",RES_AB[[#This Row],[SLA2]]))</f>
        <v>N190 | D+4</v>
      </c>
      <c r="L276" s="40">
        <f ca="1">IF(RES_AB[[#This Row],[Reserva]]="","",IF(RES_AB[[#This Row],[SLA2]]=RES_AB[[#This Row],[Reserva]]="","",COUNTIF(MB25_VOLUMETRIA[Reserva],RES_AB[[#This Row],[Reserva]])))</f>
        <v>4</v>
      </c>
      <c r="M2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6" s="37" t="str">
        <f>IF(RES_AB[[#This Row],[Cen.]]="","",IFERROR(VLOOKUP(RES_AB[[#This Row],[Cen.]],Dados_Empresas[],2,FALSE),"Verificar empresa"))</f>
        <v>NET MASSIVO</v>
      </c>
      <c r="P276" s="37" t="str">
        <f>IF(RES_AB[[#This Row],[Empresa]]="","",IF(OR(RES_AB[[#This Row],[Empresa]]="NET MASSIVO",RES_AB[[#This Row],[Empresa]]="NET PROJETOS"),"NET","EMPRESARIAL"))</f>
        <v>NET</v>
      </c>
      <c r="Q276" s="37" t="str">
        <f>IF(RES_AB[[#This Row],[Reserva]]="","",IFERROR(VLOOKUP(RES_AB[[#This Row],[Reserva]],Tabela3[[Reserva]:[Descrição do status]],18,FALSE),"CONVENCIONAL"))</f>
        <v>CONVENCIONAL</v>
      </c>
    </row>
    <row r="277" spans="1:17" x14ac:dyDescent="0.25">
      <c r="A277" s="37">
        <v>4379683</v>
      </c>
      <c r="B277" s="37" t="s">
        <v>21</v>
      </c>
      <c r="C277" s="38" t="s">
        <v>21</v>
      </c>
      <c r="D277" s="38">
        <v>45446</v>
      </c>
      <c r="E2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7" s="39">
        <f>IFERROR(VLOOKUP(RES_AB[[#This Row],[Reserva]],Tabela8[[Reserva]:[Usuário]],7,FALSE),Dados!$A$17)</f>
        <v>0.33333333333333331</v>
      </c>
      <c r="G277" s="40">
        <f>IF(RES_AB[[#This Row],[Reserva]]="","",IF(RES_AB[[#This Row],[Hora Int WMS]]&lt;Dados!$A$16,2,2))</f>
        <v>2</v>
      </c>
      <c r="H277" s="40" t="str">
        <f>IF(RES_AB[[#This Row],[Reserva]]="","",IFERROR(VLOOKUP(RES_AB[[#This Row],[Reserva]],Tabela3[[Reserva]:[Condição para Faturamento]],20,FALSE),"IMPORTADO COM SUCESSO"))</f>
        <v>AGUARDANDO SEPARAÇÃO</v>
      </c>
      <c r="I277" s="38">
        <f>IF(RES_AB[[#This Row],[Data base]]="","",WORKDAY(RES_AB[[#This Row],[Data Reserva - Feriado e Fds]],RES_AB[[#This Row],[Dias para atendimento]],Feriados[Data]))</f>
        <v>45448</v>
      </c>
      <c r="J277" s="40" t="str">
        <f ca="1">IF(RES_AB[[#This Row],[Reserva]]="","",CONCATENATE("D+",NETWORKDAYS(RES_AB[[#This Row],[Data Reserva - Feriado e Fds]],TODAY(),Feriados[Data])-1))</f>
        <v>D+4</v>
      </c>
      <c r="K277" s="40" t="str">
        <f ca="1">IF(RES_AB[[#This Row],[Reserva]]="","",CONCATENATE(RES_AB[[#This Row],[Cen.]]," | ",RES_AB[[#This Row],[SLA2]]))</f>
        <v>N190 | D+4</v>
      </c>
      <c r="L277" s="40">
        <f ca="1">IF(RES_AB[[#This Row],[Reserva]]="","",IF(RES_AB[[#This Row],[SLA2]]=RES_AB[[#This Row],[Reserva]]="","",COUNTIF(MB25_VOLUMETRIA[Reserva],RES_AB[[#This Row],[Reserva]])))</f>
        <v>27</v>
      </c>
      <c r="M2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7" s="37" t="str">
        <f>IF(RES_AB[[#This Row],[Cen.]]="","",IFERROR(VLOOKUP(RES_AB[[#This Row],[Cen.]],Dados_Empresas[],2,FALSE),"Verificar empresa"))</f>
        <v>NET MASSIVO</v>
      </c>
      <c r="P277" s="37" t="str">
        <f>IF(RES_AB[[#This Row],[Empresa]]="","",IF(OR(RES_AB[[#This Row],[Empresa]]="NET MASSIVO",RES_AB[[#This Row],[Empresa]]="NET PROJETOS"),"NET","EMPRESARIAL"))</f>
        <v>NET</v>
      </c>
      <c r="Q277" s="37" t="str">
        <f>IF(RES_AB[[#This Row],[Reserva]]="","",IFERROR(VLOOKUP(RES_AB[[#This Row],[Reserva]],Tabela3[[Reserva]:[Descrição do status]],18,FALSE),"CONVENCIONAL"))</f>
        <v>CONVENCIONAL</v>
      </c>
    </row>
    <row r="278" spans="1:17" x14ac:dyDescent="0.25">
      <c r="A278" s="37">
        <v>4379684</v>
      </c>
      <c r="B278" s="37" t="s">
        <v>21</v>
      </c>
      <c r="C278" s="38" t="s">
        <v>19</v>
      </c>
      <c r="D278" s="38">
        <v>45446</v>
      </c>
      <c r="E2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8" s="39">
        <f>IFERROR(VLOOKUP(RES_AB[[#This Row],[Reserva]],Tabela8[[Reserva]:[Usuário]],7,FALSE),Dados!$A$17)</f>
        <v>0.77939814814814812</v>
      </c>
      <c r="G278" s="40">
        <f>IF(RES_AB[[#This Row],[Reserva]]="","",IF(RES_AB[[#This Row],[Hora Int WMS]]&lt;Dados!$A$16,2,2))</f>
        <v>2</v>
      </c>
      <c r="H278" s="40" t="str">
        <f>IF(RES_AB[[#This Row],[Reserva]]="","",IFERROR(VLOOKUP(RES_AB[[#This Row],[Reserva]],Tabela3[[Reserva]:[Condição para Faturamento]],20,FALSE),"IMPORTADO COM SUCESSO"))</f>
        <v>AGUARDANDO SEPARAÇÃO</v>
      </c>
      <c r="I278" s="38">
        <f>IF(RES_AB[[#This Row],[Data base]]="","",WORKDAY(RES_AB[[#This Row],[Data Reserva - Feriado e Fds]],RES_AB[[#This Row],[Dias para atendimento]],Feriados[Data]))</f>
        <v>45448</v>
      </c>
      <c r="J278" s="40" t="str">
        <f ca="1">IF(RES_AB[[#This Row],[Reserva]]="","",CONCATENATE("D+",NETWORKDAYS(RES_AB[[#This Row],[Data Reserva - Feriado e Fds]],TODAY(),Feriados[Data])-1))</f>
        <v>D+4</v>
      </c>
      <c r="K278" s="40" t="str">
        <f ca="1">IF(RES_AB[[#This Row],[Reserva]]="","",CONCATENATE(RES_AB[[#This Row],[Cen.]]," | ",RES_AB[[#This Row],[SLA2]]))</f>
        <v>N190 | D+4</v>
      </c>
      <c r="L278" s="40">
        <f ca="1">IF(RES_AB[[#This Row],[Reserva]]="","",IF(RES_AB[[#This Row],[SLA2]]=RES_AB[[#This Row],[Reserva]]="","",COUNTIF(MB25_VOLUMETRIA[Reserva],RES_AB[[#This Row],[Reserva]])))</f>
        <v>4</v>
      </c>
      <c r="M2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8" s="37" t="str">
        <f>IF(RES_AB[[#This Row],[Cen.]]="","",IFERROR(VLOOKUP(RES_AB[[#This Row],[Cen.]],Dados_Empresas[],2,FALSE),"Verificar empresa"))</f>
        <v>NET MASSIVO</v>
      </c>
      <c r="P278" s="37" t="str">
        <f>IF(RES_AB[[#This Row],[Empresa]]="","",IF(OR(RES_AB[[#This Row],[Empresa]]="NET MASSIVO",RES_AB[[#This Row],[Empresa]]="NET PROJETOS"),"NET","EMPRESARIAL"))</f>
        <v>NET</v>
      </c>
      <c r="Q278" s="37" t="str">
        <f>IF(RES_AB[[#This Row],[Reserva]]="","",IFERROR(VLOOKUP(RES_AB[[#This Row],[Reserva]],Tabela3[[Reserva]:[Descrição do status]],18,FALSE),"CONVENCIONAL"))</f>
        <v>CONVENCIONAL</v>
      </c>
    </row>
    <row r="279" spans="1:17" x14ac:dyDescent="0.25">
      <c r="A279" s="37">
        <v>4379686</v>
      </c>
      <c r="B279" s="37" t="s">
        <v>21</v>
      </c>
      <c r="C279" s="38" t="s">
        <v>19</v>
      </c>
      <c r="D279" s="38">
        <v>45446</v>
      </c>
      <c r="E2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79" s="39">
        <f>IFERROR(VLOOKUP(RES_AB[[#This Row],[Reserva]],Tabela8[[Reserva]:[Usuário]],7,FALSE),Dados!$A$17)</f>
        <v>0.77962962962962967</v>
      </c>
      <c r="G279" s="40">
        <f>IF(RES_AB[[#This Row],[Reserva]]="","",IF(RES_AB[[#This Row],[Hora Int WMS]]&lt;Dados!$A$16,2,2))</f>
        <v>2</v>
      </c>
      <c r="H279" s="40" t="str">
        <f>IF(RES_AB[[#This Row],[Reserva]]="","",IFERROR(VLOOKUP(RES_AB[[#This Row],[Reserva]],Tabela3[[Reserva]:[Condição para Faturamento]],20,FALSE),"IMPORTADO COM SUCESSO"))</f>
        <v>AGUARDANDO SEPARAÇÃO</v>
      </c>
      <c r="I279" s="38">
        <f>IF(RES_AB[[#This Row],[Data base]]="","",WORKDAY(RES_AB[[#This Row],[Data Reserva - Feriado e Fds]],RES_AB[[#This Row],[Dias para atendimento]],Feriados[Data]))</f>
        <v>45448</v>
      </c>
      <c r="J279" s="40" t="str">
        <f ca="1">IF(RES_AB[[#This Row],[Reserva]]="","",CONCATENATE("D+",NETWORKDAYS(RES_AB[[#This Row],[Data Reserva - Feriado e Fds]],TODAY(),Feriados[Data])-1))</f>
        <v>D+4</v>
      </c>
      <c r="K279" s="40" t="str">
        <f ca="1">IF(RES_AB[[#This Row],[Reserva]]="","",CONCATENATE(RES_AB[[#This Row],[Cen.]]," | ",RES_AB[[#This Row],[SLA2]]))</f>
        <v>N190 | D+4</v>
      </c>
      <c r="L279" s="40">
        <f ca="1">IF(RES_AB[[#This Row],[Reserva]]="","",IF(RES_AB[[#This Row],[SLA2]]=RES_AB[[#This Row],[Reserva]]="","",COUNTIF(MB25_VOLUMETRIA[Reserva],RES_AB[[#This Row],[Reserva]])))</f>
        <v>3</v>
      </c>
      <c r="M2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79" s="37" t="str">
        <f>IF(RES_AB[[#This Row],[Cen.]]="","",IFERROR(VLOOKUP(RES_AB[[#This Row],[Cen.]],Dados_Empresas[],2,FALSE),"Verificar empresa"))</f>
        <v>NET MASSIVO</v>
      </c>
      <c r="P279" s="37" t="str">
        <f>IF(RES_AB[[#This Row],[Empresa]]="","",IF(OR(RES_AB[[#This Row],[Empresa]]="NET MASSIVO",RES_AB[[#This Row],[Empresa]]="NET PROJETOS"),"NET","EMPRESARIAL"))</f>
        <v>NET</v>
      </c>
      <c r="Q279" s="37" t="str">
        <f>IF(RES_AB[[#This Row],[Reserva]]="","",IFERROR(VLOOKUP(RES_AB[[#This Row],[Reserva]],Tabela3[[Reserva]:[Descrição do status]],18,FALSE),"CONVENCIONAL"))</f>
        <v>CONVENCIONAL</v>
      </c>
    </row>
    <row r="280" spans="1:17" x14ac:dyDescent="0.25">
      <c r="A280" s="37">
        <v>4379688</v>
      </c>
      <c r="B280" s="37" t="s">
        <v>21</v>
      </c>
      <c r="C280" s="38" t="s">
        <v>19</v>
      </c>
      <c r="D280" s="38">
        <v>45446</v>
      </c>
      <c r="E2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0" s="39">
        <f>IFERROR(VLOOKUP(RES_AB[[#This Row],[Reserva]],Tabela8[[Reserva]:[Usuário]],7,FALSE),Dados!$A$17)</f>
        <v>0.77974537037037039</v>
      </c>
      <c r="G280" s="40">
        <f>IF(RES_AB[[#This Row],[Reserva]]="","",IF(RES_AB[[#This Row],[Hora Int WMS]]&lt;Dados!$A$16,2,2))</f>
        <v>2</v>
      </c>
      <c r="H280" s="40" t="str">
        <f>IF(RES_AB[[#This Row],[Reserva]]="","",IFERROR(VLOOKUP(RES_AB[[#This Row],[Reserva]],Tabela3[[Reserva]:[Condição para Faturamento]],20,FALSE),"IMPORTADO COM SUCESSO"))</f>
        <v>EM CONFERENCIA</v>
      </c>
      <c r="I280" s="38">
        <f>IF(RES_AB[[#This Row],[Data base]]="","",WORKDAY(RES_AB[[#This Row],[Data Reserva - Feriado e Fds]],RES_AB[[#This Row],[Dias para atendimento]],Feriados[Data]))</f>
        <v>45448</v>
      </c>
      <c r="J280" s="40" t="str">
        <f ca="1">IF(RES_AB[[#This Row],[Reserva]]="","",CONCATENATE("D+",NETWORKDAYS(RES_AB[[#This Row],[Data Reserva - Feriado e Fds]],TODAY(),Feriados[Data])-1))</f>
        <v>D+4</v>
      </c>
      <c r="K280" s="40" t="str">
        <f ca="1">IF(RES_AB[[#This Row],[Reserva]]="","",CONCATENATE(RES_AB[[#This Row],[Cen.]]," | ",RES_AB[[#This Row],[SLA2]]))</f>
        <v>N190 | D+4</v>
      </c>
      <c r="L280" s="40">
        <f ca="1">IF(RES_AB[[#This Row],[Reserva]]="","",IF(RES_AB[[#This Row],[SLA2]]=RES_AB[[#This Row],[Reserva]]="","",COUNTIF(MB25_VOLUMETRIA[Reserva],RES_AB[[#This Row],[Reserva]])))</f>
        <v>4</v>
      </c>
      <c r="M2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0" s="37" t="str">
        <f>IF(RES_AB[[#This Row],[Cen.]]="","",IFERROR(VLOOKUP(RES_AB[[#This Row],[Cen.]],Dados_Empresas[],2,FALSE),"Verificar empresa"))</f>
        <v>NET MASSIVO</v>
      </c>
      <c r="P280" s="37" t="str">
        <f>IF(RES_AB[[#This Row],[Empresa]]="","",IF(OR(RES_AB[[#This Row],[Empresa]]="NET MASSIVO",RES_AB[[#This Row],[Empresa]]="NET PROJETOS"),"NET","EMPRESARIAL"))</f>
        <v>NET</v>
      </c>
      <c r="Q280" s="37" t="str">
        <f>IF(RES_AB[[#This Row],[Reserva]]="","",IFERROR(VLOOKUP(RES_AB[[#This Row],[Reserva]],Tabela3[[Reserva]:[Descrição do status]],18,FALSE),"CONVENCIONAL"))</f>
        <v>CONVENCIONAL</v>
      </c>
    </row>
    <row r="281" spans="1:17" x14ac:dyDescent="0.25">
      <c r="A281" s="37">
        <v>4379690</v>
      </c>
      <c r="B281" s="37" t="s">
        <v>21</v>
      </c>
      <c r="C281" s="38" t="s">
        <v>19</v>
      </c>
      <c r="D281" s="38">
        <v>45446</v>
      </c>
      <c r="E2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1" s="39">
        <f>IFERROR(VLOOKUP(RES_AB[[#This Row],[Reserva]],Tabela8[[Reserva]:[Usuário]],7,FALSE),Dados!$A$17)</f>
        <v>0.33333333333333331</v>
      </c>
      <c r="G281" s="40">
        <f>IF(RES_AB[[#This Row],[Reserva]]="","",IF(RES_AB[[#This Row],[Hora Int WMS]]&lt;Dados!$A$16,2,2))</f>
        <v>2</v>
      </c>
      <c r="H281" s="40" t="str">
        <f>IF(RES_AB[[#This Row],[Reserva]]="","",IFERROR(VLOOKUP(RES_AB[[#This Row],[Reserva]],Tabela3[[Reserva]:[Condição para Faturamento]],20,FALSE),"IMPORTADO COM SUCESSO"))</f>
        <v>EM SEPARAÇÃO</v>
      </c>
      <c r="I281" s="38">
        <f>IF(RES_AB[[#This Row],[Data base]]="","",WORKDAY(RES_AB[[#This Row],[Data Reserva - Feriado e Fds]],RES_AB[[#This Row],[Dias para atendimento]],Feriados[Data]))</f>
        <v>45448</v>
      </c>
      <c r="J281" s="40" t="str">
        <f ca="1">IF(RES_AB[[#This Row],[Reserva]]="","",CONCATENATE("D+",NETWORKDAYS(RES_AB[[#This Row],[Data Reserva - Feriado e Fds]],TODAY(),Feriados[Data])-1))</f>
        <v>D+4</v>
      </c>
      <c r="K281" s="40" t="str">
        <f ca="1">IF(RES_AB[[#This Row],[Reserva]]="","",CONCATENATE(RES_AB[[#This Row],[Cen.]]," | ",RES_AB[[#This Row],[SLA2]]))</f>
        <v>N190 | D+4</v>
      </c>
      <c r="L281" s="40">
        <f ca="1">IF(RES_AB[[#This Row],[Reserva]]="","",IF(RES_AB[[#This Row],[SLA2]]=RES_AB[[#This Row],[Reserva]]="","",COUNTIF(MB25_VOLUMETRIA[Reserva],RES_AB[[#This Row],[Reserva]])))</f>
        <v>4</v>
      </c>
      <c r="M2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1" s="37" t="str">
        <f>IF(RES_AB[[#This Row],[Cen.]]="","",IFERROR(VLOOKUP(RES_AB[[#This Row],[Cen.]],Dados_Empresas[],2,FALSE),"Verificar empresa"))</f>
        <v>NET MASSIVO</v>
      </c>
      <c r="P281" s="37" t="str">
        <f>IF(RES_AB[[#This Row],[Empresa]]="","",IF(OR(RES_AB[[#This Row],[Empresa]]="NET MASSIVO",RES_AB[[#This Row],[Empresa]]="NET PROJETOS"),"NET","EMPRESARIAL"))</f>
        <v>NET</v>
      </c>
      <c r="Q281" s="37" t="str">
        <f>IF(RES_AB[[#This Row],[Reserva]]="","",IFERROR(VLOOKUP(RES_AB[[#This Row],[Reserva]],Tabela3[[Reserva]:[Descrição do status]],18,FALSE),"CONVENCIONAL"))</f>
        <v>CONVENCIONAL</v>
      </c>
    </row>
    <row r="282" spans="1:17" x14ac:dyDescent="0.25">
      <c r="A282" s="37">
        <v>4379692</v>
      </c>
      <c r="B282" s="37" t="s">
        <v>21</v>
      </c>
      <c r="C282" s="38" t="s">
        <v>19</v>
      </c>
      <c r="D282" s="38">
        <v>45446</v>
      </c>
      <c r="E2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2" s="39">
        <f>IFERROR(VLOOKUP(RES_AB[[#This Row],[Reserva]],Tabela8[[Reserva]:[Usuário]],7,FALSE),Dados!$A$17)</f>
        <v>0.33333333333333331</v>
      </c>
      <c r="G282" s="40">
        <f>IF(RES_AB[[#This Row],[Reserva]]="","",IF(RES_AB[[#This Row],[Hora Int WMS]]&lt;Dados!$A$16,2,2))</f>
        <v>2</v>
      </c>
      <c r="H282" s="40" t="str">
        <f>IF(RES_AB[[#This Row],[Reserva]]="","",IFERROR(VLOOKUP(RES_AB[[#This Row],[Reserva]],Tabela3[[Reserva]:[Condição para Faturamento]],20,FALSE),"IMPORTADO COM SUCESSO"))</f>
        <v>EM CONFERENCIA</v>
      </c>
      <c r="I282" s="38">
        <f>IF(RES_AB[[#This Row],[Data base]]="","",WORKDAY(RES_AB[[#This Row],[Data Reserva - Feriado e Fds]],RES_AB[[#This Row],[Dias para atendimento]],Feriados[Data]))</f>
        <v>45448</v>
      </c>
      <c r="J282" s="40" t="str">
        <f ca="1">IF(RES_AB[[#This Row],[Reserva]]="","",CONCATENATE("D+",NETWORKDAYS(RES_AB[[#This Row],[Data Reserva - Feriado e Fds]],TODAY(),Feriados[Data])-1))</f>
        <v>D+4</v>
      </c>
      <c r="K282" s="40" t="str">
        <f ca="1">IF(RES_AB[[#This Row],[Reserva]]="","",CONCATENATE(RES_AB[[#This Row],[Cen.]]," | ",RES_AB[[#This Row],[SLA2]]))</f>
        <v>N190 | D+4</v>
      </c>
      <c r="L282" s="40">
        <f ca="1">IF(RES_AB[[#This Row],[Reserva]]="","",IF(RES_AB[[#This Row],[SLA2]]=RES_AB[[#This Row],[Reserva]]="","",COUNTIF(MB25_VOLUMETRIA[Reserva],RES_AB[[#This Row],[Reserva]])))</f>
        <v>2</v>
      </c>
      <c r="M2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2" s="37" t="str">
        <f>IF(RES_AB[[#This Row],[Cen.]]="","",IFERROR(VLOOKUP(RES_AB[[#This Row],[Cen.]],Dados_Empresas[],2,FALSE),"Verificar empresa"))</f>
        <v>NET MASSIVO</v>
      </c>
      <c r="P282" s="37" t="str">
        <f>IF(RES_AB[[#This Row],[Empresa]]="","",IF(OR(RES_AB[[#This Row],[Empresa]]="NET MASSIVO",RES_AB[[#This Row],[Empresa]]="NET PROJETOS"),"NET","EMPRESARIAL"))</f>
        <v>NET</v>
      </c>
      <c r="Q282" s="37" t="str">
        <f>IF(RES_AB[[#This Row],[Reserva]]="","",IFERROR(VLOOKUP(RES_AB[[#This Row],[Reserva]],Tabela3[[Reserva]:[Descrição do status]],18,FALSE),"CONVENCIONAL"))</f>
        <v>CONVENCIONAL</v>
      </c>
    </row>
    <row r="283" spans="1:17" x14ac:dyDescent="0.25">
      <c r="A283" s="37">
        <v>4379694</v>
      </c>
      <c r="B283" s="37" t="s">
        <v>21</v>
      </c>
      <c r="C283" s="38" t="s">
        <v>19</v>
      </c>
      <c r="D283" s="38">
        <v>45446</v>
      </c>
      <c r="E2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3" s="39">
        <f>IFERROR(VLOOKUP(RES_AB[[#This Row],[Reserva]],Tabela8[[Reserva]:[Usuário]],7,FALSE),Dados!$A$17)</f>
        <v>0.33333333333333331</v>
      </c>
      <c r="G283" s="40">
        <f>IF(RES_AB[[#This Row],[Reserva]]="","",IF(RES_AB[[#This Row],[Hora Int WMS]]&lt;Dados!$A$16,2,2))</f>
        <v>2</v>
      </c>
      <c r="H283" s="40" t="str">
        <f>IF(RES_AB[[#This Row],[Reserva]]="","",IFERROR(VLOOKUP(RES_AB[[#This Row],[Reserva]],Tabela3[[Reserva]:[Condição para Faturamento]],20,FALSE),"IMPORTADO COM SUCESSO"))</f>
        <v>EM SEPARAÇÃO</v>
      </c>
      <c r="I283" s="38">
        <f>IF(RES_AB[[#This Row],[Data base]]="","",WORKDAY(RES_AB[[#This Row],[Data Reserva - Feriado e Fds]],RES_AB[[#This Row],[Dias para atendimento]],Feriados[Data]))</f>
        <v>45448</v>
      </c>
      <c r="J283" s="40" t="str">
        <f ca="1">IF(RES_AB[[#This Row],[Reserva]]="","",CONCATENATE("D+",NETWORKDAYS(RES_AB[[#This Row],[Data Reserva - Feriado e Fds]],TODAY(),Feriados[Data])-1))</f>
        <v>D+4</v>
      </c>
      <c r="K283" s="40" t="str">
        <f ca="1">IF(RES_AB[[#This Row],[Reserva]]="","",CONCATENATE(RES_AB[[#This Row],[Cen.]]," | ",RES_AB[[#This Row],[SLA2]]))</f>
        <v>N190 | D+4</v>
      </c>
      <c r="L283" s="40">
        <f ca="1">IF(RES_AB[[#This Row],[Reserva]]="","",IF(RES_AB[[#This Row],[SLA2]]=RES_AB[[#This Row],[Reserva]]="","",COUNTIF(MB25_VOLUMETRIA[Reserva],RES_AB[[#This Row],[Reserva]])))</f>
        <v>2</v>
      </c>
      <c r="M2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3" s="37" t="str">
        <f>IF(RES_AB[[#This Row],[Cen.]]="","",IFERROR(VLOOKUP(RES_AB[[#This Row],[Cen.]],Dados_Empresas[],2,FALSE),"Verificar empresa"))</f>
        <v>NET MASSIVO</v>
      </c>
      <c r="P283" s="37" t="str">
        <f>IF(RES_AB[[#This Row],[Empresa]]="","",IF(OR(RES_AB[[#This Row],[Empresa]]="NET MASSIVO",RES_AB[[#This Row],[Empresa]]="NET PROJETOS"),"NET","EMPRESARIAL"))</f>
        <v>NET</v>
      </c>
      <c r="Q283" s="37" t="str">
        <f>IF(RES_AB[[#This Row],[Reserva]]="","",IFERROR(VLOOKUP(RES_AB[[#This Row],[Reserva]],Tabela3[[Reserva]:[Descrição do status]],18,FALSE),"CONVENCIONAL"))</f>
        <v>CONVENCIONAL</v>
      </c>
    </row>
    <row r="284" spans="1:17" x14ac:dyDescent="0.25">
      <c r="A284" s="37">
        <v>4379701</v>
      </c>
      <c r="B284" s="37" t="s">
        <v>21</v>
      </c>
      <c r="C284" s="38" t="s">
        <v>19</v>
      </c>
      <c r="D284" s="38">
        <v>45446</v>
      </c>
      <c r="E2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4" s="39">
        <f>IFERROR(VLOOKUP(RES_AB[[#This Row],[Reserva]],Tabela8[[Reserva]:[Usuário]],7,FALSE),Dados!$A$17)</f>
        <v>0.33333333333333331</v>
      </c>
      <c r="G284" s="40">
        <f>IF(RES_AB[[#This Row],[Reserva]]="","",IF(RES_AB[[#This Row],[Hora Int WMS]]&lt;Dados!$A$16,2,2))</f>
        <v>2</v>
      </c>
      <c r="H284" s="40" t="str">
        <f>IF(RES_AB[[#This Row],[Reserva]]="","",IFERROR(VLOOKUP(RES_AB[[#This Row],[Reserva]],Tabela3[[Reserva]:[Condição para Faturamento]],20,FALSE),"IMPORTADO COM SUCESSO"))</f>
        <v>EM CONFERENCIA</v>
      </c>
      <c r="I284" s="38">
        <f>IF(RES_AB[[#This Row],[Data base]]="","",WORKDAY(RES_AB[[#This Row],[Data Reserva - Feriado e Fds]],RES_AB[[#This Row],[Dias para atendimento]],Feriados[Data]))</f>
        <v>45448</v>
      </c>
      <c r="J284" s="40" t="str">
        <f ca="1">IF(RES_AB[[#This Row],[Reserva]]="","",CONCATENATE("D+",NETWORKDAYS(RES_AB[[#This Row],[Data Reserva - Feriado e Fds]],TODAY(),Feriados[Data])-1))</f>
        <v>D+4</v>
      </c>
      <c r="K284" s="40" t="str">
        <f ca="1">IF(RES_AB[[#This Row],[Reserva]]="","",CONCATENATE(RES_AB[[#This Row],[Cen.]]," | ",RES_AB[[#This Row],[SLA2]]))</f>
        <v>N190 | D+4</v>
      </c>
      <c r="L284" s="40">
        <f ca="1">IF(RES_AB[[#This Row],[Reserva]]="","",IF(RES_AB[[#This Row],[SLA2]]=RES_AB[[#This Row],[Reserva]]="","",COUNTIF(MB25_VOLUMETRIA[Reserva],RES_AB[[#This Row],[Reserva]])))</f>
        <v>3</v>
      </c>
      <c r="M2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4" s="37" t="str">
        <f>IF(RES_AB[[#This Row],[Cen.]]="","",IFERROR(VLOOKUP(RES_AB[[#This Row],[Cen.]],Dados_Empresas[],2,FALSE),"Verificar empresa"))</f>
        <v>NET MASSIVO</v>
      </c>
      <c r="P284" s="37" t="str">
        <f>IF(RES_AB[[#This Row],[Empresa]]="","",IF(OR(RES_AB[[#This Row],[Empresa]]="NET MASSIVO",RES_AB[[#This Row],[Empresa]]="NET PROJETOS"),"NET","EMPRESARIAL"))</f>
        <v>NET</v>
      </c>
      <c r="Q284" s="37" t="str">
        <f>IF(RES_AB[[#This Row],[Reserva]]="","",IFERROR(VLOOKUP(RES_AB[[#This Row],[Reserva]],Tabela3[[Reserva]:[Descrição do status]],18,FALSE),"CONVENCIONAL"))</f>
        <v>CONVENCIONAL</v>
      </c>
    </row>
    <row r="285" spans="1:17" x14ac:dyDescent="0.25">
      <c r="A285" s="37">
        <v>4379712</v>
      </c>
      <c r="B285" s="37" t="s">
        <v>21</v>
      </c>
      <c r="C285" s="38" t="s">
        <v>182</v>
      </c>
      <c r="D285" s="38">
        <v>45446</v>
      </c>
      <c r="E2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5" s="39">
        <f>IFERROR(VLOOKUP(RES_AB[[#This Row],[Reserva]],Tabela8[[Reserva]:[Usuário]],7,FALSE),Dados!$A$17)</f>
        <v>0.33333333333333331</v>
      </c>
      <c r="G285" s="40">
        <f>IF(RES_AB[[#This Row],[Reserva]]="","",IF(RES_AB[[#This Row],[Hora Int WMS]]&lt;Dados!$A$16,2,2))</f>
        <v>2</v>
      </c>
      <c r="H285" s="40" t="str">
        <f>IF(RES_AB[[#This Row],[Reserva]]="","",IFERROR(VLOOKUP(RES_AB[[#This Row],[Reserva]],Tabela3[[Reserva]:[Condição para Faturamento]],20,FALSE),"IMPORTADO COM SUCESSO"))</f>
        <v>EM CONFERENCIA</v>
      </c>
      <c r="I285" s="38">
        <f>IF(RES_AB[[#This Row],[Data base]]="","",WORKDAY(RES_AB[[#This Row],[Data Reserva - Feriado e Fds]],RES_AB[[#This Row],[Dias para atendimento]],Feriados[Data]))</f>
        <v>45448</v>
      </c>
      <c r="J285" s="40" t="str">
        <f ca="1">IF(RES_AB[[#This Row],[Reserva]]="","",CONCATENATE("D+",NETWORKDAYS(RES_AB[[#This Row],[Data Reserva - Feriado e Fds]],TODAY(),Feriados[Data])-1))</f>
        <v>D+4</v>
      </c>
      <c r="K285" s="40" t="str">
        <f ca="1">IF(RES_AB[[#This Row],[Reserva]]="","",CONCATENATE(RES_AB[[#This Row],[Cen.]]," | ",RES_AB[[#This Row],[SLA2]]))</f>
        <v>N190 | D+4</v>
      </c>
      <c r="L285" s="40">
        <f ca="1">IF(RES_AB[[#This Row],[Reserva]]="","",IF(RES_AB[[#This Row],[SLA2]]=RES_AB[[#This Row],[Reserva]]="","",COUNTIF(MB25_VOLUMETRIA[Reserva],RES_AB[[#This Row],[Reserva]])))</f>
        <v>1</v>
      </c>
      <c r="M2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5" s="37" t="str">
        <f>IF(RES_AB[[#This Row],[Cen.]]="","",IFERROR(VLOOKUP(RES_AB[[#This Row],[Cen.]],Dados_Empresas[],2,FALSE),"Verificar empresa"))</f>
        <v>NET MASSIVO</v>
      </c>
      <c r="P285" s="37" t="str">
        <f>IF(RES_AB[[#This Row],[Empresa]]="","",IF(OR(RES_AB[[#This Row],[Empresa]]="NET MASSIVO",RES_AB[[#This Row],[Empresa]]="NET PROJETOS"),"NET","EMPRESARIAL"))</f>
        <v>NET</v>
      </c>
      <c r="Q285" s="37" t="str">
        <f>IF(RES_AB[[#This Row],[Reserva]]="","",IFERROR(VLOOKUP(RES_AB[[#This Row],[Reserva]],Tabela3[[Reserva]:[Descrição do status]],18,FALSE),"CONVENCIONAL"))</f>
        <v>CONVENCIONAL</v>
      </c>
    </row>
    <row r="286" spans="1:17" x14ac:dyDescent="0.25">
      <c r="A286" s="37">
        <v>4379718</v>
      </c>
      <c r="B286" s="37" t="s">
        <v>21</v>
      </c>
      <c r="C286" s="38" t="s">
        <v>19</v>
      </c>
      <c r="D286" s="38">
        <v>45446</v>
      </c>
      <c r="E2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6" s="39">
        <f>IFERROR(VLOOKUP(RES_AB[[#This Row],[Reserva]],Tabela8[[Reserva]:[Usuário]],7,FALSE),Dados!$A$17)</f>
        <v>0.33333333333333331</v>
      </c>
      <c r="G286" s="40">
        <f>IF(RES_AB[[#This Row],[Reserva]]="","",IF(RES_AB[[#This Row],[Hora Int WMS]]&lt;Dados!$A$16,2,2))</f>
        <v>2</v>
      </c>
      <c r="H286" s="40" t="str">
        <f>IF(RES_AB[[#This Row],[Reserva]]="","",IFERROR(VLOOKUP(RES_AB[[#This Row],[Reserva]],Tabela3[[Reserva]:[Condição para Faturamento]],20,FALSE),"IMPORTADO COM SUCESSO"))</f>
        <v>EM CONFERENCIA</v>
      </c>
      <c r="I286" s="38">
        <f>IF(RES_AB[[#This Row],[Data base]]="","",WORKDAY(RES_AB[[#This Row],[Data Reserva - Feriado e Fds]],RES_AB[[#This Row],[Dias para atendimento]],Feriados[Data]))</f>
        <v>45448</v>
      </c>
      <c r="J286" s="40" t="str">
        <f ca="1">IF(RES_AB[[#This Row],[Reserva]]="","",CONCATENATE("D+",NETWORKDAYS(RES_AB[[#This Row],[Data Reserva - Feriado e Fds]],TODAY(),Feriados[Data])-1))</f>
        <v>D+4</v>
      </c>
      <c r="K286" s="40" t="str">
        <f ca="1">IF(RES_AB[[#This Row],[Reserva]]="","",CONCATENATE(RES_AB[[#This Row],[Cen.]]," | ",RES_AB[[#This Row],[SLA2]]))</f>
        <v>N190 | D+4</v>
      </c>
      <c r="L286" s="40">
        <f ca="1">IF(RES_AB[[#This Row],[Reserva]]="","",IF(RES_AB[[#This Row],[SLA2]]=RES_AB[[#This Row],[Reserva]]="","",COUNTIF(MB25_VOLUMETRIA[Reserva],RES_AB[[#This Row],[Reserva]])))</f>
        <v>4</v>
      </c>
      <c r="M2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6" s="37" t="str">
        <f>IF(RES_AB[[#This Row],[Cen.]]="","",IFERROR(VLOOKUP(RES_AB[[#This Row],[Cen.]],Dados_Empresas[],2,FALSE),"Verificar empresa"))</f>
        <v>NET MASSIVO</v>
      </c>
      <c r="P286" s="37" t="str">
        <f>IF(RES_AB[[#This Row],[Empresa]]="","",IF(OR(RES_AB[[#This Row],[Empresa]]="NET MASSIVO",RES_AB[[#This Row],[Empresa]]="NET PROJETOS"),"NET","EMPRESARIAL"))</f>
        <v>NET</v>
      </c>
      <c r="Q286" s="37" t="str">
        <f>IF(RES_AB[[#This Row],[Reserva]]="","",IFERROR(VLOOKUP(RES_AB[[#This Row],[Reserva]],Tabela3[[Reserva]:[Descrição do status]],18,FALSE),"CONVENCIONAL"))</f>
        <v>CONVENCIONAL</v>
      </c>
    </row>
    <row r="287" spans="1:17" x14ac:dyDescent="0.25">
      <c r="A287" s="37">
        <v>4379723</v>
      </c>
      <c r="B287" s="37" t="s">
        <v>21</v>
      </c>
      <c r="C287" s="38" t="s">
        <v>19</v>
      </c>
      <c r="D287" s="38">
        <v>45446</v>
      </c>
      <c r="E2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7" s="39">
        <f>IFERROR(VLOOKUP(RES_AB[[#This Row],[Reserva]],Tabela8[[Reserva]:[Usuário]],7,FALSE),Dados!$A$17)</f>
        <v>0.33333333333333331</v>
      </c>
      <c r="G287" s="40">
        <f>IF(RES_AB[[#This Row],[Reserva]]="","",IF(RES_AB[[#This Row],[Hora Int WMS]]&lt;Dados!$A$16,2,2))</f>
        <v>2</v>
      </c>
      <c r="H287" s="40" t="str">
        <f>IF(RES_AB[[#This Row],[Reserva]]="","",IFERROR(VLOOKUP(RES_AB[[#This Row],[Reserva]],Tabela3[[Reserva]:[Condição para Faturamento]],20,FALSE),"IMPORTADO COM SUCESSO"))</f>
        <v>AGUARDANDO SEPARAÇÃO</v>
      </c>
      <c r="I287" s="38">
        <f>IF(RES_AB[[#This Row],[Data base]]="","",WORKDAY(RES_AB[[#This Row],[Data Reserva - Feriado e Fds]],RES_AB[[#This Row],[Dias para atendimento]],Feriados[Data]))</f>
        <v>45448</v>
      </c>
      <c r="J287" s="40" t="str">
        <f ca="1">IF(RES_AB[[#This Row],[Reserva]]="","",CONCATENATE("D+",NETWORKDAYS(RES_AB[[#This Row],[Data Reserva - Feriado e Fds]],TODAY(),Feriados[Data])-1))</f>
        <v>D+4</v>
      </c>
      <c r="K287" s="40" t="str">
        <f ca="1">IF(RES_AB[[#This Row],[Reserva]]="","",CONCATENATE(RES_AB[[#This Row],[Cen.]]," | ",RES_AB[[#This Row],[SLA2]]))</f>
        <v>N190 | D+4</v>
      </c>
      <c r="L287" s="40">
        <f ca="1">IF(RES_AB[[#This Row],[Reserva]]="","",IF(RES_AB[[#This Row],[SLA2]]=RES_AB[[#This Row],[Reserva]]="","",COUNTIF(MB25_VOLUMETRIA[Reserva],RES_AB[[#This Row],[Reserva]])))</f>
        <v>5</v>
      </c>
      <c r="M2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7" s="37" t="str">
        <f>IF(RES_AB[[#This Row],[Cen.]]="","",IFERROR(VLOOKUP(RES_AB[[#This Row],[Cen.]],Dados_Empresas[],2,FALSE),"Verificar empresa"))</f>
        <v>NET MASSIVO</v>
      </c>
      <c r="P287" s="37" t="str">
        <f>IF(RES_AB[[#This Row],[Empresa]]="","",IF(OR(RES_AB[[#This Row],[Empresa]]="NET MASSIVO",RES_AB[[#This Row],[Empresa]]="NET PROJETOS"),"NET","EMPRESARIAL"))</f>
        <v>NET</v>
      </c>
      <c r="Q287" s="37" t="str">
        <f>IF(RES_AB[[#This Row],[Reserva]]="","",IFERROR(VLOOKUP(RES_AB[[#This Row],[Reserva]],Tabela3[[Reserva]:[Descrição do status]],18,FALSE),"CONVENCIONAL"))</f>
        <v>CONVENCIONAL</v>
      </c>
    </row>
    <row r="288" spans="1:17" x14ac:dyDescent="0.25">
      <c r="A288" s="37">
        <v>4379728</v>
      </c>
      <c r="B288" s="37" t="s">
        <v>21</v>
      </c>
      <c r="C288" s="38" t="s">
        <v>19</v>
      </c>
      <c r="D288" s="38">
        <v>45446</v>
      </c>
      <c r="E2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8" s="39">
        <f>IFERROR(VLOOKUP(RES_AB[[#This Row],[Reserva]],Tabela8[[Reserva]:[Usuário]],7,FALSE),Dados!$A$17)</f>
        <v>0.33333333333333331</v>
      </c>
      <c r="G288" s="40">
        <f>IF(RES_AB[[#This Row],[Reserva]]="","",IF(RES_AB[[#This Row],[Hora Int WMS]]&lt;Dados!$A$16,2,2))</f>
        <v>2</v>
      </c>
      <c r="H288" s="40" t="str">
        <f>IF(RES_AB[[#This Row],[Reserva]]="","",IFERROR(VLOOKUP(RES_AB[[#This Row],[Reserva]],Tabela3[[Reserva]:[Condição para Faturamento]],20,FALSE),"IMPORTADO COM SUCESSO"))</f>
        <v>EM CONFERENCIA</v>
      </c>
      <c r="I288" s="38">
        <f>IF(RES_AB[[#This Row],[Data base]]="","",WORKDAY(RES_AB[[#This Row],[Data Reserva - Feriado e Fds]],RES_AB[[#This Row],[Dias para atendimento]],Feriados[Data]))</f>
        <v>45448</v>
      </c>
      <c r="J288" s="40" t="str">
        <f ca="1">IF(RES_AB[[#This Row],[Reserva]]="","",CONCATENATE("D+",NETWORKDAYS(RES_AB[[#This Row],[Data Reserva - Feriado e Fds]],TODAY(),Feriados[Data])-1))</f>
        <v>D+4</v>
      </c>
      <c r="K288" s="40" t="str">
        <f ca="1">IF(RES_AB[[#This Row],[Reserva]]="","",CONCATENATE(RES_AB[[#This Row],[Cen.]]," | ",RES_AB[[#This Row],[SLA2]]))</f>
        <v>N190 | D+4</v>
      </c>
      <c r="L288" s="40">
        <f ca="1">IF(RES_AB[[#This Row],[Reserva]]="","",IF(RES_AB[[#This Row],[SLA2]]=RES_AB[[#This Row],[Reserva]]="","",COUNTIF(MB25_VOLUMETRIA[Reserva],RES_AB[[#This Row],[Reserva]])))</f>
        <v>2</v>
      </c>
      <c r="M2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8" s="37" t="str">
        <f>IF(RES_AB[[#This Row],[Cen.]]="","",IFERROR(VLOOKUP(RES_AB[[#This Row],[Cen.]],Dados_Empresas[],2,FALSE),"Verificar empresa"))</f>
        <v>NET MASSIVO</v>
      </c>
      <c r="P288" s="37" t="str">
        <f>IF(RES_AB[[#This Row],[Empresa]]="","",IF(OR(RES_AB[[#This Row],[Empresa]]="NET MASSIVO",RES_AB[[#This Row],[Empresa]]="NET PROJETOS"),"NET","EMPRESARIAL"))</f>
        <v>NET</v>
      </c>
      <c r="Q288" s="37" t="str">
        <f>IF(RES_AB[[#This Row],[Reserva]]="","",IFERROR(VLOOKUP(RES_AB[[#This Row],[Reserva]],Tabela3[[Reserva]:[Descrição do status]],18,FALSE),"CONVENCIONAL"))</f>
        <v>CONVENCIONAL</v>
      </c>
    </row>
    <row r="289" spans="1:17" x14ac:dyDescent="0.25">
      <c r="A289" s="37">
        <v>4379729</v>
      </c>
      <c r="B289" s="37" t="s">
        <v>21</v>
      </c>
      <c r="C289" s="38" t="s">
        <v>19</v>
      </c>
      <c r="D289" s="38">
        <v>45446</v>
      </c>
      <c r="E2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89" s="39">
        <f>IFERROR(VLOOKUP(RES_AB[[#This Row],[Reserva]],Tabela8[[Reserva]:[Usuário]],7,FALSE),Dados!$A$17)</f>
        <v>0.78333333333333333</v>
      </c>
      <c r="G289" s="40">
        <f>IF(RES_AB[[#This Row],[Reserva]]="","",IF(RES_AB[[#This Row],[Hora Int WMS]]&lt;Dados!$A$16,2,2))</f>
        <v>2</v>
      </c>
      <c r="H289" s="40" t="str">
        <f>IF(RES_AB[[#This Row],[Reserva]]="","",IFERROR(VLOOKUP(RES_AB[[#This Row],[Reserva]],Tabela3[[Reserva]:[Condição para Faturamento]],20,FALSE),"IMPORTADO COM SUCESSO"))</f>
        <v>EM CONFERENCIA</v>
      </c>
      <c r="I289" s="38">
        <f>IF(RES_AB[[#This Row],[Data base]]="","",WORKDAY(RES_AB[[#This Row],[Data Reserva - Feriado e Fds]],RES_AB[[#This Row],[Dias para atendimento]],Feriados[Data]))</f>
        <v>45448</v>
      </c>
      <c r="J289" s="40" t="str">
        <f ca="1">IF(RES_AB[[#This Row],[Reserva]]="","",CONCATENATE("D+",NETWORKDAYS(RES_AB[[#This Row],[Data Reserva - Feriado e Fds]],TODAY(),Feriados[Data])-1))</f>
        <v>D+4</v>
      </c>
      <c r="K289" s="40" t="str">
        <f ca="1">IF(RES_AB[[#This Row],[Reserva]]="","",CONCATENATE(RES_AB[[#This Row],[Cen.]]," | ",RES_AB[[#This Row],[SLA2]]))</f>
        <v>N190 | D+4</v>
      </c>
      <c r="L289" s="40">
        <f ca="1">IF(RES_AB[[#This Row],[Reserva]]="","",IF(RES_AB[[#This Row],[SLA2]]=RES_AB[[#This Row],[Reserva]]="","",COUNTIF(MB25_VOLUMETRIA[Reserva],RES_AB[[#This Row],[Reserva]])))</f>
        <v>3</v>
      </c>
      <c r="M2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89" s="37" t="str">
        <f>IF(RES_AB[[#This Row],[Cen.]]="","",IFERROR(VLOOKUP(RES_AB[[#This Row],[Cen.]],Dados_Empresas[],2,FALSE),"Verificar empresa"))</f>
        <v>NET MASSIVO</v>
      </c>
      <c r="P289" s="37" t="str">
        <f>IF(RES_AB[[#This Row],[Empresa]]="","",IF(OR(RES_AB[[#This Row],[Empresa]]="NET MASSIVO",RES_AB[[#This Row],[Empresa]]="NET PROJETOS"),"NET","EMPRESARIAL"))</f>
        <v>NET</v>
      </c>
      <c r="Q289" s="37" t="str">
        <f>IF(RES_AB[[#This Row],[Reserva]]="","",IFERROR(VLOOKUP(RES_AB[[#This Row],[Reserva]],Tabela3[[Reserva]:[Descrição do status]],18,FALSE),"CONVENCIONAL"))</f>
        <v>CONVENCIONAL</v>
      </c>
    </row>
    <row r="290" spans="1:17" x14ac:dyDescent="0.25">
      <c r="A290" s="37">
        <v>4379733</v>
      </c>
      <c r="B290" s="37" t="s">
        <v>21</v>
      </c>
      <c r="C290" s="38" t="s">
        <v>19</v>
      </c>
      <c r="D290" s="38">
        <v>45446</v>
      </c>
      <c r="E2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45446</v>
      </c>
      <c r="F290" s="39">
        <f>IFERROR(VLOOKUP(RES_AB[[#This Row],[Reserva]],Tabela8[[Reserva]:[Usuário]],7,FALSE),Dados!$A$17)</f>
        <v>0.33333333333333331</v>
      </c>
      <c r="G290" s="40">
        <f>IF(RES_AB[[#This Row],[Reserva]]="","",IF(RES_AB[[#This Row],[Hora Int WMS]]&lt;Dados!$A$16,2,2))</f>
        <v>2</v>
      </c>
      <c r="H290" s="40" t="str">
        <f>IF(RES_AB[[#This Row],[Reserva]]="","",IFERROR(VLOOKUP(RES_AB[[#This Row],[Reserva]],Tabela3[[Reserva]:[Condição para Faturamento]],20,FALSE),"IMPORTADO COM SUCESSO"))</f>
        <v>AGUARDANDO SEPARAÇÃO</v>
      </c>
      <c r="I290" s="38">
        <f>IF(RES_AB[[#This Row],[Data base]]="","",WORKDAY(RES_AB[[#This Row],[Data Reserva - Feriado e Fds]],RES_AB[[#This Row],[Dias para atendimento]],Feriados[Data]))</f>
        <v>45448</v>
      </c>
      <c r="J290" s="40" t="str">
        <f ca="1">IF(RES_AB[[#This Row],[Reserva]]="","",CONCATENATE("D+",NETWORKDAYS(RES_AB[[#This Row],[Data Reserva - Feriado e Fds]],TODAY(),Feriados[Data])-1))</f>
        <v>D+4</v>
      </c>
      <c r="K290" s="40" t="str">
        <f ca="1">IF(RES_AB[[#This Row],[Reserva]]="","",CONCATENATE(RES_AB[[#This Row],[Cen.]]," | ",RES_AB[[#This Row],[SLA2]]))</f>
        <v>N190 | D+4</v>
      </c>
      <c r="L290" s="40">
        <f ca="1">IF(RES_AB[[#This Row],[Reserva]]="","",IF(RES_AB[[#This Row],[SLA2]]=RES_AB[[#This Row],[Reserva]]="","",COUNTIF(MB25_VOLUMETRIA[Reserva],RES_AB[[#This Row],[Reserva]])))</f>
        <v>4</v>
      </c>
      <c r="M2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0" s="37" t="str">
        <f>IF(RES_AB[[#This Row],[Cen.]]="","",IFERROR(VLOOKUP(RES_AB[[#This Row],[Cen.]],Dados_Empresas[],2,FALSE),"Verificar empresa"))</f>
        <v>NET MASSIVO</v>
      </c>
      <c r="P290" s="37" t="str">
        <f>IF(RES_AB[[#This Row],[Empresa]]="","",IF(OR(RES_AB[[#This Row],[Empresa]]="NET MASSIVO",RES_AB[[#This Row],[Empresa]]="NET PROJETOS"),"NET","EMPRESARIAL"))</f>
        <v>NET</v>
      </c>
      <c r="Q290" s="37" t="str">
        <f>IF(RES_AB[[#This Row],[Reserva]]="","",IFERROR(VLOOKUP(RES_AB[[#This Row],[Reserva]],Tabela3[[Reserva]:[Descrição do status]],18,FALSE),"CONVENCIONAL"))</f>
        <v>CONVENCIONAL</v>
      </c>
    </row>
    <row r="291" spans="1:17" x14ac:dyDescent="0.25">
      <c r="A291" s="37">
        <v>4379753</v>
      </c>
      <c r="B291" s="37" t="s">
        <v>21</v>
      </c>
      <c r="C291" s="38" t="s">
        <v>19</v>
      </c>
      <c r="D291" s="38">
        <v>45447</v>
      </c>
      <c r="E2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1" s="39">
        <f>IFERROR(VLOOKUP(RES_AB[[#This Row],[Reserva]],Tabela8[[Reserva]:[Usuário]],7,FALSE),Dados!$A$17)</f>
        <v>0.33333333333333331</v>
      </c>
      <c r="G291" s="40">
        <f>IF(RES_AB[[#This Row],[Reserva]]="","",IF(RES_AB[[#This Row],[Hora Int WMS]]&lt;Dados!$A$16,2,2))</f>
        <v>2</v>
      </c>
      <c r="H291" s="40" t="str">
        <f>IF(RES_AB[[#This Row],[Reserva]]="","",IFERROR(VLOOKUP(RES_AB[[#This Row],[Reserva]],Tabela3[[Reserva]:[Condição para Faturamento]],20,FALSE),"IMPORTADO COM SUCESSO"))</f>
        <v>EM RESSUPRIMENTO</v>
      </c>
      <c r="I291" s="38">
        <f>IF(RES_AB[[#This Row],[Data base]]="","",WORKDAY(RES_AB[[#This Row],[Data Reserva - Feriado e Fds]],RES_AB[[#This Row],[Dias para atendimento]],Feriados[Data]))</f>
        <v>45449</v>
      </c>
      <c r="J291" s="40" t="str">
        <f ca="1">IF(RES_AB[[#This Row],[Reserva]]="","",CONCATENATE("D+",NETWORKDAYS(RES_AB[[#This Row],[Data Reserva - Feriado e Fds]],TODAY(),Feriados[Data])-1))</f>
        <v>D+3</v>
      </c>
      <c r="K291" s="40" t="str">
        <f ca="1">IF(RES_AB[[#This Row],[Reserva]]="","",CONCATENATE(RES_AB[[#This Row],[Cen.]]," | ",RES_AB[[#This Row],[SLA2]]))</f>
        <v>N190 | D+3</v>
      </c>
      <c r="L291" s="40">
        <f ca="1">IF(RES_AB[[#This Row],[Reserva]]="","",IF(RES_AB[[#This Row],[SLA2]]=RES_AB[[#This Row],[Reserva]]="","",COUNTIF(MB25_VOLUMETRIA[Reserva],RES_AB[[#This Row],[Reserva]])))</f>
        <v>1</v>
      </c>
      <c r="M2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1" s="37" t="str">
        <f>IF(RES_AB[[#This Row],[Cen.]]="","",IFERROR(VLOOKUP(RES_AB[[#This Row],[Cen.]],Dados_Empresas[],2,FALSE),"Verificar empresa"))</f>
        <v>NET MASSIVO</v>
      </c>
      <c r="P291" s="37" t="str">
        <f>IF(RES_AB[[#This Row],[Empresa]]="","",IF(OR(RES_AB[[#This Row],[Empresa]]="NET MASSIVO",RES_AB[[#This Row],[Empresa]]="NET PROJETOS"),"NET","EMPRESARIAL"))</f>
        <v>NET</v>
      </c>
      <c r="Q291" s="37" t="str">
        <f>IF(RES_AB[[#This Row],[Reserva]]="","",IFERROR(VLOOKUP(RES_AB[[#This Row],[Reserva]],Tabela3[[Reserva]:[Descrição do status]],18,FALSE),"CONVENCIONAL"))</f>
        <v>CONVENCIONAL</v>
      </c>
    </row>
    <row r="292" spans="1:17" x14ac:dyDescent="0.25">
      <c r="A292" s="37">
        <v>4379836</v>
      </c>
      <c r="B292" s="37" t="s">
        <v>21</v>
      </c>
      <c r="C292" s="38" t="s">
        <v>21</v>
      </c>
      <c r="D292" s="38">
        <v>45447</v>
      </c>
      <c r="E2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2" s="39">
        <f>IFERROR(VLOOKUP(RES_AB[[#This Row],[Reserva]],Tabela8[[Reserva]:[Usuário]],7,FALSE),Dados!$A$17)</f>
        <v>0.44594907407407408</v>
      </c>
      <c r="G292" s="40">
        <f>IF(RES_AB[[#This Row],[Reserva]]="","",IF(RES_AB[[#This Row],[Hora Int WMS]]&lt;Dados!$A$16,2,2))</f>
        <v>2</v>
      </c>
      <c r="H292" s="40" t="str">
        <f>IF(RES_AB[[#This Row],[Reserva]]="","",IFERROR(VLOOKUP(RES_AB[[#This Row],[Reserva]],Tabela3[[Reserva]:[Condição para Faturamento]],20,FALSE),"IMPORTADO COM SUCESSO"))</f>
        <v>IMPORTADO</v>
      </c>
      <c r="I292" s="38">
        <f>IF(RES_AB[[#This Row],[Data base]]="","",WORKDAY(RES_AB[[#This Row],[Data Reserva - Feriado e Fds]],RES_AB[[#This Row],[Dias para atendimento]],Feriados[Data]))</f>
        <v>45449</v>
      </c>
      <c r="J292" s="40" t="str">
        <f ca="1">IF(RES_AB[[#This Row],[Reserva]]="","",CONCATENATE("D+",NETWORKDAYS(RES_AB[[#This Row],[Data Reserva - Feriado e Fds]],TODAY(),Feriados[Data])-1))</f>
        <v>D+3</v>
      </c>
      <c r="K292" s="40" t="str">
        <f ca="1">IF(RES_AB[[#This Row],[Reserva]]="","",CONCATENATE(RES_AB[[#This Row],[Cen.]]," | ",RES_AB[[#This Row],[SLA2]]))</f>
        <v>N190 | D+3</v>
      </c>
      <c r="L292" s="40">
        <f ca="1">IF(RES_AB[[#This Row],[Reserva]]="","",IF(RES_AB[[#This Row],[SLA2]]=RES_AB[[#This Row],[Reserva]]="","",COUNTIF(MB25_VOLUMETRIA[Reserva],RES_AB[[#This Row],[Reserva]])))</f>
        <v>2</v>
      </c>
      <c r="M2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2" s="37" t="str">
        <f>IF(RES_AB[[#This Row],[Cen.]]="","",IFERROR(VLOOKUP(RES_AB[[#This Row],[Cen.]],Dados_Empresas[],2,FALSE),"Verificar empresa"))</f>
        <v>NET MASSIVO</v>
      </c>
      <c r="P292" s="37" t="str">
        <f>IF(RES_AB[[#This Row],[Empresa]]="","",IF(OR(RES_AB[[#This Row],[Empresa]]="NET MASSIVO",RES_AB[[#This Row],[Empresa]]="NET PROJETOS"),"NET","EMPRESARIAL"))</f>
        <v>NET</v>
      </c>
      <c r="Q292" s="37" t="str">
        <f>IF(RES_AB[[#This Row],[Reserva]]="","",IFERROR(VLOOKUP(RES_AB[[#This Row],[Reserva]],Tabela3[[Reserva]:[Descrição do status]],18,FALSE),"CONVENCIONAL"))</f>
        <v>CONVENCIONAL</v>
      </c>
    </row>
    <row r="293" spans="1:17" x14ac:dyDescent="0.25">
      <c r="A293" s="37">
        <v>4380056</v>
      </c>
      <c r="B293" s="37" t="s">
        <v>21</v>
      </c>
      <c r="C293" s="38" t="s">
        <v>21</v>
      </c>
      <c r="D293" s="38">
        <v>45447</v>
      </c>
      <c r="E2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3" s="39">
        <f>IFERROR(VLOOKUP(RES_AB[[#This Row],[Reserva]],Tabela8[[Reserva]:[Usuário]],7,FALSE),Dados!$A$17)</f>
        <v>0.5917824074074074</v>
      </c>
      <c r="G293" s="40">
        <f>IF(RES_AB[[#This Row],[Reserva]]="","",IF(RES_AB[[#This Row],[Hora Int WMS]]&lt;Dados!$A$16,2,2))</f>
        <v>2</v>
      </c>
      <c r="H293" s="40" t="str">
        <f>IF(RES_AB[[#This Row],[Reserva]]="","",IFERROR(VLOOKUP(RES_AB[[#This Row],[Reserva]],Tabela3[[Reserva]:[Condição para Faturamento]],20,FALSE),"IMPORTADO COM SUCESSO"))</f>
        <v>EM RESSUPRIMENTO</v>
      </c>
      <c r="I293" s="38">
        <f>IF(RES_AB[[#This Row],[Data base]]="","",WORKDAY(RES_AB[[#This Row],[Data Reserva - Feriado e Fds]],RES_AB[[#This Row],[Dias para atendimento]],Feriados[Data]))</f>
        <v>45449</v>
      </c>
      <c r="J293" s="40" t="str">
        <f ca="1">IF(RES_AB[[#This Row],[Reserva]]="","",CONCATENATE("D+",NETWORKDAYS(RES_AB[[#This Row],[Data Reserva - Feriado e Fds]],TODAY(),Feriados[Data])-1))</f>
        <v>D+3</v>
      </c>
      <c r="K293" s="40" t="str">
        <f ca="1">IF(RES_AB[[#This Row],[Reserva]]="","",CONCATENATE(RES_AB[[#This Row],[Cen.]]," | ",RES_AB[[#This Row],[SLA2]]))</f>
        <v>N190 | D+3</v>
      </c>
      <c r="L293" s="40">
        <f ca="1">IF(RES_AB[[#This Row],[Reserva]]="","",IF(RES_AB[[#This Row],[SLA2]]=RES_AB[[#This Row],[Reserva]]="","",COUNTIF(MB25_VOLUMETRIA[Reserva],RES_AB[[#This Row],[Reserva]])))</f>
        <v>1</v>
      </c>
      <c r="M2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3" s="37" t="str">
        <f>IF(RES_AB[[#This Row],[Cen.]]="","",IFERROR(VLOOKUP(RES_AB[[#This Row],[Cen.]],Dados_Empresas[],2,FALSE),"Verificar empresa"))</f>
        <v>NET MASSIVO</v>
      </c>
      <c r="P293" s="37" t="str">
        <f>IF(RES_AB[[#This Row],[Empresa]]="","",IF(OR(RES_AB[[#This Row],[Empresa]]="NET MASSIVO",RES_AB[[#This Row],[Empresa]]="NET PROJETOS"),"NET","EMPRESARIAL"))</f>
        <v>NET</v>
      </c>
      <c r="Q293" s="37" t="str">
        <f>IF(RES_AB[[#This Row],[Reserva]]="","",IFERROR(VLOOKUP(RES_AB[[#This Row],[Reserva]],Tabela3[[Reserva]:[Descrição do status]],18,FALSE),"CONVENCIONAL"))</f>
        <v>CONVENCIONAL</v>
      </c>
    </row>
    <row r="294" spans="1:17" x14ac:dyDescent="0.25">
      <c r="A294" s="37">
        <v>4380117</v>
      </c>
      <c r="B294" s="37" t="s">
        <v>21</v>
      </c>
      <c r="C294" s="38" t="s">
        <v>21</v>
      </c>
      <c r="D294" s="38">
        <v>45447</v>
      </c>
      <c r="E2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4" s="39">
        <f>IFERROR(VLOOKUP(RES_AB[[#This Row],[Reserva]],Tabela8[[Reserva]:[Usuário]],7,FALSE),Dados!$A$17)</f>
        <v>0.33333333333333331</v>
      </c>
      <c r="G294" s="40">
        <f>IF(RES_AB[[#This Row],[Reserva]]="","",IF(RES_AB[[#This Row],[Hora Int WMS]]&lt;Dados!$A$16,2,2))</f>
        <v>2</v>
      </c>
      <c r="H294" s="40" t="str">
        <f>IF(RES_AB[[#This Row],[Reserva]]="","",IFERROR(VLOOKUP(RES_AB[[#This Row],[Reserva]],Tabela3[[Reserva]:[Condição para Faturamento]],20,FALSE),"IMPORTADO COM SUCESSO"))</f>
        <v>IMPORTADO COM SUCESSO</v>
      </c>
      <c r="I294" s="38">
        <f>IF(RES_AB[[#This Row],[Data base]]="","",WORKDAY(RES_AB[[#This Row],[Data Reserva - Feriado e Fds]],RES_AB[[#This Row],[Dias para atendimento]],Feriados[Data]))</f>
        <v>45449</v>
      </c>
      <c r="J294" s="40" t="str">
        <f ca="1">IF(RES_AB[[#This Row],[Reserva]]="","",CONCATENATE("D+",NETWORKDAYS(RES_AB[[#This Row],[Data Reserva - Feriado e Fds]],TODAY(),Feriados[Data])-1))</f>
        <v>D+3</v>
      </c>
      <c r="K294" s="40" t="str">
        <f ca="1">IF(RES_AB[[#This Row],[Reserva]]="","",CONCATENATE(RES_AB[[#This Row],[Cen.]]," | ",RES_AB[[#This Row],[SLA2]]))</f>
        <v>N190 | D+3</v>
      </c>
      <c r="L294" s="40">
        <f ca="1">IF(RES_AB[[#This Row],[Reserva]]="","",IF(RES_AB[[#This Row],[SLA2]]=RES_AB[[#This Row],[Reserva]]="","",COUNTIF(MB25_VOLUMETRIA[Reserva],RES_AB[[#This Row],[Reserva]])))</f>
        <v>1</v>
      </c>
      <c r="M2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4" s="37" t="str">
        <f>IF(RES_AB[[#This Row],[Cen.]]="","",IFERROR(VLOOKUP(RES_AB[[#This Row],[Cen.]],Dados_Empresas[],2,FALSE),"Verificar empresa"))</f>
        <v>NET MASSIVO</v>
      </c>
      <c r="P294" s="37" t="str">
        <f>IF(RES_AB[[#This Row],[Empresa]]="","",IF(OR(RES_AB[[#This Row],[Empresa]]="NET MASSIVO",RES_AB[[#This Row],[Empresa]]="NET PROJETOS"),"NET","EMPRESARIAL"))</f>
        <v>NET</v>
      </c>
      <c r="Q294" s="37" t="str">
        <f>IF(RES_AB[[#This Row],[Reserva]]="","",IFERROR(VLOOKUP(RES_AB[[#This Row],[Reserva]],Tabela3[[Reserva]:[Descrição do status]],18,FALSE),"CONVENCIONAL"))</f>
        <v>CONVENCIONAL</v>
      </c>
    </row>
    <row r="295" spans="1:17" x14ac:dyDescent="0.25">
      <c r="A295" s="37">
        <v>4380372</v>
      </c>
      <c r="B295" s="37" t="s">
        <v>21</v>
      </c>
      <c r="C295" s="38" t="s">
        <v>21</v>
      </c>
      <c r="D295" s="38">
        <v>45447</v>
      </c>
      <c r="E2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5" s="39">
        <f>IFERROR(VLOOKUP(RES_AB[[#This Row],[Reserva]],Tabela8[[Reserva]:[Usuário]],7,FALSE),Dados!$A$17)</f>
        <v>0.67523148148148149</v>
      </c>
      <c r="G295" s="40">
        <f>IF(RES_AB[[#This Row],[Reserva]]="","",IF(RES_AB[[#This Row],[Hora Int WMS]]&lt;Dados!$A$16,2,2))</f>
        <v>2</v>
      </c>
      <c r="H295" s="40" t="str">
        <f>IF(RES_AB[[#This Row],[Reserva]]="","",IFERROR(VLOOKUP(RES_AB[[#This Row],[Reserva]],Tabela3[[Reserva]:[Condição para Faturamento]],20,FALSE),"IMPORTADO COM SUCESSO"))</f>
        <v>EM RESSUPRIMENTO</v>
      </c>
      <c r="I295" s="38">
        <f>IF(RES_AB[[#This Row],[Data base]]="","",WORKDAY(RES_AB[[#This Row],[Data Reserva - Feriado e Fds]],RES_AB[[#This Row],[Dias para atendimento]],Feriados[Data]))</f>
        <v>45449</v>
      </c>
      <c r="J295" s="40" t="str">
        <f ca="1">IF(RES_AB[[#This Row],[Reserva]]="","",CONCATENATE("D+",NETWORKDAYS(RES_AB[[#This Row],[Data Reserva - Feriado e Fds]],TODAY(),Feriados[Data])-1))</f>
        <v>D+3</v>
      </c>
      <c r="K295" s="40" t="str">
        <f ca="1">IF(RES_AB[[#This Row],[Reserva]]="","",CONCATENATE(RES_AB[[#This Row],[Cen.]]," | ",RES_AB[[#This Row],[SLA2]]))</f>
        <v>N190 | D+3</v>
      </c>
      <c r="L295" s="40">
        <f ca="1">IF(RES_AB[[#This Row],[Reserva]]="","",IF(RES_AB[[#This Row],[SLA2]]=RES_AB[[#This Row],[Reserva]]="","",COUNTIF(MB25_VOLUMETRIA[Reserva],RES_AB[[#This Row],[Reserva]])))</f>
        <v>1</v>
      </c>
      <c r="M2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5" s="37" t="str">
        <f>IF(RES_AB[[#This Row],[Cen.]]="","",IFERROR(VLOOKUP(RES_AB[[#This Row],[Cen.]],Dados_Empresas[],2,FALSE),"Verificar empresa"))</f>
        <v>NET MASSIVO</v>
      </c>
      <c r="P295" s="37" t="str">
        <f>IF(RES_AB[[#This Row],[Empresa]]="","",IF(OR(RES_AB[[#This Row],[Empresa]]="NET MASSIVO",RES_AB[[#This Row],[Empresa]]="NET PROJETOS"),"NET","EMPRESARIAL"))</f>
        <v>NET</v>
      </c>
      <c r="Q295" s="37" t="str">
        <f>IF(RES_AB[[#This Row],[Reserva]]="","",IFERROR(VLOOKUP(RES_AB[[#This Row],[Reserva]],Tabela3[[Reserva]:[Descrição do status]],18,FALSE),"CONVENCIONAL"))</f>
        <v>CONVENCIONAL</v>
      </c>
    </row>
    <row r="296" spans="1:17" x14ac:dyDescent="0.25">
      <c r="A296" s="37">
        <v>4380495</v>
      </c>
      <c r="B296" s="37" t="s">
        <v>21</v>
      </c>
      <c r="C296" s="38" t="s">
        <v>21</v>
      </c>
      <c r="D296" s="38">
        <v>45447</v>
      </c>
      <c r="E2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6" s="39">
        <f>IFERROR(VLOOKUP(RES_AB[[#This Row],[Reserva]],Tabela8[[Reserva]:[Usuário]],7,FALSE),Dados!$A$17)</f>
        <v>0.33333333333333331</v>
      </c>
      <c r="G296" s="40">
        <f>IF(RES_AB[[#This Row],[Reserva]]="","",IF(RES_AB[[#This Row],[Hora Int WMS]]&lt;Dados!$A$16,2,2))</f>
        <v>2</v>
      </c>
      <c r="H296" s="40" t="str">
        <f>IF(RES_AB[[#This Row],[Reserva]]="","",IFERROR(VLOOKUP(RES_AB[[#This Row],[Reserva]],Tabela3[[Reserva]:[Condição para Faturamento]],20,FALSE),"IMPORTADO COM SUCESSO"))</f>
        <v>EM RESSUPRIMENTO</v>
      </c>
      <c r="I296" s="38">
        <f>IF(RES_AB[[#This Row],[Data base]]="","",WORKDAY(RES_AB[[#This Row],[Data Reserva - Feriado e Fds]],RES_AB[[#This Row],[Dias para atendimento]],Feriados[Data]))</f>
        <v>45449</v>
      </c>
      <c r="J296" s="40" t="str">
        <f ca="1">IF(RES_AB[[#This Row],[Reserva]]="","",CONCATENATE("D+",NETWORKDAYS(RES_AB[[#This Row],[Data Reserva - Feriado e Fds]],TODAY(),Feriados[Data])-1))</f>
        <v>D+3</v>
      </c>
      <c r="K296" s="40" t="str">
        <f ca="1">IF(RES_AB[[#This Row],[Reserva]]="","",CONCATENATE(RES_AB[[#This Row],[Cen.]]," | ",RES_AB[[#This Row],[SLA2]]))</f>
        <v>N190 | D+3</v>
      </c>
      <c r="L296" s="40">
        <f ca="1">IF(RES_AB[[#This Row],[Reserva]]="","",IF(RES_AB[[#This Row],[SLA2]]=RES_AB[[#This Row],[Reserva]]="","",COUNTIF(MB25_VOLUMETRIA[Reserva],RES_AB[[#This Row],[Reserva]])))</f>
        <v>3</v>
      </c>
      <c r="M2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6" s="37" t="str">
        <f>IF(RES_AB[[#This Row],[Cen.]]="","",IFERROR(VLOOKUP(RES_AB[[#This Row],[Cen.]],Dados_Empresas[],2,FALSE),"Verificar empresa"))</f>
        <v>NET MASSIVO</v>
      </c>
      <c r="P296" s="37" t="str">
        <f>IF(RES_AB[[#This Row],[Empresa]]="","",IF(OR(RES_AB[[#This Row],[Empresa]]="NET MASSIVO",RES_AB[[#This Row],[Empresa]]="NET PROJETOS"),"NET","EMPRESARIAL"))</f>
        <v>NET</v>
      </c>
      <c r="Q296" s="37" t="str">
        <f>IF(RES_AB[[#This Row],[Reserva]]="","",IFERROR(VLOOKUP(RES_AB[[#This Row],[Reserva]],Tabela3[[Reserva]:[Descrição do status]],18,FALSE),"CONVENCIONAL"))</f>
        <v>CONVENCIONAL</v>
      </c>
    </row>
    <row r="297" spans="1:17" x14ac:dyDescent="0.25">
      <c r="A297" s="37">
        <v>4380563</v>
      </c>
      <c r="B297" s="37" t="s">
        <v>21</v>
      </c>
      <c r="C297" s="38" t="s">
        <v>182</v>
      </c>
      <c r="D297" s="38">
        <v>45447</v>
      </c>
      <c r="E2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7" s="39">
        <f>IFERROR(VLOOKUP(RES_AB[[#This Row],[Reserva]],Tabela8[[Reserva]:[Usuário]],7,FALSE),Dados!$A$17)</f>
        <v>0.33333333333333331</v>
      </c>
      <c r="G297" s="40">
        <f>IF(RES_AB[[#This Row],[Reserva]]="","",IF(RES_AB[[#This Row],[Hora Int WMS]]&lt;Dados!$A$16,2,2))</f>
        <v>2</v>
      </c>
      <c r="H297" s="40" t="str">
        <f>IF(RES_AB[[#This Row],[Reserva]]="","",IFERROR(VLOOKUP(RES_AB[[#This Row],[Reserva]],Tabela3[[Reserva]:[Condição para Faturamento]],20,FALSE),"IMPORTADO COM SUCESSO"))</f>
        <v>IMPORTADO</v>
      </c>
      <c r="I297" s="38">
        <f>IF(RES_AB[[#This Row],[Data base]]="","",WORKDAY(RES_AB[[#This Row],[Data Reserva - Feriado e Fds]],RES_AB[[#This Row],[Dias para atendimento]],Feriados[Data]))</f>
        <v>45449</v>
      </c>
      <c r="J297" s="40" t="str">
        <f ca="1">IF(RES_AB[[#This Row],[Reserva]]="","",CONCATENATE("D+",NETWORKDAYS(RES_AB[[#This Row],[Data Reserva - Feriado e Fds]],TODAY(),Feriados[Data])-1))</f>
        <v>D+3</v>
      </c>
      <c r="K297" s="40" t="str">
        <f ca="1">IF(RES_AB[[#This Row],[Reserva]]="","",CONCATENATE(RES_AB[[#This Row],[Cen.]]," | ",RES_AB[[#This Row],[SLA2]]))</f>
        <v>N190 | D+3</v>
      </c>
      <c r="L297" s="40">
        <f ca="1">IF(RES_AB[[#This Row],[Reserva]]="","",IF(RES_AB[[#This Row],[SLA2]]=RES_AB[[#This Row],[Reserva]]="","",COUNTIF(MB25_VOLUMETRIA[Reserva],RES_AB[[#This Row],[Reserva]])))</f>
        <v>1</v>
      </c>
      <c r="M2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7" s="37" t="str">
        <f>IF(RES_AB[[#This Row],[Cen.]]="","",IFERROR(VLOOKUP(RES_AB[[#This Row],[Cen.]],Dados_Empresas[],2,FALSE),"Verificar empresa"))</f>
        <v>NET MASSIVO</v>
      </c>
      <c r="P297" s="37" t="str">
        <f>IF(RES_AB[[#This Row],[Empresa]]="","",IF(OR(RES_AB[[#This Row],[Empresa]]="NET MASSIVO",RES_AB[[#This Row],[Empresa]]="NET PROJETOS"),"NET","EMPRESARIAL"))</f>
        <v>NET</v>
      </c>
      <c r="Q297" s="37" t="str">
        <f>IF(RES_AB[[#This Row],[Reserva]]="","",IFERROR(VLOOKUP(RES_AB[[#This Row],[Reserva]],Tabela3[[Reserva]:[Descrição do status]],18,FALSE),"CONVENCIONAL"))</f>
        <v>CONVENCIONAL</v>
      </c>
    </row>
    <row r="298" spans="1:17" x14ac:dyDescent="0.25">
      <c r="A298" s="37">
        <v>4380564</v>
      </c>
      <c r="B298" s="37" t="s">
        <v>21</v>
      </c>
      <c r="C298" s="38" t="s">
        <v>182</v>
      </c>
      <c r="D298" s="38">
        <v>45447</v>
      </c>
      <c r="E2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8" s="39">
        <f>IFERROR(VLOOKUP(RES_AB[[#This Row],[Reserva]],Tabela8[[Reserva]:[Usuário]],7,FALSE),Dados!$A$17)</f>
        <v>0.33333333333333331</v>
      </c>
      <c r="G298" s="40">
        <f>IF(RES_AB[[#This Row],[Reserva]]="","",IF(RES_AB[[#This Row],[Hora Int WMS]]&lt;Dados!$A$16,2,2))</f>
        <v>2</v>
      </c>
      <c r="H298" s="40" t="str">
        <f>IF(RES_AB[[#This Row],[Reserva]]="","",IFERROR(VLOOKUP(RES_AB[[#This Row],[Reserva]],Tabela3[[Reserva]:[Condição para Faturamento]],20,FALSE),"IMPORTADO COM SUCESSO"))</f>
        <v>AGUARDANDO SEPARAÇÃO</v>
      </c>
      <c r="I298" s="38">
        <f>IF(RES_AB[[#This Row],[Data base]]="","",WORKDAY(RES_AB[[#This Row],[Data Reserva - Feriado e Fds]],RES_AB[[#This Row],[Dias para atendimento]],Feriados[Data]))</f>
        <v>45449</v>
      </c>
      <c r="J298" s="40" t="str">
        <f ca="1">IF(RES_AB[[#This Row],[Reserva]]="","",CONCATENATE("D+",NETWORKDAYS(RES_AB[[#This Row],[Data Reserva - Feriado e Fds]],TODAY(),Feriados[Data])-1))</f>
        <v>D+3</v>
      </c>
      <c r="K298" s="40" t="str">
        <f ca="1">IF(RES_AB[[#This Row],[Reserva]]="","",CONCATENATE(RES_AB[[#This Row],[Cen.]]," | ",RES_AB[[#This Row],[SLA2]]))</f>
        <v>N190 | D+3</v>
      </c>
      <c r="L298" s="40">
        <f ca="1">IF(RES_AB[[#This Row],[Reserva]]="","",IF(RES_AB[[#This Row],[SLA2]]=RES_AB[[#This Row],[Reserva]]="","",COUNTIF(MB25_VOLUMETRIA[Reserva],RES_AB[[#This Row],[Reserva]])))</f>
        <v>1</v>
      </c>
      <c r="M2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8" s="37" t="str">
        <f>IF(RES_AB[[#This Row],[Cen.]]="","",IFERROR(VLOOKUP(RES_AB[[#This Row],[Cen.]],Dados_Empresas[],2,FALSE),"Verificar empresa"))</f>
        <v>NET MASSIVO</v>
      </c>
      <c r="P298" s="37" t="str">
        <f>IF(RES_AB[[#This Row],[Empresa]]="","",IF(OR(RES_AB[[#This Row],[Empresa]]="NET MASSIVO",RES_AB[[#This Row],[Empresa]]="NET PROJETOS"),"NET","EMPRESARIAL"))</f>
        <v>NET</v>
      </c>
      <c r="Q298" s="37" t="str">
        <f>IF(RES_AB[[#This Row],[Reserva]]="","",IFERROR(VLOOKUP(RES_AB[[#This Row],[Reserva]],Tabela3[[Reserva]:[Descrição do status]],18,FALSE),"CONVENCIONAL"))</f>
        <v>CONVENCIONAL</v>
      </c>
    </row>
    <row r="299" spans="1:17" x14ac:dyDescent="0.25">
      <c r="A299" s="37">
        <v>4380769</v>
      </c>
      <c r="B299" s="37" t="s">
        <v>21</v>
      </c>
      <c r="C299" s="38" t="s">
        <v>21</v>
      </c>
      <c r="D299" s="38">
        <v>45447</v>
      </c>
      <c r="E2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299" s="39">
        <f>IFERROR(VLOOKUP(RES_AB[[#This Row],[Reserva]],Tabela8[[Reserva]:[Usuário]],7,FALSE),Dados!$A$17)</f>
        <v>0.82754629629629628</v>
      </c>
      <c r="G299" s="40">
        <f>IF(RES_AB[[#This Row],[Reserva]]="","",IF(RES_AB[[#This Row],[Hora Int WMS]]&lt;Dados!$A$16,2,2))</f>
        <v>2</v>
      </c>
      <c r="H299" s="40" t="str">
        <f>IF(RES_AB[[#This Row],[Reserva]]="","",IFERROR(VLOOKUP(RES_AB[[#This Row],[Reserva]],Tabela3[[Reserva]:[Condição para Faturamento]],20,FALSE),"IMPORTADO COM SUCESSO"))</f>
        <v>EM RESSUPRIMENTO</v>
      </c>
      <c r="I299" s="38">
        <f>IF(RES_AB[[#This Row],[Data base]]="","",WORKDAY(RES_AB[[#This Row],[Data Reserva - Feriado e Fds]],RES_AB[[#This Row],[Dias para atendimento]],Feriados[Data]))</f>
        <v>45449</v>
      </c>
      <c r="J299" s="40" t="str">
        <f ca="1">IF(RES_AB[[#This Row],[Reserva]]="","",CONCATENATE("D+",NETWORKDAYS(RES_AB[[#This Row],[Data Reserva - Feriado e Fds]],TODAY(),Feriados[Data])-1))</f>
        <v>D+3</v>
      </c>
      <c r="K299" s="40" t="str">
        <f ca="1">IF(RES_AB[[#This Row],[Reserva]]="","",CONCATENATE(RES_AB[[#This Row],[Cen.]]," | ",RES_AB[[#This Row],[SLA2]]))</f>
        <v>N190 | D+3</v>
      </c>
      <c r="L299" s="40">
        <f ca="1">IF(RES_AB[[#This Row],[Reserva]]="","",IF(RES_AB[[#This Row],[SLA2]]=RES_AB[[#This Row],[Reserva]]="","",COUNTIF(MB25_VOLUMETRIA[Reserva],RES_AB[[#This Row],[Reserva]])))</f>
        <v>14</v>
      </c>
      <c r="M2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2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299" s="37" t="str">
        <f>IF(RES_AB[[#This Row],[Cen.]]="","",IFERROR(VLOOKUP(RES_AB[[#This Row],[Cen.]],Dados_Empresas[],2,FALSE),"Verificar empresa"))</f>
        <v>NET MASSIVO</v>
      </c>
      <c r="P299" s="37" t="str">
        <f>IF(RES_AB[[#This Row],[Empresa]]="","",IF(OR(RES_AB[[#This Row],[Empresa]]="NET MASSIVO",RES_AB[[#This Row],[Empresa]]="NET PROJETOS"),"NET","EMPRESARIAL"))</f>
        <v>NET</v>
      </c>
      <c r="Q299" s="37" t="str">
        <f>IF(RES_AB[[#This Row],[Reserva]]="","",IFERROR(VLOOKUP(RES_AB[[#This Row],[Reserva]],Tabela3[[Reserva]:[Descrição do status]],18,FALSE),"CONVENCIONAL"))</f>
        <v>CONVENCIONAL</v>
      </c>
    </row>
    <row r="300" spans="1:17" x14ac:dyDescent="0.25">
      <c r="A300" s="37">
        <v>4380770</v>
      </c>
      <c r="B300" s="37" t="s">
        <v>21</v>
      </c>
      <c r="C300" s="38" t="s">
        <v>19</v>
      </c>
      <c r="D300" s="38">
        <v>45447</v>
      </c>
      <c r="E3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0" s="39">
        <f>IFERROR(VLOOKUP(RES_AB[[#This Row],[Reserva]],Tabela8[[Reserva]:[Usuário]],7,FALSE),Dados!$A$17)</f>
        <v>0.33333333333333331</v>
      </c>
      <c r="G300" s="40">
        <f>IF(RES_AB[[#This Row],[Reserva]]="","",IF(RES_AB[[#This Row],[Hora Int WMS]]&lt;Dados!$A$16,2,2))</f>
        <v>2</v>
      </c>
      <c r="H300" s="40" t="str">
        <f>IF(RES_AB[[#This Row],[Reserva]]="","",IFERROR(VLOOKUP(RES_AB[[#This Row],[Reserva]],Tabela3[[Reserva]:[Condição para Faturamento]],20,FALSE),"IMPORTADO COM SUCESSO"))</f>
        <v>EM RESSUPRIMENTO</v>
      </c>
      <c r="I300" s="38">
        <f>IF(RES_AB[[#This Row],[Data base]]="","",WORKDAY(RES_AB[[#This Row],[Data Reserva - Feriado e Fds]],RES_AB[[#This Row],[Dias para atendimento]],Feriados[Data]))</f>
        <v>45449</v>
      </c>
      <c r="J300" s="40" t="str">
        <f ca="1">IF(RES_AB[[#This Row],[Reserva]]="","",CONCATENATE("D+",NETWORKDAYS(RES_AB[[#This Row],[Data Reserva - Feriado e Fds]],TODAY(),Feriados[Data])-1))</f>
        <v>D+3</v>
      </c>
      <c r="K300" s="40" t="str">
        <f ca="1">IF(RES_AB[[#This Row],[Reserva]]="","",CONCATENATE(RES_AB[[#This Row],[Cen.]]," | ",RES_AB[[#This Row],[SLA2]]))</f>
        <v>N190 | D+3</v>
      </c>
      <c r="L300" s="40">
        <f ca="1">IF(RES_AB[[#This Row],[Reserva]]="","",IF(RES_AB[[#This Row],[SLA2]]=RES_AB[[#This Row],[Reserva]]="","",COUNTIF(MB25_VOLUMETRIA[Reserva],RES_AB[[#This Row],[Reserva]])))</f>
        <v>3</v>
      </c>
      <c r="M3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0" s="37" t="str">
        <f>IF(RES_AB[[#This Row],[Cen.]]="","",IFERROR(VLOOKUP(RES_AB[[#This Row],[Cen.]],Dados_Empresas[],2,FALSE),"Verificar empresa"))</f>
        <v>NET MASSIVO</v>
      </c>
      <c r="P300" s="37" t="str">
        <f>IF(RES_AB[[#This Row],[Empresa]]="","",IF(OR(RES_AB[[#This Row],[Empresa]]="NET MASSIVO",RES_AB[[#This Row],[Empresa]]="NET PROJETOS"),"NET","EMPRESARIAL"))</f>
        <v>NET</v>
      </c>
      <c r="Q300" s="37" t="str">
        <f>IF(RES_AB[[#This Row],[Reserva]]="","",IFERROR(VLOOKUP(RES_AB[[#This Row],[Reserva]],Tabela3[[Reserva]:[Descrição do status]],18,FALSE),"CONVENCIONAL"))</f>
        <v>CONVENCIONAL</v>
      </c>
    </row>
    <row r="301" spans="1:17" x14ac:dyDescent="0.25">
      <c r="A301" s="37">
        <v>4380771</v>
      </c>
      <c r="B301" s="37" t="s">
        <v>21</v>
      </c>
      <c r="C301" s="38" t="s">
        <v>19</v>
      </c>
      <c r="D301" s="38">
        <v>45447</v>
      </c>
      <c r="E3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1" s="39">
        <f>IFERROR(VLOOKUP(RES_AB[[#This Row],[Reserva]],Tabela8[[Reserva]:[Usuário]],7,FALSE),Dados!$A$17)</f>
        <v>0.33333333333333331</v>
      </c>
      <c r="G301" s="40">
        <f>IF(RES_AB[[#This Row],[Reserva]]="","",IF(RES_AB[[#This Row],[Hora Int WMS]]&lt;Dados!$A$16,2,2))</f>
        <v>2</v>
      </c>
      <c r="H301" s="40" t="str">
        <f>IF(RES_AB[[#This Row],[Reserva]]="","",IFERROR(VLOOKUP(RES_AB[[#This Row],[Reserva]],Tabela3[[Reserva]:[Condição para Faturamento]],20,FALSE),"IMPORTADO COM SUCESSO"))</f>
        <v>EM RESSUPRIMENTO</v>
      </c>
      <c r="I301" s="38">
        <f>IF(RES_AB[[#This Row],[Data base]]="","",WORKDAY(RES_AB[[#This Row],[Data Reserva - Feriado e Fds]],RES_AB[[#This Row],[Dias para atendimento]],Feriados[Data]))</f>
        <v>45449</v>
      </c>
      <c r="J301" s="40" t="str">
        <f ca="1">IF(RES_AB[[#This Row],[Reserva]]="","",CONCATENATE("D+",NETWORKDAYS(RES_AB[[#This Row],[Data Reserva - Feriado e Fds]],TODAY(),Feriados[Data])-1))</f>
        <v>D+3</v>
      </c>
      <c r="K301" s="40" t="str">
        <f ca="1">IF(RES_AB[[#This Row],[Reserva]]="","",CONCATENATE(RES_AB[[#This Row],[Cen.]]," | ",RES_AB[[#This Row],[SLA2]]))</f>
        <v>N190 | D+3</v>
      </c>
      <c r="L301" s="40">
        <f ca="1">IF(RES_AB[[#This Row],[Reserva]]="","",IF(RES_AB[[#This Row],[SLA2]]=RES_AB[[#This Row],[Reserva]]="","",COUNTIF(MB25_VOLUMETRIA[Reserva],RES_AB[[#This Row],[Reserva]])))</f>
        <v>3</v>
      </c>
      <c r="M3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1" s="37" t="str">
        <f>IF(RES_AB[[#This Row],[Cen.]]="","",IFERROR(VLOOKUP(RES_AB[[#This Row],[Cen.]],Dados_Empresas[],2,FALSE),"Verificar empresa"))</f>
        <v>NET MASSIVO</v>
      </c>
      <c r="P301" s="37" t="str">
        <f>IF(RES_AB[[#This Row],[Empresa]]="","",IF(OR(RES_AB[[#This Row],[Empresa]]="NET MASSIVO",RES_AB[[#This Row],[Empresa]]="NET PROJETOS"),"NET","EMPRESARIAL"))</f>
        <v>NET</v>
      </c>
      <c r="Q301" s="37" t="str">
        <f>IF(RES_AB[[#This Row],[Reserva]]="","",IFERROR(VLOOKUP(RES_AB[[#This Row],[Reserva]],Tabela3[[Reserva]:[Descrição do status]],18,FALSE),"CONVENCIONAL"))</f>
        <v>CONVENCIONAL</v>
      </c>
    </row>
    <row r="302" spans="1:17" x14ac:dyDescent="0.25">
      <c r="A302" s="37">
        <v>4380772</v>
      </c>
      <c r="B302" s="37" t="s">
        <v>21</v>
      </c>
      <c r="C302" s="38" t="s">
        <v>19</v>
      </c>
      <c r="D302" s="38">
        <v>45447</v>
      </c>
      <c r="E3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2" s="39">
        <f>IFERROR(VLOOKUP(RES_AB[[#This Row],[Reserva]],Tabela8[[Reserva]:[Usuário]],7,FALSE),Dados!$A$17)</f>
        <v>0.33333333333333331</v>
      </c>
      <c r="G302" s="40">
        <f>IF(RES_AB[[#This Row],[Reserva]]="","",IF(RES_AB[[#This Row],[Hora Int WMS]]&lt;Dados!$A$16,2,2))</f>
        <v>2</v>
      </c>
      <c r="H302" s="40" t="str">
        <f>IF(RES_AB[[#This Row],[Reserva]]="","",IFERROR(VLOOKUP(RES_AB[[#This Row],[Reserva]],Tabela3[[Reserva]:[Condição para Faturamento]],20,FALSE),"IMPORTADO COM SUCESSO"))</f>
        <v>EM RESSUPRIMENTO</v>
      </c>
      <c r="I302" s="38">
        <f>IF(RES_AB[[#This Row],[Data base]]="","",WORKDAY(RES_AB[[#This Row],[Data Reserva - Feriado e Fds]],RES_AB[[#This Row],[Dias para atendimento]],Feriados[Data]))</f>
        <v>45449</v>
      </c>
      <c r="J302" s="40" t="str">
        <f ca="1">IF(RES_AB[[#This Row],[Reserva]]="","",CONCATENATE("D+",NETWORKDAYS(RES_AB[[#This Row],[Data Reserva - Feriado e Fds]],TODAY(),Feriados[Data])-1))</f>
        <v>D+3</v>
      </c>
      <c r="K302" s="40" t="str">
        <f ca="1">IF(RES_AB[[#This Row],[Reserva]]="","",CONCATENATE(RES_AB[[#This Row],[Cen.]]," | ",RES_AB[[#This Row],[SLA2]]))</f>
        <v>N190 | D+3</v>
      </c>
      <c r="L302" s="40">
        <f ca="1">IF(RES_AB[[#This Row],[Reserva]]="","",IF(RES_AB[[#This Row],[SLA2]]=RES_AB[[#This Row],[Reserva]]="","",COUNTIF(MB25_VOLUMETRIA[Reserva],RES_AB[[#This Row],[Reserva]])))</f>
        <v>4</v>
      </c>
      <c r="M3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2" s="37" t="str">
        <f>IF(RES_AB[[#This Row],[Cen.]]="","",IFERROR(VLOOKUP(RES_AB[[#This Row],[Cen.]],Dados_Empresas[],2,FALSE),"Verificar empresa"))</f>
        <v>NET MASSIVO</v>
      </c>
      <c r="P302" s="37" t="str">
        <f>IF(RES_AB[[#This Row],[Empresa]]="","",IF(OR(RES_AB[[#This Row],[Empresa]]="NET MASSIVO",RES_AB[[#This Row],[Empresa]]="NET PROJETOS"),"NET","EMPRESARIAL"))</f>
        <v>NET</v>
      </c>
      <c r="Q302" s="37" t="str">
        <f>IF(RES_AB[[#This Row],[Reserva]]="","",IFERROR(VLOOKUP(RES_AB[[#This Row],[Reserva]],Tabela3[[Reserva]:[Descrição do status]],18,FALSE),"CONVENCIONAL"))</f>
        <v>CONVENCIONAL</v>
      </c>
    </row>
    <row r="303" spans="1:17" x14ac:dyDescent="0.25">
      <c r="A303" s="37">
        <v>4380773</v>
      </c>
      <c r="B303" s="37" t="s">
        <v>21</v>
      </c>
      <c r="C303" s="38" t="s">
        <v>19</v>
      </c>
      <c r="D303" s="38">
        <v>45447</v>
      </c>
      <c r="E3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3" s="39">
        <f>IFERROR(VLOOKUP(RES_AB[[#This Row],[Reserva]],Tabela8[[Reserva]:[Usuário]],7,FALSE),Dados!$A$17)</f>
        <v>0.33333333333333331</v>
      </c>
      <c r="G303" s="40">
        <f>IF(RES_AB[[#This Row],[Reserva]]="","",IF(RES_AB[[#This Row],[Hora Int WMS]]&lt;Dados!$A$16,2,2))</f>
        <v>2</v>
      </c>
      <c r="H303" s="40" t="str">
        <f>IF(RES_AB[[#This Row],[Reserva]]="","",IFERROR(VLOOKUP(RES_AB[[#This Row],[Reserva]],Tabela3[[Reserva]:[Condição para Faturamento]],20,FALSE),"IMPORTADO COM SUCESSO"))</f>
        <v>EM RESSUPRIMENTO</v>
      </c>
      <c r="I303" s="38">
        <f>IF(RES_AB[[#This Row],[Data base]]="","",WORKDAY(RES_AB[[#This Row],[Data Reserva - Feriado e Fds]],RES_AB[[#This Row],[Dias para atendimento]],Feriados[Data]))</f>
        <v>45449</v>
      </c>
      <c r="J303" s="40" t="str">
        <f ca="1">IF(RES_AB[[#This Row],[Reserva]]="","",CONCATENATE("D+",NETWORKDAYS(RES_AB[[#This Row],[Data Reserva - Feriado e Fds]],TODAY(),Feriados[Data])-1))</f>
        <v>D+3</v>
      </c>
      <c r="K303" s="40" t="str">
        <f ca="1">IF(RES_AB[[#This Row],[Reserva]]="","",CONCATENATE(RES_AB[[#This Row],[Cen.]]," | ",RES_AB[[#This Row],[SLA2]]))</f>
        <v>N190 | D+3</v>
      </c>
      <c r="L303" s="40">
        <f ca="1">IF(RES_AB[[#This Row],[Reserva]]="","",IF(RES_AB[[#This Row],[SLA2]]=RES_AB[[#This Row],[Reserva]]="","",COUNTIF(MB25_VOLUMETRIA[Reserva],RES_AB[[#This Row],[Reserva]])))</f>
        <v>2</v>
      </c>
      <c r="M3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3" s="37" t="str">
        <f>IF(RES_AB[[#This Row],[Cen.]]="","",IFERROR(VLOOKUP(RES_AB[[#This Row],[Cen.]],Dados_Empresas[],2,FALSE),"Verificar empresa"))</f>
        <v>NET MASSIVO</v>
      </c>
      <c r="P303" s="37" t="str">
        <f>IF(RES_AB[[#This Row],[Empresa]]="","",IF(OR(RES_AB[[#This Row],[Empresa]]="NET MASSIVO",RES_AB[[#This Row],[Empresa]]="NET PROJETOS"),"NET","EMPRESARIAL"))</f>
        <v>NET</v>
      </c>
      <c r="Q303" s="37" t="str">
        <f>IF(RES_AB[[#This Row],[Reserva]]="","",IFERROR(VLOOKUP(RES_AB[[#This Row],[Reserva]],Tabela3[[Reserva]:[Descrição do status]],18,FALSE),"CONVENCIONAL"))</f>
        <v>CONVENCIONAL</v>
      </c>
    </row>
    <row r="304" spans="1:17" x14ac:dyDescent="0.25">
      <c r="A304" s="37">
        <v>4380774</v>
      </c>
      <c r="B304" s="37" t="s">
        <v>21</v>
      </c>
      <c r="C304" s="38" t="s">
        <v>19</v>
      </c>
      <c r="D304" s="38">
        <v>45447</v>
      </c>
      <c r="E3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4" s="39">
        <f>IFERROR(VLOOKUP(RES_AB[[#This Row],[Reserva]],Tabela8[[Reserva]:[Usuário]],7,FALSE),Dados!$A$17)</f>
        <v>0.33333333333333331</v>
      </c>
      <c r="G304" s="40">
        <f>IF(RES_AB[[#This Row],[Reserva]]="","",IF(RES_AB[[#This Row],[Hora Int WMS]]&lt;Dados!$A$16,2,2))</f>
        <v>2</v>
      </c>
      <c r="H304" s="40" t="str">
        <f>IF(RES_AB[[#This Row],[Reserva]]="","",IFERROR(VLOOKUP(RES_AB[[#This Row],[Reserva]],Tabela3[[Reserva]:[Condição para Faturamento]],20,FALSE),"IMPORTADO COM SUCESSO"))</f>
        <v>EM RESSUPRIMENTO</v>
      </c>
      <c r="I304" s="38">
        <f>IF(RES_AB[[#This Row],[Data base]]="","",WORKDAY(RES_AB[[#This Row],[Data Reserva - Feriado e Fds]],RES_AB[[#This Row],[Dias para atendimento]],Feriados[Data]))</f>
        <v>45449</v>
      </c>
      <c r="J304" s="40" t="str">
        <f ca="1">IF(RES_AB[[#This Row],[Reserva]]="","",CONCATENATE("D+",NETWORKDAYS(RES_AB[[#This Row],[Data Reserva - Feriado e Fds]],TODAY(),Feriados[Data])-1))</f>
        <v>D+3</v>
      </c>
      <c r="K304" s="40" t="str">
        <f ca="1">IF(RES_AB[[#This Row],[Reserva]]="","",CONCATENATE(RES_AB[[#This Row],[Cen.]]," | ",RES_AB[[#This Row],[SLA2]]))</f>
        <v>N190 | D+3</v>
      </c>
      <c r="L304" s="40">
        <f ca="1">IF(RES_AB[[#This Row],[Reserva]]="","",IF(RES_AB[[#This Row],[SLA2]]=RES_AB[[#This Row],[Reserva]]="","",COUNTIF(MB25_VOLUMETRIA[Reserva],RES_AB[[#This Row],[Reserva]])))</f>
        <v>5</v>
      </c>
      <c r="M3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4" s="37" t="str">
        <f>IF(RES_AB[[#This Row],[Cen.]]="","",IFERROR(VLOOKUP(RES_AB[[#This Row],[Cen.]],Dados_Empresas[],2,FALSE),"Verificar empresa"))</f>
        <v>NET MASSIVO</v>
      </c>
      <c r="P304" s="37" t="str">
        <f>IF(RES_AB[[#This Row],[Empresa]]="","",IF(OR(RES_AB[[#This Row],[Empresa]]="NET MASSIVO",RES_AB[[#This Row],[Empresa]]="NET PROJETOS"),"NET","EMPRESARIAL"))</f>
        <v>NET</v>
      </c>
      <c r="Q304" s="37" t="str">
        <f>IF(RES_AB[[#This Row],[Reserva]]="","",IFERROR(VLOOKUP(RES_AB[[#This Row],[Reserva]],Tabela3[[Reserva]:[Descrição do status]],18,FALSE),"CONVENCIONAL"))</f>
        <v>CONVENCIONAL</v>
      </c>
    </row>
    <row r="305" spans="1:17" x14ac:dyDescent="0.25">
      <c r="A305" s="37">
        <v>4380775</v>
      </c>
      <c r="B305" s="37" t="s">
        <v>21</v>
      </c>
      <c r="C305" s="38" t="s">
        <v>19</v>
      </c>
      <c r="D305" s="38">
        <v>45447</v>
      </c>
      <c r="E3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5" s="39">
        <f>IFERROR(VLOOKUP(RES_AB[[#This Row],[Reserva]],Tabela8[[Reserva]:[Usuário]],7,FALSE),Dados!$A$17)</f>
        <v>0.33333333333333331</v>
      </c>
      <c r="G305" s="40">
        <f>IF(RES_AB[[#This Row],[Reserva]]="","",IF(RES_AB[[#This Row],[Hora Int WMS]]&lt;Dados!$A$16,2,2))</f>
        <v>2</v>
      </c>
      <c r="H305" s="40" t="str">
        <f>IF(RES_AB[[#This Row],[Reserva]]="","",IFERROR(VLOOKUP(RES_AB[[#This Row],[Reserva]],Tabela3[[Reserva]:[Condição para Faturamento]],20,FALSE),"IMPORTADO COM SUCESSO"))</f>
        <v>EM RESSUPRIMENTO</v>
      </c>
      <c r="I305" s="38">
        <f>IF(RES_AB[[#This Row],[Data base]]="","",WORKDAY(RES_AB[[#This Row],[Data Reserva - Feriado e Fds]],RES_AB[[#This Row],[Dias para atendimento]],Feriados[Data]))</f>
        <v>45449</v>
      </c>
      <c r="J305" s="40" t="str">
        <f ca="1">IF(RES_AB[[#This Row],[Reserva]]="","",CONCATENATE("D+",NETWORKDAYS(RES_AB[[#This Row],[Data Reserva - Feriado e Fds]],TODAY(),Feriados[Data])-1))</f>
        <v>D+3</v>
      </c>
      <c r="K305" s="40" t="str">
        <f ca="1">IF(RES_AB[[#This Row],[Reserva]]="","",CONCATENATE(RES_AB[[#This Row],[Cen.]]," | ",RES_AB[[#This Row],[SLA2]]))</f>
        <v>N190 | D+3</v>
      </c>
      <c r="L305" s="40">
        <f ca="1">IF(RES_AB[[#This Row],[Reserva]]="","",IF(RES_AB[[#This Row],[SLA2]]=RES_AB[[#This Row],[Reserva]]="","",COUNTIF(MB25_VOLUMETRIA[Reserva],RES_AB[[#This Row],[Reserva]])))</f>
        <v>3</v>
      </c>
      <c r="M3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5" s="37" t="str">
        <f>IF(RES_AB[[#This Row],[Cen.]]="","",IFERROR(VLOOKUP(RES_AB[[#This Row],[Cen.]],Dados_Empresas[],2,FALSE),"Verificar empresa"))</f>
        <v>NET MASSIVO</v>
      </c>
      <c r="P305" s="37" t="str">
        <f>IF(RES_AB[[#This Row],[Empresa]]="","",IF(OR(RES_AB[[#This Row],[Empresa]]="NET MASSIVO",RES_AB[[#This Row],[Empresa]]="NET PROJETOS"),"NET","EMPRESARIAL"))</f>
        <v>NET</v>
      </c>
      <c r="Q305" s="37" t="str">
        <f>IF(RES_AB[[#This Row],[Reserva]]="","",IFERROR(VLOOKUP(RES_AB[[#This Row],[Reserva]],Tabela3[[Reserva]:[Descrição do status]],18,FALSE),"CONVENCIONAL"))</f>
        <v>CONVENCIONAL</v>
      </c>
    </row>
    <row r="306" spans="1:17" x14ac:dyDescent="0.25">
      <c r="A306" s="37">
        <v>4380776</v>
      </c>
      <c r="B306" s="37" t="s">
        <v>21</v>
      </c>
      <c r="C306" s="38" t="s">
        <v>19</v>
      </c>
      <c r="D306" s="38">
        <v>45447</v>
      </c>
      <c r="E3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6" s="39">
        <f>IFERROR(VLOOKUP(RES_AB[[#This Row],[Reserva]],Tabela8[[Reserva]:[Usuário]],7,FALSE),Dados!$A$17)</f>
        <v>0.33333333333333331</v>
      </c>
      <c r="G306" s="40">
        <f>IF(RES_AB[[#This Row],[Reserva]]="","",IF(RES_AB[[#This Row],[Hora Int WMS]]&lt;Dados!$A$16,2,2))</f>
        <v>2</v>
      </c>
      <c r="H306" s="40" t="str">
        <f>IF(RES_AB[[#This Row],[Reserva]]="","",IFERROR(VLOOKUP(RES_AB[[#This Row],[Reserva]],Tabela3[[Reserva]:[Condição para Faturamento]],20,FALSE),"IMPORTADO COM SUCESSO"))</f>
        <v>EM RESSUPRIMENTO</v>
      </c>
      <c r="I306" s="38">
        <f>IF(RES_AB[[#This Row],[Data base]]="","",WORKDAY(RES_AB[[#This Row],[Data Reserva - Feriado e Fds]],RES_AB[[#This Row],[Dias para atendimento]],Feriados[Data]))</f>
        <v>45449</v>
      </c>
      <c r="J306" s="40" t="str">
        <f ca="1">IF(RES_AB[[#This Row],[Reserva]]="","",CONCATENATE("D+",NETWORKDAYS(RES_AB[[#This Row],[Data Reserva - Feriado e Fds]],TODAY(),Feriados[Data])-1))</f>
        <v>D+3</v>
      </c>
      <c r="K306" s="40" t="str">
        <f ca="1">IF(RES_AB[[#This Row],[Reserva]]="","",CONCATENATE(RES_AB[[#This Row],[Cen.]]," | ",RES_AB[[#This Row],[SLA2]]))</f>
        <v>N190 | D+3</v>
      </c>
      <c r="L306" s="40">
        <f ca="1">IF(RES_AB[[#This Row],[Reserva]]="","",IF(RES_AB[[#This Row],[SLA2]]=RES_AB[[#This Row],[Reserva]]="","",COUNTIF(MB25_VOLUMETRIA[Reserva],RES_AB[[#This Row],[Reserva]])))</f>
        <v>4</v>
      </c>
      <c r="M3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6" s="37" t="str">
        <f>IF(RES_AB[[#This Row],[Cen.]]="","",IFERROR(VLOOKUP(RES_AB[[#This Row],[Cen.]],Dados_Empresas[],2,FALSE),"Verificar empresa"))</f>
        <v>NET MASSIVO</v>
      </c>
      <c r="P306" s="37" t="str">
        <f>IF(RES_AB[[#This Row],[Empresa]]="","",IF(OR(RES_AB[[#This Row],[Empresa]]="NET MASSIVO",RES_AB[[#This Row],[Empresa]]="NET PROJETOS"),"NET","EMPRESARIAL"))</f>
        <v>NET</v>
      </c>
      <c r="Q306" s="37" t="str">
        <f>IF(RES_AB[[#This Row],[Reserva]]="","",IFERROR(VLOOKUP(RES_AB[[#This Row],[Reserva]],Tabela3[[Reserva]:[Descrição do status]],18,FALSE),"CONVENCIONAL"))</f>
        <v>CONVENCIONAL</v>
      </c>
    </row>
    <row r="307" spans="1:17" x14ac:dyDescent="0.25">
      <c r="A307" s="37">
        <v>4380779</v>
      </c>
      <c r="B307" s="37" t="s">
        <v>21</v>
      </c>
      <c r="C307" s="38" t="s">
        <v>19</v>
      </c>
      <c r="D307" s="38">
        <v>45447</v>
      </c>
      <c r="E3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7" s="39">
        <f>IFERROR(VLOOKUP(RES_AB[[#This Row],[Reserva]],Tabela8[[Reserva]:[Usuário]],7,FALSE),Dados!$A$17)</f>
        <v>0.33333333333333331</v>
      </c>
      <c r="G307" s="40">
        <f>IF(RES_AB[[#This Row],[Reserva]]="","",IF(RES_AB[[#This Row],[Hora Int WMS]]&lt;Dados!$A$16,2,2))</f>
        <v>2</v>
      </c>
      <c r="H307" s="40" t="str">
        <f>IF(RES_AB[[#This Row],[Reserva]]="","",IFERROR(VLOOKUP(RES_AB[[#This Row],[Reserva]],Tabela3[[Reserva]:[Condição para Faturamento]],20,FALSE),"IMPORTADO COM SUCESSO"))</f>
        <v>EM RESSUPRIMENTO</v>
      </c>
      <c r="I307" s="38">
        <f>IF(RES_AB[[#This Row],[Data base]]="","",WORKDAY(RES_AB[[#This Row],[Data Reserva - Feriado e Fds]],RES_AB[[#This Row],[Dias para atendimento]],Feriados[Data]))</f>
        <v>45449</v>
      </c>
      <c r="J307" s="40" t="str">
        <f ca="1">IF(RES_AB[[#This Row],[Reserva]]="","",CONCATENATE("D+",NETWORKDAYS(RES_AB[[#This Row],[Data Reserva - Feriado e Fds]],TODAY(),Feriados[Data])-1))</f>
        <v>D+3</v>
      </c>
      <c r="K307" s="40" t="str">
        <f ca="1">IF(RES_AB[[#This Row],[Reserva]]="","",CONCATENATE(RES_AB[[#This Row],[Cen.]]," | ",RES_AB[[#This Row],[SLA2]]))</f>
        <v>N190 | D+3</v>
      </c>
      <c r="L307" s="40">
        <f ca="1">IF(RES_AB[[#This Row],[Reserva]]="","",IF(RES_AB[[#This Row],[SLA2]]=RES_AB[[#This Row],[Reserva]]="","",COUNTIF(MB25_VOLUMETRIA[Reserva],RES_AB[[#This Row],[Reserva]])))</f>
        <v>3</v>
      </c>
      <c r="M3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7" s="37" t="str">
        <f>IF(RES_AB[[#This Row],[Cen.]]="","",IFERROR(VLOOKUP(RES_AB[[#This Row],[Cen.]],Dados_Empresas[],2,FALSE),"Verificar empresa"))</f>
        <v>NET MASSIVO</v>
      </c>
      <c r="P307" s="37" t="str">
        <f>IF(RES_AB[[#This Row],[Empresa]]="","",IF(OR(RES_AB[[#This Row],[Empresa]]="NET MASSIVO",RES_AB[[#This Row],[Empresa]]="NET PROJETOS"),"NET","EMPRESARIAL"))</f>
        <v>NET</v>
      </c>
      <c r="Q307" s="37" t="str">
        <f>IF(RES_AB[[#This Row],[Reserva]]="","",IFERROR(VLOOKUP(RES_AB[[#This Row],[Reserva]],Tabela3[[Reserva]:[Descrição do status]],18,FALSE),"CONVENCIONAL"))</f>
        <v>CONVENCIONAL</v>
      </c>
    </row>
    <row r="308" spans="1:17" x14ac:dyDescent="0.25">
      <c r="A308" s="37">
        <v>4380780</v>
      </c>
      <c r="B308" s="37" t="s">
        <v>21</v>
      </c>
      <c r="C308" s="38" t="s">
        <v>19</v>
      </c>
      <c r="D308" s="38">
        <v>45447</v>
      </c>
      <c r="E3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8" s="39">
        <f>IFERROR(VLOOKUP(RES_AB[[#This Row],[Reserva]],Tabela8[[Reserva]:[Usuário]],7,FALSE),Dados!$A$17)</f>
        <v>0.33333333333333331</v>
      </c>
      <c r="G308" s="40">
        <f>IF(RES_AB[[#This Row],[Reserva]]="","",IF(RES_AB[[#This Row],[Hora Int WMS]]&lt;Dados!$A$16,2,2))</f>
        <v>2</v>
      </c>
      <c r="H308" s="40" t="str">
        <f>IF(RES_AB[[#This Row],[Reserva]]="","",IFERROR(VLOOKUP(RES_AB[[#This Row],[Reserva]],Tabela3[[Reserva]:[Condição para Faturamento]],20,FALSE),"IMPORTADO COM SUCESSO"))</f>
        <v>IMPORTADO</v>
      </c>
      <c r="I308" s="38">
        <f>IF(RES_AB[[#This Row],[Data base]]="","",WORKDAY(RES_AB[[#This Row],[Data Reserva - Feriado e Fds]],RES_AB[[#This Row],[Dias para atendimento]],Feriados[Data]))</f>
        <v>45449</v>
      </c>
      <c r="J308" s="40" t="str">
        <f ca="1">IF(RES_AB[[#This Row],[Reserva]]="","",CONCATENATE("D+",NETWORKDAYS(RES_AB[[#This Row],[Data Reserva - Feriado e Fds]],TODAY(),Feriados[Data])-1))</f>
        <v>D+3</v>
      </c>
      <c r="K308" s="40" t="str">
        <f ca="1">IF(RES_AB[[#This Row],[Reserva]]="","",CONCATENATE(RES_AB[[#This Row],[Cen.]]," | ",RES_AB[[#This Row],[SLA2]]))</f>
        <v>N190 | D+3</v>
      </c>
      <c r="L308" s="40">
        <f ca="1">IF(RES_AB[[#This Row],[Reserva]]="","",IF(RES_AB[[#This Row],[SLA2]]=RES_AB[[#This Row],[Reserva]]="","",COUNTIF(MB25_VOLUMETRIA[Reserva],RES_AB[[#This Row],[Reserva]])))</f>
        <v>3</v>
      </c>
      <c r="M3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8" s="37" t="str">
        <f>IF(RES_AB[[#This Row],[Cen.]]="","",IFERROR(VLOOKUP(RES_AB[[#This Row],[Cen.]],Dados_Empresas[],2,FALSE),"Verificar empresa"))</f>
        <v>NET MASSIVO</v>
      </c>
      <c r="P308" s="37" t="str">
        <f>IF(RES_AB[[#This Row],[Empresa]]="","",IF(OR(RES_AB[[#This Row],[Empresa]]="NET MASSIVO",RES_AB[[#This Row],[Empresa]]="NET PROJETOS"),"NET","EMPRESARIAL"))</f>
        <v>NET</v>
      </c>
      <c r="Q308" s="37" t="str">
        <f>IF(RES_AB[[#This Row],[Reserva]]="","",IFERROR(VLOOKUP(RES_AB[[#This Row],[Reserva]],Tabela3[[Reserva]:[Descrição do status]],18,FALSE),"CONVENCIONAL"))</f>
        <v>CONVENCIONAL</v>
      </c>
    </row>
    <row r="309" spans="1:17" x14ac:dyDescent="0.25">
      <c r="A309" s="37">
        <v>4381062</v>
      </c>
      <c r="B309" s="37" t="s">
        <v>21</v>
      </c>
      <c r="C309" s="38" t="s">
        <v>19</v>
      </c>
      <c r="D309" s="38">
        <v>45447</v>
      </c>
      <c r="E3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09" s="39">
        <f>IFERROR(VLOOKUP(RES_AB[[#This Row],[Reserva]],Tabela8[[Reserva]:[Usuário]],7,FALSE),Dados!$A$17)</f>
        <v>0.33333333333333331</v>
      </c>
      <c r="G309" s="40">
        <f>IF(RES_AB[[#This Row],[Reserva]]="","",IF(RES_AB[[#This Row],[Hora Int WMS]]&lt;Dados!$A$16,2,2))</f>
        <v>2</v>
      </c>
      <c r="H309" s="40" t="str">
        <f>IF(RES_AB[[#This Row],[Reserva]]="","",IFERROR(VLOOKUP(RES_AB[[#This Row],[Reserva]],Tabela3[[Reserva]:[Condição para Faturamento]],20,FALSE),"IMPORTADO COM SUCESSO"))</f>
        <v>EM RESSUPRIMENTO</v>
      </c>
      <c r="I309" s="38">
        <f>IF(RES_AB[[#This Row],[Data base]]="","",WORKDAY(RES_AB[[#This Row],[Data Reserva - Feriado e Fds]],RES_AB[[#This Row],[Dias para atendimento]],Feriados[Data]))</f>
        <v>45449</v>
      </c>
      <c r="J309" s="40" t="str">
        <f ca="1">IF(RES_AB[[#This Row],[Reserva]]="","",CONCATENATE("D+",NETWORKDAYS(RES_AB[[#This Row],[Data Reserva - Feriado e Fds]],TODAY(),Feriados[Data])-1))</f>
        <v>D+3</v>
      </c>
      <c r="K309" s="40" t="str">
        <f ca="1">IF(RES_AB[[#This Row],[Reserva]]="","",CONCATENATE(RES_AB[[#This Row],[Cen.]]," | ",RES_AB[[#This Row],[SLA2]]))</f>
        <v>N190 | D+3</v>
      </c>
      <c r="L309" s="40">
        <f ca="1">IF(RES_AB[[#This Row],[Reserva]]="","",IF(RES_AB[[#This Row],[SLA2]]=RES_AB[[#This Row],[Reserva]]="","",COUNTIF(MB25_VOLUMETRIA[Reserva],RES_AB[[#This Row],[Reserva]])))</f>
        <v>1</v>
      </c>
      <c r="M3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09" s="37" t="str">
        <f>IF(RES_AB[[#This Row],[Cen.]]="","",IFERROR(VLOOKUP(RES_AB[[#This Row],[Cen.]],Dados_Empresas[],2,FALSE),"Verificar empresa"))</f>
        <v>NET MASSIVO</v>
      </c>
      <c r="P309" s="37" t="str">
        <f>IF(RES_AB[[#This Row],[Empresa]]="","",IF(OR(RES_AB[[#This Row],[Empresa]]="NET MASSIVO",RES_AB[[#This Row],[Empresa]]="NET PROJETOS"),"NET","EMPRESARIAL"))</f>
        <v>NET</v>
      </c>
      <c r="Q309" s="37" t="str">
        <f>IF(RES_AB[[#This Row],[Reserva]]="","",IFERROR(VLOOKUP(RES_AB[[#This Row],[Reserva]],Tabela3[[Reserva]:[Descrição do status]],18,FALSE),"CONVENCIONAL"))</f>
        <v>CONVENCIONAL</v>
      </c>
    </row>
    <row r="310" spans="1:17" x14ac:dyDescent="0.25">
      <c r="A310" s="37">
        <v>4381063</v>
      </c>
      <c r="B310" s="37" t="s">
        <v>21</v>
      </c>
      <c r="C310" s="38" t="s">
        <v>19</v>
      </c>
      <c r="D310" s="38">
        <v>45447</v>
      </c>
      <c r="E3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0" s="39">
        <f>IFERROR(VLOOKUP(RES_AB[[#This Row],[Reserva]],Tabela8[[Reserva]:[Usuário]],7,FALSE),Dados!$A$17)</f>
        <v>0.82847222222222228</v>
      </c>
      <c r="G310" s="40">
        <f>IF(RES_AB[[#This Row],[Reserva]]="","",IF(RES_AB[[#This Row],[Hora Int WMS]]&lt;Dados!$A$16,2,2))</f>
        <v>2</v>
      </c>
      <c r="H310" s="40" t="str">
        <f>IF(RES_AB[[#This Row],[Reserva]]="","",IFERROR(VLOOKUP(RES_AB[[#This Row],[Reserva]],Tabela3[[Reserva]:[Condição para Faturamento]],20,FALSE),"IMPORTADO COM SUCESSO"))</f>
        <v>EM RESSUPRIMENTO</v>
      </c>
      <c r="I310" s="38">
        <f>IF(RES_AB[[#This Row],[Data base]]="","",WORKDAY(RES_AB[[#This Row],[Data Reserva - Feriado e Fds]],RES_AB[[#This Row],[Dias para atendimento]],Feriados[Data]))</f>
        <v>45449</v>
      </c>
      <c r="J310" s="40" t="str">
        <f ca="1">IF(RES_AB[[#This Row],[Reserva]]="","",CONCATENATE("D+",NETWORKDAYS(RES_AB[[#This Row],[Data Reserva - Feriado e Fds]],TODAY(),Feriados[Data])-1))</f>
        <v>D+3</v>
      </c>
      <c r="K310" s="40" t="str">
        <f ca="1">IF(RES_AB[[#This Row],[Reserva]]="","",CONCATENATE(RES_AB[[#This Row],[Cen.]]," | ",RES_AB[[#This Row],[SLA2]]))</f>
        <v>N190 | D+3</v>
      </c>
      <c r="L310" s="40">
        <f ca="1">IF(RES_AB[[#This Row],[Reserva]]="","",IF(RES_AB[[#This Row],[SLA2]]=RES_AB[[#This Row],[Reserva]]="","",COUNTIF(MB25_VOLUMETRIA[Reserva],RES_AB[[#This Row],[Reserva]])))</f>
        <v>2</v>
      </c>
      <c r="M3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0" s="37" t="str">
        <f>IF(RES_AB[[#This Row],[Cen.]]="","",IFERROR(VLOOKUP(RES_AB[[#This Row],[Cen.]],Dados_Empresas[],2,FALSE),"Verificar empresa"))</f>
        <v>NET MASSIVO</v>
      </c>
      <c r="P310" s="37" t="str">
        <f>IF(RES_AB[[#This Row],[Empresa]]="","",IF(OR(RES_AB[[#This Row],[Empresa]]="NET MASSIVO",RES_AB[[#This Row],[Empresa]]="NET PROJETOS"),"NET","EMPRESARIAL"))</f>
        <v>NET</v>
      </c>
      <c r="Q310" s="37" t="str">
        <f>IF(RES_AB[[#This Row],[Reserva]]="","",IFERROR(VLOOKUP(RES_AB[[#This Row],[Reserva]],Tabela3[[Reserva]:[Descrição do status]],18,FALSE),"CONVENCIONAL"))</f>
        <v>CONVENCIONAL</v>
      </c>
    </row>
    <row r="311" spans="1:17" x14ac:dyDescent="0.25">
      <c r="A311" s="37">
        <v>4381064</v>
      </c>
      <c r="B311" s="37" t="s">
        <v>21</v>
      </c>
      <c r="C311" s="38" t="s">
        <v>19</v>
      </c>
      <c r="D311" s="38">
        <v>45447</v>
      </c>
      <c r="E3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1" s="39">
        <f>IFERROR(VLOOKUP(RES_AB[[#This Row],[Reserva]],Tabela8[[Reserva]:[Usuário]],7,FALSE),Dados!$A$17)</f>
        <v>0.82847222222222228</v>
      </c>
      <c r="G311" s="40">
        <f>IF(RES_AB[[#This Row],[Reserva]]="","",IF(RES_AB[[#This Row],[Hora Int WMS]]&lt;Dados!$A$16,2,2))</f>
        <v>2</v>
      </c>
      <c r="H311" s="40" t="str">
        <f>IF(RES_AB[[#This Row],[Reserva]]="","",IFERROR(VLOOKUP(RES_AB[[#This Row],[Reserva]],Tabela3[[Reserva]:[Condição para Faturamento]],20,FALSE),"IMPORTADO COM SUCESSO"))</f>
        <v>EM RESSUPRIMENTO</v>
      </c>
      <c r="I311" s="38">
        <f>IF(RES_AB[[#This Row],[Data base]]="","",WORKDAY(RES_AB[[#This Row],[Data Reserva - Feriado e Fds]],RES_AB[[#This Row],[Dias para atendimento]],Feriados[Data]))</f>
        <v>45449</v>
      </c>
      <c r="J311" s="40" t="str">
        <f ca="1">IF(RES_AB[[#This Row],[Reserva]]="","",CONCATENATE("D+",NETWORKDAYS(RES_AB[[#This Row],[Data Reserva - Feriado e Fds]],TODAY(),Feriados[Data])-1))</f>
        <v>D+3</v>
      </c>
      <c r="K311" s="40" t="str">
        <f ca="1">IF(RES_AB[[#This Row],[Reserva]]="","",CONCATENATE(RES_AB[[#This Row],[Cen.]]," | ",RES_AB[[#This Row],[SLA2]]))</f>
        <v>N190 | D+3</v>
      </c>
      <c r="L311" s="40">
        <f ca="1">IF(RES_AB[[#This Row],[Reserva]]="","",IF(RES_AB[[#This Row],[SLA2]]=RES_AB[[#This Row],[Reserva]]="","",COUNTIF(MB25_VOLUMETRIA[Reserva],RES_AB[[#This Row],[Reserva]])))</f>
        <v>3</v>
      </c>
      <c r="M3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1" s="37" t="str">
        <f>IF(RES_AB[[#This Row],[Cen.]]="","",IFERROR(VLOOKUP(RES_AB[[#This Row],[Cen.]],Dados_Empresas[],2,FALSE),"Verificar empresa"))</f>
        <v>NET MASSIVO</v>
      </c>
      <c r="P311" s="37" t="str">
        <f>IF(RES_AB[[#This Row],[Empresa]]="","",IF(OR(RES_AB[[#This Row],[Empresa]]="NET MASSIVO",RES_AB[[#This Row],[Empresa]]="NET PROJETOS"),"NET","EMPRESARIAL"))</f>
        <v>NET</v>
      </c>
      <c r="Q311" s="37" t="str">
        <f>IF(RES_AB[[#This Row],[Reserva]]="","",IFERROR(VLOOKUP(RES_AB[[#This Row],[Reserva]],Tabela3[[Reserva]:[Descrição do status]],18,FALSE),"CONVENCIONAL"))</f>
        <v>CONVENCIONAL</v>
      </c>
    </row>
    <row r="312" spans="1:17" x14ac:dyDescent="0.25">
      <c r="A312" s="37">
        <v>4381065</v>
      </c>
      <c r="B312" s="37" t="s">
        <v>21</v>
      </c>
      <c r="C312" s="38" t="s">
        <v>19</v>
      </c>
      <c r="D312" s="38">
        <v>45447</v>
      </c>
      <c r="E3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2" s="39">
        <f>IFERROR(VLOOKUP(RES_AB[[#This Row],[Reserva]],Tabela8[[Reserva]:[Usuário]],7,FALSE),Dados!$A$17)</f>
        <v>0.33333333333333331</v>
      </c>
      <c r="G312" s="40">
        <f>IF(RES_AB[[#This Row],[Reserva]]="","",IF(RES_AB[[#This Row],[Hora Int WMS]]&lt;Dados!$A$16,2,2))</f>
        <v>2</v>
      </c>
      <c r="H312" s="40" t="str">
        <f>IF(RES_AB[[#This Row],[Reserva]]="","",IFERROR(VLOOKUP(RES_AB[[#This Row],[Reserva]],Tabela3[[Reserva]:[Condição para Faturamento]],20,FALSE),"IMPORTADO COM SUCESSO"))</f>
        <v>IMPORTADO</v>
      </c>
      <c r="I312" s="38">
        <f>IF(RES_AB[[#This Row],[Data base]]="","",WORKDAY(RES_AB[[#This Row],[Data Reserva - Feriado e Fds]],RES_AB[[#This Row],[Dias para atendimento]],Feriados[Data]))</f>
        <v>45449</v>
      </c>
      <c r="J312" s="40" t="str">
        <f ca="1">IF(RES_AB[[#This Row],[Reserva]]="","",CONCATENATE("D+",NETWORKDAYS(RES_AB[[#This Row],[Data Reserva - Feriado e Fds]],TODAY(),Feriados[Data])-1))</f>
        <v>D+3</v>
      </c>
      <c r="K312" s="40" t="str">
        <f ca="1">IF(RES_AB[[#This Row],[Reserva]]="","",CONCATENATE(RES_AB[[#This Row],[Cen.]]," | ",RES_AB[[#This Row],[SLA2]]))</f>
        <v>N190 | D+3</v>
      </c>
      <c r="L312" s="40">
        <f ca="1">IF(RES_AB[[#This Row],[Reserva]]="","",IF(RES_AB[[#This Row],[SLA2]]=RES_AB[[#This Row],[Reserva]]="","",COUNTIF(MB25_VOLUMETRIA[Reserva],RES_AB[[#This Row],[Reserva]])))</f>
        <v>3</v>
      </c>
      <c r="M3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2" s="37" t="str">
        <f>IF(RES_AB[[#This Row],[Cen.]]="","",IFERROR(VLOOKUP(RES_AB[[#This Row],[Cen.]],Dados_Empresas[],2,FALSE),"Verificar empresa"))</f>
        <v>NET MASSIVO</v>
      </c>
      <c r="P312" s="37" t="str">
        <f>IF(RES_AB[[#This Row],[Empresa]]="","",IF(OR(RES_AB[[#This Row],[Empresa]]="NET MASSIVO",RES_AB[[#This Row],[Empresa]]="NET PROJETOS"),"NET","EMPRESARIAL"))</f>
        <v>NET</v>
      </c>
      <c r="Q312" s="37" t="str">
        <f>IF(RES_AB[[#This Row],[Reserva]]="","",IFERROR(VLOOKUP(RES_AB[[#This Row],[Reserva]],Tabela3[[Reserva]:[Descrição do status]],18,FALSE),"CONVENCIONAL"))</f>
        <v>CONVENCIONAL</v>
      </c>
    </row>
    <row r="313" spans="1:17" x14ac:dyDescent="0.25">
      <c r="A313" s="37">
        <v>4381066</v>
      </c>
      <c r="B313" s="37" t="s">
        <v>21</v>
      </c>
      <c r="C313" s="38" t="s">
        <v>19</v>
      </c>
      <c r="D313" s="38">
        <v>45447</v>
      </c>
      <c r="E3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3" s="39">
        <f>IFERROR(VLOOKUP(RES_AB[[#This Row],[Reserva]],Tabela8[[Reserva]:[Usuário]],7,FALSE),Dados!$A$17)</f>
        <v>0.82870370370370372</v>
      </c>
      <c r="G313" s="40">
        <f>IF(RES_AB[[#This Row],[Reserva]]="","",IF(RES_AB[[#This Row],[Hora Int WMS]]&lt;Dados!$A$16,2,2))</f>
        <v>2</v>
      </c>
      <c r="H313" s="40" t="str">
        <f>IF(RES_AB[[#This Row],[Reserva]]="","",IFERROR(VLOOKUP(RES_AB[[#This Row],[Reserva]],Tabela3[[Reserva]:[Condição para Faturamento]],20,FALSE),"IMPORTADO COM SUCESSO"))</f>
        <v>EM RESSUPRIMENTO</v>
      </c>
      <c r="I313" s="38">
        <f>IF(RES_AB[[#This Row],[Data base]]="","",WORKDAY(RES_AB[[#This Row],[Data Reserva - Feriado e Fds]],RES_AB[[#This Row],[Dias para atendimento]],Feriados[Data]))</f>
        <v>45449</v>
      </c>
      <c r="J313" s="40" t="str">
        <f ca="1">IF(RES_AB[[#This Row],[Reserva]]="","",CONCATENATE("D+",NETWORKDAYS(RES_AB[[#This Row],[Data Reserva - Feriado e Fds]],TODAY(),Feriados[Data])-1))</f>
        <v>D+3</v>
      </c>
      <c r="K313" s="40" t="str">
        <f ca="1">IF(RES_AB[[#This Row],[Reserva]]="","",CONCATENATE(RES_AB[[#This Row],[Cen.]]," | ",RES_AB[[#This Row],[SLA2]]))</f>
        <v>N190 | D+3</v>
      </c>
      <c r="L313" s="40">
        <f ca="1">IF(RES_AB[[#This Row],[Reserva]]="","",IF(RES_AB[[#This Row],[SLA2]]=RES_AB[[#This Row],[Reserva]]="","",COUNTIF(MB25_VOLUMETRIA[Reserva],RES_AB[[#This Row],[Reserva]])))</f>
        <v>3</v>
      </c>
      <c r="M3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3" s="37" t="str">
        <f>IF(RES_AB[[#This Row],[Cen.]]="","",IFERROR(VLOOKUP(RES_AB[[#This Row],[Cen.]],Dados_Empresas[],2,FALSE),"Verificar empresa"))</f>
        <v>NET MASSIVO</v>
      </c>
      <c r="P313" s="37" t="str">
        <f>IF(RES_AB[[#This Row],[Empresa]]="","",IF(OR(RES_AB[[#This Row],[Empresa]]="NET MASSIVO",RES_AB[[#This Row],[Empresa]]="NET PROJETOS"),"NET","EMPRESARIAL"))</f>
        <v>NET</v>
      </c>
      <c r="Q313" s="37" t="str">
        <f>IF(RES_AB[[#This Row],[Reserva]]="","",IFERROR(VLOOKUP(RES_AB[[#This Row],[Reserva]],Tabela3[[Reserva]:[Descrição do status]],18,FALSE),"CONVENCIONAL"))</f>
        <v>CONVENCIONAL</v>
      </c>
    </row>
    <row r="314" spans="1:17" x14ac:dyDescent="0.25">
      <c r="A314" s="37">
        <v>4381067</v>
      </c>
      <c r="B314" s="37" t="s">
        <v>21</v>
      </c>
      <c r="C314" s="38" t="s">
        <v>19</v>
      </c>
      <c r="D314" s="38">
        <v>45447</v>
      </c>
      <c r="E3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4" s="39">
        <f>IFERROR(VLOOKUP(RES_AB[[#This Row],[Reserva]],Tabela8[[Reserva]:[Usuário]],7,FALSE),Dados!$A$17)</f>
        <v>0.82870370370370372</v>
      </c>
      <c r="G314" s="40">
        <f>IF(RES_AB[[#This Row],[Reserva]]="","",IF(RES_AB[[#This Row],[Hora Int WMS]]&lt;Dados!$A$16,2,2))</f>
        <v>2</v>
      </c>
      <c r="H314" s="40" t="str">
        <f>IF(RES_AB[[#This Row],[Reserva]]="","",IFERROR(VLOOKUP(RES_AB[[#This Row],[Reserva]],Tabela3[[Reserva]:[Condição para Faturamento]],20,FALSE),"IMPORTADO COM SUCESSO"))</f>
        <v>IMPORTADO</v>
      </c>
      <c r="I314" s="38">
        <f>IF(RES_AB[[#This Row],[Data base]]="","",WORKDAY(RES_AB[[#This Row],[Data Reserva - Feriado e Fds]],RES_AB[[#This Row],[Dias para atendimento]],Feriados[Data]))</f>
        <v>45449</v>
      </c>
      <c r="J314" s="40" t="str">
        <f ca="1">IF(RES_AB[[#This Row],[Reserva]]="","",CONCATENATE("D+",NETWORKDAYS(RES_AB[[#This Row],[Data Reserva - Feriado e Fds]],TODAY(),Feriados[Data])-1))</f>
        <v>D+3</v>
      </c>
      <c r="K314" s="40" t="str">
        <f ca="1">IF(RES_AB[[#This Row],[Reserva]]="","",CONCATENATE(RES_AB[[#This Row],[Cen.]]," | ",RES_AB[[#This Row],[SLA2]]))</f>
        <v>N190 | D+3</v>
      </c>
      <c r="L314" s="40">
        <f ca="1">IF(RES_AB[[#This Row],[Reserva]]="","",IF(RES_AB[[#This Row],[SLA2]]=RES_AB[[#This Row],[Reserva]]="","",COUNTIF(MB25_VOLUMETRIA[Reserva],RES_AB[[#This Row],[Reserva]])))</f>
        <v>4</v>
      </c>
      <c r="M3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4" s="37" t="str">
        <f>IF(RES_AB[[#This Row],[Cen.]]="","",IFERROR(VLOOKUP(RES_AB[[#This Row],[Cen.]],Dados_Empresas[],2,FALSE),"Verificar empresa"))</f>
        <v>NET MASSIVO</v>
      </c>
      <c r="P314" s="37" t="str">
        <f>IF(RES_AB[[#This Row],[Empresa]]="","",IF(OR(RES_AB[[#This Row],[Empresa]]="NET MASSIVO",RES_AB[[#This Row],[Empresa]]="NET PROJETOS"),"NET","EMPRESARIAL"))</f>
        <v>NET</v>
      </c>
      <c r="Q314" s="37" t="str">
        <f>IF(RES_AB[[#This Row],[Reserva]]="","",IFERROR(VLOOKUP(RES_AB[[#This Row],[Reserva]],Tabela3[[Reserva]:[Descrição do status]],18,FALSE),"CONVENCIONAL"))</f>
        <v>CONVENCIONAL</v>
      </c>
    </row>
    <row r="315" spans="1:17" x14ac:dyDescent="0.25">
      <c r="A315" s="37">
        <v>4381068</v>
      </c>
      <c r="B315" s="37" t="s">
        <v>21</v>
      </c>
      <c r="C315" s="38" t="s">
        <v>19</v>
      </c>
      <c r="D315" s="38">
        <v>45447</v>
      </c>
      <c r="E3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5" s="39">
        <f>IFERROR(VLOOKUP(RES_AB[[#This Row],[Reserva]],Tabela8[[Reserva]:[Usuário]],7,FALSE),Dados!$A$17)</f>
        <v>0.82881944444444444</v>
      </c>
      <c r="G315" s="40">
        <f>IF(RES_AB[[#This Row],[Reserva]]="","",IF(RES_AB[[#This Row],[Hora Int WMS]]&lt;Dados!$A$16,2,2))</f>
        <v>2</v>
      </c>
      <c r="H315" s="40" t="str">
        <f>IF(RES_AB[[#This Row],[Reserva]]="","",IFERROR(VLOOKUP(RES_AB[[#This Row],[Reserva]],Tabela3[[Reserva]:[Condição para Faturamento]],20,FALSE),"IMPORTADO COM SUCESSO"))</f>
        <v>EM RESSUPRIMENTO</v>
      </c>
      <c r="I315" s="38">
        <f>IF(RES_AB[[#This Row],[Data base]]="","",WORKDAY(RES_AB[[#This Row],[Data Reserva - Feriado e Fds]],RES_AB[[#This Row],[Dias para atendimento]],Feriados[Data]))</f>
        <v>45449</v>
      </c>
      <c r="J315" s="40" t="str">
        <f ca="1">IF(RES_AB[[#This Row],[Reserva]]="","",CONCATENATE("D+",NETWORKDAYS(RES_AB[[#This Row],[Data Reserva - Feriado e Fds]],TODAY(),Feriados[Data])-1))</f>
        <v>D+3</v>
      </c>
      <c r="K315" s="40" t="str">
        <f ca="1">IF(RES_AB[[#This Row],[Reserva]]="","",CONCATENATE(RES_AB[[#This Row],[Cen.]]," | ",RES_AB[[#This Row],[SLA2]]))</f>
        <v>N190 | D+3</v>
      </c>
      <c r="L315" s="40">
        <f ca="1">IF(RES_AB[[#This Row],[Reserva]]="","",IF(RES_AB[[#This Row],[SLA2]]=RES_AB[[#This Row],[Reserva]]="","",COUNTIF(MB25_VOLUMETRIA[Reserva],RES_AB[[#This Row],[Reserva]])))</f>
        <v>6</v>
      </c>
      <c r="M3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5" s="37" t="str">
        <f>IF(RES_AB[[#This Row],[Cen.]]="","",IFERROR(VLOOKUP(RES_AB[[#This Row],[Cen.]],Dados_Empresas[],2,FALSE),"Verificar empresa"))</f>
        <v>NET MASSIVO</v>
      </c>
      <c r="P315" s="37" t="str">
        <f>IF(RES_AB[[#This Row],[Empresa]]="","",IF(OR(RES_AB[[#This Row],[Empresa]]="NET MASSIVO",RES_AB[[#This Row],[Empresa]]="NET PROJETOS"),"NET","EMPRESARIAL"))</f>
        <v>NET</v>
      </c>
      <c r="Q315" s="37" t="str">
        <f>IF(RES_AB[[#This Row],[Reserva]]="","",IFERROR(VLOOKUP(RES_AB[[#This Row],[Reserva]],Tabela3[[Reserva]:[Descrição do status]],18,FALSE),"CONVENCIONAL"))</f>
        <v>CONVENCIONAL</v>
      </c>
    </row>
    <row r="316" spans="1:17" x14ac:dyDescent="0.25">
      <c r="A316" s="37">
        <v>4381069</v>
      </c>
      <c r="B316" s="37" t="s">
        <v>21</v>
      </c>
      <c r="C316" s="38" t="s">
        <v>19</v>
      </c>
      <c r="D316" s="38">
        <v>45447</v>
      </c>
      <c r="E3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6" s="39">
        <f>IFERROR(VLOOKUP(RES_AB[[#This Row],[Reserva]],Tabela8[[Reserva]:[Usuário]],7,FALSE),Dados!$A$17)</f>
        <v>0.33333333333333331</v>
      </c>
      <c r="G316" s="40">
        <f>IF(RES_AB[[#This Row],[Reserva]]="","",IF(RES_AB[[#This Row],[Hora Int WMS]]&lt;Dados!$A$16,2,2))</f>
        <v>2</v>
      </c>
      <c r="H316" s="40" t="str">
        <f>IF(RES_AB[[#This Row],[Reserva]]="","",IFERROR(VLOOKUP(RES_AB[[#This Row],[Reserva]],Tabela3[[Reserva]:[Condição para Faturamento]],20,FALSE),"IMPORTADO COM SUCESSO"))</f>
        <v>IMPORTADO</v>
      </c>
      <c r="I316" s="38">
        <f>IF(RES_AB[[#This Row],[Data base]]="","",WORKDAY(RES_AB[[#This Row],[Data Reserva - Feriado e Fds]],RES_AB[[#This Row],[Dias para atendimento]],Feriados[Data]))</f>
        <v>45449</v>
      </c>
      <c r="J316" s="40" t="str">
        <f ca="1">IF(RES_AB[[#This Row],[Reserva]]="","",CONCATENATE("D+",NETWORKDAYS(RES_AB[[#This Row],[Data Reserva - Feriado e Fds]],TODAY(),Feriados[Data])-1))</f>
        <v>D+3</v>
      </c>
      <c r="K316" s="40" t="str">
        <f ca="1">IF(RES_AB[[#This Row],[Reserva]]="","",CONCATENATE(RES_AB[[#This Row],[Cen.]]," | ",RES_AB[[#This Row],[SLA2]]))</f>
        <v>N190 | D+3</v>
      </c>
      <c r="L316" s="40">
        <f ca="1">IF(RES_AB[[#This Row],[Reserva]]="","",IF(RES_AB[[#This Row],[SLA2]]=RES_AB[[#This Row],[Reserva]]="","",COUNTIF(MB25_VOLUMETRIA[Reserva],RES_AB[[#This Row],[Reserva]])))</f>
        <v>5</v>
      </c>
      <c r="M3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6" s="37" t="str">
        <f>IF(RES_AB[[#This Row],[Cen.]]="","",IFERROR(VLOOKUP(RES_AB[[#This Row],[Cen.]],Dados_Empresas[],2,FALSE),"Verificar empresa"))</f>
        <v>NET MASSIVO</v>
      </c>
      <c r="P316" s="37" t="str">
        <f>IF(RES_AB[[#This Row],[Empresa]]="","",IF(OR(RES_AB[[#This Row],[Empresa]]="NET MASSIVO",RES_AB[[#This Row],[Empresa]]="NET PROJETOS"),"NET","EMPRESARIAL"))</f>
        <v>NET</v>
      </c>
      <c r="Q316" s="37" t="str">
        <f>IF(RES_AB[[#This Row],[Reserva]]="","",IFERROR(VLOOKUP(RES_AB[[#This Row],[Reserva]],Tabela3[[Reserva]:[Descrição do status]],18,FALSE),"CONVENCIONAL"))</f>
        <v>CONVENCIONAL</v>
      </c>
    </row>
    <row r="317" spans="1:17" x14ac:dyDescent="0.25">
      <c r="A317" s="37">
        <v>4381071</v>
      </c>
      <c r="B317" s="37" t="s">
        <v>21</v>
      </c>
      <c r="C317" s="38" t="s">
        <v>19</v>
      </c>
      <c r="D317" s="38">
        <v>45447</v>
      </c>
      <c r="E3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7" s="39">
        <f>IFERROR(VLOOKUP(RES_AB[[#This Row],[Reserva]],Tabela8[[Reserva]:[Usuário]],7,FALSE),Dados!$A$17)</f>
        <v>0.33333333333333331</v>
      </c>
      <c r="G317" s="40">
        <f>IF(RES_AB[[#This Row],[Reserva]]="","",IF(RES_AB[[#This Row],[Hora Int WMS]]&lt;Dados!$A$16,2,2))</f>
        <v>2</v>
      </c>
      <c r="H317" s="40" t="str">
        <f>IF(RES_AB[[#This Row],[Reserva]]="","",IFERROR(VLOOKUP(RES_AB[[#This Row],[Reserva]],Tabela3[[Reserva]:[Condição para Faturamento]],20,FALSE),"IMPORTADO COM SUCESSO"))</f>
        <v>EM RESSUPRIMENTO</v>
      </c>
      <c r="I317" s="38">
        <f>IF(RES_AB[[#This Row],[Data base]]="","",WORKDAY(RES_AB[[#This Row],[Data Reserva - Feriado e Fds]],RES_AB[[#This Row],[Dias para atendimento]],Feriados[Data]))</f>
        <v>45449</v>
      </c>
      <c r="J317" s="40" t="str">
        <f ca="1">IF(RES_AB[[#This Row],[Reserva]]="","",CONCATENATE("D+",NETWORKDAYS(RES_AB[[#This Row],[Data Reserva - Feriado e Fds]],TODAY(),Feriados[Data])-1))</f>
        <v>D+3</v>
      </c>
      <c r="K317" s="40" t="str">
        <f ca="1">IF(RES_AB[[#This Row],[Reserva]]="","",CONCATENATE(RES_AB[[#This Row],[Cen.]]," | ",RES_AB[[#This Row],[SLA2]]))</f>
        <v>N190 | D+3</v>
      </c>
      <c r="L317" s="40">
        <f ca="1">IF(RES_AB[[#This Row],[Reserva]]="","",IF(RES_AB[[#This Row],[SLA2]]=RES_AB[[#This Row],[Reserva]]="","",COUNTIF(MB25_VOLUMETRIA[Reserva],RES_AB[[#This Row],[Reserva]])))</f>
        <v>1</v>
      </c>
      <c r="M3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7" s="37" t="str">
        <f>IF(RES_AB[[#This Row],[Cen.]]="","",IFERROR(VLOOKUP(RES_AB[[#This Row],[Cen.]],Dados_Empresas[],2,FALSE),"Verificar empresa"))</f>
        <v>NET MASSIVO</v>
      </c>
      <c r="P317" s="37" t="str">
        <f>IF(RES_AB[[#This Row],[Empresa]]="","",IF(OR(RES_AB[[#This Row],[Empresa]]="NET MASSIVO",RES_AB[[#This Row],[Empresa]]="NET PROJETOS"),"NET","EMPRESARIAL"))</f>
        <v>NET</v>
      </c>
      <c r="Q317" s="37" t="str">
        <f>IF(RES_AB[[#This Row],[Reserva]]="","",IFERROR(VLOOKUP(RES_AB[[#This Row],[Reserva]],Tabela3[[Reserva]:[Descrição do status]],18,FALSE),"CONVENCIONAL"))</f>
        <v>CONVENCIONAL</v>
      </c>
    </row>
    <row r="318" spans="1:17" x14ac:dyDescent="0.25">
      <c r="A318" s="37">
        <v>4381072</v>
      </c>
      <c r="B318" s="37" t="s">
        <v>21</v>
      </c>
      <c r="C318" s="38" t="s">
        <v>19</v>
      </c>
      <c r="D318" s="38">
        <v>45447</v>
      </c>
      <c r="E3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8" s="39">
        <f>IFERROR(VLOOKUP(RES_AB[[#This Row],[Reserva]],Tabela8[[Reserva]:[Usuário]],7,FALSE),Dados!$A$17)</f>
        <v>0.33333333333333331</v>
      </c>
      <c r="G318" s="40">
        <f>IF(RES_AB[[#This Row],[Reserva]]="","",IF(RES_AB[[#This Row],[Hora Int WMS]]&lt;Dados!$A$16,2,2))</f>
        <v>2</v>
      </c>
      <c r="H318" s="40" t="str">
        <f>IF(RES_AB[[#This Row],[Reserva]]="","",IFERROR(VLOOKUP(RES_AB[[#This Row],[Reserva]],Tabela3[[Reserva]:[Condição para Faturamento]],20,FALSE),"IMPORTADO COM SUCESSO"))</f>
        <v>IMPORTADO</v>
      </c>
      <c r="I318" s="38">
        <f>IF(RES_AB[[#This Row],[Data base]]="","",WORKDAY(RES_AB[[#This Row],[Data Reserva - Feriado e Fds]],RES_AB[[#This Row],[Dias para atendimento]],Feriados[Data]))</f>
        <v>45449</v>
      </c>
      <c r="J318" s="40" t="str">
        <f ca="1">IF(RES_AB[[#This Row],[Reserva]]="","",CONCATENATE("D+",NETWORKDAYS(RES_AB[[#This Row],[Data Reserva - Feriado e Fds]],TODAY(),Feriados[Data])-1))</f>
        <v>D+3</v>
      </c>
      <c r="K318" s="40" t="str">
        <f ca="1">IF(RES_AB[[#This Row],[Reserva]]="","",CONCATENATE(RES_AB[[#This Row],[Cen.]]," | ",RES_AB[[#This Row],[SLA2]]))</f>
        <v>N190 | D+3</v>
      </c>
      <c r="L318" s="40">
        <f ca="1">IF(RES_AB[[#This Row],[Reserva]]="","",IF(RES_AB[[#This Row],[SLA2]]=RES_AB[[#This Row],[Reserva]]="","",COUNTIF(MB25_VOLUMETRIA[Reserva],RES_AB[[#This Row],[Reserva]])))</f>
        <v>1</v>
      </c>
      <c r="M3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8" s="37" t="str">
        <f>IF(RES_AB[[#This Row],[Cen.]]="","",IFERROR(VLOOKUP(RES_AB[[#This Row],[Cen.]],Dados_Empresas[],2,FALSE),"Verificar empresa"))</f>
        <v>NET MASSIVO</v>
      </c>
      <c r="P318" s="37" t="str">
        <f>IF(RES_AB[[#This Row],[Empresa]]="","",IF(OR(RES_AB[[#This Row],[Empresa]]="NET MASSIVO",RES_AB[[#This Row],[Empresa]]="NET PROJETOS"),"NET","EMPRESARIAL"))</f>
        <v>NET</v>
      </c>
      <c r="Q318" s="37" t="str">
        <f>IF(RES_AB[[#This Row],[Reserva]]="","",IFERROR(VLOOKUP(RES_AB[[#This Row],[Reserva]],Tabela3[[Reserva]:[Descrição do status]],18,FALSE),"CONVENCIONAL"))</f>
        <v>CONVENCIONAL</v>
      </c>
    </row>
    <row r="319" spans="1:17" x14ac:dyDescent="0.25">
      <c r="A319" s="37">
        <v>4381073</v>
      </c>
      <c r="B319" s="37" t="s">
        <v>21</v>
      </c>
      <c r="C319" s="38" t="s">
        <v>19</v>
      </c>
      <c r="D319" s="38">
        <v>45447</v>
      </c>
      <c r="E3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19" s="39">
        <f>IFERROR(VLOOKUP(RES_AB[[#This Row],[Reserva]],Tabela8[[Reserva]:[Usuário]],7,FALSE),Dados!$A$17)</f>
        <v>0.33333333333333331</v>
      </c>
      <c r="G319" s="40">
        <f>IF(RES_AB[[#This Row],[Reserva]]="","",IF(RES_AB[[#This Row],[Hora Int WMS]]&lt;Dados!$A$16,2,2))</f>
        <v>2</v>
      </c>
      <c r="H319" s="40" t="str">
        <f>IF(RES_AB[[#This Row],[Reserva]]="","",IFERROR(VLOOKUP(RES_AB[[#This Row],[Reserva]],Tabela3[[Reserva]:[Condição para Faturamento]],20,FALSE),"IMPORTADO COM SUCESSO"))</f>
        <v>EM RESSUPRIMENTO</v>
      </c>
      <c r="I319" s="38">
        <f>IF(RES_AB[[#This Row],[Data base]]="","",WORKDAY(RES_AB[[#This Row],[Data Reserva - Feriado e Fds]],RES_AB[[#This Row],[Dias para atendimento]],Feriados[Data]))</f>
        <v>45449</v>
      </c>
      <c r="J319" s="40" t="str">
        <f ca="1">IF(RES_AB[[#This Row],[Reserva]]="","",CONCATENATE("D+",NETWORKDAYS(RES_AB[[#This Row],[Data Reserva - Feriado e Fds]],TODAY(),Feriados[Data])-1))</f>
        <v>D+3</v>
      </c>
      <c r="K319" s="40" t="str">
        <f ca="1">IF(RES_AB[[#This Row],[Reserva]]="","",CONCATENATE(RES_AB[[#This Row],[Cen.]]," | ",RES_AB[[#This Row],[SLA2]]))</f>
        <v>N190 | D+3</v>
      </c>
      <c r="L319" s="40">
        <f ca="1">IF(RES_AB[[#This Row],[Reserva]]="","",IF(RES_AB[[#This Row],[SLA2]]=RES_AB[[#This Row],[Reserva]]="","",COUNTIF(MB25_VOLUMETRIA[Reserva],RES_AB[[#This Row],[Reserva]])))</f>
        <v>2</v>
      </c>
      <c r="M3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19" s="37" t="str">
        <f>IF(RES_AB[[#This Row],[Cen.]]="","",IFERROR(VLOOKUP(RES_AB[[#This Row],[Cen.]],Dados_Empresas[],2,FALSE),"Verificar empresa"))</f>
        <v>NET MASSIVO</v>
      </c>
      <c r="P319" s="37" t="str">
        <f>IF(RES_AB[[#This Row],[Empresa]]="","",IF(OR(RES_AB[[#This Row],[Empresa]]="NET MASSIVO",RES_AB[[#This Row],[Empresa]]="NET PROJETOS"),"NET","EMPRESARIAL"))</f>
        <v>NET</v>
      </c>
      <c r="Q319" s="37" t="str">
        <f>IF(RES_AB[[#This Row],[Reserva]]="","",IFERROR(VLOOKUP(RES_AB[[#This Row],[Reserva]],Tabela3[[Reserva]:[Descrição do status]],18,FALSE),"CONVENCIONAL"))</f>
        <v>CONVENCIONAL</v>
      </c>
    </row>
    <row r="320" spans="1:17" x14ac:dyDescent="0.25">
      <c r="A320" s="37">
        <v>4381074</v>
      </c>
      <c r="B320" s="37" t="s">
        <v>21</v>
      </c>
      <c r="C320" s="38" t="s">
        <v>21</v>
      </c>
      <c r="D320" s="38">
        <v>45447</v>
      </c>
      <c r="E3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0" s="39">
        <f>IFERROR(VLOOKUP(RES_AB[[#This Row],[Reserva]],Tabela8[[Reserva]:[Usuário]],7,FALSE),Dados!$A$17)</f>
        <v>0.33333333333333331</v>
      </c>
      <c r="G320" s="40">
        <f>IF(RES_AB[[#This Row],[Reserva]]="","",IF(RES_AB[[#This Row],[Hora Int WMS]]&lt;Dados!$A$16,2,2))</f>
        <v>2</v>
      </c>
      <c r="H320" s="40" t="str">
        <f>IF(RES_AB[[#This Row],[Reserva]]="","",IFERROR(VLOOKUP(RES_AB[[#This Row],[Reserva]],Tabela3[[Reserva]:[Condição para Faturamento]],20,FALSE),"IMPORTADO COM SUCESSO"))</f>
        <v>IMPORTADO</v>
      </c>
      <c r="I320" s="38">
        <f>IF(RES_AB[[#This Row],[Data base]]="","",WORKDAY(RES_AB[[#This Row],[Data Reserva - Feriado e Fds]],RES_AB[[#This Row],[Dias para atendimento]],Feriados[Data]))</f>
        <v>45449</v>
      </c>
      <c r="J320" s="40" t="str">
        <f ca="1">IF(RES_AB[[#This Row],[Reserva]]="","",CONCATENATE("D+",NETWORKDAYS(RES_AB[[#This Row],[Data Reserva - Feriado e Fds]],TODAY(),Feriados[Data])-1))</f>
        <v>D+3</v>
      </c>
      <c r="K320" s="40" t="str">
        <f ca="1">IF(RES_AB[[#This Row],[Reserva]]="","",CONCATENATE(RES_AB[[#This Row],[Cen.]]," | ",RES_AB[[#This Row],[SLA2]]))</f>
        <v>N190 | D+3</v>
      </c>
      <c r="L320" s="40">
        <f ca="1">IF(RES_AB[[#This Row],[Reserva]]="","",IF(RES_AB[[#This Row],[SLA2]]=RES_AB[[#This Row],[Reserva]]="","",COUNTIF(MB25_VOLUMETRIA[Reserva],RES_AB[[#This Row],[Reserva]])))</f>
        <v>20</v>
      </c>
      <c r="M3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0" s="37" t="str">
        <f>IF(RES_AB[[#This Row],[Cen.]]="","",IFERROR(VLOOKUP(RES_AB[[#This Row],[Cen.]],Dados_Empresas[],2,FALSE),"Verificar empresa"))</f>
        <v>NET MASSIVO</v>
      </c>
      <c r="P320" s="37" t="str">
        <f>IF(RES_AB[[#This Row],[Empresa]]="","",IF(OR(RES_AB[[#This Row],[Empresa]]="NET MASSIVO",RES_AB[[#This Row],[Empresa]]="NET PROJETOS"),"NET","EMPRESARIAL"))</f>
        <v>NET</v>
      </c>
      <c r="Q320" s="37" t="str">
        <f>IF(RES_AB[[#This Row],[Reserva]]="","",IFERROR(VLOOKUP(RES_AB[[#This Row],[Reserva]],Tabela3[[Reserva]:[Descrição do status]],18,FALSE),"CONVENCIONAL"))</f>
        <v>CONVENCIONAL</v>
      </c>
    </row>
    <row r="321" spans="1:17" x14ac:dyDescent="0.25">
      <c r="A321" s="37">
        <v>4381075</v>
      </c>
      <c r="B321" s="37" t="s">
        <v>21</v>
      </c>
      <c r="C321" s="38" t="s">
        <v>21</v>
      </c>
      <c r="D321" s="38">
        <v>45447</v>
      </c>
      <c r="E3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1" s="39">
        <f>IFERROR(VLOOKUP(RES_AB[[#This Row],[Reserva]],Tabela8[[Reserva]:[Usuário]],7,FALSE),Dados!$A$17)</f>
        <v>0.33333333333333331</v>
      </c>
      <c r="G321" s="40">
        <f>IF(RES_AB[[#This Row],[Reserva]]="","",IF(RES_AB[[#This Row],[Hora Int WMS]]&lt;Dados!$A$16,2,2))</f>
        <v>2</v>
      </c>
      <c r="H321" s="40" t="str">
        <f>IF(RES_AB[[#This Row],[Reserva]]="","",IFERROR(VLOOKUP(RES_AB[[#This Row],[Reserva]],Tabela3[[Reserva]:[Condição para Faturamento]],20,FALSE),"IMPORTADO COM SUCESSO"))</f>
        <v>IMPORTADO</v>
      </c>
      <c r="I321" s="38">
        <f>IF(RES_AB[[#This Row],[Data base]]="","",WORKDAY(RES_AB[[#This Row],[Data Reserva - Feriado e Fds]],RES_AB[[#This Row],[Dias para atendimento]],Feriados[Data]))</f>
        <v>45449</v>
      </c>
      <c r="J321" s="40" t="str">
        <f ca="1">IF(RES_AB[[#This Row],[Reserva]]="","",CONCATENATE("D+",NETWORKDAYS(RES_AB[[#This Row],[Data Reserva - Feriado e Fds]],TODAY(),Feriados[Data])-1))</f>
        <v>D+3</v>
      </c>
      <c r="K321" s="40" t="str">
        <f ca="1">IF(RES_AB[[#This Row],[Reserva]]="","",CONCATENATE(RES_AB[[#This Row],[Cen.]]," | ",RES_AB[[#This Row],[SLA2]]))</f>
        <v>N190 | D+3</v>
      </c>
      <c r="L321" s="40">
        <f ca="1">IF(RES_AB[[#This Row],[Reserva]]="","",IF(RES_AB[[#This Row],[SLA2]]=RES_AB[[#This Row],[Reserva]]="","",COUNTIF(MB25_VOLUMETRIA[Reserva],RES_AB[[#This Row],[Reserva]])))</f>
        <v>1</v>
      </c>
      <c r="M3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1" s="37" t="str">
        <f>IF(RES_AB[[#This Row],[Cen.]]="","",IFERROR(VLOOKUP(RES_AB[[#This Row],[Cen.]],Dados_Empresas[],2,FALSE),"Verificar empresa"))</f>
        <v>NET MASSIVO</v>
      </c>
      <c r="P321" s="37" t="str">
        <f>IF(RES_AB[[#This Row],[Empresa]]="","",IF(OR(RES_AB[[#This Row],[Empresa]]="NET MASSIVO",RES_AB[[#This Row],[Empresa]]="NET PROJETOS"),"NET","EMPRESARIAL"))</f>
        <v>NET</v>
      </c>
      <c r="Q321" s="37" t="str">
        <f>IF(RES_AB[[#This Row],[Reserva]]="","",IFERROR(VLOOKUP(RES_AB[[#This Row],[Reserva]],Tabela3[[Reserva]:[Descrição do status]],18,FALSE),"CONVENCIONAL"))</f>
        <v>CONVENCIONAL</v>
      </c>
    </row>
    <row r="322" spans="1:17" x14ac:dyDescent="0.25">
      <c r="A322" s="37">
        <v>4381076</v>
      </c>
      <c r="B322" s="37" t="s">
        <v>21</v>
      </c>
      <c r="C322" s="38" t="s">
        <v>21</v>
      </c>
      <c r="D322" s="38">
        <v>45447</v>
      </c>
      <c r="E3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2" s="39">
        <f>IFERROR(VLOOKUP(RES_AB[[#This Row],[Reserva]],Tabela8[[Reserva]:[Usuário]],7,FALSE),Dados!$A$17)</f>
        <v>0.33333333333333331</v>
      </c>
      <c r="G322" s="40">
        <f>IF(RES_AB[[#This Row],[Reserva]]="","",IF(RES_AB[[#This Row],[Hora Int WMS]]&lt;Dados!$A$16,2,2))</f>
        <v>2</v>
      </c>
      <c r="H322" s="40" t="str">
        <f>IF(RES_AB[[#This Row],[Reserva]]="","",IFERROR(VLOOKUP(RES_AB[[#This Row],[Reserva]],Tabela3[[Reserva]:[Condição para Faturamento]],20,FALSE),"IMPORTADO COM SUCESSO"))</f>
        <v>IMPORTADO</v>
      </c>
      <c r="I322" s="38">
        <f>IF(RES_AB[[#This Row],[Data base]]="","",WORKDAY(RES_AB[[#This Row],[Data Reserva - Feriado e Fds]],RES_AB[[#This Row],[Dias para atendimento]],Feriados[Data]))</f>
        <v>45449</v>
      </c>
      <c r="J322" s="40" t="str">
        <f ca="1">IF(RES_AB[[#This Row],[Reserva]]="","",CONCATENATE("D+",NETWORKDAYS(RES_AB[[#This Row],[Data Reserva - Feriado e Fds]],TODAY(),Feriados[Data])-1))</f>
        <v>D+3</v>
      </c>
      <c r="K322" s="40" t="str">
        <f ca="1">IF(RES_AB[[#This Row],[Reserva]]="","",CONCATENATE(RES_AB[[#This Row],[Cen.]]," | ",RES_AB[[#This Row],[SLA2]]))</f>
        <v>N190 | D+3</v>
      </c>
      <c r="L322" s="40">
        <f ca="1">IF(RES_AB[[#This Row],[Reserva]]="","",IF(RES_AB[[#This Row],[SLA2]]=RES_AB[[#This Row],[Reserva]]="","",COUNTIF(MB25_VOLUMETRIA[Reserva],RES_AB[[#This Row],[Reserva]])))</f>
        <v>1</v>
      </c>
      <c r="M3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2" s="37" t="str">
        <f>IF(RES_AB[[#This Row],[Cen.]]="","",IFERROR(VLOOKUP(RES_AB[[#This Row],[Cen.]],Dados_Empresas[],2,FALSE),"Verificar empresa"))</f>
        <v>NET MASSIVO</v>
      </c>
      <c r="P322" s="37" t="str">
        <f>IF(RES_AB[[#This Row],[Empresa]]="","",IF(OR(RES_AB[[#This Row],[Empresa]]="NET MASSIVO",RES_AB[[#This Row],[Empresa]]="NET PROJETOS"),"NET","EMPRESARIAL"))</f>
        <v>NET</v>
      </c>
      <c r="Q322" s="37" t="str">
        <f>IF(RES_AB[[#This Row],[Reserva]]="","",IFERROR(VLOOKUP(RES_AB[[#This Row],[Reserva]],Tabela3[[Reserva]:[Descrição do status]],18,FALSE),"CONVENCIONAL"))</f>
        <v>CONVENCIONAL</v>
      </c>
    </row>
    <row r="323" spans="1:17" x14ac:dyDescent="0.25">
      <c r="A323" s="37">
        <v>4381077</v>
      </c>
      <c r="B323" s="37" t="s">
        <v>21</v>
      </c>
      <c r="C323" s="38" t="s">
        <v>19</v>
      </c>
      <c r="D323" s="38">
        <v>45447</v>
      </c>
      <c r="E3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3" s="39">
        <f>IFERROR(VLOOKUP(RES_AB[[#This Row],[Reserva]],Tabela8[[Reserva]:[Usuário]],7,FALSE),Dados!$A$17)</f>
        <v>0.33333333333333331</v>
      </c>
      <c r="G323" s="40">
        <f>IF(RES_AB[[#This Row],[Reserva]]="","",IF(RES_AB[[#This Row],[Hora Int WMS]]&lt;Dados!$A$16,2,2))</f>
        <v>2</v>
      </c>
      <c r="H323" s="40" t="str">
        <f>IF(RES_AB[[#This Row],[Reserva]]="","",IFERROR(VLOOKUP(RES_AB[[#This Row],[Reserva]],Tabela3[[Reserva]:[Condição para Faturamento]],20,FALSE),"IMPORTADO COM SUCESSO"))</f>
        <v>EM RESSUPRIMENTO</v>
      </c>
      <c r="I323" s="38">
        <f>IF(RES_AB[[#This Row],[Data base]]="","",WORKDAY(RES_AB[[#This Row],[Data Reserva - Feriado e Fds]],RES_AB[[#This Row],[Dias para atendimento]],Feriados[Data]))</f>
        <v>45449</v>
      </c>
      <c r="J323" s="40" t="str">
        <f ca="1">IF(RES_AB[[#This Row],[Reserva]]="","",CONCATENATE("D+",NETWORKDAYS(RES_AB[[#This Row],[Data Reserva - Feriado e Fds]],TODAY(),Feriados[Data])-1))</f>
        <v>D+3</v>
      </c>
      <c r="K323" s="40" t="str">
        <f ca="1">IF(RES_AB[[#This Row],[Reserva]]="","",CONCATENATE(RES_AB[[#This Row],[Cen.]]," | ",RES_AB[[#This Row],[SLA2]]))</f>
        <v>N190 | D+3</v>
      </c>
      <c r="L323" s="40">
        <f ca="1">IF(RES_AB[[#This Row],[Reserva]]="","",IF(RES_AB[[#This Row],[SLA2]]=RES_AB[[#This Row],[Reserva]]="","",COUNTIF(MB25_VOLUMETRIA[Reserva],RES_AB[[#This Row],[Reserva]])))</f>
        <v>3</v>
      </c>
      <c r="M3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3" s="37" t="str">
        <f>IF(RES_AB[[#This Row],[Cen.]]="","",IFERROR(VLOOKUP(RES_AB[[#This Row],[Cen.]],Dados_Empresas[],2,FALSE),"Verificar empresa"))</f>
        <v>NET MASSIVO</v>
      </c>
      <c r="P323" s="37" t="str">
        <f>IF(RES_AB[[#This Row],[Empresa]]="","",IF(OR(RES_AB[[#This Row],[Empresa]]="NET MASSIVO",RES_AB[[#This Row],[Empresa]]="NET PROJETOS"),"NET","EMPRESARIAL"))</f>
        <v>NET</v>
      </c>
      <c r="Q323" s="37" t="str">
        <f>IF(RES_AB[[#This Row],[Reserva]]="","",IFERROR(VLOOKUP(RES_AB[[#This Row],[Reserva]],Tabela3[[Reserva]:[Descrição do status]],18,FALSE),"CONVENCIONAL"))</f>
        <v>CONVENCIONAL</v>
      </c>
    </row>
    <row r="324" spans="1:17" x14ac:dyDescent="0.25">
      <c r="A324" s="37">
        <v>4381078</v>
      </c>
      <c r="B324" s="37" t="s">
        <v>21</v>
      </c>
      <c r="C324" s="38" t="s">
        <v>19</v>
      </c>
      <c r="D324" s="38">
        <v>45447</v>
      </c>
      <c r="E3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4" s="39">
        <f>IFERROR(VLOOKUP(RES_AB[[#This Row],[Reserva]],Tabela8[[Reserva]:[Usuário]],7,FALSE),Dados!$A$17)</f>
        <v>0.33333333333333331</v>
      </c>
      <c r="G324" s="40">
        <f>IF(RES_AB[[#This Row],[Reserva]]="","",IF(RES_AB[[#This Row],[Hora Int WMS]]&lt;Dados!$A$16,2,2))</f>
        <v>2</v>
      </c>
      <c r="H324" s="40" t="str">
        <f>IF(RES_AB[[#This Row],[Reserva]]="","",IFERROR(VLOOKUP(RES_AB[[#This Row],[Reserva]],Tabela3[[Reserva]:[Condição para Faturamento]],20,FALSE),"IMPORTADO COM SUCESSO"))</f>
        <v>IMPORTADO</v>
      </c>
      <c r="I324" s="38">
        <f>IF(RES_AB[[#This Row],[Data base]]="","",WORKDAY(RES_AB[[#This Row],[Data Reserva - Feriado e Fds]],RES_AB[[#This Row],[Dias para atendimento]],Feriados[Data]))</f>
        <v>45449</v>
      </c>
      <c r="J324" s="40" t="str">
        <f ca="1">IF(RES_AB[[#This Row],[Reserva]]="","",CONCATENATE("D+",NETWORKDAYS(RES_AB[[#This Row],[Data Reserva - Feriado e Fds]],TODAY(),Feriados[Data])-1))</f>
        <v>D+3</v>
      </c>
      <c r="K324" s="40" t="str">
        <f ca="1">IF(RES_AB[[#This Row],[Reserva]]="","",CONCATENATE(RES_AB[[#This Row],[Cen.]]," | ",RES_AB[[#This Row],[SLA2]]))</f>
        <v>N190 | D+3</v>
      </c>
      <c r="L324" s="40">
        <f ca="1">IF(RES_AB[[#This Row],[Reserva]]="","",IF(RES_AB[[#This Row],[SLA2]]=RES_AB[[#This Row],[Reserva]]="","",COUNTIF(MB25_VOLUMETRIA[Reserva],RES_AB[[#This Row],[Reserva]])))</f>
        <v>3</v>
      </c>
      <c r="M3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4" s="37" t="str">
        <f>IF(RES_AB[[#This Row],[Cen.]]="","",IFERROR(VLOOKUP(RES_AB[[#This Row],[Cen.]],Dados_Empresas[],2,FALSE),"Verificar empresa"))</f>
        <v>NET MASSIVO</v>
      </c>
      <c r="P324" s="37" t="str">
        <f>IF(RES_AB[[#This Row],[Empresa]]="","",IF(OR(RES_AB[[#This Row],[Empresa]]="NET MASSIVO",RES_AB[[#This Row],[Empresa]]="NET PROJETOS"),"NET","EMPRESARIAL"))</f>
        <v>NET</v>
      </c>
      <c r="Q324" s="37" t="str">
        <f>IF(RES_AB[[#This Row],[Reserva]]="","",IFERROR(VLOOKUP(RES_AB[[#This Row],[Reserva]],Tabela3[[Reserva]:[Descrição do status]],18,FALSE),"CONVENCIONAL"))</f>
        <v>CONVENCIONAL</v>
      </c>
    </row>
    <row r="325" spans="1:17" x14ac:dyDescent="0.25">
      <c r="A325" s="37">
        <v>4381080</v>
      </c>
      <c r="B325" s="37" t="s">
        <v>21</v>
      </c>
      <c r="C325" s="38" t="s">
        <v>19</v>
      </c>
      <c r="D325" s="38">
        <v>45447</v>
      </c>
      <c r="E3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5" s="39">
        <f>IFERROR(VLOOKUP(RES_AB[[#This Row],[Reserva]],Tabela8[[Reserva]:[Usuário]],7,FALSE),Dados!$A$17)</f>
        <v>0.33333333333333331</v>
      </c>
      <c r="G325" s="40">
        <f>IF(RES_AB[[#This Row],[Reserva]]="","",IF(RES_AB[[#This Row],[Hora Int WMS]]&lt;Dados!$A$16,2,2))</f>
        <v>2</v>
      </c>
      <c r="H325" s="40" t="str">
        <f>IF(RES_AB[[#This Row],[Reserva]]="","",IFERROR(VLOOKUP(RES_AB[[#This Row],[Reserva]],Tabela3[[Reserva]:[Condição para Faturamento]],20,FALSE),"IMPORTADO COM SUCESSO"))</f>
        <v>EM RESSUPRIMENTO</v>
      </c>
      <c r="I325" s="38">
        <f>IF(RES_AB[[#This Row],[Data base]]="","",WORKDAY(RES_AB[[#This Row],[Data Reserva - Feriado e Fds]],RES_AB[[#This Row],[Dias para atendimento]],Feriados[Data]))</f>
        <v>45449</v>
      </c>
      <c r="J325" s="40" t="str">
        <f ca="1">IF(RES_AB[[#This Row],[Reserva]]="","",CONCATENATE("D+",NETWORKDAYS(RES_AB[[#This Row],[Data Reserva - Feriado e Fds]],TODAY(),Feriados[Data])-1))</f>
        <v>D+3</v>
      </c>
      <c r="K325" s="40" t="str">
        <f ca="1">IF(RES_AB[[#This Row],[Reserva]]="","",CONCATENATE(RES_AB[[#This Row],[Cen.]]," | ",RES_AB[[#This Row],[SLA2]]))</f>
        <v>N190 | D+3</v>
      </c>
      <c r="L325" s="40">
        <f ca="1">IF(RES_AB[[#This Row],[Reserva]]="","",IF(RES_AB[[#This Row],[SLA2]]=RES_AB[[#This Row],[Reserva]]="","",COUNTIF(MB25_VOLUMETRIA[Reserva],RES_AB[[#This Row],[Reserva]])))</f>
        <v>2</v>
      </c>
      <c r="M3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5" s="37" t="str">
        <f>IF(RES_AB[[#This Row],[Cen.]]="","",IFERROR(VLOOKUP(RES_AB[[#This Row],[Cen.]],Dados_Empresas[],2,FALSE),"Verificar empresa"))</f>
        <v>NET MASSIVO</v>
      </c>
      <c r="P325" s="37" t="str">
        <f>IF(RES_AB[[#This Row],[Empresa]]="","",IF(OR(RES_AB[[#This Row],[Empresa]]="NET MASSIVO",RES_AB[[#This Row],[Empresa]]="NET PROJETOS"),"NET","EMPRESARIAL"))</f>
        <v>NET</v>
      </c>
      <c r="Q325" s="37" t="str">
        <f>IF(RES_AB[[#This Row],[Reserva]]="","",IFERROR(VLOOKUP(RES_AB[[#This Row],[Reserva]],Tabela3[[Reserva]:[Descrição do status]],18,FALSE),"CONVENCIONAL"))</f>
        <v>CONVENCIONAL</v>
      </c>
    </row>
    <row r="326" spans="1:17" x14ac:dyDescent="0.25">
      <c r="A326" s="37">
        <v>4381081</v>
      </c>
      <c r="B326" s="37" t="s">
        <v>21</v>
      </c>
      <c r="C326" s="38" t="s">
        <v>19</v>
      </c>
      <c r="D326" s="38">
        <v>45447</v>
      </c>
      <c r="E3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6" s="39">
        <f>IFERROR(VLOOKUP(RES_AB[[#This Row],[Reserva]],Tabela8[[Reserva]:[Usuário]],7,FALSE),Dados!$A$17)</f>
        <v>0.33333333333333331</v>
      </c>
      <c r="G326" s="40">
        <f>IF(RES_AB[[#This Row],[Reserva]]="","",IF(RES_AB[[#This Row],[Hora Int WMS]]&lt;Dados!$A$16,2,2))</f>
        <v>2</v>
      </c>
      <c r="H326" s="40" t="str">
        <f>IF(RES_AB[[#This Row],[Reserva]]="","",IFERROR(VLOOKUP(RES_AB[[#This Row],[Reserva]],Tabela3[[Reserva]:[Condição para Faturamento]],20,FALSE),"IMPORTADO COM SUCESSO"))</f>
        <v>EM RESSUPRIMENTO</v>
      </c>
      <c r="I326" s="38">
        <f>IF(RES_AB[[#This Row],[Data base]]="","",WORKDAY(RES_AB[[#This Row],[Data Reserva - Feriado e Fds]],RES_AB[[#This Row],[Dias para atendimento]],Feriados[Data]))</f>
        <v>45449</v>
      </c>
      <c r="J326" s="40" t="str">
        <f ca="1">IF(RES_AB[[#This Row],[Reserva]]="","",CONCATENATE("D+",NETWORKDAYS(RES_AB[[#This Row],[Data Reserva - Feriado e Fds]],TODAY(),Feriados[Data])-1))</f>
        <v>D+3</v>
      </c>
      <c r="K326" s="40" t="str">
        <f ca="1">IF(RES_AB[[#This Row],[Reserva]]="","",CONCATENATE(RES_AB[[#This Row],[Cen.]]," | ",RES_AB[[#This Row],[SLA2]]))</f>
        <v>N190 | D+3</v>
      </c>
      <c r="L326" s="40">
        <f ca="1">IF(RES_AB[[#This Row],[Reserva]]="","",IF(RES_AB[[#This Row],[SLA2]]=RES_AB[[#This Row],[Reserva]]="","",COUNTIF(MB25_VOLUMETRIA[Reserva],RES_AB[[#This Row],[Reserva]])))</f>
        <v>3</v>
      </c>
      <c r="M3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6" s="37" t="str">
        <f>IF(RES_AB[[#This Row],[Cen.]]="","",IFERROR(VLOOKUP(RES_AB[[#This Row],[Cen.]],Dados_Empresas[],2,FALSE),"Verificar empresa"))</f>
        <v>NET MASSIVO</v>
      </c>
      <c r="P326" s="37" t="str">
        <f>IF(RES_AB[[#This Row],[Empresa]]="","",IF(OR(RES_AB[[#This Row],[Empresa]]="NET MASSIVO",RES_AB[[#This Row],[Empresa]]="NET PROJETOS"),"NET","EMPRESARIAL"))</f>
        <v>NET</v>
      </c>
      <c r="Q326" s="37" t="str">
        <f>IF(RES_AB[[#This Row],[Reserva]]="","",IFERROR(VLOOKUP(RES_AB[[#This Row],[Reserva]],Tabela3[[Reserva]:[Descrição do status]],18,FALSE),"CONVENCIONAL"))</f>
        <v>CONVENCIONAL</v>
      </c>
    </row>
    <row r="327" spans="1:17" x14ac:dyDescent="0.25">
      <c r="A327" s="37">
        <v>4381082</v>
      </c>
      <c r="B327" s="37" t="s">
        <v>21</v>
      </c>
      <c r="C327" s="38" t="s">
        <v>19</v>
      </c>
      <c r="D327" s="38">
        <v>45447</v>
      </c>
      <c r="E3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7" s="39">
        <f>IFERROR(VLOOKUP(RES_AB[[#This Row],[Reserva]],Tabela8[[Reserva]:[Usuário]],7,FALSE),Dados!$A$17)</f>
        <v>0.33333333333333331</v>
      </c>
      <c r="G327" s="40">
        <f>IF(RES_AB[[#This Row],[Reserva]]="","",IF(RES_AB[[#This Row],[Hora Int WMS]]&lt;Dados!$A$16,2,2))</f>
        <v>2</v>
      </c>
      <c r="H327" s="40" t="str">
        <f>IF(RES_AB[[#This Row],[Reserva]]="","",IFERROR(VLOOKUP(RES_AB[[#This Row],[Reserva]],Tabela3[[Reserva]:[Condição para Faturamento]],20,FALSE),"IMPORTADO COM SUCESSO"))</f>
        <v>EM RESSUPRIMENTO</v>
      </c>
      <c r="I327" s="38">
        <f>IF(RES_AB[[#This Row],[Data base]]="","",WORKDAY(RES_AB[[#This Row],[Data Reserva - Feriado e Fds]],RES_AB[[#This Row],[Dias para atendimento]],Feriados[Data]))</f>
        <v>45449</v>
      </c>
      <c r="J327" s="40" t="str">
        <f ca="1">IF(RES_AB[[#This Row],[Reserva]]="","",CONCATENATE("D+",NETWORKDAYS(RES_AB[[#This Row],[Data Reserva - Feriado e Fds]],TODAY(),Feriados[Data])-1))</f>
        <v>D+3</v>
      </c>
      <c r="K327" s="40" t="str">
        <f ca="1">IF(RES_AB[[#This Row],[Reserva]]="","",CONCATENATE(RES_AB[[#This Row],[Cen.]]," | ",RES_AB[[#This Row],[SLA2]]))</f>
        <v>N190 | D+3</v>
      </c>
      <c r="L327" s="40">
        <f ca="1">IF(RES_AB[[#This Row],[Reserva]]="","",IF(RES_AB[[#This Row],[SLA2]]=RES_AB[[#This Row],[Reserva]]="","",COUNTIF(MB25_VOLUMETRIA[Reserva],RES_AB[[#This Row],[Reserva]])))</f>
        <v>1</v>
      </c>
      <c r="M3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7" s="37" t="str">
        <f>IF(RES_AB[[#This Row],[Cen.]]="","",IFERROR(VLOOKUP(RES_AB[[#This Row],[Cen.]],Dados_Empresas[],2,FALSE),"Verificar empresa"))</f>
        <v>NET MASSIVO</v>
      </c>
      <c r="P327" s="37" t="str">
        <f>IF(RES_AB[[#This Row],[Empresa]]="","",IF(OR(RES_AB[[#This Row],[Empresa]]="NET MASSIVO",RES_AB[[#This Row],[Empresa]]="NET PROJETOS"),"NET","EMPRESARIAL"))</f>
        <v>NET</v>
      </c>
      <c r="Q327" s="37" t="str">
        <f>IF(RES_AB[[#This Row],[Reserva]]="","",IFERROR(VLOOKUP(RES_AB[[#This Row],[Reserva]],Tabela3[[Reserva]:[Descrição do status]],18,FALSE),"CONVENCIONAL"))</f>
        <v>CONVENCIONAL</v>
      </c>
    </row>
    <row r="328" spans="1:17" x14ac:dyDescent="0.25">
      <c r="A328" s="37">
        <v>4381083</v>
      </c>
      <c r="B328" s="37" t="s">
        <v>21</v>
      </c>
      <c r="C328" s="38" t="s">
        <v>19</v>
      </c>
      <c r="D328" s="38">
        <v>45447</v>
      </c>
      <c r="E3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8" s="39">
        <f>IFERROR(VLOOKUP(RES_AB[[#This Row],[Reserva]],Tabela8[[Reserva]:[Usuário]],7,FALSE),Dados!$A$17)</f>
        <v>0.33333333333333331</v>
      </c>
      <c r="G328" s="40">
        <f>IF(RES_AB[[#This Row],[Reserva]]="","",IF(RES_AB[[#This Row],[Hora Int WMS]]&lt;Dados!$A$16,2,2))</f>
        <v>2</v>
      </c>
      <c r="H328" s="40" t="str">
        <f>IF(RES_AB[[#This Row],[Reserva]]="","",IFERROR(VLOOKUP(RES_AB[[#This Row],[Reserva]],Tabela3[[Reserva]:[Condição para Faturamento]],20,FALSE),"IMPORTADO COM SUCESSO"))</f>
        <v>IMPORTADO</v>
      </c>
      <c r="I328" s="38">
        <f>IF(RES_AB[[#This Row],[Data base]]="","",WORKDAY(RES_AB[[#This Row],[Data Reserva - Feriado e Fds]],RES_AB[[#This Row],[Dias para atendimento]],Feriados[Data]))</f>
        <v>45449</v>
      </c>
      <c r="J328" s="40" t="str">
        <f ca="1">IF(RES_AB[[#This Row],[Reserva]]="","",CONCATENATE("D+",NETWORKDAYS(RES_AB[[#This Row],[Data Reserva - Feriado e Fds]],TODAY(),Feriados[Data])-1))</f>
        <v>D+3</v>
      </c>
      <c r="K328" s="40" t="str">
        <f ca="1">IF(RES_AB[[#This Row],[Reserva]]="","",CONCATENATE(RES_AB[[#This Row],[Cen.]]," | ",RES_AB[[#This Row],[SLA2]]))</f>
        <v>N190 | D+3</v>
      </c>
      <c r="L328" s="40">
        <f ca="1">IF(RES_AB[[#This Row],[Reserva]]="","",IF(RES_AB[[#This Row],[SLA2]]=RES_AB[[#This Row],[Reserva]]="","",COUNTIF(MB25_VOLUMETRIA[Reserva],RES_AB[[#This Row],[Reserva]])))</f>
        <v>2</v>
      </c>
      <c r="M3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8" s="37" t="str">
        <f>IF(RES_AB[[#This Row],[Cen.]]="","",IFERROR(VLOOKUP(RES_AB[[#This Row],[Cen.]],Dados_Empresas[],2,FALSE),"Verificar empresa"))</f>
        <v>NET MASSIVO</v>
      </c>
      <c r="P328" s="37" t="str">
        <f>IF(RES_AB[[#This Row],[Empresa]]="","",IF(OR(RES_AB[[#This Row],[Empresa]]="NET MASSIVO",RES_AB[[#This Row],[Empresa]]="NET PROJETOS"),"NET","EMPRESARIAL"))</f>
        <v>NET</v>
      </c>
      <c r="Q328" s="37" t="str">
        <f>IF(RES_AB[[#This Row],[Reserva]]="","",IFERROR(VLOOKUP(RES_AB[[#This Row],[Reserva]],Tabela3[[Reserva]:[Descrição do status]],18,FALSE),"CONVENCIONAL"))</f>
        <v>CONVENCIONAL</v>
      </c>
    </row>
    <row r="329" spans="1:17" x14ac:dyDescent="0.25">
      <c r="A329" s="37">
        <v>4381084</v>
      </c>
      <c r="B329" s="37" t="s">
        <v>21</v>
      </c>
      <c r="C329" s="38" t="s">
        <v>19</v>
      </c>
      <c r="D329" s="38">
        <v>45447</v>
      </c>
      <c r="E3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29" s="39">
        <f>IFERROR(VLOOKUP(RES_AB[[#This Row],[Reserva]],Tabela8[[Reserva]:[Usuário]],7,FALSE),Dados!$A$17)</f>
        <v>0.33333333333333331</v>
      </c>
      <c r="G329" s="40">
        <f>IF(RES_AB[[#This Row],[Reserva]]="","",IF(RES_AB[[#This Row],[Hora Int WMS]]&lt;Dados!$A$16,2,2))</f>
        <v>2</v>
      </c>
      <c r="H329" s="40" t="str">
        <f>IF(RES_AB[[#This Row],[Reserva]]="","",IFERROR(VLOOKUP(RES_AB[[#This Row],[Reserva]],Tabela3[[Reserva]:[Condição para Faturamento]],20,FALSE),"IMPORTADO COM SUCESSO"))</f>
        <v>IMPORTADO</v>
      </c>
      <c r="I329" s="38">
        <f>IF(RES_AB[[#This Row],[Data base]]="","",WORKDAY(RES_AB[[#This Row],[Data Reserva - Feriado e Fds]],RES_AB[[#This Row],[Dias para atendimento]],Feriados[Data]))</f>
        <v>45449</v>
      </c>
      <c r="J329" s="40" t="str">
        <f ca="1">IF(RES_AB[[#This Row],[Reserva]]="","",CONCATENATE("D+",NETWORKDAYS(RES_AB[[#This Row],[Data Reserva - Feriado e Fds]],TODAY(),Feriados[Data])-1))</f>
        <v>D+3</v>
      </c>
      <c r="K329" s="40" t="str">
        <f ca="1">IF(RES_AB[[#This Row],[Reserva]]="","",CONCATENATE(RES_AB[[#This Row],[Cen.]]," | ",RES_AB[[#This Row],[SLA2]]))</f>
        <v>N190 | D+3</v>
      </c>
      <c r="L329" s="40">
        <f ca="1">IF(RES_AB[[#This Row],[Reserva]]="","",IF(RES_AB[[#This Row],[SLA2]]=RES_AB[[#This Row],[Reserva]]="","",COUNTIF(MB25_VOLUMETRIA[Reserva],RES_AB[[#This Row],[Reserva]])))</f>
        <v>2</v>
      </c>
      <c r="M3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29" s="37" t="str">
        <f>IF(RES_AB[[#This Row],[Cen.]]="","",IFERROR(VLOOKUP(RES_AB[[#This Row],[Cen.]],Dados_Empresas[],2,FALSE),"Verificar empresa"))</f>
        <v>NET MASSIVO</v>
      </c>
      <c r="P329" s="37" t="str">
        <f>IF(RES_AB[[#This Row],[Empresa]]="","",IF(OR(RES_AB[[#This Row],[Empresa]]="NET MASSIVO",RES_AB[[#This Row],[Empresa]]="NET PROJETOS"),"NET","EMPRESARIAL"))</f>
        <v>NET</v>
      </c>
      <c r="Q329" s="37" t="str">
        <f>IF(RES_AB[[#This Row],[Reserva]]="","",IFERROR(VLOOKUP(RES_AB[[#This Row],[Reserva]],Tabela3[[Reserva]:[Descrição do status]],18,FALSE),"CONVENCIONAL"))</f>
        <v>CONVENCIONAL</v>
      </c>
    </row>
    <row r="330" spans="1:17" x14ac:dyDescent="0.25">
      <c r="A330" s="37">
        <v>4381085</v>
      </c>
      <c r="B330" s="37" t="s">
        <v>21</v>
      </c>
      <c r="C330" s="38" t="s">
        <v>19</v>
      </c>
      <c r="D330" s="38">
        <v>45447</v>
      </c>
      <c r="E3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0" s="39">
        <f>IFERROR(VLOOKUP(RES_AB[[#This Row],[Reserva]],Tabela8[[Reserva]:[Usuário]],7,FALSE),Dados!$A$17)</f>
        <v>0.33333333333333331</v>
      </c>
      <c r="G330" s="40">
        <f>IF(RES_AB[[#This Row],[Reserva]]="","",IF(RES_AB[[#This Row],[Hora Int WMS]]&lt;Dados!$A$16,2,2))</f>
        <v>2</v>
      </c>
      <c r="H330" s="40" t="str">
        <f>IF(RES_AB[[#This Row],[Reserva]]="","",IFERROR(VLOOKUP(RES_AB[[#This Row],[Reserva]],Tabela3[[Reserva]:[Condição para Faturamento]],20,FALSE),"IMPORTADO COM SUCESSO"))</f>
        <v>EM RESSUPRIMENTO</v>
      </c>
      <c r="I330" s="38">
        <f>IF(RES_AB[[#This Row],[Data base]]="","",WORKDAY(RES_AB[[#This Row],[Data Reserva - Feriado e Fds]],RES_AB[[#This Row],[Dias para atendimento]],Feriados[Data]))</f>
        <v>45449</v>
      </c>
      <c r="J330" s="40" t="str">
        <f ca="1">IF(RES_AB[[#This Row],[Reserva]]="","",CONCATENATE("D+",NETWORKDAYS(RES_AB[[#This Row],[Data Reserva - Feriado e Fds]],TODAY(),Feriados[Data])-1))</f>
        <v>D+3</v>
      </c>
      <c r="K330" s="40" t="str">
        <f ca="1">IF(RES_AB[[#This Row],[Reserva]]="","",CONCATENATE(RES_AB[[#This Row],[Cen.]]," | ",RES_AB[[#This Row],[SLA2]]))</f>
        <v>N190 | D+3</v>
      </c>
      <c r="L330" s="40">
        <f ca="1">IF(RES_AB[[#This Row],[Reserva]]="","",IF(RES_AB[[#This Row],[SLA2]]=RES_AB[[#This Row],[Reserva]]="","",COUNTIF(MB25_VOLUMETRIA[Reserva],RES_AB[[#This Row],[Reserva]])))</f>
        <v>2</v>
      </c>
      <c r="M3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0" s="37" t="str">
        <f>IF(RES_AB[[#This Row],[Cen.]]="","",IFERROR(VLOOKUP(RES_AB[[#This Row],[Cen.]],Dados_Empresas[],2,FALSE),"Verificar empresa"))</f>
        <v>NET MASSIVO</v>
      </c>
      <c r="P330" s="37" t="str">
        <f>IF(RES_AB[[#This Row],[Empresa]]="","",IF(OR(RES_AB[[#This Row],[Empresa]]="NET MASSIVO",RES_AB[[#This Row],[Empresa]]="NET PROJETOS"),"NET","EMPRESARIAL"))</f>
        <v>NET</v>
      </c>
      <c r="Q330" s="37" t="str">
        <f>IF(RES_AB[[#This Row],[Reserva]]="","",IFERROR(VLOOKUP(RES_AB[[#This Row],[Reserva]],Tabela3[[Reserva]:[Descrição do status]],18,FALSE),"CONVENCIONAL"))</f>
        <v>CONVENCIONAL</v>
      </c>
    </row>
    <row r="331" spans="1:17" x14ac:dyDescent="0.25">
      <c r="A331" s="37">
        <v>4381086</v>
      </c>
      <c r="B331" s="37" t="s">
        <v>21</v>
      </c>
      <c r="C331" s="38" t="s">
        <v>19</v>
      </c>
      <c r="D331" s="38">
        <v>45447</v>
      </c>
      <c r="E3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1" s="39">
        <f>IFERROR(VLOOKUP(RES_AB[[#This Row],[Reserva]],Tabela8[[Reserva]:[Usuário]],7,FALSE),Dados!$A$17)</f>
        <v>0.33333333333333331</v>
      </c>
      <c r="G331" s="40">
        <f>IF(RES_AB[[#This Row],[Reserva]]="","",IF(RES_AB[[#This Row],[Hora Int WMS]]&lt;Dados!$A$16,2,2))</f>
        <v>2</v>
      </c>
      <c r="H331" s="40" t="str">
        <f>IF(RES_AB[[#This Row],[Reserva]]="","",IFERROR(VLOOKUP(RES_AB[[#This Row],[Reserva]],Tabela3[[Reserva]:[Condição para Faturamento]],20,FALSE),"IMPORTADO COM SUCESSO"))</f>
        <v>EM RESSUPRIMENTO</v>
      </c>
      <c r="I331" s="38">
        <f>IF(RES_AB[[#This Row],[Data base]]="","",WORKDAY(RES_AB[[#This Row],[Data Reserva - Feriado e Fds]],RES_AB[[#This Row],[Dias para atendimento]],Feriados[Data]))</f>
        <v>45449</v>
      </c>
      <c r="J331" s="40" t="str">
        <f ca="1">IF(RES_AB[[#This Row],[Reserva]]="","",CONCATENATE("D+",NETWORKDAYS(RES_AB[[#This Row],[Data Reserva - Feriado e Fds]],TODAY(),Feriados[Data])-1))</f>
        <v>D+3</v>
      </c>
      <c r="K331" s="40" t="str">
        <f ca="1">IF(RES_AB[[#This Row],[Reserva]]="","",CONCATENATE(RES_AB[[#This Row],[Cen.]]," | ",RES_AB[[#This Row],[SLA2]]))</f>
        <v>N190 | D+3</v>
      </c>
      <c r="L331" s="40">
        <f ca="1">IF(RES_AB[[#This Row],[Reserva]]="","",IF(RES_AB[[#This Row],[SLA2]]=RES_AB[[#This Row],[Reserva]]="","",COUNTIF(MB25_VOLUMETRIA[Reserva],RES_AB[[#This Row],[Reserva]])))</f>
        <v>2</v>
      </c>
      <c r="M3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1" s="37" t="str">
        <f>IF(RES_AB[[#This Row],[Cen.]]="","",IFERROR(VLOOKUP(RES_AB[[#This Row],[Cen.]],Dados_Empresas[],2,FALSE),"Verificar empresa"))</f>
        <v>NET MASSIVO</v>
      </c>
      <c r="P331" s="37" t="str">
        <f>IF(RES_AB[[#This Row],[Empresa]]="","",IF(OR(RES_AB[[#This Row],[Empresa]]="NET MASSIVO",RES_AB[[#This Row],[Empresa]]="NET PROJETOS"),"NET","EMPRESARIAL"))</f>
        <v>NET</v>
      </c>
      <c r="Q331" s="37" t="str">
        <f>IF(RES_AB[[#This Row],[Reserva]]="","",IFERROR(VLOOKUP(RES_AB[[#This Row],[Reserva]],Tabela3[[Reserva]:[Descrição do status]],18,FALSE),"CONVENCIONAL"))</f>
        <v>CONVENCIONAL</v>
      </c>
    </row>
    <row r="332" spans="1:17" x14ac:dyDescent="0.25">
      <c r="A332" s="37">
        <v>4381087</v>
      </c>
      <c r="B332" s="37" t="s">
        <v>21</v>
      </c>
      <c r="C332" s="38" t="s">
        <v>19</v>
      </c>
      <c r="D332" s="38">
        <v>45447</v>
      </c>
      <c r="E3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2" s="39">
        <f>IFERROR(VLOOKUP(RES_AB[[#This Row],[Reserva]],Tabela8[[Reserva]:[Usuário]],7,FALSE),Dados!$A$17)</f>
        <v>0.33333333333333331</v>
      </c>
      <c r="G332" s="40">
        <f>IF(RES_AB[[#This Row],[Reserva]]="","",IF(RES_AB[[#This Row],[Hora Int WMS]]&lt;Dados!$A$16,2,2))</f>
        <v>2</v>
      </c>
      <c r="H332" s="40" t="str">
        <f>IF(RES_AB[[#This Row],[Reserva]]="","",IFERROR(VLOOKUP(RES_AB[[#This Row],[Reserva]],Tabela3[[Reserva]:[Condição para Faturamento]],20,FALSE),"IMPORTADO COM SUCESSO"))</f>
        <v>EM RESSUPRIMENTO</v>
      </c>
      <c r="I332" s="38">
        <f>IF(RES_AB[[#This Row],[Data base]]="","",WORKDAY(RES_AB[[#This Row],[Data Reserva - Feriado e Fds]],RES_AB[[#This Row],[Dias para atendimento]],Feriados[Data]))</f>
        <v>45449</v>
      </c>
      <c r="J332" s="40" t="str">
        <f ca="1">IF(RES_AB[[#This Row],[Reserva]]="","",CONCATENATE("D+",NETWORKDAYS(RES_AB[[#This Row],[Data Reserva - Feriado e Fds]],TODAY(),Feriados[Data])-1))</f>
        <v>D+3</v>
      </c>
      <c r="K332" s="40" t="str">
        <f ca="1">IF(RES_AB[[#This Row],[Reserva]]="","",CONCATENATE(RES_AB[[#This Row],[Cen.]]," | ",RES_AB[[#This Row],[SLA2]]))</f>
        <v>N190 | D+3</v>
      </c>
      <c r="L332" s="40">
        <f ca="1">IF(RES_AB[[#This Row],[Reserva]]="","",IF(RES_AB[[#This Row],[SLA2]]=RES_AB[[#This Row],[Reserva]]="","",COUNTIF(MB25_VOLUMETRIA[Reserva],RES_AB[[#This Row],[Reserva]])))</f>
        <v>1</v>
      </c>
      <c r="M3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2" s="37" t="str">
        <f>IF(RES_AB[[#This Row],[Cen.]]="","",IFERROR(VLOOKUP(RES_AB[[#This Row],[Cen.]],Dados_Empresas[],2,FALSE),"Verificar empresa"))</f>
        <v>NET MASSIVO</v>
      </c>
      <c r="P332" s="37" t="str">
        <f>IF(RES_AB[[#This Row],[Empresa]]="","",IF(OR(RES_AB[[#This Row],[Empresa]]="NET MASSIVO",RES_AB[[#This Row],[Empresa]]="NET PROJETOS"),"NET","EMPRESARIAL"))</f>
        <v>NET</v>
      </c>
      <c r="Q332" s="37" t="str">
        <f>IF(RES_AB[[#This Row],[Reserva]]="","",IFERROR(VLOOKUP(RES_AB[[#This Row],[Reserva]],Tabela3[[Reserva]:[Descrição do status]],18,FALSE),"CONVENCIONAL"))</f>
        <v>CONVENCIONAL</v>
      </c>
    </row>
    <row r="333" spans="1:17" x14ac:dyDescent="0.25">
      <c r="A333" s="37">
        <v>4381088</v>
      </c>
      <c r="B333" s="37" t="s">
        <v>21</v>
      </c>
      <c r="C333" s="38" t="s">
        <v>19</v>
      </c>
      <c r="D333" s="38">
        <v>45447</v>
      </c>
      <c r="E3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3" s="39">
        <f>IFERROR(VLOOKUP(RES_AB[[#This Row],[Reserva]],Tabela8[[Reserva]:[Usuário]],7,FALSE),Dados!$A$17)</f>
        <v>0.33333333333333331</v>
      </c>
      <c r="G333" s="40">
        <f>IF(RES_AB[[#This Row],[Reserva]]="","",IF(RES_AB[[#This Row],[Hora Int WMS]]&lt;Dados!$A$16,2,2))</f>
        <v>2</v>
      </c>
      <c r="H333" s="40" t="str">
        <f>IF(RES_AB[[#This Row],[Reserva]]="","",IFERROR(VLOOKUP(RES_AB[[#This Row],[Reserva]],Tabela3[[Reserva]:[Condição para Faturamento]],20,FALSE),"IMPORTADO COM SUCESSO"))</f>
        <v>EM RESSUPRIMENTO</v>
      </c>
      <c r="I333" s="38">
        <f>IF(RES_AB[[#This Row],[Data base]]="","",WORKDAY(RES_AB[[#This Row],[Data Reserva - Feriado e Fds]],RES_AB[[#This Row],[Dias para atendimento]],Feriados[Data]))</f>
        <v>45449</v>
      </c>
      <c r="J333" s="40" t="str">
        <f ca="1">IF(RES_AB[[#This Row],[Reserva]]="","",CONCATENATE("D+",NETWORKDAYS(RES_AB[[#This Row],[Data Reserva - Feriado e Fds]],TODAY(),Feriados[Data])-1))</f>
        <v>D+3</v>
      </c>
      <c r="K333" s="40" t="str">
        <f ca="1">IF(RES_AB[[#This Row],[Reserva]]="","",CONCATENATE(RES_AB[[#This Row],[Cen.]]," | ",RES_AB[[#This Row],[SLA2]]))</f>
        <v>N190 | D+3</v>
      </c>
      <c r="L333" s="40">
        <f ca="1">IF(RES_AB[[#This Row],[Reserva]]="","",IF(RES_AB[[#This Row],[SLA2]]=RES_AB[[#This Row],[Reserva]]="","",COUNTIF(MB25_VOLUMETRIA[Reserva],RES_AB[[#This Row],[Reserva]])))</f>
        <v>2</v>
      </c>
      <c r="M3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3" s="37" t="str">
        <f>IF(RES_AB[[#This Row],[Cen.]]="","",IFERROR(VLOOKUP(RES_AB[[#This Row],[Cen.]],Dados_Empresas[],2,FALSE),"Verificar empresa"))</f>
        <v>NET MASSIVO</v>
      </c>
      <c r="P333" s="37" t="str">
        <f>IF(RES_AB[[#This Row],[Empresa]]="","",IF(OR(RES_AB[[#This Row],[Empresa]]="NET MASSIVO",RES_AB[[#This Row],[Empresa]]="NET PROJETOS"),"NET","EMPRESARIAL"))</f>
        <v>NET</v>
      </c>
      <c r="Q333" s="37" t="str">
        <f>IF(RES_AB[[#This Row],[Reserva]]="","",IFERROR(VLOOKUP(RES_AB[[#This Row],[Reserva]],Tabela3[[Reserva]:[Descrição do status]],18,FALSE),"CONVENCIONAL"))</f>
        <v>CONVENCIONAL</v>
      </c>
    </row>
    <row r="334" spans="1:17" x14ac:dyDescent="0.25">
      <c r="A334" s="37">
        <v>4381089</v>
      </c>
      <c r="B334" s="37" t="s">
        <v>21</v>
      </c>
      <c r="C334" s="38" t="s">
        <v>19</v>
      </c>
      <c r="D334" s="38">
        <v>45447</v>
      </c>
      <c r="E3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4" s="39">
        <f>IFERROR(VLOOKUP(RES_AB[[#This Row],[Reserva]],Tabela8[[Reserva]:[Usuário]],7,FALSE),Dados!$A$17)</f>
        <v>0.33333333333333331</v>
      </c>
      <c r="G334" s="40">
        <f>IF(RES_AB[[#This Row],[Reserva]]="","",IF(RES_AB[[#This Row],[Hora Int WMS]]&lt;Dados!$A$16,2,2))</f>
        <v>2</v>
      </c>
      <c r="H334" s="40" t="str">
        <f>IF(RES_AB[[#This Row],[Reserva]]="","",IFERROR(VLOOKUP(RES_AB[[#This Row],[Reserva]],Tabela3[[Reserva]:[Condição para Faturamento]],20,FALSE),"IMPORTADO COM SUCESSO"))</f>
        <v>EM RESSUPRIMENTO</v>
      </c>
      <c r="I334" s="38">
        <f>IF(RES_AB[[#This Row],[Data base]]="","",WORKDAY(RES_AB[[#This Row],[Data Reserva - Feriado e Fds]],RES_AB[[#This Row],[Dias para atendimento]],Feriados[Data]))</f>
        <v>45449</v>
      </c>
      <c r="J334" s="40" t="str">
        <f ca="1">IF(RES_AB[[#This Row],[Reserva]]="","",CONCATENATE("D+",NETWORKDAYS(RES_AB[[#This Row],[Data Reserva - Feriado e Fds]],TODAY(),Feriados[Data])-1))</f>
        <v>D+3</v>
      </c>
      <c r="K334" s="40" t="str">
        <f ca="1">IF(RES_AB[[#This Row],[Reserva]]="","",CONCATENATE(RES_AB[[#This Row],[Cen.]]," | ",RES_AB[[#This Row],[SLA2]]))</f>
        <v>N190 | D+3</v>
      </c>
      <c r="L334" s="40">
        <f ca="1">IF(RES_AB[[#This Row],[Reserva]]="","",IF(RES_AB[[#This Row],[SLA2]]=RES_AB[[#This Row],[Reserva]]="","",COUNTIF(MB25_VOLUMETRIA[Reserva],RES_AB[[#This Row],[Reserva]])))</f>
        <v>3</v>
      </c>
      <c r="M3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4" s="37" t="str">
        <f>IF(RES_AB[[#This Row],[Cen.]]="","",IFERROR(VLOOKUP(RES_AB[[#This Row],[Cen.]],Dados_Empresas[],2,FALSE),"Verificar empresa"))</f>
        <v>NET MASSIVO</v>
      </c>
      <c r="P334" s="37" t="str">
        <f>IF(RES_AB[[#This Row],[Empresa]]="","",IF(OR(RES_AB[[#This Row],[Empresa]]="NET MASSIVO",RES_AB[[#This Row],[Empresa]]="NET PROJETOS"),"NET","EMPRESARIAL"))</f>
        <v>NET</v>
      </c>
      <c r="Q334" s="37" t="str">
        <f>IF(RES_AB[[#This Row],[Reserva]]="","",IFERROR(VLOOKUP(RES_AB[[#This Row],[Reserva]],Tabela3[[Reserva]:[Descrição do status]],18,FALSE),"CONVENCIONAL"))</f>
        <v>CONVENCIONAL</v>
      </c>
    </row>
    <row r="335" spans="1:17" x14ac:dyDescent="0.25">
      <c r="A335" s="37">
        <v>4381090</v>
      </c>
      <c r="B335" s="37" t="s">
        <v>21</v>
      </c>
      <c r="C335" s="38" t="s">
        <v>19</v>
      </c>
      <c r="D335" s="38">
        <v>45447</v>
      </c>
      <c r="E3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5" s="39">
        <f>IFERROR(VLOOKUP(RES_AB[[#This Row],[Reserva]],Tabela8[[Reserva]:[Usuário]],7,FALSE),Dados!$A$17)</f>
        <v>0.83032407407407405</v>
      </c>
      <c r="G335" s="40">
        <f>IF(RES_AB[[#This Row],[Reserva]]="","",IF(RES_AB[[#This Row],[Hora Int WMS]]&lt;Dados!$A$16,2,2))</f>
        <v>2</v>
      </c>
      <c r="H335" s="40" t="str">
        <f>IF(RES_AB[[#This Row],[Reserva]]="","",IFERROR(VLOOKUP(RES_AB[[#This Row],[Reserva]],Tabela3[[Reserva]:[Condição para Faturamento]],20,FALSE),"IMPORTADO COM SUCESSO"))</f>
        <v>IMPORTADO</v>
      </c>
      <c r="I335" s="38">
        <f>IF(RES_AB[[#This Row],[Data base]]="","",WORKDAY(RES_AB[[#This Row],[Data Reserva - Feriado e Fds]],RES_AB[[#This Row],[Dias para atendimento]],Feriados[Data]))</f>
        <v>45449</v>
      </c>
      <c r="J335" s="40" t="str">
        <f ca="1">IF(RES_AB[[#This Row],[Reserva]]="","",CONCATENATE("D+",NETWORKDAYS(RES_AB[[#This Row],[Data Reserva - Feriado e Fds]],TODAY(),Feriados[Data])-1))</f>
        <v>D+3</v>
      </c>
      <c r="K335" s="40" t="str">
        <f ca="1">IF(RES_AB[[#This Row],[Reserva]]="","",CONCATENATE(RES_AB[[#This Row],[Cen.]]," | ",RES_AB[[#This Row],[SLA2]]))</f>
        <v>N190 | D+3</v>
      </c>
      <c r="L335" s="40">
        <f ca="1">IF(RES_AB[[#This Row],[Reserva]]="","",IF(RES_AB[[#This Row],[SLA2]]=RES_AB[[#This Row],[Reserva]]="","",COUNTIF(MB25_VOLUMETRIA[Reserva],RES_AB[[#This Row],[Reserva]])))</f>
        <v>3</v>
      </c>
      <c r="M3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5" s="37" t="str">
        <f>IF(RES_AB[[#This Row],[Cen.]]="","",IFERROR(VLOOKUP(RES_AB[[#This Row],[Cen.]],Dados_Empresas[],2,FALSE),"Verificar empresa"))</f>
        <v>NET MASSIVO</v>
      </c>
      <c r="P335" s="37" t="str">
        <f>IF(RES_AB[[#This Row],[Empresa]]="","",IF(OR(RES_AB[[#This Row],[Empresa]]="NET MASSIVO",RES_AB[[#This Row],[Empresa]]="NET PROJETOS"),"NET","EMPRESARIAL"))</f>
        <v>NET</v>
      </c>
      <c r="Q335" s="37" t="str">
        <f>IF(RES_AB[[#This Row],[Reserva]]="","",IFERROR(VLOOKUP(RES_AB[[#This Row],[Reserva]],Tabela3[[Reserva]:[Descrição do status]],18,FALSE),"CONVENCIONAL"))</f>
        <v>CONVENCIONAL</v>
      </c>
    </row>
    <row r="336" spans="1:17" x14ac:dyDescent="0.25">
      <c r="A336" s="37">
        <v>4381091</v>
      </c>
      <c r="B336" s="37" t="s">
        <v>21</v>
      </c>
      <c r="C336" s="38" t="s">
        <v>19</v>
      </c>
      <c r="D336" s="38">
        <v>45447</v>
      </c>
      <c r="E3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6" s="39">
        <f>IFERROR(VLOOKUP(RES_AB[[#This Row],[Reserva]],Tabela8[[Reserva]:[Usuário]],7,FALSE),Dados!$A$17)</f>
        <v>0.33333333333333331</v>
      </c>
      <c r="G336" s="40">
        <f>IF(RES_AB[[#This Row],[Reserva]]="","",IF(RES_AB[[#This Row],[Hora Int WMS]]&lt;Dados!$A$16,2,2))</f>
        <v>2</v>
      </c>
      <c r="H336" s="40" t="str">
        <f>IF(RES_AB[[#This Row],[Reserva]]="","",IFERROR(VLOOKUP(RES_AB[[#This Row],[Reserva]],Tabela3[[Reserva]:[Condição para Faturamento]],20,FALSE),"IMPORTADO COM SUCESSO"))</f>
        <v>EM RESSUPRIMENTO</v>
      </c>
      <c r="I336" s="38">
        <f>IF(RES_AB[[#This Row],[Data base]]="","",WORKDAY(RES_AB[[#This Row],[Data Reserva - Feriado e Fds]],RES_AB[[#This Row],[Dias para atendimento]],Feriados[Data]))</f>
        <v>45449</v>
      </c>
      <c r="J336" s="40" t="str">
        <f ca="1">IF(RES_AB[[#This Row],[Reserva]]="","",CONCATENATE("D+",NETWORKDAYS(RES_AB[[#This Row],[Data Reserva - Feriado e Fds]],TODAY(),Feriados[Data])-1))</f>
        <v>D+3</v>
      </c>
      <c r="K336" s="40" t="str">
        <f ca="1">IF(RES_AB[[#This Row],[Reserva]]="","",CONCATENATE(RES_AB[[#This Row],[Cen.]]," | ",RES_AB[[#This Row],[SLA2]]))</f>
        <v>N190 | D+3</v>
      </c>
      <c r="L336" s="40">
        <f ca="1">IF(RES_AB[[#This Row],[Reserva]]="","",IF(RES_AB[[#This Row],[SLA2]]=RES_AB[[#This Row],[Reserva]]="","",COUNTIF(MB25_VOLUMETRIA[Reserva],RES_AB[[#This Row],[Reserva]])))</f>
        <v>3</v>
      </c>
      <c r="M3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6" s="37" t="str">
        <f>IF(RES_AB[[#This Row],[Cen.]]="","",IFERROR(VLOOKUP(RES_AB[[#This Row],[Cen.]],Dados_Empresas[],2,FALSE),"Verificar empresa"))</f>
        <v>NET MASSIVO</v>
      </c>
      <c r="P336" s="37" t="str">
        <f>IF(RES_AB[[#This Row],[Empresa]]="","",IF(OR(RES_AB[[#This Row],[Empresa]]="NET MASSIVO",RES_AB[[#This Row],[Empresa]]="NET PROJETOS"),"NET","EMPRESARIAL"))</f>
        <v>NET</v>
      </c>
      <c r="Q336" s="37" t="str">
        <f>IF(RES_AB[[#This Row],[Reserva]]="","",IFERROR(VLOOKUP(RES_AB[[#This Row],[Reserva]],Tabela3[[Reserva]:[Descrição do status]],18,FALSE),"CONVENCIONAL"))</f>
        <v>CONVENCIONAL</v>
      </c>
    </row>
    <row r="337" spans="1:17" x14ac:dyDescent="0.25">
      <c r="A337" s="37">
        <v>4381092</v>
      </c>
      <c r="B337" s="37" t="s">
        <v>21</v>
      </c>
      <c r="C337" s="38" t="s">
        <v>19</v>
      </c>
      <c r="D337" s="38">
        <v>45447</v>
      </c>
      <c r="E3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7" s="39">
        <f>IFERROR(VLOOKUP(RES_AB[[#This Row],[Reserva]],Tabela8[[Reserva]:[Usuário]],7,FALSE),Dados!$A$17)</f>
        <v>0.83067129629629632</v>
      </c>
      <c r="G337" s="40">
        <f>IF(RES_AB[[#This Row],[Reserva]]="","",IF(RES_AB[[#This Row],[Hora Int WMS]]&lt;Dados!$A$16,2,2))</f>
        <v>2</v>
      </c>
      <c r="H337" s="40" t="str">
        <f>IF(RES_AB[[#This Row],[Reserva]]="","",IFERROR(VLOOKUP(RES_AB[[#This Row],[Reserva]],Tabela3[[Reserva]:[Condição para Faturamento]],20,FALSE),"IMPORTADO COM SUCESSO"))</f>
        <v>IMPORTADO</v>
      </c>
      <c r="I337" s="38">
        <f>IF(RES_AB[[#This Row],[Data base]]="","",WORKDAY(RES_AB[[#This Row],[Data Reserva - Feriado e Fds]],RES_AB[[#This Row],[Dias para atendimento]],Feriados[Data]))</f>
        <v>45449</v>
      </c>
      <c r="J337" s="40" t="str">
        <f ca="1">IF(RES_AB[[#This Row],[Reserva]]="","",CONCATENATE("D+",NETWORKDAYS(RES_AB[[#This Row],[Data Reserva - Feriado e Fds]],TODAY(),Feriados[Data])-1))</f>
        <v>D+3</v>
      </c>
      <c r="K337" s="40" t="str">
        <f ca="1">IF(RES_AB[[#This Row],[Reserva]]="","",CONCATENATE(RES_AB[[#This Row],[Cen.]]," | ",RES_AB[[#This Row],[SLA2]]))</f>
        <v>N190 | D+3</v>
      </c>
      <c r="L337" s="40">
        <f ca="1">IF(RES_AB[[#This Row],[Reserva]]="","",IF(RES_AB[[#This Row],[SLA2]]=RES_AB[[#This Row],[Reserva]]="","",COUNTIF(MB25_VOLUMETRIA[Reserva],RES_AB[[#This Row],[Reserva]])))</f>
        <v>3</v>
      </c>
      <c r="M3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7" s="37" t="str">
        <f>IF(RES_AB[[#This Row],[Cen.]]="","",IFERROR(VLOOKUP(RES_AB[[#This Row],[Cen.]],Dados_Empresas[],2,FALSE),"Verificar empresa"))</f>
        <v>NET MASSIVO</v>
      </c>
      <c r="P337" s="37" t="str">
        <f>IF(RES_AB[[#This Row],[Empresa]]="","",IF(OR(RES_AB[[#This Row],[Empresa]]="NET MASSIVO",RES_AB[[#This Row],[Empresa]]="NET PROJETOS"),"NET","EMPRESARIAL"))</f>
        <v>NET</v>
      </c>
      <c r="Q337" s="37" t="str">
        <f>IF(RES_AB[[#This Row],[Reserva]]="","",IFERROR(VLOOKUP(RES_AB[[#This Row],[Reserva]],Tabela3[[Reserva]:[Descrição do status]],18,FALSE),"CONVENCIONAL"))</f>
        <v>CONVENCIONAL</v>
      </c>
    </row>
    <row r="338" spans="1:17" x14ac:dyDescent="0.25">
      <c r="A338" s="37">
        <v>4381094</v>
      </c>
      <c r="B338" s="37" t="s">
        <v>21</v>
      </c>
      <c r="C338" s="38" t="s">
        <v>19</v>
      </c>
      <c r="D338" s="38">
        <v>45447</v>
      </c>
      <c r="E3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8" s="39">
        <f>IFERROR(VLOOKUP(RES_AB[[#This Row],[Reserva]],Tabela8[[Reserva]:[Usuário]],7,FALSE),Dados!$A$17)</f>
        <v>0.83067129629629632</v>
      </c>
      <c r="G338" s="40">
        <f>IF(RES_AB[[#This Row],[Reserva]]="","",IF(RES_AB[[#This Row],[Hora Int WMS]]&lt;Dados!$A$16,2,2))</f>
        <v>2</v>
      </c>
      <c r="H338" s="40" t="str">
        <f>IF(RES_AB[[#This Row],[Reserva]]="","",IFERROR(VLOOKUP(RES_AB[[#This Row],[Reserva]],Tabela3[[Reserva]:[Condição para Faturamento]],20,FALSE),"IMPORTADO COM SUCESSO"))</f>
        <v>IMPORTADO</v>
      </c>
      <c r="I338" s="38">
        <f>IF(RES_AB[[#This Row],[Data base]]="","",WORKDAY(RES_AB[[#This Row],[Data Reserva - Feriado e Fds]],RES_AB[[#This Row],[Dias para atendimento]],Feriados[Data]))</f>
        <v>45449</v>
      </c>
      <c r="J338" s="40" t="str">
        <f ca="1">IF(RES_AB[[#This Row],[Reserva]]="","",CONCATENATE("D+",NETWORKDAYS(RES_AB[[#This Row],[Data Reserva - Feriado e Fds]],TODAY(),Feriados[Data])-1))</f>
        <v>D+3</v>
      </c>
      <c r="K338" s="40" t="str">
        <f ca="1">IF(RES_AB[[#This Row],[Reserva]]="","",CONCATENATE(RES_AB[[#This Row],[Cen.]]," | ",RES_AB[[#This Row],[SLA2]]))</f>
        <v>N190 | D+3</v>
      </c>
      <c r="L338" s="40">
        <f ca="1">IF(RES_AB[[#This Row],[Reserva]]="","",IF(RES_AB[[#This Row],[SLA2]]=RES_AB[[#This Row],[Reserva]]="","",COUNTIF(MB25_VOLUMETRIA[Reserva],RES_AB[[#This Row],[Reserva]])))</f>
        <v>6</v>
      </c>
      <c r="M3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8" s="37" t="str">
        <f>IF(RES_AB[[#This Row],[Cen.]]="","",IFERROR(VLOOKUP(RES_AB[[#This Row],[Cen.]],Dados_Empresas[],2,FALSE),"Verificar empresa"))</f>
        <v>NET MASSIVO</v>
      </c>
      <c r="P338" s="37" t="str">
        <f>IF(RES_AB[[#This Row],[Empresa]]="","",IF(OR(RES_AB[[#This Row],[Empresa]]="NET MASSIVO",RES_AB[[#This Row],[Empresa]]="NET PROJETOS"),"NET","EMPRESARIAL"))</f>
        <v>NET</v>
      </c>
      <c r="Q338" s="37" t="str">
        <f>IF(RES_AB[[#This Row],[Reserva]]="","",IFERROR(VLOOKUP(RES_AB[[#This Row],[Reserva]],Tabela3[[Reserva]:[Descrição do status]],18,FALSE),"CONVENCIONAL"))</f>
        <v>CONVENCIONAL</v>
      </c>
    </row>
    <row r="339" spans="1:17" x14ac:dyDescent="0.25">
      <c r="A339" s="37">
        <v>4381095</v>
      </c>
      <c r="B339" s="37" t="s">
        <v>21</v>
      </c>
      <c r="C339" s="38" t="s">
        <v>19</v>
      </c>
      <c r="D339" s="38">
        <v>45447</v>
      </c>
      <c r="E3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39" s="39">
        <f>IFERROR(VLOOKUP(RES_AB[[#This Row],[Reserva]],Tabela8[[Reserva]:[Usuário]],7,FALSE),Dados!$A$17)</f>
        <v>0.83078703703703705</v>
      </c>
      <c r="G339" s="40">
        <f>IF(RES_AB[[#This Row],[Reserva]]="","",IF(RES_AB[[#This Row],[Hora Int WMS]]&lt;Dados!$A$16,2,2))</f>
        <v>2</v>
      </c>
      <c r="H339" s="40" t="str">
        <f>IF(RES_AB[[#This Row],[Reserva]]="","",IFERROR(VLOOKUP(RES_AB[[#This Row],[Reserva]],Tabela3[[Reserva]:[Condição para Faturamento]],20,FALSE),"IMPORTADO COM SUCESSO"))</f>
        <v>IMPORTADO</v>
      </c>
      <c r="I339" s="38">
        <f>IF(RES_AB[[#This Row],[Data base]]="","",WORKDAY(RES_AB[[#This Row],[Data Reserva - Feriado e Fds]],RES_AB[[#This Row],[Dias para atendimento]],Feriados[Data]))</f>
        <v>45449</v>
      </c>
      <c r="J339" s="40" t="str">
        <f ca="1">IF(RES_AB[[#This Row],[Reserva]]="","",CONCATENATE("D+",NETWORKDAYS(RES_AB[[#This Row],[Data Reserva - Feriado e Fds]],TODAY(),Feriados[Data])-1))</f>
        <v>D+3</v>
      </c>
      <c r="K339" s="40" t="str">
        <f ca="1">IF(RES_AB[[#This Row],[Reserva]]="","",CONCATENATE(RES_AB[[#This Row],[Cen.]]," | ",RES_AB[[#This Row],[SLA2]]))</f>
        <v>N190 | D+3</v>
      </c>
      <c r="L339" s="40">
        <f ca="1">IF(RES_AB[[#This Row],[Reserva]]="","",IF(RES_AB[[#This Row],[SLA2]]=RES_AB[[#This Row],[Reserva]]="","",COUNTIF(MB25_VOLUMETRIA[Reserva],RES_AB[[#This Row],[Reserva]])))</f>
        <v>5</v>
      </c>
      <c r="M3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39" s="37" t="str">
        <f>IF(RES_AB[[#This Row],[Cen.]]="","",IFERROR(VLOOKUP(RES_AB[[#This Row],[Cen.]],Dados_Empresas[],2,FALSE),"Verificar empresa"))</f>
        <v>NET MASSIVO</v>
      </c>
      <c r="P339" s="37" t="str">
        <f>IF(RES_AB[[#This Row],[Empresa]]="","",IF(OR(RES_AB[[#This Row],[Empresa]]="NET MASSIVO",RES_AB[[#This Row],[Empresa]]="NET PROJETOS"),"NET","EMPRESARIAL"))</f>
        <v>NET</v>
      </c>
      <c r="Q339" s="37" t="str">
        <f>IF(RES_AB[[#This Row],[Reserva]]="","",IFERROR(VLOOKUP(RES_AB[[#This Row],[Reserva]],Tabela3[[Reserva]:[Descrição do status]],18,FALSE),"CONVENCIONAL"))</f>
        <v>CONVENCIONAL</v>
      </c>
    </row>
    <row r="340" spans="1:17" x14ac:dyDescent="0.25">
      <c r="A340" s="37">
        <v>4381100</v>
      </c>
      <c r="B340" s="37" t="s">
        <v>21</v>
      </c>
      <c r="C340" s="38" t="s">
        <v>21</v>
      </c>
      <c r="D340" s="38">
        <v>45447</v>
      </c>
      <c r="E3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0" s="39">
        <f>IFERROR(VLOOKUP(RES_AB[[#This Row],[Reserva]],Tabela8[[Reserva]:[Usuário]],7,FALSE),Dados!$A$17)</f>
        <v>0.83101851851851849</v>
      </c>
      <c r="G340" s="40">
        <f>IF(RES_AB[[#This Row],[Reserva]]="","",IF(RES_AB[[#This Row],[Hora Int WMS]]&lt;Dados!$A$16,2,2))</f>
        <v>2</v>
      </c>
      <c r="H340" s="40" t="str">
        <f>IF(RES_AB[[#This Row],[Reserva]]="","",IFERROR(VLOOKUP(RES_AB[[#This Row],[Reserva]],Tabela3[[Reserva]:[Condição para Faturamento]],20,FALSE),"IMPORTADO COM SUCESSO"))</f>
        <v>IMPORTADO</v>
      </c>
      <c r="I340" s="38">
        <f>IF(RES_AB[[#This Row],[Data base]]="","",WORKDAY(RES_AB[[#This Row],[Data Reserva - Feriado e Fds]],RES_AB[[#This Row],[Dias para atendimento]],Feriados[Data]))</f>
        <v>45449</v>
      </c>
      <c r="J340" s="40" t="str">
        <f ca="1">IF(RES_AB[[#This Row],[Reserva]]="","",CONCATENATE("D+",NETWORKDAYS(RES_AB[[#This Row],[Data Reserva - Feriado e Fds]],TODAY(),Feriados[Data])-1))</f>
        <v>D+3</v>
      </c>
      <c r="K340" s="40" t="str">
        <f ca="1">IF(RES_AB[[#This Row],[Reserva]]="","",CONCATENATE(RES_AB[[#This Row],[Cen.]]," | ",RES_AB[[#This Row],[SLA2]]))</f>
        <v>N190 | D+3</v>
      </c>
      <c r="L340" s="40">
        <f ca="1">IF(RES_AB[[#This Row],[Reserva]]="","",IF(RES_AB[[#This Row],[SLA2]]=RES_AB[[#This Row],[Reserva]]="","",COUNTIF(MB25_VOLUMETRIA[Reserva],RES_AB[[#This Row],[Reserva]])))</f>
        <v>1</v>
      </c>
      <c r="M3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0" s="37" t="str">
        <f>IF(RES_AB[[#This Row],[Cen.]]="","",IFERROR(VLOOKUP(RES_AB[[#This Row],[Cen.]],Dados_Empresas[],2,FALSE),"Verificar empresa"))</f>
        <v>NET MASSIVO</v>
      </c>
      <c r="P340" s="37" t="str">
        <f>IF(RES_AB[[#This Row],[Empresa]]="","",IF(OR(RES_AB[[#This Row],[Empresa]]="NET MASSIVO",RES_AB[[#This Row],[Empresa]]="NET PROJETOS"),"NET","EMPRESARIAL"))</f>
        <v>NET</v>
      </c>
      <c r="Q340" s="37" t="str">
        <f>IF(RES_AB[[#This Row],[Reserva]]="","",IFERROR(VLOOKUP(RES_AB[[#This Row],[Reserva]],Tabela3[[Reserva]:[Descrição do status]],18,FALSE),"CONVENCIONAL"))</f>
        <v>CONVENCIONAL</v>
      </c>
    </row>
    <row r="341" spans="1:17" x14ac:dyDescent="0.25">
      <c r="A341" s="37">
        <v>4381101</v>
      </c>
      <c r="B341" s="37" t="s">
        <v>21</v>
      </c>
      <c r="C341" s="38" t="s">
        <v>19</v>
      </c>
      <c r="D341" s="38">
        <v>45447</v>
      </c>
      <c r="E3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1" s="39">
        <f>IFERROR(VLOOKUP(RES_AB[[#This Row],[Reserva]],Tabela8[[Reserva]:[Usuário]],7,FALSE),Dados!$A$17)</f>
        <v>0.83113425925925921</v>
      </c>
      <c r="G341" s="40">
        <f>IF(RES_AB[[#This Row],[Reserva]]="","",IF(RES_AB[[#This Row],[Hora Int WMS]]&lt;Dados!$A$16,2,2))</f>
        <v>2</v>
      </c>
      <c r="H341" s="40" t="str">
        <f>IF(RES_AB[[#This Row],[Reserva]]="","",IFERROR(VLOOKUP(RES_AB[[#This Row],[Reserva]],Tabela3[[Reserva]:[Condição para Faturamento]],20,FALSE),"IMPORTADO COM SUCESSO"))</f>
        <v>EM RESSUPRIMENTO</v>
      </c>
      <c r="I341" s="38">
        <f>IF(RES_AB[[#This Row],[Data base]]="","",WORKDAY(RES_AB[[#This Row],[Data Reserva - Feriado e Fds]],RES_AB[[#This Row],[Dias para atendimento]],Feriados[Data]))</f>
        <v>45449</v>
      </c>
      <c r="J341" s="40" t="str">
        <f ca="1">IF(RES_AB[[#This Row],[Reserva]]="","",CONCATENATE("D+",NETWORKDAYS(RES_AB[[#This Row],[Data Reserva - Feriado e Fds]],TODAY(),Feriados[Data])-1))</f>
        <v>D+3</v>
      </c>
      <c r="K341" s="40" t="str">
        <f ca="1">IF(RES_AB[[#This Row],[Reserva]]="","",CONCATENATE(RES_AB[[#This Row],[Cen.]]," | ",RES_AB[[#This Row],[SLA2]]))</f>
        <v>N190 | D+3</v>
      </c>
      <c r="L341" s="40">
        <f ca="1">IF(RES_AB[[#This Row],[Reserva]]="","",IF(RES_AB[[#This Row],[SLA2]]=RES_AB[[#This Row],[Reserva]]="","",COUNTIF(MB25_VOLUMETRIA[Reserva],RES_AB[[#This Row],[Reserva]])))</f>
        <v>3</v>
      </c>
      <c r="M3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1" s="37" t="str">
        <f>IF(RES_AB[[#This Row],[Cen.]]="","",IFERROR(VLOOKUP(RES_AB[[#This Row],[Cen.]],Dados_Empresas[],2,FALSE),"Verificar empresa"))</f>
        <v>NET MASSIVO</v>
      </c>
      <c r="P341" s="37" t="str">
        <f>IF(RES_AB[[#This Row],[Empresa]]="","",IF(OR(RES_AB[[#This Row],[Empresa]]="NET MASSIVO",RES_AB[[#This Row],[Empresa]]="NET PROJETOS"),"NET","EMPRESARIAL"))</f>
        <v>NET</v>
      </c>
      <c r="Q341" s="37" t="str">
        <f>IF(RES_AB[[#This Row],[Reserva]]="","",IFERROR(VLOOKUP(RES_AB[[#This Row],[Reserva]],Tabela3[[Reserva]:[Descrição do status]],18,FALSE),"CONVENCIONAL"))</f>
        <v>CONVENCIONAL</v>
      </c>
    </row>
    <row r="342" spans="1:17" x14ac:dyDescent="0.25">
      <c r="A342" s="37">
        <v>4381102</v>
      </c>
      <c r="B342" s="37" t="s">
        <v>21</v>
      </c>
      <c r="C342" s="38" t="s">
        <v>19</v>
      </c>
      <c r="D342" s="38">
        <v>45447</v>
      </c>
      <c r="E3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2" s="39">
        <f>IFERROR(VLOOKUP(RES_AB[[#This Row],[Reserva]],Tabela8[[Reserva]:[Usuário]],7,FALSE),Dados!$A$17)</f>
        <v>0.83113425925925921</v>
      </c>
      <c r="G342" s="40">
        <f>IF(RES_AB[[#This Row],[Reserva]]="","",IF(RES_AB[[#This Row],[Hora Int WMS]]&lt;Dados!$A$16,2,2))</f>
        <v>2</v>
      </c>
      <c r="H342" s="40" t="str">
        <f>IF(RES_AB[[#This Row],[Reserva]]="","",IFERROR(VLOOKUP(RES_AB[[#This Row],[Reserva]],Tabela3[[Reserva]:[Condição para Faturamento]],20,FALSE),"IMPORTADO COM SUCESSO"))</f>
        <v>IMPORTADO</v>
      </c>
      <c r="I342" s="38">
        <f>IF(RES_AB[[#This Row],[Data base]]="","",WORKDAY(RES_AB[[#This Row],[Data Reserva - Feriado e Fds]],RES_AB[[#This Row],[Dias para atendimento]],Feriados[Data]))</f>
        <v>45449</v>
      </c>
      <c r="J342" s="40" t="str">
        <f ca="1">IF(RES_AB[[#This Row],[Reserva]]="","",CONCATENATE("D+",NETWORKDAYS(RES_AB[[#This Row],[Data Reserva - Feriado e Fds]],TODAY(),Feriados[Data])-1))</f>
        <v>D+3</v>
      </c>
      <c r="K342" s="40" t="str">
        <f ca="1">IF(RES_AB[[#This Row],[Reserva]]="","",CONCATENATE(RES_AB[[#This Row],[Cen.]]," | ",RES_AB[[#This Row],[SLA2]]))</f>
        <v>N190 | D+3</v>
      </c>
      <c r="L342" s="40">
        <f ca="1">IF(RES_AB[[#This Row],[Reserva]]="","",IF(RES_AB[[#This Row],[SLA2]]=RES_AB[[#This Row],[Reserva]]="","",COUNTIF(MB25_VOLUMETRIA[Reserva],RES_AB[[#This Row],[Reserva]])))</f>
        <v>3</v>
      </c>
      <c r="M3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2" s="37" t="str">
        <f>IF(RES_AB[[#This Row],[Cen.]]="","",IFERROR(VLOOKUP(RES_AB[[#This Row],[Cen.]],Dados_Empresas[],2,FALSE),"Verificar empresa"))</f>
        <v>NET MASSIVO</v>
      </c>
      <c r="P342" s="37" t="str">
        <f>IF(RES_AB[[#This Row],[Empresa]]="","",IF(OR(RES_AB[[#This Row],[Empresa]]="NET MASSIVO",RES_AB[[#This Row],[Empresa]]="NET PROJETOS"),"NET","EMPRESARIAL"))</f>
        <v>NET</v>
      </c>
      <c r="Q342" s="37" t="str">
        <f>IF(RES_AB[[#This Row],[Reserva]]="","",IFERROR(VLOOKUP(RES_AB[[#This Row],[Reserva]],Tabela3[[Reserva]:[Descrição do status]],18,FALSE),"CONVENCIONAL"))</f>
        <v>CONVENCIONAL</v>
      </c>
    </row>
    <row r="343" spans="1:17" x14ac:dyDescent="0.25">
      <c r="A343" s="37">
        <v>4381103</v>
      </c>
      <c r="B343" s="37" t="s">
        <v>21</v>
      </c>
      <c r="C343" s="38" t="s">
        <v>19</v>
      </c>
      <c r="D343" s="38">
        <v>45447</v>
      </c>
      <c r="E3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3" s="39">
        <f>IFERROR(VLOOKUP(RES_AB[[#This Row],[Reserva]],Tabela8[[Reserva]:[Usuário]],7,FALSE),Dados!$A$17)</f>
        <v>0.83125000000000004</v>
      </c>
      <c r="G343" s="40">
        <f>IF(RES_AB[[#This Row],[Reserva]]="","",IF(RES_AB[[#This Row],[Hora Int WMS]]&lt;Dados!$A$16,2,2))</f>
        <v>2</v>
      </c>
      <c r="H343" s="40" t="str">
        <f>IF(RES_AB[[#This Row],[Reserva]]="","",IFERROR(VLOOKUP(RES_AB[[#This Row],[Reserva]],Tabela3[[Reserva]:[Condição para Faturamento]],20,FALSE),"IMPORTADO COM SUCESSO"))</f>
        <v>EM RESSUPRIMENTO</v>
      </c>
      <c r="I343" s="38">
        <f>IF(RES_AB[[#This Row],[Data base]]="","",WORKDAY(RES_AB[[#This Row],[Data Reserva - Feriado e Fds]],RES_AB[[#This Row],[Dias para atendimento]],Feriados[Data]))</f>
        <v>45449</v>
      </c>
      <c r="J343" s="40" t="str">
        <f ca="1">IF(RES_AB[[#This Row],[Reserva]]="","",CONCATENATE("D+",NETWORKDAYS(RES_AB[[#This Row],[Data Reserva - Feriado e Fds]],TODAY(),Feriados[Data])-1))</f>
        <v>D+3</v>
      </c>
      <c r="K343" s="40" t="str">
        <f ca="1">IF(RES_AB[[#This Row],[Reserva]]="","",CONCATENATE(RES_AB[[#This Row],[Cen.]]," | ",RES_AB[[#This Row],[SLA2]]))</f>
        <v>N190 | D+3</v>
      </c>
      <c r="L343" s="40">
        <f ca="1">IF(RES_AB[[#This Row],[Reserva]]="","",IF(RES_AB[[#This Row],[SLA2]]=RES_AB[[#This Row],[Reserva]]="","",COUNTIF(MB25_VOLUMETRIA[Reserva],RES_AB[[#This Row],[Reserva]])))</f>
        <v>2</v>
      </c>
      <c r="M3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3" s="37" t="str">
        <f>IF(RES_AB[[#This Row],[Cen.]]="","",IFERROR(VLOOKUP(RES_AB[[#This Row],[Cen.]],Dados_Empresas[],2,FALSE),"Verificar empresa"))</f>
        <v>NET MASSIVO</v>
      </c>
      <c r="P343" s="37" t="str">
        <f>IF(RES_AB[[#This Row],[Empresa]]="","",IF(OR(RES_AB[[#This Row],[Empresa]]="NET MASSIVO",RES_AB[[#This Row],[Empresa]]="NET PROJETOS"),"NET","EMPRESARIAL"))</f>
        <v>NET</v>
      </c>
      <c r="Q343" s="37" t="str">
        <f>IF(RES_AB[[#This Row],[Reserva]]="","",IFERROR(VLOOKUP(RES_AB[[#This Row],[Reserva]],Tabela3[[Reserva]:[Descrição do status]],18,FALSE),"CONVENCIONAL"))</f>
        <v>CONVENCIONAL</v>
      </c>
    </row>
    <row r="344" spans="1:17" x14ac:dyDescent="0.25">
      <c r="A344" s="37">
        <v>4381104</v>
      </c>
      <c r="B344" s="37" t="s">
        <v>21</v>
      </c>
      <c r="C344" s="38" t="s">
        <v>19</v>
      </c>
      <c r="D344" s="38">
        <v>45447</v>
      </c>
      <c r="E3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4" s="39">
        <f>IFERROR(VLOOKUP(RES_AB[[#This Row],[Reserva]],Tabela8[[Reserva]:[Usuário]],7,FALSE),Dados!$A$17)</f>
        <v>0.83136574074074077</v>
      </c>
      <c r="G344" s="40">
        <f>IF(RES_AB[[#This Row],[Reserva]]="","",IF(RES_AB[[#This Row],[Hora Int WMS]]&lt;Dados!$A$16,2,2))</f>
        <v>2</v>
      </c>
      <c r="H344" s="40" t="str">
        <f>IF(RES_AB[[#This Row],[Reserva]]="","",IFERROR(VLOOKUP(RES_AB[[#This Row],[Reserva]],Tabela3[[Reserva]:[Condição para Faturamento]],20,FALSE),"IMPORTADO COM SUCESSO"))</f>
        <v>EM RESSUPRIMENTO</v>
      </c>
      <c r="I344" s="38">
        <f>IF(RES_AB[[#This Row],[Data base]]="","",WORKDAY(RES_AB[[#This Row],[Data Reserva - Feriado e Fds]],RES_AB[[#This Row],[Dias para atendimento]],Feriados[Data]))</f>
        <v>45449</v>
      </c>
      <c r="J344" s="40" t="str">
        <f ca="1">IF(RES_AB[[#This Row],[Reserva]]="","",CONCATENATE("D+",NETWORKDAYS(RES_AB[[#This Row],[Data Reserva - Feriado e Fds]],TODAY(),Feriados[Data])-1))</f>
        <v>D+3</v>
      </c>
      <c r="K344" s="40" t="str">
        <f ca="1">IF(RES_AB[[#This Row],[Reserva]]="","",CONCATENATE(RES_AB[[#This Row],[Cen.]]," | ",RES_AB[[#This Row],[SLA2]]))</f>
        <v>N190 | D+3</v>
      </c>
      <c r="L344" s="40">
        <f ca="1">IF(RES_AB[[#This Row],[Reserva]]="","",IF(RES_AB[[#This Row],[SLA2]]=RES_AB[[#This Row],[Reserva]]="","",COUNTIF(MB25_VOLUMETRIA[Reserva],RES_AB[[#This Row],[Reserva]])))</f>
        <v>5</v>
      </c>
      <c r="M3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4" s="37" t="str">
        <f>IF(RES_AB[[#This Row],[Cen.]]="","",IFERROR(VLOOKUP(RES_AB[[#This Row],[Cen.]],Dados_Empresas[],2,FALSE),"Verificar empresa"))</f>
        <v>NET MASSIVO</v>
      </c>
      <c r="P344" s="37" t="str">
        <f>IF(RES_AB[[#This Row],[Empresa]]="","",IF(OR(RES_AB[[#This Row],[Empresa]]="NET MASSIVO",RES_AB[[#This Row],[Empresa]]="NET PROJETOS"),"NET","EMPRESARIAL"))</f>
        <v>NET</v>
      </c>
      <c r="Q344" s="37" t="str">
        <f>IF(RES_AB[[#This Row],[Reserva]]="","",IFERROR(VLOOKUP(RES_AB[[#This Row],[Reserva]],Tabela3[[Reserva]:[Descrição do status]],18,FALSE),"CONVENCIONAL"))</f>
        <v>CONVENCIONAL</v>
      </c>
    </row>
    <row r="345" spans="1:17" x14ac:dyDescent="0.25">
      <c r="A345" s="37">
        <v>4381106</v>
      </c>
      <c r="B345" s="37" t="s">
        <v>21</v>
      </c>
      <c r="C345" s="38" t="s">
        <v>19</v>
      </c>
      <c r="D345" s="38">
        <v>45447</v>
      </c>
      <c r="E3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5" s="39">
        <f>IFERROR(VLOOKUP(RES_AB[[#This Row],[Reserva]],Tabela8[[Reserva]:[Usuário]],7,FALSE),Dados!$A$17)</f>
        <v>0.83159722222222221</v>
      </c>
      <c r="G345" s="40">
        <f>IF(RES_AB[[#This Row],[Reserva]]="","",IF(RES_AB[[#This Row],[Hora Int WMS]]&lt;Dados!$A$16,2,2))</f>
        <v>2</v>
      </c>
      <c r="H345" s="40" t="str">
        <f>IF(RES_AB[[#This Row],[Reserva]]="","",IFERROR(VLOOKUP(RES_AB[[#This Row],[Reserva]],Tabela3[[Reserva]:[Condição para Faturamento]],20,FALSE),"IMPORTADO COM SUCESSO"))</f>
        <v>IMPORTADO</v>
      </c>
      <c r="I345" s="38">
        <f>IF(RES_AB[[#This Row],[Data base]]="","",WORKDAY(RES_AB[[#This Row],[Data Reserva - Feriado e Fds]],RES_AB[[#This Row],[Dias para atendimento]],Feriados[Data]))</f>
        <v>45449</v>
      </c>
      <c r="J345" s="40" t="str">
        <f ca="1">IF(RES_AB[[#This Row],[Reserva]]="","",CONCATENATE("D+",NETWORKDAYS(RES_AB[[#This Row],[Data Reserva - Feriado e Fds]],TODAY(),Feriados[Data])-1))</f>
        <v>D+3</v>
      </c>
      <c r="K345" s="40" t="str">
        <f ca="1">IF(RES_AB[[#This Row],[Reserva]]="","",CONCATENATE(RES_AB[[#This Row],[Cen.]]," | ",RES_AB[[#This Row],[SLA2]]))</f>
        <v>N190 | D+3</v>
      </c>
      <c r="L345" s="40">
        <f ca="1">IF(RES_AB[[#This Row],[Reserva]]="","",IF(RES_AB[[#This Row],[SLA2]]=RES_AB[[#This Row],[Reserva]]="","",COUNTIF(MB25_VOLUMETRIA[Reserva],RES_AB[[#This Row],[Reserva]])))</f>
        <v>3</v>
      </c>
      <c r="M3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5" s="37" t="str">
        <f>IF(RES_AB[[#This Row],[Cen.]]="","",IFERROR(VLOOKUP(RES_AB[[#This Row],[Cen.]],Dados_Empresas[],2,FALSE),"Verificar empresa"))</f>
        <v>NET MASSIVO</v>
      </c>
      <c r="P345" s="37" t="str">
        <f>IF(RES_AB[[#This Row],[Empresa]]="","",IF(OR(RES_AB[[#This Row],[Empresa]]="NET MASSIVO",RES_AB[[#This Row],[Empresa]]="NET PROJETOS"),"NET","EMPRESARIAL"))</f>
        <v>NET</v>
      </c>
      <c r="Q345" s="37" t="str">
        <f>IF(RES_AB[[#This Row],[Reserva]]="","",IFERROR(VLOOKUP(RES_AB[[#This Row],[Reserva]],Tabela3[[Reserva]:[Descrição do status]],18,FALSE),"CONVENCIONAL"))</f>
        <v>CONVENCIONAL</v>
      </c>
    </row>
    <row r="346" spans="1:17" x14ac:dyDescent="0.25">
      <c r="A346" s="37">
        <v>4381107</v>
      </c>
      <c r="B346" s="37" t="s">
        <v>21</v>
      </c>
      <c r="C346" s="38" t="s">
        <v>19</v>
      </c>
      <c r="D346" s="38">
        <v>45447</v>
      </c>
      <c r="E3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6" s="39">
        <f>IFERROR(VLOOKUP(RES_AB[[#This Row],[Reserva]],Tabela8[[Reserva]:[Usuário]],7,FALSE),Dados!$A$17)</f>
        <v>0.83159722222222221</v>
      </c>
      <c r="G346" s="40">
        <f>IF(RES_AB[[#This Row],[Reserva]]="","",IF(RES_AB[[#This Row],[Hora Int WMS]]&lt;Dados!$A$16,2,2))</f>
        <v>2</v>
      </c>
      <c r="H346" s="40" t="str">
        <f>IF(RES_AB[[#This Row],[Reserva]]="","",IFERROR(VLOOKUP(RES_AB[[#This Row],[Reserva]],Tabela3[[Reserva]:[Condição para Faturamento]],20,FALSE),"IMPORTADO COM SUCESSO"))</f>
        <v>IMPORTADO</v>
      </c>
      <c r="I346" s="38">
        <f>IF(RES_AB[[#This Row],[Data base]]="","",WORKDAY(RES_AB[[#This Row],[Data Reserva - Feriado e Fds]],RES_AB[[#This Row],[Dias para atendimento]],Feriados[Data]))</f>
        <v>45449</v>
      </c>
      <c r="J346" s="40" t="str">
        <f ca="1">IF(RES_AB[[#This Row],[Reserva]]="","",CONCATENATE("D+",NETWORKDAYS(RES_AB[[#This Row],[Data Reserva - Feriado e Fds]],TODAY(),Feriados[Data])-1))</f>
        <v>D+3</v>
      </c>
      <c r="K346" s="40" t="str">
        <f ca="1">IF(RES_AB[[#This Row],[Reserva]]="","",CONCATENATE(RES_AB[[#This Row],[Cen.]]," | ",RES_AB[[#This Row],[SLA2]]))</f>
        <v>N190 | D+3</v>
      </c>
      <c r="L346" s="40">
        <f ca="1">IF(RES_AB[[#This Row],[Reserva]]="","",IF(RES_AB[[#This Row],[SLA2]]=RES_AB[[#This Row],[Reserva]]="","",COUNTIF(MB25_VOLUMETRIA[Reserva],RES_AB[[#This Row],[Reserva]])))</f>
        <v>3</v>
      </c>
      <c r="M3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6" s="37" t="str">
        <f>IF(RES_AB[[#This Row],[Cen.]]="","",IFERROR(VLOOKUP(RES_AB[[#This Row],[Cen.]],Dados_Empresas[],2,FALSE),"Verificar empresa"))</f>
        <v>NET MASSIVO</v>
      </c>
      <c r="P346" s="37" t="str">
        <f>IF(RES_AB[[#This Row],[Empresa]]="","",IF(OR(RES_AB[[#This Row],[Empresa]]="NET MASSIVO",RES_AB[[#This Row],[Empresa]]="NET PROJETOS"),"NET","EMPRESARIAL"))</f>
        <v>NET</v>
      </c>
      <c r="Q346" s="37" t="str">
        <f>IF(RES_AB[[#This Row],[Reserva]]="","",IFERROR(VLOOKUP(RES_AB[[#This Row],[Reserva]],Tabela3[[Reserva]:[Descrição do status]],18,FALSE),"CONVENCIONAL"))</f>
        <v>CONVENCIONAL</v>
      </c>
    </row>
    <row r="347" spans="1:17" x14ac:dyDescent="0.25">
      <c r="A347" s="37">
        <v>4381109</v>
      </c>
      <c r="B347" s="37" t="s">
        <v>21</v>
      </c>
      <c r="C347" s="38" t="s">
        <v>19</v>
      </c>
      <c r="D347" s="38">
        <v>45447</v>
      </c>
      <c r="E3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7" s="39">
        <f>IFERROR(VLOOKUP(RES_AB[[#This Row],[Reserva]],Tabela8[[Reserva]:[Usuário]],7,FALSE),Dados!$A$17)</f>
        <v>0.83194444444444449</v>
      </c>
      <c r="G347" s="40">
        <f>IF(RES_AB[[#This Row],[Reserva]]="","",IF(RES_AB[[#This Row],[Hora Int WMS]]&lt;Dados!$A$16,2,2))</f>
        <v>2</v>
      </c>
      <c r="H347" s="40" t="str">
        <f>IF(RES_AB[[#This Row],[Reserva]]="","",IFERROR(VLOOKUP(RES_AB[[#This Row],[Reserva]],Tabela3[[Reserva]:[Condição para Faturamento]],20,FALSE),"IMPORTADO COM SUCESSO"))</f>
        <v>IMPORTADO</v>
      </c>
      <c r="I347" s="38">
        <f>IF(RES_AB[[#This Row],[Data base]]="","",WORKDAY(RES_AB[[#This Row],[Data Reserva - Feriado e Fds]],RES_AB[[#This Row],[Dias para atendimento]],Feriados[Data]))</f>
        <v>45449</v>
      </c>
      <c r="J347" s="40" t="str">
        <f ca="1">IF(RES_AB[[#This Row],[Reserva]]="","",CONCATENATE("D+",NETWORKDAYS(RES_AB[[#This Row],[Data Reserva - Feriado e Fds]],TODAY(),Feriados[Data])-1))</f>
        <v>D+3</v>
      </c>
      <c r="K347" s="40" t="str">
        <f ca="1">IF(RES_AB[[#This Row],[Reserva]]="","",CONCATENATE(RES_AB[[#This Row],[Cen.]]," | ",RES_AB[[#This Row],[SLA2]]))</f>
        <v>N190 | D+3</v>
      </c>
      <c r="L347" s="40">
        <f ca="1">IF(RES_AB[[#This Row],[Reserva]]="","",IF(RES_AB[[#This Row],[SLA2]]=RES_AB[[#This Row],[Reserva]]="","",COUNTIF(MB25_VOLUMETRIA[Reserva],RES_AB[[#This Row],[Reserva]])))</f>
        <v>4</v>
      </c>
      <c r="M3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7" s="37" t="str">
        <f>IF(RES_AB[[#This Row],[Cen.]]="","",IFERROR(VLOOKUP(RES_AB[[#This Row],[Cen.]],Dados_Empresas[],2,FALSE),"Verificar empresa"))</f>
        <v>NET MASSIVO</v>
      </c>
      <c r="P347" s="37" t="str">
        <f>IF(RES_AB[[#This Row],[Empresa]]="","",IF(OR(RES_AB[[#This Row],[Empresa]]="NET MASSIVO",RES_AB[[#This Row],[Empresa]]="NET PROJETOS"),"NET","EMPRESARIAL"))</f>
        <v>NET</v>
      </c>
      <c r="Q347" s="37" t="str">
        <f>IF(RES_AB[[#This Row],[Reserva]]="","",IFERROR(VLOOKUP(RES_AB[[#This Row],[Reserva]],Tabela3[[Reserva]:[Descrição do status]],18,FALSE),"CONVENCIONAL"))</f>
        <v>CONVENCIONAL</v>
      </c>
    </row>
    <row r="348" spans="1:17" x14ac:dyDescent="0.25">
      <c r="A348" s="37">
        <v>4381110</v>
      </c>
      <c r="B348" s="37" t="s">
        <v>21</v>
      </c>
      <c r="C348" s="38" t="s">
        <v>19</v>
      </c>
      <c r="D348" s="38">
        <v>45447</v>
      </c>
      <c r="E3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8" s="39">
        <f>IFERROR(VLOOKUP(RES_AB[[#This Row],[Reserva]],Tabela8[[Reserva]:[Usuário]],7,FALSE),Dados!$A$17)</f>
        <v>0.83206018518518521</v>
      </c>
      <c r="G348" s="40">
        <f>IF(RES_AB[[#This Row],[Reserva]]="","",IF(RES_AB[[#This Row],[Hora Int WMS]]&lt;Dados!$A$16,2,2))</f>
        <v>2</v>
      </c>
      <c r="H348" s="40" t="str">
        <f>IF(RES_AB[[#This Row],[Reserva]]="","",IFERROR(VLOOKUP(RES_AB[[#This Row],[Reserva]],Tabela3[[Reserva]:[Condição para Faturamento]],20,FALSE),"IMPORTADO COM SUCESSO"))</f>
        <v>EM RESSUPRIMENTO</v>
      </c>
      <c r="I348" s="38">
        <f>IF(RES_AB[[#This Row],[Data base]]="","",WORKDAY(RES_AB[[#This Row],[Data Reserva - Feriado e Fds]],RES_AB[[#This Row],[Dias para atendimento]],Feriados[Data]))</f>
        <v>45449</v>
      </c>
      <c r="J348" s="40" t="str">
        <f ca="1">IF(RES_AB[[#This Row],[Reserva]]="","",CONCATENATE("D+",NETWORKDAYS(RES_AB[[#This Row],[Data Reserva - Feriado e Fds]],TODAY(),Feriados[Data])-1))</f>
        <v>D+3</v>
      </c>
      <c r="K348" s="40" t="str">
        <f ca="1">IF(RES_AB[[#This Row],[Reserva]]="","",CONCATENATE(RES_AB[[#This Row],[Cen.]]," | ",RES_AB[[#This Row],[SLA2]]))</f>
        <v>N190 | D+3</v>
      </c>
      <c r="L348" s="40">
        <f ca="1">IF(RES_AB[[#This Row],[Reserva]]="","",IF(RES_AB[[#This Row],[SLA2]]=RES_AB[[#This Row],[Reserva]]="","",COUNTIF(MB25_VOLUMETRIA[Reserva],RES_AB[[#This Row],[Reserva]])))</f>
        <v>3</v>
      </c>
      <c r="M3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8" s="37" t="str">
        <f>IF(RES_AB[[#This Row],[Cen.]]="","",IFERROR(VLOOKUP(RES_AB[[#This Row],[Cen.]],Dados_Empresas[],2,FALSE),"Verificar empresa"))</f>
        <v>NET MASSIVO</v>
      </c>
      <c r="P348" s="37" t="str">
        <f>IF(RES_AB[[#This Row],[Empresa]]="","",IF(OR(RES_AB[[#This Row],[Empresa]]="NET MASSIVO",RES_AB[[#This Row],[Empresa]]="NET PROJETOS"),"NET","EMPRESARIAL"))</f>
        <v>NET</v>
      </c>
      <c r="Q348" s="37" t="str">
        <f>IF(RES_AB[[#This Row],[Reserva]]="","",IFERROR(VLOOKUP(RES_AB[[#This Row],[Reserva]],Tabela3[[Reserva]:[Descrição do status]],18,FALSE),"CONVENCIONAL"))</f>
        <v>CONVENCIONAL</v>
      </c>
    </row>
    <row r="349" spans="1:17" x14ac:dyDescent="0.25">
      <c r="A349" s="37">
        <v>4381111</v>
      </c>
      <c r="B349" s="37" t="s">
        <v>21</v>
      </c>
      <c r="C349" s="38" t="s">
        <v>19</v>
      </c>
      <c r="D349" s="38">
        <v>45447</v>
      </c>
      <c r="E3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49" s="39">
        <f>IFERROR(VLOOKUP(RES_AB[[#This Row],[Reserva]],Tabela8[[Reserva]:[Usuário]],7,FALSE),Dados!$A$17)</f>
        <v>0.83206018518518521</v>
      </c>
      <c r="G349" s="40">
        <f>IF(RES_AB[[#This Row],[Reserva]]="","",IF(RES_AB[[#This Row],[Hora Int WMS]]&lt;Dados!$A$16,2,2))</f>
        <v>2</v>
      </c>
      <c r="H349" s="40" t="str">
        <f>IF(RES_AB[[#This Row],[Reserva]]="","",IFERROR(VLOOKUP(RES_AB[[#This Row],[Reserva]],Tabela3[[Reserva]:[Condição para Faturamento]],20,FALSE),"IMPORTADO COM SUCESSO"))</f>
        <v>IMPORTADO</v>
      </c>
      <c r="I349" s="38">
        <f>IF(RES_AB[[#This Row],[Data base]]="","",WORKDAY(RES_AB[[#This Row],[Data Reserva - Feriado e Fds]],RES_AB[[#This Row],[Dias para atendimento]],Feriados[Data]))</f>
        <v>45449</v>
      </c>
      <c r="J349" s="40" t="str">
        <f ca="1">IF(RES_AB[[#This Row],[Reserva]]="","",CONCATENATE("D+",NETWORKDAYS(RES_AB[[#This Row],[Data Reserva - Feriado e Fds]],TODAY(),Feriados[Data])-1))</f>
        <v>D+3</v>
      </c>
      <c r="K349" s="40" t="str">
        <f ca="1">IF(RES_AB[[#This Row],[Reserva]]="","",CONCATENATE(RES_AB[[#This Row],[Cen.]]," | ",RES_AB[[#This Row],[SLA2]]))</f>
        <v>N190 | D+3</v>
      </c>
      <c r="L349" s="40">
        <f ca="1">IF(RES_AB[[#This Row],[Reserva]]="","",IF(RES_AB[[#This Row],[SLA2]]=RES_AB[[#This Row],[Reserva]]="","",COUNTIF(MB25_VOLUMETRIA[Reserva],RES_AB[[#This Row],[Reserva]])))</f>
        <v>3</v>
      </c>
      <c r="M3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49" s="37" t="str">
        <f>IF(RES_AB[[#This Row],[Cen.]]="","",IFERROR(VLOOKUP(RES_AB[[#This Row],[Cen.]],Dados_Empresas[],2,FALSE),"Verificar empresa"))</f>
        <v>NET MASSIVO</v>
      </c>
      <c r="P349" s="37" t="str">
        <f>IF(RES_AB[[#This Row],[Empresa]]="","",IF(OR(RES_AB[[#This Row],[Empresa]]="NET MASSIVO",RES_AB[[#This Row],[Empresa]]="NET PROJETOS"),"NET","EMPRESARIAL"))</f>
        <v>NET</v>
      </c>
      <c r="Q349" s="37" t="str">
        <f>IF(RES_AB[[#This Row],[Reserva]]="","",IFERROR(VLOOKUP(RES_AB[[#This Row],[Reserva]],Tabela3[[Reserva]:[Descrição do status]],18,FALSE),"CONVENCIONAL"))</f>
        <v>CONVENCIONAL</v>
      </c>
    </row>
    <row r="350" spans="1:17" x14ac:dyDescent="0.25">
      <c r="A350" s="37">
        <v>4381112</v>
      </c>
      <c r="B350" s="37" t="s">
        <v>21</v>
      </c>
      <c r="C350" s="38" t="s">
        <v>21</v>
      </c>
      <c r="D350" s="38">
        <v>45447</v>
      </c>
      <c r="E3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0" s="39">
        <f>IFERROR(VLOOKUP(RES_AB[[#This Row],[Reserva]],Tabela8[[Reserva]:[Usuário]],7,FALSE),Dados!$A$17)</f>
        <v>0.83217592592592593</v>
      </c>
      <c r="G350" s="40">
        <f>IF(RES_AB[[#This Row],[Reserva]]="","",IF(RES_AB[[#This Row],[Hora Int WMS]]&lt;Dados!$A$16,2,2))</f>
        <v>2</v>
      </c>
      <c r="H350" s="40" t="str">
        <f>IF(RES_AB[[#This Row],[Reserva]]="","",IFERROR(VLOOKUP(RES_AB[[#This Row],[Reserva]],Tabela3[[Reserva]:[Condição para Faturamento]],20,FALSE),"IMPORTADO COM SUCESSO"))</f>
        <v>EM RESSUPRIMENTO</v>
      </c>
      <c r="I350" s="38">
        <f>IF(RES_AB[[#This Row],[Data base]]="","",WORKDAY(RES_AB[[#This Row],[Data Reserva - Feriado e Fds]],RES_AB[[#This Row],[Dias para atendimento]],Feriados[Data]))</f>
        <v>45449</v>
      </c>
      <c r="J350" s="40" t="str">
        <f ca="1">IF(RES_AB[[#This Row],[Reserva]]="","",CONCATENATE("D+",NETWORKDAYS(RES_AB[[#This Row],[Data Reserva - Feriado e Fds]],TODAY(),Feriados[Data])-1))</f>
        <v>D+3</v>
      </c>
      <c r="K350" s="40" t="str">
        <f ca="1">IF(RES_AB[[#This Row],[Reserva]]="","",CONCATENATE(RES_AB[[#This Row],[Cen.]]," | ",RES_AB[[#This Row],[SLA2]]))</f>
        <v>N190 | D+3</v>
      </c>
      <c r="L350" s="40">
        <f ca="1">IF(RES_AB[[#This Row],[Reserva]]="","",IF(RES_AB[[#This Row],[SLA2]]=RES_AB[[#This Row],[Reserva]]="","",COUNTIF(MB25_VOLUMETRIA[Reserva],RES_AB[[#This Row],[Reserva]])))</f>
        <v>4</v>
      </c>
      <c r="M3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0" s="37" t="str">
        <f>IF(RES_AB[[#This Row],[Cen.]]="","",IFERROR(VLOOKUP(RES_AB[[#This Row],[Cen.]],Dados_Empresas[],2,FALSE),"Verificar empresa"))</f>
        <v>NET MASSIVO</v>
      </c>
      <c r="P350" s="37" t="str">
        <f>IF(RES_AB[[#This Row],[Empresa]]="","",IF(OR(RES_AB[[#This Row],[Empresa]]="NET MASSIVO",RES_AB[[#This Row],[Empresa]]="NET PROJETOS"),"NET","EMPRESARIAL"))</f>
        <v>NET</v>
      </c>
      <c r="Q350" s="37" t="str">
        <f>IF(RES_AB[[#This Row],[Reserva]]="","",IFERROR(VLOOKUP(RES_AB[[#This Row],[Reserva]],Tabela3[[Reserva]:[Descrição do status]],18,FALSE),"CONVENCIONAL"))</f>
        <v>CONVENCIONAL</v>
      </c>
    </row>
    <row r="351" spans="1:17" x14ac:dyDescent="0.25">
      <c r="A351" s="37">
        <v>4381113</v>
      </c>
      <c r="B351" s="37" t="s">
        <v>21</v>
      </c>
      <c r="C351" s="38" t="s">
        <v>19</v>
      </c>
      <c r="D351" s="38">
        <v>45447</v>
      </c>
      <c r="E3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1" s="39">
        <f>IFERROR(VLOOKUP(RES_AB[[#This Row],[Reserva]],Tabela8[[Reserva]:[Usuário]],7,FALSE),Dados!$A$17)</f>
        <v>0.83229166666666665</v>
      </c>
      <c r="G351" s="40">
        <f>IF(RES_AB[[#This Row],[Reserva]]="","",IF(RES_AB[[#This Row],[Hora Int WMS]]&lt;Dados!$A$16,2,2))</f>
        <v>2</v>
      </c>
      <c r="H351" s="40" t="str">
        <f>IF(RES_AB[[#This Row],[Reserva]]="","",IFERROR(VLOOKUP(RES_AB[[#This Row],[Reserva]],Tabela3[[Reserva]:[Condição para Faturamento]],20,FALSE),"IMPORTADO COM SUCESSO"))</f>
        <v>IMPORTADO</v>
      </c>
      <c r="I351" s="38">
        <f>IF(RES_AB[[#This Row],[Data base]]="","",WORKDAY(RES_AB[[#This Row],[Data Reserva - Feriado e Fds]],RES_AB[[#This Row],[Dias para atendimento]],Feriados[Data]))</f>
        <v>45449</v>
      </c>
      <c r="J351" s="40" t="str">
        <f ca="1">IF(RES_AB[[#This Row],[Reserva]]="","",CONCATENATE("D+",NETWORKDAYS(RES_AB[[#This Row],[Data Reserva - Feriado e Fds]],TODAY(),Feriados[Data])-1))</f>
        <v>D+3</v>
      </c>
      <c r="K351" s="40" t="str">
        <f ca="1">IF(RES_AB[[#This Row],[Reserva]]="","",CONCATENATE(RES_AB[[#This Row],[Cen.]]," | ",RES_AB[[#This Row],[SLA2]]))</f>
        <v>N190 | D+3</v>
      </c>
      <c r="L351" s="40">
        <f ca="1">IF(RES_AB[[#This Row],[Reserva]]="","",IF(RES_AB[[#This Row],[SLA2]]=RES_AB[[#This Row],[Reserva]]="","",COUNTIF(MB25_VOLUMETRIA[Reserva],RES_AB[[#This Row],[Reserva]])))</f>
        <v>3</v>
      </c>
      <c r="M3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1" s="37" t="str">
        <f>IF(RES_AB[[#This Row],[Cen.]]="","",IFERROR(VLOOKUP(RES_AB[[#This Row],[Cen.]],Dados_Empresas[],2,FALSE),"Verificar empresa"))</f>
        <v>NET MASSIVO</v>
      </c>
      <c r="P351" s="37" t="str">
        <f>IF(RES_AB[[#This Row],[Empresa]]="","",IF(OR(RES_AB[[#This Row],[Empresa]]="NET MASSIVO",RES_AB[[#This Row],[Empresa]]="NET PROJETOS"),"NET","EMPRESARIAL"))</f>
        <v>NET</v>
      </c>
      <c r="Q351" s="37" t="str">
        <f>IF(RES_AB[[#This Row],[Reserva]]="","",IFERROR(VLOOKUP(RES_AB[[#This Row],[Reserva]],Tabela3[[Reserva]:[Descrição do status]],18,FALSE),"CONVENCIONAL"))</f>
        <v>CONVENCIONAL</v>
      </c>
    </row>
    <row r="352" spans="1:17" x14ac:dyDescent="0.25">
      <c r="A352" s="37">
        <v>4381116</v>
      </c>
      <c r="B352" s="37" t="s">
        <v>21</v>
      </c>
      <c r="C352" s="38" t="s">
        <v>19</v>
      </c>
      <c r="D352" s="38">
        <v>45447</v>
      </c>
      <c r="E3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2" s="39">
        <f>IFERROR(VLOOKUP(RES_AB[[#This Row],[Reserva]],Tabela8[[Reserva]:[Usuário]],7,FALSE),Dados!$A$17)</f>
        <v>0.8325231481481481</v>
      </c>
      <c r="G352" s="40">
        <f>IF(RES_AB[[#This Row],[Reserva]]="","",IF(RES_AB[[#This Row],[Hora Int WMS]]&lt;Dados!$A$16,2,2))</f>
        <v>2</v>
      </c>
      <c r="H352" s="40" t="str">
        <f>IF(RES_AB[[#This Row],[Reserva]]="","",IFERROR(VLOOKUP(RES_AB[[#This Row],[Reserva]],Tabela3[[Reserva]:[Condição para Faturamento]],20,FALSE),"IMPORTADO COM SUCESSO"))</f>
        <v>IMPORTADO</v>
      </c>
      <c r="I352" s="38">
        <f>IF(RES_AB[[#This Row],[Data base]]="","",WORKDAY(RES_AB[[#This Row],[Data Reserva - Feriado e Fds]],RES_AB[[#This Row],[Dias para atendimento]],Feriados[Data]))</f>
        <v>45449</v>
      </c>
      <c r="J352" s="40" t="str">
        <f ca="1">IF(RES_AB[[#This Row],[Reserva]]="","",CONCATENATE("D+",NETWORKDAYS(RES_AB[[#This Row],[Data Reserva - Feriado e Fds]],TODAY(),Feriados[Data])-1))</f>
        <v>D+3</v>
      </c>
      <c r="K352" s="40" t="str">
        <f ca="1">IF(RES_AB[[#This Row],[Reserva]]="","",CONCATENATE(RES_AB[[#This Row],[Cen.]]," | ",RES_AB[[#This Row],[SLA2]]))</f>
        <v>N190 | D+3</v>
      </c>
      <c r="L352" s="40">
        <f ca="1">IF(RES_AB[[#This Row],[Reserva]]="","",IF(RES_AB[[#This Row],[SLA2]]=RES_AB[[#This Row],[Reserva]]="","",COUNTIF(MB25_VOLUMETRIA[Reserva],RES_AB[[#This Row],[Reserva]])))</f>
        <v>3</v>
      </c>
      <c r="M3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2" s="37" t="str">
        <f>IF(RES_AB[[#This Row],[Cen.]]="","",IFERROR(VLOOKUP(RES_AB[[#This Row],[Cen.]],Dados_Empresas[],2,FALSE),"Verificar empresa"))</f>
        <v>NET MASSIVO</v>
      </c>
      <c r="P352" s="37" t="str">
        <f>IF(RES_AB[[#This Row],[Empresa]]="","",IF(OR(RES_AB[[#This Row],[Empresa]]="NET MASSIVO",RES_AB[[#This Row],[Empresa]]="NET PROJETOS"),"NET","EMPRESARIAL"))</f>
        <v>NET</v>
      </c>
      <c r="Q352" s="37" t="str">
        <f>IF(RES_AB[[#This Row],[Reserva]]="","",IFERROR(VLOOKUP(RES_AB[[#This Row],[Reserva]],Tabela3[[Reserva]:[Descrição do status]],18,FALSE),"CONVENCIONAL"))</f>
        <v>CONVENCIONAL</v>
      </c>
    </row>
    <row r="353" spans="1:17" x14ac:dyDescent="0.25">
      <c r="A353" s="37">
        <v>4381117</v>
      </c>
      <c r="B353" s="37" t="s">
        <v>21</v>
      </c>
      <c r="C353" s="38" t="s">
        <v>19</v>
      </c>
      <c r="D353" s="38">
        <v>45447</v>
      </c>
      <c r="E3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3" s="39">
        <f>IFERROR(VLOOKUP(RES_AB[[#This Row],[Reserva]],Tabela8[[Reserva]:[Usuário]],7,FALSE),Dados!$A$17)</f>
        <v>0.8325231481481481</v>
      </c>
      <c r="G353" s="40">
        <f>IF(RES_AB[[#This Row],[Reserva]]="","",IF(RES_AB[[#This Row],[Hora Int WMS]]&lt;Dados!$A$16,2,2))</f>
        <v>2</v>
      </c>
      <c r="H353" s="40" t="str">
        <f>IF(RES_AB[[#This Row],[Reserva]]="","",IFERROR(VLOOKUP(RES_AB[[#This Row],[Reserva]],Tabela3[[Reserva]:[Condição para Faturamento]],20,FALSE),"IMPORTADO COM SUCESSO"))</f>
        <v>IMPORTADO</v>
      </c>
      <c r="I353" s="38">
        <f>IF(RES_AB[[#This Row],[Data base]]="","",WORKDAY(RES_AB[[#This Row],[Data Reserva - Feriado e Fds]],RES_AB[[#This Row],[Dias para atendimento]],Feriados[Data]))</f>
        <v>45449</v>
      </c>
      <c r="J353" s="40" t="str">
        <f ca="1">IF(RES_AB[[#This Row],[Reserva]]="","",CONCATENATE("D+",NETWORKDAYS(RES_AB[[#This Row],[Data Reserva - Feriado e Fds]],TODAY(),Feriados[Data])-1))</f>
        <v>D+3</v>
      </c>
      <c r="K353" s="40" t="str">
        <f ca="1">IF(RES_AB[[#This Row],[Reserva]]="","",CONCATENATE(RES_AB[[#This Row],[Cen.]]," | ",RES_AB[[#This Row],[SLA2]]))</f>
        <v>N190 | D+3</v>
      </c>
      <c r="L353" s="40">
        <f ca="1">IF(RES_AB[[#This Row],[Reserva]]="","",IF(RES_AB[[#This Row],[SLA2]]=RES_AB[[#This Row],[Reserva]]="","",COUNTIF(MB25_VOLUMETRIA[Reserva],RES_AB[[#This Row],[Reserva]])))</f>
        <v>5</v>
      </c>
      <c r="M3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3" s="37" t="str">
        <f>IF(RES_AB[[#This Row],[Cen.]]="","",IFERROR(VLOOKUP(RES_AB[[#This Row],[Cen.]],Dados_Empresas[],2,FALSE),"Verificar empresa"))</f>
        <v>NET MASSIVO</v>
      </c>
      <c r="P353" s="37" t="str">
        <f>IF(RES_AB[[#This Row],[Empresa]]="","",IF(OR(RES_AB[[#This Row],[Empresa]]="NET MASSIVO",RES_AB[[#This Row],[Empresa]]="NET PROJETOS"),"NET","EMPRESARIAL"))</f>
        <v>NET</v>
      </c>
      <c r="Q353" s="37" t="str">
        <f>IF(RES_AB[[#This Row],[Reserva]]="","",IFERROR(VLOOKUP(RES_AB[[#This Row],[Reserva]],Tabela3[[Reserva]:[Descrição do status]],18,FALSE),"CONVENCIONAL"))</f>
        <v>CONVENCIONAL</v>
      </c>
    </row>
    <row r="354" spans="1:17" x14ac:dyDescent="0.25">
      <c r="A354" s="37">
        <v>4381118</v>
      </c>
      <c r="B354" s="37" t="s">
        <v>21</v>
      </c>
      <c r="C354" s="38" t="s">
        <v>19</v>
      </c>
      <c r="D354" s="38">
        <v>45447</v>
      </c>
      <c r="E3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4" s="39">
        <f>IFERROR(VLOOKUP(RES_AB[[#This Row],[Reserva]],Tabela8[[Reserva]:[Usuário]],7,FALSE),Dados!$A$17)</f>
        <v>0.83263888888888893</v>
      </c>
      <c r="G354" s="40">
        <f>IF(RES_AB[[#This Row],[Reserva]]="","",IF(RES_AB[[#This Row],[Hora Int WMS]]&lt;Dados!$A$16,2,2))</f>
        <v>2</v>
      </c>
      <c r="H354" s="40" t="str">
        <f>IF(RES_AB[[#This Row],[Reserva]]="","",IFERROR(VLOOKUP(RES_AB[[#This Row],[Reserva]],Tabela3[[Reserva]:[Condição para Faturamento]],20,FALSE),"IMPORTADO COM SUCESSO"))</f>
        <v>EM RESSUPRIMENTO</v>
      </c>
      <c r="I354" s="38">
        <f>IF(RES_AB[[#This Row],[Data base]]="","",WORKDAY(RES_AB[[#This Row],[Data Reserva - Feriado e Fds]],RES_AB[[#This Row],[Dias para atendimento]],Feriados[Data]))</f>
        <v>45449</v>
      </c>
      <c r="J354" s="40" t="str">
        <f ca="1">IF(RES_AB[[#This Row],[Reserva]]="","",CONCATENATE("D+",NETWORKDAYS(RES_AB[[#This Row],[Data Reserva - Feriado e Fds]],TODAY(),Feriados[Data])-1))</f>
        <v>D+3</v>
      </c>
      <c r="K354" s="40" t="str">
        <f ca="1">IF(RES_AB[[#This Row],[Reserva]]="","",CONCATENATE(RES_AB[[#This Row],[Cen.]]," | ",RES_AB[[#This Row],[SLA2]]))</f>
        <v>N190 | D+3</v>
      </c>
      <c r="L354" s="40">
        <f ca="1">IF(RES_AB[[#This Row],[Reserva]]="","",IF(RES_AB[[#This Row],[SLA2]]=RES_AB[[#This Row],[Reserva]]="","",COUNTIF(MB25_VOLUMETRIA[Reserva],RES_AB[[#This Row],[Reserva]])))</f>
        <v>2</v>
      </c>
      <c r="M3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4" s="37" t="str">
        <f>IF(RES_AB[[#This Row],[Cen.]]="","",IFERROR(VLOOKUP(RES_AB[[#This Row],[Cen.]],Dados_Empresas[],2,FALSE),"Verificar empresa"))</f>
        <v>NET MASSIVO</v>
      </c>
      <c r="P354" s="37" t="str">
        <f>IF(RES_AB[[#This Row],[Empresa]]="","",IF(OR(RES_AB[[#This Row],[Empresa]]="NET MASSIVO",RES_AB[[#This Row],[Empresa]]="NET PROJETOS"),"NET","EMPRESARIAL"))</f>
        <v>NET</v>
      </c>
      <c r="Q354" s="37" t="str">
        <f>IF(RES_AB[[#This Row],[Reserva]]="","",IFERROR(VLOOKUP(RES_AB[[#This Row],[Reserva]],Tabela3[[Reserva]:[Descrição do status]],18,FALSE),"CONVENCIONAL"))</f>
        <v>CONVENCIONAL</v>
      </c>
    </row>
    <row r="355" spans="1:17" x14ac:dyDescent="0.25">
      <c r="A355" s="37">
        <v>4381120</v>
      </c>
      <c r="B355" s="37" t="s">
        <v>21</v>
      </c>
      <c r="C355" s="38" t="s">
        <v>19</v>
      </c>
      <c r="D355" s="38">
        <v>45447</v>
      </c>
      <c r="E3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5" s="39">
        <f>IFERROR(VLOOKUP(RES_AB[[#This Row],[Reserva]],Tabela8[[Reserva]:[Usuário]],7,FALSE),Dados!$A$17)</f>
        <v>0.83275462962962965</v>
      </c>
      <c r="G355" s="40">
        <f>IF(RES_AB[[#This Row],[Reserva]]="","",IF(RES_AB[[#This Row],[Hora Int WMS]]&lt;Dados!$A$16,2,2))</f>
        <v>2</v>
      </c>
      <c r="H355" s="40" t="str">
        <f>IF(RES_AB[[#This Row],[Reserva]]="","",IFERROR(VLOOKUP(RES_AB[[#This Row],[Reserva]],Tabela3[[Reserva]:[Condição para Faturamento]],20,FALSE),"IMPORTADO COM SUCESSO"))</f>
        <v>IMPORTADO</v>
      </c>
      <c r="I355" s="38">
        <f>IF(RES_AB[[#This Row],[Data base]]="","",WORKDAY(RES_AB[[#This Row],[Data Reserva - Feriado e Fds]],RES_AB[[#This Row],[Dias para atendimento]],Feriados[Data]))</f>
        <v>45449</v>
      </c>
      <c r="J355" s="40" t="str">
        <f ca="1">IF(RES_AB[[#This Row],[Reserva]]="","",CONCATENATE("D+",NETWORKDAYS(RES_AB[[#This Row],[Data Reserva - Feriado e Fds]],TODAY(),Feriados[Data])-1))</f>
        <v>D+3</v>
      </c>
      <c r="K355" s="40" t="str">
        <f ca="1">IF(RES_AB[[#This Row],[Reserva]]="","",CONCATENATE(RES_AB[[#This Row],[Cen.]]," | ",RES_AB[[#This Row],[SLA2]]))</f>
        <v>N190 | D+3</v>
      </c>
      <c r="L355" s="40">
        <f ca="1">IF(RES_AB[[#This Row],[Reserva]]="","",IF(RES_AB[[#This Row],[SLA2]]=RES_AB[[#This Row],[Reserva]]="","",COUNTIF(MB25_VOLUMETRIA[Reserva],RES_AB[[#This Row],[Reserva]])))</f>
        <v>3</v>
      </c>
      <c r="M3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5" s="37" t="str">
        <f>IF(RES_AB[[#This Row],[Cen.]]="","",IFERROR(VLOOKUP(RES_AB[[#This Row],[Cen.]],Dados_Empresas[],2,FALSE),"Verificar empresa"))</f>
        <v>NET MASSIVO</v>
      </c>
      <c r="P355" s="37" t="str">
        <f>IF(RES_AB[[#This Row],[Empresa]]="","",IF(OR(RES_AB[[#This Row],[Empresa]]="NET MASSIVO",RES_AB[[#This Row],[Empresa]]="NET PROJETOS"),"NET","EMPRESARIAL"))</f>
        <v>NET</v>
      </c>
      <c r="Q355" s="37" t="str">
        <f>IF(RES_AB[[#This Row],[Reserva]]="","",IFERROR(VLOOKUP(RES_AB[[#This Row],[Reserva]],Tabela3[[Reserva]:[Descrição do status]],18,FALSE),"CONVENCIONAL"))</f>
        <v>CONVENCIONAL</v>
      </c>
    </row>
    <row r="356" spans="1:17" x14ac:dyDescent="0.25">
      <c r="A356" s="37">
        <v>4381121</v>
      </c>
      <c r="B356" s="37" t="s">
        <v>21</v>
      </c>
      <c r="C356" s="38" t="s">
        <v>19</v>
      </c>
      <c r="D356" s="38">
        <v>45447</v>
      </c>
      <c r="E3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6" s="39">
        <f>IFERROR(VLOOKUP(RES_AB[[#This Row],[Reserva]],Tabela8[[Reserva]:[Usuário]],7,FALSE),Dados!$A$17)</f>
        <v>0.83287037037037037</v>
      </c>
      <c r="G356" s="40">
        <f>IF(RES_AB[[#This Row],[Reserva]]="","",IF(RES_AB[[#This Row],[Hora Int WMS]]&lt;Dados!$A$16,2,2))</f>
        <v>2</v>
      </c>
      <c r="H356" s="40" t="str">
        <f>IF(RES_AB[[#This Row],[Reserva]]="","",IFERROR(VLOOKUP(RES_AB[[#This Row],[Reserva]],Tabela3[[Reserva]:[Condição para Faturamento]],20,FALSE),"IMPORTADO COM SUCESSO"))</f>
        <v>IMPORTADO</v>
      </c>
      <c r="I356" s="38">
        <f>IF(RES_AB[[#This Row],[Data base]]="","",WORKDAY(RES_AB[[#This Row],[Data Reserva - Feriado e Fds]],RES_AB[[#This Row],[Dias para atendimento]],Feriados[Data]))</f>
        <v>45449</v>
      </c>
      <c r="J356" s="40" t="str">
        <f ca="1">IF(RES_AB[[#This Row],[Reserva]]="","",CONCATENATE("D+",NETWORKDAYS(RES_AB[[#This Row],[Data Reserva - Feriado e Fds]],TODAY(),Feriados[Data])-1))</f>
        <v>D+3</v>
      </c>
      <c r="K356" s="40" t="str">
        <f ca="1">IF(RES_AB[[#This Row],[Reserva]]="","",CONCATENATE(RES_AB[[#This Row],[Cen.]]," | ",RES_AB[[#This Row],[SLA2]]))</f>
        <v>N190 | D+3</v>
      </c>
      <c r="L356" s="40">
        <f ca="1">IF(RES_AB[[#This Row],[Reserva]]="","",IF(RES_AB[[#This Row],[SLA2]]=RES_AB[[#This Row],[Reserva]]="","",COUNTIF(MB25_VOLUMETRIA[Reserva],RES_AB[[#This Row],[Reserva]])))</f>
        <v>2</v>
      </c>
      <c r="M3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6" s="37" t="str">
        <f>IF(RES_AB[[#This Row],[Cen.]]="","",IFERROR(VLOOKUP(RES_AB[[#This Row],[Cen.]],Dados_Empresas[],2,FALSE),"Verificar empresa"))</f>
        <v>NET MASSIVO</v>
      </c>
      <c r="P356" s="37" t="str">
        <f>IF(RES_AB[[#This Row],[Empresa]]="","",IF(OR(RES_AB[[#This Row],[Empresa]]="NET MASSIVO",RES_AB[[#This Row],[Empresa]]="NET PROJETOS"),"NET","EMPRESARIAL"))</f>
        <v>NET</v>
      </c>
      <c r="Q356" s="37" t="str">
        <f>IF(RES_AB[[#This Row],[Reserva]]="","",IFERROR(VLOOKUP(RES_AB[[#This Row],[Reserva]],Tabela3[[Reserva]:[Descrição do status]],18,FALSE),"CONVENCIONAL"))</f>
        <v>CONVENCIONAL</v>
      </c>
    </row>
    <row r="357" spans="1:17" x14ac:dyDescent="0.25">
      <c r="A357" s="37">
        <v>4381123</v>
      </c>
      <c r="B357" s="37" t="s">
        <v>21</v>
      </c>
      <c r="C357" s="38" t="s">
        <v>19</v>
      </c>
      <c r="D357" s="38">
        <v>45447</v>
      </c>
      <c r="E3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7" s="39">
        <f>IFERROR(VLOOKUP(RES_AB[[#This Row],[Reserva]],Tabela8[[Reserva]:[Usuário]],7,FALSE),Dados!$A$17)</f>
        <v>0.83298611111111109</v>
      </c>
      <c r="G357" s="40">
        <f>IF(RES_AB[[#This Row],[Reserva]]="","",IF(RES_AB[[#This Row],[Hora Int WMS]]&lt;Dados!$A$16,2,2))</f>
        <v>2</v>
      </c>
      <c r="H357" s="40" t="str">
        <f>IF(RES_AB[[#This Row],[Reserva]]="","",IFERROR(VLOOKUP(RES_AB[[#This Row],[Reserva]],Tabela3[[Reserva]:[Condição para Faturamento]],20,FALSE),"IMPORTADO COM SUCESSO"))</f>
        <v>IMPORTADO</v>
      </c>
      <c r="I357" s="38">
        <f>IF(RES_AB[[#This Row],[Data base]]="","",WORKDAY(RES_AB[[#This Row],[Data Reserva - Feriado e Fds]],RES_AB[[#This Row],[Dias para atendimento]],Feriados[Data]))</f>
        <v>45449</v>
      </c>
      <c r="J357" s="40" t="str">
        <f ca="1">IF(RES_AB[[#This Row],[Reserva]]="","",CONCATENATE("D+",NETWORKDAYS(RES_AB[[#This Row],[Data Reserva - Feriado e Fds]],TODAY(),Feriados[Data])-1))</f>
        <v>D+3</v>
      </c>
      <c r="K357" s="40" t="str">
        <f ca="1">IF(RES_AB[[#This Row],[Reserva]]="","",CONCATENATE(RES_AB[[#This Row],[Cen.]]," | ",RES_AB[[#This Row],[SLA2]]))</f>
        <v>N190 | D+3</v>
      </c>
      <c r="L357" s="40">
        <f ca="1">IF(RES_AB[[#This Row],[Reserva]]="","",IF(RES_AB[[#This Row],[SLA2]]=RES_AB[[#This Row],[Reserva]]="","",COUNTIF(MB25_VOLUMETRIA[Reserva],RES_AB[[#This Row],[Reserva]])))</f>
        <v>2</v>
      </c>
      <c r="M3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7" s="37" t="str">
        <f>IF(RES_AB[[#This Row],[Cen.]]="","",IFERROR(VLOOKUP(RES_AB[[#This Row],[Cen.]],Dados_Empresas[],2,FALSE),"Verificar empresa"))</f>
        <v>NET MASSIVO</v>
      </c>
      <c r="P357" s="37" t="str">
        <f>IF(RES_AB[[#This Row],[Empresa]]="","",IF(OR(RES_AB[[#This Row],[Empresa]]="NET MASSIVO",RES_AB[[#This Row],[Empresa]]="NET PROJETOS"),"NET","EMPRESARIAL"))</f>
        <v>NET</v>
      </c>
      <c r="Q357" s="37" t="str">
        <f>IF(RES_AB[[#This Row],[Reserva]]="","",IFERROR(VLOOKUP(RES_AB[[#This Row],[Reserva]],Tabela3[[Reserva]:[Descrição do status]],18,FALSE),"CONVENCIONAL"))</f>
        <v>CONVENCIONAL</v>
      </c>
    </row>
    <row r="358" spans="1:17" x14ac:dyDescent="0.25">
      <c r="A358" s="37">
        <v>4381124</v>
      </c>
      <c r="B358" s="37" t="s">
        <v>21</v>
      </c>
      <c r="C358" s="38" t="s">
        <v>19</v>
      </c>
      <c r="D358" s="38">
        <v>45447</v>
      </c>
      <c r="E3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8" s="39">
        <f>IFERROR(VLOOKUP(RES_AB[[#This Row],[Reserva]],Tabela8[[Reserva]:[Usuário]],7,FALSE),Dados!$A$17)</f>
        <v>0.83310185185185182</v>
      </c>
      <c r="G358" s="40">
        <f>IF(RES_AB[[#This Row],[Reserva]]="","",IF(RES_AB[[#This Row],[Hora Int WMS]]&lt;Dados!$A$16,2,2))</f>
        <v>2</v>
      </c>
      <c r="H358" s="40" t="str">
        <f>IF(RES_AB[[#This Row],[Reserva]]="","",IFERROR(VLOOKUP(RES_AB[[#This Row],[Reserva]],Tabela3[[Reserva]:[Condição para Faturamento]],20,FALSE),"IMPORTADO COM SUCESSO"))</f>
        <v>IMPORTADO</v>
      </c>
      <c r="I358" s="38">
        <f>IF(RES_AB[[#This Row],[Data base]]="","",WORKDAY(RES_AB[[#This Row],[Data Reserva - Feriado e Fds]],RES_AB[[#This Row],[Dias para atendimento]],Feriados[Data]))</f>
        <v>45449</v>
      </c>
      <c r="J358" s="40" t="str">
        <f ca="1">IF(RES_AB[[#This Row],[Reserva]]="","",CONCATENATE("D+",NETWORKDAYS(RES_AB[[#This Row],[Data Reserva - Feriado e Fds]],TODAY(),Feriados[Data])-1))</f>
        <v>D+3</v>
      </c>
      <c r="K358" s="40" t="str">
        <f ca="1">IF(RES_AB[[#This Row],[Reserva]]="","",CONCATENATE(RES_AB[[#This Row],[Cen.]]," | ",RES_AB[[#This Row],[SLA2]]))</f>
        <v>N190 | D+3</v>
      </c>
      <c r="L358" s="40">
        <f ca="1">IF(RES_AB[[#This Row],[Reserva]]="","",IF(RES_AB[[#This Row],[SLA2]]=RES_AB[[#This Row],[Reserva]]="","",COUNTIF(MB25_VOLUMETRIA[Reserva],RES_AB[[#This Row],[Reserva]])))</f>
        <v>4</v>
      </c>
      <c r="M3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8" s="37" t="str">
        <f>IF(RES_AB[[#This Row],[Cen.]]="","",IFERROR(VLOOKUP(RES_AB[[#This Row],[Cen.]],Dados_Empresas[],2,FALSE),"Verificar empresa"))</f>
        <v>NET MASSIVO</v>
      </c>
      <c r="P358" s="37" t="str">
        <f>IF(RES_AB[[#This Row],[Empresa]]="","",IF(OR(RES_AB[[#This Row],[Empresa]]="NET MASSIVO",RES_AB[[#This Row],[Empresa]]="NET PROJETOS"),"NET","EMPRESARIAL"))</f>
        <v>NET</v>
      </c>
      <c r="Q358" s="37" t="str">
        <f>IF(RES_AB[[#This Row],[Reserva]]="","",IFERROR(VLOOKUP(RES_AB[[#This Row],[Reserva]],Tabela3[[Reserva]:[Descrição do status]],18,FALSE),"CONVENCIONAL"))</f>
        <v>CONVENCIONAL</v>
      </c>
    </row>
    <row r="359" spans="1:17" x14ac:dyDescent="0.25">
      <c r="A359" s="37">
        <v>4381125</v>
      </c>
      <c r="B359" s="37" t="s">
        <v>21</v>
      </c>
      <c r="C359" s="38" t="s">
        <v>19</v>
      </c>
      <c r="D359" s="38">
        <v>45447</v>
      </c>
      <c r="E3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59" s="39">
        <f>IFERROR(VLOOKUP(RES_AB[[#This Row],[Reserva]],Tabela8[[Reserva]:[Usuário]],7,FALSE),Dados!$A$17)</f>
        <v>0.83321759259259254</v>
      </c>
      <c r="G359" s="40">
        <f>IF(RES_AB[[#This Row],[Reserva]]="","",IF(RES_AB[[#This Row],[Hora Int WMS]]&lt;Dados!$A$16,2,2))</f>
        <v>2</v>
      </c>
      <c r="H359" s="40" t="str">
        <f>IF(RES_AB[[#This Row],[Reserva]]="","",IFERROR(VLOOKUP(RES_AB[[#This Row],[Reserva]],Tabela3[[Reserva]:[Condição para Faturamento]],20,FALSE),"IMPORTADO COM SUCESSO"))</f>
        <v>IMPORTADO</v>
      </c>
      <c r="I359" s="38">
        <f>IF(RES_AB[[#This Row],[Data base]]="","",WORKDAY(RES_AB[[#This Row],[Data Reserva - Feriado e Fds]],RES_AB[[#This Row],[Dias para atendimento]],Feriados[Data]))</f>
        <v>45449</v>
      </c>
      <c r="J359" s="40" t="str">
        <f ca="1">IF(RES_AB[[#This Row],[Reserva]]="","",CONCATENATE("D+",NETWORKDAYS(RES_AB[[#This Row],[Data Reserva - Feriado e Fds]],TODAY(),Feriados[Data])-1))</f>
        <v>D+3</v>
      </c>
      <c r="K359" s="40" t="str">
        <f ca="1">IF(RES_AB[[#This Row],[Reserva]]="","",CONCATENATE(RES_AB[[#This Row],[Cen.]]," | ",RES_AB[[#This Row],[SLA2]]))</f>
        <v>N190 | D+3</v>
      </c>
      <c r="L359" s="40">
        <f ca="1">IF(RES_AB[[#This Row],[Reserva]]="","",IF(RES_AB[[#This Row],[SLA2]]=RES_AB[[#This Row],[Reserva]]="","",COUNTIF(MB25_VOLUMETRIA[Reserva],RES_AB[[#This Row],[Reserva]])))</f>
        <v>3</v>
      </c>
      <c r="M3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59" s="37" t="str">
        <f>IF(RES_AB[[#This Row],[Cen.]]="","",IFERROR(VLOOKUP(RES_AB[[#This Row],[Cen.]],Dados_Empresas[],2,FALSE),"Verificar empresa"))</f>
        <v>NET MASSIVO</v>
      </c>
      <c r="P359" s="37" t="str">
        <f>IF(RES_AB[[#This Row],[Empresa]]="","",IF(OR(RES_AB[[#This Row],[Empresa]]="NET MASSIVO",RES_AB[[#This Row],[Empresa]]="NET PROJETOS"),"NET","EMPRESARIAL"))</f>
        <v>NET</v>
      </c>
      <c r="Q359" s="37" t="str">
        <f>IF(RES_AB[[#This Row],[Reserva]]="","",IFERROR(VLOOKUP(RES_AB[[#This Row],[Reserva]],Tabela3[[Reserva]:[Descrição do status]],18,FALSE),"CONVENCIONAL"))</f>
        <v>CONVENCIONAL</v>
      </c>
    </row>
    <row r="360" spans="1:17" x14ac:dyDescent="0.25">
      <c r="A360" s="37">
        <v>4381126</v>
      </c>
      <c r="B360" s="37" t="s">
        <v>21</v>
      </c>
      <c r="C360" s="38" t="s">
        <v>19</v>
      </c>
      <c r="D360" s="38">
        <v>45447</v>
      </c>
      <c r="E3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0" s="39">
        <f>IFERROR(VLOOKUP(RES_AB[[#This Row],[Reserva]],Tabela8[[Reserva]:[Usuário]],7,FALSE),Dados!$A$17)</f>
        <v>0.83321759259259254</v>
      </c>
      <c r="G360" s="40">
        <f>IF(RES_AB[[#This Row],[Reserva]]="","",IF(RES_AB[[#This Row],[Hora Int WMS]]&lt;Dados!$A$16,2,2))</f>
        <v>2</v>
      </c>
      <c r="H360" s="40" t="str">
        <f>IF(RES_AB[[#This Row],[Reserva]]="","",IFERROR(VLOOKUP(RES_AB[[#This Row],[Reserva]],Tabela3[[Reserva]:[Condição para Faturamento]],20,FALSE),"IMPORTADO COM SUCESSO"))</f>
        <v>IMPORTADO</v>
      </c>
      <c r="I360" s="38">
        <f>IF(RES_AB[[#This Row],[Data base]]="","",WORKDAY(RES_AB[[#This Row],[Data Reserva - Feriado e Fds]],RES_AB[[#This Row],[Dias para atendimento]],Feriados[Data]))</f>
        <v>45449</v>
      </c>
      <c r="J360" s="40" t="str">
        <f ca="1">IF(RES_AB[[#This Row],[Reserva]]="","",CONCATENATE("D+",NETWORKDAYS(RES_AB[[#This Row],[Data Reserva - Feriado e Fds]],TODAY(),Feriados[Data])-1))</f>
        <v>D+3</v>
      </c>
      <c r="K360" s="40" t="str">
        <f ca="1">IF(RES_AB[[#This Row],[Reserva]]="","",CONCATENATE(RES_AB[[#This Row],[Cen.]]," | ",RES_AB[[#This Row],[SLA2]]))</f>
        <v>N190 | D+3</v>
      </c>
      <c r="L360" s="40">
        <f ca="1">IF(RES_AB[[#This Row],[Reserva]]="","",IF(RES_AB[[#This Row],[SLA2]]=RES_AB[[#This Row],[Reserva]]="","",COUNTIF(MB25_VOLUMETRIA[Reserva],RES_AB[[#This Row],[Reserva]])))</f>
        <v>5</v>
      </c>
      <c r="M3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0" s="37" t="str">
        <f>IF(RES_AB[[#This Row],[Cen.]]="","",IFERROR(VLOOKUP(RES_AB[[#This Row],[Cen.]],Dados_Empresas[],2,FALSE),"Verificar empresa"))</f>
        <v>NET MASSIVO</v>
      </c>
      <c r="P360" s="37" t="str">
        <f>IF(RES_AB[[#This Row],[Empresa]]="","",IF(OR(RES_AB[[#This Row],[Empresa]]="NET MASSIVO",RES_AB[[#This Row],[Empresa]]="NET PROJETOS"),"NET","EMPRESARIAL"))</f>
        <v>NET</v>
      </c>
      <c r="Q360" s="37" t="str">
        <f>IF(RES_AB[[#This Row],[Reserva]]="","",IFERROR(VLOOKUP(RES_AB[[#This Row],[Reserva]],Tabela3[[Reserva]:[Descrição do status]],18,FALSE),"CONVENCIONAL"))</f>
        <v>CONVENCIONAL</v>
      </c>
    </row>
    <row r="361" spans="1:17" x14ac:dyDescent="0.25">
      <c r="A361" s="37">
        <v>4381127</v>
      </c>
      <c r="B361" s="37" t="s">
        <v>21</v>
      </c>
      <c r="C361" s="38" t="s">
        <v>19</v>
      </c>
      <c r="D361" s="38">
        <v>45447</v>
      </c>
      <c r="E3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1" s="39">
        <f>IFERROR(VLOOKUP(RES_AB[[#This Row],[Reserva]],Tabela8[[Reserva]:[Usuário]],7,FALSE),Dados!$A$17)</f>
        <v>0.83333333333333337</v>
      </c>
      <c r="G361" s="40">
        <f>IF(RES_AB[[#This Row],[Reserva]]="","",IF(RES_AB[[#This Row],[Hora Int WMS]]&lt;Dados!$A$16,2,2))</f>
        <v>2</v>
      </c>
      <c r="H361" s="40" t="str">
        <f>IF(RES_AB[[#This Row],[Reserva]]="","",IFERROR(VLOOKUP(RES_AB[[#This Row],[Reserva]],Tabela3[[Reserva]:[Condição para Faturamento]],20,FALSE),"IMPORTADO COM SUCESSO"))</f>
        <v>IMPORTADO</v>
      </c>
      <c r="I361" s="38">
        <f>IF(RES_AB[[#This Row],[Data base]]="","",WORKDAY(RES_AB[[#This Row],[Data Reserva - Feriado e Fds]],RES_AB[[#This Row],[Dias para atendimento]],Feriados[Data]))</f>
        <v>45449</v>
      </c>
      <c r="J361" s="40" t="str">
        <f ca="1">IF(RES_AB[[#This Row],[Reserva]]="","",CONCATENATE("D+",NETWORKDAYS(RES_AB[[#This Row],[Data Reserva - Feriado e Fds]],TODAY(),Feriados[Data])-1))</f>
        <v>D+3</v>
      </c>
      <c r="K361" s="40" t="str">
        <f ca="1">IF(RES_AB[[#This Row],[Reserva]]="","",CONCATENATE(RES_AB[[#This Row],[Cen.]]," | ",RES_AB[[#This Row],[SLA2]]))</f>
        <v>N190 | D+3</v>
      </c>
      <c r="L361" s="40">
        <f ca="1">IF(RES_AB[[#This Row],[Reserva]]="","",IF(RES_AB[[#This Row],[SLA2]]=RES_AB[[#This Row],[Reserva]]="","",COUNTIF(MB25_VOLUMETRIA[Reserva],RES_AB[[#This Row],[Reserva]])))</f>
        <v>2</v>
      </c>
      <c r="M3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1" s="37" t="str">
        <f>IF(RES_AB[[#This Row],[Cen.]]="","",IFERROR(VLOOKUP(RES_AB[[#This Row],[Cen.]],Dados_Empresas[],2,FALSE),"Verificar empresa"))</f>
        <v>NET MASSIVO</v>
      </c>
      <c r="P361" s="37" t="str">
        <f>IF(RES_AB[[#This Row],[Empresa]]="","",IF(OR(RES_AB[[#This Row],[Empresa]]="NET MASSIVO",RES_AB[[#This Row],[Empresa]]="NET PROJETOS"),"NET","EMPRESARIAL"))</f>
        <v>NET</v>
      </c>
      <c r="Q361" s="37" t="str">
        <f>IF(RES_AB[[#This Row],[Reserva]]="","",IFERROR(VLOOKUP(RES_AB[[#This Row],[Reserva]],Tabela3[[Reserva]:[Descrição do status]],18,FALSE),"CONVENCIONAL"))</f>
        <v>CONVENCIONAL</v>
      </c>
    </row>
    <row r="362" spans="1:17" x14ac:dyDescent="0.25">
      <c r="A362" s="37">
        <v>4381128</v>
      </c>
      <c r="B362" s="37" t="s">
        <v>21</v>
      </c>
      <c r="C362" s="38" t="s">
        <v>19</v>
      </c>
      <c r="D362" s="38">
        <v>45447</v>
      </c>
      <c r="E3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2" s="39">
        <f>IFERROR(VLOOKUP(RES_AB[[#This Row],[Reserva]],Tabela8[[Reserva]:[Usuário]],7,FALSE),Dados!$A$17)</f>
        <v>0.83344907407407409</v>
      </c>
      <c r="G362" s="40">
        <f>IF(RES_AB[[#This Row],[Reserva]]="","",IF(RES_AB[[#This Row],[Hora Int WMS]]&lt;Dados!$A$16,2,2))</f>
        <v>2</v>
      </c>
      <c r="H362" s="40" t="str">
        <f>IF(RES_AB[[#This Row],[Reserva]]="","",IFERROR(VLOOKUP(RES_AB[[#This Row],[Reserva]],Tabela3[[Reserva]:[Condição para Faturamento]],20,FALSE),"IMPORTADO COM SUCESSO"))</f>
        <v>IMPORTADO</v>
      </c>
      <c r="I362" s="38">
        <f>IF(RES_AB[[#This Row],[Data base]]="","",WORKDAY(RES_AB[[#This Row],[Data Reserva - Feriado e Fds]],RES_AB[[#This Row],[Dias para atendimento]],Feriados[Data]))</f>
        <v>45449</v>
      </c>
      <c r="J362" s="40" t="str">
        <f ca="1">IF(RES_AB[[#This Row],[Reserva]]="","",CONCATENATE("D+",NETWORKDAYS(RES_AB[[#This Row],[Data Reserva - Feriado e Fds]],TODAY(),Feriados[Data])-1))</f>
        <v>D+3</v>
      </c>
      <c r="K362" s="40" t="str">
        <f ca="1">IF(RES_AB[[#This Row],[Reserva]]="","",CONCATENATE(RES_AB[[#This Row],[Cen.]]," | ",RES_AB[[#This Row],[SLA2]]))</f>
        <v>N190 | D+3</v>
      </c>
      <c r="L362" s="40">
        <f ca="1">IF(RES_AB[[#This Row],[Reserva]]="","",IF(RES_AB[[#This Row],[SLA2]]=RES_AB[[#This Row],[Reserva]]="","",COUNTIF(MB25_VOLUMETRIA[Reserva],RES_AB[[#This Row],[Reserva]])))</f>
        <v>3</v>
      </c>
      <c r="M3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2" s="37" t="str">
        <f>IF(RES_AB[[#This Row],[Cen.]]="","",IFERROR(VLOOKUP(RES_AB[[#This Row],[Cen.]],Dados_Empresas[],2,FALSE),"Verificar empresa"))</f>
        <v>NET MASSIVO</v>
      </c>
      <c r="P362" s="37" t="str">
        <f>IF(RES_AB[[#This Row],[Empresa]]="","",IF(OR(RES_AB[[#This Row],[Empresa]]="NET MASSIVO",RES_AB[[#This Row],[Empresa]]="NET PROJETOS"),"NET","EMPRESARIAL"))</f>
        <v>NET</v>
      </c>
      <c r="Q362" s="37" t="str">
        <f>IF(RES_AB[[#This Row],[Reserva]]="","",IFERROR(VLOOKUP(RES_AB[[#This Row],[Reserva]],Tabela3[[Reserva]:[Descrição do status]],18,FALSE),"CONVENCIONAL"))</f>
        <v>CONVENCIONAL</v>
      </c>
    </row>
    <row r="363" spans="1:17" x14ac:dyDescent="0.25">
      <c r="A363" s="37">
        <v>4381129</v>
      </c>
      <c r="B363" s="37" t="s">
        <v>21</v>
      </c>
      <c r="C363" s="38" t="s">
        <v>19</v>
      </c>
      <c r="D363" s="38">
        <v>45447</v>
      </c>
      <c r="E3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3" s="39">
        <f>IFERROR(VLOOKUP(RES_AB[[#This Row],[Reserva]],Tabela8[[Reserva]:[Usuário]],7,FALSE),Dados!$A$17)</f>
        <v>0.83344907407407409</v>
      </c>
      <c r="G363" s="40">
        <f>IF(RES_AB[[#This Row],[Reserva]]="","",IF(RES_AB[[#This Row],[Hora Int WMS]]&lt;Dados!$A$16,2,2))</f>
        <v>2</v>
      </c>
      <c r="H363" s="40" t="str">
        <f>IF(RES_AB[[#This Row],[Reserva]]="","",IFERROR(VLOOKUP(RES_AB[[#This Row],[Reserva]],Tabela3[[Reserva]:[Condição para Faturamento]],20,FALSE),"IMPORTADO COM SUCESSO"))</f>
        <v>IMPORTADO</v>
      </c>
      <c r="I363" s="38">
        <f>IF(RES_AB[[#This Row],[Data base]]="","",WORKDAY(RES_AB[[#This Row],[Data Reserva - Feriado e Fds]],RES_AB[[#This Row],[Dias para atendimento]],Feriados[Data]))</f>
        <v>45449</v>
      </c>
      <c r="J363" s="40" t="str">
        <f ca="1">IF(RES_AB[[#This Row],[Reserva]]="","",CONCATENATE("D+",NETWORKDAYS(RES_AB[[#This Row],[Data Reserva - Feriado e Fds]],TODAY(),Feriados[Data])-1))</f>
        <v>D+3</v>
      </c>
      <c r="K363" s="40" t="str">
        <f ca="1">IF(RES_AB[[#This Row],[Reserva]]="","",CONCATENATE(RES_AB[[#This Row],[Cen.]]," | ",RES_AB[[#This Row],[SLA2]]))</f>
        <v>N190 | D+3</v>
      </c>
      <c r="L363" s="40">
        <f ca="1">IF(RES_AB[[#This Row],[Reserva]]="","",IF(RES_AB[[#This Row],[SLA2]]=RES_AB[[#This Row],[Reserva]]="","",COUNTIF(MB25_VOLUMETRIA[Reserva],RES_AB[[#This Row],[Reserva]])))</f>
        <v>2</v>
      </c>
      <c r="M3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3" s="37" t="str">
        <f>IF(RES_AB[[#This Row],[Cen.]]="","",IFERROR(VLOOKUP(RES_AB[[#This Row],[Cen.]],Dados_Empresas[],2,FALSE),"Verificar empresa"))</f>
        <v>NET MASSIVO</v>
      </c>
      <c r="P363" s="37" t="str">
        <f>IF(RES_AB[[#This Row],[Empresa]]="","",IF(OR(RES_AB[[#This Row],[Empresa]]="NET MASSIVO",RES_AB[[#This Row],[Empresa]]="NET PROJETOS"),"NET","EMPRESARIAL"))</f>
        <v>NET</v>
      </c>
      <c r="Q363" s="37" t="str">
        <f>IF(RES_AB[[#This Row],[Reserva]]="","",IFERROR(VLOOKUP(RES_AB[[#This Row],[Reserva]],Tabela3[[Reserva]:[Descrição do status]],18,FALSE),"CONVENCIONAL"))</f>
        <v>CONVENCIONAL</v>
      </c>
    </row>
    <row r="364" spans="1:17" x14ac:dyDescent="0.25">
      <c r="A364" s="37">
        <v>4381130</v>
      </c>
      <c r="B364" s="37" t="s">
        <v>21</v>
      </c>
      <c r="C364" s="38" t="s">
        <v>19</v>
      </c>
      <c r="D364" s="38">
        <v>45447</v>
      </c>
      <c r="E3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4" s="39">
        <f>IFERROR(VLOOKUP(RES_AB[[#This Row],[Reserva]],Tabela8[[Reserva]:[Usuário]],7,FALSE),Dados!$A$17)</f>
        <v>0.83356481481481481</v>
      </c>
      <c r="G364" s="40">
        <f>IF(RES_AB[[#This Row],[Reserva]]="","",IF(RES_AB[[#This Row],[Hora Int WMS]]&lt;Dados!$A$16,2,2))</f>
        <v>2</v>
      </c>
      <c r="H364" s="40" t="str">
        <f>IF(RES_AB[[#This Row],[Reserva]]="","",IFERROR(VLOOKUP(RES_AB[[#This Row],[Reserva]],Tabela3[[Reserva]:[Condição para Faturamento]],20,FALSE),"IMPORTADO COM SUCESSO"))</f>
        <v>IMPORTADO</v>
      </c>
      <c r="I364" s="38">
        <f>IF(RES_AB[[#This Row],[Data base]]="","",WORKDAY(RES_AB[[#This Row],[Data Reserva - Feriado e Fds]],RES_AB[[#This Row],[Dias para atendimento]],Feriados[Data]))</f>
        <v>45449</v>
      </c>
      <c r="J364" s="40" t="str">
        <f ca="1">IF(RES_AB[[#This Row],[Reserva]]="","",CONCATENATE("D+",NETWORKDAYS(RES_AB[[#This Row],[Data Reserva - Feriado e Fds]],TODAY(),Feriados[Data])-1))</f>
        <v>D+3</v>
      </c>
      <c r="K364" s="40" t="str">
        <f ca="1">IF(RES_AB[[#This Row],[Reserva]]="","",CONCATENATE(RES_AB[[#This Row],[Cen.]]," | ",RES_AB[[#This Row],[SLA2]]))</f>
        <v>N190 | D+3</v>
      </c>
      <c r="L364" s="40">
        <f ca="1">IF(RES_AB[[#This Row],[Reserva]]="","",IF(RES_AB[[#This Row],[SLA2]]=RES_AB[[#This Row],[Reserva]]="","",COUNTIF(MB25_VOLUMETRIA[Reserva],RES_AB[[#This Row],[Reserva]])))</f>
        <v>3</v>
      </c>
      <c r="M3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4" s="37" t="str">
        <f>IF(RES_AB[[#This Row],[Cen.]]="","",IFERROR(VLOOKUP(RES_AB[[#This Row],[Cen.]],Dados_Empresas[],2,FALSE),"Verificar empresa"))</f>
        <v>NET MASSIVO</v>
      </c>
      <c r="P364" s="37" t="str">
        <f>IF(RES_AB[[#This Row],[Empresa]]="","",IF(OR(RES_AB[[#This Row],[Empresa]]="NET MASSIVO",RES_AB[[#This Row],[Empresa]]="NET PROJETOS"),"NET","EMPRESARIAL"))</f>
        <v>NET</v>
      </c>
      <c r="Q364" s="37" t="str">
        <f>IF(RES_AB[[#This Row],[Reserva]]="","",IFERROR(VLOOKUP(RES_AB[[#This Row],[Reserva]],Tabela3[[Reserva]:[Descrição do status]],18,FALSE),"CONVENCIONAL"))</f>
        <v>CONVENCIONAL</v>
      </c>
    </row>
    <row r="365" spans="1:17" x14ac:dyDescent="0.25">
      <c r="A365" s="37">
        <v>4381133</v>
      </c>
      <c r="B365" s="37" t="s">
        <v>21</v>
      </c>
      <c r="C365" s="38" t="s">
        <v>19</v>
      </c>
      <c r="D365" s="38">
        <v>45447</v>
      </c>
      <c r="E3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5" s="39">
        <f>IFERROR(VLOOKUP(RES_AB[[#This Row],[Reserva]],Tabela8[[Reserva]:[Usuário]],7,FALSE),Dados!$A$17)</f>
        <v>0.83379629629629626</v>
      </c>
      <c r="G365" s="40">
        <f>IF(RES_AB[[#This Row],[Reserva]]="","",IF(RES_AB[[#This Row],[Hora Int WMS]]&lt;Dados!$A$16,2,2))</f>
        <v>2</v>
      </c>
      <c r="H365" s="40" t="str">
        <f>IF(RES_AB[[#This Row],[Reserva]]="","",IFERROR(VLOOKUP(RES_AB[[#This Row],[Reserva]],Tabela3[[Reserva]:[Condição para Faturamento]],20,FALSE),"IMPORTADO COM SUCESSO"))</f>
        <v>IMPORTADO</v>
      </c>
      <c r="I365" s="38">
        <f>IF(RES_AB[[#This Row],[Data base]]="","",WORKDAY(RES_AB[[#This Row],[Data Reserva - Feriado e Fds]],RES_AB[[#This Row],[Dias para atendimento]],Feriados[Data]))</f>
        <v>45449</v>
      </c>
      <c r="J365" s="40" t="str">
        <f ca="1">IF(RES_AB[[#This Row],[Reserva]]="","",CONCATENATE("D+",NETWORKDAYS(RES_AB[[#This Row],[Data Reserva - Feriado e Fds]],TODAY(),Feriados[Data])-1))</f>
        <v>D+3</v>
      </c>
      <c r="K365" s="40" t="str">
        <f ca="1">IF(RES_AB[[#This Row],[Reserva]]="","",CONCATENATE(RES_AB[[#This Row],[Cen.]]," | ",RES_AB[[#This Row],[SLA2]]))</f>
        <v>N190 | D+3</v>
      </c>
      <c r="L365" s="40">
        <f ca="1">IF(RES_AB[[#This Row],[Reserva]]="","",IF(RES_AB[[#This Row],[SLA2]]=RES_AB[[#This Row],[Reserva]]="","",COUNTIF(MB25_VOLUMETRIA[Reserva],RES_AB[[#This Row],[Reserva]])))</f>
        <v>3</v>
      </c>
      <c r="M3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5" s="37" t="str">
        <f>IF(RES_AB[[#This Row],[Cen.]]="","",IFERROR(VLOOKUP(RES_AB[[#This Row],[Cen.]],Dados_Empresas[],2,FALSE),"Verificar empresa"))</f>
        <v>NET MASSIVO</v>
      </c>
      <c r="P365" s="37" t="str">
        <f>IF(RES_AB[[#This Row],[Empresa]]="","",IF(OR(RES_AB[[#This Row],[Empresa]]="NET MASSIVO",RES_AB[[#This Row],[Empresa]]="NET PROJETOS"),"NET","EMPRESARIAL"))</f>
        <v>NET</v>
      </c>
      <c r="Q365" s="37" t="str">
        <f>IF(RES_AB[[#This Row],[Reserva]]="","",IFERROR(VLOOKUP(RES_AB[[#This Row],[Reserva]],Tabela3[[Reserva]:[Descrição do status]],18,FALSE),"CONVENCIONAL"))</f>
        <v>CONVENCIONAL</v>
      </c>
    </row>
    <row r="366" spans="1:17" x14ac:dyDescent="0.25">
      <c r="A366" s="37">
        <v>4381134</v>
      </c>
      <c r="B366" s="37" t="s">
        <v>21</v>
      </c>
      <c r="C366" s="38" t="s">
        <v>19</v>
      </c>
      <c r="D366" s="38">
        <v>45447</v>
      </c>
      <c r="E3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6" s="39">
        <f>IFERROR(VLOOKUP(RES_AB[[#This Row],[Reserva]],Tabela8[[Reserva]:[Usuário]],7,FALSE),Dados!$A$17)</f>
        <v>0.83391203703703709</v>
      </c>
      <c r="G366" s="40">
        <f>IF(RES_AB[[#This Row],[Reserva]]="","",IF(RES_AB[[#This Row],[Hora Int WMS]]&lt;Dados!$A$16,2,2))</f>
        <v>2</v>
      </c>
      <c r="H366" s="40" t="str">
        <f>IF(RES_AB[[#This Row],[Reserva]]="","",IFERROR(VLOOKUP(RES_AB[[#This Row],[Reserva]],Tabela3[[Reserva]:[Condição para Faturamento]],20,FALSE),"IMPORTADO COM SUCESSO"))</f>
        <v>IMPORTADO</v>
      </c>
      <c r="I366" s="38">
        <f>IF(RES_AB[[#This Row],[Data base]]="","",WORKDAY(RES_AB[[#This Row],[Data Reserva - Feriado e Fds]],RES_AB[[#This Row],[Dias para atendimento]],Feriados[Data]))</f>
        <v>45449</v>
      </c>
      <c r="J366" s="40" t="str">
        <f ca="1">IF(RES_AB[[#This Row],[Reserva]]="","",CONCATENATE("D+",NETWORKDAYS(RES_AB[[#This Row],[Data Reserva - Feriado e Fds]],TODAY(),Feriados[Data])-1))</f>
        <v>D+3</v>
      </c>
      <c r="K366" s="40" t="str">
        <f ca="1">IF(RES_AB[[#This Row],[Reserva]]="","",CONCATENATE(RES_AB[[#This Row],[Cen.]]," | ",RES_AB[[#This Row],[SLA2]]))</f>
        <v>N190 | D+3</v>
      </c>
      <c r="L366" s="40">
        <f ca="1">IF(RES_AB[[#This Row],[Reserva]]="","",IF(RES_AB[[#This Row],[SLA2]]=RES_AB[[#This Row],[Reserva]]="","",COUNTIF(MB25_VOLUMETRIA[Reserva],RES_AB[[#This Row],[Reserva]])))</f>
        <v>3</v>
      </c>
      <c r="M3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6" s="37" t="str">
        <f>IF(RES_AB[[#This Row],[Cen.]]="","",IFERROR(VLOOKUP(RES_AB[[#This Row],[Cen.]],Dados_Empresas[],2,FALSE),"Verificar empresa"))</f>
        <v>NET MASSIVO</v>
      </c>
      <c r="P366" s="37" t="str">
        <f>IF(RES_AB[[#This Row],[Empresa]]="","",IF(OR(RES_AB[[#This Row],[Empresa]]="NET MASSIVO",RES_AB[[#This Row],[Empresa]]="NET PROJETOS"),"NET","EMPRESARIAL"))</f>
        <v>NET</v>
      </c>
      <c r="Q366" s="37" t="str">
        <f>IF(RES_AB[[#This Row],[Reserva]]="","",IFERROR(VLOOKUP(RES_AB[[#This Row],[Reserva]],Tabela3[[Reserva]:[Descrição do status]],18,FALSE),"CONVENCIONAL"))</f>
        <v>CONVENCIONAL</v>
      </c>
    </row>
    <row r="367" spans="1:17" x14ac:dyDescent="0.25">
      <c r="A367" s="37">
        <v>4381135</v>
      </c>
      <c r="B367" s="37" t="s">
        <v>21</v>
      </c>
      <c r="C367" s="38" t="s">
        <v>19</v>
      </c>
      <c r="D367" s="38">
        <v>45447</v>
      </c>
      <c r="E3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7" s="39">
        <f>IFERROR(VLOOKUP(RES_AB[[#This Row],[Reserva]],Tabela8[[Reserva]:[Usuário]],7,FALSE),Dados!$A$17)</f>
        <v>0.83402777777777781</v>
      </c>
      <c r="G367" s="40">
        <f>IF(RES_AB[[#This Row],[Reserva]]="","",IF(RES_AB[[#This Row],[Hora Int WMS]]&lt;Dados!$A$16,2,2))</f>
        <v>2</v>
      </c>
      <c r="H367" s="40" t="str">
        <f>IF(RES_AB[[#This Row],[Reserva]]="","",IFERROR(VLOOKUP(RES_AB[[#This Row],[Reserva]],Tabela3[[Reserva]:[Condição para Faturamento]],20,FALSE),"IMPORTADO COM SUCESSO"))</f>
        <v>IMPORTADO</v>
      </c>
      <c r="I367" s="38">
        <f>IF(RES_AB[[#This Row],[Data base]]="","",WORKDAY(RES_AB[[#This Row],[Data Reserva - Feriado e Fds]],RES_AB[[#This Row],[Dias para atendimento]],Feriados[Data]))</f>
        <v>45449</v>
      </c>
      <c r="J367" s="40" t="str">
        <f ca="1">IF(RES_AB[[#This Row],[Reserva]]="","",CONCATENATE("D+",NETWORKDAYS(RES_AB[[#This Row],[Data Reserva - Feriado e Fds]],TODAY(),Feriados[Data])-1))</f>
        <v>D+3</v>
      </c>
      <c r="K367" s="40" t="str">
        <f ca="1">IF(RES_AB[[#This Row],[Reserva]]="","",CONCATENATE(RES_AB[[#This Row],[Cen.]]," | ",RES_AB[[#This Row],[SLA2]]))</f>
        <v>N190 | D+3</v>
      </c>
      <c r="L367" s="40">
        <f ca="1">IF(RES_AB[[#This Row],[Reserva]]="","",IF(RES_AB[[#This Row],[SLA2]]=RES_AB[[#This Row],[Reserva]]="","",COUNTIF(MB25_VOLUMETRIA[Reserva],RES_AB[[#This Row],[Reserva]])))</f>
        <v>3</v>
      </c>
      <c r="M3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7" s="37" t="str">
        <f>IF(RES_AB[[#This Row],[Cen.]]="","",IFERROR(VLOOKUP(RES_AB[[#This Row],[Cen.]],Dados_Empresas[],2,FALSE),"Verificar empresa"))</f>
        <v>NET MASSIVO</v>
      </c>
      <c r="P367" s="37" t="str">
        <f>IF(RES_AB[[#This Row],[Empresa]]="","",IF(OR(RES_AB[[#This Row],[Empresa]]="NET MASSIVO",RES_AB[[#This Row],[Empresa]]="NET PROJETOS"),"NET","EMPRESARIAL"))</f>
        <v>NET</v>
      </c>
      <c r="Q367" s="37" t="str">
        <f>IF(RES_AB[[#This Row],[Reserva]]="","",IFERROR(VLOOKUP(RES_AB[[#This Row],[Reserva]],Tabela3[[Reserva]:[Descrição do status]],18,FALSE),"CONVENCIONAL"))</f>
        <v>CONVENCIONAL</v>
      </c>
    </row>
    <row r="368" spans="1:17" x14ac:dyDescent="0.25">
      <c r="A368" s="37">
        <v>4381136</v>
      </c>
      <c r="B368" s="37" t="s">
        <v>21</v>
      </c>
      <c r="C368" s="38" t="s">
        <v>19</v>
      </c>
      <c r="D368" s="38">
        <v>45447</v>
      </c>
      <c r="E3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8" s="39">
        <f>IFERROR(VLOOKUP(RES_AB[[#This Row],[Reserva]],Tabela8[[Reserva]:[Usuário]],7,FALSE),Dados!$A$17)</f>
        <v>0.83414351851851853</v>
      </c>
      <c r="G368" s="40">
        <f>IF(RES_AB[[#This Row],[Reserva]]="","",IF(RES_AB[[#This Row],[Hora Int WMS]]&lt;Dados!$A$16,2,2))</f>
        <v>2</v>
      </c>
      <c r="H368" s="40" t="str">
        <f>IF(RES_AB[[#This Row],[Reserva]]="","",IFERROR(VLOOKUP(RES_AB[[#This Row],[Reserva]],Tabela3[[Reserva]:[Condição para Faturamento]],20,FALSE),"IMPORTADO COM SUCESSO"))</f>
        <v>IMPORTADO</v>
      </c>
      <c r="I368" s="38">
        <f>IF(RES_AB[[#This Row],[Data base]]="","",WORKDAY(RES_AB[[#This Row],[Data Reserva - Feriado e Fds]],RES_AB[[#This Row],[Dias para atendimento]],Feriados[Data]))</f>
        <v>45449</v>
      </c>
      <c r="J368" s="40" t="str">
        <f ca="1">IF(RES_AB[[#This Row],[Reserva]]="","",CONCATENATE("D+",NETWORKDAYS(RES_AB[[#This Row],[Data Reserva - Feriado e Fds]],TODAY(),Feriados[Data])-1))</f>
        <v>D+3</v>
      </c>
      <c r="K368" s="40" t="str">
        <f ca="1">IF(RES_AB[[#This Row],[Reserva]]="","",CONCATENATE(RES_AB[[#This Row],[Cen.]]," | ",RES_AB[[#This Row],[SLA2]]))</f>
        <v>N190 | D+3</v>
      </c>
      <c r="L368" s="40">
        <f ca="1">IF(RES_AB[[#This Row],[Reserva]]="","",IF(RES_AB[[#This Row],[SLA2]]=RES_AB[[#This Row],[Reserva]]="","",COUNTIF(MB25_VOLUMETRIA[Reserva],RES_AB[[#This Row],[Reserva]])))</f>
        <v>4</v>
      </c>
      <c r="M3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8" s="37" t="str">
        <f>IF(RES_AB[[#This Row],[Cen.]]="","",IFERROR(VLOOKUP(RES_AB[[#This Row],[Cen.]],Dados_Empresas[],2,FALSE),"Verificar empresa"))</f>
        <v>NET MASSIVO</v>
      </c>
      <c r="P368" s="37" t="str">
        <f>IF(RES_AB[[#This Row],[Empresa]]="","",IF(OR(RES_AB[[#This Row],[Empresa]]="NET MASSIVO",RES_AB[[#This Row],[Empresa]]="NET PROJETOS"),"NET","EMPRESARIAL"))</f>
        <v>NET</v>
      </c>
      <c r="Q368" s="37" t="str">
        <f>IF(RES_AB[[#This Row],[Reserva]]="","",IFERROR(VLOOKUP(RES_AB[[#This Row],[Reserva]],Tabela3[[Reserva]:[Descrição do status]],18,FALSE),"CONVENCIONAL"))</f>
        <v>CONVENCIONAL</v>
      </c>
    </row>
    <row r="369" spans="1:17" x14ac:dyDescent="0.25">
      <c r="A369" s="37">
        <v>4381137</v>
      </c>
      <c r="B369" s="37" t="s">
        <v>21</v>
      </c>
      <c r="C369" s="38" t="s">
        <v>19</v>
      </c>
      <c r="D369" s="38">
        <v>45447</v>
      </c>
      <c r="E3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69" s="39">
        <f>IFERROR(VLOOKUP(RES_AB[[#This Row],[Reserva]],Tabela8[[Reserva]:[Usuário]],7,FALSE),Dados!$A$17)</f>
        <v>0.83425925925925926</v>
      </c>
      <c r="G369" s="40">
        <f>IF(RES_AB[[#This Row],[Reserva]]="","",IF(RES_AB[[#This Row],[Hora Int WMS]]&lt;Dados!$A$16,2,2))</f>
        <v>2</v>
      </c>
      <c r="H369" s="40" t="str">
        <f>IF(RES_AB[[#This Row],[Reserva]]="","",IFERROR(VLOOKUP(RES_AB[[#This Row],[Reserva]],Tabela3[[Reserva]:[Condição para Faturamento]],20,FALSE),"IMPORTADO COM SUCESSO"))</f>
        <v>EM RESSUPRIMENTO</v>
      </c>
      <c r="I369" s="38">
        <f>IF(RES_AB[[#This Row],[Data base]]="","",WORKDAY(RES_AB[[#This Row],[Data Reserva - Feriado e Fds]],RES_AB[[#This Row],[Dias para atendimento]],Feriados[Data]))</f>
        <v>45449</v>
      </c>
      <c r="J369" s="40" t="str">
        <f ca="1">IF(RES_AB[[#This Row],[Reserva]]="","",CONCATENATE("D+",NETWORKDAYS(RES_AB[[#This Row],[Data Reserva - Feriado e Fds]],TODAY(),Feriados[Data])-1))</f>
        <v>D+3</v>
      </c>
      <c r="K369" s="40" t="str">
        <f ca="1">IF(RES_AB[[#This Row],[Reserva]]="","",CONCATENATE(RES_AB[[#This Row],[Cen.]]," | ",RES_AB[[#This Row],[SLA2]]))</f>
        <v>N190 | D+3</v>
      </c>
      <c r="L369" s="40">
        <f ca="1">IF(RES_AB[[#This Row],[Reserva]]="","",IF(RES_AB[[#This Row],[SLA2]]=RES_AB[[#This Row],[Reserva]]="","",COUNTIF(MB25_VOLUMETRIA[Reserva],RES_AB[[#This Row],[Reserva]])))</f>
        <v>24</v>
      </c>
      <c r="M3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69" s="37" t="str">
        <f>IF(RES_AB[[#This Row],[Cen.]]="","",IFERROR(VLOOKUP(RES_AB[[#This Row],[Cen.]],Dados_Empresas[],2,FALSE),"Verificar empresa"))</f>
        <v>NET MASSIVO</v>
      </c>
      <c r="P369" s="37" t="str">
        <f>IF(RES_AB[[#This Row],[Empresa]]="","",IF(OR(RES_AB[[#This Row],[Empresa]]="NET MASSIVO",RES_AB[[#This Row],[Empresa]]="NET PROJETOS"),"NET","EMPRESARIAL"))</f>
        <v>NET</v>
      </c>
      <c r="Q369" s="37" t="str">
        <f>IF(RES_AB[[#This Row],[Reserva]]="","",IFERROR(VLOOKUP(RES_AB[[#This Row],[Reserva]],Tabela3[[Reserva]:[Descrição do status]],18,FALSE),"CONVENCIONAL"))</f>
        <v>CONVENCIONAL</v>
      </c>
    </row>
    <row r="370" spans="1:17" x14ac:dyDescent="0.25">
      <c r="A370" s="37">
        <v>4381138</v>
      </c>
      <c r="B370" s="37" t="s">
        <v>21</v>
      </c>
      <c r="C370" s="38" t="s">
        <v>19</v>
      </c>
      <c r="D370" s="38">
        <v>45447</v>
      </c>
      <c r="E3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0" s="39">
        <f>IFERROR(VLOOKUP(RES_AB[[#This Row],[Reserva]],Tabela8[[Reserva]:[Usuário]],7,FALSE),Dados!$A$17)</f>
        <v>0.8344907407407407</v>
      </c>
      <c r="G370" s="40">
        <f>IF(RES_AB[[#This Row],[Reserva]]="","",IF(RES_AB[[#This Row],[Hora Int WMS]]&lt;Dados!$A$16,2,2))</f>
        <v>2</v>
      </c>
      <c r="H370" s="40" t="str">
        <f>IF(RES_AB[[#This Row],[Reserva]]="","",IFERROR(VLOOKUP(RES_AB[[#This Row],[Reserva]],Tabela3[[Reserva]:[Condição para Faturamento]],20,FALSE),"IMPORTADO COM SUCESSO"))</f>
        <v>EM RESSUPRIMENTO</v>
      </c>
      <c r="I370" s="38">
        <f>IF(RES_AB[[#This Row],[Data base]]="","",WORKDAY(RES_AB[[#This Row],[Data Reserva - Feriado e Fds]],RES_AB[[#This Row],[Dias para atendimento]],Feriados[Data]))</f>
        <v>45449</v>
      </c>
      <c r="J370" s="40" t="str">
        <f ca="1">IF(RES_AB[[#This Row],[Reserva]]="","",CONCATENATE("D+",NETWORKDAYS(RES_AB[[#This Row],[Data Reserva - Feriado e Fds]],TODAY(),Feriados[Data])-1))</f>
        <v>D+3</v>
      </c>
      <c r="K370" s="40" t="str">
        <f ca="1">IF(RES_AB[[#This Row],[Reserva]]="","",CONCATENATE(RES_AB[[#This Row],[Cen.]]," | ",RES_AB[[#This Row],[SLA2]]))</f>
        <v>N190 | D+3</v>
      </c>
      <c r="L370" s="40">
        <f ca="1">IF(RES_AB[[#This Row],[Reserva]]="","",IF(RES_AB[[#This Row],[SLA2]]=RES_AB[[#This Row],[Reserva]]="","",COUNTIF(MB25_VOLUMETRIA[Reserva],RES_AB[[#This Row],[Reserva]])))</f>
        <v>2</v>
      </c>
      <c r="M3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0" s="37" t="str">
        <f>IF(RES_AB[[#This Row],[Cen.]]="","",IFERROR(VLOOKUP(RES_AB[[#This Row],[Cen.]],Dados_Empresas[],2,FALSE),"Verificar empresa"))</f>
        <v>NET MASSIVO</v>
      </c>
      <c r="P370" s="37" t="str">
        <f>IF(RES_AB[[#This Row],[Empresa]]="","",IF(OR(RES_AB[[#This Row],[Empresa]]="NET MASSIVO",RES_AB[[#This Row],[Empresa]]="NET PROJETOS"),"NET","EMPRESARIAL"))</f>
        <v>NET</v>
      </c>
      <c r="Q370" s="37" t="str">
        <f>IF(RES_AB[[#This Row],[Reserva]]="","",IFERROR(VLOOKUP(RES_AB[[#This Row],[Reserva]],Tabela3[[Reserva]:[Descrição do status]],18,FALSE),"CONVENCIONAL"))</f>
        <v>CONVENCIONAL</v>
      </c>
    </row>
    <row r="371" spans="1:17" x14ac:dyDescent="0.25">
      <c r="A371" s="37">
        <v>4381139</v>
      </c>
      <c r="B371" s="37" t="s">
        <v>21</v>
      </c>
      <c r="C371" s="38" t="s">
        <v>19</v>
      </c>
      <c r="D371" s="38">
        <v>45447</v>
      </c>
      <c r="E3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1" s="39">
        <f>IFERROR(VLOOKUP(RES_AB[[#This Row],[Reserva]],Tabela8[[Reserva]:[Usuário]],7,FALSE),Dados!$A$17)</f>
        <v>0.8344907407407407</v>
      </c>
      <c r="G371" s="40">
        <f>IF(RES_AB[[#This Row],[Reserva]]="","",IF(RES_AB[[#This Row],[Hora Int WMS]]&lt;Dados!$A$16,2,2))</f>
        <v>2</v>
      </c>
      <c r="H371" s="40" t="str">
        <f>IF(RES_AB[[#This Row],[Reserva]]="","",IFERROR(VLOOKUP(RES_AB[[#This Row],[Reserva]],Tabela3[[Reserva]:[Condição para Faturamento]],20,FALSE),"IMPORTADO COM SUCESSO"))</f>
        <v>IMPORTADO</v>
      </c>
      <c r="I371" s="38">
        <f>IF(RES_AB[[#This Row],[Data base]]="","",WORKDAY(RES_AB[[#This Row],[Data Reserva - Feriado e Fds]],RES_AB[[#This Row],[Dias para atendimento]],Feriados[Data]))</f>
        <v>45449</v>
      </c>
      <c r="J371" s="40" t="str">
        <f ca="1">IF(RES_AB[[#This Row],[Reserva]]="","",CONCATENATE("D+",NETWORKDAYS(RES_AB[[#This Row],[Data Reserva - Feriado e Fds]],TODAY(),Feriados[Data])-1))</f>
        <v>D+3</v>
      </c>
      <c r="K371" s="40" t="str">
        <f ca="1">IF(RES_AB[[#This Row],[Reserva]]="","",CONCATENATE(RES_AB[[#This Row],[Cen.]]," | ",RES_AB[[#This Row],[SLA2]]))</f>
        <v>N190 | D+3</v>
      </c>
      <c r="L371" s="40">
        <f ca="1">IF(RES_AB[[#This Row],[Reserva]]="","",IF(RES_AB[[#This Row],[SLA2]]=RES_AB[[#This Row],[Reserva]]="","",COUNTIF(MB25_VOLUMETRIA[Reserva],RES_AB[[#This Row],[Reserva]])))</f>
        <v>2</v>
      </c>
      <c r="M3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1" s="37" t="str">
        <f>IF(RES_AB[[#This Row],[Cen.]]="","",IFERROR(VLOOKUP(RES_AB[[#This Row],[Cen.]],Dados_Empresas[],2,FALSE),"Verificar empresa"))</f>
        <v>NET MASSIVO</v>
      </c>
      <c r="P371" s="37" t="str">
        <f>IF(RES_AB[[#This Row],[Empresa]]="","",IF(OR(RES_AB[[#This Row],[Empresa]]="NET MASSIVO",RES_AB[[#This Row],[Empresa]]="NET PROJETOS"),"NET","EMPRESARIAL"))</f>
        <v>NET</v>
      </c>
      <c r="Q371" s="37" t="str">
        <f>IF(RES_AB[[#This Row],[Reserva]]="","",IFERROR(VLOOKUP(RES_AB[[#This Row],[Reserva]],Tabela3[[Reserva]:[Descrição do status]],18,FALSE),"CONVENCIONAL"))</f>
        <v>CONVENCIONAL</v>
      </c>
    </row>
    <row r="372" spans="1:17" x14ac:dyDescent="0.25">
      <c r="A372" s="37">
        <v>4381140</v>
      </c>
      <c r="B372" s="37" t="s">
        <v>21</v>
      </c>
      <c r="C372" s="38" t="s">
        <v>19</v>
      </c>
      <c r="D372" s="38">
        <v>45447</v>
      </c>
      <c r="E3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2" s="39">
        <f>IFERROR(VLOOKUP(RES_AB[[#This Row],[Reserva]],Tabela8[[Reserva]:[Usuário]],7,FALSE),Dados!$A$17)</f>
        <v>0.83460648148148153</v>
      </c>
      <c r="G372" s="40">
        <f>IF(RES_AB[[#This Row],[Reserva]]="","",IF(RES_AB[[#This Row],[Hora Int WMS]]&lt;Dados!$A$16,2,2))</f>
        <v>2</v>
      </c>
      <c r="H372" s="40" t="str">
        <f>IF(RES_AB[[#This Row],[Reserva]]="","",IFERROR(VLOOKUP(RES_AB[[#This Row],[Reserva]],Tabela3[[Reserva]:[Condição para Faturamento]],20,FALSE),"IMPORTADO COM SUCESSO"))</f>
        <v>IMPORTADO</v>
      </c>
      <c r="I372" s="38">
        <f>IF(RES_AB[[#This Row],[Data base]]="","",WORKDAY(RES_AB[[#This Row],[Data Reserva - Feriado e Fds]],RES_AB[[#This Row],[Dias para atendimento]],Feriados[Data]))</f>
        <v>45449</v>
      </c>
      <c r="J372" s="40" t="str">
        <f ca="1">IF(RES_AB[[#This Row],[Reserva]]="","",CONCATENATE("D+",NETWORKDAYS(RES_AB[[#This Row],[Data Reserva - Feriado e Fds]],TODAY(),Feriados[Data])-1))</f>
        <v>D+3</v>
      </c>
      <c r="K372" s="40" t="str">
        <f ca="1">IF(RES_AB[[#This Row],[Reserva]]="","",CONCATENATE(RES_AB[[#This Row],[Cen.]]," | ",RES_AB[[#This Row],[SLA2]]))</f>
        <v>N190 | D+3</v>
      </c>
      <c r="L372" s="40">
        <f ca="1">IF(RES_AB[[#This Row],[Reserva]]="","",IF(RES_AB[[#This Row],[SLA2]]=RES_AB[[#This Row],[Reserva]]="","",COUNTIF(MB25_VOLUMETRIA[Reserva],RES_AB[[#This Row],[Reserva]])))</f>
        <v>3</v>
      </c>
      <c r="M3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2" s="37" t="str">
        <f>IF(RES_AB[[#This Row],[Cen.]]="","",IFERROR(VLOOKUP(RES_AB[[#This Row],[Cen.]],Dados_Empresas[],2,FALSE),"Verificar empresa"))</f>
        <v>NET MASSIVO</v>
      </c>
      <c r="P372" s="37" t="str">
        <f>IF(RES_AB[[#This Row],[Empresa]]="","",IF(OR(RES_AB[[#This Row],[Empresa]]="NET MASSIVO",RES_AB[[#This Row],[Empresa]]="NET PROJETOS"),"NET","EMPRESARIAL"))</f>
        <v>NET</v>
      </c>
      <c r="Q372" s="37" t="str">
        <f>IF(RES_AB[[#This Row],[Reserva]]="","",IFERROR(VLOOKUP(RES_AB[[#This Row],[Reserva]],Tabela3[[Reserva]:[Descrição do status]],18,FALSE),"CONVENCIONAL"))</f>
        <v>CONVENCIONAL</v>
      </c>
    </row>
    <row r="373" spans="1:17" x14ac:dyDescent="0.25">
      <c r="A373" s="37">
        <v>4381141</v>
      </c>
      <c r="B373" s="37" t="s">
        <v>21</v>
      </c>
      <c r="C373" s="38" t="s">
        <v>19</v>
      </c>
      <c r="D373" s="38">
        <v>45447</v>
      </c>
      <c r="E3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3" s="39">
        <f>IFERROR(VLOOKUP(RES_AB[[#This Row],[Reserva]],Tabela8[[Reserva]:[Usuário]],7,FALSE),Dados!$A$17)</f>
        <v>0.83472222222222225</v>
      </c>
      <c r="G373" s="40">
        <f>IF(RES_AB[[#This Row],[Reserva]]="","",IF(RES_AB[[#This Row],[Hora Int WMS]]&lt;Dados!$A$16,2,2))</f>
        <v>2</v>
      </c>
      <c r="H373" s="40" t="str">
        <f>IF(RES_AB[[#This Row],[Reserva]]="","",IFERROR(VLOOKUP(RES_AB[[#This Row],[Reserva]],Tabela3[[Reserva]:[Condição para Faturamento]],20,FALSE),"IMPORTADO COM SUCESSO"))</f>
        <v>EM RESSUPRIMENTO</v>
      </c>
      <c r="I373" s="38">
        <f>IF(RES_AB[[#This Row],[Data base]]="","",WORKDAY(RES_AB[[#This Row],[Data Reserva - Feriado e Fds]],RES_AB[[#This Row],[Dias para atendimento]],Feriados[Data]))</f>
        <v>45449</v>
      </c>
      <c r="J373" s="40" t="str">
        <f ca="1">IF(RES_AB[[#This Row],[Reserva]]="","",CONCATENATE("D+",NETWORKDAYS(RES_AB[[#This Row],[Data Reserva - Feriado e Fds]],TODAY(),Feriados[Data])-1))</f>
        <v>D+3</v>
      </c>
      <c r="K373" s="40" t="str">
        <f ca="1">IF(RES_AB[[#This Row],[Reserva]]="","",CONCATENATE(RES_AB[[#This Row],[Cen.]]," | ",RES_AB[[#This Row],[SLA2]]))</f>
        <v>N190 | D+3</v>
      </c>
      <c r="L373" s="40">
        <f ca="1">IF(RES_AB[[#This Row],[Reserva]]="","",IF(RES_AB[[#This Row],[SLA2]]=RES_AB[[#This Row],[Reserva]]="","",COUNTIF(MB25_VOLUMETRIA[Reserva],RES_AB[[#This Row],[Reserva]])))</f>
        <v>3</v>
      </c>
      <c r="M3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3" s="37" t="str">
        <f>IF(RES_AB[[#This Row],[Cen.]]="","",IFERROR(VLOOKUP(RES_AB[[#This Row],[Cen.]],Dados_Empresas[],2,FALSE),"Verificar empresa"))</f>
        <v>NET MASSIVO</v>
      </c>
      <c r="P373" s="37" t="str">
        <f>IF(RES_AB[[#This Row],[Empresa]]="","",IF(OR(RES_AB[[#This Row],[Empresa]]="NET MASSIVO",RES_AB[[#This Row],[Empresa]]="NET PROJETOS"),"NET","EMPRESARIAL"))</f>
        <v>NET</v>
      </c>
      <c r="Q373" s="37" t="str">
        <f>IF(RES_AB[[#This Row],[Reserva]]="","",IFERROR(VLOOKUP(RES_AB[[#This Row],[Reserva]],Tabela3[[Reserva]:[Descrição do status]],18,FALSE),"CONVENCIONAL"))</f>
        <v>CONVENCIONAL</v>
      </c>
    </row>
    <row r="374" spans="1:17" x14ac:dyDescent="0.25">
      <c r="A374" s="37">
        <v>4381142</v>
      </c>
      <c r="B374" s="37" t="s">
        <v>21</v>
      </c>
      <c r="C374" s="38" t="s">
        <v>19</v>
      </c>
      <c r="D374" s="38">
        <v>45447</v>
      </c>
      <c r="E3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4" s="39">
        <f>IFERROR(VLOOKUP(RES_AB[[#This Row],[Reserva]],Tabela8[[Reserva]:[Usuário]],7,FALSE),Dados!$A$17)</f>
        <v>0.83472222222222225</v>
      </c>
      <c r="G374" s="40">
        <f>IF(RES_AB[[#This Row],[Reserva]]="","",IF(RES_AB[[#This Row],[Hora Int WMS]]&lt;Dados!$A$16,2,2))</f>
        <v>2</v>
      </c>
      <c r="H374" s="40" t="str">
        <f>IF(RES_AB[[#This Row],[Reserva]]="","",IFERROR(VLOOKUP(RES_AB[[#This Row],[Reserva]],Tabela3[[Reserva]:[Condição para Faturamento]],20,FALSE),"IMPORTADO COM SUCESSO"))</f>
        <v>EM RESSUPRIMENTO</v>
      </c>
      <c r="I374" s="38">
        <f>IF(RES_AB[[#This Row],[Data base]]="","",WORKDAY(RES_AB[[#This Row],[Data Reserva - Feriado e Fds]],RES_AB[[#This Row],[Dias para atendimento]],Feriados[Data]))</f>
        <v>45449</v>
      </c>
      <c r="J374" s="40" t="str">
        <f ca="1">IF(RES_AB[[#This Row],[Reserva]]="","",CONCATENATE("D+",NETWORKDAYS(RES_AB[[#This Row],[Data Reserva - Feriado e Fds]],TODAY(),Feriados[Data])-1))</f>
        <v>D+3</v>
      </c>
      <c r="K374" s="40" t="str">
        <f ca="1">IF(RES_AB[[#This Row],[Reserva]]="","",CONCATENATE(RES_AB[[#This Row],[Cen.]]," | ",RES_AB[[#This Row],[SLA2]]))</f>
        <v>N190 | D+3</v>
      </c>
      <c r="L374" s="40">
        <f ca="1">IF(RES_AB[[#This Row],[Reserva]]="","",IF(RES_AB[[#This Row],[SLA2]]=RES_AB[[#This Row],[Reserva]]="","",COUNTIF(MB25_VOLUMETRIA[Reserva],RES_AB[[#This Row],[Reserva]])))</f>
        <v>26</v>
      </c>
      <c r="M3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4" s="37" t="str">
        <f>IF(RES_AB[[#This Row],[Cen.]]="","",IFERROR(VLOOKUP(RES_AB[[#This Row],[Cen.]],Dados_Empresas[],2,FALSE),"Verificar empresa"))</f>
        <v>NET MASSIVO</v>
      </c>
      <c r="P374" s="37" t="str">
        <f>IF(RES_AB[[#This Row],[Empresa]]="","",IF(OR(RES_AB[[#This Row],[Empresa]]="NET MASSIVO",RES_AB[[#This Row],[Empresa]]="NET PROJETOS"),"NET","EMPRESARIAL"))</f>
        <v>NET</v>
      </c>
      <c r="Q374" s="37" t="str">
        <f>IF(RES_AB[[#This Row],[Reserva]]="","",IFERROR(VLOOKUP(RES_AB[[#This Row],[Reserva]],Tabela3[[Reserva]:[Descrição do status]],18,FALSE),"CONVENCIONAL"))</f>
        <v>CONVENCIONAL</v>
      </c>
    </row>
    <row r="375" spans="1:17" x14ac:dyDescent="0.25">
      <c r="A375" s="37">
        <v>4381143</v>
      </c>
      <c r="B375" s="37" t="s">
        <v>21</v>
      </c>
      <c r="C375" s="38" t="s">
        <v>19</v>
      </c>
      <c r="D375" s="38">
        <v>45447</v>
      </c>
      <c r="E3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5" s="39">
        <f>IFERROR(VLOOKUP(RES_AB[[#This Row],[Reserva]],Tabela8[[Reserva]:[Usuário]],7,FALSE),Dados!$A$17)</f>
        <v>0.83506944444444442</v>
      </c>
      <c r="G375" s="40">
        <f>IF(RES_AB[[#This Row],[Reserva]]="","",IF(RES_AB[[#This Row],[Hora Int WMS]]&lt;Dados!$A$16,2,2))</f>
        <v>2</v>
      </c>
      <c r="H375" s="40" t="str">
        <f>IF(RES_AB[[#This Row],[Reserva]]="","",IFERROR(VLOOKUP(RES_AB[[#This Row],[Reserva]],Tabela3[[Reserva]:[Condição para Faturamento]],20,FALSE),"IMPORTADO COM SUCESSO"))</f>
        <v>EM RESSUPRIMENTO</v>
      </c>
      <c r="I375" s="38">
        <f>IF(RES_AB[[#This Row],[Data base]]="","",WORKDAY(RES_AB[[#This Row],[Data Reserva - Feriado e Fds]],RES_AB[[#This Row],[Dias para atendimento]],Feriados[Data]))</f>
        <v>45449</v>
      </c>
      <c r="J375" s="40" t="str">
        <f ca="1">IF(RES_AB[[#This Row],[Reserva]]="","",CONCATENATE("D+",NETWORKDAYS(RES_AB[[#This Row],[Data Reserva - Feriado e Fds]],TODAY(),Feriados[Data])-1))</f>
        <v>D+3</v>
      </c>
      <c r="K375" s="40" t="str">
        <f ca="1">IF(RES_AB[[#This Row],[Reserva]]="","",CONCATENATE(RES_AB[[#This Row],[Cen.]]," | ",RES_AB[[#This Row],[SLA2]]))</f>
        <v>N190 | D+3</v>
      </c>
      <c r="L375" s="40">
        <f ca="1">IF(RES_AB[[#This Row],[Reserva]]="","",IF(RES_AB[[#This Row],[SLA2]]=RES_AB[[#This Row],[Reserva]]="","",COUNTIF(MB25_VOLUMETRIA[Reserva],RES_AB[[#This Row],[Reserva]])))</f>
        <v>3</v>
      </c>
      <c r="M3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5" s="37" t="str">
        <f>IF(RES_AB[[#This Row],[Cen.]]="","",IFERROR(VLOOKUP(RES_AB[[#This Row],[Cen.]],Dados_Empresas[],2,FALSE),"Verificar empresa"))</f>
        <v>NET MASSIVO</v>
      </c>
      <c r="P375" s="37" t="str">
        <f>IF(RES_AB[[#This Row],[Empresa]]="","",IF(OR(RES_AB[[#This Row],[Empresa]]="NET MASSIVO",RES_AB[[#This Row],[Empresa]]="NET PROJETOS"),"NET","EMPRESARIAL"))</f>
        <v>NET</v>
      </c>
      <c r="Q375" s="37" t="str">
        <f>IF(RES_AB[[#This Row],[Reserva]]="","",IFERROR(VLOOKUP(RES_AB[[#This Row],[Reserva]],Tabela3[[Reserva]:[Descrição do status]],18,FALSE),"CONVENCIONAL"))</f>
        <v>CONVENCIONAL</v>
      </c>
    </row>
    <row r="376" spans="1:17" x14ac:dyDescent="0.25">
      <c r="A376" s="37">
        <v>4381144</v>
      </c>
      <c r="B376" s="37" t="s">
        <v>21</v>
      </c>
      <c r="C376" s="38" t="s">
        <v>19</v>
      </c>
      <c r="D376" s="38">
        <v>45447</v>
      </c>
      <c r="E3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6" s="39">
        <f>IFERROR(VLOOKUP(RES_AB[[#This Row],[Reserva]],Tabela8[[Reserva]:[Usuário]],7,FALSE),Dados!$A$17)</f>
        <v>0.83506944444444442</v>
      </c>
      <c r="G376" s="40">
        <f>IF(RES_AB[[#This Row],[Reserva]]="","",IF(RES_AB[[#This Row],[Hora Int WMS]]&lt;Dados!$A$16,2,2))</f>
        <v>2</v>
      </c>
      <c r="H376" s="40" t="str">
        <f>IF(RES_AB[[#This Row],[Reserva]]="","",IFERROR(VLOOKUP(RES_AB[[#This Row],[Reserva]],Tabela3[[Reserva]:[Condição para Faturamento]],20,FALSE),"IMPORTADO COM SUCESSO"))</f>
        <v>IMPORTADO</v>
      </c>
      <c r="I376" s="38">
        <f>IF(RES_AB[[#This Row],[Data base]]="","",WORKDAY(RES_AB[[#This Row],[Data Reserva - Feriado e Fds]],RES_AB[[#This Row],[Dias para atendimento]],Feriados[Data]))</f>
        <v>45449</v>
      </c>
      <c r="J376" s="40" t="str">
        <f ca="1">IF(RES_AB[[#This Row],[Reserva]]="","",CONCATENATE("D+",NETWORKDAYS(RES_AB[[#This Row],[Data Reserva - Feriado e Fds]],TODAY(),Feriados[Data])-1))</f>
        <v>D+3</v>
      </c>
      <c r="K376" s="40" t="str">
        <f ca="1">IF(RES_AB[[#This Row],[Reserva]]="","",CONCATENATE(RES_AB[[#This Row],[Cen.]]," | ",RES_AB[[#This Row],[SLA2]]))</f>
        <v>N190 | D+3</v>
      </c>
      <c r="L376" s="40">
        <f ca="1">IF(RES_AB[[#This Row],[Reserva]]="","",IF(RES_AB[[#This Row],[SLA2]]=RES_AB[[#This Row],[Reserva]]="","",COUNTIF(MB25_VOLUMETRIA[Reserva],RES_AB[[#This Row],[Reserva]])))</f>
        <v>3</v>
      </c>
      <c r="M3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6" s="37" t="str">
        <f>IF(RES_AB[[#This Row],[Cen.]]="","",IFERROR(VLOOKUP(RES_AB[[#This Row],[Cen.]],Dados_Empresas[],2,FALSE),"Verificar empresa"))</f>
        <v>NET MASSIVO</v>
      </c>
      <c r="P376" s="37" t="str">
        <f>IF(RES_AB[[#This Row],[Empresa]]="","",IF(OR(RES_AB[[#This Row],[Empresa]]="NET MASSIVO",RES_AB[[#This Row],[Empresa]]="NET PROJETOS"),"NET","EMPRESARIAL"))</f>
        <v>NET</v>
      </c>
      <c r="Q376" s="37" t="str">
        <f>IF(RES_AB[[#This Row],[Reserva]]="","",IFERROR(VLOOKUP(RES_AB[[#This Row],[Reserva]],Tabela3[[Reserva]:[Descrição do status]],18,FALSE),"CONVENCIONAL"))</f>
        <v>CONVENCIONAL</v>
      </c>
    </row>
    <row r="377" spans="1:17" x14ac:dyDescent="0.25">
      <c r="A377" s="37">
        <v>4381145</v>
      </c>
      <c r="B377" s="37" t="s">
        <v>21</v>
      </c>
      <c r="C377" s="38" t="s">
        <v>19</v>
      </c>
      <c r="D377" s="38">
        <v>45447</v>
      </c>
      <c r="E3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7" s="39">
        <f>IFERROR(VLOOKUP(RES_AB[[#This Row],[Reserva]],Tabela8[[Reserva]:[Usuário]],7,FALSE),Dados!$A$17)</f>
        <v>0.83518518518518514</v>
      </c>
      <c r="G377" s="40">
        <f>IF(RES_AB[[#This Row],[Reserva]]="","",IF(RES_AB[[#This Row],[Hora Int WMS]]&lt;Dados!$A$16,2,2))</f>
        <v>2</v>
      </c>
      <c r="H377" s="40" t="str">
        <f>IF(RES_AB[[#This Row],[Reserva]]="","",IFERROR(VLOOKUP(RES_AB[[#This Row],[Reserva]],Tabela3[[Reserva]:[Condição para Faturamento]],20,FALSE),"IMPORTADO COM SUCESSO"))</f>
        <v>IMPORTADO</v>
      </c>
      <c r="I377" s="38">
        <f>IF(RES_AB[[#This Row],[Data base]]="","",WORKDAY(RES_AB[[#This Row],[Data Reserva - Feriado e Fds]],RES_AB[[#This Row],[Dias para atendimento]],Feriados[Data]))</f>
        <v>45449</v>
      </c>
      <c r="J377" s="40" t="str">
        <f ca="1">IF(RES_AB[[#This Row],[Reserva]]="","",CONCATENATE("D+",NETWORKDAYS(RES_AB[[#This Row],[Data Reserva - Feriado e Fds]],TODAY(),Feriados[Data])-1))</f>
        <v>D+3</v>
      </c>
      <c r="K377" s="40" t="str">
        <f ca="1">IF(RES_AB[[#This Row],[Reserva]]="","",CONCATENATE(RES_AB[[#This Row],[Cen.]]," | ",RES_AB[[#This Row],[SLA2]]))</f>
        <v>N190 | D+3</v>
      </c>
      <c r="L377" s="40">
        <f ca="1">IF(RES_AB[[#This Row],[Reserva]]="","",IF(RES_AB[[#This Row],[SLA2]]=RES_AB[[#This Row],[Reserva]]="","",COUNTIF(MB25_VOLUMETRIA[Reserva],RES_AB[[#This Row],[Reserva]])))</f>
        <v>5</v>
      </c>
      <c r="M3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7" s="37" t="str">
        <f>IF(RES_AB[[#This Row],[Cen.]]="","",IFERROR(VLOOKUP(RES_AB[[#This Row],[Cen.]],Dados_Empresas[],2,FALSE),"Verificar empresa"))</f>
        <v>NET MASSIVO</v>
      </c>
      <c r="P377" s="37" t="str">
        <f>IF(RES_AB[[#This Row],[Empresa]]="","",IF(OR(RES_AB[[#This Row],[Empresa]]="NET MASSIVO",RES_AB[[#This Row],[Empresa]]="NET PROJETOS"),"NET","EMPRESARIAL"))</f>
        <v>NET</v>
      </c>
      <c r="Q377" s="37" t="str">
        <f>IF(RES_AB[[#This Row],[Reserva]]="","",IFERROR(VLOOKUP(RES_AB[[#This Row],[Reserva]],Tabela3[[Reserva]:[Descrição do status]],18,FALSE),"CONVENCIONAL"))</f>
        <v>CONVENCIONAL</v>
      </c>
    </row>
    <row r="378" spans="1:17" x14ac:dyDescent="0.25">
      <c r="A378" s="37">
        <v>4381146</v>
      </c>
      <c r="B378" s="37" t="s">
        <v>21</v>
      </c>
      <c r="C378" s="38" t="s">
        <v>19</v>
      </c>
      <c r="D378" s="38">
        <v>45447</v>
      </c>
      <c r="E3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8" s="39">
        <f>IFERROR(VLOOKUP(RES_AB[[#This Row],[Reserva]],Tabela8[[Reserva]:[Usuário]],7,FALSE),Dados!$A$17)</f>
        <v>0.83530092592592597</v>
      </c>
      <c r="G378" s="40">
        <f>IF(RES_AB[[#This Row],[Reserva]]="","",IF(RES_AB[[#This Row],[Hora Int WMS]]&lt;Dados!$A$16,2,2))</f>
        <v>2</v>
      </c>
      <c r="H378" s="40" t="str">
        <f>IF(RES_AB[[#This Row],[Reserva]]="","",IFERROR(VLOOKUP(RES_AB[[#This Row],[Reserva]],Tabela3[[Reserva]:[Condição para Faturamento]],20,FALSE),"IMPORTADO COM SUCESSO"))</f>
        <v>IMPORTADO</v>
      </c>
      <c r="I378" s="38">
        <f>IF(RES_AB[[#This Row],[Data base]]="","",WORKDAY(RES_AB[[#This Row],[Data Reserva - Feriado e Fds]],RES_AB[[#This Row],[Dias para atendimento]],Feriados[Data]))</f>
        <v>45449</v>
      </c>
      <c r="J378" s="40" t="str">
        <f ca="1">IF(RES_AB[[#This Row],[Reserva]]="","",CONCATENATE("D+",NETWORKDAYS(RES_AB[[#This Row],[Data Reserva - Feriado e Fds]],TODAY(),Feriados[Data])-1))</f>
        <v>D+3</v>
      </c>
      <c r="K378" s="40" t="str">
        <f ca="1">IF(RES_AB[[#This Row],[Reserva]]="","",CONCATENATE(RES_AB[[#This Row],[Cen.]]," | ",RES_AB[[#This Row],[SLA2]]))</f>
        <v>N190 | D+3</v>
      </c>
      <c r="L378" s="40">
        <f ca="1">IF(RES_AB[[#This Row],[Reserva]]="","",IF(RES_AB[[#This Row],[SLA2]]=RES_AB[[#This Row],[Reserva]]="","",COUNTIF(MB25_VOLUMETRIA[Reserva],RES_AB[[#This Row],[Reserva]])))</f>
        <v>2</v>
      </c>
      <c r="M3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8" s="37" t="str">
        <f>IF(RES_AB[[#This Row],[Cen.]]="","",IFERROR(VLOOKUP(RES_AB[[#This Row],[Cen.]],Dados_Empresas[],2,FALSE),"Verificar empresa"))</f>
        <v>NET MASSIVO</v>
      </c>
      <c r="P378" s="37" t="str">
        <f>IF(RES_AB[[#This Row],[Empresa]]="","",IF(OR(RES_AB[[#This Row],[Empresa]]="NET MASSIVO",RES_AB[[#This Row],[Empresa]]="NET PROJETOS"),"NET","EMPRESARIAL"))</f>
        <v>NET</v>
      </c>
      <c r="Q378" s="37" t="str">
        <f>IF(RES_AB[[#This Row],[Reserva]]="","",IFERROR(VLOOKUP(RES_AB[[#This Row],[Reserva]],Tabela3[[Reserva]:[Descrição do status]],18,FALSE),"CONVENCIONAL"))</f>
        <v>CONVENCIONAL</v>
      </c>
    </row>
    <row r="379" spans="1:17" x14ac:dyDescent="0.25">
      <c r="A379" s="37">
        <v>4381147</v>
      </c>
      <c r="B379" s="37" t="s">
        <v>21</v>
      </c>
      <c r="C379" s="38" t="s">
        <v>19</v>
      </c>
      <c r="D379" s="38">
        <v>45447</v>
      </c>
      <c r="E3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79" s="39">
        <f>IFERROR(VLOOKUP(RES_AB[[#This Row],[Reserva]],Tabela8[[Reserva]:[Usuário]],7,FALSE),Dados!$A$17)</f>
        <v>0.33333333333333331</v>
      </c>
      <c r="G379" s="40">
        <f>IF(RES_AB[[#This Row],[Reserva]]="","",IF(RES_AB[[#This Row],[Hora Int WMS]]&lt;Dados!$A$16,2,2))</f>
        <v>2</v>
      </c>
      <c r="H379" s="40" t="str">
        <f>IF(RES_AB[[#This Row],[Reserva]]="","",IFERROR(VLOOKUP(RES_AB[[#This Row],[Reserva]],Tabela3[[Reserva]:[Condição para Faturamento]],20,FALSE),"IMPORTADO COM SUCESSO"))</f>
        <v>EM RESSUPRIMENTO</v>
      </c>
      <c r="I379" s="38">
        <f>IF(RES_AB[[#This Row],[Data base]]="","",WORKDAY(RES_AB[[#This Row],[Data Reserva - Feriado e Fds]],RES_AB[[#This Row],[Dias para atendimento]],Feriados[Data]))</f>
        <v>45449</v>
      </c>
      <c r="J379" s="40" t="str">
        <f ca="1">IF(RES_AB[[#This Row],[Reserva]]="","",CONCATENATE("D+",NETWORKDAYS(RES_AB[[#This Row],[Data Reserva - Feriado e Fds]],TODAY(),Feriados[Data])-1))</f>
        <v>D+3</v>
      </c>
      <c r="K379" s="40" t="str">
        <f ca="1">IF(RES_AB[[#This Row],[Reserva]]="","",CONCATENATE(RES_AB[[#This Row],[Cen.]]," | ",RES_AB[[#This Row],[SLA2]]))</f>
        <v>N190 | D+3</v>
      </c>
      <c r="L379" s="40">
        <f ca="1">IF(RES_AB[[#This Row],[Reserva]]="","",IF(RES_AB[[#This Row],[SLA2]]=RES_AB[[#This Row],[Reserva]]="","",COUNTIF(MB25_VOLUMETRIA[Reserva],RES_AB[[#This Row],[Reserva]])))</f>
        <v>12</v>
      </c>
      <c r="M3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79" s="37" t="str">
        <f>IF(RES_AB[[#This Row],[Cen.]]="","",IFERROR(VLOOKUP(RES_AB[[#This Row],[Cen.]],Dados_Empresas[],2,FALSE),"Verificar empresa"))</f>
        <v>NET MASSIVO</v>
      </c>
      <c r="P379" s="37" t="str">
        <f>IF(RES_AB[[#This Row],[Empresa]]="","",IF(OR(RES_AB[[#This Row],[Empresa]]="NET MASSIVO",RES_AB[[#This Row],[Empresa]]="NET PROJETOS"),"NET","EMPRESARIAL"))</f>
        <v>NET</v>
      </c>
      <c r="Q379" s="37" t="str">
        <f>IF(RES_AB[[#This Row],[Reserva]]="","",IFERROR(VLOOKUP(RES_AB[[#This Row],[Reserva]],Tabela3[[Reserva]:[Descrição do status]],18,FALSE),"CONVENCIONAL"))</f>
        <v>CONVENCIONAL</v>
      </c>
    </row>
    <row r="380" spans="1:17" x14ac:dyDescent="0.25">
      <c r="A380" s="37">
        <v>4381148</v>
      </c>
      <c r="B380" s="37" t="s">
        <v>21</v>
      </c>
      <c r="C380" s="38" t="s">
        <v>21</v>
      </c>
      <c r="D380" s="38">
        <v>45447</v>
      </c>
      <c r="E3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0" s="39">
        <f>IFERROR(VLOOKUP(RES_AB[[#This Row],[Reserva]],Tabela8[[Reserva]:[Usuário]],7,FALSE),Dados!$A$17)</f>
        <v>0.33333333333333331</v>
      </c>
      <c r="G380" s="40">
        <f>IF(RES_AB[[#This Row],[Reserva]]="","",IF(RES_AB[[#This Row],[Hora Int WMS]]&lt;Dados!$A$16,2,2))</f>
        <v>2</v>
      </c>
      <c r="H380" s="40" t="str">
        <f>IF(RES_AB[[#This Row],[Reserva]]="","",IFERROR(VLOOKUP(RES_AB[[#This Row],[Reserva]],Tabela3[[Reserva]:[Condição para Faturamento]],20,FALSE),"IMPORTADO COM SUCESSO"))</f>
        <v>IMPORTADO</v>
      </c>
      <c r="I380" s="38">
        <f>IF(RES_AB[[#This Row],[Data base]]="","",WORKDAY(RES_AB[[#This Row],[Data Reserva - Feriado e Fds]],RES_AB[[#This Row],[Dias para atendimento]],Feriados[Data]))</f>
        <v>45449</v>
      </c>
      <c r="J380" s="40" t="str">
        <f ca="1">IF(RES_AB[[#This Row],[Reserva]]="","",CONCATENATE("D+",NETWORKDAYS(RES_AB[[#This Row],[Data Reserva - Feriado e Fds]],TODAY(),Feriados[Data])-1))</f>
        <v>D+3</v>
      </c>
      <c r="K380" s="40" t="str">
        <f ca="1">IF(RES_AB[[#This Row],[Reserva]]="","",CONCATENATE(RES_AB[[#This Row],[Cen.]]," | ",RES_AB[[#This Row],[SLA2]]))</f>
        <v>N190 | D+3</v>
      </c>
      <c r="L380" s="40">
        <f ca="1">IF(RES_AB[[#This Row],[Reserva]]="","",IF(RES_AB[[#This Row],[SLA2]]=RES_AB[[#This Row],[Reserva]]="","",COUNTIF(MB25_VOLUMETRIA[Reserva],RES_AB[[#This Row],[Reserva]])))</f>
        <v>1</v>
      </c>
      <c r="M3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0" s="37" t="str">
        <f>IF(RES_AB[[#This Row],[Cen.]]="","",IFERROR(VLOOKUP(RES_AB[[#This Row],[Cen.]],Dados_Empresas[],2,FALSE),"Verificar empresa"))</f>
        <v>NET MASSIVO</v>
      </c>
      <c r="P380" s="37" t="str">
        <f>IF(RES_AB[[#This Row],[Empresa]]="","",IF(OR(RES_AB[[#This Row],[Empresa]]="NET MASSIVO",RES_AB[[#This Row],[Empresa]]="NET PROJETOS"),"NET","EMPRESARIAL"))</f>
        <v>NET</v>
      </c>
      <c r="Q380" s="37" t="str">
        <f>IF(RES_AB[[#This Row],[Reserva]]="","",IFERROR(VLOOKUP(RES_AB[[#This Row],[Reserva]],Tabela3[[Reserva]:[Descrição do status]],18,FALSE),"CONVENCIONAL"))</f>
        <v>CONVENCIONAL</v>
      </c>
    </row>
    <row r="381" spans="1:17" x14ac:dyDescent="0.25">
      <c r="A381" s="37">
        <v>4381149</v>
      </c>
      <c r="B381" s="37" t="s">
        <v>21</v>
      </c>
      <c r="C381" s="38" t="s">
        <v>21</v>
      </c>
      <c r="D381" s="38">
        <v>45447</v>
      </c>
      <c r="E3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1" s="39">
        <f>IFERROR(VLOOKUP(RES_AB[[#This Row],[Reserva]],Tabela8[[Reserva]:[Usuário]],7,FALSE),Dados!$A$17)</f>
        <v>0.33333333333333331</v>
      </c>
      <c r="G381" s="40">
        <f>IF(RES_AB[[#This Row],[Reserva]]="","",IF(RES_AB[[#This Row],[Hora Int WMS]]&lt;Dados!$A$16,2,2))</f>
        <v>2</v>
      </c>
      <c r="H381" s="40" t="str">
        <f>IF(RES_AB[[#This Row],[Reserva]]="","",IFERROR(VLOOKUP(RES_AB[[#This Row],[Reserva]],Tabela3[[Reserva]:[Condição para Faturamento]],20,FALSE),"IMPORTADO COM SUCESSO"))</f>
        <v>EM RESSUPRIMENTO</v>
      </c>
      <c r="I381" s="38">
        <f>IF(RES_AB[[#This Row],[Data base]]="","",WORKDAY(RES_AB[[#This Row],[Data Reserva - Feriado e Fds]],RES_AB[[#This Row],[Dias para atendimento]],Feriados[Data]))</f>
        <v>45449</v>
      </c>
      <c r="J381" s="40" t="str">
        <f ca="1">IF(RES_AB[[#This Row],[Reserva]]="","",CONCATENATE("D+",NETWORKDAYS(RES_AB[[#This Row],[Data Reserva - Feriado e Fds]],TODAY(),Feriados[Data])-1))</f>
        <v>D+3</v>
      </c>
      <c r="K381" s="40" t="str">
        <f ca="1">IF(RES_AB[[#This Row],[Reserva]]="","",CONCATENATE(RES_AB[[#This Row],[Cen.]]," | ",RES_AB[[#This Row],[SLA2]]))</f>
        <v>N190 | D+3</v>
      </c>
      <c r="L381" s="40">
        <f ca="1">IF(RES_AB[[#This Row],[Reserva]]="","",IF(RES_AB[[#This Row],[SLA2]]=RES_AB[[#This Row],[Reserva]]="","",COUNTIF(MB25_VOLUMETRIA[Reserva],RES_AB[[#This Row],[Reserva]])))</f>
        <v>1</v>
      </c>
      <c r="M3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1" s="37" t="str">
        <f>IF(RES_AB[[#This Row],[Cen.]]="","",IFERROR(VLOOKUP(RES_AB[[#This Row],[Cen.]],Dados_Empresas[],2,FALSE),"Verificar empresa"))</f>
        <v>NET MASSIVO</v>
      </c>
      <c r="P381" s="37" t="str">
        <f>IF(RES_AB[[#This Row],[Empresa]]="","",IF(OR(RES_AB[[#This Row],[Empresa]]="NET MASSIVO",RES_AB[[#This Row],[Empresa]]="NET PROJETOS"),"NET","EMPRESARIAL"))</f>
        <v>NET</v>
      </c>
      <c r="Q381" s="37" t="str">
        <f>IF(RES_AB[[#This Row],[Reserva]]="","",IFERROR(VLOOKUP(RES_AB[[#This Row],[Reserva]],Tabela3[[Reserva]:[Descrição do status]],18,FALSE),"CONVENCIONAL"))</f>
        <v>CONVENCIONAL</v>
      </c>
    </row>
    <row r="382" spans="1:17" x14ac:dyDescent="0.25">
      <c r="A382" s="37">
        <v>4381150</v>
      </c>
      <c r="B382" s="37" t="s">
        <v>21</v>
      </c>
      <c r="C382" s="38" t="s">
        <v>19</v>
      </c>
      <c r="D382" s="38">
        <v>45447</v>
      </c>
      <c r="E3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2" s="39">
        <f>IFERROR(VLOOKUP(RES_AB[[#This Row],[Reserva]],Tabela8[[Reserva]:[Usuário]],7,FALSE),Dados!$A$17)</f>
        <v>0.33333333333333331</v>
      </c>
      <c r="G382" s="40">
        <f>IF(RES_AB[[#This Row],[Reserva]]="","",IF(RES_AB[[#This Row],[Hora Int WMS]]&lt;Dados!$A$16,2,2))</f>
        <v>2</v>
      </c>
      <c r="H382" s="40" t="str">
        <f>IF(RES_AB[[#This Row],[Reserva]]="","",IFERROR(VLOOKUP(RES_AB[[#This Row],[Reserva]],Tabela3[[Reserva]:[Condição para Faturamento]],20,FALSE),"IMPORTADO COM SUCESSO"))</f>
        <v>IMPORTADO</v>
      </c>
      <c r="I382" s="38">
        <f>IF(RES_AB[[#This Row],[Data base]]="","",WORKDAY(RES_AB[[#This Row],[Data Reserva - Feriado e Fds]],RES_AB[[#This Row],[Dias para atendimento]],Feriados[Data]))</f>
        <v>45449</v>
      </c>
      <c r="J382" s="40" t="str">
        <f ca="1">IF(RES_AB[[#This Row],[Reserva]]="","",CONCATENATE("D+",NETWORKDAYS(RES_AB[[#This Row],[Data Reserva - Feriado e Fds]],TODAY(),Feriados[Data])-1))</f>
        <v>D+3</v>
      </c>
      <c r="K382" s="40" t="str">
        <f ca="1">IF(RES_AB[[#This Row],[Reserva]]="","",CONCATENATE(RES_AB[[#This Row],[Cen.]]," | ",RES_AB[[#This Row],[SLA2]]))</f>
        <v>N190 | D+3</v>
      </c>
      <c r="L382" s="40">
        <f ca="1">IF(RES_AB[[#This Row],[Reserva]]="","",IF(RES_AB[[#This Row],[SLA2]]=RES_AB[[#This Row],[Reserva]]="","",COUNTIF(MB25_VOLUMETRIA[Reserva],RES_AB[[#This Row],[Reserva]])))</f>
        <v>3</v>
      </c>
      <c r="M3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2" s="37" t="str">
        <f>IF(RES_AB[[#This Row],[Cen.]]="","",IFERROR(VLOOKUP(RES_AB[[#This Row],[Cen.]],Dados_Empresas[],2,FALSE),"Verificar empresa"))</f>
        <v>NET MASSIVO</v>
      </c>
      <c r="P382" s="37" t="str">
        <f>IF(RES_AB[[#This Row],[Empresa]]="","",IF(OR(RES_AB[[#This Row],[Empresa]]="NET MASSIVO",RES_AB[[#This Row],[Empresa]]="NET PROJETOS"),"NET","EMPRESARIAL"))</f>
        <v>NET</v>
      </c>
      <c r="Q382" s="37" t="str">
        <f>IF(RES_AB[[#This Row],[Reserva]]="","",IFERROR(VLOOKUP(RES_AB[[#This Row],[Reserva]],Tabela3[[Reserva]:[Descrição do status]],18,FALSE),"CONVENCIONAL"))</f>
        <v>CONVENCIONAL</v>
      </c>
    </row>
    <row r="383" spans="1:17" x14ac:dyDescent="0.25">
      <c r="A383" s="37">
        <v>4381151</v>
      </c>
      <c r="B383" s="37" t="s">
        <v>21</v>
      </c>
      <c r="C383" s="38" t="s">
        <v>19</v>
      </c>
      <c r="D383" s="38">
        <v>45447</v>
      </c>
      <c r="E3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3" s="39">
        <f>IFERROR(VLOOKUP(RES_AB[[#This Row],[Reserva]],Tabela8[[Reserva]:[Usuário]],7,FALSE),Dados!$A$17)</f>
        <v>0.33333333333333331</v>
      </c>
      <c r="G383" s="40">
        <f>IF(RES_AB[[#This Row],[Reserva]]="","",IF(RES_AB[[#This Row],[Hora Int WMS]]&lt;Dados!$A$16,2,2))</f>
        <v>2</v>
      </c>
      <c r="H383" s="40" t="str">
        <f>IF(RES_AB[[#This Row],[Reserva]]="","",IFERROR(VLOOKUP(RES_AB[[#This Row],[Reserva]],Tabela3[[Reserva]:[Condição para Faturamento]],20,FALSE),"IMPORTADO COM SUCESSO"))</f>
        <v>EM RESSUPRIMENTO</v>
      </c>
      <c r="I383" s="38">
        <f>IF(RES_AB[[#This Row],[Data base]]="","",WORKDAY(RES_AB[[#This Row],[Data Reserva - Feriado e Fds]],RES_AB[[#This Row],[Dias para atendimento]],Feriados[Data]))</f>
        <v>45449</v>
      </c>
      <c r="J383" s="40" t="str">
        <f ca="1">IF(RES_AB[[#This Row],[Reserva]]="","",CONCATENATE("D+",NETWORKDAYS(RES_AB[[#This Row],[Data Reserva - Feriado e Fds]],TODAY(),Feriados[Data])-1))</f>
        <v>D+3</v>
      </c>
      <c r="K383" s="40" t="str">
        <f ca="1">IF(RES_AB[[#This Row],[Reserva]]="","",CONCATENATE(RES_AB[[#This Row],[Cen.]]," | ",RES_AB[[#This Row],[SLA2]]))</f>
        <v>N190 | D+3</v>
      </c>
      <c r="L383" s="40">
        <f ca="1">IF(RES_AB[[#This Row],[Reserva]]="","",IF(RES_AB[[#This Row],[SLA2]]=RES_AB[[#This Row],[Reserva]]="","",COUNTIF(MB25_VOLUMETRIA[Reserva],RES_AB[[#This Row],[Reserva]])))</f>
        <v>4</v>
      </c>
      <c r="M3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3" s="37" t="str">
        <f>IF(RES_AB[[#This Row],[Cen.]]="","",IFERROR(VLOOKUP(RES_AB[[#This Row],[Cen.]],Dados_Empresas[],2,FALSE),"Verificar empresa"))</f>
        <v>NET MASSIVO</v>
      </c>
      <c r="P383" s="37" t="str">
        <f>IF(RES_AB[[#This Row],[Empresa]]="","",IF(OR(RES_AB[[#This Row],[Empresa]]="NET MASSIVO",RES_AB[[#This Row],[Empresa]]="NET PROJETOS"),"NET","EMPRESARIAL"))</f>
        <v>NET</v>
      </c>
      <c r="Q383" s="37" t="str">
        <f>IF(RES_AB[[#This Row],[Reserva]]="","",IFERROR(VLOOKUP(RES_AB[[#This Row],[Reserva]],Tabela3[[Reserva]:[Descrição do status]],18,FALSE),"CONVENCIONAL"))</f>
        <v>CONVENCIONAL</v>
      </c>
    </row>
    <row r="384" spans="1:17" x14ac:dyDescent="0.25">
      <c r="A384" s="37">
        <v>4381152</v>
      </c>
      <c r="B384" s="37" t="s">
        <v>21</v>
      </c>
      <c r="C384" s="38" t="s">
        <v>19</v>
      </c>
      <c r="D384" s="38">
        <v>45447</v>
      </c>
      <c r="E3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4" s="39">
        <f>IFERROR(VLOOKUP(RES_AB[[#This Row],[Reserva]],Tabela8[[Reserva]:[Usuário]],7,FALSE),Dados!$A$17)</f>
        <v>0.33333333333333331</v>
      </c>
      <c r="G384" s="40">
        <f>IF(RES_AB[[#This Row],[Reserva]]="","",IF(RES_AB[[#This Row],[Hora Int WMS]]&lt;Dados!$A$16,2,2))</f>
        <v>2</v>
      </c>
      <c r="H384" s="40" t="str">
        <f>IF(RES_AB[[#This Row],[Reserva]]="","",IFERROR(VLOOKUP(RES_AB[[#This Row],[Reserva]],Tabela3[[Reserva]:[Condição para Faturamento]],20,FALSE),"IMPORTADO COM SUCESSO"))</f>
        <v>IMPORTADO</v>
      </c>
      <c r="I384" s="38">
        <f>IF(RES_AB[[#This Row],[Data base]]="","",WORKDAY(RES_AB[[#This Row],[Data Reserva - Feriado e Fds]],RES_AB[[#This Row],[Dias para atendimento]],Feriados[Data]))</f>
        <v>45449</v>
      </c>
      <c r="J384" s="40" t="str">
        <f ca="1">IF(RES_AB[[#This Row],[Reserva]]="","",CONCATENATE("D+",NETWORKDAYS(RES_AB[[#This Row],[Data Reserva - Feriado e Fds]],TODAY(),Feriados[Data])-1))</f>
        <v>D+3</v>
      </c>
      <c r="K384" s="40" t="str">
        <f ca="1">IF(RES_AB[[#This Row],[Reserva]]="","",CONCATENATE(RES_AB[[#This Row],[Cen.]]," | ",RES_AB[[#This Row],[SLA2]]))</f>
        <v>N190 | D+3</v>
      </c>
      <c r="L384" s="40">
        <f ca="1">IF(RES_AB[[#This Row],[Reserva]]="","",IF(RES_AB[[#This Row],[SLA2]]=RES_AB[[#This Row],[Reserva]]="","",COUNTIF(MB25_VOLUMETRIA[Reserva],RES_AB[[#This Row],[Reserva]])))</f>
        <v>2</v>
      </c>
      <c r="M3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4" s="37" t="str">
        <f>IF(RES_AB[[#This Row],[Cen.]]="","",IFERROR(VLOOKUP(RES_AB[[#This Row],[Cen.]],Dados_Empresas[],2,FALSE),"Verificar empresa"))</f>
        <v>NET MASSIVO</v>
      </c>
      <c r="P384" s="37" t="str">
        <f>IF(RES_AB[[#This Row],[Empresa]]="","",IF(OR(RES_AB[[#This Row],[Empresa]]="NET MASSIVO",RES_AB[[#This Row],[Empresa]]="NET PROJETOS"),"NET","EMPRESARIAL"))</f>
        <v>NET</v>
      </c>
      <c r="Q384" s="37" t="str">
        <f>IF(RES_AB[[#This Row],[Reserva]]="","",IFERROR(VLOOKUP(RES_AB[[#This Row],[Reserva]],Tabela3[[Reserva]:[Descrição do status]],18,FALSE),"CONVENCIONAL"))</f>
        <v>CONVENCIONAL</v>
      </c>
    </row>
    <row r="385" spans="1:17" x14ac:dyDescent="0.25">
      <c r="A385" s="37">
        <v>4381153</v>
      </c>
      <c r="B385" s="37" t="s">
        <v>21</v>
      </c>
      <c r="C385" s="38" t="s">
        <v>21</v>
      </c>
      <c r="D385" s="38">
        <v>45447</v>
      </c>
      <c r="E3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5" s="39">
        <f>IFERROR(VLOOKUP(RES_AB[[#This Row],[Reserva]],Tabela8[[Reserva]:[Usuário]],7,FALSE),Dados!$A$17)</f>
        <v>0.33333333333333331</v>
      </c>
      <c r="G385" s="40">
        <f>IF(RES_AB[[#This Row],[Reserva]]="","",IF(RES_AB[[#This Row],[Hora Int WMS]]&lt;Dados!$A$16,2,2))</f>
        <v>2</v>
      </c>
      <c r="H385" s="40" t="str">
        <f>IF(RES_AB[[#This Row],[Reserva]]="","",IFERROR(VLOOKUP(RES_AB[[#This Row],[Reserva]],Tabela3[[Reserva]:[Condição para Faturamento]],20,FALSE),"IMPORTADO COM SUCESSO"))</f>
        <v>EM RESSUPRIMENTO</v>
      </c>
      <c r="I385" s="38">
        <f>IF(RES_AB[[#This Row],[Data base]]="","",WORKDAY(RES_AB[[#This Row],[Data Reserva - Feriado e Fds]],RES_AB[[#This Row],[Dias para atendimento]],Feriados[Data]))</f>
        <v>45449</v>
      </c>
      <c r="J385" s="40" t="str">
        <f ca="1">IF(RES_AB[[#This Row],[Reserva]]="","",CONCATENATE("D+",NETWORKDAYS(RES_AB[[#This Row],[Data Reserva - Feriado e Fds]],TODAY(),Feriados[Data])-1))</f>
        <v>D+3</v>
      </c>
      <c r="K385" s="40" t="str">
        <f ca="1">IF(RES_AB[[#This Row],[Reserva]]="","",CONCATENATE(RES_AB[[#This Row],[Cen.]]," | ",RES_AB[[#This Row],[SLA2]]))</f>
        <v>N190 | D+3</v>
      </c>
      <c r="L385" s="40">
        <f ca="1">IF(RES_AB[[#This Row],[Reserva]]="","",IF(RES_AB[[#This Row],[SLA2]]=RES_AB[[#This Row],[Reserva]]="","",COUNTIF(MB25_VOLUMETRIA[Reserva],RES_AB[[#This Row],[Reserva]])))</f>
        <v>1</v>
      </c>
      <c r="M3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5" s="37" t="str">
        <f>IF(RES_AB[[#This Row],[Cen.]]="","",IFERROR(VLOOKUP(RES_AB[[#This Row],[Cen.]],Dados_Empresas[],2,FALSE),"Verificar empresa"))</f>
        <v>NET MASSIVO</v>
      </c>
      <c r="P385" s="37" t="str">
        <f>IF(RES_AB[[#This Row],[Empresa]]="","",IF(OR(RES_AB[[#This Row],[Empresa]]="NET MASSIVO",RES_AB[[#This Row],[Empresa]]="NET PROJETOS"),"NET","EMPRESARIAL"))</f>
        <v>NET</v>
      </c>
      <c r="Q385" s="37" t="str">
        <f>IF(RES_AB[[#This Row],[Reserva]]="","",IFERROR(VLOOKUP(RES_AB[[#This Row],[Reserva]],Tabela3[[Reserva]:[Descrição do status]],18,FALSE),"CONVENCIONAL"))</f>
        <v>CONVENCIONAL</v>
      </c>
    </row>
    <row r="386" spans="1:17" x14ac:dyDescent="0.25">
      <c r="A386" s="37">
        <v>4381154</v>
      </c>
      <c r="B386" s="37" t="s">
        <v>21</v>
      </c>
      <c r="C386" s="38" t="s">
        <v>19</v>
      </c>
      <c r="D386" s="38">
        <v>45447</v>
      </c>
      <c r="E3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6" s="39">
        <f>IFERROR(VLOOKUP(RES_AB[[#This Row],[Reserva]],Tabela8[[Reserva]:[Usuário]],7,FALSE),Dados!$A$17)</f>
        <v>0.33333333333333331</v>
      </c>
      <c r="G386" s="40">
        <f>IF(RES_AB[[#This Row],[Reserva]]="","",IF(RES_AB[[#This Row],[Hora Int WMS]]&lt;Dados!$A$16,2,2))</f>
        <v>2</v>
      </c>
      <c r="H386" s="40" t="str">
        <f>IF(RES_AB[[#This Row],[Reserva]]="","",IFERROR(VLOOKUP(RES_AB[[#This Row],[Reserva]],Tabela3[[Reserva]:[Condição para Faturamento]],20,FALSE),"IMPORTADO COM SUCESSO"))</f>
        <v>IMPORTADO</v>
      </c>
      <c r="I386" s="38">
        <f>IF(RES_AB[[#This Row],[Data base]]="","",WORKDAY(RES_AB[[#This Row],[Data Reserva - Feriado e Fds]],RES_AB[[#This Row],[Dias para atendimento]],Feriados[Data]))</f>
        <v>45449</v>
      </c>
      <c r="J386" s="40" t="str">
        <f ca="1">IF(RES_AB[[#This Row],[Reserva]]="","",CONCATENATE("D+",NETWORKDAYS(RES_AB[[#This Row],[Data Reserva - Feriado e Fds]],TODAY(),Feriados[Data])-1))</f>
        <v>D+3</v>
      </c>
      <c r="K386" s="40" t="str">
        <f ca="1">IF(RES_AB[[#This Row],[Reserva]]="","",CONCATENATE(RES_AB[[#This Row],[Cen.]]," | ",RES_AB[[#This Row],[SLA2]]))</f>
        <v>N190 | D+3</v>
      </c>
      <c r="L386" s="40">
        <f ca="1">IF(RES_AB[[#This Row],[Reserva]]="","",IF(RES_AB[[#This Row],[SLA2]]=RES_AB[[#This Row],[Reserva]]="","",COUNTIF(MB25_VOLUMETRIA[Reserva],RES_AB[[#This Row],[Reserva]])))</f>
        <v>2</v>
      </c>
      <c r="M3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6" s="37" t="str">
        <f>IF(RES_AB[[#This Row],[Cen.]]="","",IFERROR(VLOOKUP(RES_AB[[#This Row],[Cen.]],Dados_Empresas[],2,FALSE),"Verificar empresa"))</f>
        <v>NET MASSIVO</v>
      </c>
      <c r="P386" s="37" t="str">
        <f>IF(RES_AB[[#This Row],[Empresa]]="","",IF(OR(RES_AB[[#This Row],[Empresa]]="NET MASSIVO",RES_AB[[#This Row],[Empresa]]="NET PROJETOS"),"NET","EMPRESARIAL"))</f>
        <v>NET</v>
      </c>
      <c r="Q386" s="37" t="str">
        <f>IF(RES_AB[[#This Row],[Reserva]]="","",IFERROR(VLOOKUP(RES_AB[[#This Row],[Reserva]],Tabela3[[Reserva]:[Descrição do status]],18,FALSE),"CONVENCIONAL"))</f>
        <v>CONVENCIONAL</v>
      </c>
    </row>
    <row r="387" spans="1:17" x14ac:dyDescent="0.25">
      <c r="A387" s="37">
        <v>4381155</v>
      </c>
      <c r="B387" s="37" t="s">
        <v>21</v>
      </c>
      <c r="C387" s="38" t="s">
        <v>19</v>
      </c>
      <c r="D387" s="38">
        <v>45447</v>
      </c>
      <c r="E3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7" s="39">
        <f>IFERROR(VLOOKUP(RES_AB[[#This Row],[Reserva]],Tabela8[[Reserva]:[Usuário]],7,FALSE),Dados!$A$17)</f>
        <v>0.33333333333333331</v>
      </c>
      <c r="G387" s="40">
        <f>IF(RES_AB[[#This Row],[Reserva]]="","",IF(RES_AB[[#This Row],[Hora Int WMS]]&lt;Dados!$A$16,2,2))</f>
        <v>2</v>
      </c>
      <c r="H387" s="40" t="str">
        <f>IF(RES_AB[[#This Row],[Reserva]]="","",IFERROR(VLOOKUP(RES_AB[[#This Row],[Reserva]],Tabela3[[Reserva]:[Condição para Faturamento]],20,FALSE),"IMPORTADO COM SUCESSO"))</f>
        <v>IMPORTADO</v>
      </c>
      <c r="I387" s="38">
        <f>IF(RES_AB[[#This Row],[Data base]]="","",WORKDAY(RES_AB[[#This Row],[Data Reserva - Feriado e Fds]],RES_AB[[#This Row],[Dias para atendimento]],Feriados[Data]))</f>
        <v>45449</v>
      </c>
      <c r="J387" s="40" t="str">
        <f ca="1">IF(RES_AB[[#This Row],[Reserva]]="","",CONCATENATE("D+",NETWORKDAYS(RES_AB[[#This Row],[Data Reserva - Feriado e Fds]],TODAY(),Feriados[Data])-1))</f>
        <v>D+3</v>
      </c>
      <c r="K387" s="40" t="str">
        <f ca="1">IF(RES_AB[[#This Row],[Reserva]]="","",CONCATENATE(RES_AB[[#This Row],[Cen.]]," | ",RES_AB[[#This Row],[SLA2]]))</f>
        <v>N190 | D+3</v>
      </c>
      <c r="L387" s="40">
        <f ca="1">IF(RES_AB[[#This Row],[Reserva]]="","",IF(RES_AB[[#This Row],[SLA2]]=RES_AB[[#This Row],[Reserva]]="","",COUNTIF(MB25_VOLUMETRIA[Reserva],RES_AB[[#This Row],[Reserva]])))</f>
        <v>2</v>
      </c>
      <c r="M3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7" s="37" t="str">
        <f>IF(RES_AB[[#This Row],[Cen.]]="","",IFERROR(VLOOKUP(RES_AB[[#This Row],[Cen.]],Dados_Empresas[],2,FALSE),"Verificar empresa"))</f>
        <v>NET MASSIVO</v>
      </c>
      <c r="P387" s="37" t="str">
        <f>IF(RES_AB[[#This Row],[Empresa]]="","",IF(OR(RES_AB[[#This Row],[Empresa]]="NET MASSIVO",RES_AB[[#This Row],[Empresa]]="NET PROJETOS"),"NET","EMPRESARIAL"))</f>
        <v>NET</v>
      </c>
      <c r="Q387" s="37" t="str">
        <f>IF(RES_AB[[#This Row],[Reserva]]="","",IFERROR(VLOOKUP(RES_AB[[#This Row],[Reserva]],Tabela3[[Reserva]:[Descrição do status]],18,FALSE),"CONVENCIONAL"))</f>
        <v>CONVENCIONAL</v>
      </c>
    </row>
    <row r="388" spans="1:17" x14ac:dyDescent="0.25">
      <c r="A388" s="37">
        <v>4381156</v>
      </c>
      <c r="B388" s="37" t="s">
        <v>21</v>
      </c>
      <c r="C388" s="38" t="s">
        <v>21</v>
      </c>
      <c r="D388" s="38">
        <v>45447</v>
      </c>
      <c r="E3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8" s="39">
        <f>IFERROR(VLOOKUP(RES_AB[[#This Row],[Reserva]],Tabela8[[Reserva]:[Usuário]],7,FALSE),Dados!$A$17)</f>
        <v>0.33333333333333331</v>
      </c>
      <c r="G388" s="40">
        <f>IF(RES_AB[[#This Row],[Reserva]]="","",IF(RES_AB[[#This Row],[Hora Int WMS]]&lt;Dados!$A$16,2,2))</f>
        <v>2</v>
      </c>
      <c r="H388" s="40" t="str">
        <f>IF(RES_AB[[#This Row],[Reserva]]="","",IFERROR(VLOOKUP(RES_AB[[#This Row],[Reserva]],Tabela3[[Reserva]:[Condição para Faturamento]],20,FALSE),"IMPORTADO COM SUCESSO"))</f>
        <v>EM RESSUPRIMENTO</v>
      </c>
      <c r="I388" s="38">
        <f>IF(RES_AB[[#This Row],[Data base]]="","",WORKDAY(RES_AB[[#This Row],[Data Reserva - Feriado e Fds]],RES_AB[[#This Row],[Dias para atendimento]],Feriados[Data]))</f>
        <v>45449</v>
      </c>
      <c r="J388" s="40" t="str">
        <f ca="1">IF(RES_AB[[#This Row],[Reserva]]="","",CONCATENATE("D+",NETWORKDAYS(RES_AB[[#This Row],[Data Reserva - Feriado e Fds]],TODAY(),Feriados[Data])-1))</f>
        <v>D+3</v>
      </c>
      <c r="K388" s="40" t="str">
        <f ca="1">IF(RES_AB[[#This Row],[Reserva]]="","",CONCATENATE(RES_AB[[#This Row],[Cen.]]," | ",RES_AB[[#This Row],[SLA2]]))</f>
        <v>N190 | D+3</v>
      </c>
      <c r="L388" s="40">
        <f ca="1">IF(RES_AB[[#This Row],[Reserva]]="","",IF(RES_AB[[#This Row],[SLA2]]=RES_AB[[#This Row],[Reserva]]="","",COUNTIF(MB25_VOLUMETRIA[Reserva],RES_AB[[#This Row],[Reserva]])))</f>
        <v>4</v>
      </c>
      <c r="M3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8" s="37" t="str">
        <f>IF(RES_AB[[#This Row],[Cen.]]="","",IFERROR(VLOOKUP(RES_AB[[#This Row],[Cen.]],Dados_Empresas[],2,FALSE),"Verificar empresa"))</f>
        <v>NET MASSIVO</v>
      </c>
      <c r="P388" s="37" t="str">
        <f>IF(RES_AB[[#This Row],[Empresa]]="","",IF(OR(RES_AB[[#This Row],[Empresa]]="NET MASSIVO",RES_AB[[#This Row],[Empresa]]="NET PROJETOS"),"NET","EMPRESARIAL"))</f>
        <v>NET</v>
      </c>
      <c r="Q388" s="37" t="str">
        <f>IF(RES_AB[[#This Row],[Reserva]]="","",IFERROR(VLOOKUP(RES_AB[[#This Row],[Reserva]],Tabela3[[Reserva]:[Descrição do status]],18,FALSE),"CONVENCIONAL"))</f>
        <v>CONVENCIONAL</v>
      </c>
    </row>
    <row r="389" spans="1:17" x14ac:dyDescent="0.25">
      <c r="A389" s="37">
        <v>4381157</v>
      </c>
      <c r="B389" s="37" t="s">
        <v>21</v>
      </c>
      <c r="C389" s="38" t="s">
        <v>19</v>
      </c>
      <c r="D389" s="38">
        <v>45447</v>
      </c>
      <c r="E3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89" s="39">
        <f>IFERROR(VLOOKUP(RES_AB[[#This Row],[Reserva]],Tabela8[[Reserva]:[Usuário]],7,FALSE),Dados!$A$17)</f>
        <v>0.33333333333333331</v>
      </c>
      <c r="G389" s="40">
        <f>IF(RES_AB[[#This Row],[Reserva]]="","",IF(RES_AB[[#This Row],[Hora Int WMS]]&lt;Dados!$A$16,2,2))</f>
        <v>2</v>
      </c>
      <c r="H389" s="40" t="str">
        <f>IF(RES_AB[[#This Row],[Reserva]]="","",IFERROR(VLOOKUP(RES_AB[[#This Row],[Reserva]],Tabela3[[Reserva]:[Condição para Faturamento]],20,FALSE),"IMPORTADO COM SUCESSO"))</f>
        <v>EM RESSUPRIMENTO</v>
      </c>
      <c r="I389" s="38">
        <f>IF(RES_AB[[#This Row],[Data base]]="","",WORKDAY(RES_AB[[#This Row],[Data Reserva - Feriado e Fds]],RES_AB[[#This Row],[Dias para atendimento]],Feriados[Data]))</f>
        <v>45449</v>
      </c>
      <c r="J389" s="40" t="str">
        <f ca="1">IF(RES_AB[[#This Row],[Reserva]]="","",CONCATENATE("D+",NETWORKDAYS(RES_AB[[#This Row],[Data Reserva - Feriado e Fds]],TODAY(),Feriados[Data])-1))</f>
        <v>D+3</v>
      </c>
      <c r="K389" s="40" t="str">
        <f ca="1">IF(RES_AB[[#This Row],[Reserva]]="","",CONCATENATE(RES_AB[[#This Row],[Cen.]]," | ",RES_AB[[#This Row],[SLA2]]))</f>
        <v>N190 | D+3</v>
      </c>
      <c r="L389" s="40">
        <f ca="1">IF(RES_AB[[#This Row],[Reserva]]="","",IF(RES_AB[[#This Row],[SLA2]]=RES_AB[[#This Row],[Reserva]]="","",COUNTIF(MB25_VOLUMETRIA[Reserva],RES_AB[[#This Row],[Reserva]])))</f>
        <v>6</v>
      </c>
      <c r="M3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89" s="37" t="str">
        <f>IF(RES_AB[[#This Row],[Cen.]]="","",IFERROR(VLOOKUP(RES_AB[[#This Row],[Cen.]],Dados_Empresas[],2,FALSE),"Verificar empresa"))</f>
        <v>NET MASSIVO</v>
      </c>
      <c r="P389" s="37" t="str">
        <f>IF(RES_AB[[#This Row],[Empresa]]="","",IF(OR(RES_AB[[#This Row],[Empresa]]="NET MASSIVO",RES_AB[[#This Row],[Empresa]]="NET PROJETOS"),"NET","EMPRESARIAL"))</f>
        <v>NET</v>
      </c>
      <c r="Q389" s="37" t="str">
        <f>IF(RES_AB[[#This Row],[Reserva]]="","",IFERROR(VLOOKUP(RES_AB[[#This Row],[Reserva]],Tabela3[[Reserva]:[Descrição do status]],18,FALSE),"CONVENCIONAL"))</f>
        <v>CONVENCIONAL</v>
      </c>
    </row>
    <row r="390" spans="1:17" x14ac:dyDescent="0.25">
      <c r="A390" s="37">
        <v>4381158</v>
      </c>
      <c r="B390" s="37" t="s">
        <v>21</v>
      </c>
      <c r="C390" s="38" t="s">
        <v>19</v>
      </c>
      <c r="D390" s="38">
        <v>45447</v>
      </c>
      <c r="E3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0" s="39">
        <f>IFERROR(VLOOKUP(RES_AB[[#This Row],[Reserva]],Tabela8[[Reserva]:[Usuário]],7,FALSE),Dados!$A$17)</f>
        <v>0.33333333333333331</v>
      </c>
      <c r="G390" s="40">
        <f>IF(RES_AB[[#This Row],[Reserva]]="","",IF(RES_AB[[#This Row],[Hora Int WMS]]&lt;Dados!$A$16,2,2))</f>
        <v>2</v>
      </c>
      <c r="H390" s="40" t="str">
        <f>IF(RES_AB[[#This Row],[Reserva]]="","",IFERROR(VLOOKUP(RES_AB[[#This Row],[Reserva]],Tabela3[[Reserva]:[Condição para Faturamento]],20,FALSE),"IMPORTADO COM SUCESSO"))</f>
        <v>IMPORTADO</v>
      </c>
      <c r="I390" s="38">
        <f>IF(RES_AB[[#This Row],[Data base]]="","",WORKDAY(RES_AB[[#This Row],[Data Reserva - Feriado e Fds]],RES_AB[[#This Row],[Dias para atendimento]],Feriados[Data]))</f>
        <v>45449</v>
      </c>
      <c r="J390" s="40" t="str">
        <f ca="1">IF(RES_AB[[#This Row],[Reserva]]="","",CONCATENATE("D+",NETWORKDAYS(RES_AB[[#This Row],[Data Reserva - Feriado e Fds]],TODAY(),Feriados[Data])-1))</f>
        <v>D+3</v>
      </c>
      <c r="K390" s="40" t="str">
        <f ca="1">IF(RES_AB[[#This Row],[Reserva]]="","",CONCATENATE(RES_AB[[#This Row],[Cen.]]," | ",RES_AB[[#This Row],[SLA2]]))</f>
        <v>N190 | D+3</v>
      </c>
      <c r="L390" s="40">
        <f ca="1">IF(RES_AB[[#This Row],[Reserva]]="","",IF(RES_AB[[#This Row],[SLA2]]=RES_AB[[#This Row],[Reserva]]="","",COUNTIF(MB25_VOLUMETRIA[Reserva],RES_AB[[#This Row],[Reserva]])))</f>
        <v>1</v>
      </c>
      <c r="M3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0" s="37" t="str">
        <f>IF(RES_AB[[#This Row],[Cen.]]="","",IFERROR(VLOOKUP(RES_AB[[#This Row],[Cen.]],Dados_Empresas[],2,FALSE),"Verificar empresa"))</f>
        <v>NET MASSIVO</v>
      </c>
      <c r="P390" s="37" t="str">
        <f>IF(RES_AB[[#This Row],[Empresa]]="","",IF(OR(RES_AB[[#This Row],[Empresa]]="NET MASSIVO",RES_AB[[#This Row],[Empresa]]="NET PROJETOS"),"NET","EMPRESARIAL"))</f>
        <v>NET</v>
      </c>
      <c r="Q390" s="37" t="str">
        <f>IF(RES_AB[[#This Row],[Reserva]]="","",IFERROR(VLOOKUP(RES_AB[[#This Row],[Reserva]],Tabela3[[Reserva]:[Descrição do status]],18,FALSE),"CONVENCIONAL"))</f>
        <v>CONVENCIONAL</v>
      </c>
    </row>
    <row r="391" spans="1:17" x14ac:dyDescent="0.25">
      <c r="A391" s="37">
        <v>4381159</v>
      </c>
      <c r="B391" s="37" t="s">
        <v>21</v>
      </c>
      <c r="C391" s="38" t="s">
        <v>19</v>
      </c>
      <c r="D391" s="38">
        <v>45447</v>
      </c>
      <c r="E3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1" s="39">
        <f>IFERROR(VLOOKUP(RES_AB[[#This Row],[Reserva]],Tabela8[[Reserva]:[Usuário]],7,FALSE),Dados!$A$17)</f>
        <v>0.33333333333333331</v>
      </c>
      <c r="G391" s="40">
        <f>IF(RES_AB[[#This Row],[Reserva]]="","",IF(RES_AB[[#This Row],[Hora Int WMS]]&lt;Dados!$A$16,2,2))</f>
        <v>2</v>
      </c>
      <c r="H391" s="40" t="str">
        <f>IF(RES_AB[[#This Row],[Reserva]]="","",IFERROR(VLOOKUP(RES_AB[[#This Row],[Reserva]],Tabela3[[Reserva]:[Condição para Faturamento]],20,FALSE),"IMPORTADO COM SUCESSO"))</f>
        <v>IMPORTADO</v>
      </c>
      <c r="I391" s="38">
        <f>IF(RES_AB[[#This Row],[Data base]]="","",WORKDAY(RES_AB[[#This Row],[Data Reserva - Feriado e Fds]],RES_AB[[#This Row],[Dias para atendimento]],Feriados[Data]))</f>
        <v>45449</v>
      </c>
      <c r="J391" s="40" t="str">
        <f ca="1">IF(RES_AB[[#This Row],[Reserva]]="","",CONCATENATE("D+",NETWORKDAYS(RES_AB[[#This Row],[Data Reserva - Feriado e Fds]],TODAY(),Feriados[Data])-1))</f>
        <v>D+3</v>
      </c>
      <c r="K391" s="40" t="str">
        <f ca="1">IF(RES_AB[[#This Row],[Reserva]]="","",CONCATENATE(RES_AB[[#This Row],[Cen.]]," | ",RES_AB[[#This Row],[SLA2]]))</f>
        <v>N190 | D+3</v>
      </c>
      <c r="L391" s="40">
        <f ca="1">IF(RES_AB[[#This Row],[Reserva]]="","",IF(RES_AB[[#This Row],[SLA2]]=RES_AB[[#This Row],[Reserva]]="","",COUNTIF(MB25_VOLUMETRIA[Reserva],RES_AB[[#This Row],[Reserva]])))</f>
        <v>2</v>
      </c>
      <c r="M3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1" s="37" t="str">
        <f>IF(RES_AB[[#This Row],[Cen.]]="","",IFERROR(VLOOKUP(RES_AB[[#This Row],[Cen.]],Dados_Empresas[],2,FALSE),"Verificar empresa"))</f>
        <v>NET MASSIVO</v>
      </c>
      <c r="P391" s="37" t="str">
        <f>IF(RES_AB[[#This Row],[Empresa]]="","",IF(OR(RES_AB[[#This Row],[Empresa]]="NET MASSIVO",RES_AB[[#This Row],[Empresa]]="NET PROJETOS"),"NET","EMPRESARIAL"))</f>
        <v>NET</v>
      </c>
      <c r="Q391" s="37" t="str">
        <f>IF(RES_AB[[#This Row],[Reserva]]="","",IFERROR(VLOOKUP(RES_AB[[#This Row],[Reserva]],Tabela3[[Reserva]:[Descrição do status]],18,FALSE),"CONVENCIONAL"))</f>
        <v>CONVENCIONAL</v>
      </c>
    </row>
    <row r="392" spans="1:17" x14ac:dyDescent="0.25">
      <c r="A392" s="37">
        <v>4381160</v>
      </c>
      <c r="B392" s="37" t="s">
        <v>21</v>
      </c>
      <c r="C392" s="38" t="s">
        <v>19</v>
      </c>
      <c r="D392" s="38">
        <v>45447</v>
      </c>
      <c r="E3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2" s="39">
        <f>IFERROR(VLOOKUP(RES_AB[[#This Row],[Reserva]],Tabela8[[Reserva]:[Usuário]],7,FALSE),Dados!$A$17)</f>
        <v>0.33333333333333331</v>
      </c>
      <c r="G392" s="40">
        <f>IF(RES_AB[[#This Row],[Reserva]]="","",IF(RES_AB[[#This Row],[Hora Int WMS]]&lt;Dados!$A$16,2,2))</f>
        <v>2</v>
      </c>
      <c r="H392" s="40" t="str">
        <f>IF(RES_AB[[#This Row],[Reserva]]="","",IFERROR(VLOOKUP(RES_AB[[#This Row],[Reserva]],Tabela3[[Reserva]:[Condição para Faturamento]],20,FALSE),"IMPORTADO COM SUCESSO"))</f>
        <v>IMPORTADO</v>
      </c>
      <c r="I392" s="38">
        <f>IF(RES_AB[[#This Row],[Data base]]="","",WORKDAY(RES_AB[[#This Row],[Data Reserva - Feriado e Fds]],RES_AB[[#This Row],[Dias para atendimento]],Feriados[Data]))</f>
        <v>45449</v>
      </c>
      <c r="J392" s="40" t="str">
        <f ca="1">IF(RES_AB[[#This Row],[Reserva]]="","",CONCATENATE("D+",NETWORKDAYS(RES_AB[[#This Row],[Data Reserva - Feriado e Fds]],TODAY(),Feriados[Data])-1))</f>
        <v>D+3</v>
      </c>
      <c r="K392" s="40" t="str">
        <f ca="1">IF(RES_AB[[#This Row],[Reserva]]="","",CONCATENATE(RES_AB[[#This Row],[Cen.]]," | ",RES_AB[[#This Row],[SLA2]]))</f>
        <v>N190 | D+3</v>
      </c>
      <c r="L392" s="40">
        <f ca="1">IF(RES_AB[[#This Row],[Reserva]]="","",IF(RES_AB[[#This Row],[SLA2]]=RES_AB[[#This Row],[Reserva]]="","",COUNTIF(MB25_VOLUMETRIA[Reserva],RES_AB[[#This Row],[Reserva]])))</f>
        <v>3</v>
      </c>
      <c r="M3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2" s="37" t="str">
        <f>IF(RES_AB[[#This Row],[Cen.]]="","",IFERROR(VLOOKUP(RES_AB[[#This Row],[Cen.]],Dados_Empresas[],2,FALSE),"Verificar empresa"))</f>
        <v>NET MASSIVO</v>
      </c>
      <c r="P392" s="37" t="str">
        <f>IF(RES_AB[[#This Row],[Empresa]]="","",IF(OR(RES_AB[[#This Row],[Empresa]]="NET MASSIVO",RES_AB[[#This Row],[Empresa]]="NET PROJETOS"),"NET","EMPRESARIAL"))</f>
        <v>NET</v>
      </c>
      <c r="Q392" s="37" t="str">
        <f>IF(RES_AB[[#This Row],[Reserva]]="","",IFERROR(VLOOKUP(RES_AB[[#This Row],[Reserva]],Tabela3[[Reserva]:[Descrição do status]],18,FALSE),"CONVENCIONAL"))</f>
        <v>CONVENCIONAL</v>
      </c>
    </row>
    <row r="393" spans="1:17" x14ac:dyDescent="0.25">
      <c r="A393" s="37">
        <v>4381161</v>
      </c>
      <c r="B393" s="37" t="s">
        <v>21</v>
      </c>
      <c r="C393" s="38" t="s">
        <v>19</v>
      </c>
      <c r="D393" s="38">
        <v>45447</v>
      </c>
      <c r="E3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3" s="39">
        <f>IFERROR(VLOOKUP(RES_AB[[#This Row],[Reserva]],Tabela8[[Reserva]:[Usuário]],7,FALSE),Dados!$A$17)</f>
        <v>0.33333333333333331</v>
      </c>
      <c r="G393" s="40">
        <f>IF(RES_AB[[#This Row],[Reserva]]="","",IF(RES_AB[[#This Row],[Hora Int WMS]]&lt;Dados!$A$16,2,2))</f>
        <v>2</v>
      </c>
      <c r="H393" s="40" t="str">
        <f>IF(RES_AB[[#This Row],[Reserva]]="","",IFERROR(VLOOKUP(RES_AB[[#This Row],[Reserva]],Tabela3[[Reserva]:[Condição para Faturamento]],20,FALSE),"IMPORTADO COM SUCESSO"))</f>
        <v>EM RESSUPRIMENTO</v>
      </c>
      <c r="I393" s="38">
        <f>IF(RES_AB[[#This Row],[Data base]]="","",WORKDAY(RES_AB[[#This Row],[Data Reserva - Feriado e Fds]],RES_AB[[#This Row],[Dias para atendimento]],Feriados[Data]))</f>
        <v>45449</v>
      </c>
      <c r="J393" s="40" t="str">
        <f ca="1">IF(RES_AB[[#This Row],[Reserva]]="","",CONCATENATE("D+",NETWORKDAYS(RES_AB[[#This Row],[Data Reserva - Feriado e Fds]],TODAY(),Feriados[Data])-1))</f>
        <v>D+3</v>
      </c>
      <c r="K393" s="40" t="str">
        <f ca="1">IF(RES_AB[[#This Row],[Reserva]]="","",CONCATENATE(RES_AB[[#This Row],[Cen.]]," | ",RES_AB[[#This Row],[SLA2]]))</f>
        <v>N190 | D+3</v>
      </c>
      <c r="L393" s="40">
        <f ca="1">IF(RES_AB[[#This Row],[Reserva]]="","",IF(RES_AB[[#This Row],[SLA2]]=RES_AB[[#This Row],[Reserva]]="","",COUNTIF(MB25_VOLUMETRIA[Reserva],RES_AB[[#This Row],[Reserva]])))</f>
        <v>4</v>
      </c>
      <c r="M3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3" s="37" t="str">
        <f>IF(RES_AB[[#This Row],[Cen.]]="","",IFERROR(VLOOKUP(RES_AB[[#This Row],[Cen.]],Dados_Empresas[],2,FALSE),"Verificar empresa"))</f>
        <v>NET MASSIVO</v>
      </c>
      <c r="P393" s="37" t="str">
        <f>IF(RES_AB[[#This Row],[Empresa]]="","",IF(OR(RES_AB[[#This Row],[Empresa]]="NET MASSIVO",RES_AB[[#This Row],[Empresa]]="NET PROJETOS"),"NET","EMPRESARIAL"))</f>
        <v>NET</v>
      </c>
      <c r="Q393" s="37" t="str">
        <f>IF(RES_AB[[#This Row],[Reserva]]="","",IFERROR(VLOOKUP(RES_AB[[#This Row],[Reserva]],Tabela3[[Reserva]:[Descrição do status]],18,FALSE),"CONVENCIONAL"))</f>
        <v>CONVENCIONAL</v>
      </c>
    </row>
    <row r="394" spans="1:17" x14ac:dyDescent="0.25">
      <c r="A394" s="37">
        <v>4381162</v>
      </c>
      <c r="B394" s="37" t="s">
        <v>21</v>
      </c>
      <c r="C394" s="38" t="s">
        <v>19</v>
      </c>
      <c r="D394" s="38">
        <v>45447</v>
      </c>
      <c r="E3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4" s="39">
        <f>IFERROR(VLOOKUP(RES_AB[[#This Row],[Reserva]],Tabela8[[Reserva]:[Usuário]],7,FALSE),Dados!$A$17)</f>
        <v>0.33333333333333331</v>
      </c>
      <c r="G394" s="40">
        <f>IF(RES_AB[[#This Row],[Reserva]]="","",IF(RES_AB[[#This Row],[Hora Int WMS]]&lt;Dados!$A$16,2,2))</f>
        <v>2</v>
      </c>
      <c r="H394" s="40" t="str">
        <f>IF(RES_AB[[#This Row],[Reserva]]="","",IFERROR(VLOOKUP(RES_AB[[#This Row],[Reserva]],Tabela3[[Reserva]:[Condição para Faturamento]],20,FALSE),"IMPORTADO COM SUCESSO"))</f>
        <v>IMPORTADO</v>
      </c>
      <c r="I394" s="38">
        <f>IF(RES_AB[[#This Row],[Data base]]="","",WORKDAY(RES_AB[[#This Row],[Data Reserva - Feriado e Fds]],RES_AB[[#This Row],[Dias para atendimento]],Feriados[Data]))</f>
        <v>45449</v>
      </c>
      <c r="J394" s="40" t="str">
        <f ca="1">IF(RES_AB[[#This Row],[Reserva]]="","",CONCATENATE("D+",NETWORKDAYS(RES_AB[[#This Row],[Data Reserva - Feriado e Fds]],TODAY(),Feriados[Data])-1))</f>
        <v>D+3</v>
      </c>
      <c r="K394" s="40" t="str">
        <f ca="1">IF(RES_AB[[#This Row],[Reserva]]="","",CONCATENATE(RES_AB[[#This Row],[Cen.]]," | ",RES_AB[[#This Row],[SLA2]]))</f>
        <v>N190 | D+3</v>
      </c>
      <c r="L394" s="40">
        <f ca="1">IF(RES_AB[[#This Row],[Reserva]]="","",IF(RES_AB[[#This Row],[SLA2]]=RES_AB[[#This Row],[Reserva]]="","",COUNTIF(MB25_VOLUMETRIA[Reserva],RES_AB[[#This Row],[Reserva]])))</f>
        <v>2</v>
      </c>
      <c r="M3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4" s="37" t="str">
        <f>IF(RES_AB[[#This Row],[Cen.]]="","",IFERROR(VLOOKUP(RES_AB[[#This Row],[Cen.]],Dados_Empresas[],2,FALSE),"Verificar empresa"))</f>
        <v>NET MASSIVO</v>
      </c>
      <c r="P394" s="37" t="str">
        <f>IF(RES_AB[[#This Row],[Empresa]]="","",IF(OR(RES_AB[[#This Row],[Empresa]]="NET MASSIVO",RES_AB[[#This Row],[Empresa]]="NET PROJETOS"),"NET","EMPRESARIAL"))</f>
        <v>NET</v>
      </c>
      <c r="Q394" s="37" t="str">
        <f>IF(RES_AB[[#This Row],[Reserva]]="","",IFERROR(VLOOKUP(RES_AB[[#This Row],[Reserva]],Tabela3[[Reserva]:[Descrição do status]],18,FALSE),"CONVENCIONAL"))</f>
        <v>CONVENCIONAL</v>
      </c>
    </row>
    <row r="395" spans="1:17" x14ac:dyDescent="0.25">
      <c r="A395" s="37">
        <v>4381163</v>
      </c>
      <c r="B395" s="37" t="s">
        <v>21</v>
      </c>
      <c r="C395" s="38" t="s">
        <v>21</v>
      </c>
      <c r="D395" s="38">
        <v>45447</v>
      </c>
      <c r="E3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5" s="39">
        <f>IFERROR(VLOOKUP(RES_AB[[#This Row],[Reserva]],Tabela8[[Reserva]:[Usuário]],7,FALSE),Dados!$A$17)</f>
        <v>0.83657407407407403</v>
      </c>
      <c r="G395" s="40">
        <f>IF(RES_AB[[#This Row],[Reserva]]="","",IF(RES_AB[[#This Row],[Hora Int WMS]]&lt;Dados!$A$16,2,2))</f>
        <v>2</v>
      </c>
      <c r="H395" s="40" t="str">
        <f>IF(RES_AB[[#This Row],[Reserva]]="","",IFERROR(VLOOKUP(RES_AB[[#This Row],[Reserva]],Tabela3[[Reserva]:[Condição para Faturamento]],20,FALSE),"IMPORTADO COM SUCESSO"))</f>
        <v>EM RESSUPRIMENTO</v>
      </c>
      <c r="I395" s="38">
        <f>IF(RES_AB[[#This Row],[Data base]]="","",WORKDAY(RES_AB[[#This Row],[Data Reserva - Feriado e Fds]],RES_AB[[#This Row],[Dias para atendimento]],Feriados[Data]))</f>
        <v>45449</v>
      </c>
      <c r="J395" s="40" t="str">
        <f ca="1">IF(RES_AB[[#This Row],[Reserva]]="","",CONCATENATE("D+",NETWORKDAYS(RES_AB[[#This Row],[Data Reserva - Feriado e Fds]],TODAY(),Feriados[Data])-1))</f>
        <v>D+3</v>
      </c>
      <c r="K395" s="40" t="str">
        <f ca="1">IF(RES_AB[[#This Row],[Reserva]]="","",CONCATENATE(RES_AB[[#This Row],[Cen.]]," | ",RES_AB[[#This Row],[SLA2]]))</f>
        <v>N190 | D+3</v>
      </c>
      <c r="L395" s="40">
        <f ca="1">IF(RES_AB[[#This Row],[Reserva]]="","",IF(RES_AB[[#This Row],[SLA2]]=RES_AB[[#This Row],[Reserva]]="","",COUNTIF(MB25_VOLUMETRIA[Reserva],RES_AB[[#This Row],[Reserva]])))</f>
        <v>3</v>
      </c>
      <c r="M3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5" s="37" t="str">
        <f>IF(RES_AB[[#This Row],[Cen.]]="","",IFERROR(VLOOKUP(RES_AB[[#This Row],[Cen.]],Dados_Empresas[],2,FALSE),"Verificar empresa"))</f>
        <v>NET MASSIVO</v>
      </c>
      <c r="P395" s="37" t="str">
        <f>IF(RES_AB[[#This Row],[Empresa]]="","",IF(OR(RES_AB[[#This Row],[Empresa]]="NET MASSIVO",RES_AB[[#This Row],[Empresa]]="NET PROJETOS"),"NET","EMPRESARIAL"))</f>
        <v>NET</v>
      </c>
      <c r="Q395" s="37" t="str">
        <f>IF(RES_AB[[#This Row],[Reserva]]="","",IFERROR(VLOOKUP(RES_AB[[#This Row],[Reserva]],Tabela3[[Reserva]:[Descrição do status]],18,FALSE),"CONVENCIONAL"))</f>
        <v>CONVENCIONAL</v>
      </c>
    </row>
    <row r="396" spans="1:17" x14ac:dyDescent="0.25">
      <c r="A396" s="37">
        <v>4381164</v>
      </c>
      <c r="B396" s="37" t="s">
        <v>21</v>
      </c>
      <c r="C396" s="38" t="s">
        <v>21</v>
      </c>
      <c r="D396" s="38">
        <v>45447</v>
      </c>
      <c r="E3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6" s="39">
        <f>IFERROR(VLOOKUP(RES_AB[[#This Row],[Reserva]],Tabela8[[Reserva]:[Usuário]],7,FALSE),Dados!$A$17)</f>
        <v>0.33333333333333331</v>
      </c>
      <c r="G396" s="40">
        <f>IF(RES_AB[[#This Row],[Reserva]]="","",IF(RES_AB[[#This Row],[Hora Int WMS]]&lt;Dados!$A$16,2,2))</f>
        <v>2</v>
      </c>
      <c r="H396" s="40" t="str">
        <f>IF(RES_AB[[#This Row],[Reserva]]="","",IFERROR(VLOOKUP(RES_AB[[#This Row],[Reserva]],Tabela3[[Reserva]:[Condição para Faturamento]],20,FALSE),"IMPORTADO COM SUCESSO"))</f>
        <v>IMPORTADO</v>
      </c>
      <c r="I396" s="38">
        <f>IF(RES_AB[[#This Row],[Data base]]="","",WORKDAY(RES_AB[[#This Row],[Data Reserva - Feriado e Fds]],RES_AB[[#This Row],[Dias para atendimento]],Feriados[Data]))</f>
        <v>45449</v>
      </c>
      <c r="J396" s="40" t="str">
        <f ca="1">IF(RES_AB[[#This Row],[Reserva]]="","",CONCATENATE("D+",NETWORKDAYS(RES_AB[[#This Row],[Data Reserva - Feriado e Fds]],TODAY(),Feriados[Data])-1))</f>
        <v>D+3</v>
      </c>
      <c r="K396" s="40" t="str">
        <f ca="1">IF(RES_AB[[#This Row],[Reserva]]="","",CONCATENATE(RES_AB[[#This Row],[Cen.]]," | ",RES_AB[[#This Row],[SLA2]]))</f>
        <v>N190 | D+3</v>
      </c>
      <c r="L396" s="40">
        <f ca="1">IF(RES_AB[[#This Row],[Reserva]]="","",IF(RES_AB[[#This Row],[SLA2]]=RES_AB[[#This Row],[Reserva]]="","",COUNTIF(MB25_VOLUMETRIA[Reserva],RES_AB[[#This Row],[Reserva]])))</f>
        <v>1</v>
      </c>
      <c r="M3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6" s="37" t="str">
        <f>IF(RES_AB[[#This Row],[Cen.]]="","",IFERROR(VLOOKUP(RES_AB[[#This Row],[Cen.]],Dados_Empresas[],2,FALSE),"Verificar empresa"))</f>
        <v>NET MASSIVO</v>
      </c>
      <c r="P396" s="37" t="str">
        <f>IF(RES_AB[[#This Row],[Empresa]]="","",IF(OR(RES_AB[[#This Row],[Empresa]]="NET MASSIVO",RES_AB[[#This Row],[Empresa]]="NET PROJETOS"),"NET","EMPRESARIAL"))</f>
        <v>NET</v>
      </c>
      <c r="Q396" s="37" t="str">
        <f>IF(RES_AB[[#This Row],[Reserva]]="","",IFERROR(VLOOKUP(RES_AB[[#This Row],[Reserva]],Tabela3[[Reserva]:[Descrição do status]],18,FALSE),"CONVENCIONAL"))</f>
        <v>CONVENCIONAL</v>
      </c>
    </row>
    <row r="397" spans="1:17" x14ac:dyDescent="0.25">
      <c r="A397" s="37">
        <v>4381165</v>
      </c>
      <c r="B397" s="37" t="s">
        <v>21</v>
      </c>
      <c r="C397" s="38" t="s">
        <v>21</v>
      </c>
      <c r="D397" s="38">
        <v>45447</v>
      </c>
      <c r="E3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7" s="39">
        <f>IFERROR(VLOOKUP(RES_AB[[#This Row],[Reserva]],Tabela8[[Reserva]:[Usuário]],7,FALSE),Dados!$A$17)</f>
        <v>0.33333333333333331</v>
      </c>
      <c r="G397" s="40">
        <f>IF(RES_AB[[#This Row],[Reserva]]="","",IF(RES_AB[[#This Row],[Hora Int WMS]]&lt;Dados!$A$16,2,2))</f>
        <v>2</v>
      </c>
      <c r="H397" s="40" t="str">
        <f>IF(RES_AB[[#This Row],[Reserva]]="","",IFERROR(VLOOKUP(RES_AB[[#This Row],[Reserva]],Tabela3[[Reserva]:[Condição para Faturamento]],20,FALSE),"IMPORTADO COM SUCESSO"))</f>
        <v>EM RESSUPRIMENTO</v>
      </c>
      <c r="I397" s="38">
        <f>IF(RES_AB[[#This Row],[Data base]]="","",WORKDAY(RES_AB[[#This Row],[Data Reserva - Feriado e Fds]],RES_AB[[#This Row],[Dias para atendimento]],Feriados[Data]))</f>
        <v>45449</v>
      </c>
      <c r="J397" s="40" t="str">
        <f ca="1">IF(RES_AB[[#This Row],[Reserva]]="","",CONCATENATE("D+",NETWORKDAYS(RES_AB[[#This Row],[Data Reserva - Feriado e Fds]],TODAY(),Feriados[Data])-1))</f>
        <v>D+3</v>
      </c>
      <c r="K397" s="40" t="str">
        <f ca="1">IF(RES_AB[[#This Row],[Reserva]]="","",CONCATENATE(RES_AB[[#This Row],[Cen.]]," | ",RES_AB[[#This Row],[SLA2]]))</f>
        <v>N190 | D+3</v>
      </c>
      <c r="L397" s="40">
        <f ca="1">IF(RES_AB[[#This Row],[Reserva]]="","",IF(RES_AB[[#This Row],[SLA2]]=RES_AB[[#This Row],[Reserva]]="","",COUNTIF(MB25_VOLUMETRIA[Reserva],RES_AB[[#This Row],[Reserva]])))</f>
        <v>3</v>
      </c>
      <c r="M3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7" s="37" t="str">
        <f>IF(RES_AB[[#This Row],[Cen.]]="","",IFERROR(VLOOKUP(RES_AB[[#This Row],[Cen.]],Dados_Empresas[],2,FALSE),"Verificar empresa"))</f>
        <v>NET MASSIVO</v>
      </c>
      <c r="P397" s="37" t="str">
        <f>IF(RES_AB[[#This Row],[Empresa]]="","",IF(OR(RES_AB[[#This Row],[Empresa]]="NET MASSIVO",RES_AB[[#This Row],[Empresa]]="NET PROJETOS"),"NET","EMPRESARIAL"))</f>
        <v>NET</v>
      </c>
      <c r="Q397" s="37" t="str">
        <f>IF(RES_AB[[#This Row],[Reserva]]="","",IFERROR(VLOOKUP(RES_AB[[#This Row],[Reserva]],Tabela3[[Reserva]:[Descrição do status]],18,FALSE),"CONVENCIONAL"))</f>
        <v>CONVENCIONAL</v>
      </c>
    </row>
    <row r="398" spans="1:17" x14ac:dyDescent="0.25">
      <c r="A398" s="37">
        <v>4381166</v>
      </c>
      <c r="B398" s="37" t="s">
        <v>21</v>
      </c>
      <c r="C398" s="38" t="s">
        <v>19</v>
      </c>
      <c r="D398" s="38">
        <v>45447</v>
      </c>
      <c r="E3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8" s="39">
        <f>IFERROR(VLOOKUP(RES_AB[[#This Row],[Reserva]],Tabela8[[Reserva]:[Usuário]],7,FALSE),Dados!$A$17)</f>
        <v>0.33333333333333331</v>
      </c>
      <c r="G398" s="40">
        <f>IF(RES_AB[[#This Row],[Reserva]]="","",IF(RES_AB[[#This Row],[Hora Int WMS]]&lt;Dados!$A$16,2,2))</f>
        <v>2</v>
      </c>
      <c r="H398" s="40" t="str">
        <f>IF(RES_AB[[#This Row],[Reserva]]="","",IFERROR(VLOOKUP(RES_AB[[#This Row],[Reserva]],Tabela3[[Reserva]:[Condição para Faturamento]],20,FALSE),"IMPORTADO COM SUCESSO"))</f>
        <v>EM RESSUPRIMENTO</v>
      </c>
      <c r="I398" s="38">
        <f>IF(RES_AB[[#This Row],[Data base]]="","",WORKDAY(RES_AB[[#This Row],[Data Reserva - Feriado e Fds]],RES_AB[[#This Row],[Dias para atendimento]],Feriados[Data]))</f>
        <v>45449</v>
      </c>
      <c r="J398" s="40" t="str">
        <f ca="1">IF(RES_AB[[#This Row],[Reserva]]="","",CONCATENATE("D+",NETWORKDAYS(RES_AB[[#This Row],[Data Reserva - Feriado e Fds]],TODAY(),Feriados[Data])-1))</f>
        <v>D+3</v>
      </c>
      <c r="K398" s="40" t="str">
        <f ca="1">IF(RES_AB[[#This Row],[Reserva]]="","",CONCATENATE(RES_AB[[#This Row],[Cen.]]," | ",RES_AB[[#This Row],[SLA2]]))</f>
        <v>N190 | D+3</v>
      </c>
      <c r="L398" s="40">
        <f ca="1">IF(RES_AB[[#This Row],[Reserva]]="","",IF(RES_AB[[#This Row],[SLA2]]=RES_AB[[#This Row],[Reserva]]="","",COUNTIF(MB25_VOLUMETRIA[Reserva],RES_AB[[#This Row],[Reserva]])))</f>
        <v>3</v>
      </c>
      <c r="M3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8" s="37" t="str">
        <f>IF(RES_AB[[#This Row],[Cen.]]="","",IFERROR(VLOOKUP(RES_AB[[#This Row],[Cen.]],Dados_Empresas[],2,FALSE),"Verificar empresa"))</f>
        <v>NET MASSIVO</v>
      </c>
      <c r="P398" s="37" t="str">
        <f>IF(RES_AB[[#This Row],[Empresa]]="","",IF(OR(RES_AB[[#This Row],[Empresa]]="NET MASSIVO",RES_AB[[#This Row],[Empresa]]="NET PROJETOS"),"NET","EMPRESARIAL"))</f>
        <v>NET</v>
      </c>
      <c r="Q398" s="37" t="str">
        <f>IF(RES_AB[[#This Row],[Reserva]]="","",IFERROR(VLOOKUP(RES_AB[[#This Row],[Reserva]],Tabela3[[Reserva]:[Descrição do status]],18,FALSE),"CONVENCIONAL"))</f>
        <v>CONVENCIONAL</v>
      </c>
    </row>
    <row r="399" spans="1:17" x14ac:dyDescent="0.25">
      <c r="A399" s="37">
        <v>4381167</v>
      </c>
      <c r="B399" s="37" t="s">
        <v>21</v>
      </c>
      <c r="C399" s="38" t="s">
        <v>21</v>
      </c>
      <c r="D399" s="38">
        <v>45447</v>
      </c>
      <c r="E3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399" s="39">
        <f>IFERROR(VLOOKUP(RES_AB[[#This Row],[Reserva]],Tabela8[[Reserva]:[Usuário]],7,FALSE),Dados!$A$17)</f>
        <v>0.33333333333333331</v>
      </c>
      <c r="G399" s="40">
        <f>IF(RES_AB[[#This Row],[Reserva]]="","",IF(RES_AB[[#This Row],[Hora Int WMS]]&lt;Dados!$A$16,2,2))</f>
        <v>2</v>
      </c>
      <c r="H399" s="40" t="str">
        <f>IF(RES_AB[[#This Row],[Reserva]]="","",IFERROR(VLOOKUP(RES_AB[[#This Row],[Reserva]],Tabela3[[Reserva]:[Condição para Faturamento]],20,FALSE),"IMPORTADO COM SUCESSO"))</f>
        <v>EM RESSUPRIMENTO</v>
      </c>
      <c r="I399" s="38">
        <f>IF(RES_AB[[#This Row],[Data base]]="","",WORKDAY(RES_AB[[#This Row],[Data Reserva - Feriado e Fds]],RES_AB[[#This Row],[Dias para atendimento]],Feriados[Data]))</f>
        <v>45449</v>
      </c>
      <c r="J399" s="40" t="str">
        <f ca="1">IF(RES_AB[[#This Row],[Reserva]]="","",CONCATENATE("D+",NETWORKDAYS(RES_AB[[#This Row],[Data Reserva - Feriado e Fds]],TODAY(),Feriados[Data])-1))</f>
        <v>D+3</v>
      </c>
      <c r="K399" s="40" t="str">
        <f ca="1">IF(RES_AB[[#This Row],[Reserva]]="","",CONCATENATE(RES_AB[[#This Row],[Cen.]]," | ",RES_AB[[#This Row],[SLA2]]))</f>
        <v>N190 | D+3</v>
      </c>
      <c r="L399" s="40">
        <f ca="1">IF(RES_AB[[#This Row],[Reserva]]="","",IF(RES_AB[[#This Row],[SLA2]]=RES_AB[[#This Row],[Reserva]]="","",COUNTIF(MB25_VOLUMETRIA[Reserva],RES_AB[[#This Row],[Reserva]])))</f>
        <v>5</v>
      </c>
      <c r="M3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3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399" s="37" t="str">
        <f>IF(RES_AB[[#This Row],[Cen.]]="","",IFERROR(VLOOKUP(RES_AB[[#This Row],[Cen.]],Dados_Empresas[],2,FALSE),"Verificar empresa"))</f>
        <v>NET MASSIVO</v>
      </c>
      <c r="P399" s="37" t="str">
        <f>IF(RES_AB[[#This Row],[Empresa]]="","",IF(OR(RES_AB[[#This Row],[Empresa]]="NET MASSIVO",RES_AB[[#This Row],[Empresa]]="NET PROJETOS"),"NET","EMPRESARIAL"))</f>
        <v>NET</v>
      </c>
      <c r="Q399" s="37" t="str">
        <f>IF(RES_AB[[#This Row],[Reserva]]="","",IFERROR(VLOOKUP(RES_AB[[#This Row],[Reserva]],Tabela3[[Reserva]:[Descrição do status]],18,FALSE),"CONVENCIONAL"))</f>
        <v>CONVENCIONAL</v>
      </c>
    </row>
    <row r="400" spans="1:17" x14ac:dyDescent="0.25">
      <c r="A400" s="37">
        <v>4381168</v>
      </c>
      <c r="B400" s="37" t="s">
        <v>21</v>
      </c>
      <c r="C400" s="38" t="s">
        <v>19</v>
      </c>
      <c r="D400" s="38">
        <v>45447</v>
      </c>
      <c r="E4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0" s="39">
        <f>IFERROR(VLOOKUP(RES_AB[[#This Row],[Reserva]],Tabela8[[Reserva]:[Usuário]],7,FALSE),Dados!$A$17)</f>
        <v>0.33333333333333331</v>
      </c>
      <c r="G400" s="40">
        <f>IF(RES_AB[[#This Row],[Reserva]]="","",IF(RES_AB[[#This Row],[Hora Int WMS]]&lt;Dados!$A$16,2,2))</f>
        <v>2</v>
      </c>
      <c r="H400" s="40" t="str">
        <f>IF(RES_AB[[#This Row],[Reserva]]="","",IFERROR(VLOOKUP(RES_AB[[#This Row],[Reserva]],Tabela3[[Reserva]:[Condição para Faturamento]],20,FALSE),"IMPORTADO COM SUCESSO"))</f>
        <v>IMPORTADO</v>
      </c>
      <c r="I400" s="38">
        <f>IF(RES_AB[[#This Row],[Data base]]="","",WORKDAY(RES_AB[[#This Row],[Data Reserva - Feriado e Fds]],RES_AB[[#This Row],[Dias para atendimento]],Feriados[Data]))</f>
        <v>45449</v>
      </c>
      <c r="J400" s="40" t="str">
        <f ca="1">IF(RES_AB[[#This Row],[Reserva]]="","",CONCATENATE("D+",NETWORKDAYS(RES_AB[[#This Row],[Data Reserva - Feriado e Fds]],TODAY(),Feriados[Data])-1))</f>
        <v>D+3</v>
      </c>
      <c r="K400" s="40" t="str">
        <f ca="1">IF(RES_AB[[#This Row],[Reserva]]="","",CONCATENATE(RES_AB[[#This Row],[Cen.]]," | ",RES_AB[[#This Row],[SLA2]]))</f>
        <v>N190 | D+3</v>
      </c>
      <c r="L400" s="40">
        <f ca="1">IF(RES_AB[[#This Row],[Reserva]]="","",IF(RES_AB[[#This Row],[SLA2]]=RES_AB[[#This Row],[Reserva]]="","",COUNTIF(MB25_VOLUMETRIA[Reserva],RES_AB[[#This Row],[Reserva]])))</f>
        <v>2</v>
      </c>
      <c r="M4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0" s="37" t="str">
        <f>IF(RES_AB[[#This Row],[Cen.]]="","",IFERROR(VLOOKUP(RES_AB[[#This Row],[Cen.]],Dados_Empresas[],2,FALSE),"Verificar empresa"))</f>
        <v>NET MASSIVO</v>
      </c>
      <c r="P400" s="37" t="str">
        <f>IF(RES_AB[[#This Row],[Empresa]]="","",IF(OR(RES_AB[[#This Row],[Empresa]]="NET MASSIVO",RES_AB[[#This Row],[Empresa]]="NET PROJETOS"),"NET","EMPRESARIAL"))</f>
        <v>NET</v>
      </c>
      <c r="Q400" s="37" t="str">
        <f>IF(RES_AB[[#This Row],[Reserva]]="","",IFERROR(VLOOKUP(RES_AB[[#This Row],[Reserva]],Tabela3[[Reserva]:[Descrição do status]],18,FALSE),"CONVENCIONAL"))</f>
        <v>CONVENCIONAL</v>
      </c>
    </row>
    <row r="401" spans="1:17" x14ac:dyDescent="0.25">
      <c r="A401" s="37">
        <v>4381169</v>
      </c>
      <c r="B401" s="37" t="s">
        <v>21</v>
      </c>
      <c r="C401" s="38" t="s">
        <v>21</v>
      </c>
      <c r="D401" s="38">
        <v>45447</v>
      </c>
      <c r="E4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1" s="39">
        <f>IFERROR(VLOOKUP(RES_AB[[#This Row],[Reserva]],Tabela8[[Reserva]:[Usuário]],7,FALSE),Dados!$A$17)</f>
        <v>0.33333333333333331</v>
      </c>
      <c r="G401" s="40">
        <f>IF(RES_AB[[#This Row],[Reserva]]="","",IF(RES_AB[[#This Row],[Hora Int WMS]]&lt;Dados!$A$16,2,2))</f>
        <v>2</v>
      </c>
      <c r="H401" s="40" t="str">
        <f>IF(RES_AB[[#This Row],[Reserva]]="","",IFERROR(VLOOKUP(RES_AB[[#This Row],[Reserva]],Tabela3[[Reserva]:[Condição para Faturamento]],20,FALSE),"IMPORTADO COM SUCESSO"))</f>
        <v>AGUARDANDO SEPARAÇÃO</v>
      </c>
      <c r="I401" s="38">
        <f>IF(RES_AB[[#This Row],[Data base]]="","",WORKDAY(RES_AB[[#This Row],[Data Reserva - Feriado e Fds]],RES_AB[[#This Row],[Dias para atendimento]],Feriados[Data]))</f>
        <v>45449</v>
      </c>
      <c r="J401" s="40" t="str">
        <f ca="1">IF(RES_AB[[#This Row],[Reserva]]="","",CONCATENATE("D+",NETWORKDAYS(RES_AB[[#This Row],[Data Reserva - Feriado e Fds]],TODAY(),Feriados[Data])-1))</f>
        <v>D+3</v>
      </c>
      <c r="K401" s="40" t="str">
        <f ca="1">IF(RES_AB[[#This Row],[Reserva]]="","",CONCATENATE(RES_AB[[#This Row],[Cen.]]," | ",RES_AB[[#This Row],[SLA2]]))</f>
        <v>N190 | D+3</v>
      </c>
      <c r="L401" s="40">
        <f ca="1">IF(RES_AB[[#This Row],[Reserva]]="","",IF(RES_AB[[#This Row],[SLA2]]=RES_AB[[#This Row],[Reserva]]="","",COUNTIF(MB25_VOLUMETRIA[Reserva],RES_AB[[#This Row],[Reserva]])))</f>
        <v>16</v>
      </c>
      <c r="M4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1" s="37" t="str">
        <f>IF(RES_AB[[#This Row],[Cen.]]="","",IFERROR(VLOOKUP(RES_AB[[#This Row],[Cen.]],Dados_Empresas[],2,FALSE),"Verificar empresa"))</f>
        <v>NET MASSIVO</v>
      </c>
      <c r="P401" s="37" t="str">
        <f>IF(RES_AB[[#This Row],[Empresa]]="","",IF(OR(RES_AB[[#This Row],[Empresa]]="NET MASSIVO",RES_AB[[#This Row],[Empresa]]="NET PROJETOS"),"NET","EMPRESARIAL"))</f>
        <v>NET</v>
      </c>
      <c r="Q401" s="37" t="str">
        <f>IF(RES_AB[[#This Row],[Reserva]]="","",IFERROR(VLOOKUP(RES_AB[[#This Row],[Reserva]],Tabela3[[Reserva]:[Descrição do status]],18,FALSE),"CONVENCIONAL"))</f>
        <v>CONVENCIONAL</v>
      </c>
    </row>
    <row r="402" spans="1:17" x14ac:dyDescent="0.25">
      <c r="A402" s="37">
        <v>4381170</v>
      </c>
      <c r="B402" s="37" t="s">
        <v>21</v>
      </c>
      <c r="C402" s="38" t="s">
        <v>19</v>
      </c>
      <c r="D402" s="38">
        <v>45447</v>
      </c>
      <c r="E4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2" s="39">
        <f>IFERROR(VLOOKUP(RES_AB[[#This Row],[Reserva]],Tabela8[[Reserva]:[Usuário]],7,FALSE),Dados!$A$17)</f>
        <v>0.33333333333333331</v>
      </c>
      <c r="G402" s="40">
        <f>IF(RES_AB[[#This Row],[Reserva]]="","",IF(RES_AB[[#This Row],[Hora Int WMS]]&lt;Dados!$A$16,2,2))</f>
        <v>2</v>
      </c>
      <c r="H402" s="40" t="str">
        <f>IF(RES_AB[[#This Row],[Reserva]]="","",IFERROR(VLOOKUP(RES_AB[[#This Row],[Reserva]],Tabela3[[Reserva]:[Condição para Faturamento]],20,FALSE),"IMPORTADO COM SUCESSO"))</f>
        <v>EM RESSUPRIMENTO</v>
      </c>
      <c r="I402" s="38">
        <f>IF(RES_AB[[#This Row],[Data base]]="","",WORKDAY(RES_AB[[#This Row],[Data Reserva - Feriado e Fds]],RES_AB[[#This Row],[Dias para atendimento]],Feriados[Data]))</f>
        <v>45449</v>
      </c>
      <c r="J402" s="40" t="str">
        <f ca="1">IF(RES_AB[[#This Row],[Reserva]]="","",CONCATENATE("D+",NETWORKDAYS(RES_AB[[#This Row],[Data Reserva - Feriado e Fds]],TODAY(),Feriados[Data])-1))</f>
        <v>D+3</v>
      </c>
      <c r="K402" s="40" t="str">
        <f ca="1">IF(RES_AB[[#This Row],[Reserva]]="","",CONCATENATE(RES_AB[[#This Row],[Cen.]]," | ",RES_AB[[#This Row],[SLA2]]))</f>
        <v>N190 | D+3</v>
      </c>
      <c r="L402" s="40">
        <f ca="1">IF(RES_AB[[#This Row],[Reserva]]="","",IF(RES_AB[[#This Row],[SLA2]]=RES_AB[[#This Row],[Reserva]]="","",COUNTIF(MB25_VOLUMETRIA[Reserva],RES_AB[[#This Row],[Reserva]])))</f>
        <v>19</v>
      </c>
      <c r="M4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2" s="37" t="str">
        <f>IF(RES_AB[[#This Row],[Cen.]]="","",IFERROR(VLOOKUP(RES_AB[[#This Row],[Cen.]],Dados_Empresas[],2,FALSE),"Verificar empresa"))</f>
        <v>NET MASSIVO</v>
      </c>
      <c r="P402" s="37" t="str">
        <f>IF(RES_AB[[#This Row],[Empresa]]="","",IF(OR(RES_AB[[#This Row],[Empresa]]="NET MASSIVO",RES_AB[[#This Row],[Empresa]]="NET PROJETOS"),"NET","EMPRESARIAL"))</f>
        <v>NET</v>
      </c>
      <c r="Q402" s="37" t="str">
        <f>IF(RES_AB[[#This Row],[Reserva]]="","",IFERROR(VLOOKUP(RES_AB[[#This Row],[Reserva]],Tabela3[[Reserva]:[Descrição do status]],18,FALSE),"CONVENCIONAL"))</f>
        <v>CONVENCIONAL</v>
      </c>
    </row>
    <row r="403" spans="1:17" x14ac:dyDescent="0.25">
      <c r="A403" s="37">
        <v>4381171</v>
      </c>
      <c r="B403" s="37" t="s">
        <v>21</v>
      </c>
      <c r="C403" s="38" t="s">
        <v>19</v>
      </c>
      <c r="D403" s="38">
        <v>45447</v>
      </c>
      <c r="E4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3" s="39">
        <f>IFERROR(VLOOKUP(RES_AB[[#This Row],[Reserva]],Tabela8[[Reserva]:[Usuário]],7,FALSE),Dados!$A$17)</f>
        <v>0.33333333333333331</v>
      </c>
      <c r="G403" s="40">
        <f>IF(RES_AB[[#This Row],[Reserva]]="","",IF(RES_AB[[#This Row],[Hora Int WMS]]&lt;Dados!$A$16,2,2))</f>
        <v>2</v>
      </c>
      <c r="H403" s="40" t="str">
        <f>IF(RES_AB[[#This Row],[Reserva]]="","",IFERROR(VLOOKUP(RES_AB[[#This Row],[Reserva]],Tabela3[[Reserva]:[Condição para Faturamento]],20,FALSE),"IMPORTADO COM SUCESSO"))</f>
        <v>IMPORTADO</v>
      </c>
      <c r="I403" s="38">
        <f>IF(RES_AB[[#This Row],[Data base]]="","",WORKDAY(RES_AB[[#This Row],[Data Reserva - Feriado e Fds]],RES_AB[[#This Row],[Dias para atendimento]],Feriados[Data]))</f>
        <v>45449</v>
      </c>
      <c r="J403" s="40" t="str">
        <f ca="1">IF(RES_AB[[#This Row],[Reserva]]="","",CONCATENATE("D+",NETWORKDAYS(RES_AB[[#This Row],[Data Reserva - Feriado e Fds]],TODAY(),Feriados[Data])-1))</f>
        <v>D+3</v>
      </c>
      <c r="K403" s="40" t="str">
        <f ca="1">IF(RES_AB[[#This Row],[Reserva]]="","",CONCATENATE(RES_AB[[#This Row],[Cen.]]," | ",RES_AB[[#This Row],[SLA2]]))</f>
        <v>N190 | D+3</v>
      </c>
      <c r="L403" s="40">
        <f ca="1">IF(RES_AB[[#This Row],[Reserva]]="","",IF(RES_AB[[#This Row],[SLA2]]=RES_AB[[#This Row],[Reserva]]="","",COUNTIF(MB25_VOLUMETRIA[Reserva],RES_AB[[#This Row],[Reserva]])))</f>
        <v>3</v>
      </c>
      <c r="M4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3" s="37" t="str">
        <f>IF(RES_AB[[#This Row],[Cen.]]="","",IFERROR(VLOOKUP(RES_AB[[#This Row],[Cen.]],Dados_Empresas[],2,FALSE),"Verificar empresa"))</f>
        <v>NET MASSIVO</v>
      </c>
      <c r="P403" s="37" t="str">
        <f>IF(RES_AB[[#This Row],[Empresa]]="","",IF(OR(RES_AB[[#This Row],[Empresa]]="NET MASSIVO",RES_AB[[#This Row],[Empresa]]="NET PROJETOS"),"NET","EMPRESARIAL"))</f>
        <v>NET</v>
      </c>
      <c r="Q403" s="37" t="str">
        <f>IF(RES_AB[[#This Row],[Reserva]]="","",IFERROR(VLOOKUP(RES_AB[[#This Row],[Reserva]],Tabela3[[Reserva]:[Descrição do status]],18,FALSE),"CONVENCIONAL"))</f>
        <v>CONVENCIONAL</v>
      </c>
    </row>
    <row r="404" spans="1:17" x14ac:dyDescent="0.25">
      <c r="A404" s="37">
        <v>4381172</v>
      </c>
      <c r="B404" s="37" t="s">
        <v>21</v>
      </c>
      <c r="C404" s="38" t="s">
        <v>21</v>
      </c>
      <c r="D404" s="38">
        <v>45447</v>
      </c>
      <c r="E4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4" s="39">
        <f>IFERROR(VLOOKUP(RES_AB[[#This Row],[Reserva]],Tabela8[[Reserva]:[Usuário]],7,FALSE),Dados!$A$17)</f>
        <v>0.83761574074074074</v>
      </c>
      <c r="G404" s="40">
        <f>IF(RES_AB[[#This Row],[Reserva]]="","",IF(RES_AB[[#This Row],[Hora Int WMS]]&lt;Dados!$A$16,2,2))</f>
        <v>2</v>
      </c>
      <c r="H404" s="40" t="str">
        <f>IF(RES_AB[[#This Row],[Reserva]]="","",IFERROR(VLOOKUP(RES_AB[[#This Row],[Reserva]],Tabela3[[Reserva]:[Condição para Faturamento]],20,FALSE),"IMPORTADO COM SUCESSO"))</f>
        <v>IMPORTADO</v>
      </c>
      <c r="I404" s="38">
        <f>IF(RES_AB[[#This Row],[Data base]]="","",WORKDAY(RES_AB[[#This Row],[Data Reserva - Feriado e Fds]],RES_AB[[#This Row],[Dias para atendimento]],Feriados[Data]))</f>
        <v>45449</v>
      </c>
      <c r="J404" s="40" t="str">
        <f ca="1">IF(RES_AB[[#This Row],[Reserva]]="","",CONCATENATE("D+",NETWORKDAYS(RES_AB[[#This Row],[Data Reserva - Feriado e Fds]],TODAY(),Feriados[Data])-1))</f>
        <v>D+3</v>
      </c>
      <c r="K404" s="40" t="str">
        <f ca="1">IF(RES_AB[[#This Row],[Reserva]]="","",CONCATENATE(RES_AB[[#This Row],[Cen.]]," | ",RES_AB[[#This Row],[SLA2]]))</f>
        <v>N190 | D+3</v>
      </c>
      <c r="L404" s="40">
        <f ca="1">IF(RES_AB[[#This Row],[Reserva]]="","",IF(RES_AB[[#This Row],[SLA2]]=RES_AB[[#This Row],[Reserva]]="","",COUNTIF(MB25_VOLUMETRIA[Reserva],RES_AB[[#This Row],[Reserva]])))</f>
        <v>1</v>
      </c>
      <c r="M4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4" s="37" t="str">
        <f>IF(RES_AB[[#This Row],[Cen.]]="","",IFERROR(VLOOKUP(RES_AB[[#This Row],[Cen.]],Dados_Empresas[],2,FALSE),"Verificar empresa"))</f>
        <v>NET MASSIVO</v>
      </c>
      <c r="P404" s="37" t="str">
        <f>IF(RES_AB[[#This Row],[Empresa]]="","",IF(OR(RES_AB[[#This Row],[Empresa]]="NET MASSIVO",RES_AB[[#This Row],[Empresa]]="NET PROJETOS"),"NET","EMPRESARIAL"))</f>
        <v>NET</v>
      </c>
      <c r="Q404" s="37" t="str">
        <f>IF(RES_AB[[#This Row],[Reserva]]="","",IFERROR(VLOOKUP(RES_AB[[#This Row],[Reserva]],Tabela3[[Reserva]:[Descrição do status]],18,FALSE),"CONVENCIONAL"))</f>
        <v>CONVENCIONAL</v>
      </c>
    </row>
    <row r="405" spans="1:17" x14ac:dyDescent="0.25">
      <c r="A405" s="37">
        <v>4381173</v>
      </c>
      <c r="B405" s="37" t="s">
        <v>21</v>
      </c>
      <c r="C405" s="38" t="s">
        <v>19</v>
      </c>
      <c r="D405" s="38">
        <v>45447</v>
      </c>
      <c r="E4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5" s="39">
        <f>IFERROR(VLOOKUP(RES_AB[[#This Row],[Reserva]],Tabela8[[Reserva]:[Usuário]],7,FALSE),Dados!$A$17)</f>
        <v>0.33333333333333331</v>
      </c>
      <c r="G405" s="40">
        <f>IF(RES_AB[[#This Row],[Reserva]]="","",IF(RES_AB[[#This Row],[Hora Int WMS]]&lt;Dados!$A$16,2,2))</f>
        <v>2</v>
      </c>
      <c r="H405" s="40" t="str">
        <f>IF(RES_AB[[#This Row],[Reserva]]="","",IFERROR(VLOOKUP(RES_AB[[#This Row],[Reserva]],Tabela3[[Reserva]:[Condição para Faturamento]],20,FALSE),"IMPORTADO COM SUCESSO"))</f>
        <v>IMPORTADO</v>
      </c>
      <c r="I405" s="38">
        <f>IF(RES_AB[[#This Row],[Data base]]="","",WORKDAY(RES_AB[[#This Row],[Data Reserva - Feriado e Fds]],RES_AB[[#This Row],[Dias para atendimento]],Feriados[Data]))</f>
        <v>45449</v>
      </c>
      <c r="J405" s="40" t="str">
        <f ca="1">IF(RES_AB[[#This Row],[Reserva]]="","",CONCATENATE("D+",NETWORKDAYS(RES_AB[[#This Row],[Data Reserva - Feriado e Fds]],TODAY(),Feriados[Data])-1))</f>
        <v>D+3</v>
      </c>
      <c r="K405" s="40" t="str">
        <f ca="1">IF(RES_AB[[#This Row],[Reserva]]="","",CONCATENATE(RES_AB[[#This Row],[Cen.]]," | ",RES_AB[[#This Row],[SLA2]]))</f>
        <v>N190 | D+3</v>
      </c>
      <c r="L405" s="40">
        <f ca="1">IF(RES_AB[[#This Row],[Reserva]]="","",IF(RES_AB[[#This Row],[SLA2]]=RES_AB[[#This Row],[Reserva]]="","",COUNTIF(MB25_VOLUMETRIA[Reserva],RES_AB[[#This Row],[Reserva]])))</f>
        <v>2</v>
      </c>
      <c r="M4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5" s="37" t="str">
        <f>IF(RES_AB[[#This Row],[Cen.]]="","",IFERROR(VLOOKUP(RES_AB[[#This Row],[Cen.]],Dados_Empresas[],2,FALSE),"Verificar empresa"))</f>
        <v>NET MASSIVO</v>
      </c>
      <c r="P405" s="37" t="str">
        <f>IF(RES_AB[[#This Row],[Empresa]]="","",IF(OR(RES_AB[[#This Row],[Empresa]]="NET MASSIVO",RES_AB[[#This Row],[Empresa]]="NET PROJETOS"),"NET","EMPRESARIAL"))</f>
        <v>NET</v>
      </c>
      <c r="Q405" s="37" t="str">
        <f>IF(RES_AB[[#This Row],[Reserva]]="","",IFERROR(VLOOKUP(RES_AB[[#This Row],[Reserva]],Tabela3[[Reserva]:[Descrição do status]],18,FALSE),"CONVENCIONAL"))</f>
        <v>CONVENCIONAL</v>
      </c>
    </row>
    <row r="406" spans="1:17" x14ac:dyDescent="0.25">
      <c r="A406" s="37">
        <v>4381174</v>
      </c>
      <c r="B406" s="37" t="s">
        <v>21</v>
      </c>
      <c r="C406" s="38" t="s">
        <v>19</v>
      </c>
      <c r="D406" s="38">
        <v>45447</v>
      </c>
      <c r="E4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6" s="39">
        <f>IFERROR(VLOOKUP(RES_AB[[#This Row],[Reserva]],Tabela8[[Reserva]:[Usuário]],7,FALSE),Dados!$A$17)</f>
        <v>0.33333333333333331</v>
      </c>
      <c r="G406" s="40">
        <f>IF(RES_AB[[#This Row],[Reserva]]="","",IF(RES_AB[[#This Row],[Hora Int WMS]]&lt;Dados!$A$16,2,2))</f>
        <v>2</v>
      </c>
      <c r="H406" s="40" t="str">
        <f>IF(RES_AB[[#This Row],[Reserva]]="","",IFERROR(VLOOKUP(RES_AB[[#This Row],[Reserva]],Tabela3[[Reserva]:[Condição para Faturamento]],20,FALSE),"IMPORTADO COM SUCESSO"))</f>
        <v>IMPORTADO</v>
      </c>
      <c r="I406" s="38">
        <f>IF(RES_AB[[#This Row],[Data base]]="","",WORKDAY(RES_AB[[#This Row],[Data Reserva - Feriado e Fds]],RES_AB[[#This Row],[Dias para atendimento]],Feriados[Data]))</f>
        <v>45449</v>
      </c>
      <c r="J406" s="40" t="str">
        <f ca="1">IF(RES_AB[[#This Row],[Reserva]]="","",CONCATENATE("D+",NETWORKDAYS(RES_AB[[#This Row],[Data Reserva - Feriado e Fds]],TODAY(),Feriados[Data])-1))</f>
        <v>D+3</v>
      </c>
      <c r="K406" s="40" t="str">
        <f ca="1">IF(RES_AB[[#This Row],[Reserva]]="","",CONCATENATE(RES_AB[[#This Row],[Cen.]]," | ",RES_AB[[#This Row],[SLA2]]))</f>
        <v>N190 | D+3</v>
      </c>
      <c r="L406" s="40">
        <f ca="1">IF(RES_AB[[#This Row],[Reserva]]="","",IF(RES_AB[[#This Row],[SLA2]]=RES_AB[[#This Row],[Reserva]]="","",COUNTIF(MB25_VOLUMETRIA[Reserva],RES_AB[[#This Row],[Reserva]])))</f>
        <v>3</v>
      </c>
      <c r="M4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6" s="37" t="str">
        <f>IF(RES_AB[[#This Row],[Cen.]]="","",IFERROR(VLOOKUP(RES_AB[[#This Row],[Cen.]],Dados_Empresas[],2,FALSE),"Verificar empresa"))</f>
        <v>NET MASSIVO</v>
      </c>
      <c r="P406" s="37" t="str">
        <f>IF(RES_AB[[#This Row],[Empresa]]="","",IF(OR(RES_AB[[#This Row],[Empresa]]="NET MASSIVO",RES_AB[[#This Row],[Empresa]]="NET PROJETOS"),"NET","EMPRESARIAL"))</f>
        <v>NET</v>
      </c>
      <c r="Q406" s="37" t="str">
        <f>IF(RES_AB[[#This Row],[Reserva]]="","",IFERROR(VLOOKUP(RES_AB[[#This Row],[Reserva]],Tabela3[[Reserva]:[Descrição do status]],18,FALSE),"CONVENCIONAL"))</f>
        <v>CONVENCIONAL</v>
      </c>
    </row>
    <row r="407" spans="1:17" x14ac:dyDescent="0.25">
      <c r="A407" s="37">
        <v>4381175</v>
      </c>
      <c r="B407" s="37" t="s">
        <v>21</v>
      </c>
      <c r="C407" s="38" t="s">
        <v>19</v>
      </c>
      <c r="D407" s="38">
        <v>45447</v>
      </c>
      <c r="E4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7" s="39">
        <f>IFERROR(VLOOKUP(RES_AB[[#This Row],[Reserva]],Tabela8[[Reserva]:[Usuário]],7,FALSE),Dados!$A$17)</f>
        <v>0.33333333333333331</v>
      </c>
      <c r="G407" s="40">
        <f>IF(RES_AB[[#This Row],[Reserva]]="","",IF(RES_AB[[#This Row],[Hora Int WMS]]&lt;Dados!$A$16,2,2))</f>
        <v>2</v>
      </c>
      <c r="H407" s="40" t="str">
        <f>IF(RES_AB[[#This Row],[Reserva]]="","",IFERROR(VLOOKUP(RES_AB[[#This Row],[Reserva]],Tabela3[[Reserva]:[Condição para Faturamento]],20,FALSE),"IMPORTADO COM SUCESSO"))</f>
        <v>IMPORTADO</v>
      </c>
      <c r="I407" s="38">
        <f>IF(RES_AB[[#This Row],[Data base]]="","",WORKDAY(RES_AB[[#This Row],[Data Reserva - Feriado e Fds]],RES_AB[[#This Row],[Dias para atendimento]],Feriados[Data]))</f>
        <v>45449</v>
      </c>
      <c r="J407" s="40" t="str">
        <f ca="1">IF(RES_AB[[#This Row],[Reserva]]="","",CONCATENATE("D+",NETWORKDAYS(RES_AB[[#This Row],[Data Reserva - Feriado e Fds]],TODAY(),Feriados[Data])-1))</f>
        <v>D+3</v>
      </c>
      <c r="K407" s="40" t="str">
        <f ca="1">IF(RES_AB[[#This Row],[Reserva]]="","",CONCATENATE(RES_AB[[#This Row],[Cen.]]," | ",RES_AB[[#This Row],[SLA2]]))</f>
        <v>N190 | D+3</v>
      </c>
      <c r="L407" s="40">
        <f ca="1">IF(RES_AB[[#This Row],[Reserva]]="","",IF(RES_AB[[#This Row],[SLA2]]=RES_AB[[#This Row],[Reserva]]="","",COUNTIF(MB25_VOLUMETRIA[Reserva],RES_AB[[#This Row],[Reserva]])))</f>
        <v>2</v>
      </c>
      <c r="M4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7" s="37" t="str">
        <f>IF(RES_AB[[#This Row],[Cen.]]="","",IFERROR(VLOOKUP(RES_AB[[#This Row],[Cen.]],Dados_Empresas[],2,FALSE),"Verificar empresa"))</f>
        <v>NET MASSIVO</v>
      </c>
      <c r="P407" s="37" t="str">
        <f>IF(RES_AB[[#This Row],[Empresa]]="","",IF(OR(RES_AB[[#This Row],[Empresa]]="NET MASSIVO",RES_AB[[#This Row],[Empresa]]="NET PROJETOS"),"NET","EMPRESARIAL"))</f>
        <v>NET</v>
      </c>
      <c r="Q407" s="37" t="str">
        <f>IF(RES_AB[[#This Row],[Reserva]]="","",IFERROR(VLOOKUP(RES_AB[[#This Row],[Reserva]],Tabela3[[Reserva]:[Descrição do status]],18,FALSE),"CONVENCIONAL"))</f>
        <v>CONVENCIONAL</v>
      </c>
    </row>
    <row r="408" spans="1:17" x14ac:dyDescent="0.25">
      <c r="A408" s="37">
        <v>4381176</v>
      </c>
      <c r="B408" s="37" t="s">
        <v>21</v>
      </c>
      <c r="C408" s="38" t="s">
        <v>21</v>
      </c>
      <c r="D408" s="38">
        <v>45447</v>
      </c>
      <c r="E4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8" s="39">
        <f>IFERROR(VLOOKUP(RES_AB[[#This Row],[Reserva]],Tabela8[[Reserva]:[Usuário]],7,FALSE),Dados!$A$17)</f>
        <v>0.33333333333333331</v>
      </c>
      <c r="G408" s="40">
        <f>IF(RES_AB[[#This Row],[Reserva]]="","",IF(RES_AB[[#This Row],[Hora Int WMS]]&lt;Dados!$A$16,2,2))</f>
        <v>2</v>
      </c>
      <c r="H408" s="40" t="str">
        <f>IF(RES_AB[[#This Row],[Reserva]]="","",IFERROR(VLOOKUP(RES_AB[[#This Row],[Reserva]],Tabela3[[Reserva]:[Condição para Faturamento]],20,FALSE),"IMPORTADO COM SUCESSO"))</f>
        <v>IMPORTADO</v>
      </c>
      <c r="I408" s="38">
        <f>IF(RES_AB[[#This Row],[Data base]]="","",WORKDAY(RES_AB[[#This Row],[Data Reserva - Feriado e Fds]],RES_AB[[#This Row],[Dias para atendimento]],Feriados[Data]))</f>
        <v>45449</v>
      </c>
      <c r="J408" s="40" t="str">
        <f ca="1">IF(RES_AB[[#This Row],[Reserva]]="","",CONCATENATE("D+",NETWORKDAYS(RES_AB[[#This Row],[Data Reserva - Feriado e Fds]],TODAY(),Feriados[Data])-1))</f>
        <v>D+3</v>
      </c>
      <c r="K408" s="40" t="str">
        <f ca="1">IF(RES_AB[[#This Row],[Reserva]]="","",CONCATENATE(RES_AB[[#This Row],[Cen.]]," | ",RES_AB[[#This Row],[SLA2]]))</f>
        <v>N190 | D+3</v>
      </c>
      <c r="L408" s="40">
        <f ca="1">IF(RES_AB[[#This Row],[Reserva]]="","",IF(RES_AB[[#This Row],[SLA2]]=RES_AB[[#This Row],[Reserva]]="","",COUNTIF(MB25_VOLUMETRIA[Reserva],RES_AB[[#This Row],[Reserva]])))</f>
        <v>3</v>
      </c>
      <c r="M4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8" s="37" t="str">
        <f>IF(RES_AB[[#This Row],[Cen.]]="","",IFERROR(VLOOKUP(RES_AB[[#This Row],[Cen.]],Dados_Empresas[],2,FALSE),"Verificar empresa"))</f>
        <v>NET MASSIVO</v>
      </c>
      <c r="P408" s="37" t="str">
        <f>IF(RES_AB[[#This Row],[Empresa]]="","",IF(OR(RES_AB[[#This Row],[Empresa]]="NET MASSIVO",RES_AB[[#This Row],[Empresa]]="NET PROJETOS"),"NET","EMPRESARIAL"))</f>
        <v>NET</v>
      </c>
      <c r="Q408" s="37" t="str">
        <f>IF(RES_AB[[#This Row],[Reserva]]="","",IFERROR(VLOOKUP(RES_AB[[#This Row],[Reserva]],Tabela3[[Reserva]:[Descrição do status]],18,FALSE),"CONVENCIONAL"))</f>
        <v>CONVENCIONAL</v>
      </c>
    </row>
    <row r="409" spans="1:17" x14ac:dyDescent="0.25">
      <c r="A409" s="37">
        <v>4381177</v>
      </c>
      <c r="B409" s="37" t="s">
        <v>21</v>
      </c>
      <c r="C409" s="38" t="s">
        <v>19</v>
      </c>
      <c r="D409" s="38">
        <v>45447</v>
      </c>
      <c r="E4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09" s="39">
        <f>IFERROR(VLOOKUP(RES_AB[[#This Row],[Reserva]],Tabela8[[Reserva]:[Usuário]],7,FALSE),Dados!$A$17)</f>
        <v>0.83796296296296291</v>
      </c>
      <c r="G409" s="40">
        <f>IF(RES_AB[[#This Row],[Reserva]]="","",IF(RES_AB[[#This Row],[Hora Int WMS]]&lt;Dados!$A$16,2,2))</f>
        <v>2</v>
      </c>
      <c r="H409" s="40" t="str">
        <f>IF(RES_AB[[#This Row],[Reserva]]="","",IFERROR(VLOOKUP(RES_AB[[#This Row],[Reserva]],Tabela3[[Reserva]:[Condição para Faturamento]],20,FALSE),"IMPORTADO COM SUCESSO"))</f>
        <v>IMPORTADO</v>
      </c>
      <c r="I409" s="38">
        <f>IF(RES_AB[[#This Row],[Data base]]="","",WORKDAY(RES_AB[[#This Row],[Data Reserva - Feriado e Fds]],RES_AB[[#This Row],[Dias para atendimento]],Feriados[Data]))</f>
        <v>45449</v>
      </c>
      <c r="J409" s="40" t="str">
        <f ca="1">IF(RES_AB[[#This Row],[Reserva]]="","",CONCATENATE("D+",NETWORKDAYS(RES_AB[[#This Row],[Data Reserva - Feriado e Fds]],TODAY(),Feriados[Data])-1))</f>
        <v>D+3</v>
      </c>
      <c r="K409" s="40" t="str">
        <f ca="1">IF(RES_AB[[#This Row],[Reserva]]="","",CONCATENATE(RES_AB[[#This Row],[Cen.]]," | ",RES_AB[[#This Row],[SLA2]]))</f>
        <v>N190 | D+3</v>
      </c>
      <c r="L409" s="40">
        <f ca="1">IF(RES_AB[[#This Row],[Reserva]]="","",IF(RES_AB[[#This Row],[SLA2]]=RES_AB[[#This Row],[Reserva]]="","",COUNTIF(MB25_VOLUMETRIA[Reserva],RES_AB[[#This Row],[Reserva]])))</f>
        <v>2</v>
      </c>
      <c r="M4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09" s="37" t="str">
        <f>IF(RES_AB[[#This Row],[Cen.]]="","",IFERROR(VLOOKUP(RES_AB[[#This Row],[Cen.]],Dados_Empresas[],2,FALSE),"Verificar empresa"))</f>
        <v>NET MASSIVO</v>
      </c>
      <c r="P409" s="37" t="str">
        <f>IF(RES_AB[[#This Row],[Empresa]]="","",IF(OR(RES_AB[[#This Row],[Empresa]]="NET MASSIVO",RES_AB[[#This Row],[Empresa]]="NET PROJETOS"),"NET","EMPRESARIAL"))</f>
        <v>NET</v>
      </c>
      <c r="Q409" s="37" t="str">
        <f>IF(RES_AB[[#This Row],[Reserva]]="","",IFERROR(VLOOKUP(RES_AB[[#This Row],[Reserva]],Tabela3[[Reserva]:[Descrição do status]],18,FALSE),"CONVENCIONAL"))</f>
        <v>CONVENCIONAL</v>
      </c>
    </row>
    <row r="410" spans="1:17" x14ac:dyDescent="0.25">
      <c r="A410" s="37">
        <v>4381178</v>
      </c>
      <c r="B410" s="37" t="s">
        <v>21</v>
      </c>
      <c r="C410" s="38" t="s">
        <v>19</v>
      </c>
      <c r="D410" s="38">
        <v>45447</v>
      </c>
      <c r="E4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0" s="39">
        <f>IFERROR(VLOOKUP(RES_AB[[#This Row],[Reserva]],Tabela8[[Reserva]:[Usuário]],7,FALSE),Dados!$A$17)</f>
        <v>0.33333333333333331</v>
      </c>
      <c r="G410" s="40">
        <f>IF(RES_AB[[#This Row],[Reserva]]="","",IF(RES_AB[[#This Row],[Hora Int WMS]]&lt;Dados!$A$16,2,2))</f>
        <v>2</v>
      </c>
      <c r="H410" s="40" t="str">
        <f>IF(RES_AB[[#This Row],[Reserva]]="","",IFERROR(VLOOKUP(RES_AB[[#This Row],[Reserva]],Tabela3[[Reserva]:[Condição para Faturamento]],20,FALSE),"IMPORTADO COM SUCESSO"))</f>
        <v>EM RESSUPRIMENTO</v>
      </c>
      <c r="I410" s="38">
        <f>IF(RES_AB[[#This Row],[Data base]]="","",WORKDAY(RES_AB[[#This Row],[Data Reserva - Feriado e Fds]],RES_AB[[#This Row],[Dias para atendimento]],Feriados[Data]))</f>
        <v>45449</v>
      </c>
      <c r="J410" s="40" t="str">
        <f ca="1">IF(RES_AB[[#This Row],[Reserva]]="","",CONCATENATE("D+",NETWORKDAYS(RES_AB[[#This Row],[Data Reserva - Feriado e Fds]],TODAY(),Feriados[Data])-1))</f>
        <v>D+3</v>
      </c>
      <c r="K410" s="40" t="str">
        <f ca="1">IF(RES_AB[[#This Row],[Reserva]]="","",CONCATENATE(RES_AB[[#This Row],[Cen.]]," | ",RES_AB[[#This Row],[SLA2]]))</f>
        <v>N190 | D+3</v>
      </c>
      <c r="L410" s="40">
        <f ca="1">IF(RES_AB[[#This Row],[Reserva]]="","",IF(RES_AB[[#This Row],[SLA2]]=RES_AB[[#This Row],[Reserva]]="","",COUNTIF(MB25_VOLUMETRIA[Reserva],RES_AB[[#This Row],[Reserva]])))</f>
        <v>19</v>
      </c>
      <c r="M4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0" s="37" t="str">
        <f>IF(RES_AB[[#This Row],[Cen.]]="","",IFERROR(VLOOKUP(RES_AB[[#This Row],[Cen.]],Dados_Empresas[],2,FALSE),"Verificar empresa"))</f>
        <v>NET MASSIVO</v>
      </c>
      <c r="P410" s="37" t="str">
        <f>IF(RES_AB[[#This Row],[Empresa]]="","",IF(OR(RES_AB[[#This Row],[Empresa]]="NET MASSIVO",RES_AB[[#This Row],[Empresa]]="NET PROJETOS"),"NET","EMPRESARIAL"))</f>
        <v>NET</v>
      </c>
      <c r="Q410" s="37" t="str">
        <f>IF(RES_AB[[#This Row],[Reserva]]="","",IFERROR(VLOOKUP(RES_AB[[#This Row],[Reserva]],Tabela3[[Reserva]:[Descrição do status]],18,FALSE),"CONVENCIONAL"))</f>
        <v>CONVENCIONAL</v>
      </c>
    </row>
    <row r="411" spans="1:17" x14ac:dyDescent="0.25">
      <c r="A411" s="37">
        <v>4381179</v>
      </c>
      <c r="B411" s="37" t="s">
        <v>21</v>
      </c>
      <c r="C411" s="38" t="s">
        <v>19</v>
      </c>
      <c r="D411" s="38">
        <v>45447</v>
      </c>
      <c r="E4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1" s="39">
        <f>IFERROR(VLOOKUP(RES_AB[[#This Row],[Reserva]],Tabela8[[Reserva]:[Usuário]],7,FALSE),Dados!$A$17)</f>
        <v>0.83819444444444446</v>
      </c>
      <c r="G411" s="40">
        <f>IF(RES_AB[[#This Row],[Reserva]]="","",IF(RES_AB[[#This Row],[Hora Int WMS]]&lt;Dados!$A$16,2,2))</f>
        <v>2</v>
      </c>
      <c r="H411" s="40" t="str">
        <f>IF(RES_AB[[#This Row],[Reserva]]="","",IFERROR(VLOOKUP(RES_AB[[#This Row],[Reserva]],Tabela3[[Reserva]:[Condição para Faturamento]],20,FALSE),"IMPORTADO COM SUCESSO"))</f>
        <v>IMPORTADO</v>
      </c>
      <c r="I411" s="38">
        <f>IF(RES_AB[[#This Row],[Data base]]="","",WORKDAY(RES_AB[[#This Row],[Data Reserva - Feriado e Fds]],RES_AB[[#This Row],[Dias para atendimento]],Feriados[Data]))</f>
        <v>45449</v>
      </c>
      <c r="J411" s="40" t="str">
        <f ca="1">IF(RES_AB[[#This Row],[Reserva]]="","",CONCATENATE("D+",NETWORKDAYS(RES_AB[[#This Row],[Data Reserva - Feriado e Fds]],TODAY(),Feriados[Data])-1))</f>
        <v>D+3</v>
      </c>
      <c r="K411" s="40" t="str">
        <f ca="1">IF(RES_AB[[#This Row],[Reserva]]="","",CONCATENATE(RES_AB[[#This Row],[Cen.]]," | ",RES_AB[[#This Row],[SLA2]]))</f>
        <v>N190 | D+3</v>
      </c>
      <c r="L411" s="40">
        <f ca="1">IF(RES_AB[[#This Row],[Reserva]]="","",IF(RES_AB[[#This Row],[SLA2]]=RES_AB[[#This Row],[Reserva]]="","",COUNTIF(MB25_VOLUMETRIA[Reserva],RES_AB[[#This Row],[Reserva]])))</f>
        <v>4</v>
      </c>
      <c r="M4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1" s="37" t="str">
        <f>IF(RES_AB[[#This Row],[Cen.]]="","",IFERROR(VLOOKUP(RES_AB[[#This Row],[Cen.]],Dados_Empresas[],2,FALSE),"Verificar empresa"))</f>
        <v>NET MASSIVO</v>
      </c>
      <c r="P411" s="37" t="str">
        <f>IF(RES_AB[[#This Row],[Empresa]]="","",IF(OR(RES_AB[[#This Row],[Empresa]]="NET MASSIVO",RES_AB[[#This Row],[Empresa]]="NET PROJETOS"),"NET","EMPRESARIAL"))</f>
        <v>NET</v>
      </c>
      <c r="Q411" s="37" t="str">
        <f>IF(RES_AB[[#This Row],[Reserva]]="","",IFERROR(VLOOKUP(RES_AB[[#This Row],[Reserva]],Tabela3[[Reserva]:[Descrição do status]],18,FALSE),"CONVENCIONAL"))</f>
        <v>CONVENCIONAL</v>
      </c>
    </row>
    <row r="412" spans="1:17" x14ac:dyDescent="0.25">
      <c r="A412" s="37">
        <v>4381180</v>
      </c>
      <c r="B412" s="37" t="s">
        <v>21</v>
      </c>
      <c r="C412" s="38" t="s">
        <v>19</v>
      </c>
      <c r="D412" s="38">
        <v>45447</v>
      </c>
      <c r="E4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2" s="39">
        <f>IFERROR(VLOOKUP(RES_AB[[#This Row],[Reserva]],Tabela8[[Reserva]:[Usuário]],7,FALSE),Dados!$A$17)</f>
        <v>0.83831018518518519</v>
      </c>
      <c r="G412" s="40">
        <f>IF(RES_AB[[#This Row],[Reserva]]="","",IF(RES_AB[[#This Row],[Hora Int WMS]]&lt;Dados!$A$16,2,2))</f>
        <v>2</v>
      </c>
      <c r="H412" s="40" t="str">
        <f>IF(RES_AB[[#This Row],[Reserva]]="","",IFERROR(VLOOKUP(RES_AB[[#This Row],[Reserva]],Tabela3[[Reserva]:[Condição para Faturamento]],20,FALSE),"IMPORTADO COM SUCESSO"))</f>
        <v>EM RESSUPRIMENTO</v>
      </c>
      <c r="I412" s="38">
        <f>IF(RES_AB[[#This Row],[Data base]]="","",WORKDAY(RES_AB[[#This Row],[Data Reserva - Feriado e Fds]],RES_AB[[#This Row],[Dias para atendimento]],Feriados[Data]))</f>
        <v>45449</v>
      </c>
      <c r="J412" s="40" t="str">
        <f ca="1">IF(RES_AB[[#This Row],[Reserva]]="","",CONCATENATE("D+",NETWORKDAYS(RES_AB[[#This Row],[Data Reserva - Feriado e Fds]],TODAY(),Feriados[Data])-1))</f>
        <v>D+3</v>
      </c>
      <c r="K412" s="40" t="str">
        <f ca="1">IF(RES_AB[[#This Row],[Reserva]]="","",CONCATENATE(RES_AB[[#This Row],[Cen.]]," | ",RES_AB[[#This Row],[SLA2]]))</f>
        <v>N190 | D+3</v>
      </c>
      <c r="L412" s="40">
        <f ca="1">IF(RES_AB[[#This Row],[Reserva]]="","",IF(RES_AB[[#This Row],[SLA2]]=RES_AB[[#This Row],[Reserva]]="","",COUNTIF(MB25_VOLUMETRIA[Reserva],RES_AB[[#This Row],[Reserva]])))</f>
        <v>3</v>
      </c>
      <c r="M4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2" s="37" t="str">
        <f>IF(RES_AB[[#This Row],[Cen.]]="","",IFERROR(VLOOKUP(RES_AB[[#This Row],[Cen.]],Dados_Empresas[],2,FALSE),"Verificar empresa"))</f>
        <v>NET MASSIVO</v>
      </c>
      <c r="P412" s="37" t="str">
        <f>IF(RES_AB[[#This Row],[Empresa]]="","",IF(OR(RES_AB[[#This Row],[Empresa]]="NET MASSIVO",RES_AB[[#This Row],[Empresa]]="NET PROJETOS"),"NET","EMPRESARIAL"))</f>
        <v>NET</v>
      </c>
      <c r="Q412" s="37" t="str">
        <f>IF(RES_AB[[#This Row],[Reserva]]="","",IFERROR(VLOOKUP(RES_AB[[#This Row],[Reserva]],Tabela3[[Reserva]:[Descrição do status]],18,FALSE),"CONVENCIONAL"))</f>
        <v>CONVENCIONAL</v>
      </c>
    </row>
    <row r="413" spans="1:17" x14ac:dyDescent="0.25">
      <c r="A413" s="37">
        <v>4381181</v>
      </c>
      <c r="B413" s="37" t="s">
        <v>21</v>
      </c>
      <c r="C413" s="38" t="s">
        <v>19</v>
      </c>
      <c r="D413" s="38">
        <v>45447</v>
      </c>
      <c r="E4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3" s="39">
        <f>IFERROR(VLOOKUP(RES_AB[[#This Row],[Reserva]],Tabela8[[Reserva]:[Usuário]],7,FALSE),Dados!$A$17)</f>
        <v>0.33333333333333331</v>
      </c>
      <c r="G413" s="40">
        <f>IF(RES_AB[[#This Row],[Reserva]]="","",IF(RES_AB[[#This Row],[Hora Int WMS]]&lt;Dados!$A$16,2,2))</f>
        <v>2</v>
      </c>
      <c r="H413" s="40" t="str">
        <f>IF(RES_AB[[#This Row],[Reserva]]="","",IFERROR(VLOOKUP(RES_AB[[#This Row],[Reserva]],Tabela3[[Reserva]:[Condição para Faturamento]],20,FALSE),"IMPORTADO COM SUCESSO"))</f>
        <v>EM RESSUPRIMENTO</v>
      </c>
      <c r="I413" s="38">
        <f>IF(RES_AB[[#This Row],[Data base]]="","",WORKDAY(RES_AB[[#This Row],[Data Reserva - Feriado e Fds]],RES_AB[[#This Row],[Dias para atendimento]],Feriados[Data]))</f>
        <v>45449</v>
      </c>
      <c r="J413" s="40" t="str">
        <f ca="1">IF(RES_AB[[#This Row],[Reserva]]="","",CONCATENATE("D+",NETWORKDAYS(RES_AB[[#This Row],[Data Reserva - Feriado e Fds]],TODAY(),Feriados[Data])-1))</f>
        <v>D+3</v>
      </c>
      <c r="K413" s="40" t="str">
        <f ca="1">IF(RES_AB[[#This Row],[Reserva]]="","",CONCATENATE(RES_AB[[#This Row],[Cen.]]," | ",RES_AB[[#This Row],[SLA2]]))</f>
        <v>N190 | D+3</v>
      </c>
      <c r="L413" s="40">
        <f ca="1">IF(RES_AB[[#This Row],[Reserva]]="","",IF(RES_AB[[#This Row],[SLA2]]=RES_AB[[#This Row],[Reserva]]="","",COUNTIF(MB25_VOLUMETRIA[Reserva],RES_AB[[#This Row],[Reserva]])))</f>
        <v>2</v>
      </c>
      <c r="M4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3" s="37" t="str">
        <f>IF(RES_AB[[#This Row],[Cen.]]="","",IFERROR(VLOOKUP(RES_AB[[#This Row],[Cen.]],Dados_Empresas[],2,FALSE),"Verificar empresa"))</f>
        <v>NET MASSIVO</v>
      </c>
      <c r="P413" s="37" t="str">
        <f>IF(RES_AB[[#This Row],[Empresa]]="","",IF(OR(RES_AB[[#This Row],[Empresa]]="NET MASSIVO",RES_AB[[#This Row],[Empresa]]="NET PROJETOS"),"NET","EMPRESARIAL"))</f>
        <v>NET</v>
      </c>
      <c r="Q413" s="37" t="str">
        <f>IF(RES_AB[[#This Row],[Reserva]]="","",IFERROR(VLOOKUP(RES_AB[[#This Row],[Reserva]],Tabela3[[Reserva]:[Descrição do status]],18,FALSE),"CONVENCIONAL"))</f>
        <v>CONVENCIONAL</v>
      </c>
    </row>
    <row r="414" spans="1:17" x14ac:dyDescent="0.25">
      <c r="A414" s="37">
        <v>4381182</v>
      </c>
      <c r="B414" s="37" t="s">
        <v>21</v>
      </c>
      <c r="C414" s="38" t="s">
        <v>21</v>
      </c>
      <c r="D414" s="38">
        <v>45447</v>
      </c>
      <c r="E4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4" s="39">
        <f>IFERROR(VLOOKUP(RES_AB[[#This Row],[Reserva]],Tabela8[[Reserva]:[Usuário]],7,FALSE),Dados!$A$17)</f>
        <v>0.83842592592592591</v>
      </c>
      <c r="G414" s="40">
        <f>IF(RES_AB[[#This Row],[Reserva]]="","",IF(RES_AB[[#This Row],[Hora Int WMS]]&lt;Dados!$A$16,2,2))</f>
        <v>2</v>
      </c>
      <c r="H414" s="40" t="str">
        <f>IF(RES_AB[[#This Row],[Reserva]]="","",IFERROR(VLOOKUP(RES_AB[[#This Row],[Reserva]],Tabela3[[Reserva]:[Condição para Faturamento]],20,FALSE),"IMPORTADO COM SUCESSO"))</f>
        <v>IMPORTADO</v>
      </c>
      <c r="I414" s="38">
        <f>IF(RES_AB[[#This Row],[Data base]]="","",WORKDAY(RES_AB[[#This Row],[Data Reserva - Feriado e Fds]],RES_AB[[#This Row],[Dias para atendimento]],Feriados[Data]))</f>
        <v>45449</v>
      </c>
      <c r="J414" s="40" t="str">
        <f ca="1">IF(RES_AB[[#This Row],[Reserva]]="","",CONCATENATE("D+",NETWORKDAYS(RES_AB[[#This Row],[Data Reserva - Feriado e Fds]],TODAY(),Feriados[Data])-1))</f>
        <v>D+3</v>
      </c>
      <c r="K414" s="40" t="str">
        <f ca="1">IF(RES_AB[[#This Row],[Reserva]]="","",CONCATENATE(RES_AB[[#This Row],[Cen.]]," | ",RES_AB[[#This Row],[SLA2]]))</f>
        <v>N190 | D+3</v>
      </c>
      <c r="L414" s="40">
        <f ca="1">IF(RES_AB[[#This Row],[Reserva]]="","",IF(RES_AB[[#This Row],[SLA2]]=RES_AB[[#This Row],[Reserva]]="","",COUNTIF(MB25_VOLUMETRIA[Reserva],RES_AB[[#This Row],[Reserva]])))</f>
        <v>1</v>
      </c>
      <c r="M4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4" s="37" t="str">
        <f>IF(RES_AB[[#This Row],[Cen.]]="","",IFERROR(VLOOKUP(RES_AB[[#This Row],[Cen.]],Dados_Empresas[],2,FALSE),"Verificar empresa"))</f>
        <v>NET MASSIVO</v>
      </c>
      <c r="P414" s="37" t="str">
        <f>IF(RES_AB[[#This Row],[Empresa]]="","",IF(OR(RES_AB[[#This Row],[Empresa]]="NET MASSIVO",RES_AB[[#This Row],[Empresa]]="NET PROJETOS"),"NET","EMPRESARIAL"))</f>
        <v>NET</v>
      </c>
      <c r="Q414" s="37" t="str">
        <f>IF(RES_AB[[#This Row],[Reserva]]="","",IFERROR(VLOOKUP(RES_AB[[#This Row],[Reserva]],Tabela3[[Reserva]:[Descrição do status]],18,FALSE),"CONVENCIONAL"))</f>
        <v>CONVENCIONAL</v>
      </c>
    </row>
    <row r="415" spans="1:17" x14ac:dyDescent="0.25">
      <c r="A415" s="37">
        <v>4381183</v>
      </c>
      <c r="B415" s="37" t="s">
        <v>21</v>
      </c>
      <c r="C415" s="38" t="s">
        <v>19</v>
      </c>
      <c r="D415" s="38">
        <v>45447</v>
      </c>
      <c r="E4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45447</v>
      </c>
      <c r="F415" s="39">
        <f>IFERROR(VLOOKUP(RES_AB[[#This Row],[Reserva]],Tabela8[[Reserva]:[Usuário]],7,FALSE),Dados!$A$17)</f>
        <v>0.33333333333333331</v>
      </c>
      <c r="G415" s="40">
        <f>IF(RES_AB[[#This Row],[Reserva]]="","",IF(RES_AB[[#This Row],[Hora Int WMS]]&lt;Dados!$A$16,2,2))</f>
        <v>2</v>
      </c>
      <c r="H415" s="40" t="str">
        <f>IF(RES_AB[[#This Row],[Reserva]]="","",IFERROR(VLOOKUP(RES_AB[[#This Row],[Reserva]],Tabela3[[Reserva]:[Condição para Faturamento]],20,FALSE),"IMPORTADO COM SUCESSO"))</f>
        <v>IMPORTADO</v>
      </c>
      <c r="I415" s="38">
        <f>IF(RES_AB[[#This Row],[Data base]]="","",WORKDAY(RES_AB[[#This Row],[Data Reserva - Feriado e Fds]],RES_AB[[#This Row],[Dias para atendimento]],Feriados[Data]))</f>
        <v>45449</v>
      </c>
      <c r="J415" s="40" t="str">
        <f ca="1">IF(RES_AB[[#This Row],[Reserva]]="","",CONCATENATE("D+",NETWORKDAYS(RES_AB[[#This Row],[Data Reserva - Feriado e Fds]],TODAY(),Feriados[Data])-1))</f>
        <v>D+3</v>
      </c>
      <c r="K415" s="40" t="str">
        <f ca="1">IF(RES_AB[[#This Row],[Reserva]]="","",CONCATENATE(RES_AB[[#This Row],[Cen.]]," | ",RES_AB[[#This Row],[SLA2]]))</f>
        <v>N190 | D+3</v>
      </c>
      <c r="L415" s="40">
        <f ca="1">IF(RES_AB[[#This Row],[Reserva]]="","",IF(RES_AB[[#This Row],[SLA2]]=RES_AB[[#This Row],[Reserva]]="","",COUNTIF(MB25_VOLUMETRIA[Reserva],RES_AB[[#This Row],[Reserva]])))</f>
        <v>2</v>
      </c>
      <c r="M4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EM ATRASO</v>
      </c>
      <c r="O415" s="37" t="str">
        <f>IF(RES_AB[[#This Row],[Cen.]]="","",IFERROR(VLOOKUP(RES_AB[[#This Row],[Cen.]],Dados_Empresas[],2,FALSE),"Verificar empresa"))</f>
        <v>NET MASSIVO</v>
      </c>
      <c r="P415" s="37" t="str">
        <f>IF(RES_AB[[#This Row],[Empresa]]="","",IF(OR(RES_AB[[#This Row],[Empresa]]="NET MASSIVO",RES_AB[[#This Row],[Empresa]]="NET PROJETOS"),"NET","EMPRESARIAL"))</f>
        <v>NET</v>
      </c>
      <c r="Q415" s="37" t="str">
        <f>IF(RES_AB[[#This Row],[Reserva]]="","",IFERROR(VLOOKUP(RES_AB[[#This Row],[Reserva]],Tabela3[[Reserva]:[Descrição do status]],18,FALSE),"CONVENCIONAL"))</f>
        <v>CONVENCIONAL</v>
      </c>
    </row>
    <row r="416" spans="1:17" x14ac:dyDescent="0.25">
      <c r="A416" s="37">
        <v>4381005</v>
      </c>
      <c r="B416" s="37" t="s">
        <v>21</v>
      </c>
      <c r="C416" s="38" t="s">
        <v>21</v>
      </c>
      <c r="D416" s="38">
        <v>45448</v>
      </c>
      <c r="E4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6" s="39">
        <f>IFERROR(VLOOKUP(RES_AB[[#This Row],[Reserva]],Tabela8[[Reserva]:[Usuário]],7,FALSE),Dados!$A$17)</f>
        <v>0.41134259259259259</v>
      </c>
      <c r="G416" s="40">
        <f>IF(RES_AB[[#This Row],[Reserva]]="","",IF(RES_AB[[#This Row],[Hora Int WMS]]&lt;Dados!$A$16,2,2))</f>
        <v>2</v>
      </c>
      <c r="H416" s="40" t="str">
        <f>IF(RES_AB[[#This Row],[Reserva]]="","",IFERROR(VLOOKUP(RES_AB[[#This Row],[Reserva]],Tabela3[[Reserva]:[Condição para Faturamento]],20,FALSE),"IMPORTADO COM SUCESSO"))</f>
        <v>IMPORTADO COM SUCESSO</v>
      </c>
      <c r="I416" s="38">
        <f>IF(RES_AB[[#This Row],[Data base]]="","",WORKDAY(RES_AB[[#This Row],[Data Reserva - Feriado e Fds]],RES_AB[[#This Row],[Dias para atendimento]],Feriados[Data]))</f>
        <v>45450</v>
      </c>
      <c r="J416" s="40" t="str">
        <f ca="1">IF(RES_AB[[#This Row],[Reserva]]="","",CONCATENATE("D+",NETWORKDAYS(RES_AB[[#This Row],[Data Reserva - Feriado e Fds]],TODAY(),Feriados[Data])-1))</f>
        <v>D+2</v>
      </c>
      <c r="K416" s="40" t="str">
        <f ca="1">IF(RES_AB[[#This Row],[Reserva]]="","",CONCATENATE(RES_AB[[#This Row],[Cen.]]," | ",RES_AB[[#This Row],[SLA2]]))</f>
        <v>N190 | D+2</v>
      </c>
      <c r="L416" s="40">
        <f ca="1">IF(RES_AB[[#This Row],[Reserva]]="","",IF(RES_AB[[#This Row],[SLA2]]=RES_AB[[#This Row],[Reserva]]="","",COUNTIF(MB25_VOLUMETRIA[Reserva],RES_AB[[#This Row],[Reserva]])))</f>
        <v>1</v>
      </c>
      <c r="M4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6" s="37" t="str">
        <f>IF(RES_AB[[#This Row],[Cen.]]="","",IFERROR(VLOOKUP(RES_AB[[#This Row],[Cen.]],Dados_Empresas[],2,FALSE),"Verificar empresa"))</f>
        <v>NET MASSIVO</v>
      </c>
      <c r="P416" s="37" t="str">
        <f>IF(RES_AB[[#This Row],[Empresa]]="","",IF(OR(RES_AB[[#This Row],[Empresa]]="NET MASSIVO",RES_AB[[#This Row],[Empresa]]="NET PROJETOS"),"NET","EMPRESARIAL"))</f>
        <v>NET</v>
      </c>
      <c r="Q416" s="37" t="str">
        <f>IF(RES_AB[[#This Row],[Reserva]]="","",IFERROR(VLOOKUP(RES_AB[[#This Row],[Reserva]],Tabela3[[Reserva]:[Descrição do status]],18,FALSE),"CONVENCIONAL"))</f>
        <v>CONVENCIONAL</v>
      </c>
    </row>
    <row r="417" spans="1:17" x14ac:dyDescent="0.25">
      <c r="A417" s="37">
        <v>4381012</v>
      </c>
      <c r="B417" s="37" t="s">
        <v>21</v>
      </c>
      <c r="C417" s="38" t="s">
        <v>21</v>
      </c>
      <c r="D417" s="38">
        <v>45448</v>
      </c>
      <c r="E4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7" s="39">
        <f>IFERROR(VLOOKUP(RES_AB[[#This Row],[Reserva]],Tabela8[[Reserva]:[Usuário]],7,FALSE),Dados!$A$17)</f>
        <v>0.43217592592592591</v>
      </c>
      <c r="G417" s="40">
        <f>IF(RES_AB[[#This Row],[Reserva]]="","",IF(RES_AB[[#This Row],[Hora Int WMS]]&lt;Dados!$A$16,2,2))</f>
        <v>2</v>
      </c>
      <c r="H417" s="40" t="str">
        <f>IF(RES_AB[[#This Row],[Reserva]]="","",IFERROR(VLOOKUP(RES_AB[[#This Row],[Reserva]],Tabela3[[Reserva]:[Condição para Faturamento]],20,FALSE),"IMPORTADO COM SUCESSO"))</f>
        <v>IMPORTADO COM SUCESSO</v>
      </c>
      <c r="I417" s="38">
        <f>IF(RES_AB[[#This Row],[Data base]]="","",WORKDAY(RES_AB[[#This Row],[Data Reserva - Feriado e Fds]],RES_AB[[#This Row],[Dias para atendimento]],Feriados[Data]))</f>
        <v>45450</v>
      </c>
      <c r="J417" s="40" t="str">
        <f ca="1">IF(RES_AB[[#This Row],[Reserva]]="","",CONCATENATE("D+",NETWORKDAYS(RES_AB[[#This Row],[Data Reserva - Feriado e Fds]],TODAY(),Feriados[Data])-1))</f>
        <v>D+2</v>
      </c>
      <c r="K417" s="40" t="str">
        <f ca="1">IF(RES_AB[[#This Row],[Reserva]]="","",CONCATENATE(RES_AB[[#This Row],[Cen.]]," | ",RES_AB[[#This Row],[SLA2]]))</f>
        <v>N190 | D+2</v>
      </c>
      <c r="L417" s="40">
        <f ca="1">IF(RES_AB[[#This Row],[Reserva]]="","",IF(RES_AB[[#This Row],[SLA2]]=RES_AB[[#This Row],[Reserva]]="","",COUNTIF(MB25_VOLUMETRIA[Reserva],RES_AB[[#This Row],[Reserva]])))</f>
        <v>3</v>
      </c>
      <c r="M4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7" s="37" t="str">
        <f>IF(RES_AB[[#This Row],[Cen.]]="","",IFERROR(VLOOKUP(RES_AB[[#This Row],[Cen.]],Dados_Empresas[],2,FALSE),"Verificar empresa"))</f>
        <v>NET MASSIVO</v>
      </c>
      <c r="P417" s="37" t="str">
        <f>IF(RES_AB[[#This Row],[Empresa]]="","",IF(OR(RES_AB[[#This Row],[Empresa]]="NET MASSIVO",RES_AB[[#This Row],[Empresa]]="NET PROJETOS"),"NET","EMPRESARIAL"))</f>
        <v>NET</v>
      </c>
      <c r="Q417" s="37" t="str">
        <f>IF(RES_AB[[#This Row],[Reserva]]="","",IFERROR(VLOOKUP(RES_AB[[#This Row],[Reserva]],Tabela3[[Reserva]:[Descrição do status]],18,FALSE),"CONVENCIONAL"))</f>
        <v>CONVENCIONAL</v>
      </c>
    </row>
    <row r="418" spans="1:17" x14ac:dyDescent="0.25">
      <c r="A418" s="37">
        <v>4381015</v>
      </c>
      <c r="B418" s="37" t="s">
        <v>21</v>
      </c>
      <c r="C418" s="38" t="s">
        <v>21</v>
      </c>
      <c r="D418" s="38">
        <v>45448</v>
      </c>
      <c r="E4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8" s="39">
        <f>IFERROR(VLOOKUP(RES_AB[[#This Row],[Reserva]],Tabela8[[Reserva]:[Usuário]],7,FALSE),Dados!$A$17)</f>
        <v>0.4460648148148148</v>
      </c>
      <c r="G418" s="40">
        <f>IF(RES_AB[[#This Row],[Reserva]]="","",IF(RES_AB[[#This Row],[Hora Int WMS]]&lt;Dados!$A$16,2,2))</f>
        <v>2</v>
      </c>
      <c r="H418" s="40" t="str">
        <f>IF(RES_AB[[#This Row],[Reserva]]="","",IFERROR(VLOOKUP(RES_AB[[#This Row],[Reserva]],Tabela3[[Reserva]:[Condição para Faturamento]],20,FALSE),"IMPORTADO COM SUCESSO"))</f>
        <v>IMPORTADO COM SUCESSO</v>
      </c>
      <c r="I418" s="38">
        <f>IF(RES_AB[[#This Row],[Data base]]="","",WORKDAY(RES_AB[[#This Row],[Data Reserva - Feriado e Fds]],RES_AB[[#This Row],[Dias para atendimento]],Feriados[Data]))</f>
        <v>45450</v>
      </c>
      <c r="J418" s="40" t="str">
        <f ca="1">IF(RES_AB[[#This Row],[Reserva]]="","",CONCATENATE("D+",NETWORKDAYS(RES_AB[[#This Row],[Data Reserva - Feriado e Fds]],TODAY(),Feriados[Data])-1))</f>
        <v>D+2</v>
      </c>
      <c r="K418" s="40" t="str">
        <f ca="1">IF(RES_AB[[#This Row],[Reserva]]="","",CONCATENATE(RES_AB[[#This Row],[Cen.]]," | ",RES_AB[[#This Row],[SLA2]]))</f>
        <v>N190 | D+2</v>
      </c>
      <c r="L418" s="40">
        <f ca="1">IF(RES_AB[[#This Row],[Reserva]]="","",IF(RES_AB[[#This Row],[SLA2]]=RES_AB[[#This Row],[Reserva]]="","",COUNTIF(MB25_VOLUMETRIA[Reserva],RES_AB[[#This Row],[Reserva]])))</f>
        <v>2</v>
      </c>
      <c r="M4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8" s="37" t="str">
        <f>IF(RES_AB[[#This Row],[Cen.]]="","",IFERROR(VLOOKUP(RES_AB[[#This Row],[Cen.]],Dados_Empresas[],2,FALSE),"Verificar empresa"))</f>
        <v>NET MASSIVO</v>
      </c>
      <c r="P418" s="37" t="str">
        <f>IF(RES_AB[[#This Row],[Empresa]]="","",IF(OR(RES_AB[[#This Row],[Empresa]]="NET MASSIVO",RES_AB[[#This Row],[Empresa]]="NET PROJETOS"),"NET","EMPRESARIAL"))</f>
        <v>NET</v>
      </c>
      <c r="Q418" s="37" t="str">
        <f>IF(RES_AB[[#This Row],[Reserva]]="","",IFERROR(VLOOKUP(RES_AB[[#This Row],[Reserva]],Tabela3[[Reserva]:[Descrição do status]],18,FALSE),"CONVENCIONAL"))</f>
        <v>CONVENCIONAL</v>
      </c>
    </row>
    <row r="419" spans="1:17" x14ac:dyDescent="0.25">
      <c r="A419" s="37">
        <v>4381019</v>
      </c>
      <c r="B419" s="37" t="s">
        <v>21</v>
      </c>
      <c r="C419" s="38" t="s">
        <v>21</v>
      </c>
      <c r="D419" s="38">
        <v>45448</v>
      </c>
      <c r="E4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19" s="39">
        <f>IFERROR(VLOOKUP(RES_AB[[#This Row],[Reserva]],Tabela8[[Reserva]:[Usuário]],7,FALSE),Dados!$A$17)</f>
        <v>0.33333333333333331</v>
      </c>
      <c r="G419" s="40">
        <f>IF(RES_AB[[#This Row],[Reserva]]="","",IF(RES_AB[[#This Row],[Hora Int WMS]]&lt;Dados!$A$16,2,2))</f>
        <v>2</v>
      </c>
      <c r="H419" s="40" t="str">
        <f>IF(RES_AB[[#This Row],[Reserva]]="","",IFERROR(VLOOKUP(RES_AB[[#This Row],[Reserva]],Tabela3[[Reserva]:[Condição para Faturamento]],20,FALSE),"IMPORTADO COM SUCESSO"))</f>
        <v>IMPORTADO COM SUCESSO</v>
      </c>
      <c r="I419" s="38">
        <f>IF(RES_AB[[#This Row],[Data base]]="","",WORKDAY(RES_AB[[#This Row],[Data Reserva - Feriado e Fds]],RES_AB[[#This Row],[Dias para atendimento]],Feriados[Data]))</f>
        <v>45450</v>
      </c>
      <c r="J419" s="40" t="str">
        <f ca="1">IF(RES_AB[[#This Row],[Reserva]]="","",CONCATENATE("D+",NETWORKDAYS(RES_AB[[#This Row],[Data Reserva - Feriado e Fds]],TODAY(),Feriados[Data])-1))</f>
        <v>D+2</v>
      </c>
      <c r="K419" s="40" t="str">
        <f ca="1">IF(RES_AB[[#This Row],[Reserva]]="","",CONCATENATE(RES_AB[[#This Row],[Cen.]]," | ",RES_AB[[#This Row],[SLA2]]))</f>
        <v>N190 | D+2</v>
      </c>
      <c r="L419" s="40">
        <f ca="1">IF(RES_AB[[#This Row],[Reserva]]="","",IF(RES_AB[[#This Row],[SLA2]]=RES_AB[[#This Row],[Reserva]]="","",COUNTIF(MB25_VOLUMETRIA[Reserva],RES_AB[[#This Row],[Reserva]])))</f>
        <v>4</v>
      </c>
      <c r="M4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19" s="37" t="str">
        <f>IF(RES_AB[[#This Row],[Cen.]]="","",IFERROR(VLOOKUP(RES_AB[[#This Row],[Cen.]],Dados_Empresas[],2,FALSE),"Verificar empresa"))</f>
        <v>NET MASSIVO</v>
      </c>
      <c r="P419" s="37" t="str">
        <f>IF(RES_AB[[#This Row],[Empresa]]="","",IF(OR(RES_AB[[#This Row],[Empresa]]="NET MASSIVO",RES_AB[[#This Row],[Empresa]]="NET PROJETOS"),"NET","EMPRESARIAL"))</f>
        <v>NET</v>
      </c>
      <c r="Q419" s="37" t="str">
        <f>IF(RES_AB[[#This Row],[Reserva]]="","",IFERROR(VLOOKUP(RES_AB[[#This Row],[Reserva]],Tabela3[[Reserva]:[Descrição do status]],18,FALSE),"CONVENCIONAL"))</f>
        <v>CONVENCIONAL</v>
      </c>
    </row>
    <row r="420" spans="1:17" x14ac:dyDescent="0.25">
      <c r="A420" s="37">
        <v>4381188</v>
      </c>
      <c r="B420" s="37" t="s">
        <v>21</v>
      </c>
      <c r="C420" s="38" t="s">
        <v>21</v>
      </c>
      <c r="D420" s="38">
        <v>45448</v>
      </c>
      <c r="E4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0" s="39">
        <f>IFERROR(VLOOKUP(RES_AB[[#This Row],[Reserva]],Tabela8[[Reserva]:[Usuário]],7,FALSE),Dados!$A$17)</f>
        <v>0.34166666666666667</v>
      </c>
      <c r="G420" s="40">
        <f>IF(RES_AB[[#This Row],[Reserva]]="","",IF(RES_AB[[#This Row],[Hora Int WMS]]&lt;Dados!$A$16,2,2))</f>
        <v>2</v>
      </c>
      <c r="H420" s="40" t="str">
        <f>IF(RES_AB[[#This Row],[Reserva]]="","",IFERROR(VLOOKUP(RES_AB[[#This Row],[Reserva]],Tabela3[[Reserva]:[Condição para Faturamento]],20,FALSE),"IMPORTADO COM SUCESSO"))</f>
        <v>IMPORTADO COM SUCESSO</v>
      </c>
      <c r="I420" s="38">
        <f>IF(RES_AB[[#This Row],[Data base]]="","",WORKDAY(RES_AB[[#This Row],[Data Reserva - Feriado e Fds]],RES_AB[[#This Row],[Dias para atendimento]],Feriados[Data]))</f>
        <v>45450</v>
      </c>
      <c r="J420" s="40" t="str">
        <f ca="1">IF(RES_AB[[#This Row],[Reserva]]="","",CONCATENATE("D+",NETWORKDAYS(RES_AB[[#This Row],[Data Reserva - Feriado e Fds]],TODAY(),Feriados[Data])-1))</f>
        <v>D+2</v>
      </c>
      <c r="K420" s="40" t="str">
        <f ca="1">IF(RES_AB[[#This Row],[Reserva]]="","",CONCATENATE(RES_AB[[#This Row],[Cen.]]," | ",RES_AB[[#This Row],[SLA2]]))</f>
        <v>N190 | D+2</v>
      </c>
      <c r="L420" s="40">
        <f ca="1">IF(RES_AB[[#This Row],[Reserva]]="","",IF(RES_AB[[#This Row],[SLA2]]=RES_AB[[#This Row],[Reserva]]="","",COUNTIF(MB25_VOLUMETRIA[Reserva],RES_AB[[#This Row],[Reserva]])))</f>
        <v>5</v>
      </c>
      <c r="M4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0" s="37" t="str">
        <f>IF(RES_AB[[#This Row],[Cen.]]="","",IFERROR(VLOOKUP(RES_AB[[#This Row],[Cen.]],Dados_Empresas[],2,FALSE),"Verificar empresa"))</f>
        <v>NET MASSIVO</v>
      </c>
      <c r="P420" s="37" t="str">
        <f>IF(RES_AB[[#This Row],[Empresa]]="","",IF(OR(RES_AB[[#This Row],[Empresa]]="NET MASSIVO",RES_AB[[#This Row],[Empresa]]="NET PROJETOS"),"NET","EMPRESARIAL"))</f>
        <v>NET</v>
      </c>
      <c r="Q420" s="37" t="str">
        <f>IF(RES_AB[[#This Row],[Reserva]]="","",IFERROR(VLOOKUP(RES_AB[[#This Row],[Reserva]],Tabela3[[Reserva]:[Descrição do status]],18,FALSE),"CONVENCIONAL"))</f>
        <v>CONVENCIONAL</v>
      </c>
    </row>
    <row r="421" spans="1:17" x14ac:dyDescent="0.25">
      <c r="A421" s="37">
        <v>4381190</v>
      </c>
      <c r="B421" s="37" t="s">
        <v>21</v>
      </c>
      <c r="C421" s="38" t="s">
        <v>21</v>
      </c>
      <c r="D421" s="38">
        <v>45448</v>
      </c>
      <c r="E4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1" s="39">
        <f>IFERROR(VLOOKUP(RES_AB[[#This Row],[Reserva]],Tabela8[[Reserva]:[Usuário]],7,FALSE),Dados!$A$17)</f>
        <v>0.35543981481481479</v>
      </c>
      <c r="G421" s="40">
        <f>IF(RES_AB[[#This Row],[Reserva]]="","",IF(RES_AB[[#This Row],[Hora Int WMS]]&lt;Dados!$A$16,2,2))</f>
        <v>2</v>
      </c>
      <c r="H421" s="40" t="str">
        <f>IF(RES_AB[[#This Row],[Reserva]]="","",IFERROR(VLOOKUP(RES_AB[[#This Row],[Reserva]],Tabela3[[Reserva]:[Condição para Faturamento]],20,FALSE),"IMPORTADO COM SUCESSO"))</f>
        <v>IMPORTADO COM SUCESSO</v>
      </c>
      <c r="I421" s="38">
        <f>IF(RES_AB[[#This Row],[Data base]]="","",WORKDAY(RES_AB[[#This Row],[Data Reserva - Feriado e Fds]],RES_AB[[#This Row],[Dias para atendimento]],Feriados[Data]))</f>
        <v>45450</v>
      </c>
      <c r="J421" s="40" t="str">
        <f ca="1">IF(RES_AB[[#This Row],[Reserva]]="","",CONCATENATE("D+",NETWORKDAYS(RES_AB[[#This Row],[Data Reserva - Feriado e Fds]],TODAY(),Feriados[Data])-1))</f>
        <v>D+2</v>
      </c>
      <c r="K421" s="40" t="str">
        <f ca="1">IF(RES_AB[[#This Row],[Reserva]]="","",CONCATENATE(RES_AB[[#This Row],[Cen.]]," | ",RES_AB[[#This Row],[SLA2]]))</f>
        <v>N190 | D+2</v>
      </c>
      <c r="L421" s="40">
        <f ca="1">IF(RES_AB[[#This Row],[Reserva]]="","",IF(RES_AB[[#This Row],[SLA2]]=RES_AB[[#This Row],[Reserva]]="","",COUNTIF(MB25_VOLUMETRIA[Reserva],RES_AB[[#This Row],[Reserva]])))</f>
        <v>2</v>
      </c>
      <c r="M4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1" s="37" t="str">
        <f>IF(RES_AB[[#This Row],[Cen.]]="","",IFERROR(VLOOKUP(RES_AB[[#This Row],[Cen.]],Dados_Empresas[],2,FALSE),"Verificar empresa"))</f>
        <v>NET MASSIVO</v>
      </c>
      <c r="P421" s="37" t="str">
        <f>IF(RES_AB[[#This Row],[Empresa]]="","",IF(OR(RES_AB[[#This Row],[Empresa]]="NET MASSIVO",RES_AB[[#This Row],[Empresa]]="NET PROJETOS"),"NET","EMPRESARIAL"))</f>
        <v>NET</v>
      </c>
      <c r="Q421" s="37" t="str">
        <f>IF(RES_AB[[#This Row],[Reserva]]="","",IFERROR(VLOOKUP(RES_AB[[#This Row],[Reserva]],Tabela3[[Reserva]:[Descrição do status]],18,FALSE),"CONVENCIONAL"))</f>
        <v>CONVENCIONAL</v>
      </c>
    </row>
    <row r="422" spans="1:17" x14ac:dyDescent="0.25">
      <c r="A422" s="37">
        <v>4381192</v>
      </c>
      <c r="B422" s="37" t="s">
        <v>21</v>
      </c>
      <c r="C422" s="38" t="s">
        <v>21</v>
      </c>
      <c r="D422" s="38">
        <v>45448</v>
      </c>
      <c r="E4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2" s="39">
        <f>IFERROR(VLOOKUP(RES_AB[[#This Row],[Reserva]],Tabela8[[Reserva]:[Usuário]],7,FALSE),Dados!$A$17)</f>
        <v>0.36944444444444446</v>
      </c>
      <c r="G422" s="40">
        <f>IF(RES_AB[[#This Row],[Reserva]]="","",IF(RES_AB[[#This Row],[Hora Int WMS]]&lt;Dados!$A$16,2,2))</f>
        <v>2</v>
      </c>
      <c r="H422" s="40" t="str">
        <f>IF(RES_AB[[#This Row],[Reserva]]="","",IFERROR(VLOOKUP(RES_AB[[#This Row],[Reserva]],Tabela3[[Reserva]:[Condição para Faturamento]],20,FALSE),"IMPORTADO COM SUCESSO"))</f>
        <v>IMPORTADO COM SUCESSO</v>
      </c>
      <c r="I422" s="38">
        <f>IF(RES_AB[[#This Row],[Data base]]="","",WORKDAY(RES_AB[[#This Row],[Data Reserva - Feriado e Fds]],RES_AB[[#This Row],[Dias para atendimento]],Feriados[Data]))</f>
        <v>45450</v>
      </c>
      <c r="J422" s="40" t="str">
        <f ca="1">IF(RES_AB[[#This Row],[Reserva]]="","",CONCATENATE("D+",NETWORKDAYS(RES_AB[[#This Row],[Data Reserva - Feriado e Fds]],TODAY(),Feriados[Data])-1))</f>
        <v>D+2</v>
      </c>
      <c r="K422" s="40" t="str">
        <f ca="1">IF(RES_AB[[#This Row],[Reserva]]="","",CONCATENATE(RES_AB[[#This Row],[Cen.]]," | ",RES_AB[[#This Row],[SLA2]]))</f>
        <v>N190 | D+2</v>
      </c>
      <c r="L422" s="40">
        <f ca="1">IF(RES_AB[[#This Row],[Reserva]]="","",IF(RES_AB[[#This Row],[SLA2]]=RES_AB[[#This Row],[Reserva]]="","",COUNTIF(MB25_VOLUMETRIA[Reserva],RES_AB[[#This Row],[Reserva]])))</f>
        <v>2</v>
      </c>
      <c r="M4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2" s="37" t="str">
        <f>IF(RES_AB[[#This Row],[Cen.]]="","",IFERROR(VLOOKUP(RES_AB[[#This Row],[Cen.]],Dados_Empresas[],2,FALSE),"Verificar empresa"))</f>
        <v>NET MASSIVO</v>
      </c>
      <c r="P422" s="37" t="str">
        <f>IF(RES_AB[[#This Row],[Empresa]]="","",IF(OR(RES_AB[[#This Row],[Empresa]]="NET MASSIVO",RES_AB[[#This Row],[Empresa]]="NET PROJETOS"),"NET","EMPRESARIAL"))</f>
        <v>NET</v>
      </c>
      <c r="Q422" s="37" t="str">
        <f>IF(RES_AB[[#This Row],[Reserva]]="","",IFERROR(VLOOKUP(RES_AB[[#This Row],[Reserva]],Tabela3[[Reserva]:[Descrição do status]],18,FALSE),"CONVENCIONAL"))</f>
        <v>CONVENCIONAL</v>
      </c>
    </row>
    <row r="423" spans="1:17" x14ac:dyDescent="0.25">
      <c r="A423" s="37">
        <v>4381195</v>
      </c>
      <c r="B423" s="37" t="s">
        <v>21</v>
      </c>
      <c r="C423" s="38" t="s">
        <v>21</v>
      </c>
      <c r="D423" s="38">
        <v>45448</v>
      </c>
      <c r="E4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3" s="39">
        <f>IFERROR(VLOOKUP(RES_AB[[#This Row],[Reserva]],Tabela8[[Reserva]:[Usuário]],7,FALSE),Dados!$A$17)</f>
        <v>0.36956018518518519</v>
      </c>
      <c r="G423" s="40">
        <f>IF(RES_AB[[#This Row],[Reserva]]="","",IF(RES_AB[[#This Row],[Hora Int WMS]]&lt;Dados!$A$16,2,2))</f>
        <v>2</v>
      </c>
      <c r="H423" s="40" t="str">
        <f>IF(RES_AB[[#This Row],[Reserva]]="","",IFERROR(VLOOKUP(RES_AB[[#This Row],[Reserva]],Tabela3[[Reserva]:[Condição para Faturamento]],20,FALSE),"IMPORTADO COM SUCESSO"))</f>
        <v>IMPORTADO COM SUCESSO</v>
      </c>
      <c r="I423" s="38">
        <f>IF(RES_AB[[#This Row],[Data base]]="","",WORKDAY(RES_AB[[#This Row],[Data Reserva - Feriado e Fds]],RES_AB[[#This Row],[Dias para atendimento]],Feriados[Data]))</f>
        <v>45450</v>
      </c>
      <c r="J423" s="40" t="str">
        <f ca="1">IF(RES_AB[[#This Row],[Reserva]]="","",CONCATENATE("D+",NETWORKDAYS(RES_AB[[#This Row],[Data Reserva - Feriado e Fds]],TODAY(),Feriados[Data])-1))</f>
        <v>D+2</v>
      </c>
      <c r="K423" s="40" t="str">
        <f ca="1">IF(RES_AB[[#This Row],[Reserva]]="","",CONCATENATE(RES_AB[[#This Row],[Cen.]]," | ",RES_AB[[#This Row],[SLA2]]))</f>
        <v>N190 | D+2</v>
      </c>
      <c r="L423" s="40">
        <f ca="1">IF(RES_AB[[#This Row],[Reserva]]="","",IF(RES_AB[[#This Row],[SLA2]]=RES_AB[[#This Row],[Reserva]]="","",COUNTIF(MB25_VOLUMETRIA[Reserva],RES_AB[[#This Row],[Reserva]])))</f>
        <v>1</v>
      </c>
      <c r="M4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3" s="37" t="str">
        <f>IF(RES_AB[[#This Row],[Cen.]]="","",IFERROR(VLOOKUP(RES_AB[[#This Row],[Cen.]],Dados_Empresas[],2,FALSE),"Verificar empresa"))</f>
        <v>NET MASSIVO</v>
      </c>
      <c r="P423" s="37" t="str">
        <f>IF(RES_AB[[#This Row],[Empresa]]="","",IF(OR(RES_AB[[#This Row],[Empresa]]="NET MASSIVO",RES_AB[[#This Row],[Empresa]]="NET PROJETOS"),"NET","EMPRESARIAL"))</f>
        <v>NET</v>
      </c>
      <c r="Q423" s="37" t="str">
        <f>IF(RES_AB[[#This Row],[Reserva]]="","",IFERROR(VLOOKUP(RES_AB[[#This Row],[Reserva]],Tabela3[[Reserva]:[Descrição do status]],18,FALSE),"CONVENCIONAL"))</f>
        <v>CONVENCIONAL</v>
      </c>
    </row>
    <row r="424" spans="1:17" x14ac:dyDescent="0.25">
      <c r="A424" s="37">
        <v>4381303</v>
      </c>
      <c r="B424" s="37" t="s">
        <v>21</v>
      </c>
      <c r="C424" s="38" t="s">
        <v>21</v>
      </c>
      <c r="D424" s="38">
        <v>45448</v>
      </c>
      <c r="E4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4" s="39">
        <f>IFERROR(VLOOKUP(RES_AB[[#This Row],[Reserva]],Tabela8[[Reserva]:[Usuário]],7,FALSE),Dados!$A$17)</f>
        <v>0.38368055555555558</v>
      </c>
      <c r="G424" s="40">
        <f>IF(RES_AB[[#This Row],[Reserva]]="","",IF(RES_AB[[#This Row],[Hora Int WMS]]&lt;Dados!$A$16,2,2))</f>
        <v>2</v>
      </c>
      <c r="H424" s="40" t="str">
        <f>IF(RES_AB[[#This Row],[Reserva]]="","",IFERROR(VLOOKUP(RES_AB[[#This Row],[Reserva]],Tabela3[[Reserva]:[Condição para Faturamento]],20,FALSE),"IMPORTADO COM SUCESSO"))</f>
        <v>IMPORTADO COM SUCESSO</v>
      </c>
      <c r="I424" s="38">
        <f>IF(RES_AB[[#This Row],[Data base]]="","",WORKDAY(RES_AB[[#This Row],[Data Reserva - Feriado e Fds]],RES_AB[[#This Row],[Dias para atendimento]],Feriados[Data]))</f>
        <v>45450</v>
      </c>
      <c r="J424" s="40" t="str">
        <f ca="1">IF(RES_AB[[#This Row],[Reserva]]="","",CONCATENATE("D+",NETWORKDAYS(RES_AB[[#This Row],[Data Reserva - Feriado e Fds]],TODAY(),Feriados[Data])-1))</f>
        <v>D+2</v>
      </c>
      <c r="K424" s="40" t="str">
        <f ca="1">IF(RES_AB[[#This Row],[Reserva]]="","",CONCATENATE(RES_AB[[#This Row],[Cen.]]," | ",RES_AB[[#This Row],[SLA2]]))</f>
        <v>N190 | D+2</v>
      </c>
      <c r="L424" s="40">
        <f ca="1">IF(RES_AB[[#This Row],[Reserva]]="","",IF(RES_AB[[#This Row],[SLA2]]=RES_AB[[#This Row],[Reserva]]="","",COUNTIF(MB25_VOLUMETRIA[Reserva],RES_AB[[#This Row],[Reserva]])))</f>
        <v>5</v>
      </c>
      <c r="M4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4" s="37" t="str">
        <f>IF(RES_AB[[#This Row],[Cen.]]="","",IFERROR(VLOOKUP(RES_AB[[#This Row],[Cen.]],Dados_Empresas[],2,FALSE),"Verificar empresa"))</f>
        <v>NET MASSIVO</v>
      </c>
      <c r="P424" s="37" t="str">
        <f>IF(RES_AB[[#This Row],[Empresa]]="","",IF(OR(RES_AB[[#This Row],[Empresa]]="NET MASSIVO",RES_AB[[#This Row],[Empresa]]="NET PROJETOS"),"NET","EMPRESARIAL"))</f>
        <v>NET</v>
      </c>
      <c r="Q424" s="37" t="str">
        <f>IF(RES_AB[[#This Row],[Reserva]]="","",IFERROR(VLOOKUP(RES_AB[[#This Row],[Reserva]],Tabela3[[Reserva]:[Descrição do status]],18,FALSE),"CONVENCIONAL"))</f>
        <v>CONVENCIONAL</v>
      </c>
    </row>
    <row r="425" spans="1:17" x14ac:dyDescent="0.25">
      <c r="A425" s="37">
        <v>4381370</v>
      </c>
      <c r="B425" s="37" t="s">
        <v>21</v>
      </c>
      <c r="C425" s="38" t="s">
        <v>21</v>
      </c>
      <c r="D425" s="38">
        <v>45448</v>
      </c>
      <c r="E4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5" s="39">
        <f>IFERROR(VLOOKUP(RES_AB[[#This Row],[Reserva]],Tabela8[[Reserva]:[Usuário]],7,FALSE),Dados!$A$17)</f>
        <v>0.4599537037037037</v>
      </c>
      <c r="G425" s="40">
        <f>IF(RES_AB[[#This Row],[Reserva]]="","",IF(RES_AB[[#This Row],[Hora Int WMS]]&lt;Dados!$A$16,2,2))</f>
        <v>2</v>
      </c>
      <c r="H425" s="40" t="str">
        <f>IF(RES_AB[[#This Row],[Reserva]]="","",IFERROR(VLOOKUP(RES_AB[[#This Row],[Reserva]],Tabela3[[Reserva]:[Condição para Faturamento]],20,FALSE),"IMPORTADO COM SUCESSO"))</f>
        <v>IMPORTADO COM SUCESSO</v>
      </c>
      <c r="I425" s="38">
        <f>IF(RES_AB[[#This Row],[Data base]]="","",WORKDAY(RES_AB[[#This Row],[Data Reserva - Feriado e Fds]],RES_AB[[#This Row],[Dias para atendimento]],Feriados[Data]))</f>
        <v>45450</v>
      </c>
      <c r="J425" s="40" t="str">
        <f ca="1">IF(RES_AB[[#This Row],[Reserva]]="","",CONCATENATE("D+",NETWORKDAYS(RES_AB[[#This Row],[Data Reserva - Feriado e Fds]],TODAY(),Feriados[Data])-1))</f>
        <v>D+2</v>
      </c>
      <c r="K425" s="40" t="str">
        <f ca="1">IF(RES_AB[[#This Row],[Reserva]]="","",CONCATENATE(RES_AB[[#This Row],[Cen.]]," | ",RES_AB[[#This Row],[SLA2]]))</f>
        <v>N190 | D+2</v>
      </c>
      <c r="L425" s="40">
        <f ca="1">IF(RES_AB[[#This Row],[Reserva]]="","",IF(RES_AB[[#This Row],[SLA2]]=RES_AB[[#This Row],[Reserva]]="","",COUNTIF(MB25_VOLUMETRIA[Reserva],RES_AB[[#This Row],[Reserva]])))</f>
        <v>2</v>
      </c>
      <c r="M4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5" s="37" t="str">
        <f>IF(RES_AB[[#This Row],[Cen.]]="","",IFERROR(VLOOKUP(RES_AB[[#This Row],[Cen.]],Dados_Empresas[],2,FALSE),"Verificar empresa"))</f>
        <v>NET MASSIVO</v>
      </c>
      <c r="P425" s="37" t="str">
        <f>IF(RES_AB[[#This Row],[Empresa]]="","",IF(OR(RES_AB[[#This Row],[Empresa]]="NET MASSIVO",RES_AB[[#This Row],[Empresa]]="NET PROJETOS"),"NET","EMPRESARIAL"))</f>
        <v>NET</v>
      </c>
      <c r="Q425" s="37" t="str">
        <f>IF(RES_AB[[#This Row],[Reserva]]="","",IFERROR(VLOOKUP(RES_AB[[#This Row],[Reserva]],Tabela3[[Reserva]:[Descrição do status]],18,FALSE),"CONVENCIONAL"))</f>
        <v>CONVENCIONAL</v>
      </c>
    </row>
    <row r="426" spans="1:17" x14ac:dyDescent="0.25">
      <c r="A426" s="37">
        <v>4381697</v>
      </c>
      <c r="B426" s="37" t="s">
        <v>21</v>
      </c>
      <c r="C426" s="38" t="s">
        <v>19</v>
      </c>
      <c r="D426" s="38">
        <v>45448</v>
      </c>
      <c r="E4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6" s="39">
        <f>IFERROR(VLOOKUP(RES_AB[[#This Row],[Reserva]],Tabela8[[Reserva]:[Usuário]],7,FALSE),Dados!$A$17)</f>
        <v>0.33333333333333331</v>
      </c>
      <c r="G426" s="40">
        <f>IF(RES_AB[[#This Row],[Reserva]]="","",IF(RES_AB[[#This Row],[Hora Int WMS]]&lt;Dados!$A$16,2,2))</f>
        <v>2</v>
      </c>
      <c r="H426" s="40" t="str">
        <f>IF(RES_AB[[#This Row],[Reserva]]="","",IFERROR(VLOOKUP(RES_AB[[#This Row],[Reserva]],Tabela3[[Reserva]:[Condição para Faturamento]],20,FALSE),"IMPORTADO COM SUCESSO"))</f>
        <v>IMPORTADO COM SUCESSO</v>
      </c>
      <c r="I426" s="38">
        <f>IF(RES_AB[[#This Row],[Data base]]="","",WORKDAY(RES_AB[[#This Row],[Data Reserva - Feriado e Fds]],RES_AB[[#This Row],[Dias para atendimento]],Feriados[Data]))</f>
        <v>45450</v>
      </c>
      <c r="J426" s="40" t="str">
        <f ca="1">IF(RES_AB[[#This Row],[Reserva]]="","",CONCATENATE("D+",NETWORKDAYS(RES_AB[[#This Row],[Data Reserva - Feriado e Fds]],TODAY(),Feriados[Data])-1))</f>
        <v>D+2</v>
      </c>
      <c r="K426" s="40" t="str">
        <f ca="1">IF(RES_AB[[#This Row],[Reserva]]="","",CONCATENATE(RES_AB[[#This Row],[Cen.]]," | ",RES_AB[[#This Row],[SLA2]]))</f>
        <v>N190 | D+2</v>
      </c>
      <c r="L426" s="40">
        <f ca="1">IF(RES_AB[[#This Row],[Reserva]]="","",IF(RES_AB[[#This Row],[SLA2]]=RES_AB[[#This Row],[Reserva]]="","",COUNTIF(MB25_VOLUMETRIA[Reserva],RES_AB[[#This Row],[Reserva]])))</f>
        <v>1</v>
      </c>
      <c r="M4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6" s="37" t="str">
        <f>IF(RES_AB[[#This Row],[Cen.]]="","",IFERROR(VLOOKUP(RES_AB[[#This Row],[Cen.]],Dados_Empresas[],2,FALSE),"Verificar empresa"))</f>
        <v>NET MASSIVO</v>
      </c>
      <c r="P426" s="37" t="str">
        <f>IF(RES_AB[[#This Row],[Empresa]]="","",IF(OR(RES_AB[[#This Row],[Empresa]]="NET MASSIVO",RES_AB[[#This Row],[Empresa]]="NET PROJETOS"),"NET","EMPRESARIAL"))</f>
        <v>NET</v>
      </c>
      <c r="Q426" s="37" t="str">
        <f>IF(RES_AB[[#This Row],[Reserva]]="","",IFERROR(VLOOKUP(RES_AB[[#This Row],[Reserva]],Tabela3[[Reserva]:[Descrição do status]],18,FALSE),"CONVENCIONAL"))</f>
        <v>CONVENCIONAL</v>
      </c>
    </row>
    <row r="427" spans="1:17" x14ac:dyDescent="0.25">
      <c r="A427" s="37">
        <v>4381698</v>
      </c>
      <c r="B427" s="37" t="s">
        <v>21</v>
      </c>
      <c r="C427" s="38" t="s">
        <v>21</v>
      </c>
      <c r="D427" s="38">
        <v>45448</v>
      </c>
      <c r="E4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7" s="39">
        <f>IFERROR(VLOOKUP(RES_AB[[#This Row],[Reserva]],Tabela8[[Reserva]:[Usuário]],7,FALSE),Dados!$A$17)</f>
        <v>0.33333333333333331</v>
      </c>
      <c r="G427" s="40">
        <f>IF(RES_AB[[#This Row],[Reserva]]="","",IF(RES_AB[[#This Row],[Hora Int WMS]]&lt;Dados!$A$16,2,2))</f>
        <v>2</v>
      </c>
      <c r="H427" s="40" t="str">
        <f>IF(RES_AB[[#This Row],[Reserva]]="","",IFERROR(VLOOKUP(RES_AB[[#This Row],[Reserva]],Tabela3[[Reserva]:[Condição para Faturamento]],20,FALSE),"IMPORTADO COM SUCESSO"))</f>
        <v>IMPORTADO COM SUCESSO</v>
      </c>
      <c r="I427" s="38">
        <f>IF(RES_AB[[#This Row],[Data base]]="","",WORKDAY(RES_AB[[#This Row],[Data Reserva - Feriado e Fds]],RES_AB[[#This Row],[Dias para atendimento]],Feriados[Data]))</f>
        <v>45450</v>
      </c>
      <c r="J427" s="40" t="str">
        <f ca="1">IF(RES_AB[[#This Row],[Reserva]]="","",CONCATENATE("D+",NETWORKDAYS(RES_AB[[#This Row],[Data Reserva - Feriado e Fds]],TODAY(),Feriados[Data])-1))</f>
        <v>D+2</v>
      </c>
      <c r="K427" s="40" t="str">
        <f ca="1">IF(RES_AB[[#This Row],[Reserva]]="","",CONCATENATE(RES_AB[[#This Row],[Cen.]]," | ",RES_AB[[#This Row],[SLA2]]))</f>
        <v>N190 | D+2</v>
      </c>
      <c r="L427" s="40">
        <f ca="1">IF(RES_AB[[#This Row],[Reserva]]="","",IF(RES_AB[[#This Row],[SLA2]]=RES_AB[[#This Row],[Reserva]]="","",COUNTIF(MB25_VOLUMETRIA[Reserva],RES_AB[[#This Row],[Reserva]])))</f>
        <v>2</v>
      </c>
      <c r="M4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7" s="37" t="str">
        <f>IF(RES_AB[[#This Row],[Cen.]]="","",IFERROR(VLOOKUP(RES_AB[[#This Row],[Cen.]],Dados_Empresas[],2,FALSE),"Verificar empresa"))</f>
        <v>NET MASSIVO</v>
      </c>
      <c r="P427" s="37" t="str">
        <f>IF(RES_AB[[#This Row],[Empresa]]="","",IF(OR(RES_AB[[#This Row],[Empresa]]="NET MASSIVO",RES_AB[[#This Row],[Empresa]]="NET PROJETOS"),"NET","EMPRESARIAL"))</f>
        <v>NET</v>
      </c>
      <c r="Q427" s="37" t="str">
        <f>IF(RES_AB[[#This Row],[Reserva]]="","",IFERROR(VLOOKUP(RES_AB[[#This Row],[Reserva]],Tabela3[[Reserva]:[Descrição do status]],18,FALSE),"CONVENCIONAL"))</f>
        <v>CONVENCIONAL</v>
      </c>
    </row>
    <row r="428" spans="1:17" x14ac:dyDescent="0.25">
      <c r="A428" s="37">
        <v>4381699</v>
      </c>
      <c r="B428" s="37" t="s">
        <v>21</v>
      </c>
      <c r="C428" s="38" t="s">
        <v>21</v>
      </c>
      <c r="D428" s="38">
        <v>45448</v>
      </c>
      <c r="E4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8" s="39">
        <f>IFERROR(VLOOKUP(RES_AB[[#This Row],[Reserva]],Tabela8[[Reserva]:[Usuário]],7,FALSE),Dados!$A$17)</f>
        <v>0.33333333333333331</v>
      </c>
      <c r="G428" s="40">
        <f>IF(RES_AB[[#This Row],[Reserva]]="","",IF(RES_AB[[#This Row],[Hora Int WMS]]&lt;Dados!$A$16,2,2))</f>
        <v>2</v>
      </c>
      <c r="H428" s="40" t="str">
        <f>IF(RES_AB[[#This Row],[Reserva]]="","",IFERROR(VLOOKUP(RES_AB[[#This Row],[Reserva]],Tabela3[[Reserva]:[Condição para Faturamento]],20,FALSE),"IMPORTADO COM SUCESSO"))</f>
        <v>IMPORTADO COM SUCESSO</v>
      </c>
      <c r="I428" s="38">
        <f>IF(RES_AB[[#This Row],[Data base]]="","",WORKDAY(RES_AB[[#This Row],[Data Reserva - Feriado e Fds]],RES_AB[[#This Row],[Dias para atendimento]],Feriados[Data]))</f>
        <v>45450</v>
      </c>
      <c r="J428" s="40" t="str">
        <f ca="1">IF(RES_AB[[#This Row],[Reserva]]="","",CONCATENATE("D+",NETWORKDAYS(RES_AB[[#This Row],[Data Reserva - Feriado e Fds]],TODAY(),Feriados[Data])-1))</f>
        <v>D+2</v>
      </c>
      <c r="K428" s="40" t="str">
        <f ca="1">IF(RES_AB[[#This Row],[Reserva]]="","",CONCATENATE(RES_AB[[#This Row],[Cen.]]," | ",RES_AB[[#This Row],[SLA2]]))</f>
        <v>N190 | D+2</v>
      </c>
      <c r="L428" s="40">
        <f ca="1">IF(RES_AB[[#This Row],[Reserva]]="","",IF(RES_AB[[#This Row],[SLA2]]=RES_AB[[#This Row],[Reserva]]="","",COUNTIF(MB25_VOLUMETRIA[Reserva],RES_AB[[#This Row],[Reserva]])))</f>
        <v>1</v>
      </c>
      <c r="M4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8" s="37" t="str">
        <f>IF(RES_AB[[#This Row],[Cen.]]="","",IFERROR(VLOOKUP(RES_AB[[#This Row],[Cen.]],Dados_Empresas[],2,FALSE),"Verificar empresa"))</f>
        <v>NET MASSIVO</v>
      </c>
      <c r="P428" s="37" t="str">
        <f>IF(RES_AB[[#This Row],[Empresa]]="","",IF(OR(RES_AB[[#This Row],[Empresa]]="NET MASSIVO",RES_AB[[#This Row],[Empresa]]="NET PROJETOS"),"NET","EMPRESARIAL"))</f>
        <v>NET</v>
      </c>
      <c r="Q428" s="37" t="str">
        <f>IF(RES_AB[[#This Row],[Reserva]]="","",IFERROR(VLOOKUP(RES_AB[[#This Row],[Reserva]],Tabela3[[Reserva]:[Descrição do status]],18,FALSE),"CONVENCIONAL"))</f>
        <v>CONVENCIONAL</v>
      </c>
    </row>
    <row r="429" spans="1:17" x14ac:dyDescent="0.25">
      <c r="A429" s="37">
        <v>4381700</v>
      </c>
      <c r="B429" s="37" t="s">
        <v>21</v>
      </c>
      <c r="C429" s="38" t="s">
        <v>21</v>
      </c>
      <c r="D429" s="38">
        <v>45448</v>
      </c>
      <c r="E4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29" s="39">
        <f>IFERROR(VLOOKUP(RES_AB[[#This Row],[Reserva]],Tabela8[[Reserva]:[Usuário]],7,FALSE),Dados!$A$17)</f>
        <v>0.33333333333333331</v>
      </c>
      <c r="G429" s="40">
        <f>IF(RES_AB[[#This Row],[Reserva]]="","",IF(RES_AB[[#This Row],[Hora Int WMS]]&lt;Dados!$A$16,2,2))</f>
        <v>2</v>
      </c>
      <c r="H429" s="40" t="str">
        <f>IF(RES_AB[[#This Row],[Reserva]]="","",IFERROR(VLOOKUP(RES_AB[[#This Row],[Reserva]],Tabela3[[Reserva]:[Condição para Faturamento]],20,FALSE),"IMPORTADO COM SUCESSO"))</f>
        <v>IMPORTADO COM SUCESSO</v>
      </c>
      <c r="I429" s="38">
        <f>IF(RES_AB[[#This Row],[Data base]]="","",WORKDAY(RES_AB[[#This Row],[Data Reserva - Feriado e Fds]],RES_AB[[#This Row],[Dias para atendimento]],Feriados[Data]))</f>
        <v>45450</v>
      </c>
      <c r="J429" s="40" t="str">
        <f ca="1">IF(RES_AB[[#This Row],[Reserva]]="","",CONCATENATE("D+",NETWORKDAYS(RES_AB[[#This Row],[Data Reserva - Feriado e Fds]],TODAY(),Feriados[Data])-1))</f>
        <v>D+2</v>
      </c>
      <c r="K429" s="40" t="str">
        <f ca="1">IF(RES_AB[[#This Row],[Reserva]]="","",CONCATENATE(RES_AB[[#This Row],[Cen.]]," | ",RES_AB[[#This Row],[SLA2]]))</f>
        <v>N190 | D+2</v>
      </c>
      <c r="L429" s="40">
        <f ca="1">IF(RES_AB[[#This Row],[Reserva]]="","",IF(RES_AB[[#This Row],[SLA2]]=RES_AB[[#This Row],[Reserva]]="","",COUNTIF(MB25_VOLUMETRIA[Reserva],RES_AB[[#This Row],[Reserva]])))</f>
        <v>2</v>
      </c>
      <c r="M4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2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29" s="37" t="str">
        <f>IF(RES_AB[[#This Row],[Cen.]]="","",IFERROR(VLOOKUP(RES_AB[[#This Row],[Cen.]],Dados_Empresas[],2,FALSE),"Verificar empresa"))</f>
        <v>NET MASSIVO</v>
      </c>
      <c r="P429" s="37" t="str">
        <f>IF(RES_AB[[#This Row],[Empresa]]="","",IF(OR(RES_AB[[#This Row],[Empresa]]="NET MASSIVO",RES_AB[[#This Row],[Empresa]]="NET PROJETOS"),"NET","EMPRESARIAL"))</f>
        <v>NET</v>
      </c>
      <c r="Q429" s="37" t="str">
        <f>IF(RES_AB[[#This Row],[Reserva]]="","",IFERROR(VLOOKUP(RES_AB[[#This Row],[Reserva]],Tabela3[[Reserva]:[Descrição do status]],18,FALSE),"CONVENCIONAL"))</f>
        <v>CONVENCIONAL</v>
      </c>
    </row>
    <row r="430" spans="1:17" x14ac:dyDescent="0.25">
      <c r="A430" s="37">
        <v>4382381</v>
      </c>
      <c r="B430" s="37" t="s">
        <v>21</v>
      </c>
      <c r="C430" s="38" t="s">
        <v>182</v>
      </c>
      <c r="D430" s="38">
        <v>45448</v>
      </c>
      <c r="E4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0" s="39">
        <f>IFERROR(VLOOKUP(RES_AB[[#This Row],[Reserva]],Tabela8[[Reserva]:[Usuário]],7,FALSE),Dados!$A$17)</f>
        <v>0.33333333333333331</v>
      </c>
      <c r="G430" s="40">
        <f>IF(RES_AB[[#This Row],[Reserva]]="","",IF(RES_AB[[#This Row],[Hora Int WMS]]&lt;Dados!$A$16,2,2))</f>
        <v>2</v>
      </c>
      <c r="H430" s="40" t="str">
        <f>IF(RES_AB[[#This Row],[Reserva]]="","",IFERROR(VLOOKUP(RES_AB[[#This Row],[Reserva]],Tabela3[[Reserva]:[Condição para Faturamento]],20,FALSE),"IMPORTADO COM SUCESSO"))</f>
        <v>IMPORTADO COM SUCESSO</v>
      </c>
      <c r="I430" s="38">
        <f>IF(RES_AB[[#This Row],[Data base]]="","",WORKDAY(RES_AB[[#This Row],[Data Reserva - Feriado e Fds]],RES_AB[[#This Row],[Dias para atendimento]],Feriados[Data]))</f>
        <v>45450</v>
      </c>
      <c r="J430" s="40" t="str">
        <f ca="1">IF(RES_AB[[#This Row],[Reserva]]="","",CONCATENATE("D+",NETWORKDAYS(RES_AB[[#This Row],[Data Reserva - Feriado e Fds]],TODAY(),Feriados[Data])-1))</f>
        <v>D+2</v>
      </c>
      <c r="K430" s="40" t="str">
        <f ca="1">IF(RES_AB[[#This Row],[Reserva]]="","",CONCATENATE(RES_AB[[#This Row],[Cen.]]," | ",RES_AB[[#This Row],[SLA2]]))</f>
        <v>N190 | D+2</v>
      </c>
      <c r="L430" s="40">
        <f ca="1">IF(RES_AB[[#This Row],[Reserva]]="","",IF(RES_AB[[#This Row],[SLA2]]=RES_AB[[#This Row],[Reserva]]="","",COUNTIF(MB25_VOLUMETRIA[Reserva],RES_AB[[#This Row],[Reserva]])))</f>
        <v>3</v>
      </c>
      <c r="M4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0" s="37" t="str">
        <f>IF(RES_AB[[#This Row],[Cen.]]="","",IFERROR(VLOOKUP(RES_AB[[#This Row],[Cen.]],Dados_Empresas[],2,FALSE),"Verificar empresa"))</f>
        <v>NET MASSIVO</v>
      </c>
      <c r="P430" s="37" t="str">
        <f>IF(RES_AB[[#This Row],[Empresa]]="","",IF(OR(RES_AB[[#This Row],[Empresa]]="NET MASSIVO",RES_AB[[#This Row],[Empresa]]="NET PROJETOS"),"NET","EMPRESARIAL"))</f>
        <v>NET</v>
      </c>
      <c r="Q430" s="37" t="str">
        <f>IF(RES_AB[[#This Row],[Reserva]]="","",IFERROR(VLOOKUP(RES_AB[[#This Row],[Reserva]],Tabela3[[Reserva]:[Descrição do status]],18,FALSE),"CONVENCIONAL"))</f>
        <v>CONVENCIONAL</v>
      </c>
    </row>
    <row r="431" spans="1:17" x14ac:dyDescent="0.25">
      <c r="A431" s="37">
        <v>4382382</v>
      </c>
      <c r="B431" s="37" t="s">
        <v>21</v>
      </c>
      <c r="C431" s="38" t="s">
        <v>21</v>
      </c>
      <c r="D431" s="38">
        <v>45448</v>
      </c>
      <c r="E4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1" s="39">
        <f>IFERROR(VLOOKUP(RES_AB[[#This Row],[Reserva]],Tabela8[[Reserva]:[Usuário]],7,FALSE),Dados!$A$17)</f>
        <v>0.8</v>
      </c>
      <c r="G431" s="40">
        <f>IF(RES_AB[[#This Row],[Reserva]]="","",IF(RES_AB[[#This Row],[Hora Int WMS]]&lt;Dados!$A$16,2,2))</f>
        <v>2</v>
      </c>
      <c r="H431" s="40" t="str">
        <f>IF(RES_AB[[#This Row],[Reserva]]="","",IFERROR(VLOOKUP(RES_AB[[#This Row],[Reserva]],Tabela3[[Reserva]:[Condição para Faturamento]],20,FALSE),"IMPORTADO COM SUCESSO"))</f>
        <v>IMPORTADO COM SUCESSO</v>
      </c>
      <c r="I431" s="38">
        <f>IF(RES_AB[[#This Row],[Data base]]="","",WORKDAY(RES_AB[[#This Row],[Data Reserva - Feriado e Fds]],RES_AB[[#This Row],[Dias para atendimento]],Feriados[Data]))</f>
        <v>45450</v>
      </c>
      <c r="J431" s="40" t="str">
        <f ca="1">IF(RES_AB[[#This Row],[Reserva]]="","",CONCATENATE("D+",NETWORKDAYS(RES_AB[[#This Row],[Data Reserva - Feriado e Fds]],TODAY(),Feriados[Data])-1))</f>
        <v>D+2</v>
      </c>
      <c r="K431" s="40" t="str">
        <f ca="1">IF(RES_AB[[#This Row],[Reserva]]="","",CONCATENATE(RES_AB[[#This Row],[Cen.]]," | ",RES_AB[[#This Row],[SLA2]]))</f>
        <v>N190 | D+2</v>
      </c>
      <c r="L431" s="40">
        <f ca="1">IF(RES_AB[[#This Row],[Reserva]]="","",IF(RES_AB[[#This Row],[SLA2]]=RES_AB[[#This Row],[Reserva]]="","",COUNTIF(MB25_VOLUMETRIA[Reserva],RES_AB[[#This Row],[Reserva]])))</f>
        <v>1</v>
      </c>
      <c r="M4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1" s="37" t="str">
        <f>IF(RES_AB[[#This Row],[Cen.]]="","",IFERROR(VLOOKUP(RES_AB[[#This Row],[Cen.]],Dados_Empresas[],2,FALSE),"Verificar empresa"))</f>
        <v>NET MASSIVO</v>
      </c>
      <c r="P431" s="37" t="str">
        <f>IF(RES_AB[[#This Row],[Empresa]]="","",IF(OR(RES_AB[[#This Row],[Empresa]]="NET MASSIVO",RES_AB[[#This Row],[Empresa]]="NET PROJETOS"),"NET","EMPRESARIAL"))</f>
        <v>NET</v>
      </c>
      <c r="Q431" s="37" t="str">
        <f>IF(RES_AB[[#This Row],[Reserva]]="","",IFERROR(VLOOKUP(RES_AB[[#This Row],[Reserva]],Tabela3[[Reserva]:[Descrição do status]],18,FALSE),"CONVENCIONAL"))</f>
        <v>CONVENCIONAL</v>
      </c>
    </row>
    <row r="432" spans="1:17" x14ac:dyDescent="0.25">
      <c r="A432" s="37">
        <v>4382383</v>
      </c>
      <c r="B432" s="37" t="s">
        <v>21</v>
      </c>
      <c r="C432" s="38" t="s">
        <v>182</v>
      </c>
      <c r="D432" s="38">
        <v>45448</v>
      </c>
      <c r="E4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2" s="39">
        <f>IFERROR(VLOOKUP(RES_AB[[#This Row],[Reserva]],Tabela8[[Reserva]:[Usuário]],7,FALSE),Dados!$A$17)</f>
        <v>0.33333333333333331</v>
      </c>
      <c r="G432" s="40">
        <f>IF(RES_AB[[#This Row],[Reserva]]="","",IF(RES_AB[[#This Row],[Hora Int WMS]]&lt;Dados!$A$16,2,2))</f>
        <v>2</v>
      </c>
      <c r="H432" s="40" t="str">
        <f>IF(RES_AB[[#This Row],[Reserva]]="","",IFERROR(VLOOKUP(RES_AB[[#This Row],[Reserva]],Tabela3[[Reserva]:[Condição para Faturamento]],20,FALSE),"IMPORTADO COM SUCESSO"))</f>
        <v>IMPORTADO COM SUCESSO</v>
      </c>
      <c r="I432" s="38">
        <f>IF(RES_AB[[#This Row],[Data base]]="","",WORKDAY(RES_AB[[#This Row],[Data Reserva - Feriado e Fds]],RES_AB[[#This Row],[Dias para atendimento]],Feriados[Data]))</f>
        <v>45450</v>
      </c>
      <c r="J432" s="40" t="str">
        <f ca="1">IF(RES_AB[[#This Row],[Reserva]]="","",CONCATENATE("D+",NETWORKDAYS(RES_AB[[#This Row],[Data Reserva - Feriado e Fds]],TODAY(),Feriados[Data])-1))</f>
        <v>D+2</v>
      </c>
      <c r="K432" s="40" t="str">
        <f ca="1">IF(RES_AB[[#This Row],[Reserva]]="","",CONCATENATE(RES_AB[[#This Row],[Cen.]]," | ",RES_AB[[#This Row],[SLA2]]))</f>
        <v>N190 | D+2</v>
      </c>
      <c r="L432" s="40">
        <f ca="1">IF(RES_AB[[#This Row],[Reserva]]="","",IF(RES_AB[[#This Row],[SLA2]]=RES_AB[[#This Row],[Reserva]]="","",COUNTIF(MB25_VOLUMETRIA[Reserva],RES_AB[[#This Row],[Reserva]])))</f>
        <v>3</v>
      </c>
      <c r="M4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2" s="37" t="str">
        <f>IF(RES_AB[[#This Row],[Cen.]]="","",IFERROR(VLOOKUP(RES_AB[[#This Row],[Cen.]],Dados_Empresas[],2,FALSE),"Verificar empresa"))</f>
        <v>NET MASSIVO</v>
      </c>
      <c r="P432" s="37" t="str">
        <f>IF(RES_AB[[#This Row],[Empresa]]="","",IF(OR(RES_AB[[#This Row],[Empresa]]="NET MASSIVO",RES_AB[[#This Row],[Empresa]]="NET PROJETOS"),"NET","EMPRESARIAL"))</f>
        <v>NET</v>
      </c>
      <c r="Q432" s="37" t="str">
        <f>IF(RES_AB[[#This Row],[Reserva]]="","",IFERROR(VLOOKUP(RES_AB[[#This Row],[Reserva]],Tabela3[[Reserva]:[Descrição do status]],18,FALSE),"CONVENCIONAL"))</f>
        <v>CONVENCIONAL</v>
      </c>
    </row>
    <row r="433" spans="1:17" x14ac:dyDescent="0.25">
      <c r="A433" s="37">
        <v>4382386</v>
      </c>
      <c r="B433" s="37" t="s">
        <v>21</v>
      </c>
      <c r="C433" s="38" t="s">
        <v>182</v>
      </c>
      <c r="D433" s="38">
        <v>45448</v>
      </c>
      <c r="E4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3" s="39">
        <f>IFERROR(VLOOKUP(RES_AB[[#This Row],[Reserva]],Tabela8[[Reserva]:[Usuário]],7,FALSE),Dados!$A$17)</f>
        <v>0.33333333333333331</v>
      </c>
      <c r="G433" s="40">
        <f>IF(RES_AB[[#This Row],[Reserva]]="","",IF(RES_AB[[#This Row],[Hora Int WMS]]&lt;Dados!$A$16,2,2))</f>
        <v>2</v>
      </c>
      <c r="H433" s="40" t="str">
        <f>IF(RES_AB[[#This Row],[Reserva]]="","",IFERROR(VLOOKUP(RES_AB[[#This Row],[Reserva]],Tabela3[[Reserva]:[Condição para Faturamento]],20,FALSE),"IMPORTADO COM SUCESSO"))</f>
        <v>IMPORTADO COM SUCESSO</v>
      </c>
      <c r="I433" s="38">
        <f>IF(RES_AB[[#This Row],[Data base]]="","",WORKDAY(RES_AB[[#This Row],[Data Reserva - Feriado e Fds]],RES_AB[[#This Row],[Dias para atendimento]],Feriados[Data]))</f>
        <v>45450</v>
      </c>
      <c r="J433" s="40" t="str">
        <f ca="1">IF(RES_AB[[#This Row],[Reserva]]="","",CONCATENATE("D+",NETWORKDAYS(RES_AB[[#This Row],[Data Reserva - Feriado e Fds]],TODAY(),Feriados[Data])-1))</f>
        <v>D+2</v>
      </c>
      <c r="K433" s="40" t="str">
        <f ca="1">IF(RES_AB[[#This Row],[Reserva]]="","",CONCATENATE(RES_AB[[#This Row],[Cen.]]," | ",RES_AB[[#This Row],[SLA2]]))</f>
        <v>N190 | D+2</v>
      </c>
      <c r="L433" s="40">
        <f ca="1">IF(RES_AB[[#This Row],[Reserva]]="","",IF(RES_AB[[#This Row],[SLA2]]=RES_AB[[#This Row],[Reserva]]="","",COUNTIF(MB25_VOLUMETRIA[Reserva],RES_AB[[#This Row],[Reserva]])))</f>
        <v>1</v>
      </c>
      <c r="M4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3" s="37" t="str">
        <f>IF(RES_AB[[#This Row],[Cen.]]="","",IFERROR(VLOOKUP(RES_AB[[#This Row],[Cen.]],Dados_Empresas[],2,FALSE),"Verificar empresa"))</f>
        <v>NET MASSIVO</v>
      </c>
      <c r="P433" s="37" t="str">
        <f>IF(RES_AB[[#This Row],[Empresa]]="","",IF(OR(RES_AB[[#This Row],[Empresa]]="NET MASSIVO",RES_AB[[#This Row],[Empresa]]="NET PROJETOS"),"NET","EMPRESARIAL"))</f>
        <v>NET</v>
      </c>
      <c r="Q433" s="37" t="str">
        <f>IF(RES_AB[[#This Row],[Reserva]]="","",IFERROR(VLOOKUP(RES_AB[[#This Row],[Reserva]],Tabela3[[Reserva]:[Descrição do status]],18,FALSE),"CONVENCIONAL"))</f>
        <v>CONVENCIONAL</v>
      </c>
    </row>
    <row r="434" spans="1:17" x14ac:dyDescent="0.25">
      <c r="A434" s="37">
        <v>4382387</v>
      </c>
      <c r="B434" s="37" t="s">
        <v>21</v>
      </c>
      <c r="C434" s="38" t="s">
        <v>19</v>
      </c>
      <c r="D434" s="38">
        <v>45448</v>
      </c>
      <c r="E4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4" s="39">
        <f>IFERROR(VLOOKUP(RES_AB[[#This Row],[Reserva]],Tabela8[[Reserva]:[Usuário]],7,FALSE),Dados!$A$17)</f>
        <v>0.80023148148148149</v>
      </c>
      <c r="G434" s="40">
        <f>IF(RES_AB[[#This Row],[Reserva]]="","",IF(RES_AB[[#This Row],[Hora Int WMS]]&lt;Dados!$A$16,2,2))</f>
        <v>2</v>
      </c>
      <c r="H434" s="40" t="str">
        <f>IF(RES_AB[[#This Row],[Reserva]]="","",IFERROR(VLOOKUP(RES_AB[[#This Row],[Reserva]],Tabela3[[Reserva]:[Condição para Faturamento]],20,FALSE),"IMPORTADO COM SUCESSO"))</f>
        <v>IMPORTADO COM SUCESSO</v>
      </c>
      <c r="I434" s="38">
        <f>IF(RES_AB[[#This Row],[Data base]]="","",WORKDAY(RES_AB[[#This Row],[Data Reserva - Feriado e Fds]],RES_AB[[#This Row],[Dias para atendimento]],Feriados[Data]))</f>
        <v>45450</v>
      </c>
      <c r="J434" s="40" t="str">
        <f ca="1">IF(RES_AB[[#This Row],[Reserva]]="","",CONCATENATE("D+",NETWORKDAYS(RES_AB[[#This Row],[Data Reserva - Feriado e Fds]],TODAY(),Feriados[Data])-1))</f>
        <v>D+2</v>
      </c>
      <c r="K434" s="40" t="str">
        <f ca="1">IF(RES_AB[[#This Row],[Reserva]]="","",CONCATENATE(RES_AB[[#This Row],[Cen.]]," | ",RES_AB[[#This Row],[SLA2]]))</f>
        <v>N190 | D+2</v>
      </c>
      <c r="L434" s="40">
        <f ca="1">IF(RES_AB[[#This Row],[Reserva]]="","",IF(RES_AB[[#This Row],[SLA2]]=RES_AB[[#This Row],[Reserva]]="","",COUNTIF(MB25_VOLUMETRIA[Reserva],RES_AB[[#This Row],[Reserva]])))</f>
        <v>3</v>
      </c>
      <c r="M4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4" s="37" t="str">
        <f>IF(RES_AB[[#This Row],[Cen.]]="","",IFERROR(VLOOKUP(RES_AB[[#This Row],[Cen.]],Dados_Empresas[],2,FALSE),"Verificar empresa"))</f>
        <v>NET MASSIVO</v>
      </c>
      <c r="P434" s="37" t="str">
        <f>IF(RES_AB[[#This Row],[Empresa]]="","",IF(OR(RES_AB[[#This Row],[Empresa]]="NET MASSIVO",RES_AB[[#This Row],[Empresa]]="NET PROJETOS"),"NET","EMPRESARIAL"))</f>
        <v>NET</v>
      </c>
      <c r="Q434" s="37" t="str">
        <f>IF(RES_AB[[#This Row],[Reserva]]="","",IFERROR(VLOOKUP(RES_AB[[#This Row],[Reserva]],Tabela3[[Reserva]:[Descrição do status]],18,FALSE),"CONVENCIONAL"))</f>
        <v>CONVENCIONAL</v>
      </c>
    </row>
    <row r="435" spans="1:17" x14ac:dyDescent="0.25">
      <c r="A435" s="37">
        <v>4382388</v>
      </c>
      <c r="B435" s="37" t="s">
        <v>21</v>
      </c>
      <c r="C435" s="38" t="s">
        <v>21</v>
      </c>
      <c r="D435" s="38">
        <v>45448</v>
      </c>
      <c r="E4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5" s="39">
        <f>IFERROR(VLOOKUP(RES_AB[[#This Row],[Reserva]],Tabela8[[Reserva]:[Usuário]],7,FALSE),Dados!$A$17)</f>
        <v>0.80034722222222221</v>
      </c>
      <c r="G435" s="40">
        <f>IF(RES_AB[[#This Row],[Reserva]]="","",IF(RES_AB[[#This Row],[Hora Int WMS]]&lt;Dados!$A$16,2,2))</f>
        <v>2</v>
      </c>
      <c r="H435" s="40" t="str">
        <f>IF(RES_AB[[#This Row],[Reserva]]="","",IFERROR(VLOOKUP(RES_AB[[#This Row],[Reserva]],Tabela3[[Reserva]:[Condição para Faturamento]],20,FALSE),"IMPORTADO COM SUCESSO"))</f>
        <v>IMPORTADO COM SUCESSO</v>
      </c>
      <c r="I435" s="38">
        <f>IF(RES_AB[[#This Row],[Data base]]="","",WORKDAY(RES_AB[[#This Row],[Data Reserva - Feriado e Fds]],RES_AB[[#This Row],[Dias para atendimento]],Feriados[Data]))</f>
        <v>45450</v>
      </c>
      <c r="J435" s="40" t="str">
        <f ca="1">IF(RES_AB[[#This Row],[Reserva]]="","",CONCATENATE("D+",NETWORKDAYS(RES_AB[[#This Row],[Data Reserva - Feriado e Fds]],TODAY(),Feriados[Data])-1))</f>
        <v>D+2</v>
      </c>
      <c r="K435" s="40" t="str">
        <f ca="1">IF(RES_AB[[#This Row],[Reserva]]="","",CONCATENATE(RES_AB[[#This Row],[Cen.]]," | ",RES_AB[[#This Row],[SLA2]]))</f>
        <v>N190 | D+2</v>
      </c>
      <c r="L435" s="40">
        <f ca="1">IF(RES_AB[[#This Row],[Reserva]]="","",IF(RES_AB[[#This Row],[SLA2]]=RES_AB[[#This Row],[Reserva]]="","",COUNTIF(MB25_VOLUMETRIA[Reserva],RES_AB[[#This Row],[Reserva]])))</f>
        <v>1</v>
      </c>
      <c r="M4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5" s="37" t="str">
        <f>IF(RES_AB[[#This Row],[Cen.]]="","",IFERROR(VLOOKUP(RES_AB[[#This Row],[Cen.]],Dados_Empresas[],2,FALSE),"Verificar empresa"))</f>
        <v>NET MASSIVO</v>
      </c>
      <c r="P435" s="37" t="str">
        <f>IF(RES_AB[[#This Row],[Empresa]]="","",IF(OR(RES_AB[[#This Row],[Empresa]]="NET MASSIVO",RES_AB[[#This Row],[Empresa]]="NET PROJETOS"),"NET","EMPRESARIAL"))</f>
        <v>NET</v>
      </c>
      <c r="Q435" s="37" t="str">
        <f>IF(RES_AB[[#This Row],[Reserva]]="","",IFERROR(VLOOKUP(RES_AB[[#This Row],[Reserva]],Tabela3[[Reserva]:[Descrição do status]],18,FALSE),"CONVENCIONAL"))</f>
        <v>CONVENCIONAL</v>
      </c>
    </row>
    <row r="436" spans="1:17" x14ac:dyDescent="0.25">
      <c r="A436" s="37">
        <v>4382391</v>
      </c>
      <c r="B436" s="37" t="s">
        <v>21</v>
      </c>
      <c r="C436" s="38" t="s">
        <v>21</v>
      </c>
      <c r="D436" s="38">
        <v>45448</v>
      </c>
      <c r="E4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6" s="39">
        <f>IFERROR(VLOOKUP(RES_AB[[#This Row],[Reserva]],Tabela8[[Reserva]:[Usuário]],7,FALSE),Dados!$A$17)</f>
        <v>0.33333333333333331</v>
      </c>
      <c r="G436" s="40">
        <f>IF(RES_AB[[#This Row],[Reserva]]="","",IF(RES_AB[[#This Row],[Hora Int WMS]]&lt;Dados!$A$16,2,2))</f>
        <v>2</v>
      </c>
      <c r="H436" s="40" t="str">
        <f>IF(RES_AB[[#This Row],[Reserva]]="","",IFERROR(VLOOKUP(RES_AB[[#This Row],[Reserva]],Tabela3[[Reserva]:[Condição para Faturamento]],20,FALSE),"IMPORTADO COM SUCESSO"))</f>
        <v>IMPORTADO COM SUCESSO</v>
      </c>
      <c r="I436" s="38">
        <f>IF(RES_AB[[#This Row],[Data base]]="","",WORKDAY(RES_AB[[#This Row],[Data Reserva - Feriado e Fds]],RES_AB[[#This Row],[Dias para atendimento]],Feriados[Data]))</f>
        <v>45450</v>
      </c>
      <c r="J436" s="40" t="str">
        <f ca="1">IF(RES_AB[[#This Row],[Reserva]]="","",CONCATENATE("D+",NETWORKDAYS(RES_AB[[#This Row],[Data Reserva - Feriado e Fds]],TODAY(),Feriados[Data])-1))</f>
        <v>D+2</v>
      </c>
      <c r="K436" s="40" t="str">
        <f ca="1">IF(RES_AB[[#This Row],[Reserva]]="","",CONCATENATE(RES_AB[[#This Row],[Cen.]]," | ",RES_AB[[#This Row],[SLA2]]))</f>
        <v>N190 | D+2</v>
      </c>
      <c r="L436" s="40">
        <f ca="1">IF(RES_AB[[#This Row],[Reserva]]="","",IF(RES_AB[[#This Row],[SLA2]]=RES_AB[[#This Row],[Reserva]]="","",COUNTIF(MB25_VOLUMETRIA[Reserva],RES_AB[[#This Row],[Reserva]])))</f>
        <v>2</v>
      </c>
      <c r="M4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6" s="37" t="str">
        <f>IF(RES_AB[[#This Row],[Cen.]]="","",IFERROR(VLOOKUP(RES_AB[[#This Row],[Cen.]],Dados_Empresas[],2,FALSE),"Verificar empresa"))</f>
        <v>NET MASSIVO</v>
      </c>
      <c r="P436" s="37" t="str">
        <f>IF(RES_AB[[#This Row],[Empresa]]="","",IF(OR(RES_AB[[#This Row],[Empresa]]="NET MASSIVO",RES_AB[[#This Row],[Empresa]]="NET PROJETOS"),"NET","EMPRESARIAL"))</f>
        <v>NET</v>
      </c>
      <c r="Q436" s="37" t="str">
        <f>IF(RES_AB[[#This Row],[Reserva]]="","",IFERROR(VLOOKUP(RES_AB[[#This Row],[Reserva]],Tabela3[[Reserva]:[Descrição do status]],18,FALSE),"CONVENCIONAL"))</f>
        <v>CONVENCIONAL</v>
      </c>
    </row>
    <row r="437" spans="1:17" x14ac:dyDescent="0.25">
      <c r="A437" s="37">
        <v>4382392</v>
      </c>
      <c r="B437" s="37" t="s">
        <v>21</v>
      </c>
      <c r="C437" s="38" t="s">
        <v>21</v>
      </c>
      <c r="D437" s="38">
        <v>45448</v>
      </c>
      <c r="E4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7" s="39">
        <f>IFERROR(VLOOKUP(RES_AB[[#This Row],[Reserva]],Tabela8[[Reserva]:[Usuário]],7,FALSE),Dados!$A$17)</f>
        <v>0.33333333333333331</v>
      </c>
      <c r="G437" s="40">
        <f>IF(RES_AB[[#This Row],[Reserva]]="","",IF(RES_AB[[#This Row],[Hora Int WMS]]&lt;Dados!$A$16,2,2))</f>
        <v>2</v>
      </c>
      <c r="H437" s="40" t="str">
        <f>IF(RES_AB[[#This Row],[Reserva]]="","",IFERROR(VLOOKUP(RES_AB[[#This Row],[Reserva]],Tabela3[[Reserva]:[Condição para Faturamento]],20,FALSE),"IMPORTADO COM SUCESSO"))</f>
        <v>IMPORTADO COM SUCESSO</v>
      </c>
      <c r="I437" s="38">
        <f>IF(RES_AB[[#This Row],[Data base]]="","",WORKDAY(RES_AB[[#This Row],[Data Reserva - Feriado e Fds]],RES_AB[[#This Row],[Dias para atendimento]],Feriados[Data]))</f>
        <v>45450</v>
      </c>
      <c r="J437" s="40" t="str">
        <f ca="1">IF(RES_AB[[#This Row],[Reserva]]="","",CONCATENATE("D+",NETWORKDAYS(RES_AB[[#This Row],[Data Reserva - Feriado e Fds]],TODAY(),Feriados[Data])-1))</f>
        <v>D+2</v>
      </c>
      <c r="K437" s="40" t="str">
        <f ca="1">IF(RES_AB[[#This Row],[Reserva]]="","",CONCATENATE(RES_AB[[#This Row],[Cen.]]," | ",RES_AB[[#This Row],[SLA2]]))</f>
        <v>N190 | D+2</v>
      </c>
      <c r="L437" s="40">
        <f ca="1">IF(RES_AB[[#This Row],[Reserva]]="","",IF(RES_AB[[#This Row],[SLA2]]=RES_AB[[#This Row],[Reserva]]="","",COUNTIF(MB25_VOLUMETRIA[Reserva],RES_AB[[#This Row],[Reserva]])))</f>
        <v>5</v>
      </c>
      <c r="M4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7" s="37" t="str">
        <f>IF(RES_AB[[#This Row],[Cen.]]="","",IFERROR(VLOOKUP(RES_AB[[#This Row],[Cen.]],Dados_Empresas[],2,FALSE),"Verificar empresa"))</f>
        <v>NET MASSIVO</v>
      </c>
      <c r="P437" s="37" t="str">
        <f>IF(RES_AB[[#This Row],[Empresa]]="","",IF(OR(RES_AB[[#This Row],[Empresa]]="NET MASSIVO",RES_AB[[#This Row],[Empresa]]="NET PROJETOS"),"NET","EMPRESARIAL"))</f>
        <v>NET</v>
      </c>
      <c r="Q437" s="37" t="str">
        <f>IF(RES_AB[[#This Row],[Reserva]]="","",IFERROR(VLOOKUP(RES_AB[[#This Row],[Reserva]],Tabela3[[Reserva]:[Descrição do status]],18,FALSE),"CONVENCIONAL"))</f>
        <v>CONVENCIONAL</v>
      </c>
    </row>
    <row r="438" spans="1:17" x14ac:dyDescent="0.25">
      <c r="A438" s="37">
        <v>4382393</v>
      </c>
      <c r="B438" s="37" t="s">
        <v>21</v>
      </c>
      <c r="C438" s="38" t="s">
        <v>21</v>
      </c>
      <c r="D438" s="38">
        <v>45448</v>
      </c>
      <c r="E4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8" s="39">
        <f>IFERROR(VLOOKUP(RES_AB[[#This Row],[Reserva]],Tabela8[[Reserva]:[Usuário]],7,FALSE),Dados!$A$17)</f>
        <v>0.33333333333333331</v>
      </c>
      <c r="G438" s="40">
        <f>IF(RES_AB[[#This Row],[Reserva]]="","",IF(RES_AB[[#This Row],[Hora Int WMS]]&lt;Dados!$A$16,2,2))</f>
        <v>2</v>
      </c>
      <c r="H438" s="40" t="str">
        <f>IF(RES_AB[[#This Row],[Reserva]]="","",IFERROR(VLOOKUP(RES_AB[[#This Row],[Reserva]],Tabela3[[Reserva]:[Condição para Faturamento]],20,FALSE),"IMPORTADO COM SUCESSO"))</f>
        <v>IMPORTADO COM SUCESSO</v>
      </c>
      <c r="I438" s="38">
        <f>IF(RES_AB[[#This Row],[Data base]]="","",WORKDAY(RES_AB[[#This Row],[Data Reserva - Feriado e Fds]],RES_AB[[#This Row],[Dias para atendimento]],Feriados[Data]))</f>
        <v>45450</v>
      </c>
      <c r="J438" s="40" t="str">
        <f ca="1">IF(RES_AB[[#This Row],[Reserva]]="","",CONCATENATE("D+",NETWORKDAYS(RES_AB[[#This Row],[Data Reserva - Feriado e Fds]],TODAY(),Feriados[Data])-1))</f>
        <v>D+2</v>
      </c>
      <c r="K438" s="40" t="str">
        <f ca="1">IF(RES_AB[[#This Row],[Reserva]]="","",CONCATENATE(RES_AB[[#This Row],[Cen.]]," | ",RES_AB[[#This Row],[SLA2]]))</f>
        <v>N190 | D+2</v>
      </c>
      <c r="L438" s="40">
        <f ca="1">IF(RES_AB[[#This Row],[Reserva]]="","",IF(RES_AB[[#This Row],[SLA2]]=RES_AB[[#This Row],[Reserva]]="","",COUNTIF(MB25_VOLUMETRIA[Reserva],RES_AB[[#This Row],[Reserva]])))</f>
        <v>1</v>
      </c>
      <c r="M4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8" s="37" t="str">
        <f>IF(RES_AB[[#This Row],[Cen.]]="","",IFERROR(VLOOKUP(RES_AB[[#This Row],[Cen.]],Dados_Empresas[],2,FALSE),"Verificar empresa"))</f>
        <v>NET MASSIVO</v>
      </c>
      <c r="P438" s="37" t="str">
        <f>IF(RES_AB[[#This Row],[Empresa]]="","",IF(OR(RES_AB[[#This Row],[Empresa]]="NET MASSIVO",RES_AB[[#This Row],[Empresa]]="NET PROJETOS"),"NET","EMPRESARIAL"))</f>
        <v>NET</v>
      </c>
      <c r="Q438" s="37" t="str">
        <f>IF(RES_AB[[#This Row],[Reserva]]="","",IFERROR(VLOOKUP(RES_AB[[#This Row],[Reserva]],Tabela3[[Reserva]:[Descrição do status]],18,FALSE),"CONVENCIONAL"))</f>
        <v>CONVENCIONAL</v>
      </c>
    </row>
    <row r="439" spans="1:17" x14ac:dyDescent="0.25">
      <c r="A439" s="37">
        <v>4382394</v>
      </c>
      <c r="B439" s="37" t="s">
        <v>21</v>
      </c>
      <c r="C439" s="38" t="s">
        <v>21</v>
      </c>
      <c r="D439" s="38">
        <v>45448</v>
      </c>
      <c r="E4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39" s="39">
        <f>IFERROR(VLOOKUP(RES_AB[[#This Row],[Reserva]],Tabela8[[Reserva]:[Usuário]],7,FALSE),Dados!$A$17)</f>
        <v>0.33333333333333331</v>
      </c>
      <c r="G439" s="40">
        <f>IF(RES_AB[[#This Row],[Reserva]]="","",IF(RES_AB[[#This Row],[Hora Int WMS]]&lt;Dados!$A$16,2,2))</f>
        <v>2</v>
      </c>
      <c r="H439" s="40" t="str">
        <f>IF(RES_AB[[#This Row],[Reserva]]="","",IFERROR(VLOOKUP(RES_AB[[#This Row],[Reserva]],Tabela3[[Reserva]:[Condição para Faturamento]],20,FALSE),"IMPORTADO COM SUCESSO"))</f>
        <v>IMPORTADO COM SUCESSO</v>
      </c>
      <c r="I439" s="38">
        <f>IF(RES_AB[[#This Row],[Data base]]="","",WORKDAY(RES_AB[[#This Row],[Data Reserva - Feriado e Fds]],RES_AB[[#This Row],[Dias para atendimento]],Feriados[Data]))</f>
        <v>45450</v>
      </c>
      <c r="J439" s="40" t="str">
        <f ca="1">IF(RES_AB[[#This Row],[Reserva]]="","",CONCATENATE("D+",NETWORKDAYS(RES_AB[[#This Row],[Data Reserva - Feriado e Fds]],TODAY(),Feriados[Data])-1))</f>
        <v>D+2</v>
      </c>
      <c r="K439" s="40" t="str">
        <f ca="1">IF(RES_AB[[#This Row],[Reserva]]="","",CONCATENATE(RES_AB[[#This Row],[Cen.]]," | ",RES_AB[[#This Row],[SLA2]]))</f>
        <v>N190 | D+2</v>
      </c>
      <c r="L439" s="40">
        <f ca="1">IF(RES_AB[[#This Row],[Reserva]]="","",IF(RES_AB[[#This Row],[SLA2]]=RES_AB[[#This Row],[Reserva]]="","",COUNTIF(MB25_VOLUMETRIA[Reserva],RES_AB[[#This Row],[Reserva]])))</f>
        <v>19</v>
      </c>
      <c r="M4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3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39" s="37" t="str">
        <f>IF(RES_AB[[#This Row],[Cen.]]="","",IFERROR(VLOOKUP(RES_AB[[#This Row],[Cen.]],Dados_Empresas[],2,FALSE),"Verificar empresa"))</f>
        <v>NET MASSIVO</v>
      </c>
      <c r="P439" s="37" t="str">
        <f>IF(RES_AB[[#This Row],[Empresa]]="","",IF(OR(RES_AB[[#This Row],[Empresa]]="NET MASSIVO",RES_AB[[#This Row],[Empresa]]="NET PROJETOS"),"NET","EMPRESARIAL"))</f>
        <v>NET</v>
      </c>
      <c r="Q439" s="37" t="str">
        <f>IF(RES_AB[[#This Row],[Reserva]]="","",IFERROR(VLOOKUP(RES_AB[[#This Row],[Reserva]],Tabela3[[Reserva]:[Descrição do status]],18,FALSE),"CONVENCIONAL"))</f>
        <v>CONVENCIONAL</v>
      </c>
    </row>
    <row r="440" spans="1:17" x14ac:dyDescent="0.25">
      <c r="A440" s="37">
        <v>4382395</v>
      </c>
      <c r="B440" s="37" t="s">
        <v>21</v>
      </c>
      <c r="C440" s="38" t="s">
        <v>21</v>
      </c>
      <c r="D440" s="38">
        <v>45448</v>
      </c>
      <c r="E4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0" s="39">
        <f>IFERROR(VLOOKUP(RES_AB[[#This Row],[Reserva]],Tabela8[[Reserva]:[Usuário]],7,FALSE),Dados!$A$17)</f>
        <v>0.33333333333333331</v>
      </c>
      <c r="G440" s="40">
        <f>IF(RES_AB[[#This Row],[Reserva]]="","",IF(RES_AB[[#This Row],[Hora Int WMS]]&lt;Dados!$A$16,2,2))</f>
        <v>2</v>
      </c>
      <c r="H440" s="40" t="str">
        <f>IF(RES_AB[[#This Row],[Reserva]]="","",IFERROR(VLOOKUP(RES_AB[[#This Row],[Reserva]],Tabela3[[Reserva]:[Condição para Faturamento]],20,FALSE),"IMPORTADO COM SUCESSO"))</f>
        <v>IMPORTADO COM SUCESSO</v>
      </c>
      <c r="I440" s="38">
        <f>IF(RES_AB[[#This Row],[Data base]]="","",WORKDAY(RES_AB[[#This Row],[Data Reserva - Feriado e Fds]],RES_AB[[#This Row],[Dias para atendimento]],Feriados[Data]))</f>
        <v>45450</v>
      </c>
      <c r="J440" s="40" t="str">
        <f ca="1">IF(RES_AB[[#This Row],[Reserva]]="","",CONCATENATE("D+",NETWORKDAYS(RES_AB[[#This Row],[Data Reserva - Feriado e Fds]],TODAY(),Feriados[Data])-1))</f>
        <v>D+2</v>
      </c>
      <c r="K440" s="40" t="str">
        <f ca="1">IF(RES_AB[[#This Row],[Reserva]]="","",CONCATENATE(RES_AB[[#This Row],[Cen.]]," | ",RES_AB[[#This Row],[SLA2]]))</f>
        <v>N190 | D+2</v>
      </c>
      <c r="L440" s="40">
        <f ca="1">IF(RES_AB[[#This Row],[Reserva]]="","",IF(RES_AB[[#This Row],[SLA2]]=RES_AB[[#This Row],[Reserva]]="","",COUNTIF(MB25_VOLUMETRIA[Reserva],RES_AB[[#This Row],[Reserva]])))</f>
        <v>2</v>
      </c>
      <c r="M4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0" s="37" t="str">
        <f>IF(RES_AB[[#This Row],[Cen.]]="","",IFERROR(VLOOKUP(RES_AB[[#This Row],[Cen.]],Dados_Empresas[],2,FALSE),"Verificar empresa"))</f>
        <v>NET MASSIVO</v>
      </c>
      <c r="P440" s="37" t="str">
        <f>IF(RES_AB[[#This Row],[Empresa]]="","",IF(OR(RES_AB[[#This Row],[Empresa]]="NET MASSIVO",RES_AB[[#This Row],[Empresa]]="NET PROJETOS"),"NET","EMPRESARIAL"))</f>
        <v>NET</v>
      </c>
      <c r="Q440" s="37" t="str">
        <f>IF(RES_AB[[#This Row],[Reserva]]="","",IFERROR(VLOOKUP(RES_AB[[#This Row],[Reserva]],Tabela3[[Reserva]:[Descrição do status]],18,FALSE),"CONVENCIONAL"))</f>
        <v>CONVENCIONAL</v>
      </c>
    </row>
    <row r="441" spans="1:17" x14ac:dyDescent="0.25">
      <c r="A441" s="37">
        <v>4382396</v>
      </c>
      <c r="B441" s="37" t="s">
        <v>21</v>
      </c>
      <c r="C441" s="38" t="s">
        <v>21</v>
      </c>
      <c r="D441" s="38">
        <v>45448</v>
      </c>
      <c r="E4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1" s="39">
        <f>IFERROR(VLOOKUP(RES_AB[[#This Row],[Reserva]],Tabela8[[Reserva]:[Usuário]],7,FALSE),Dados!$A$17)</f>
        <v>0.80081018518518521</v>
      </c>
      <c r="G441" s="40">
        <f>IF(RES_AB[[#This Row],[Reserva]]="","",IF(RES_AB[[#This Row],[Hora Int WMS]]&lt;Dados!$A$16,2,2))</f>
        <v>2</v>
      </c>
      <c r="H441" s="40" t="str">
        <f>IF(RES_AB[[#This Row],[Reserva]]="","",IFERROR(VLOOKUP(RES_AB[[#This Row],[Reserva]],Tabela3[[Reserva]:[Condição para Faturamento]],20,FALSE),"IMPORTADO COM SUCESSO"))</f>
        <v>IMPORTADO COM SUCESSO</v>
      </c>
      <c r="I441" s="38">
        <f>IF(RES_AB[[#This Row],[Data base]]="","",WORKDAY(RES_AB[[#This Row],[Data Reserva - Feriado e Fds]],RES_AB[[#This Row],[Dias para atendimento]],Feriados[Data]))</f>
        <v>45450</v>
      </c>
      <c r="J441" s="40" t="str">
        <f ca="1">IF(RES_AB[[#This Row],[Reserva]]="","",CONCATENATE("D+",NETWORKDAYS(RES_AB[[#This Row],[Data Reserva - Feriado e Fds]],TODAY(),Feriados[Data])-1))</f>
        <v>D+2</v>
      </c>
      <c r="K441" s="40" t="str">
        <f ca="1">IF(RES_AB[[#This Row],[Reserva]]="","",CONCATENATE(RES_AB[[#This Row],[Cen.]]," | ",RES_AB[[#This Row],[SLA2]]))</f>
        <v>N190 | D+2</v>
      </c>
      <c r="L441" s="40">
        <f ca="1">IF(RES_AB[[#This Row],[Reserva]]="","",IF(RES_AB[[#This Row],[SLA2]]=RES_AB[[#This Row],[Reserva]]="","",COUNTIF(MB25_VOLUMETRIA[Reserva],RES_AB[[#This Row],[Reserva]])))</f>
        <v>1</v>
      </c>
      <c r="M4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1" s="37" t="str">
        <f>IF(RES_AB[[#This Row],[Cen.]]="","",IFERROR(VLOOKUP(RES_AB[[#This Row],[Cen.]],Dados_Empresas[],2,FALSE),"Verificar empresa"))</f>
        <v>NET MASSIVO</v>
      </c>
      <c r="P441" s="37" t="str">
        <f>IF(RES_AB[[#This Row],[Empresa]]="","",IF(OR(RES_AB[[#This Row],[Empresa]]="NET MASSIVO",RES_AB[[#This Row],[Empresa]]="NET PROJETOS"),"NET","EMPRESARIAL"))</f>
        <v>NET</v>
      </c>
      <c r="Q441" s="37" t="str">
        <f>IF(RES_AB[[#This Row],[Reserva]]="","",IFERROR(VLOOKUP(RES_AB[[#This Row],[Reserva]],Tabela3[[Reserva]:[Descrição do status]],18,FALSE),"CONVENCIONAL"))</f>
        <v>CONVENCIONAL</v>
      </c>
    </row>
    <row r="442" spans="1:17" x14ac:dyDescent="0.25">
      <c r="A442" s="37">
        <v>4382397</v>
      </c>
      <c r="B442" s="37" t="s">
        <v>21</v>
      </c>
      <c r="C442" s="38" t="s">
        <v>182</v>
      </c>
      <c r="D442" s="38">
        <v>45448</v>
      </c>
      <c r="E4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2" s="39">
        <f>IFERROR(VLOOKUP(RES_AB[[#This Row],[Reserva]],Tabela8[[Reserva]:[Usuário]],7,FALSE),Dados!$A$17)</f>
        <v>0.33333333333333331</v>
      </c>
      <c r="G442" s="40">
        <f>IF(RES_AB[[#This Row],[Reserva]]="","",IF(RES_AB[[#This Row],[Hora Int WMS]]&lt;Dados!$A$16,2,2))</f>
        <v>2</v>
      </c>
      <c r="H442" s="40" t="str">
        <f>IF(RES_AB[[#This Row],[Reserva]]="","",IFERROR(VLOOKUP(RES_AB[[#This Row],[Reserva]],Tabela3[[Reserva]:[Condição para Faturamento]],20,FALSE),"IMPORTADO COM SUCESSO"))</f>
        <v>IMPORTADO COM SUCESSO</v>
      </c>
      <c r="I442" s="38">
        <f>IF(RES_AB[[#This Row],[Data base]]="","",WORKDAY(RES_AB[[#This Row],[Data Reserva - Feriado e Fds]],RES_AB[[#This Row],[Dias para atendimento]],Feriados[Data]))</f>
        <v>45450</v>
      </c>
      <c r="J442" s="40" t="str">
        <f ca="1">IF(RES_AB[[#This Row],[Reserva]]="","",CONCATENATE("D+",NETWORKDAYS(RES_AB[[#This Row],[Data Reserva - Feriado e Fds]],TODAY(),Feriados[Data])-1))</f>
        <v>D+2</v>
      </c>
      <c r="K442" s="40" t="str">
        <f ca="1">IF(RES_AB[[#This Row],[Reserva]]="","",CONCATENATE(RES_AB[[#This Row],[Cen.]]," | ",RES_AB[[#This Row],[SLA2]]))</f>
        <v>N190 | D+2</v>
      </c>
      <c r="L442" s="40">
        <f ca="1">IF(RES_AB[[#This Row],[Reserva]]="","",IF(RES_AB[[#This Row],[SLA2]]=RES_AB[[#This Row],[Reserva]]="","",COUNTIF(MB25_VOLUMETRIA[Reserva],RES_AB[[#This Row],[Reserva]])))</f>
        <v>2</v>
      </c>
      <c r="M4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2" s="37" t="str">
        <f>IF(RES_AB[[#This Row],[Cen.]]="","",IFERROR(VLOOKUP(RES_AB[[#This Row],[Cen.]],Dados_Empresas[],2,FALSE),"Verificar empresa"))</f>
        <v>NET MASSIVO</v>
      </c>
      <c r="P442" s="37" t="str">
        <f>IF(RES_AB[[#This Row],[Empresa]]="","",IF(OR(RES_AB[[#This Row],[Empresa]]="NET MASSIVO",RES_AB[[#This Row],[Empresa]]="NET PROJETOS"),"NET","EMPRESARIAL"))</f>
        <v>NET</v>
      </c>
      <c r="Q442" s="37" t="str">
        <f>IF(RES_AB[[#This Row],[Reserva]]="","",IFERROR(VLOOKUP(RES_AB[[#This Row],[Reserva]],Tabela3[[Reserva]:[Descrição do status]],18,FALSE),"CONVENCIONAL"))</f>
        <v>CONVENCIONAL</v>
      </c>
    </row>
    <row r="443" spans="1:17" x14ac:dyDescent="0.25">
      <c r="A443" s="37">
        <v>4382399</v>
      </c>
      <c r="B443" s="37" t="s">
        <v>21</v>
      </c>
      <c r="C443" s="38" t="s">
        <v>182</v>
      </c>
      <c r="D443" s="38">
        <v>45448</v>
      </c>
      <c r="E4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3" s="39">
        <f>IFERROR(VLOOKUP(RES_AB[[#This Row],[Reserva]],Tabela8[[Reserva]:[Usuário]],7,FALSE),Dados!$A$17)</f>
        <v>0.33333333333333331</v>
      </c>
      <c r="G443" s="40">
        <f>IF(RES_AB[[#This Row],[Reserva]]="","",IF(RES_AB[[#This Row],[Hora Int WMS]]&lt;Dados!$A$16,2,2))</f>
        <v>2</v>
      </c>
      <c r="H443" s="40" t="str">
        <f>IF(RES_AB[[#This Row],[Reserva]]="","",IFERROR(VLOOKUP(RES_AB[[#This Row],[Reserva]],Tabela3[[Reserva]:[Condição para Faturamento]],20,FALSE),"IMPORTADO COM SUCESSO"))</f>
        <v>IMPORTADO COM SUCESSO</v>
      </c>
      <c r="I443" s="38">
        <f>IF(RES_AB[[#This Row],[Data base]]="","",WORKDAY(RES_AB[[#This Row],[Data Reserva - Feriado e Fds]],RES_AB[[#This Row],[Dias para atendimento]],Feriados[Data]))</f>
        <v>45450</v>
      </c>
      <c r="J443" s="40" t="str">
        <f ca="1">IF(RES_AB[[#This Row],[Reserva]]="","",CONCATENATE("D+",NETWORKDAYS(RES_AB[[#This Row],[Data Reserva - Feriado e Fds]],TODAY(),Feriados[Data])-1))</f>
        <v>D+2</v>
      </c>
      <c r="K443" s="40" t="str">
        <f ca="1">IF(RES_AB[[#This Row],[Reserva]]="","",CONCATENATE(RES_AB[[#This Row],[Cen.]]," | ",RES_AB[[#This Row],[SLA2]]))</f>
        <v>N190 | D+2</v>
      </c>
      <c r="L443" s="40">
        <f ca="1">IF(RES_AB[[#This Row],[Reserva]]="","",IF(RES_AB[[#This Row],[SLA2]]=RES_AB[[#This Row],[Reserva]]="","",COUNTIF(MB25_VOLUMETRIA[Reserva],RES_AB[[#This Row],[Reserva]])))</f>
        <v>1</v>
      </c>
      <c r="M4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3" s="37" t="str">
        <f>IF(RES_AB[[#This Row],[Cen.]]="","",IFERROR(VLOOKUP(RES_AB[[#This Row],[Cen.]],Dados_Empresas[],2,FALSE),"Verificar empresa"))</f>
        <v>NET MASSIVO</v>
      </c>
      <c r="P443" s="37" t="str">
        <f>IF(RES_AB[[#This Row],[Empresa]]="","",IF(OR(RES_AB[[#This Row],[Empresa]]="NET MASSIVO",RES_AB[[#This Row],[Empresa]]="NET PROJETOS"),"NET","EMPRESARIAL"))</f>
        <v>NET</v>
      </c>
      <c r="Q443" s="37" t="str">
        <f>IF(RES_AB[[#This Row],[Reserva]]="","",IFERROR(VLOOKUP(RES_AB[[#This Row],[Reserva]],Tabela3[[Reserva]:[Descrição do status]],18,FALSE),"CONVENCIONAL"))</f>
        <v>CONVENCIONAL</v>
      </c>
    </row>
    <row r="444" spans="1:17" x14ac:dyDescent="0.25">
      <c r="A444" s="37">
        <v>4382400</v>
      </c>
      <c r="B444" s="37" t="s">
        <v>21</v>
      </c>
      <c r="C444" s="38" t="s">
        <v>182</v>
      </c>
      <c r="D444" s="38">
        <v>45448</v>
      </c>
      <c r="E4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4" s="39">
        <f>IFERROR(VLOOKUP(RES_AB[[#This Row],[Reserva]],Tabela8[[Reserva]:[Usuário]],7,FALSE),Dados!$A$17)</f>
        <v>0.33333333333333331</v>
      </c>
      <c r="G444" s="40">
        <f>IF(RES_AB[[#This Row],[Reserva]]="","",IF(RES_AB[[#This Row],[Hora Int WMS]]&lt;Dados!$A$16,2,2))</f>
        <v>2</v>
      </c>
      <c r="H444" s="40" t="str">
        <f>IF(RES_AB[[#This Row],[Reserva]]="","",IFERROR(VLOOKUP(RES_AB[[#This Row],[Reserva]],Tabela3[[Reserva]:[Condição para Faturamento]],20,FALSE),"IMPORTADO COM SUCESSO"))</f>
        <v>IMPORTADO COM SUCESSO</v>
      </c>
      <c r="I444" s="38">
        <f>IF(RES_AB[[#This Row],[Data base]]="","",WORKDAY(RES_AB[[#This Row],[Data Reserva - Feriado e Fds]],RES_AB[[#This Row],[Dias para atendimento]],Feriados[Data]))</f>
        <v>45450</v>
      </c>
      <c r="J444" s="40" t="str">
        <f ca="1">IF(RES_AB[[#This Row],[Reserva]]="","",CONCATENATE("D+",NETWORKDAYS(RES_AB[[#This Row],[Data Reserva - Feriado e Fds]],TODAY(),Feriados[Data])-1))</f>
        <v>D+2</v>
      </c>
      <c r="K444" s="40" t="str">
        <f ca="1">IF(RES_AB[[#This Row],[Reserva]]="","",CONCATENATE(RES_AB[[#This Row],[Cen.]]," | ",RES_AB[[#This Row],[SLA2]]))</f>
        <v>N190 | D+2</v>
      </c>
      <c r="L444" s="40">
        <f ca="1">IF(RES_AB[[#This Row],[Reserva]]="","",IF(RES_AB[[#This Row],[SLA2]]=RES_AB[[#This Row],[Reserva]]="","",COUNTIF(MB25_VOLUMETRIA[Reserva],RES_AB[[#This Row],[Reserva]])))</f>
        <v>1</v>
      </c>
      <c r="M4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4" s="37" t="str">
        <f>IF(RES_AB[[#This Row],[Cen.]]="","",IFERROR(VLOOKUP(RES_AB[[#This Row],[Cen.]],Dados_Empresas[],2,FALSE),"Verificar empresa"))</f>
        <v>NET MASSIVO</v>
      </c>
      <c r="P444" s="37" t="str">
        <f>IF(RES_AB[[#This Row],[Empresa]]="","",IF(OR(RES_AB[[#This Row],[Empresa]]="NET MASSIVO",RES_AB[[#This Row],[Empresa]]="NET PROJETOS"),"NET","EMPRESARIAL"))</f>
        <v>NET</v>
      </c>
      <c r="Q444" s="37" t="str">
        <f>IF(RES_AB[[#This Row],[Reserva]]="","",IFERROR(VLOOKUP(RES_AB[[#This Row],[Reserva]],Tabela3[[Reserva]:[Descrição do status]],18,FALSE),"CONVENCIONAL"))</f>
        <v>CONVENCIONAL</v>
      </c>
    </row>
    <row r="445" spans="1:17" x14ac:dyDescent="0.25">
      <c r="A445" s="37">
        <v>4382401</v>
      </c>
      <c r="B445" s="37" t="s">
        <v>21</v>
      </c>
      <c r="C445" s="38" t="s">
        <v>182</v>
      </c>
      <c r="D445" s="38">
        <v>45448</v>
      </c>
      <c r="E4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5" s="39">
        <f>IFERROR(VLOOKUP(RES_AB[[#This Row],[Reserva]],Tabela8[[Reserva]:[Usuário]],7,FALSE),Dados!$A$17)</f>
        <v>0.80115740740740737</v>
      </c>
      <c r="G445" s="40">
        <f>IF(RES_AB[[#This Row],[Reserva]]="","",IF(RES_AB[[#This Row],[Hora Int WMS]]&lt;Dados!$A$16,2,2))</f>
        <v>2</v>
      </c>
      <c r="H445" s="40" t="str">
        <f>IF(RES_AB[[#This Row],[Reserva]]="","",IFERROR(VLOOKUP(RES_AB[[#This Row],[Reserva]],Tabela3[[Reserva]:[Condição para Faturamento]],20,FALSE),"IMPORTADO COM SUCESSO"))</f>
        <v>IMPORTADO COM SUCESSO</v>
      </c>
      <c r="I445" s="38">
        <f>IF(RES_AB[[#This Row],[Data base]]="","",WORKDAY(RES_AB[[#This Row],[Data Reserva - Feriado e Fds]],RES_AB[[#This Row],[Dias para atendimento]],Feriados[Data]))</f>
        <v>45450</v>
      </c>
      <c r="J445" s="40" t="str">
        <f ca="1">IF(RES_AB[[#This Row],[Reserva]]="","",CONCATENATE("D+",NETWORKDAYS(RES_AB[[#This Row],[Data Reserva - Feriado e Fds]],TODAY(),Feriados[Data])-1))</f>
        <v>D+2</v>
      </c>
      <c r="K445" s="40" t="str">
        <f ca="1">IF(RES_AB[[#This Row],[Reserva]]="","",CONCATENATE(RES_AB[[#This Row],[Cen.]]," | ",RES_AB[[#This Row],[SLA2]]))</f>
        <v>N190 | D+2</v>
      </c>
      <c r="L445" s="40">
        <f ca="1">IF(RES_AB[[#This Row],[Reserva]]="","",IF(RES_AB[[#This Row],[SLA2]]=RES_AB[[#This Row],[Reserva]]="","",COUNTIF(MB25_VOLUMETRIA[Reserva],RES_AB[[#This Row],[Reserva]])))</f>
        <v>2</v>
      </c>
      <c r="M4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5" s="37" t="str">
        <f>IF(RES_AB[[#This Row],[Cen.]]="","",IFERROR(VLOOKUP(RES_AB[[#This Row],[Cen.]],Dados_Empresas[],2,FALSE),"Verificar empresa"))</f>
        <v>NET MASSIVO</v>
      </c>
      <c r="P445" s="37" t="str">
        <f>IF(RES_AB[[#This Row],[Empresa]]="","",IF(OR(RES_AB[[#This Row],[Empresa]]="NET MASSIVO",RES_AB[[#This Row],[Empresa]]="NET PROJETOS"),"NET","EMPRESARIAL"))</f>
        <v>NET</v>
      </c>
      <c r="Q445" s="37" t="str">
        <f>IF(RES_AB[[#This Row],[Reserva]]="","",IFERROR(VLOOKUP(RES_AB[[#This Row],[Reserva]],Tabela3[[Reserva]:[Descrição do status]],18,FALSE),"CONVENCIONAL"))</f>
        <v>CONVENCIONAL</v>
      </c>
    </row>
    <row r="446" spans="1:17" x14ac:dyDescent="0.25">
      <c r="A446" s="37">
        <v>4382403</v>
      </c>
      <c r="B446" s="37" t="s">
        <v>21</v>
      </c>
      <c r="C446" s="38" t="s">
        <v>182</v>
      </c>
      <c r="D446" s="38">
        <v>45448</v>
      </c>
      <c r="E4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6" s="39">
        <f>IFERROR(VLOOKUP(RES_AB[[#This Row],[Reserva]],Tabela8[[Reserva]:[Usuário]],7,FALSE),Dados!$A$17)</f>
        <v>0.33333333333333331</v>
      </c>
      <c r="G446" s="40">
        <f>IF(RES_AB[[#This Row],[Reserva]]="","",IF(RES_AB[[#This Row],[Hora Int WMS]]&lt;Dados!$A$16,2,2))</f>
        <v>2</v>
      </c>
      <c r="H446" s="40" t="str">
        <f>IF(RES_AB[[#This Row],[Reserva]]="","",IFERROR(VLOOKUP(RES_AB[[#This Row],[Reserva]],Tabela3[[Reserva]:[Condição para Faturamento]],20,FALSE),"IMPORTADO COM SUCESSO"))</f>
        <v>IMPORTADO COM SUCESSO</v>
      </c>
      <c r="I446" s="38">
        <f>IF(RES_AB[[#This Row],[Data base]]="","",WORKDAY(RES_AB[[#This Row],[Data Reserva - Feriado e Fds]],RES_AB[[#This Row],[Dias para atendimento]],Feriados[Data]))</f>
        <v>45450</v>
      </c>
      <c r="J446" s="40" t="str">
        <f ca="1">IF(RES_AB[[#This Row],[Reserva]]="","",CONCATENATE("D+",NETWORKDAYS(RES_AB[[#This Row],[Data Reserva - Feriado e Fds]],TODAY(),Feriados[Data])-1))</f>
        <v>D+2</v>
      </c>
      <c r="K446" s="40" t="str">
        <f ca="1">IF(RES_AB[[#This Row],[Reserva]]="","",CONCATENATE(RES_AB[[#This Row],[Cen.]]," | ",RES_AB[[#This Row],[SLA2]]))</f>
        <v>N190 | D+2</v>
      </c>
      <c r="L446" s="40">
        <f ca="1">IF(RES_AB[[#This Row],[Reserva]]="","",IF(RES_AB[[#This Row],[SLA2]]=RES_AB[[#This Row],[Reserva]]="","",COUNTIF(MB25_VOLUMETRIA[Reserva],RES_AB[[#This Row],[Reserva]])))</f>
        <v>1</v>
      </c>
      <c r="M4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6" s="37" t="str">
        <f>IF(RES_AB[[#This Row],[Cen.]]="","",IFERROR(VLOOKUP(RES_AB[[#This Row],[Cen.]],Dados_Empresas[],2,FALSE),"Verificar empresa"))</f>
        <v>NET MASSIVO</v>
      </c>
      <c r="P446" s="37" t="str">
        <f>IF(RES_AB[[#This Row],[Empresa]]="","",IF(OR(RES_AB[[#This Row],[Empresa]]="NET MASSIVO",RES_AB[[#This Row],[Empresa]]="NET PROJETOS"),"NET","EMPRESARIAL"))</f>
        <v>NET</v>
      </c>
      <c r="Q446" s="37" t="str">
        <f>IF(RES_AB[[#This Row],[Reserva]]="","",IFERROR(VLOOKUP(RES_AB[[#This Row],[Reserva]],Tabela3[[Reserva]:[Descrição do status]],18,FALSE),"CONVENCIONAL"))</f>
        <v>CONVENCIONAL</v>
      </c>
    </row>
    <row r="447" spans="1:17" x14ac:dyDescent="0.25">
      <c r="A447" s="37">
        <v>4382404</v>
      </c>
      <c r="B447" s="37" t="s">
        <v>21</v>
      </c>
      <c r="C447" s="38" t="s">
        <v>182</v>
      </c>
      <c r="D447" s="38">
        <v>45448</v>
      </c>
      <c r="E4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7" s="39">
        <f>IFERROR(VLOOKUP(RES_AB[[#This Row],[Reserva]],Tabela8[[Reserva]:[Usuário]],7,FALSE),Dados!$A$17)</f>
        <v>0.8012731481481481</v>
      </c>
      <c r="G447" s="40">
        <f>IF(RES_AB[[#This Row],[Reserva]]="","",IF(RES_AB[[#This Row],[Hora Int WMS]]&lt;Dados!$A$16,2,2))</f>
        <v>2</v>
      </c>
      <c r="H447" s="40" t="str">
        <f>IF(RES_AB[[#This Row],[Reserva]]="","",IFERROR(VLOOKUP(RES_AB[[#This Row],[Reserva]],Tabela3[[Reserva]:[Condição para Faturamento]],20,FALSE),"IMPORTADO COM SUCESSO"))</f>
        <v>IMPORTADO COM SUCESSO</v>
      </c>
      <c r="I447" s="38">
        <f>IF(RES_AB[[#This Row],[Data base]]="","",WORKDAY(RES_AB[[#This Row],[Data Reserva - Feriado e Fds]],RES_AB[[#This Row],[Dias para atendimento]],Feriados[Data]))</f>
        <v>45450</v>
      </c>
      <c r="J447" s="40" t="str">
        <f ca="1">IF(RES_AB[[#This Row],[Reserva]]="","",CONCATENATE("D+",NETWORKDAYS(RES_AB[[#This Row],[Data Reserva - Feriado e Fds]],TODAY(),Feriados[Data])-1))</f>
        <v>D+2</v>
      </c>
      <c r="K447" s="40" t="str">
        <f ca="1">IF(RES_AB[[#This Row],[Reserva]]="","",CONCATENATE(RES_AB[[#This Row],[Cen.]]," | ",RES_AB[[#This Row],[SLA2]]))</f>
        <v>N190 | D+2</v>
      </c>
      <c r="L447" s="40">
        <f ca="1">IF(RES_AB[[#This Row],[Reserva]]="","",IF(RES_AB[[#This Row],[SLA2]]=RES_AB[[#This Row],[Reserva]]="","",COUNTIF(MB25_VOLUMETRIA[Reserva],RES_AB[[#This Row],[Reserva]])))</f>
        <v>2</v>
      </c>
      <c r="M4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7" s="37" t="str">
        <f>IF(RES_AB[[#This Row],[Cen.]]="","",IFERROR(VLOOKUP(RES_AB[[#This Row],[Cen.]],Dados_Empresas[],2,FALSE),"Verificar empresa"))</f>
        <v>NET MASSIVO</v>
      </c>
      <c r="P447" s="37" t="str">
        <f>IF(RES_AB[[#This Row],[Empresa]]="","",IF(OR(RES_AB[[#This Row],[Empresa]]="NET MASSIVO",RES_AB[[#This Row],[Empresa]]="NET PROJETOS"),"NET","EMPRESARIAL"))</f>
        <v>NET</v>
      </c>
      <c r="Q447" s="37" t="str">
        <f>IF(RES_AB[[#This Row],[Reserva]]="","",IFERROR(VLOOKUP(RES_AB[[#This Row],[Reserva]],Tabela3[[Reserva]:[Descrição do status]],18,FALSE),"CONVENCIONAL"))</f>
        <v>CONVENCIONAL</v>
      </c>
    </row>
    <row r="448" spans="1:17" x14ac:dyDescent="0.25">
      <c r="A448" s="37">
        <v>4382405</v>
      </c>
      <c r="B448" s="37" t="s">
        <v>21</v>
      </c>
      <c r="C448" s="38" t="s">
        <v>21</v>
      </c>
      <c r="D448" s="38">
        <v>45448</v>
      </c>
      <c r="E4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8" s="39">
        <f>IFERROR(VLOOKUP(RES_AB[[#This Row],[Reserva]],Tabela8[[Reserva]:[Usuário]],7,FALSE),Dados!$A$17)</f>
        <v>0.33333333333333331</v>
      </c>
      <c r="G448" s="40">
        <f>IF(RES_AB[[#This Row],[Reserva]]="","",IF(RES_AB[[#This Row],[Hora Int WMS]]&lt;Dados!$A$16,2,2))</f>
        <v>2</v>
      </c>
      <c r="H448" s="40" t="str">
        <f>IF(RES_AB[[#This Row],[Reserva]]="","",IFERROR(VLOOKUP(RES_AB[[#This Row],[Reserva]],Tabela3[[Reserva]:[Condição para Faturamento]],20,FALSE),"IMPORTADO COM SUCESSO"))</f>
        <v>IMPORTADO COM SUCESSO</v>
      </c>
      <c r="I448" s="38">
        <f>IF(RES_AB[[#This Row],[Data base]]="","",WORKDAY(RES_AB[[#This Row],[Data Reserva - Feriado e Fds]],RES_AB[[#This Row],[Dias para atendimento]],Feriados[Data]))</f>
        <v>45450</v>
      </c>
      <c r="J448" s="40" t="str">
        <f ca="1">IF(RES_AB[[#This Row],[Reserva]]="","",CONCATENATE("D+",NETWORKDAYS(RES_AB[[#This Row],[Data Reserva - Feriado e Fds]],TODAY(),Feriados[Data])-1))</f>
        <v>D+2</v>
      </c>
      <c r="K448" s="40" t="str">
        <f ca="1">IF(RES_AB[[#This Row],[Reserva]]="","",CONCATENATE(RES_AB[[#This Row],[Cen.]]," | ",RES_AB[[#This Row],[SLA2]]))</f>
        <v>N190 | D+2</v>
      </c>
      <c r="L448" s="40">
        <f ca="1">IF(RES_AB[[#This Row],[Reserva]]="","",IF(RES_AB[[#This Row],[SLA2]]=RES_AB[[#This Row],[Reserva]]="","",COUNTIF(MB25_VOLUMETRIA[Reserva],RES_AB[[#This Row],[Reserva]])))</f>
        <v>6</v>
      </c>
      <c r="M4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8" s="37" t="str">
        <f>IF(RES_AB[[#This Row],[Cen.]]="","",IFERROR(VLOOKUP(RES_AB[[#This Row],[Cen.]],Dados_Empresas[],2,FALSE),"Verificar empresa"))</f>
        <v>NET MASSIVO</v>
      </c>
      <c r="P448" s="37" t="str">
        <f>IF(RES_AB[[#This Row],[Empresa]]="","",IF(OR(RES_AB[[#This Row],[Empresa]]="NET MASSIVO",RES_AB[[#This Row],[Empresa]]="NET PROJETOS"),"NET","EMPRESARIAL"))</f>
        <v>NET</v>
      </c>
      <c r="Q448" s="37" t="str">
        <f>IF(RES_AB[[#This Row],[Reserva]]="","",IFERROR(VLOOKUP(RES_AB[[#This Row],[Reserva]],Tabela3[[Reserva]:[Descrição do status]],18,FALSE),"CONVENCIONAL"))</f>
        <v>CONVENCIONAL</v>
      </c>
    </row>
    <row r="449" spans="1:17" x14ac:dyDescent="0.25">
      <c r="A449" s="37">
        <v>4382406</v>
      </c>
      <c r="B449" s="37" t="s">
        <v>21</v>
      </c>
      <c r="C449" s="38" t="s">
        <v>21</v>
      </c>
      <c r="D449" s="38">
        <v>45448</v>
      </c>
      <c r="E4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49" s="39">
        <f>IFERROR(VLOOKUP(RES_AB[[#This Row],[Reserva]],Tabela8[[Reserva]:[Usuário]],7,FALSE),Dados!$A$17)</f>
        <v>0.33333333333333331</v>
      </c>
      <c r="G449" s="40">
        <f>IF(RES_AB[[#This Row],[Reserva]]="","",IF(RES_AB[[#This Row],[Hora Int WMS]]&lt;Dados!$A$16,2,2))</f>
        <v>2</v>
      </c>
      <c r="H449" s="40" t="str">
        <f>IF(RES_AB[[#This Row],[Reserva]]="","",IFERROR(VLOOKUP(RES_AB[[#This Row],[Reserva]],Tabela3[[Reserva]:[Condição para Faturamento]],20,FALSE),"IMPORTADO COM SUCESSO"))</f>
        <v>IMPORTADO COM SUCESSO</v>
      </c>
      <c r="I449" s="38">
        <f>IF(RES_AB[[#This Row],[Data base]]="","",WORKDAY(RES_AB[[#This Row],[Data Reserva - Feriado e Fds]],RES_AB[[#This Row],[Dias para atendimento]],Feriados[Data]))</f>
        <v>45450</v>
      </c>
      <c r="J449" s="40" t="str">
        <f ca="1">IF(RES_AB[[#This Row],[Reserva]]="","",CONCATENATE("D+",NETWORKDAYS(RES_AB[[#This Row],[Data Reserva - Feriado e Fds]],TODAY(),Feriados[Data])-1))</f>
        <v>D+2</v>
      </c>
      <c r="K449" s="40" t="str">
        <f ca="1">IF(RES_AB[[#This Row],[Reserva]]="","",CONCATENATE(RES_AB[[#This Row],[Cen.]]," | ",RES_AB[[#This Row],[SLA2]]))</f>
        <v>N190 | D+2</v>
      </c>
      <c r="L449" s="40">
        <f ca="1">IF(RES_AB[[#This Row],[Reserva]]="","",IF(RES_AB[[#This Row],[SLA2]]=RES_AB[[#This Row],[Reserva]]="","",COUNTIF(MB25_VOLUMETRIA[Reserva],RES_AB[[#This Row],[Reserva]])))</f>
        <v>2</v>
      </c>
      <c r="M4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4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49" s="37" t="str">
        <f>IF(RES_AB[[#This Row],[Cen.]]="","",IFERROR(VLOOKUP(RES_AB[[#This Row],[Cen.]],Dados_Empresas[],2,FALSE),"Verificar empresa"))</f>
        <v>NET MASSIVO</v>
      </c>
      <c r="P449" s="37" t="str">
        <f>IF(RES_AB[[#This Row],[Empresa]]="","",IF(OR(RES_AB[[#This Row],[Empresa]]="NET MASSIVO",RES_AB[[#This Row],[Empresa]]="NET PROJETOS"),"NET","EMPRESARIAL"))</f>
        <v>NET</v>
      </c>
      <c r="Q449" s="37" t="str">
        <f>IF(RES_AB[[#This Row],[Reserva]]="","",IFERROR(VLOOKUP(RES_AB[[#This Row],[Reserva]],Tabela3[[Reserva]:[Descrição do status]],18,FALSE),"CONVENCIONAL"))</f>
        <v>CONVENCIONAL</v>
      </c>
    </row>
    <row r="450" spans="1:17" x14ac:dyDescent="0.25">
      <c r="A450" s="37">
        <v>4382407</v>
      </c>
      <c r="B450" s="37" t="s">
        <v>21</v>
      </c>
      <c r="C450" s="38" t="s">
        <v>19</v>
      </c>
      <c r="D450" s="38">
        <v>45448</v>
      </c>
      <c r="E4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0" s="39">
        <f>IFERROR(VLOOKUP(RES_AB[[#This Row],[Reserva]],Tabela8[[Reserva]:[Usuário]],7,FALSE),Dados!$A$17)</f>
        <v>0.33333333333333331</v>
      </c>
      <c r="G450" s="40">
        <f>IF(RES_AB[[#This Row],[Reserva]]="","",IF(RES_AB[[#This Row],[Hora Int WMS]]&lt;Dados!$A$16,2,2))</f>
        <v>2</v>
      </c>
      <c r="H450" s="40" t="str">
        <f>IF(RES_AB[[#This Row],[Reserva]]="","",IFERROR(VLOOKUP(RES_AB[[#This Row],[Reserva]],Tabela3[[Reserva]:[Condição para Faturamento]],20,FALSE),"IMPORTADO COM SUCESSO"))</f>
        <v>IMPORTADO COM SUCESSO</v>
      </c>
      <c r="I450" s="38">
        <f>IF(RES_AB[[#This Row],[Data base]]="","",WORKDAY(RES_AB[[#This Row],[Data Reserva - Feriado e Fds]],RES_AB[[#This Row],[Dias para atendimento]],Feriados[Data]))</f>
        <v>45450</v>
      </c>
      <c r="J450" s="40" t="str">
        <f ca="1">IF(RES_AB[[#This Row],[Reserva]]="","",CONCATENATE("D+",NETWORKDAYS(RES_AB[[#This Row],[Data Reserva - Feriado e Fds]],TODAY(),Feriados[Data])-1))</f>
        <v>D+2</v>
      </c>
      <c r="K450" s="40" t="str">
        <f ca="1">IF(RES_AB[[#This Row],[Reserva]]="","",CONCATENATE(RES_AB[[#This Row],[Cen.]]," | ",RES_AB[[#This Row],[SLA2]]))</f>
        <v>N190 | D+2</v>
      </c>
      <c r="L450" s="40">
        <f ca="1">IF(RES_AB[[#This Row],[Reserva]]="","",IF(RES_AB[[#This Row],[SLA2]]=RES_AB[[#This Row],[Reserva]]="","",COUNTIF(MB25_VOLUMETRIA[Reserva],RES_AB[[#This Row],[Reserva]])))</f>
        <v>25</v>
      </c>
      <c r="M4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0" s="37" t="str">
        <f>IF(RES_AB[[#This Row],[Cen.]]="","",IFERROR(VLOOKUP(RES_AB[[#This Row],[Cen.]],Dados_Empresas[],2,FALSE),"Verificar empresa"))</f>
        <v>NET MASSIVO</v>
      </c>
      <c r="P450" s="37" t="str">
        <f>IF(RES_AB[[#This Row],[Empresa]]="","",IF(OR(RES_AB[[#This Row],[Empresa]]="NET MASSIVO",RES_AB[[#This Row],[Empresa]]="NET PROJETOS"),"NET","EMPRESARIAL"))</f>
        <v>NET</v>
      </c>
      <c r="Q450" s="37" t="str">
        <f>IF(RES_AB[[#This Row],[Reserva]]="","",IFERROR(VLOOKUP(RES_AB[[#This Row],[Reserva]],Tabela3[[Reserva]:[Descrição do status]],18,FALSE),"CONVENCIONAL"))</f>
        <v>CONVENCIONAL</v>
      </c>
    </row>
    <row r="451" spans="1:17" x14ac:dyDescent="0.25">
      <c r="A451" s="37">
        <v>4382408</v>
      </c>
      <c r="B451" s="37" t="s">
        <v>21</v>
      </c>
      <c r="C451" s="38" t="s">
        <v>182</v>
      </c>
      <c r="D451" s="38">
        <v>45448</v>
      </c>
      <c r="E4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1" s="39">
        <f>IFERROR(VLOOKUP(RES_AB[[#This Row],[Reserva]],Tabela8[[Reserva]:[Usuário]],7,FALSE),Dados!$A$17)</f>
        <v>0.80173611111111109</v>
      </c>
      <c r="G451" s="40">
        <f>IF(RES_AB[[#This Row],[Reserva]]="","",IF(RES_AB[[#This Row],[Hora Int WMS]]&lt;Dados!$A$16,2,2))</f>
        <v>2</v>
      </c>
      <c r="H451" s="40" t="str">
        <f>IF(RES_AB[[#This Row],[Reserva]]="","",IFERROR(VLOOKUP(RES_AB[[#This Row],[Reserva]],Tabela3[[Reserva]:[Condição para Faturamento]],20,FALSE),"IMPORTADO COM SUCESSO"))</f>
        <v>IMPORTADO COM SUCESSO</v>
      </c>
      <c r="I451" s="38">
        <f>IF(RES_AB[[#This Row],[Data base]]="","",WORKDAY(RES_AB[[#This Row],[Data Reserva - Feriado e Fds]],RES_AB[[#This Row],[Dias para atendimento]],Feriados[Data]))</f>
        <v>45450</v>
      </c>
      <c r="J451" s="40" t="str">
        <f ca="1">IF(RES_AB[[#This Row],[Reserva]]="","",CONCATENATE("D+",NETWORKDAYS(RES_AB[[#This Row],[Data Reserva - Feriado e Fds]],TODAY(),Feriados[Data])-1))</f>
        <v>D+2</v>
      </c>
      <c r="K451" s="40" t="str">
        <f ca="1">IF(RES_AB[[#This Row],[Reserva]]="","",CONCATENATE(RES_AB[[#This Row],[Cen.]]," | ",RES_AB[[#This Row],[SLA2]]))</f>
        <v>N190 | D+2</v>
      </c>
      <c r="L451" s="40">
        <f ca="1">IF(RES_AB[[#This Row],[Reserva]]="","",IF(RES_AB[[#This Row],[SLA2]]=RES_AB[[#This Row],[Reserva]]="","",COUNTIF(MB25_VOLUMETRIA[Reserva],RES_AB[[#This Row],[Reserva]])))</f>
        <v>1</v>
      </c>
      <c r="M4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1" s="37" t="str">
        <f>IF(RES_AB[[#This Row],[Cen.]]="","",IFERROR(VLOOKUP(RES_AB[[#This Row],[Cen.]],Dados_Empresas[],2,FALSE),"Verificar empresa"))</f>
        <v>NET MASSIVO</v>
      </c>
      <c r="P451" s="37" t="str">
        <f>IF(RES_AB[[#This Row],[Empresa]]="","",IF(OR(RES_AB[[#This Row],[Empresa]]="NET MASSIVO",RES_AB[[#This Row],[Empresa]]="NET PROJETOS"),"NET","EMPRESARIAL"))</f>
        <v>NET</v>
      </c>
      <c r="Q451" s="37" t="str">
        <f>IF(RES_AB[[#This Row],[Reserva]]="","",IFERROR(VLOOKUP(RES_AB[[#This Row],[Reserva]],Tabela3[[Reserva]:[Descrição do status]],18,FALSE),"CONVENCIONAL"))</f>
        <v>CONVENCIONAL</v>
      </c>
    </row>
    <row r="452" spans="1:17" x14ac:dyDescent="0.25">
      <c r="A452" s="37">
        <v>4382409</v>
      </c>
      <c r="B452" s="37" t="s">
        <v>21</v>
      </c>
      <c r="C452" s="38" t="s">
        <v>182</v>
      </c>
      <c r="D452" s="38">
        <v>45448</v>
      </c>
      <c r="E4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2" s="39">
        <f>IFERROR(VLOOKUP(RES_AB[[#This Row],[Reserva]],Tabela8[[Reserva]:[Usuário]],7,FALSE),Dados!$A$17)</f>
        <v>0.33333333333333331</v>
      </c>
      <c r="G452" s="40">
        <f>IF(RES_AB[[#This Row],[Reserva]]="","",IF(RES_AB[[#This Row],[Hora Int WMS]]&lt;Dados!$A$16,2,2))</f>
        <v>2</v>
      </c>
      <c r="H452" s="40" t="str">
        <f>IF(RES_AB[[#This Row],[Reserva]]="","",IFERROR(VLOOKUP(RES_AB[[#This Row],[Reserva]],Tabela3[[Reserva]:[Condição para Faturamento]],20,FALSE),"IMPORTADO COM SUCESSO"))</f>
        <v>IMPORTADO COM SUCESSO</v>
      </c>
      <c r="I452" s="38">
        <f>IF(RES_AB[[#This Row],[Data base]]="","",WORKDAY(RES_AB[[#This Row],[Data Reserva - Feriado e Fds]],RES_AB[[#This Row],[Dias para atendimento]],Feriados[Data]))</f>
        <v>45450</v>
      </c>
      <c r="J452" s="40" t="str">
        <f ca="1">IF(RES_AB[[#This Row],[Reserva]]="","",CONCATENATE("D+",NETWORKDAYS(RES_AB[[#This Row],[Data Reserva - Feriado e Fds]],TODAY(),Feriados[Data])-1))</f>
        <v>D+2</v>
      </c>
      <c r="K452" s="40" t="str">
        <f ca="1">IF(RES_AB[[#This Row],[Reserva]]="","",CONCATENATE(RES_AB[[#This Row],[Cen.]]," | ",RES_AB[[#This Row],[SLA2]]))</f>
        <v>N190 | D+2</v>
      </c>
      <c r="L452" s="40">
        <f ca="1">IF(RES_AB[[#This Row],[Reserva]]="","",IF(RES_AB[[#This Row],[SLA2]]=RES_AB[[#This Row],[Reserva]]="","",COUNTIF(MB25_VOLUMETRIA[Reserva],RES_AB[[#This Row],[Reserva]])))</f>
        <v>1</v>
      </c>
      <c r="M4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2" s="37" t="str">
        <f>IF(RES_AB[[#This Row],[Cen.]]="","",IFERROR(VLOOKUP(RES_AB[[#This Row],[Cen.]],Dados_Empresas[],2,FALSE),"Verificar empresa"))</f>
        <v>NET MASSIVO</v>
      </c>
      <c r="P452" s="37" t="str">
        <f>IF(RES_AB[[#This Row],[Empresa]]="","",IF(OR(RES_AB[[#This Row],[Empresa]]="NET MASSIVO",RES_AB[[#This Row],[Empresa]]="NET PROJETOS"),"NET","EMPRESARIAL"))</f>
        <v>NET</v>
      </c>
      <c r="Q452" s="37" t="str">
        <f>IF(RES_AB[[#This Row],[Reserva]]="","",IFERROR(VLOOKUP(RES_AB[[#This Row],[Reserva]],Tabela3[[Reserva]:[Descrição do status]],18,FALSE),"CONVENCIONAL"))</f>
        <v>CONVENCIONAL</v>
      </c>
    </row>
    <row r="453" spans="1:17" x14ac:dyDescent="0.25">
      <c r="A453" s="37">
        <v>4382410</v>
      </c>
      <c r="B453" s="37" t="s">
        <v>21</v>
      </c>
      <c r="C453" s="38" t="s">
        <v>21</v>
      </c>
      <c r="D453" s="38">
        <v>45448</v>
      </c>
      <c r="E4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3" s="39">
        <f>IFERROR(VLOOKUP(RES_AB[[#This Row],[Reserva]],Tabela8[[Reserva]:[Usuário]],7,FALSE),Dados!$A$17)</f>
        <v>0.33333333333333331</v>
      </c>
      <c r="G453" s="40">
        <f>IF(RES_AB[[#This Row],[Reserva]]="","",IF(RES_AB[[#This Row],[Hora Int WMS]]&lt;Dados!$A$16,2,2))</f>
        <v>2</v>
      </c>
      <c r="H453" s="40" t="str">
        <f>IF(RES_AB[[#This Row],[Reserva]]="","",IFERROR(VLOOKUP(RES_AB[[#This Row],[Reserva]],Tabela3[[Reserva]:[Condição para Faturamento]],20,FALSE),"IMPORTADO COM SUCESSO"))</f>
        <v>IMPORTADO COM SUCESSO</v>
      </c>
      <c r="I453" s="38">
        <f>IF(RES_AB[[#This Row],[Data base]]="","",WORKDAY(RES_AB[[#This Row],[Data Reserva - Feriado e Fds]],RES_AB[[#This Row],[Dias para atendimento]],Feriados[Data]))</f>
        <v>45450</v>
      </c>
      <c r="J453" s="40" t="str">
        <f ca="1">IF(RES_AB[[#This Row],[Reserva]]="","",CONCATENATE("D+",NETWORKDAYS(RES_AB[[#This Row],[Data Reserva - Feriado e Fds]],TODAY(),Feriados[Data])-1))</f>
        <v>D+2</v>
      </c>
      <c r="K453" s="40" t="str">
        <f ca="1">IF(RES_AB[[#This Row],[Reserva]]="","",CONCATENATE(RES_AB[[#This Row],[Cen.]]," | ",RES_AB[[#This Row],[SLA2]]))</f>
        <v>N190 | D+2</v>
      </c>
      <c r="L453" s="40">
        <f ca="1">IF(RES_AB[[#This Row],[Reserva]]="","",IF(RES_AB[[#This Row],[SLA2]]=RES_AB[[#This Row],[Reserva]]="","",COUNTIF(MB25_VOLUMETRIA[Reserva],RES_AB[[#This Row],[Reserva]])))</f>
        <v>4</v>
      </c>
      <c r="M4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3" s="37" t="str">
        <f>IF(RES_AB[[#This Row],[Cen.]]="","",IFERROR(VLOOKUP(RES_AB[[#This Row],[Cen.]],Dados_Empresas[],2,FALSE),"Verificar empresa"))</f>
        <v>NET MASSIVO</v>
      </c>
      <c r="P453" s="37" t="str">
        <f>IF(RES_AB[[#This Row],[Empresa]]="","",IF(OR(RES_AB[[#This Row],[Empresa]]="NET MASSIVO",RES_AB[[#This Row],[Empresa]]="NET PROJETOS"),"NET","EMPRESARIAL"))</f>
        <v>NET</v>
      </c>
      <c r="Q453" s="37" t="str">
        <f>IF(RES_AB[[#This Row],[Reserva]]="","",IFERROR(VLOOKUP(RES_AB[[#This Row],[Reserva]],Tabela3[[Reserva]:[Descrição do status]],18,FALSE),"CONVENCIONAL"))</f>
        <v>CONVENCIONAL</v>
      </c>
    </row>
    <row r="454" spans="1:17" x14ac:dyDescent="0.25">
      <c r="A454" s="37">
        <v>4382411</v>
      </c>
      <c r="B454" s="37" t="s">
        <v>21</v>
      </c>
      <c r="C454" s="38" t="s">
        <v>21</v>
      </c>
      <c r="D454" s="38">
        <v>45448</v>
      </c>
      <c r="E4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4" s="39">
        <f>IFERROR(VLOOKUP(RES_AB[[#This Row],[Reserva]],Tabela8[[Reserva]:[Usuário]],7,FALSE),Dados!$A$17)</f>
        <v>0.33333333333333331</v>
      </c>
      <c r="G454" s="40">
        <f>IF(RES_AB[[#This Row],[Reserva]]="","",IF(RES_AB[[#This Row],[Hora Int WMS]]&lt;Dados!$A$16,2,2))</f>
        <v>2</v>
      </c>
      <c r="H454" s="40" t="str">
        <f>IF(RES_AB[[#This Row],[Reserva]]="","",IFERROR(VLOOKUP(RES_AB[[#This Row],[Reserva]],Tabela3[[Reserva]:[Condição para Faturamento]],20,FALSE),"IMPORTADO COM SUCESSO"))</f>
        <v>IMPORTADO COM SUCESSO</v>
      </c>
      <c r="I454" s="38">
        <f>IF(RES_AB[[#This Row],[Data base]]="","",WORKDAY(RES_AB[[#This Row],[Data Reserva - Feriado e Fds]],RES_AB[[#This Row],[Dias para atendimento]],Feriados[Data]))</f>
        <v>45450</v>
      </c>
      <c r="J454" s="40" t="str">
        <f ca="1">IF(RES_AB[[#This Row],[Reserva]]="","",CONCATENATE("D+",NETWORKDAYS(RES_AB[[#This Row],[Data Reserva - Feriado e Fds]],TODAY(),Feriados[Data])-1))</f>
        <v>D+2</v>
      </c>
      <c r="K454" s="40" t="str">
        <f ca="1">IF(RES_AB[[#This Row],[Reserva]]="","",CONCATENATE(RES_AB[[#This Row],[Cen.]]," | ",RES_AB[[#This Row],[SLA2]]))</f>
        <v>N190 | D+2</v>
      </c>
      <c r="L454" s="40">
        <f ca="1">IF(RES_AB[[#This Row],[Reserva]]="","",IF(RES_AB[[#This Row],[SLA2]]=RES_AB[[#This Row],[Reserva]]="","",COUNTIF(MB25_VOLUMETRIA[Reserva],RES_AB[[#This Row],[Reserva]])))</f>
        <v>2</v>
      </c>
      <c r="M4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4" s="37" t="str">
        <f>IF(RES_AB[[#This Row],[Cen.]]="","",IFERROR(VLOOKUP(RES_AB[[#This Row],[Cen.]],Dados_Empresas[],2,FALSE),"Verificar empresa"))</f>
        <v>NET MASSIVO</v>
      </c>
      <c r="P454" s="37" t="str">
        <f>IF(RES_AB[[#This Row],[Empresa]]="","",IF(OR(RES_AB[[#This Row],[Empresa]]="NET MASSIVO",RES_AB[[#This Row],[Empresa]]="NET PROJETOS"),"NET","EMPRESARIAL"))</f>
        <v>NET</v>
      </c>
      <c r="Q454" s="37" t="str">
        <f>IF(RES_AB[[#This Row],[Reserva]]="","",IFERROR(VLOOKUP(RES_AB[[#This Row],[Reserva]],Tabela3[[Reserva]:[Descrição do status]],18,FALSE),"CONVENCIONAL"))</f>
        <v>CONVENCIONAL</v>
      </c>
    </row>
    <row r="455" spans="1:17" x14ac:dyDescent="0.25">
      <c r="A455" s="37">
        <v>4382412</v>
      </c>
      <c r="B455" s="37" t="s">
        <v>21</v>
      </c>
      <c r="C455" s="38" t="s">
        <v>21</v>
      </c>
      <c r="D455" s="38">
        <v>45448</v>
      </c>
      <c r="E4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5" s="39">
        <f>IFERROR(VLOOKUP(RES_AB[[#This Row],[Reserva]],Tabela8[[Reserva]:[Usuário]],7,FALSE),Dados!$A$17)</f>
        <v>0.33333333333333331</v>
      </c>
      <c r="G455" s="40">
        <f>IF(RES_AB[[#This Row],[Reserva]]="","",IF(RES_AB[[#This Row],[Hora Int WMS]]&lt;Dados!$A$16,2,2))</f>
        <v>2</v>
      </c>
      <c r="H455" s="40" t="str">
        <f>IF(RES_AB[[#This Row],[Reserva]]="","",IFERROR(VLOOKUP(RES_AB[[#This Row],[Reserva]],Tabela3[[Reserva]:[Condição para Faturamento]],20,FALSE),"IMPORTADO COM SUCESSO"))</f>
        <v>IMPORTADO COM SUCESSO</v>
      </c>
      <c r="I455" s="38">
        <f>IF(RES_AB[[#This Row],[Data base]]="","",WORKDAY(RES_AB[[#This Row],[Data Reserva - Feriado e Fds]],RES_AB[[#This Row],[Dias para atendimento]],Feriados[Data]))</f>
        <v>45450</v>
      </c>
      <c r="J455" s="40" t="str">
        <f ca="1">IF(RES_AB[[#This Row],[Reserva]]="","",CONCATENATE("D+",NETWORKDAYS(RES_AB[[#This Row],[Data Reserva - Feriado e Fds]],TODAY(),Feriados[Data])-1))</f>
        <v>D+2</v>
      </c>
      <c r="K455" s="40" t="str">
        <f ca="1">IF(RES_AB[[#This Row],[Reserva]]="","",CONCATENATE(RES_AB[[#This Row],[Cen.]]," | ",RES_AB[[#This Row],[SLA2]]))</f>
        <v>N190 | D+2</v>
      </c>
      <c r="L455" s="40">
        <f ca="1">IF(RES_AB[[#This Row],[Reserva]]="","",IF(RES_AB[[#This Row],[SLA2]]=RES_AB[[#This Row],[Reserva]]="","",COUNTIF(MB25_VOLUMETRIA[Reserva],RES_AB[[#This Row],[Reserva]])))</f>
        <v>1</v>
      </c>
      <c r="M4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5" s="37" t="str">
        <f>IF(RES_AB[[#This Row],[Cen.]]="","",IFERROR(VLOOKUP(RES_AB[[#This Row],[Cen.]],Dados_Empresas[],2,FALSE),"Verificar empresa"))</f>
        <v>NET MASSIVO</v>
      </c>
      <c r="P455" s="37" t="str">
        <f>IF(RES_AB[[#This Row],[Empresa]]="","",IF(OR(RES_AB[[#This Row],[Empresa]]="NET MASSIVO",RES_AB[[#This Row],[Empresa]]="NET PROJETOS"),"NET","EMPRESARIAL"))</f>
        <v>NET</v>
      </c>
      <c r="Q455" s="37" t="str">
        <f>IF(RES_AB[[#This Row],[Reserva]]="","",IFERROR(VLOOKUP(RES_AB[[#This Row],[Reserva]],Tabela3[[Reserva]:[Descrição do status]],18,FALSE),"CONVENCIONAL"))</f>
        <v>CONVENCIONAL</v>
      </c>
    </row>
    <row r="456" spans="1:17" x14ac:dyDescent="0.25">
      <c r="A456" s="37">
        <v>4382413</v>
      </c>
      <c r="B456" s="37" t="s">
        <v>21</v>
      </c>
      <c r="C456" s="38" t="s">
        <v>21</v>
      </c>
      <c r="D456" s="38">
        <v>45448</v>
      </c>
      <c r="E4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6" s="39">
        <f>IFERROR(VLOOKUP(RES_AB[[#This Row],[Reserva]],Tabela8[[Reserva]:[Usuário]],7,FALSE),Dados!$A$17)</f>
        <v>0.33333333333333331</v>
      </c>
      <c r="G456" s="40">
        <f>IF(RES_AB[[#This Row],[Reserva]]="","",IF(RES_AB[[#This Row],[Hora Int WMS]]&lt;Dados!$A$16,2,2))</f>
        <v>2</v>
      </c>
      <c r="H456" s="40" t="str">
        <f>IF(RES_AB[[#This Row],[Reserva]]="","",IFERROR(VLOOKUP(RES_AB[[#This Row],[Reserva]],Tabela3[[Reserva]:[Condição para Faturamento]],20,FALSE),"IMPORTADO COM SUCESSO"))</f>
        <v>IMPORTADO COM SUCESSO</v>
      </c>
      <c r="I456" s="38">
        <f>IF(RES_AB[[#This Row],[Data base]]="","",WORKDAY(RES_AB[[#This Row],[Data Reserva - Feriado e Fds]],RES_AB[[#This Row],[Dias para atendimento]],Feriados[Data]))</f>
        <v>45450</v>
      </c>
      <c r="J456" s="40" t="str">
        <f ca="1">IF(RES_AB[[#This Row],[Reserva]]="","",CONCATENATE("D+",NETWORKDAYS(RES_AB[[#This Row],[Data Reserva - Feriado e Fds]],TODAY(),Feriados[Data])-1))</f>
        <v>D+2</v>
      </c>
      <c r="K456" s="40" t="str">
        <f ca="1">IF(RES_AB[[#This Row],[Reserva]]="","",CONCATENATE(RES_AB[[#This Row],[Cen.]]," | ",RES_AB[[#This Row],[SLA2]]))</f>
        <v>N190 | D+2</v>
      </c>
      <c r="L456" s="40">
        <f ca="1">IF(RES_AB[[#This Row],[Reserva]]="","",IF(RES_AB[[#This Row],[SLA2]]=RES_AB[[#This Row],[Reserva]]="","",COUNTIF(MB25_VOLUMETRIA[Reserva],RES_AB[[#This Row],[Reserva]])))</f>
        <v>1</v>
      </c>
      <c r="M4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6" s="37" t="str">
        <f>IF(RES_AB[[#This Row],[Cen.]]="","",IFERROR(VLOOKUP(RES_AB[[#This Row],[Cen.]],Dados_Empresas[],2,FALSE),"Verificar empresa"))</f>
        <v>NET MASSIVO</v>
      </c>
      <c r="P456" s="37" t="str">
        <f>IF(RES_AB[[#This Row],[Empresa]]="","",IF(OR(RES_AB[[#This Row],[Empresa]]="NET MASSIVO",RES_AB[[#This Row],[Empresa]]="NET PROJETOS"),"NET","EMPRESARIAL"))</f>
        <v>NET</v>
      </c>
      <c r="Q456" s="37" t="str">
        <f>IF(RES_AB[[#This Row],[Reserva]]="","",IFERROR(VLOOKUP(RES_AB[[#This Row],[Reserva]],Tabela3[[Reserva]:[Descrição do status]],18,FALSE),"CONVENCIONAL"))</f>
        <v>CONVENCIONAL</v>
      </c>
    </row>
    <row r="457" spans="1:17" x14ac:dyDescent="0.25">
      <c r="A457" s="37">
        <v>4382414</v>
      </c>
      <c r="B457" s="37" t="s">
        <v>21</v>
      </c>
      <c r="C457" s="38" t="s">
        <v>21</v>
      </c>
      <c r="D457" s="38">
        <v>45448</v>
      </c>
      <c r="E4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7" s="39">
        <f>IFERROR(VLOOKUP(RES_AB[[#This Row],[Reserva]],Tabela8[[Reserva]:[Usuário]],7,FALSE),Dados!$A$17)</f>
        <v>0.33333333333333331</v>
      </c>
      <c r="G457" s="40">
        <f>IF(RES_AB[[#This Row],[Reserva]]="","",IF(RES_AB[[#This Row],[Hora Int WMS]]&lt;Dados!$A$16,2,2))</f>
        <v>2</v>
      </c>
      <c r="H457" s="40" t="str">
        <f>IF(RES_AB[[#This Row],[Reserva]]="","",IFERROR(VLOOKUP(RES_AB[[#This Row],[Reserva]],Tabela3[[Reserva]:[Condição para Faturamento]],20,FALSE),"IMPORTADO COM SUCESSO"))</f>
        <v>IMPORTADO COM SUCESSO</v>
      </c>
      <c r="I457" s="38">
        <f>IF(RES_AB[[#This Row],[Data base]]="","",WORKDAY(RES_AB[[#This Row],[Data Reserva - Feriado e Fds]],RES_AB[[#This Row],[Dias para atendimento]],Feriados[Data]))</f>
        <v>45450</v>
      </c>
      <c r="J457" s="40" t="str">
        <f ca="1">IF(RES_AB[[#This Row],[Reserva]]="","",CONCATENATE("D+",NETWORKDAYS(RES_AB[[#This Row],[Data Reserva - Feriado e Fds]],TODAY(),Feriados[Data])-1))</f>
        <v>D+2</v>
      </c>
      <c r="K457" s="40" t="str">
        <f ca="1">IF(RES_AB[[#This Row],[Reserva]]="","",CONCATENATE(RES_AB[[#This Row],[Cen.]]," | ",RES_AB[[#This Row],[SLA2]]))</f>
        <v>N190 | D+2</v>
      </c>
      <c r="L457" s="40">
        <f ca="1">IF(RES_AB[[#This Row],[Reserva]]="","",IF(RES_AB[[#This Row],[SLA2]]=RES_AB[[#This Row],[Reserva]]="","",COUNTIF(MB25_VOLUMETRIA[Reserva],RES_AB[[#This Row],[Reserva]])))</f>
        <v>12</v>
      </c>
      <c r="M4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7" s="37" t="str">
        <f>IF(RES_AB[[#This Row],[Cen.]]="","",IFERROR(VLOOKUP(RES_AB[[#This Row],[Cen.]],Dados_Empresas[],2,FALSE),"Verificar empresa"))</f>
        <v>NET MASSIVO</v>
      </c>
      <c r="P457" s="37" t="str">
        <f>IF(RES_AB[[#This Row],[Empresa]]="","",IF(OR(RES_AB[[#This Row],[Empresa]]="NET MASSIVO",RES_AB[[#This Row],[Empresa]]="NET PROJETOS"),"NET","EMPRESARIAL"))</f>
        <v>NET</v>
      </c>
      <c r="Q457" s="37" t="str">
        <f>IF(RES_AB[[#This Row],[Reserva]]="","",IFERROR(VLOOKUP(RES_AB[[#This Row],[Reserva]],Tabela3[[Reserva]:[Descrição do status]],18,FALSE),"CONVENCIONAL"))</f>
        <v>CONVENCIONAL</v>
      </c>
    </row>
    <row r="458" spans="1:17" x14ac:dyDescent="0.25">
      <c r="A458" s="37">
        <v>4382415</v>
      </c>
      <c r="B458" s="37" t="s">
        <v>21</v>
      </c>
      <c r="C458" s="38" t="s">
        <v>182</v>
      </c>
      <c r="D458" s="38">
        <v>45448</v>
      </c>
      <c r="E4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8" s="39">
        <f>IFERROR(VLOOKUP(RES_AB[[#This Row],[Reserva]],Tabela8[[Reserva]:[Usuário]],7,FALSE),Dados!$A$17)</f>
        <v>0.80219907407407409</v>
      </c>
      <c r="G458" s="40">
        <f>IF(RES_AB[[#This Row],[Reserva]]="","",IF(RES_AB[[#This Row],[Hora Int WMS]]&lt;Dados!$A$16,2,2))</f>
        <v>2</v>
      </c>
      <c r="H458" s="40" t="str">
        <f>IF(RES_AB[[#This Row],[Reserva]]="","",IFERROR(VLOOKUP(RES_AB[[#This Row],[Reserva]],Tabela3[[Reserva]:[Condição para Faturamento]],20,FALSE),"IMPORTADO COM SUCESSO"))</f>
        <v>IMPORTADO COM SUCESSO</v>
      </c>
      <c r="I458" s="38">
        <f>IF(RES_AB[[#This Row],[Data base]]="","",WORKDAY(RES_AB[[#This Row],[Data Reserva - Feriado e Fds]],RES_AB[[#This Row],[Dias para atendimento]],Feriados[Data]))</f>
        <v>45450</v>
      </c>
      <c r="J458" s="40" t="str">
        <f ca="1">IF(RES_AB[[#This Row],[Reserva]]="","",CONCATENATE("D+",NETWORKDAYS(RES_AB[[#This Row],[Data Reserva - Feriado e Fds]],TODAY(),Feriados[Data])-1))</f>
        <v>D+2</v>
      </c>
      <c r="K458" s="40" t="str">
        <f ca="1">IF(RES_AB[[#This Row],[Reserva]]="","",CONCATENATE(RES_AB[[#This Row],[Cen.]]," | ",RES_AB[[#This Row],[SLA2]]))</f>
        <v>N190 | D+2</v>
      </c>
      <c r="L458" s="40">
        <f ca="1">IF(RES_AB[[#This Row],[Reserva]]="","",IF(RES_AB[[#This Row],[SLA2]]=RES_AB[[#This Row],[Reserva]]="","",COUNTIF(MB25_VOLUMETRIA[Reserva],RES_AB[[#This Row],[Reserva]])))</f>
        <v>1</v>
      </c>
      <c r="M4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8" s="37" t="str">
        <f>IF(RES_AB[[#This Row],[Cen.]]="","",IFERROR(VLOOKUP(RES_AB[[#This Row],[Cen.]],Dados_Empresas[],2,FALSE),"Verificar empresa"))</f>
        <v>NET MASSIVO</v>
      </c>
      <c r="P458" s="37" t="str">
        <f>IF(RES_AB[[#This Row],[Empresa]]="","",IF(OR(RES_AB[[#This Row],[Empresa]]="NET MASSIVO",RES_AB[[#This Row],[Empresa]]="NET PROJETOS"),"NET","EMPRESARIAL"))</f>
        <v>NET</v>
      </c>
      <c r="Q458" s="37" t="str">
        <f>IF(RES_AB[[#This Row],[Reserva]]="","",IFERROR(VLOOKUP(RES_AB[[#This Row],[Reserva]],Tabela3[[Reserva]:[Descrição do status]],18,FALSE),"CONVENCIONAL"))</f>
        <v>CONVENCIONAL</v>
      </c>
    </row>
    <row r="459" spans="1:17" x14ac:dyDescent="0.25">
      <c r="A459" s="37">
        <v>4382416</v>
      </c>
      <c r="B459" s="37" t="s">
        <v>21</v>
      </c>
      <c r="C459" s="38" t="s">
        <v>21</v>
      </c>
      <c r="D459" s="38">
        <v>45448</v>
      </c>
      <c r="E4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59" s="39">
        <f>IFERROR(VLOOKUP(RES_AB[[#This Row],[Reserva]],Tabela8[[Reserva]:[Usuário]],7,FALSE),Dados!$A$17)</f>
        <v>0.33333333333333331</v>
      </c>
      <c r="G459" s="40">
        <f>IF(RES_AB[[#This Row],[Reserva]]="","",IF(RES_AB[[#This Row],[Hora Int WMS]]&lt;Dados!$A$16,2,2))</f>
        <v>2</v>
      </c>
      <c r="H459" s="40" t="str">
        <f>IF(RES_AB[[#This Row],[Reserva]]="","",IFERROR(VLOOKUP(RES_AB[[#This Row],[Reserva]],Tabela3[[Reserva]:[Condição para Faturamento]],20,FALSE),"IMPORTADO COM SUCESSO"))</f>
        <v>IMPORTADO COM SUCESSO</v>
      </c>
      <c r="I459" s="38">
        <f>IF(RES_AB[[#This Row],[Data base]]="","",WORKDAY(RES_AB[[#This Row],[Data Reserva - Feriado e Fds]],RES_AB[[#This Row],[Dias para atendimento]],Feriados[Data]))</f>
        <v>45450</v>
      </c>
      <c r="J459" s="40" t="str">
        <f ca="1">IF(RES_AB[[#This Row],[Reserva]]="","",CONCATENATE("D+",NETWORKDAYS(RES_AB[[#This Row],[Data Reserva - Feriado e Fds]],TODAY(),Feriados[Data])-1))</f>
        <v>D+2</v>
      </c>
      <c r="K459" s="40" t="str">
        <f ca="1">IF(RES_AB[[#This Row],[Reserva]]="","",CONCATENATE(RES_AB[[#This Row],[Cen.]]," | ",RES_AB[[#This Row],[SLA2]]))</f>
        <v>N190 | D+2</v>
      </c>
      <c r="L459" s="40">
        <f ca="1">IF(RES_AB[[#This Row],[Reserva]]="","",IF(RES_AB[[#This Row],[SLA2]]=RES_AB[[#This Row],[Reserva]]="","",COUNTIF(MB25_VOLUMETRIA[Reserva],RES_AB[[#This Row],[Reserva]])))</f>
        <v>1</v>
      </c>
      <c r="M4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5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59" s="37" t="str">
        <f>IF(RES_AB[[#This Row],[Cen.]]="","",IFERROR(VLOOKUP(RES_AB[[#This Row],[Cen.]],Dados_Empresas[],2,FALSE),"Verificar empresa"))</f>
        <v>NET MASSIVO</v>
      </c>
      <c r="P459" s="37" t="str">
        <f>IF(RES_AB[[#This Row],[Empresa]]="","",IF(OR(RES_AB[[#This Row],[Empresa]]="NET MASSIVO",RES_AB[[#This Row],[Empresa]]="NET PROJETOS"),"NET","EMPRESARIAL"))</f>
        <v>NET</v>
      </c>
      <c r="Q459" s="37" t="str">
        <f>IF(RES_AB[[#This Row],[Reserva]]="","",IFERROR(VLOOKUP(RES_AB[[#This Row],[Reserva]],Tabela3[[Reserva]:[Descrição do status]],18,FALSE),"CONVENCIONAL"))</f>
        <v>CONVENCIONAL</v>
      </c>
    </row>
    <row r="460" spans="1:17" x14ac:dyDescent="0.25">
      <c r="A460" s="37">
        <v>4382417</v>
      </c>
      <c r="B460" s="37" t="s">
        <v>21</v>
      </c>
      <c r="C460" s="38" t="s">
        <v>21</v>
      </c>
      <c r="D460" s="38">
        <v>45448</v>
      </c>
      <c r="E4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0" s="39">
        <f>IFERROR(VLOOKUP(RES_AB[[#This Row],[Reserva]],Tabela8[[Reserva]:[Usuário]],7,FALSE),Dados!$A$17)</f>
        <v>0.80231481481481481</v>
      </c>
      <c r="G460" s="40">
        <f>IF(RES_AB[[#This Row],[Reserva]]="","",IF(RES_AB[[#This Row],[Hora Int WMS]]&lt;Dados!$A$16,2,2))</f>
        <v>2</v>
      </c>
      <c r="H460" s="40" t="str">
        <f>IF(RES_AB[[#This Row],[Reserva]]="","",IFERROR(VLOOKUP(RES_AB[[#This Row],[Reserva]],Tabela3[[Reserva]:[Condição para Faturamento]],20,FALSE),"IMPORTADO COM SUCESSO"))</f>
        <v>IMPORTADO COM SUCESSO</v>
      </c>
      <c r="I460" s="38">
        <f>IF(RES_AB[[#This Row],[Data base]]="","",WORKDAY(RES_AB[[#This Row],[Data Reserva - Feriado e Fds]],RES_AB[[#This Row],[Dias para atendimento]],Feriados[Data]))</f>
        <v>45450</v>
      </c>
      <c r="J460" s="40" t="str">
        <f ca="1">IF(RES_AB[[#This Row],[Reserva]]="","",CONCATENATE("D+",NETWORKDAYS(RES_AB[[#This Row],[Data Reserva - Feriado e Fds]],TODAY(),Feriados[Data])-1))</f>
        <v>D+2</v>
      </c>
      <c r="K460" s="40" t="str">
        <f ca="1">IF(RES_AB[[#This Row],[Reserva]]="","",CONCATENATE(RES_AB[[#This Row],[Cen.]]," | ",RES_AB[[#This Row],[SLA2]]))</f>
        <v>N190 | D+2</v>
      </c>
      <c r="L460" s="40">
        <f ca="1">IF(RES_AB[[#This Row],[Reserva]]="","",IF(RES_AB[[#This Row],[SLA2]]=RES_AB[[#This Row],[Reserva]]="","",COUNTIF(MB25_VOLUMETRIA[Reserva],RES_AB[[#This Row],[Reserva]])))</f>
        <v>2</v>
      </c>
      <c r="M4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0" s="37" t="str">
        <f>IF(RES_AB[[#This Row],[Cen.]]="","",IFERROR(VLOOKUP(RES_AB[[#This Row],[Cen.]],Dados_Empresas[],2,FALSE),"Verificar empresa"))</f>
        <v>NET MASSIVO</v>
      </c>
      <c r="P460" s="37" t="str">
        <f>IF(RES_AB[[#This Row],[Empresa]]="","",IF(OR(RES_AB[[#This Row],[Empresa]]="NET MASSIVO",RES_AB[[#This Row],[Empresa]]="NET PROJETOS"),"NET","EMPRESARIAL"))</f>
        <v>NET</v>
      </c>
      <c r="Q460" s="37" t="str">
        <f>IF(RES_AB[[#This Row],[Reserva]]="","",IFERROR(VLOOKUP(RES_AB[[#This Row],[Reserva]],Tabela3[[Reserva]:[Descrição do status]],18,FALSE),"CONVENCIONAL"))</f>
        <v>CONVENCIONAL</v>
      </c>
    </row>
    <row r="461" spans="1:17" x14ac:dyDescent="0.25">
      <c r="A461" s="37">
        <v>4382419</v>
      </c>
      <c r="B461" s="37" t="s">
        <v>21</v>
      </c>
      <c r="C461" s="38" t="s">
        <v>21</v>
      </c>
      <c r="D461" s="38">
        <v>45448</v>
      </c>
      <c r="E4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1" s="39">
        <f>IFERROR(VLOOKUP(RES_AB[[#This Row],[Reserva]],Tabela8[[Reserva]:[Usuário]],7,FALSE),Dados!$A$17)</f>
        <v>0.80243055555555554</v>
      </c>
      <c r="G461" s="40">
        <f>IF(RES_AB[[#This Row],[Reserva]]="","",IF(RES_AB[[#This Row],[Hora Int WMS]]&lt;Dados!$A$16,2,2))</f>
        <v>2</v>
      </c>
      <c r="H461" s="40" t="str">
        <f>IF(RES_AB[[#This Row],[Reserva]]="","",IFERROR(VLOOKUP(RES_AB[[#This Row],[Reserva]],Tabela3[[Reserva]:[Condição para Faturamento]],20,FALSE),"IMPORTADO COM SUCESSO"))</f>
        <v>IMPORTADO COM SUCESSO</v>
      </c>
      <c r="I461" s="38">
        <f>IF(RES_AB[[#This Row],[Data base]]="","",WORKDAY(RES_AB[[#This Row],[Data Reserva - Feriado e Fds]],RES_AB[[#This Row],[Dias para atendimento]],Feriados[Data]))</f>
        <v>45450</v>
      </c>
      <c r="J461" s="40" t="str">
        <f ca="1">IF(RES_AB[[#This Row],[Reserva]]="","",CONCATENATE("D+",NETWORKDAYS(RES_AB[[#This Row],[Data Reserva - Feriado e Fds]],TODAY(),Feriados[Data])-1))</f>
        <v>D+2</v>
      </c>
      <c r="K461" s="40" t="str">
        <f ca="1">IF(RES_AB[[#This Row],[Reserva]]="","",CONCATENATE(RES_AB[[#This Row],[Cen.]]," | ",RES_AB[[#This Row],[SLA2]]))</f>
        <v>N190 | D+2</v>
      </c>
      <c r="L461" s="40">
        <f ca="1">IF(RES_AB[[#This Row],[Reserva]]="","",IF(RES_AB[[#This Row],[SLA2]]=RES_AB[[#This Row],[Reserva]]="","",COUNTIF(MB25_VOLUMETRIA[Reserva],RES_AB[[#This Row],[Reserva]])))</f>
        <v>1</v>
      </c>
      <c r="M4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1" s="37" t="str">
        <f>IF(RES_AB[[#This Row],[Cen.]]="","",IFERROR(VLOOKUP(RES_AB[[#This Row],[Cen.]],Dados_Empresas[],2,FALSE),"Verificar empresa"))</f>
        <v>NET MASSIVO</v>
      </c>
      <c r="P461" s="37" t="str">
        <f>IF(RES_AB[[#This Row],[Empresa]]="","",IF(OR(RES_AB[[#This Row],[Empresa]]="NET MASSIVO",RES_AB[[#This Row],[Empresa]]="NET PROJETOS"),"NET","EMPRESARIAL"))</f>
        <v>NET</v>
      </c>
      <c r="Q461" s="37" t="str">
        <f>IF(RES_AB[[#This Row],[Reserva]]="","",IFERROR(VLOOKUP(RES_AB[[#This Row],[Reserva]],Tabela3[[Reserva]:[Descrição do status]],18,FALSE),"CONVENCIONAL"))</f>
        <v>CONVENCIONAL</v>
      </c>
    </row>
    <row r="462" spans="1:17" x14ac:dyDescent="0.25">
      <c r="A462" s="37">
        <v>4382420</v>
      </c>
      <c r="B462" s="37" t="s">
        <v>21</v>
      </c>
      <c r="C462" s="38" t="s">
        <v>21</v>
      </c>
      <c r="D462" s="38">
        <v>45448</v>
      </c>
      <c r="E4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2" s="39">
        <f>IFERROR(VLOOKUP(RES_AB[[#This Row],[Reserva]],Tabela8[[Reserva]:[Usuário]],7,FALSE),Dados!$A$17)</f>
        <v>0.33333333333333331</v>
      </c>
      <c r="G462" s="40">
        <f>IF(RES_AB[[#This Row],[Reserva]]="","",IF(RES_AB[[#This Row],[Hora Int WMS]]&lt;Dados!$A$16,2,2))</f>
        <v>2</v>
      </c>
      <c r="H462" s="40" t="str">
        <f>IF(RES_AB[[#This Row],[Reserva]]="","",IFERROR(VLOOKUP(RES_AB[[#This Row],[Reserva]],Tabela3[[Reserva]:[Condição para Faturamento]],20,FALSE),"IMPORTADO COM SUCESSO"))</f>
        <v>IMPORTADO COM SUCESSO</v>
      </c>
      <c r="I462" s="38">
        <f>IF(RES_AB[[#This Row],[Data base]]="","",WORKDAY(RES_AB[[#This Row],[Data Reserva - Feriado e Fds]],RES_AB[[#This Row],[Dias para atendimento]],Feriados[Data]))</f>
        <v>45450</v>
      </c>
      <c r="J462" s="40" t="str">
        <f ca="1">IF(RES_AB[[#This Row],[Reserva]]="","",CONCATENATE("D+",NETWORKDAYS(RES_AB[[#This Row],[Data Reserva - Feriado e Fds]],TODAY(),Feriados[Data])-1))</f>
        <v>D+2</v>
      </c>
      <c r="K462" s="40" t="str">
        <f ca="1">IF(RES_AB[[#This Row],[Reserva]]="","",CONCATENATE(RES_AB[[#This Row],[Cen.]]," | ",RES_AB[[#This Row],[SLA2]]))</f>
        <v>N190 | D+2</v>
      </c>
      <c r="L462" s="40">
        <f ca="1">IF(RES_AB[[#This Row],[Reserva]]="","",IF(RES_AB[[#This Row],[SLA2]]=RES_AB[[#This Row],[Reserva]]="","",COUNTIF(MB25_VOLUMETRIA[Reserva],RES_AB[[#This Row],[Reserva]])))</f>
        <v>2</v>
      </c>
      <c r="M4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2" s="37" t="str">
        <f>IF(RES_AB[[#This Row],[Cen.]]="","",IFERROR(VLOOKUP(RES_AB[[#This Row],[Cen.]],Dados_Empresas[],2,FALSE),"Verificar empresa"))</f>
        <v>NET MASSIVO</v>
      </c>
      <c r="P462" s="37" t="str">
        <f>IF(RES_AB[[#This Row],[Empresa]]="","",IF(OR(RES_AB[[#This Row],[Empresa]]="NET MASSIVO",RES_AB[[#This Row],[Empresa]]="NET PROJETOS"),"NET","EMPRESARIAL"))</f>
        <v>NET</v>
      </c>
      <c r="Q462" s="37" t="str">
        <f>IF(RES_AB[[#This Row],[Reserva]]="","",IFERROR(VLOOKUP(RES_AB[[#This Row],[Reserva]],Tabela3[[Reserva]:[Descrição do status]],18,FALSE),"CONVENCIONAL"))</f>
        <v>CONVENCIONAL</v>
      </c>
    </row>
    <row r="463" spans="1:17" x14ac:dyDescent="0.25">
      <c r="A463" s="37">
        <v>4382421</v>
      </c>
      <c r="B463" s="37" t="s">
        <v>21</v>
      </c>
      <c r="C463" s="38" t="s">
        <v>182</v>
      </c>
      <c r="D463" s="38">
        <v>45448</v>
      </c>
      <c r="E4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3" s="39">
        <f>IFERROR(VLOOKUP(RES_AB[[#This Row],[Reserva]],Tabela8[[Reserva]:[Usuário]],7,FALSE),Dados!$A$17)</f>
        <v>0.33333333333333331</v>
      </c>
      <c r="G463" s="40">
        <f>IF(RES_AB[[#This Row],[Reserva]]="","",IF(RES_AB[[#This Row],[Hora Int WMS]]&lt;Dados!$A$16,2,2))</f>
        <v>2</v>
      </c>
      <c r="H463" s="40" t="str">
        <f>IF(RES_AB[[#This Row],[Reserva]]="","",IFERROR(VLOOKUP(RES_AB[[#This Row],[Reserva]],Tabela3[[Reserva]:[Condição para Faturamento]],20,FALSE),"IMPORTADO COM SUCESSO"))</f>
        <v>IMPORTADO COM SUCESSO</v>
      </c>
      <c r="I463" s="38">
        <f>IF(RES_AB[[#This Row],[Data base]]="","",WORKDAY(RES_AB[[#This Row],[Data Reserva - Feriado e Fds]],RES_AB[[#This Row],[Dias para atendimento]],Feriados[Data]))</f>
        <v>45450</v>
      </c>
      <c r="J463" s="40" t="str">
        <f ca="1">IF(RES_AB[[#This Row],[Reserva]]="","",CONCATENATE("D+",NETWORKDAYS(RES_AB[[#This Row],[Data Reserva - Feriado e Fds]],TODAY(),Feriados[Data])-1))</f>
        <v>D+2</v>
      </c>
      <c r="K463" s="40" t="str">
        <f ca="1">IF(RES_AB[[#This Row],[Reserva]]="","",CONCATENATE(RES_AB[[#This Row],[Cen.]]," | ",RES_AB[[#This Row],[SLA2]]))</f>
        <v>N190 | D+2</v>
      </c>
      <c r="L463" s="40">
        <f ca="1">IF(RES_AB[[#This Row],[Reserva]]="","",IF(RES_AB[[#This Row],[SLA2]]=RES_AB[[#This Row],[Reserva]]="","",COUNTIF(MB25_VOLUMETRIA[Reserva],RES_AB[[#This Row],[Reserva]])))</f>
        <v>1</v>
      </c>
      <c r="M4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3" s="37" t="str">
        <f>IF(RES_AB[[#This Row],[Cen.]]="","",IFERROR(VLOOKUP(RES_AB[[#This Row],[Cen.]],Dados_Empresas[],2,FALSE),"Verificar empresa"))</f>
        <v>NET MASSIVO</v>
      </c>
      <c r="P463" s="37" t="str">
        <f>IF(RES_AB[[#This Row],[Empresa]]="","",IF(OR(RES_AB[[#This Row],[Empresa]]="NET MASSIVO",RES_AB[[#This Row],[Empresa]]="NET PROJETOS"),"NET","EMPRESARIAL"))</f>
        <v>NET</v>
      </c>
      <c r="Q463" s="37" t="str">
        <f>IF(RES_AB[[#This Row],[Reserva]]="","",IFERROR(VLOOKUP(RES_AB[[#This Row],[Reserva]],Tabela3[[Reserva]:[Descrição do status]],18,FALSE),"CONVENCIONAL"))</f>
        <v>CONVENCIONAL</v>
      </c>
    </row>
    <row r="464" spans="1:17" x14ac:dyDescent="0.25">
      <c r="A464" s="37">
        <v>4382422</v>
      </c>
      <c r="B464" s="37" t="s">
        <v>21</v>
      </c>
      <c r="C464" s="38" t="s">
        <v>182</v>
      </c>
      <c r="D464" s="38">
        <v>45448</v>
      </c>
      <c r="E4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4" s="39">
        <f>IFERROR(VLOOKUP(RES_AB[[#This Row],[Reserva]],Tabela8[[Reserva]:[Usuário]],7,FALSE),Dados!$A$17)</f>
        <v>0.33333333333333331</v>
      </c>
      <c r="G464" s="40">
        <f>IF(RES_AB[[#This Row],[Reserva]]="","",IF(RES_AB[[#This Row],[Hora Int WMS]]&lt;Dados!$A$16,2,2))</f>
        <v>2</v>
      </c>
      <c r="H464" s="40" t="str">
        <f>IF(RES_AB[[#This Row],[Reserva]]="","",IFERROR(VLOOKUP(RES_AB[[#This Row],[Reserva]],Tabela3[[Reserva]:[Condição para Faturamento]],20,FALSE),"IMPORTADO COM SUCESSO"))</f>
        <v>IMPORTADO COM SUCESSO</v>
      </c>
      <c r="I464" s="38">
        <f>IF(RES_AB[[#This Row],[Data base]]="","",WORKDAY(RES_AB[[#This Row],[Data Reserva - Feriado e Fds]],RES_AB[[#This Row],[Dias para atendimento]],Feriados[Data]))</f>
        <v>45450</v>
      </c>
      <c r="J464" s="40" t="str">
        <f ca="1">IF(RES_AB[[#This Row],[Reserva]]="","",CONCATENATE("D+",NETWORKDAYS(RES_AB[[#This Row],[Data Reserva - Feriado e Fds]],TODAY(),Feriados[Data])-1))</f>
        <v>D+2</v>
      </c>
      <c r="K464" s="40" t="str">
        <f ca="1">IF(RES_AB[[#This Row],[Reserva]]="","",CONCATENATE(RES_AB[[#This Row],[Cen.]]," | ",RES_AB[[#This Row],[SLA2]]))</f>
        <v>N190 | D+2</v>
      </c>
      <c r="L464" s="40">
        <f ca="1">IF(RES_AB[[#This Row],[Reserva]]="","",IF(RES_AB[[#This Row],[SLA2]]=RES_AB[[#This Row],[Reserva]]="","",COUNTIF(MB25_VOLUMETRIA[Reserva],RES_AB[[#This Row],[Reserva]])))</f>
        <v>1</v>
      </c>
      <c r="M4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4" s="37" t="str">
        <f>IF(RES_AB[[#This Row],[Cen.]]="","",IFERROR(VLOOKUP(RES_AB[[#This Row],[Cen.]],Dados_Empresas[],2,FALSE),"Verificar empresa"))</f>
        <v>NET MASSIVO</v>
      </c>
      <c r="P464" s="37" t="str">
        <f>IF(RES_AB[[#This Row],[Empresa]]="","",IF(OR(RES_AB[[#This Row],[Empresa]]="NET MASSIVO",RES_AB[[#This Row],[Empresa]]="NET PROJETOS"),"NET","EMPRESARIAL"))</f>
        <v>NET</v>
      </c>
      <c r="Q464" s="37" t="str">
        <f>IF(RES_AB[[#This Row],[Reserva]]="","",IFERROR(VLOOKUP(RES_AB[[#This Row],[Reserva]],Tabela3[[Reserva]:[Descrição do status]],18,FALSE),"CONVENCIONAL"))</f>
        <v>CONVENCIONAL</v>
      </c>
    </row>
    <row r="465" spans="1:17" x14ac:dyDescent="0.25">
      <c r="A465" s="37">
        <v>4382423</v>
      </c>
      <c r="B465" s="37" t="s">
        <v>21</v>
      </c>
      <c r="C465" s="38" t="s">
        <v>21</v>
      </c>
      <c r="D465" s="38">
        <v>45448</v>
      </c>
      <c r="E4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5" s="39">
        <f>IFERROR(VLOOKUP(RES_AB[[#This Row],[Reserva]],Tabela8[[Reserva]:[Usuário]],7,FALSE),Dados!$A$17)</f>
        <v>0.33333333333333331</v>
      </c>
      <c r="G465" s="40">
        <f>IF(RES_AB[[#This Row],[Reserva]]="","",IF(RES_AB[[#This Row],[Hora Int WMS]]&lt;Dados!$A$16,2,2))</f>
        <v>2</v>
      </c>
      <c r="H465" s="40" t="str">
        <f>IF(RES_AB[[#This Row],[Reserva]]="","",IFERROR(VLOOKUP(RES_AB[[#This Row],[Reserva]],Tabela3[[Reserva]:[Condição para Faturamento]],20,FALSE),"IMPORTADO COM SUCESSO"))</f>
        <v>IMPORTADO COM SUCESSO</v>
      </c>
      <c r="I465" s="38">
        <f>IF(RES_AB[[#This Row],[Data base]]="","",WORKDAY(RES_AB[[#This Row],[Data Reserva - Feriado e Fds]],RES_AB[[#This Row],[Dias para atendimento]],Feriados[Data]))</f>
        <v>45450</v>
      </c>
      <c r="J465" s="40" t="str">
        <f ca="1">IF(RES_AB[[#This Row],[Reserva]]="","",CONCATENATE("D+",NETWORKDAYS(RES_AB[[#This Row],[Data Reserva - Feriado e Fds]],TODAY(),Feriados[Data])-1))</f>
        <v>D+2</v>
      </c>
      <c r="K465" s="40" t="str">
        <f ca="1">IF(RES_AB[[#This Row],[Reserva]]="","",CONCATENATE(RES_AB[[#This Row],[Cen.]]," | ",RES_AB[[#This Row],[SLA2]]))</f>
        <v>N190 | D+2</v>
      </c>
      <c r="L465" s="40">
        <f ca="1">IF(RES_AB[[#This Row],[Reserva]]="","",IF(RES_AB[[#This Row],[SLA2]]=RES_AB[[#This Row],[Reserva]]="","",COUNTIF(MB25_VOLUMETRIA[Reserva],RES_AB[[#This Row],[Reserva]])))</f>
        <v>1</v>
      </c>
      <c r="M4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5" s="37" t="str">
        <f>IF(RES_AB[[#This Row],[Cen.]]="","",IFERROR(VLOOKUP(RES_AB[[#This Row],[Cen.]],Dados_Empresas[],2,FALSE),"Verificar empresa"))</f>
        <v>NET MASSIVO</v>
      </c>
      <c r="P465" s="37" t="str">
        <f>IF(RES_AB[[#This Row],[Empresa]]="","",IF(OR(RES_AB[[#This Row],[Empresa]]="NET MASSIVO",RES_AB[[#This Row],[Empresa]]="NET PROJETOS"),"NET","EMPRESARIAL"))</f>
        <v>NET</v>
      </c>
      <c r="Q465" s="37" t="str">
        <f>IF(RES_AB[[#This Row],[Reserva]]="","",IFERROR(VLOOKUP(RES_AB[[#This Row],[Reserva]],Tabela3[[Reserva]:[Descrição do status]],18,FALSE),"CONVENCIONAL"))</f>
        <v>CONVENCIONAL</v>
      </c>
    </row>
    <row r="466" spans="1:17" x14ac:dyDescent="0.25">
      <c r="A466" s="37">
        <v>4382424</v>
      </c>
      <c r="B466" s="37" t="s">
        <v>21</v>
      </c>
      <c r="C466" s="38" t="s">
        <v>21</v>
      </c>
      <c r="D466" s="38">
        <v>45448</v>
      </c>
      <c r="E4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6" s="39">
        <f>IFERROR(VLOOKUP(RES_AB[[#This Row],[Reserva]],Tabela8[[Reserva]:[Usuário]],7,FALSE),Dados!$A$17)</f>
        <v>0.33333333333333331</v>
      </c>
      <c r="G466" s="40">
        <f>IF(RES_AB[[#This Row],[Reserva]]="","",IF(RES_AB[[#This Row],[Hora Int WMS]]&lt;Dados!$A$16,2,2))</f>
        <v>2</v>
      </c>
      <c r="H466" s="40" t="str">
        <f>IF(RES_AB[[#This Row],[Reserva]]="","",IFERROR(VLOOKUP(RES_AB[[#This Row],[Reserva]],Tabela3[[Reserva]:[Condição para Faturamento]],20,FALSE),"IMPORTADO COM SUCESSO"))</f>
        <v>IMPORTADO COM SUCESSO</v>
      </c>
      <c r="I466" s="38">
        <f>IF(RES_AB[[#This Row],[Data base]]="","",WORKDAY(RES_AB[[#This Row],[Data Reserva - Feriado e Fds]],RES_AB[[#This Row],[Dias para atendimento]],Feriados[Data]))</f>
        <v>45450</v>
      </c>
      <c r="J466" s="40" t="str">
        <f ca="1">IF(RES_AB[[#This Row],[Reserva]]="","",CONCATENATE("D+",NETWORKDAYS(RES_AB[[#This Row],[Data Reserva - Feriado e Fds]],TODAY(),Feriados[Data])-1))</f>
        <v>D+2</v>
      </c>
      <c r="K466" s="40" t="str">
        <f ca="1">IF(RES_AB[[#This Row],[Reserva]]="","",CONCATENATE(RES_AB[[#This Row],[Cen.]]," | ",RES_AB[[#This Row],[SLA2]]))</f>
        <v>N190 | D+2</v>
      </c>
      <c r="L466" s="40">
        <f ca="1">IF(RES_AB[[#This Row],[Reserva]]="","",IF(RES_AB[[#This Row],[SLA2]]=RES_AB[[#This Row],[Reserva]]="","",COUNTIF(MB25_VOLUMETRIA[Reserva],RES_AB[[#This Row],[Reserva]])))</f>
        <v>1</v>
      </c>
      <c r="M4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6" s="37" t="str">
        <f>IF(RES_AB[[#This Row],[Cen.]]="","",IFERROR(VLOOKUP(RES_AB[[#This Row],[Cen.]],Dados_Empresas[],2,FALSE),"Verificar empresa"))</f>
        <v>NET MASSIVO</v>
      </c>
      <c r="P466" s="37" t="str">
        <f>IF(RES_AB[[#This Row],[Empresa]]="","",IF(OR(RES_AB[[#This Row],[Empresa]]="NET MASSIVO",RES_AB[[#This Row],[Empresa]]="NET PROJETOS"),"NET","EMPRESARIAL"))</f>
        <v>NET</v>
      </c>
      <c r="Q466" s="37" t="str">
        <f>IF(RES_AB[[#This Row],[Reserva]]="","",IFERROR(VLOOKUP(RES_AB[[#This Row],[Reserva]],Tabela3[[Reserva]:[Descrição do status]],18,FALSE),"CONVENCIONAL"))</f>
        <v>CONVENCIONAL</v>
      </c>
    </row>
    <row r="467" spans="1:17" x14ac:dyDescent="0.25">
      <c r="A467" s="37">
        <v>4382426</v>
      </c>
      <c r="B467" s="37" t="s">
        <v>21</v>
      </c>
      <c r="C467" s="38" t="s">
        <v>182</v>
      </c>
      <c r="D467" s="38">
        <v>45448</v>
      </c>
      <c r="E4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7" s="39">
        <f>IFERROR(VLOOKUP(RES_AB[[#This Row],[Reserva]],Tabela8[[Reserva]:[Usuário]],7,FALSE),Dados!$A$17)</f>
        <v>0.33333333333333331</v>
      </c>
      <c r="G467" s="40">
        <f>IF(RES_AB[[#This Row],[Reserva]]="","",IF(RES_AB[[#This Row],[Hora Int WMS]]&lt;Dados!$A$16,2,2))</f>
        <v>2</v>
      </c>
      <c r="H467" s="40" t="str">
        <f>IF(RES_AB[[#This Row],[Reserva]]="","",IFERROR(VLOOKUP(RES_AB[[#This Row],[Reserva]],Tabela3[[Reserva]:[Condição para Faturamento]],20,FALSE),"IMPORTADO COM SUCESSO"))</f>
        <v>IMPORTADO COM SUCESSO</v>
      </c>
      <c r="I467" s="38">
        <f>IF(RES_AB[[#This Row],[Data base]]="","",WORKDAY(RES_AB[[#This Row],[Data Reserva - Feriado e Fds]],RES_AB[[#This Row],[Dias para atendimento]],Feriados[Data]))</f>
        <v>45450</v>
      </c>
      <c r="J467" s="40" t="str">
        <f ca="1">IF(RES_AB[[#This Row],[Reserva]]="","",CONCATENATE("D+",NETWORKDAYS(RES_AB[[#This Row],[Data Reserva - Feriado e Fds]],TODAY(),Feriados[Data])-1))</f>
        <v>D+2</v>
      </c>
      <c r="K467" s="40" t="str">
        <f ca="1">IF(RES_AB[[#This Row],[Reserva]]="","",CONCATENATE(RES_AB[[#This Row],[Cen.]]," | ",RES_AB[[#This Row],[SLA2]]))</f>
        <v>N190 | D+2</v>
      </c>
      <c r="L467" s="40">
        <f ca="1">IF(RES_AB[[#This Row],[Reserva]]="","",IF(RES_AB[[#This Row],[SLA2]]=RES_AB[[#This Row],[Reserva]]="","",COUNTIF(MB25_VOLUMETRIA[Reserva],RES_AB[[#This Row],[Reserva]])))</f>
        <v>1</v>
      </c>
      <c r="M4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7" s="37" t="str">
        <f>IF(RES_AB[[#This Row],[Cen.]]="","",IFERROR(VLOOKUP(RES_AB[[#This Row],[Cen.]],Dados_Empresas[],2,FALSE),"Verificar empresa"))</f>
        <v>NET MASSIVO</v>
      </c>
      <c r="P467" s="37" t="str">
        <f>IF(RES_AB[[#This Row],[Empresa]]="","",IF(OR(RES_AB[[#This Row],[Empresa]]="NET MASSIVO",RES_AB[[#This Row],[Empresa]]="NET PROJETOS"),"NET","EMPRESARIAL"))</f>
        <v>NET</v>
      </c>
      <c r="Q467" s="37" t="str">
        <f>IF(RES_AB[[#This Row],[Reserva]]="","",IFERROR(VLOOKUP(RES_AB[[#This Row],[Reserva]],Tabela3[[Reserva]:[Descrição do status]],18,FALSE),"CONVENCIONAL"))</f>
        <v>CONVENCIONAL</v>
      </c>
    </row>
    <row r="468" spans="1:17" x14ac:dyDescent="0.25">
      <c r="A468" s="37">
        <v>4382427</v>
      </c>
      <c r="B468" s="37" t="s">
        <v>21</v>
      </c>
      <c r="C468" s="38" t="s">
        <v>19</v>
      </c>
      <c r="D468" s="38">
        <v>45448</v>
      </c>
      <c r="E4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8" s="39">
        <f>IFERROR(VLOOKUP(RES_AB[[#This Row],[Reserva]],Tabela8[[Reserva]:[Usuário]],7,FALSE),Dados!$A$17)</f>
        <v>0.80289351851851853</v>
      </c>
      <c r="G468" s="40">
        <f>IF(RES_AB[[#This Row],[Reserva]]="","",IF(RES_AB[[#This Row],[Hora Int WMS]]&lt;Dados!$A$16,2,2))</f>
        <v>2</v>
      </c>
      <c r="H468" s="40" t="str">
        <f>IF(RES_AB[[#This Row],[Reserva]]="","",IFERROR(VLOOKUP(RES_AB[[#This Row],[Reserva]],Tabela3[[Reserva]:[Condição para Faturamento]],20,FALSE),"IMPORTADO COM SUCESSO"))</f>
        <v>IMPORTADO COM SUCESSO</v>
      </c>
      <c r="I468" s="38">
        <f>IF(RES_AB[[#This Row],[Data base]]="","",WORKDAY(RES_AB[[#This Row],[Data Reserva - Feriado e Fds]],RES_AB[[#This Row],[Dias para atendimento]],Feriados[Data]))</f>
        <v>45450</v>
      </c>
      <c r="J468" s="40" t="str">
        <f ca="1">IF(RES_AB[[#This Row],[Reserva]]="","",CONCATENATE("D+",NETWORKDAYS(RES_AB[[#This Row],[Data Reserva - Feriado e Fds]],TODAY(),Feriados[Data])-1))</f>
        <v>D+2</v>
      </c>
      <c r="K468" s="40" t="str">
        <f ca="1">IF(RES_AB[[#This Row],[Reserva]]="","",CONCATENATE(RES_AB[[#This Row],[Cen.]]," | ",RES_AB[[#This Row],[SLA2]]))</f>
        <v>N190 | D+2</v>
      </c>
      <c r="L468" s="40">
        <f ca="1">IF(RES_AB[[#This Row],[Reserva]]="","",IF(RES_AB[[#This Row],[SLA2]]=RES_AB[[#This Row],[Reserva]]="","",COUNTIF(MB25_VOLUMETRIA[Reserva],RES_AB[[#This Row],[Reserva]])))</f>
        <v>5</v>
      </c>
      <c r="M4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8" s="37" t="str">
        <f>IF(RES_AB[[#This Row],[Cen.]]="","",IFERROR(VLOOKUP(RES_AB[[#This Row],[Cen.]],Dados_Empresas[],2,FALSE),"Verificar empresa"))</f>
        <v>NET MASSIVO</v>
      </c>
      <c r="P468" s="37" t="str">
        <f>IF(RES_AB[[#This Row],[Empresa]]="","",IF(OR(RES_AB[[#This Row],[Empresa]]="NET MASSIVO",RES_AB[[#This Row],[Empresa]]="NET PROJETOS"),"NET","EMPRESARIAL"))</f>
        <v>NET</v>
      </c>
      <c r="Q468" s="37" t="str">
        <f>IF(RES_AB[[#This Row],[Reserva]]="","",IFERROR(VLOOKUP(RES_AB[[#This Row],[Reserva]],Tabela3[[Reserva]:[Descrição do status]],18,FALSE),"CONVENCIONAL"))</f>
        <v>CONVENCIONAL</v>
      </c>
    </row>
    <row r="469" spans="1:17" x14ac:dyDescent="0.25">
      <c r="A469" s="37">
        <v>4382428</v>
      </c>
      <c r="B469" s="37" t="s">
        <v>21</v>
      </c>
      <c r="C469" s="38" t="s">
        <v>21</v>
      </c>
      <c r="D469" s="38">
        <v>45448</v>
      </c>
      <c r="E4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69" s="39">
        <f>IFERROR(VLOOKUP(RES_AB[[#This Row],[Reserva]],Tabela8[[Reserva]:[Usuário]],7,FALSE),Dados!$A$17)</f>
        <v>0.80289351851851853</v>
      </c>
      <c r="G469" s="40">
        <f>IF(RES_AB[[#This Row],[Reserva]]="","",IF(RES_AB[[#This Row],[Hora Int WMS]]&lt;Dados!$A$16,2,2))</f>
        <v>2</v>
      </c>
      <c r="H469" s="40" t="str">
        <f>IF(RES_AB[[#This Row],[Reserva]]="","",IFERROR(VLOOKUP(RES_AB[[#This Row],[Reserva]],Tabela3[[Reserva]:[Condição para Faturamento]],20,FALSE),"IMPORTADO COM SUCESSO"))</f>
        <v>IMPORTADO COM SUCESSO</v>
      </c>
      <c r="I469" s="38">
        <f>IF(RES_AB[[#This Row],[Data base]]="","",WORKDAY(RES_AB[[#This Row],[Data Reserva - Feriado e Fds]],RES_AB[[#This Row],[Dias para atendimento]],Feriados[Data]))</f>
        <v>45450</v>
      </c>
      <c r="J469" s="40" t="str">
        <f ca="1">IF(RES_AB[[#This Row],[Reserva]]="","",CONCATENATE("D+",NETWORKDAYS(RES_AB[[#This Row],[Data Reserva - Feriado e Fds]],TODAY(),Feriados[Data])-1))</f>
        <v>D+2</v>
      </c>
      <c r="K469" s="40" t="str">
        <f ca="1">IF(RES_AB[[#This Row],[Reserva]]="","",CONCATENATE(RES_AB[[#This Row],[Cen.]]," | ",RES_AB[[#This Row],[SLA2]]))</f>
        <v>N190 | D+2</v>
      </c>
      <c r="L469" s="40">
        <f ca="1">IF(RES_AB[[#This Row],[Reserva]]="","",IF(RES_AB[[#This Row],[SLA2]]=RES_AB[[#This Row],[Reserva]]="","",COUNTIF(MB25_VOLUMETRIA[Reserva],RES_AB[[#This Row],[Reserva]])))</f>
        <v>1</v>
      </c>
      <c r="M4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6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69" s="37" t="str">
        <f>IF(RES_AB[[#This Row],[Cen.]]="","",IFERROR(VLOOKUP(RES_AB[[#This Row],[Cen.]],Dados_Empresas[],2,FALSE),"Verificar empresa"))</f>
        <v>NET MASSIVO</v>
      </c>
      <c r="P469" s="37" t="str">
        <f>IF(RES_AB[[#This Row],[Empresa]]="","",IF(OR(RES_AB[[#This Row],[Empresa]]="NET MASSIVO",RES_AB[[#This Row],[Empresa]]="NET PROJETOS"),"NET","EMPRESARIAL"))</f>
        <v>NET</v>
      </c>
      <c r="Q469" s="37" t="str">
        <f>IF(RES_AB[[#This Row],[Reserva]]="","",IFERROR(VLOOKUP(RES_AB[[#This Row],[Reserva]],Tabela3[[Reserva]:[Descrição do status]],18,FALSE),"CONVENCIONAL"))</f>
        <v>CONVENCIONAL</v>
      </c>
    </row>
    <row r="470" spans="1:17" x14ac:dyDescent="0.25">
      <c r="A470" s="37">
        <v>4382429</v>
      </c>
      <c r="B470" s="37" t="s">
        <v>21</v>
      </c>
      <c r="C470" s="38" t="s">
        <v>21</v>
      </c>
      <c r="D470" s="38">
        <v>45448</v>
      </c>
      <c r="E4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0" s="39">
        <f>IFERROR(VLOOKUP(RES_AB[[#This Row],[Reserva]],Tabela8[[Reserva]:[Usuário]],7,FALSE),Dados!$A$17)</f>
        <v>0.80300925925925926</v>
      </c>
      <c r="G470" s="40">
        <f>IF(RES_AB[[#This Row],[Reserva]]="","",IF(RES_AB[[#This Row],[Hora Int WMS]]&lt;Dados!$A$16,2,2))</f>
        <v>2</v>
      </c>
      <c r="H470" s="40" t="str">
        <f>IF(RES_AB[[#This Row],[Reserva]]="","",IFERROR(VLOOKUP(RES_AB[[#This Row],[Reserva]],Tabela3[[Reserva]:[Condição para Faturamento]],20,FALSE),"IMPORTADO COM SUCESSO"))</f>
        <v>IMPORTADO COM SUCESSO</v>
      </c>
      <c r="I470" s="38">
        <f>IF(RES_AB[[#This Row],[Data base]]="","",WORKDAY(RES_AB[[#This Row],[Data Reserva - Feriado e Fds]],RES_AB[[#This Row],[Dias para atendimento]],Feriados[Data]))</f>
        <v>45450</v>
      </c>
      <c r="J470" s="40" t="str">
        <f ca="1">IF(RES_AB[[#This Row],[Reserva]]="","",CONCATENATE("D+",NETWORKDAYS(RES_AB[[#This Row],[Data Reserva - Feriado e Fds]],TODAY(),Feriados[Data])-1))</f>
        <v>D+2</v>
      </c>
      <c r="K470" s="40" t="str">
        <f ca="1">IF(RES_AB[[#This Row],[Reserva]]="","",CONCATENATE(RES_AB[[#This Row],[Cen.]]," | ",RES_AB[[#This Row],[SLA2]]))</f>
        <v>N190 | D+2</v>
      </c>
      <c r="L470" s="40">
        <f ca="1">IF(RES_AB[[#This Row],[Reserva]]="","",IF(RES_AB[[#This Row],[SLA2]]=RES_AB[[#This Row],[Reserva]]="","",COUNTIF(MB25_VOLUMETRIA[Reserva],RES_AB[[#This Row],[Reserva]])))</f>
        <v>14</v>
      </c>
      <c r="M4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0" s="37" t="str">
        <f>IF(RES_AB[[#This Row],[Cen.]]="","",IFERROR(VLOOKUP(RES_AB[[#This Row],[Cen.]],Dados_Empresas[],2,FALSE),"Verificar empresa"))</f>
        <v>NET MASSIVO</v>
      </c>
      <c r="P470" s="37" t="str">
        <f>IF(RES_AB[[#This Row],[Empresa]]="","",IF(OR(RES_AB[[#This Row],[Empresa]]="NET MASSIVO",RES_AB[[#This Row],[Empresa]]="NET PROJETOS"),"NET","EMPRESARIAL"))</f>
        <v>NET</v>
      </c>
      <c r="Q470" s="37" t="str">
        <f>IF(RES_AB[[#This Row],[Reserva]]="","",IFERROR(VLOOKUP(RES_AB[[#This Row],[Reserva]],Tabela3[[Reserva]:[Descrição do status]],18,FALSE),"CONVENCIONAL"))</f>
        <v>CONVENCIONAL</v>
      </c>
    </row>
    <row r="471" spans="1:17" x14ac:dyDescent="0.25">
      <c r="A471" s="37">
        <v>4382430</v>
      </c>
      <c r="B471" s="37" t="s">
        <v>21</v>
      </c>
      <c r="C471" s="38" t="s">
        <v>182</v>
      </c>
      <c r="D471" s="38">
        <v>45448</v>
      </c>
      <c r="E4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1" s="39">
        <f>IFERROR(VLOOKUP(RES_AB[[#This Row],[Reserva]],Tabela8[[Reserva]:[Usuário]],7,FALSE),Dados!$A$17)</f>
        <v>0.80312499999999998</v>
      </c>
      <c r="G471" s="40">
        <f>IF(RES_AB[[#This Row],[Reserva]]="","",IF(RES_AB[[#This Row],[Hora Int WMS]]&lt;Dados!$A$16,2,2))</f>
        <v>2</v>
      </c>
      <c r="H471" s="40" t="str">
        <f>IF(RES_AB[[#This Row],[Reserva]]="","",IFERROR(VLOOKUP(RES_AB[[#This Row],[Reserva]],Tabela3[[Reserva]:[Condição para Faturamento]],20,FALSE),"IMPORTADO COM SUCESSO"))</f>
        <v>IMPORTADO COM SUCESSO</v>
      </c>
      <c r="I471" s="38">
        <f>IF(RES_AB[[#This Row],[Data base]]="","",WORKDAY(RES_AB[[#This Row],[Data Reserva - Feriado e Fds]],RES_AB[[#This Row],[Dias para atendimento]],Feriados[Data]))</f>
        <v>45450</v>
      </c>
      <c r="J471" s="40" t="str">
        <f ca="1">IF(RES_AB[[#This Row],[Reserva]]="","",CONCATENATE("D+",NETWORKDAYS(RES_AB[[#This Row],[Data Reserva - Feriado e Fds]],TODAY(),Feriados[Data])-1))</f>
        <v>D+2</v>
      </c>
      <c r="K471" s="40" t="str">
        <f ca="1">IF(RES_AB[[#This Row],[Reserva]]="","",CONCATENATE(RES_AB[[#This Row],[Cen.]]," | ",RES_AB[[#This Row],[SLA2]]))</f>
        <v>N190 | D+2</v>
      </c>
      <c r="L471" s="40">
        <f ca="1">IF(RES_AB[[#This Row],[Reserva]]="","",IF(RES_AB[[#This Row],[SLA2]]=RES_AB[[#This Row],[Reserva]]="","",COUNTIF(MB25_VOLUMETRIA[Reserva],RES_AB[[#This Row],[Reserva]])))</f>
        <v>2</v>
      </c>
      <c r="M4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1" s="37" t="str">
        <f>IF(RES_AB[[#This Row],[Cen.]]="","",IFERROR(VLOOKUP(RES_AB[[#This Row],[Cen.]],Dados_Empresas[],2,FALSE),"Verificar empresa"))</f>
        <v>NET MASSIVO</v>
      </c>
      <c r="P471" s="37" t="str">
        <f>IF(RES_AB[[#This Row],[Empresa]]="","",IF(OR(RES_AB[[#This Row],[Empresa]]="NET MASSIVO",RES_AB[[#This Row],[Empresa]]="NET PROJETOS"),"NET","EMPRESARIAL"))</f>
        <v>NET</v>
      </c>
      <c r="Q471" s="37" t="str">
        <f>IF(RES_AB[[#This Row],[Reserva]]="","",IFERROR(VLOOKUP(RES_AB[[#This Row],[Reserva]],Tabela3[[Reserva]:[Descrição do status]],18,FALSE),"CONVENCIONAL"))</f>
        <v>CONVENCIONAL</v>
      </c>
    </row>
    <row r="472" spans="1:17" x14ac:dyDescent="0.25">
      <c r="A472" s="37">
        <v>4382431</v>
      </c>
      <c r="B472" s="37" t="s">
        <v>21</v>
      </c>
      <c r="C472" s="38" t="s">
        <v>21</v>
      </c>
      <c r="D472" s="38">
        <v>45448</v>
      </c>
      <c r="E4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2" s="39">
        <f>IFERROR(VLOOKUP(RES_AB[[#This Row],[Reserva]],Tabela8[[Reserva]:[Usuário]],7,FALSE),Dados!$A$17)</f>
        <v>0.8032407407407407</v>
      </c>
      <c r="G472" s="40">
        <f>IF(RES_AB[[#This Row],[Reserva]]="","",IF(RES_AB[[#This Row],[Hora Int WMS]]&lt;Dados!$A$16,2,2))</f>
        <v>2</v>
      </c>
      <c r="H472" s="40" t="str">
        <f>IF(RES_AB[[#This Row],[Reserva]]="","",IFERROR(VLOOKUP(RES_AB[[#This Row],[Reserva]],Tabela3[[Reserva]:[Condição para Faturamento]],20,FALSE),"IMPORTADO COM SUCESSO"))</f>
        <v>IMPORTADO COM SUCESSO</v>
      </c>
      <c r="I472" s="38">
        <f>IF(RES_AB[[#This Row],[Data base]]="","",WORKDAY(RES_AB[[#This Row],[Data Reserva - Feriado e Fds]],RES_AB[[#This Row],[Dias para atendimento]],Feriados[Data]))</f>
        <v>45450</v>
      </c>
      <c r="J472" s="40" t="str">
        <f ca="1">IF(RES_AB[[#This Row],[Reserva]]="","",CONCATENATE("D+",NETWORKDAYS(RES_AB[[#This Row],[Data Reserva - Feriado e Fds]],TODAY(),Feriados[Data])-1))</f>
        <v>D+2</v>
      </c>
      <c r="K472" s="40" t="str">
        <f ca="1">IF(RES_AB[[#This Row],[Reserva]]="","",CONCATENATE(RES_AB[[#This Row],[Cen.]]," | ",RES_AB[[#This Row],[SLA2]]))</f>
        <v>N190 | D+2</v>
      </c>
      <c r="L472" s="40">
        <f ca="1">IF(RES_AB[[#This Row],[Reserva]]="","",IF(RES_AB[[#This Row],[SLA2]]=RES_AB[[#This Row],[Reserva]]="","",COUNTIF(MB25_VOLUMETRIA[Reserva],RES_AB[[#This Row],[Reserva]])))</f>
        <v>4</v>
      </c>
      <c r="M4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2" s="37" t="str">
        <f>IF(RES_AB[[#This Row],[Cen.]]="","",IFERROR(VLOOKUP(RES_AB[[#This Row],[Cen.]],Dados_Empresas[],2,FALSE),"Verificar empresa"))</f>
        <v>NET MASSIVO</v>
      </c>
      <c r="P472" s="37" t="str">
        <f>IF(RES_AB[[#This Row],[Empresa]]="","",IF(OR(RES_AB[[#This Row],[Empresa]]="NET MASSIVO",RES_AB[[#This Row],[Empresa]]="NET PROJETOS"),"NET","EMPRESARIAL"))</f>
        <v>NET</v>
      </c>
      <c r="Q472" s="37" t="str">
        <f>IF(RES_AB[[#This Row],[Reserva]]="","",IFERROR(VLOOKUP(RES_AB[[#This Row],[Reserva]],Tabela3[[Reserva]:[Descrição do status]],18,FALSE),"CONVENCIONAL"))</f>
        <v>CONVENCIONAL</v>
      </c>
    </row>
    <row r="473" spans="1:17" x14ac:dyDescent="0.25">
      <c r="A473" s="37">
        <v>4382432</v>
      </c>
      <c r="B473" s="37" t="s">
        <v>21</v>
      </c>
      <c r="C473" s="38" t="s">
        <v>182</v>
      </c>
      <c r="D473" s="38">
        <v>45448</v>
      </c>
      <c r="E4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3" s="39">
        <f>IFERROR(VLOOKUP(RES_AB[[#This Row],[Reserva]],Tabela8[[Reserva]:[Usuário]],7,FALSE),Dados!$A$17)</f>
        <v>0.80335648148148153</v>
      </c>
      <c r="G473" s="40">
        <f>IF(RES_AB[[#This Row],[Reserva]]="","",IF(RES_AB[[#This Row],[Hora Int WMS]]&lt;Dados!$A$16,2,2))</f>
        <v>2</v>
      </c>
      <c r="H473" s="40" t="str">
        <f>IF(RES_AB[[#This Row],[Reserva]]="","",IFERROR(VLOOKUP(RES_AB[[#This Row],[Reserva]],Tabela3[[Reserva]:[Condição para Faturamento]],20,FALSE),"IMPORTADO COM SUCESSO"))</f>
        <v>IMPORTADO COM SUCESSO</v>
      </c>
      <c r="I473" s="38">
        <f>IF(RES_AB[[#This Row],[Data base]]="","",WORKDAY(RES_AB[[#This Row],[Data Reserva - Feriado e Fds]],RES_AB[[#This Row],[Dias para atendimento]],Feriados[Data]))</f>
        <v>45450</v>
      </c>
      <c r="J473" s="40" t="str">
        <f ca="1">IF(RES_AB[[#This Row],[Reserva]]="","",CONCATENATE("D+",NETWORKDAYS(RES_AB[[#This Row],[Data Reserva - Feriado e Fds]],TODAY(),Feriados[Data])-1))</f>
        <v>D+2</v>
      </c>
      <c r="K473" s="40" t="str">
        <f ca="1">IF(RES_AB[[#This Row],[Reserva]]="","",CONCATENATE(RES_AB[[#This Row],[Cen.]]," | ",RES_AB[[#This Row],[SLA2]]))</f>
        <v>N190 | D+2</v>
      </c>
      <c r="L473" s="40">
        <f ca="1">IF(RES_AB[[#This Row],[Reserva]]="","",IF(RES_AB[[#This Row],[SLA2]]=RES_AB[[#This Row],[Reserva]]="","",COUNTIF(MB25_VOLUMETRIA[Reserva],RES_AB[[#This Row],[Reserva]])))</f>
        <v>3</v>
      </c>
      <c r="M4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3" s="37" t="str">
        <f>IF(RES_AB[[#This Row],[Cen.]]="","",IFERROR(VLOOKUP(RES_AB[[#This Row],[Cen.]],Dados_Empresas[],2,FALSE),"Verificar empresa"))</f>
        <v>NET MASSIVO</v>
      </c>
      <c r="P473" s="37" t="str">
        <f>IF(RES_AB[[#This Row],[Empresa]]="","",IF(OR(RES_AB[[#This Row],[Empresa]]="NET MASSIVO",RES_AB[[#This Row],[Empresa]]="NET PROJETOS"),"NET","EMPRESARIAL"))</f>
        <v>NET</v>
      </c>
      <c r="Q473" s="37" t="str">
        <f>IF(RES_AB[[#This Row],[Reserva]]="","",IFERROR(VLOOKUP(RES_AB[[#This Row],[Reserva]],Tabela3[[Reserva]:[Descrição do status]],18,FALSE),"CONVENCIONAL"))</f>
        <v>CONVENCIONAL</v>
      </c>
    </row>
    <row r="474" spans="1:17" x14ac:dyDescent="0.25">
      <c r="A474" s="37">
        <v>4382433</v>
      </c>
      <c r="B474" s="37" t="s">
        <v>21</v>
      </c>
      <c r="C474" s="38" t="s">
        <v>21</v>
      </c>
      <c r="D474" s="38">
        <v>45448</v>
      </c>
      <c r="E4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4" s="39">
        <f>IFERROR(VLOOKUP(RES_AB[[#This Row],[Reserva]],Tabela8[[Reserva]:[Usuário]],7,FALSE),Dados!$A$17)</f>
        <v>0.80335648148148153</v>
      </c>
      <c r="G474" s="40">
        <f>IF(RES_AB[[#This Row],[Reserva]]="","",IF(RES_AB[[#This Row],[Hora Int WMS]]&lt;Dados!$A$16,2,2))</f>
        <v>2</v>
      </c>
      <c r="H474" s="40" t="str">
        <f>IF(RES_AB[[#This Row],[Reserva]]="","",IFERROR(VLOOKUP(RES_AB[[#This Row],[Reserva]],Tabela3[[Reserva]:[Condição para Faturamento]],20,FALSE),"IMPORTADO COM SUCESSO"))</f>
        <v>IMPORTADO COM SUCESSO</v>
      </c>
      <c r="I474" s="38">
        <f>IF(RES_AB[[#This Row],[Data base]]="","",WORKDAY(RES_AB[[#This Row],[Data Reserva - Feriado e Fds]],RES_AB[[#This Row],[Dias para atendimento]],Feriados[Data]))</f>
        <v>45450</v>
      </c>
      <c r="J474" s="40" t="str">
        <f ca="1">IF(RES_AB[[#This Row],[Reserva]]="","",CONCATENATE("D+",NETWORKDAYS(RES_AB[[#This Row],[Data Reserva - Feriado e Fds]],TODAY(),Feriados[Data])-1))</f>
        <v>D+2</v>
      </c>
      <c r="K474" s="40" t="str">
        <f ca="1">IF(RES_AB[[#This Row],[Reserva]]="","",CONCATENATE(RES_AB[[#This Row],[Cen.]]," | ",RES_AB[[#This Row],[SLA2]]))</f>
        <v>N190 | D+2</v>
      </c>
      <c r="L474" s="40">
        <f ca="1">IF(RES_AB[[#This Row],[Reserva]]="","",IF(RES_AB[[#This Row],[SLA2]]=RES_AB[[#This Row],[Reserva]]="","",COUNTIF(MB25_VOLUMETRIA[Reserva],RES_AB[[#This Row],[Reserva]])))</f>
        <v>1</v>
      </c>
      <c r="M4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4" s="37" t="str">
        <f>IF(RES_AB[[#This Row],[Cen.]]="","",IFERROR(VLOOKUP(RES_AB[[#This Row],[Cen.]],Dados_Empresas[],2,FALSE),"Verificar empresa"))</f>
        <v>NET MASSIVO</v>
      </c>
      <c r="P474" s="37" t="str">
        <f>IF(RES_AB[[#This Row],[Empresa]]="","",IF(OR(RES_AB[[#This Row],[Empresa]]="NET MASSIVO",RES_AB[[#This Row],[Empresa]]="NET PROJETOS"),"NET","EMPRESARIAL"))</f>
        <v>NET</v>
      </c>
      <c r="Q474" s="37" t="str">
        <f>IF(RES_AB[[#This Row],[Reserva]]="","",IFERROR(VLOOKUP(RES_AB[[#This Row],[Reserva]],Tabela3[[Reserva]:[Descrição do status]],18,FALSE),"CONVENCIONAL"))</f>
        <v>CONVENCIONAL</v>
      </c>
    </row>
    <row r="475" spans="1:17" x14ac:dyDescent="0.25">
      <c r="A475" s="37">
        <v>4382434</v>
      </c>
      <c r="B475" s="37" t="s">
        <v>21</v>
      </c>
      <c r="C475" s="38" t="s">
        <v>21</v>
      </c>
      <c r="D475" s="38">
        <v>45448</v>
      </c>
      <c r="E4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5" s="39">
        <f>IFERROR(VLOOKUP(RES_AB[[#This Row],[Reserva]],Tabela8[[Reserva]:[Usuário]],7,FALSE),Dados!$A$17)</f>
        <v>0.80347222222222225</v>
      </c>
      <c r="G475" s="40">
        <f>IF(RES_AB[[#This Row],[Reserva]]="","",IF(RES_AB[[#This Row],[Hora Int WMS]]&lt;Dados!$A$16,2,2))</f>
        <v>2</v>
      </c>
      <c r="H475" s="40" t="str">
        <f>IF(RES_AB[[#This Row],[Reserva]]="","",IFERROR(VLOOKUP(RES_AB[[#This Row],[Reserva]],Tabela3[[Reserva]:[Condição para Faturamento]],20,FALSE),"IMPORTADO COM SUCESSO"))</f>
        <v>IMPORTADO COM SUCESSO</v>
      </c>
      <c r="I475" s="38">
        <f>IF(RES_AB[[#This Row],[Data base]]="","",WORKDAY(RES_AB[[#This Row],[Data Reserva - Feriado e Fds]],RES_AB[[#This Row],[Dias para atendimento]],Feriados[Data]))</f>
        <v>45450</v>
      </c>
      <c r="J475" s="40" t="str">
        <f ca="1">IF(RES_AB[[#This Row],[Reserva]]="","",CONCATENATE("D+",NETWORKDAYS(RES_AB[[#This Row],[Data Reserva - Feriado e Fds]],TODAY(),Feriados[Data])-1))</f>
        <v>D+2</v>
      </c>
      <c r="K475" s="40" t="str">
        <f ca="1">IF(RES_AB[[#This Row],[Reserva]]="","",CONCATENATE(RES_AB[[#This Row],[Cen.]]," | ",RES_AB[[#This Row],[SLA2]]))</f>
        <v>N190 | D+2</v>
      </c>
      <c r="L475" s="40">
        <f ca="1">IF(RES_AB[[#This Row],[Reserva]]="","",IF(RES_AB[[#This Row],[SLA2]]=RES_AB[[#This Row],[Reserva]]="","",COUNTIF(MB25_VOLUMETRIA[Reserva],RES_AB[[#This Row],[Reserva]])))</f>
        <v>5</v>
      </c>
      <c r="M4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5" s="37" t="str">
        <f>IF(RES_AB[[#This Row],[Cen.]]="","",IFERROR(VLOOKUP(RES_AB[[#This Row],[Cen.]],Dados_Empresas[],2,FALSE),"Verificar empresa"))</f>
        <v>NET MASSIVO</v>
      </c>
      <c r="P475" s="37" t="str">
        <f>IF(RES_AB[[#This Row],[Empresa]]="","",IF(OR(RES_AB[[#This Row],[Empresa]]="NET MASSIVO",RES_AB[[#This Row],[Empresa]]="NET PROJETOS"),"NET","EMPRESARIAL"))</f>
        <v>NET</v>
      </c>
      <c r="Q475" s="37" t="str">
        <f>IF(RES_AB[[#This Row],[Reserva]]="","",IFERROR(VLOOKUP(RES_AB[[#This Row],[Reserva]],Tabela3[[Reserva]:[Descrição do status]],18,FALSE),"CONVENCIONAL"))</f>
        <v>CONVENCIONAL</v>
      </c>
    </row>
    <row r="476" spans="1:17" x14ac:dyDescent="0.25">
      <c r="A476" s="37">
        <v>4382435</v>
      </c>
      <c r="B476" s="37" t="s">
        <v>21</v>
      </c>
      <c r="C476" s="38" t="s">
        <v>21</v>
      </c>
      <c r="D476" s="38">
        <v>45448</v>
      </c>
      <c r="E4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6" s="39">
        <f>IFERROR(VLOOKUP(RES_AB[[#This Row],[Reserva]],Tabela8[[Reserva]:[Usuário]],7,FALSE),Dados!$A$17)</f>
        <v>0.80358796296296298</v>
      </c>
      <c r="G476" s="40">
        <f>IF(RES_AB[[#This Row],[Reserva]]="","",IF(RES_AB[[#This Row],[Hora Int WMS]]&lt;Dados!$A$16,2,2))</f>
        <v>2</v>
      </c>
      <c r="H476" s="40" t="str">
        <f>IF(RES_AB[[#This Row],[Reserva]]="","",IFERROR(VLOOKUP(RES_AB[[#This Row],[Reserva]],Tabela3[[Reserva]:[Condição para Faturamento]],20,FALSE),"IMPORTADO COM SUCESSO"))</f>
        <v>IMPORTADO COM SUCESSO</v>
      </c>
      <c r="I476" s="38">
        <f>IF(RES_AB[[#This Row],[Data base]]="","",WORKDAY(RES_AB[[#This Row],[Data Reserva - Feriado e Fds]],RES_AB[[#This Row],[Dias para atendimento]],Feriados[Data]))</f>
        <v>45450</v>
      </c>
      <c r="J476" s="40" t="str">
        <f ca="1">IF(RES_AB[[#This Row],[Reserva]]="","",CONCATENATE("D+",NETWORKDAYS(RES_AB[[#This Row],[Data Reserva - Feriado e Fds]],TODAY(),Feriados[Data])-1))</f>
        <v>D+2</v>
      </c>
      <c r="K476" s="40" t="str">
        <f ca="1">IF(RES_AB[[#This Row],[Reserva]]="","",CONCATENATE(RES_AB[[#This Row],[Cen.]]," | ",RES_AB[[#This Row],[SLA2]]))</f>
        <v>N190 | D+2</v>
      </c>
      <c r="L476" s="40">
        <f ca="1">IF(RES_AB[[#This Row],[Reserva]]="","",IF(RES_AB[[#This Row],[SLA2]]=RES_AB[[#This Row],[Reserva]]="","",COUNTIF(MB25_VOLUMETRIA[Reserva],RES_AB[[#This Row],[Reserva]])))</f>
        <v>1</v>
      </c>
      <c r="M4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6" s="37" t="str">
        <f>IF(RES_AB[[#This Row],[Cen.]]="","",IFERROR(VLOOKUP(RES_AB[[#This Row],[Cen.]],Dados_Empresas[],2,FALSE),"Verificar empresa"))</f>
        <v>NET MASSIVO</v>
      </c>
      <c r="P476" s="37" t="str">
        <f>IF(RES_AB[[#This Row],[Empresa]]="","",IF(OR(RES_AB[[#This Row],[Empresa]]="NET MASSIVO",RES_AB[[#This Row],[Empresa]]="NET PROJETOS"),"NET","EMPRESARIAL"))</f>
        <v>NET</v>
      </c>
      <c r="Q476" s="37" t="str">
        <f>IF(RES_AB[[#This Row],[Reserva]]="","",IFERROR(VLOOKUP(RES_AB[[#This Row],[Reserva]],Tabela3[[Reserva]:[Descrição do status]],18,FALSE),"CONVENCIONAL"))</f>
        <v>CONVENCIONAL</v>
      </c>
    </row>
    <row r="477" spans="1:17" x14ac:dyDescent="0.25">
      <c r="A477" s="37">
        <v>4382436</v>
      </c>
      <c r="B477" s="37" t="s">
        <v>21</v>
      </c>
      <c r="C477" s="38" t="s">
        <v>21</v>
      </c>
      <c r="D477" s="38">
        <v>45448</v>
      </c>
      <c r="E4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7" s="39">
        <f>IFERROR(VLOOKUP(RES_AB[[#This Row],[Reserva]],Tabela8[[Reserva]:[Usuário]],7,FALSE),Dados!$A$17)</f>
        <v>0.80358796296296298</v>
      </c>
      <c r="G477" s="40">
        <f>IF(RES_AB[[#This Row],[Reserva]]="","",IF(RES_AB[[#This Row],[Hora Int WMS]]&lt;Dados!$A$16,2,2))</f>
        <v>2</v>
      </c>
      <c r="H477" s="40" t="str">
        <f>IF(RES_AB[[#This Row],[Reserva]]="","",IFERROR(VLOOKUP(RES_AB[[#This Row],[Reserva]],Tabela3[[Reserva]:[Condição para Faturamento]],20,FALSE),"IMPORTADO COM SUCESSO"))</f>
        <v>IMPORTADO COM SUCESSO</v>
      </c>
      <c r="I477" s="38">
        <f>IF(RES_AB[[#This Row],[Data base]]="","",WORKDAY(RES_AB[[#This Row],[Data Reserva - Feriado e Fds]],RES_AB[[#This Row],[Dias para atendimento]],Feriados[Data]))</f>
        <v>45450</v>
      </c>
      <c r="J477" s="40" t="str">
        <f ca="1">IF(RES_AB[[#This Row],[Reserva]]="","",CONCATENATE("D+",NETWORKDAYS(RES_AB[[#This Row],[Data Reserva - Feriado e Fds]],TODAY(),Feriados[Data])-1))</f>
        <v>D+2</v>
      </c>
      <c r="K477" s="40" t="str">
        <f ca="1">IF(RES_AB[[#This Row],[Reserva]]="","",CONCATENATE(RES_AB[[#This Row],[Cen.]]," | ",RES_AB[[#This Row],[SLA2]]))</f>
        <v>N190 | D+2</v>
      </c>
      <c r="L477" s="40">
        <f ca="1">IF(RES_AB[[#This Row],[Reserva]]="","",IF(RES_AB[[#This Row],[SLA2]]=RES_AB[[#This Row],[Reserva]]="","",COUNTIF(MB25_VOLUMETRIA[Reserva],RES_AB[[#This Row],[Reserva]])))</f>
        <v>1</v>
      </c>
      <c r="M4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7" s="37" t="str">
        <f>IF(RES_AB[[#This Row],[Cen.]]="","",IFERROR(VLOOKUP(RES_AB[[#This Row],[Cen.]],Dados_Empresas[],2,FALSE),"Verificar empresa"))</f>
        <v>NET MASSIVO</v>
      </c>
      <c r="P477" s="37" t="str">
        <f>IF(RES_AB[[#This Row],[Empresa]]="","",IF(OR(RES_AB[[#This Row],[Empresa]]="NET MASSIVO",RES_AB[[#This Row],[Empresa]]="NET PROJETOS"),"NET","EMPRESARIAL"))</f>
        <v>NET</v>
      </c>
      <c r="Q477" s="37" t="str">
        <f>IF(RES_AB[[#This Row],[Reserva]]="","",IFERROR(VLOOKUP(RES_AB[[#This Row],[Reserva]],Tabela3[[Reserva]:[Descrição do status]],18,FALSE),"CONVENCIONAL"))</f>
        <v>CONVENCIONAL</v>
      </c>
    </row>
    <row r="478" spans="1:17" x14ac:dyDescent="0.25">
      <c r="A478" s="37">
        <v>4382437</v>
      </c>
      <c r="B478" s="37" t="s">
        <v>21</v>
      </c>
      <c r="C478" s="38" t="s">
        <v>21</v>
      </c>
      <c r="D478" s="38">
        <v>45448</v>
      </c>
      <c r="E4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8" s="39">
        <f>IFERROR(VLOOKUP(RES_AB[[#This Row],[Reserva]],Tabela8[[Reserva]:[Usuário]],7,FALSE),Dados!$A$17)</f>
        <v>0.8037037037037037</v>
      </c>
      <c r="G478" s="40">
        <f>IF(RES_AB[[#This Row],[Reserva]]="","",IF(RES_AB[[#This Row],[Hora Int WMS]]&lt;Dados!$A$16,2,2))</f>
        <v>2</v>
      </c>
      <c r="H478" s="40" t="str">
        <f>IF(RES_AB[[#This Row],[Reserva]]="","",IFERROR(VLOOKUP(RES_AB[[#This Row],[Reserva]],Tabela3[[Reserva]:[Condição para Faturamento]],20,FALSE),"IMPORTADO COM SUCESSO"))</f>
        <v>IMPORTADO COM SUCESSO</v>
      </c>
      <c r="I478" s="38">
        <f>IF(RES_AB[[#This Row],[Data base]]="","",WORKDAY(RES_AB[[#This Row],[Data Reserva - Feriado e Fds]],RES_AB[[#This Row],[Dias para atendimento]],Feriados[Data]))</f>
        <v>45450</v>
      </c>
      <c r="J478" s="40" t="str">
        <f ca="1">IF(RES_AB[[#This Row],[Reserva]]="","",CONCATENATE("D+",NETWORKDAYS(RES_AB[[#This Row],[Data Reserva - Feriado e Fds]],TODAY(),Feriados[Data])-1))</f>
        <v>D+2</v>
      </c>
      <c r="K478" s="40" t="str">
        <f ca="1">IF(RES_AB[[#This Row],[Reserva]]="","",CONCATENATE(RES_AB[[#This Row],[Cen.]]," | ",RES_AB[[#This Row],[SLA2]]))</f>
        <v>N190 | D+2</v>
      </c>
      <c r="L478" s="40">
        <f ca="1">IF(RES_AB[[#This Row],[Reserva]]="","",IF(RES_AB[[#This Row],[SLA2]]=RES_AB[[#This Row],[Reserva]]="","",COUNTIF(MB25_VOLUMETRIA[Reserva],RES_AB[[#This Row],[Reserva]])))</f>
        <v>6</v>
      </c>
      <c r="M4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8" s="37" t="str">
        <f>IF(RES_AB[[#This Row],[Cen.]]="","",IFERROR(VLOOKUP(RES_AB[[#This Row],[Cen.]],Dados_Empresas[],2,FALSE),"Verificar empresa"))</f>
        <v>NET MASSIVO</v>
      </c>
      <c r="P478" s="37" t="str">
        <f>IF(RES_AB[[#This Row],[Empresa]]="","",IF(OR(RES_AB[[#This Row],[Empresa]]="NET MASSIVO",RES_AB[[#This Row],[Empresa]]="NET PROJETOS"),"NET","EMPRESARIAL"))</f>
        <v>NET</v>
      </c>
      <c r="Q478" s="37" t="str">
        <f>IF(RES_AB[[#This Row],[Reserva]]="","",IFERROR(VLOOKUP(RES_AB[[#This Row],[Reserva]],Tabela3[[Reserva]:[Descrição do status]],18,FALSE),"CONVENCIONAL"))</f>
        <v>CONVENCIONAL</v>
      </c>
    </row>
    <row r="479" spans="1:17" x14ac:dyDescent="0.25">
      <c r="A479" s="37">
        <v>4382438</v>
      </c>
      <c r="B479" s="37" t="s">
        <v>21</v>
      </c>
      <c r="C479" s="38" t="s">
        <v>182</v>
      </c>
      <c r="D479" s="38">
        <v>45448</v>
      </c>
      <c r="E4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79" s="39">
        <f>IFERROR(VLOOKUP(RES_AB[[#This Row],[Reserva]],Tabela8[[Reserva]:[Usuário]],7,FALSE),Dados!$A$17)</f>
        <v>0.80381944444444442</v>
      </c>
      <c r="G479" s="40">
        <f>IF(RES_AB[[#This Row],[Reserva]]="","",IF(RES_AB[[#This Row],[Hora Int WMS]]&lt;Dados!$A$16,2,2))</f>
        <v>2</v>
      </c>
      <c r="H479" s="40" t="str">
        <f>IF(RES_AB[[#This Row],[Reserva]]="","",IFERROR(VLOOKUP(RES_AB[[#This Row],[Reserva]],Tabela3[[Reserva]:[Condição para Faturamento]],20,FALSE),"IMPORTADO COM SUCESSO"))</f>
        <v>IMPORTADO COM SUCESSO</v>
      </c>
      <c r="I479" s="38">
        <f>IF(RES_AB[[#This Row],[Data base]]="","",WORKDAY(RES_AB[[#This Row],[Data Reserva - Feriado e Fds]],RES_AB[[#This Row],[Dias para atendimento]],Feriados[Data]))</f>
        <v>45450</v>
      </c>
      <c r="J479" s="40" t="str">
        <f ca="1">IF(RES_AB[[#This Row],[Reserva]]="","",CONCATENATE("D+",NETWORKDAYS(RES_AB[[#This Row],[Data Reserva - Feriado e Fds]],TODAY(),Feriados[Data])-1))</f>
        <v>D+2</v>
      </c>
      <c r="K479" s="40" t="str">
        <f ca="1">IF(RES_AB[[#This Row],[Reserva]]="","",CONCATENATE(RES_AB[[#This Row],[Cen.]]," | ",RES_AB[[#This Row],[SLA2]]))</f>
        <v>N190 | D+2</v>
      </c>
      <c r="L479" s="40">
        <f ca="1">IF(RES_AB[[#This Row],[Reserva]]="","",IF(RES_AB[[#This Row],[SLA2]]=RES_AB[[#This Row],[Reserva]]="","",COUNTIF(MB25_VOLUMETRIA[Reserva],RES_AB[[#This Row],[Reserva]])))</f>
        <v>2</v>
      </c>
      <c r="M4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7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79" s="37" t="str">
        <f>IF(RES_AB[[#This Row],[Cen.]]="","",IFERROR(VLOOKUP(RES_AB[[#This Row],[Cen.]],Dados_Empresas[],2,FALSE),"Verificar empresa"))</f>
        <v>NET MASSIVO</v>
      </c>
      <c r="P479" s="37" t="str">
        <f>IF(RES_AB[[#This Row],[Empresa]]="","",IF(OR(RES_AB[[#This Row],[Empresa]]="NET MASSIVO",RES_AB[[#This Row],[Empresa]]="NET PROJETOS"),"NET","EMPRESARIAL"))</f>
        <v>NET</v>
      </c>
      <c r="Q479" s="37" t="str">
        <f>IF(RES_AB[[#This Row],[Reserva]]="","",IFERROR(VLOOKUP(RES_AB[[#This Row],[Reserva]],Tabela3[[Reserva]:[Descrição do status]],18,FALSE),"CONVENCIONAL"))</f>
        <v>CONVENCIONAL</v>
      </c>
    </row>
    <row r="480" spans="1:17" x14ac:dyDescent="0.25">
      <c r="A480" s="37">
        <v>4382439</v>
      </c>
      <c r="B480" s="37" t="s">
        <v>21</v>
      </c>
      <c r="C480" s="38" t="s">
        <v>21</v>
      </c>
      <c r="D480" s="38">
        <v>45448</v>
      </c>
      <c r="E4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0" s="39">
        <f>IFERROR(VLOOKUP(RES_AB[[#This Row],[Reserva]],Tabela8[[Reserva]:[Usuário]],7,FALSE),Dados!$A$17)</f>
        <v>0.80393518518518514</v>
      </c>
      <c r="G480" s="40">
        <f>IF(RES_AB[[#This Row],[Reserva]]="","",IF(RES_AB[[#This Row],[Hora Int WMS]]&lt;Dados!$A$16,2,2))</f>
        <v>2</v>
      </c>
      <c r="H480" s="40" t="str">
        <f>IF(RES_AB[[#This Row],[Reserva]]="","",IFERROR(VLOOKUP(RES_AB[[#This Row],[Reserva]],Tabela3[[Reserva]:[Condição para Faturamento]],20,FALSE),"IMPORTADO COM SUCESSO"))</f>
        <v>IMPORTADO COM SUCESSO</v>
      </c>
      <c r="I480" s="38">
        <f>IF(RES_AB[[#This Row],[Data base]]="","",WORKDAY(RES_AB[[#This Row],[Data Reserva - Feriado e Fds]],RES_AB[[#This Row],[Dias para atendimento]],Feriados[Data]))</f>
        <v>45450</v>
      </c>
      <c r="J480" s="40" t="str">
        <f ca="1">IF(RES_AB[[#This Row],[Reserva]]="","",CONCATENATE("D+",NETWORKDAYS(RES_AB[[#This Row],[Data Reserva - Feriado e Fds]],TODAY(),Feriados[Data])-1))</f>
        <v>D+2</v>
      </c>
      <c r="K480" s="40" t="str">
        <f ca="1">IF(RES_AB[[#This Row],[Reserva]]="","",CONCATENATE(RES_AB[[#This Row],[Cen.]]," | ",RES_AB[[#This Row],[SLA2]]))</f>
        <v>N190 | D+2</v>
      </c>
      <c r="L480" s="40">
        <f ca="1">IF(RES_AB[[#This Row],[Reserva]]="","",IF(RES_AB[[#This Row],[SLA2]]=RES_AB[[#This Row],[Reserva]]="","",COUNTIF(MB25_VOLUMETRIA[Reserva],RES_AB[[#This Row],[Reserva]])))</f>
        <v>1</v>
      </c>
      <c r="M4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0" s="37" t="str">
        <f>IF(RES_AB[[#This Row],[Cen.]]="","",IFERROR(VLOOKUP(RES_AB[[#This Row],[Cen.]],Dados_Empresas[],2,FALSE),"Verificar empresa"))</f>
        <v>NET MASSIVO</v>
      </c>
      <c r="P480" s="37" t="str">
        <f>IF(RES_AB[[#This Row],[Empresa]]="","",IF(OR(RES_AB[[#This Row],[Empresa]]="NET MASSIVO",RES_AB[[#This Row],[Empresa]]="NET PROJETOS"),"NET","EMPRESARIAL"))</f>
        <v>NET</v>
      </c>
      <c r="Q480" s="37" t="str">
        <f>IF(RES_AB[[#This Row],[Reserva]]="","",IFERROR(VLOOKUP(RES_AB[[#This Row],[Reserva]],Tabela3[[Reserva]:[Descrição do status]],18,FALSE),"CONVENCIONAL"))</f>
        <v>CONVENCIONAL</v>
      </c>
    </row>
    <row r="481" spans="1:17" x14ac:dyDescent="0.25">
      <c r="A481" s="37">
        <v>4382440</v>
      </c>
      <c r="B481" s="37" t="s">
        <v>21</v>
      </c>
      <c r="C481" s="38" t="s">
        <v>21</v>
      </c>
      <c r="D481" s="38">
        <v>45448</v>
      </c>
      <c r="E4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1" s="39">
        <f>IFERROR(VLOOKUP(RES_AB[[#This Row],[Reserva]],Tabela8[[Reserva]:[Usuário]],7,FALSE),Dados!$A$17)</f>
        <v>0.80393518518518514</v>
      </c>
      <c r="G481" s="40">
        <f>IF(RES_AB[[#This Row],[Reserva]]="","",IF(RES_AB[[#This Row],[Hora Int WMS]]&lt;Dados!$A$16,2,2))</f>
        <v>2</v>
      </c>
      <c r="H481" s="40" t="str">
        <f>IF(RES_AB[[#This Row],[Reserva]]="","",IFERROR(VLOOKUP(RES_AB[[#This Row],[Reserva]],Tabela3[[Reserva]:[Condição para Faturamento]],20,FALSE),"IMPORTADO COM SUCESSO"))</f>
        <v>IMPORTADO COM SUCESSO</v>
      </c>
      <c r="I481" s="38">
        <f>IF(RES_AB[[#This Row],[Data base]]="","",WORKDAY(RES_AB[[#This Row],[Data Reserva - Feriado e Fds]],RES_AB[[#This Row],[Dias para atendimento]],Feriados[Data]))</f>
        <v>45450</v>
      </c>
      <c r="J481" s="40" t="str">
        <f ca="1">IF(RES_AB[[#This Row],[Reserva]]="","",CONCATENATE("D+",NETWORKDAYS(RES_AB[[#This Row],[Data Reserva - Feriado e Fds]],TODAY(),Feriados[Data])-1))</f>
        <v>D+2</v>
      </c>
      <c r="K481" s="40" t="str">
        <f ca="1">IF(RES_AB[[#This Row],[Reserva]]="","",CONCATENATE(RES_AB[[#This Row],[Cen.]]," | ",RES_AB[[#This Row],[SLA2]]))</f>
        <v>N190 | D+2</v>
      </c>
      <c r="L481" s="40">
        <f ca="1">IF(RES_AB[[#This Row],[Reserva]]="","",IF(RES_AB[[#This Row],[SLA2]]=RES_AB[[#This Row],[Reserva]]="","",COUNTIF(MB25_VOLUMETRIA[Reserva],RES_AB[[#This Row],[Reserva]])))</f>
        <v>19</v>
      </c>
      <c r="M4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1" s="37" t="str">
        <f>IF(RES_AB[[#This Row],[Cen.]]="","",IFERROR(VLOOKUP(RES_AB[[#This Row],[Cen.]],Dados_Empresas[],2,FALSE),"Verificar empresa"))</f>
        <v>NET MASSIVO</v>
      </c>
      <c r="P481" s="37" t="str">
        <f>IF(RES_AB[[#This Row],[Empresa]]="","",IF(OR(RES_AB[[#This Row],[Empresa]]="NET MASSIVO",RES_AB[[#This Row],[Empresa]]="NET PROJETOS"),"NET","EMPRESARIAL"))</f>
        <v>NET</v>
      </c>
      <c r="Q481" s="37" t="str">
        <f>IF(RES_AB[[#This Row],[Reserva]]="","",IFERROR(VLOOKUP(RES_AB[[#This Row],[Reserva]],Tabela3[[Reserva]:[Descrição do status]],18,FALSE),"CONVENCIONAL"))</f>
        <v>CONVENCIONAL</v>
      </c>
    </row>
    <row r="482" spans="1:17" x14ac:dyDescent="0.25">
      <c r="A482" s="37">
        <v>4382441</v>
      </c>
      <c r="B482" s="37" t="s">
        <v>21</v>
      </c>
      <c r="C482" s="38" t="s">
        <v>21</v>
      </c>
      <c r="D482" s="38">
        <v>45448</v>
      </c>
      <c r="E4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2" s="39">
        <f>IFERROR(VLOOKUP(RES_AB[[#This Row],[Reserva]],Tabela8[[Reserva]:[Usuário]],7,FALSE),Dados!$A$17)</f>
        <v>0.8041666666666667</v>
      </c>
      <c r="G482" s="40">
        <f>IF(RES_AB[[#This Row],[Reserva]]="","",IF(RES_AB[[#This Row],[Hora Int WMS]]&lt;Dados!$A$16,2,2))</f>
        <v>2</v>
      </c>
      <c r="H482" s="40" t="str">
        <f>IF(RES_AB[[#This Row],[Reserva]]="","",IFERROR(VLOOKUP(RES_AB[[#This Row],[Reserva]],Tabela3[[Reserva]:[Condição para Faturamento]],20,FALSE),"IMPORTADO COM SUCESSO"))</f>
        <v>IMPORTADO COM SUCESSO</v>
      </c>
      <c r="I482" s="38">
        <f>IF(RES_AB[[#This Row],[Data base]]="","",WORKDAY(RES_AB[[#This Row],[Data Reserva - Feriado e Fds]],RES_AB[[#This Row],[Dias para atendimento]],Feriados[Data]))</f>
        <v>45450</v>
      </c>
      <c r="J482" s="40" t="str">
        <f ca="1">IF(RES_AB[[#This Row],[Reserva]]="","",CONCATENATE("D+",NETWORKDAYS(RES_AB[[#This Row],[Data Reserva - Feriado e Fds]],TODAY(),Feriados[Data])-1))</f>
        <v>D+2</v>
      </c>
      <c r="K482" s="40" t="str">
        <f ca="1">IF(RES_AB[[#This Row],[Reserva]]="","",CONCATENATE(RES_AB[[#This Row],[Cen.]]," | ",RES_AB[[#This Row],[SLA2]]))</f>
        <v>N190 | D+2</v>
      </c>
      <c r="L482" s="40">
        <f ca="1">IF(RES_AB[[#This Row],[Reserva]]="","",IF(RES_AB[[#This Row],[SLA2]]=RES_AB[[#This Row],[Reserva]]="","",COUNTIF(MB25_VOLUMETRIA[Reserva],RES_AB[[#This Row],[Reserva]])))</f>
        <v>2</v>
      </c>
      <c r="M4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2" s="37" t="str">
        <f>IF(RES_AB[[#This Row],[Cen.]]="","",IFERROR(VLOOKUP(RES_AB[[#This Row],[Cen.]],Dados_Empresas[],2,FALSE),"Verificar empresa"))</f>
        <v>NET MASSIVO</v>
      </c>
      <c r="P482" s="37" t="str">
        <f>IF(RES_AB[[#This Row],[Empresa]]="","",IF(OR(RES_AB[[#This Row],[Empresa]]="NET MASSIVO",RES_AB[[#This Row],[Empresa]]="NET PROJETOS"),"NET","EMPRESARIAL"))</f>
        <v>NET</v>
      </c>
      <c r="Q482" s="37" t="str">
        <f>IF(RES_AB[[#This Row],[Reserva]]="","",IFERROR(VLOOKUP(RES_AB[[#This Row],[Reserva]],Tabela3[[Reserva]:[Descrição do status]],18,FALSE),"CONVENCIONAL"))</f>
        <v>CONVENCIONAL</v>
      </c>
    </row>
    <row r="483" spans="1:17" x14ac:dyDescent="0.25">
      <c r="A483" s="37">
        <v>4382442</v>
      </c>
      <c r="B483" s="37" t="s">
        <v>21</v>
      </c>
      <c r="C483" s="38" t="s">
        <v>182</v>
      </c>
      <c r="D483" s="38">
        <v>45448</v>
      </c>
      <c r="E4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3" s="39">
        <f>IFERROR(VLOOKUP(RES_AB[[#This Row],[Reserva]],Tabela8[[Reserva]:[Usuário]],7,FALSE),Dados!$A$17)</f>
        <v>0.8041666666666667</v>
      </c>
      <c r="G483" s="40">
        <f>IF(RES_AB[[#This Row],[Reserva]]="","",IF(RES_AB[[#This Row],[Hora Int WMS]]&lt;Dados!$A$16,2,2))</f>
        <v>2</v>
      </c>
      <c r="H483" s="40" t="str">
        <f>IF(RES_AB[[#This Row],[Reserva]]="","",IFERROR(VLOOKUP(RES_AB[[#This Row],[Reserva]],Tabela3[[Reserva]:[Condição para Faturamento]],20,FALSE),"IMPORTADO COM SUCESSO"))</f>
        <v>IMPORTADO COM SUCESSO</v>
      </c>
      <c r="I483" s="38">
        <f>IF(RES_AB[[#This Row],[Data base]]="","",WORKDAY(RES_AB[[#This Row],[Data Reserva - Feriado e Fds]],RES_AB[[#This Row],[Dias para atendimento]],Feriados[Data]))</f>
        <v>45450</v>
      </c>
      <c r="J483" s="40" t="str">
        <f ca="1">IF(RES_AB[[#This Row],[Reserva]]="","",CONCATENATE("D+",NETWORKDAYS(RES_AB[[#This Row],[Data Reserva - Feriado e Fds]],TODAY(),Feriados[Data])-1))</f>
        <v>D+2</v>
      </c>
      <c r="K483" s="40" t="str">
        <f ca="1">IF(RES_AB[[#This Row],[Reserva]]="","",CONCATENATE(RES_AB[[#This Row],[Cen.]]," | ",RES_AB[[#This Row],[SLA2]]))</f>
        <v>N190 | D+2</v>
      </c>
      <c r="L483" s="40">
        <f ca="1">IF(RES_AB[[#This Row],[Reserva]]="","",IF(RES_AB[[#This Row],[SLA2]]=RES_AB[[#This Row],[Reserva]]="","",COUNTIF(MB25_VOLUMETRIA[Reserva],RES_AB[[#This Row],[Reserva]])))</f>
        <v>1</v>
      </c>
      <c r="M4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3" s="37" t="str">
        <f>IF(RES_AB[[#This Row],[Cen.]]="","",IFERROR(VLOOKUP(RES_AB[[#This Row],[Cen.]],Dados_Empresas[],2,FALSE),"Verificar empresa"))</f>
        <v>NET MASSIVO</v>
      </c>
      <c r="P483" s="37" t="str">
        <f>IF(RES_AB[[#This Row],[Empresa]]="","",IF(OR(RES_AB[[#This Row],[Empresa]]="NET MASSIVO",RES_AB[[#This Row],[Empresa]]="NET PROJETOS"),"NET","EMPRESARIAL"))</f>
        <v>NET</v>
      </c>
      <c r="Q483" s="37" t="str">
        <f>IF(RES_AB[[#This Row],[Reserva]]="","",IFERROR(VLOOKUP(RES_AB[[#This Row],[Reserva]],Tabela3[[Reserva]:[Descrição do status]],18,FALSE),"CONVENCIONAL"))</f>
        <v>CONVENCIONAL</v>
      </c>
    </row>
    <row r="484" spans="1:17" x14ac:dyDescent="0.25">
      <c r="A484" s="37">
        <v>4382443</v>
      </c>
      <c r="B484" s="37" t="s">
        <v>21</v>
      </c>
      <c r="C484" s="38" t="s">
        <v>21</v>
      </c>
      <c r="D484" s="38">
        <v>45448</v>
      </c>
      <c r="E4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4" s="39">
        <f>IFERROR(VLOOKUP(RES_AB[[#This Row],[Reserva]],Tabela8[[Reserva]:[Usuário]],7,FALSE),Dados!$A$17)</f>
        <v>0.80428240740740742</v>
      </c>
      <c r="G484" s="40">
        <f>IF(RES_AB[[#This Row],[Reserva]]="","",IF(RES_AB[[#This Row],[Hora Int WMS]]&lt;Dados!$A$16,2,2))</f>
        <v>2</v>
      </c>
      <c r="H484" s="40" t="str">
        <f>IF(RES_AB[[#This Row],[Reserva]]="","",IFERROR(VLOOKUP(RES_AB[[#This Row],[Reserva]],Tabela3[[Reserva]:[Condição para Faturamento]],20,FALSE),"IMPORTADO COM SUCESSO"))</f>
        <v>IMPORTADO COM SUCESSO</v>
      </c>
      <c r="I484" s="38">
        <f>IF(RES_AB[[#This Row],[Data base]]="","",WORKDAY(RES_AB[[#This Row],[Data Reserva - Feriado e Fds]],RES_AB[[#This Row],[Dias para atendimento]],Feriados[Data]))</f>
        <v>45450</v>
      </c>
      <c r="J484" s="40" t="str">
        <f ca="1">IF(RES_AB[[#This Row],[Reserva]]="","",CONCATENATE("D+",NETWORKDAYS(RES_AB[[#This Row],[Data Reserva - Feriado e Fds]],TODAY(),Feriados[Data])-1))</f>
        <v>D+2</v>
      </c>
      <c r="K484" s="40" t="str">
        <f ca="1">IF(RES_AB[[#This Row],[Reserva]]="","",CONCATENATE(RES_AB[[#This Row],[Cen.]]," | ",RES_AB[[#This Row],[SLA2]]))</f>
        <v>N190 | D+2</v>
      </c>
      <c r="L484" s="40">
        <f ca="1">IF(RES_AB[[#This Row],[Reserva]]="","",IF(RES_AB[[#This Row],[SLA2]]=RES_AB[[#This Row],[Reserva]]="","",COUNTIF(MB25_VOLUMETRIA[Reserva],RES_AB[[#This Row],[Reserva]])))</f>
        <v>14</v>
      </c>
      <c r="M4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4" s="37" t="str">
        <f>IF(RES_AB[[#This Row],[Cen.]]="","",IFERROR(VLOOKUP(RES_AB[[#This Row],[Cen.]],Dados_Empresas[],2,FALSE),"Verificar empresa"))</f>
        <v>NET MASSIVO</v>
      </c>
      <c r="P484" s="37" t="str">
        <f>IF(RES_AB[[#This Row],[Empresa]]="","",IF(OR(RES_AB[[#This Row],[Empresa]]="NET MASSIVO",RES_AB[[#This Row],[Empresa]]="NET PROJETOS"),"NET","EMPRESARIAL"))</f>
        <v>NET</v>
      </c>
      <c r="Q484" s="37" t="str">
        <f>IF(RES_AB[[#This Row],[Reserva]]="","",IFERROR(VLOOKUP(RES_AB[[#This Row],[Reserva]],Tabela3[[Reserva]:[Descrição do status]],18,FALSE),"CONVENCIONAL"))</f>
        <v>CONVENCIONAL</v>
      </c>
    </row>
    <row r="485" spans="1:17" x14ac:dyDescent="0.25">
      <c r="A485" s="37">
        <v>4382444</v>
      </c>
      <c r="B485" s="37" t="s">
        <v>21</v>
      </c>
      <c r="C485" s="38" t="s">
        <v>21</v>
      </c>
      <c r="D485" s="38">
        <v>45448</v>
      </c>
      <c r="E4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5" s="39">
        <f>IFERROR(VLOOKUP(RES_AB[[#This Row],[Reserva]],Tabela8[[Reserva]:[Usuário]],7,FALSE),Dados!$A$17)</f>
        <v>0.80439814814814814</v>
      </c>
      <c r="G485" s="40">
        <f>IF(RES_AB[[#This Row],[Reserva]]="","",IF(RES_AB[[#This Row],[Hora Int WMS]]&lt;Dados!$A$16,2,2))</f>
        <v>2</v>
      </c>
      <c r="H485" s="40" t="str">
        <f>IF(RES_AB[[#This Row],[Reserva]]="","",IFERROR(VLOOKUP(RES_AB[[#This Row],[Reserva]],Tabela3[[Reserva]:[Condição para Faturamento]],20,FALSE),"IMPORTADO COM SUCESSO"))</f>
        <v>IMPORTADO COM SUCESSO</v>
      </c>
      <c r="I485" s="38">
        <f>IF(RES_AB[[#This Row],[Data base]]="","",WORKDAY(RES_AB[[#This Row],[Data Reserva - Feriado e Fds]],RES_AB[[#This Row],[Dias para atendimento]],Feriados[Data]))</f>
        <v>45450</v>
      </c>
      <c r="J485" s="40" t="str">
        <f ca="1">IF(RES_AB[[#This Row],[Reserva]]="","",CONCATENATE("D+",NETWORKDAYS(RES_AB[[#This Row],[Data Reserva - Feriado e Fds]],TODAY(),Feriados[Data])-1))</f>
        <v>D+2</v>
      </c>
      <c r="K485" s="40" t="str">
        <f ca="1">IF(RES_AB[[#This Row],[Reserva]]="","",CONCATENATE(RES_AB[[#This Row],[Cen.]]," | ",RES_AB[[#This Row],[SLA2]]))</f>
        <v>N190 | D+2</v>
      </c>
      <c r="L485" s="40">
        <f ca="1">IF(RES_AB[[#This Row],[Reserva]]="","",IF(RES_AB[[#This Row],[SLA2]]=RES_AB[[#This Row],[Reserva]]="","",COUNTIF(MB25_VOLUMETRIA[Reserva],RES_AB[[#This Row],[Reserva]])))</f>
        <v>1</v>
      </c>
      <c r="M4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5" s="37" t="str">
        <f>IF(RES_AB[[#This Row],[Cen.]]="","",IFERROR(VLOOKUP(RES_AB[[#This Row],[Cen.]],Dados_Empresas[],2,FALSE),"Verificar empresa"))</f>
        <v>NET MASSIVO</v>
      </c>
      <c r="P485" s="37" t="str">
        <f>IF(RES_AB[[#This Row],[Empresa]]="","",IF(OR(RES_AB[[#This Row],[Empresa]]="NET MASSIVO",RES_AB[[#This Row],[Empresa]]="NET PROJETOS"),"NET","EMPRESARIAL"))</f>
        <v>NET</v>
      </c>
      <c r="Q485" s="37" t="str">
        <f>IF(RES_AB[[#This Row],[Reserva]]="","",IFERROR(VLOOKUP(RES_AB[[#This Row],[Reserva]],Tabela3[[Reserva]:[Descrição do status]],18,FALSE),"CONVENCIONAL"))</f>
        <v>CONVENCIONAL</v>
      </c>
    </row>
    <row r="486" spans="1:17" x14ac:dyDescent="0.25">
      <c r="A486" s="37">
        <v>4382445</v>
      </c>
      <c r="B486" s="37" t="s">
        <v>21</v>
      </c>
      <c r="C486" s="38" t="s">
        <v>21</v>
      </c>
      <c r="D486" s="38">
        <v>45448</v>
      </c>
      <c r="E4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6" s="39">
        <f>IFERROR(VLOOKUP(RES_AB[[#This Row],[Reserva]],Tabela8[[Reserva]:[Usuário]],7,FALSE),Dados!$A$17)</f>
        <v>0.80451388888888886</v>
      </c>
      <c r="G486" s="40">
        <f>IF(RES_AB[[#This Row],[Reserva]]="","",IF(RES_AB[[#This Row],[Hora Int WMS]]&lt;Dados!$A$16,2,2))</f>
        <v>2</v>
      </c>
      <c r="H486" s="40" t="str">
        <f>IF(RES_AB[[#This Row],[Reserva]]="","",IFERROR(VLOOKUP(RES_AB[[#This Row],[Reserva]],Tabela3[[Reserva]:[Condição para Faturamento]],20,FALSE),"IMPORTADO COM SUCESSO"))</f>
        <v>IMPORTADO COM SUCESSO</v>
      </c>
      <c r="I486" s="38">
        <f>IF(RES_AB[[#This Row],[Data base]]="","",WORKDAY(RES_AB[[#This Row],[Data Reserva - Feriado e Fds]],RES_AB[[#This Row],[Dias para atendimento]],Feriados[Data]))</f>
        <v>45450</v>
      </c>
      <c r="J486" s="40" t="str">
        <f ca="1">IF(RES_AB[[#This Row],[Reserva]]="","",CONCATENATE("D+",NETWORKDAYS(RES_AB[[#This Row],[Data Reserva - Feriado e Fds]],TODAY(),Feriados[Data])-1))</f>
        <v>D+2</v>
      </c>
      <c r="K486" s="40" t="str">
        <f ca="1">IF(RES_AB[[#This Row],[Reserva]]="","",CONCATENATE(RES_AB[[#This Row],[Cen.]]," | ",RES_AB[[#This Row],[SLA2]]))</f>
        <v>N190 | D+2</v>
      </c>
      <c r="L486" s="40">
        <f ca="1">IF(RES_AB[[#This Row],[Reserva]]="","",IF(RES_AB[[#This Row],[SLA2]]=RES_AB[[#This Row],[Reserva]]="","",COUNTIF(MB25_VOLUMETRIA[Reserva],RES_AB[[#This Row],[Reserva]])))</f>
        <v>7</v>
      </c>
      <c r="M4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6" s="37" t="str">
        <f>IF(RES_AB[[#This Row],[Cen.]]="","",IFERROR(VLOOKUP(RES_AB[[#This Row],[Cen.]],Dados_Empresas[],2,FALSE),"Verificar empresa"))</f>
        <v>NET MASSIVO</v>
      </c>
      <c r="P486" s="37" t="str">
        <f>IF(RES_AB[[#This Row],[Empresa]]="","",IF(OR(RES_AB[[#This Row],[Empresa]]="NET MASSIVO",RES_AB[[#This Row],[Empresa]]="NET PROJETOS"),"NET","EMPRESARIAL"))</f>
        <v>NET</v>
      </c>
      <c r="Q486" s="37" t="str">
        <f>IF(RES_AB[[#This Row],[Reserva]]="","",IFERROR(VLOOKUP(RES_AB[[#This Row],[Reserva]],Tabela3[[Reserva]:[Descrição do status]],18,FALSE),"CONVENCIONAL"))</f>
        <v>CONVENCIONAL</v>
      </c>
    </row>
    <row r="487" spans="1:17" x14ac:dyDescent="0.25">
      <c r="A487" s="37">
        <v>4382446</v>
      </c>
      <c r="B487" s="37" t="s">
        <v>21</v>
      </c>
      <c r="C487" s="38" t="s">
        <v>21</v>
      </c>
      <c r="D487" s="38">
        <v>45448</v>
      </c>
      <c r="E4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7" s="39">
        <f>IFERROR(VLOOKUP(RES_AB[[#This Row],[Reserva]],Tabela8[[Reserva]:[Usuário]],7,FALSE),Dados!$A$17)</f>
        <v>0.80462962962962958</v>
      </c>
      <c r="G487" s="40">
        <f>IF(RES_AB[[#This Row],[Reserva]]="","",IF(RES_AB[[#This Row],[Hora Int WMS]]&lt;Dados!$A$16,2,2))</f>
        <v>2</v>
      </c>
      <c r="H487" s="40" t="str">
        <f>IF(RES_AB[[#This Row],[Reserva]]="","",IFERROR(VLOOKUP(RES_AB[[#This Row],[Reserva]],Tabela3[[Reserva]:[Condição para Faturamento]],20,FALSE),"IMPORTADO COM SUCESSO"))</f>
        <v>IMPORTADO COM SUCESSO</v>
      </c>
      <c r="I487" s="38">
        <f>IF(RES_AB[[#This Row],[Data base]]="","",WORKDAY(RES_AB[[#This Row],[Data Reserva - Feriado e Fds]],RES_AB[[#This Row],[Dias para atendimento]],Feriados[Data]))</f>
        <v>45450</v>
      </c>
      <c r="J487" s="40" t="str">
        <f ca="1">IF(RES_AB[[#This Row],[Reserva]]="","",CONCATENATE("D+",NETWORKDAYS(RES_AB[[#This Row],[Data Reserva - Feriado e Fds]],TODAY(),Feriados[Data])-1))</f>
        <v>D+2</v>
      </c>
      <c r="K487" s="40" t="str">
        <f ca="1">IF(RES_AB[[#This Row],[Reserva]]="","",CONCATENATE(RES_AB[[#This Row],[Cen.]]," | ",RES_AB[[#This Row],[SLA2]]))</f>
        <v>N190 | D+2</v>
      </c>
      <c r="L487" s="40">
        <f ca="1">IF(RES_AB[[#This Row],[Reserva]]="","",IF(RES_AB[[#This Row],[SLA2]]=RES_AB[[#This Row],[Reserva]]="","",COUNTIF(MB25_VOLUMETRIA[Reserva],RES_AB[[#This Row],[Reserva]])))</f>
        <v>1</v>
      </c>
      <c r="M4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7" s="37" t="str">
        <f>IF(RES_AB[[#This Row],[Cen.]]="","",IFERROR(VLOOKUP(RES_AB[[#This Row],[Cen.]],Dados_Empresas[],2,FALSE),"Verificar empresa"))</f>
        <v>NET MASSIVO</v>
      </c>
      <c r="P487" s="37" t="str">
        <f>IF(RES_AB[[#This Row],[Empresa]]="","",IF(OR(RES_AB[[#This Row],[Empresa]]="NET MASSIVO",RES_AB[[#This Row],[Empresa]]="NET PROJETOS"),"NET","EMPRESARIAL"))</f>
        <v>NET</v>
      </c>
      <c r="Q487" s="37" t="str">
        <f>IF(RES_AB[[#This Row],[Reserva]]="","",IFERROR(VLOOKUP(RES_AB[[#This Row],[Reserva]],Tabela3[[Reserva]:[Descrição do status]],18,FALSE),"CONVENCIONAL"))</f>
        <v>CONVENCIONAL</v>
      </c>
    </row>
    <row r="488" spans="1:17" x14ac:dyDescent="0.25">
      <c r="A488" s="37">
        <v>4382447</v>
      </c>
      <c r="B488" s="37" t="s">
        <v>21</v>
      </c>
      <c r="C488" s="38" t="s">
        <v>21</v>
      </c>
      <c r="D488" s="38">
        <v>45448</v>
      </c>
      <c r="E4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8" s="39">
        <f>IFERROR(VLOOKUP(RES_AB[[#This Row],[Reserva]],Tabela8[[Reserva]:[Usuário]],7,FALSE),Dados!$A$17)</f>
        <v>0.80474537037037042</v>
      </c>
      <c r="G488" s="40">
        <f>IF(RES_AB[[#This Row],[Reserva]]="","",IF(RES_AB[[#This Row],[Hora Int WMS]]&lt;Dados!$A$16,2,2))</f>
        <v>2</v>
      </c>
      <c r="H488" s="40" t="str">
        <f>IF(RES_AB[[#This Row],[Reserva]]="","",IFERROR(VLOOKUP(RES_AB[[#This Row],[Reserva]],Tabela3[[Reserva]:[Condição para Faturamento]],20,FALSE),"IMPORTADO COM SUCESSO"))</f>
        <v>IMPORTADO COM SUCESSO</v>
      </c>
      <c r="I488" s="38">
        <f>IF(RES_AB[[#This Row],[Data base]]="","",WORKDAY(RES_AB[[#This Row],[Data Reserva - Feriado e Fds]],RES_AB[[#This Row],[Dias para atendimento]],Feriados[Data]))</f>
        <v>45450</v>
      </c>
      <c r="J488" s="40" t="str">
        <f ca="1">IF(RES_AB[[#This Row],[Reserva]]="","",CONCATENATE("D+",NETWORKDAYS(RES_AB[[#This Row],[Data Reserva - Feriado e Fds]],TODAY(),Feriados[Data])-1))</f>
        <v>D+2</v>
      </c>
      <c r="K488" s="40" t="str">
        <f ca="1">IF(RES_AB[[#This Row],[Reserva]]="","",CONCATENATE(RES_AB[[#This Row],[Cen.]]," | ",RES_AB[[#This Row],[SLA2]]))</f>
        <v>N190 | D+2</v>
      </c>
      <c r="L488" s="40">
        <f ca="1">IF(RES_AB[[#This Row],[Reserva]]="","",IF(RES_AB[[#This Row],[SLA2]]=RES_AB[[#This Row],[Reserva]]="","",COUNTIF(MB25_VOLUMETRIA[Reserva],RES_AB[[#This Row],[Reserva]])))</f>
        <v>13</v>
      </c>
      <c r="M4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8" s="37" t="str">
        <f>IF(RES_AB[[#This Row],[Cen.]]="","",IFERROR(VLOOKUP(RES_AB[[#This Row],[Cen.]],Dados_Empresas[],2,FALSE),"Verificar empresa"))</f>
        <v>NET MASSIVO</v>
      </c>
      <c r="P488" s="37" t="str">
        <f>IF(RES_AB[[#This Row],[Empresa]]="","",IF(OR(RES_AB[[#This Row],[Empresa]]="NET MASSIVO",RES_AB[[#This Row],[Empresa]]="NET PROJETOS"),"NET","EMPRESARIAL"))</f>
        <v>NET</v>
      </c>
      <c r="Q488" s="37" t="str">
        <f>IF(RES_AB[[#This Row],[Reserva]]="","",IFERROR(VLOOKUP(RES_AB[[#This Row],[Reserva]],Tabela3[[Reserva]:[Descrição do status]],18,FALSE),"CONVENCIONAL"))</f>
        <v>CONVENCIONAL</v>
      </c>
    </row>
    <row r="489" spans="1:17" x14ac:dyDescent="0.25">
      <c r="A489" s="37">
        <v>4382448</v>
      </c>
      <c r="B489" s="37" t="s">
        <v>21</v>
      </c>
      <c r="C489" s="38" t="s">
        <v>21</v>
      </c>
      <c r="D489" s="38">
        <v>45448</v>
      </c>
      <c r="E4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89" s="39">
        <f>IFERROR(VLOOKUP(RES_AB[[#This Row],[Reserva]],Tabela8[[Reserva]:[Usuário]],7,FALSE),Dados!$A$17)</f>
        <v>0.80486111111111114</v>
      </c>
      <c r="G489" s="40">
        <f>IF(RES_AB[[#This Row],[Reserva]]="","",IF(RES_AB[[#This Row],[Hora Int WMS]]&lt;Dados!$A$16,2,2))</f>
        <v>2</v>
      </c>
      <c r="H489" s="40" t="str">
        <f>IF(RES_AB[[#This Row],[Reserva]]="","",IFERROR(VLOOKUP(RES_AB[[#This Row],[Reserva]],Tabela3[[Reserva]:[Condição para Faturamento]],20,FALSE),"IMPORTADO COM SUCESSO"))</f>
        <v>IMPORTADO COM SUCESSO</v>
      </c>
      <c r="I489" s="38">
        <f>IF(RES_AB[[#This Row],[Data base]]="","",WORKDAY(RES_AB[[#This Row],[Data Reserva - Feriado e Fds]],RES_AB[[#This Row],[Dias para atendimento]],Feriados[Data]))</f>
        <v>45450</v>
      </c>
      <c r="J489" s="40" t="str">
        <f ca="1">IF(RES_AB[[#This Row],[Reserva]]="","",CONCATENATE("D+",NETWORKDAYS(RES_AB[[#This Row],[Data Reserva - Feriado e Fds]],TODAY(),Feriados[Data])-1))</f>
        <v>D+2</v>
      </c>
      <c r="K489" s="40" t="str">
        <f ca="1">IF(RES_AB[[#This Row],[Reserva]]="","",CONCATENATE(RES_AB[[#This Row],[Cen.]]," | ",RES_AB[[#This Row],[SLA2]]))</f>
        <v>N190 | D+2</v>
      </c>
      <c r="L489" s="40">
        <f ca="1">IF(RES_AB[[#This Row],[Reserva]]="","",IF(RES_AB[[#This Row],[SLA2]]=RES_AB[[#This Row],[Reserva]]="","",COUNTIF(MB25_VOLUMETRIA[Reserva],RES_AB[[#This Row],[Reserva]])))</f>
        <v>2</v>
      </c>
      <c r="M4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8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89" s="37" t="str">
        <f>IF(RES_AB[[#This Row],[Cen.]]="","",IFERROR(VLOOKUP(RES_AB[[#This Row],[Cen.]],Dados_Empresas[],2,FALSE),"Verificar empresa"))</f>
        <v>NET MASSIVO</v>
      </c>
      <c r="P489" s="37" t="str">
        <f>IF(RES_AB[[#This Row],[Empresa]]="","",IF(OR(RES_AB[[#This Row],[Empresa]]="NET MASSIVO",RES_AB[[#This Row],[Empresa]]="NET PROJETOS"),"NET","EMPRESARIAL"))</f>
        <v>NET</v>
      </c>
      <c r="Q489" s="37" t="str">
        <f>IF(RES_AB[[#This Row],[Reserva]]="","",IFERROR(VLOOKUP(RES_AB[[#This Row],[Reserva]],Tabela3[[Reserva]:[Descrição do status]],18,FALSE),"CONVENCIONAL"))</f>
        <v>CONVENCIONAL</v>
      </c>
    </row>
    <row r="490" spans="1:17" x14ac:dyDescent="0.25">
      <c r="A490" s="37">
        <v>4382449</v>
      </c>
      <c r="B490" s="37" t="s">
        <v>21</v>
      </c>
      <c r="C490" s="38" t="s">
        <v>21</v>
      </c>
      <c r="D490" s="38">
        <v>45448</v>
      </c>
      <c r="E4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0" s="39">
        <f>IFERROR(VLOOKUP(RES_AB[[#This Row],[Reserva]],Tabela8[[Reserva]:[Usuário]],7,FALSE),Dados!$A$17)</f>
        <v>0.80486111111111114</v>
      </c>
      <c r="G490" s="40">
        <f>IF(RES_AB[[#This Row],[Reserva]]="","",IF(RES_AB[[#This Row],[Hora Int WMS]]&lt;Dados!$A$16,2,2))</f>
        <v>2</v>
      </c>
      <c r="H490" s="40" t="str">
        <f>IF(RES_AB[[#This Row],[Reserva]]="","",IFERROR(VLOOKUP(RES_AB[[#This Row],[Reserva]],Tabela3[[Reserva]:[Condição para Faturamento]],20,FALSE),"IMPORTADO COM SUCESSO"))</f>
        <v>IMPORTADO COM SUCESSO</v>
      </c>
      <c r="I490" s="38">
        <f>IF(RES_AB[[#This Row],[Data base]]="","",WORKDAY(RES_AB[[#This Row],[Data Reserva - Feriado e Fds]],RES_AB[[#This Row],[Dias para atendimento]],Feriados[Data]))</f>
        <v>45450</v>
      </c>
      <c r="J490" s="40" t="str">
        <f ca="1">IF(RES_AB[[#This Row],[Reserva]]="","",CONCATENATE("D+",NETWORKDAYS(RES_AB[[#This Row],[Data Reserva - Feriado e Fds]],TODAY(),Feriados[Data])-1))</f>
        <v>D+2</v>
      </c>
      <c r="K490" s="40" t="str">
        <f ca="1">IF(RES_AB[[#This Row],[Reserva]]="","",CONCATENATE(RES_AB[[#This Row],[Cen.]]," | ",RES_AB[[#This Row],[SLA2]]))</f>
        <v>N190 | D+2</v>
      </c>
      <c r="L490" s="40">
        <f ca="1">IF(RES_AB[[#This Row],[Reserva]]="","",IF(RES_AB[[#This Row],[SLA2]]=RES_AB[[#This Row],[Reserva]]="","",COUNTIF(MB25_VOLUMETRIA[Reserva],RES_AB[[#This Row],[Reserva]])))</f>
        <v>6</v>
      </c>
      <c r="M4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0" s="37" t="str">
        <f>IF(RES_AB[[#This Row],[Cen.]]="","",IFERROR(VLOOKUP(RES_AB[[#This Row],[Cen.]],Dados_Empresas[],2,FALSE),"Verificar empresa"))</f>
        <v>NET MASSIVO</v>
      </c>
      <c r="P490" s="37" t="str">
        <f>IF(RES_AB[[#This Row],[Empresa]]="","",IF(OR(RES_AB[[#This Row],[Empresa]]="NET MASSIVO",RES_AB[[#This Row],[Empresa]]="NET PROJETOS"),"NET","EMPRESARIAL"))</f>
        <v>NET</v>
      </c>
      <c r="Q490" s="37" t="str">
        <f>IF(RES_AB[[#This Row],[Reserva]]="","",IFERROR(VLOOKUP(RES_AB[[#This Row],[Reserva]],Tabela3[[Reserva]:[Descrição do status]],18,FALSE),"CONVENCIONAL"))</f>
        <v>CONVENCIONAL</v>
      </c>
    </row>
    <row r="491" spans="1:17" x14ac:dyDescent="0.25">
      <c r="A491" s="37">
        <v>4382450</v>
      </c>
      <c r="B491" s="37" t="s">
        <v>21</v>
      </c>
      <c r="C491" s="38" t="s">
        <v>21</v>
      </c>
      <c r="D491" s="38">
        <v>45448</v>
      </c>
      <c r="E4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1" s="39">
        <f>IFERROR(VLOOKUP(RES_AB[[#This Row],[Reserva]],Tabela8[[Reserva]:[Usuário]],7,FALSE),Dados!$A$17)</f>
        <v>0.80497685185185186</v>
      </c>
      <c r="G491" s="40">
        <f>IF(RES_AB[[#This Row],[Reserva]]="","",IF(RES_AB[[#This Row],[Hora Int WMS]]&lt;Dados!$A$16,2,2))</f>
        <v>2</v>
      </c>
      <c r="H491" s="40" t="str">
        <f>IF(RES_AB[[#This Row],[Reserva]]="","",IFERROR(VLOOKUP(RES_AB[[#This Row],[Reserva]],Tabela3[[Reserva]:[Condição para Faturamento]],20,FALSE),"IMPORTADO COM SUCESSO"))</f>
        <v>IMPORTADO COM SUCESSO</v>
      </c>
      <c r="I491" s="38">
        <f>IF(RES_AB[[#This Row],[Data base]]="","",WORKDAY(RES_AB[[#This Row],[Data Reserva - Feriado e Fds]],RES_AB[[#This Row],[Dias para atendimento]],Feriados[Data]))</f>
        <v>45450</v>
      </c>
      <c r="J491" s="40" t="str">
        <f ca="1">IF(RES_AB[[#This Row],[Reserva]]="","",CONCATENATE("D+",NETWORKDAYS(RES_AB[[#This Row],[Data Reserva - Feriado e Fds]],TODAY(),Feriados[Data])-1))</f>
        <v>D+2</v>
      </c>
      <c r="K491" s="40" t="str">
        <f ca="1">IF(RES_AB[[#This Row],[Reserva]]="","",CONCATENATE(RES_AB[[#This Row],[Cen.]]," | ",RES_AB[[#This Row],[SLA2]]))</f>
        <v>N190 | D+2</v>
      </c>
      <c r="L491" s="40">
        <f ca="1">IF(RES_AB[[#This Row],[Reserva]]="","",IF(RES_AB[[#This Row],[SLA2]]=RES_AB[[#This Row],[Reserva]]="","",COUNTIF(MB25_VOLUMETRIA[Reserva],RES_AB[[#This Row],[Reserva]])))</f>
        <v>1</v>
      </c>
      <c r="M4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1" s="37" t="str">
        <f>IF(RES_AB[[#This Row],[Cen.]]="","",IFERROR(VLOOKUP(RES_AB[[#This Row],[Cen.]],Dados_Empresas[],2,FALSE),"Verificar empresa"))</f>
        <v>NET MASSIVO</v>
      </c>
      <c r="P491" s="37" t="str">
        <f>IF(RES_AB[[#This Row],[Empresa]]="","",IF(OR(RES_AB[[#This Row],[Empresa]]="NET MASSIVO",RES_AB[[#This Row],[Empresa]]="NET PROJETOS"),"NET","EMPRESARIAL"))</f>
        <v>NET</v>
      </c>
      <c r="Q491" s="37" t="str">
        <f>IF(RES_AB[[#This Row],[Reserva]]="","",IFERROR(VLOOKUP(RES_AB[[#This Row],[Reserva]],Tabela3[[Reserva]:[Descrição do status]],18,FALSE),"CONVENCIONAL"))</f>
        <v>CONVENCIONAL</v>
      </c>
    </row>
    <row r="492" spans="1:17" x14ac:dyDescent="0.25">
      <c r="A492" s="37">
        <v>4382451</v>
      </c>
      <c r="B492" s="37" t="s">
        <v>21</v>
      </c>
      <c r="C492" s="38" t="s">
        <v>21</v>
      </c>
      <c r="D492" s="38">
        <v>45448</v>
      </c>
      <c r="E4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2" s="39">
        <f>IFERROR(VLOOKUP(RES_AB[[#This Row],[Reserva]],Tabela8[[Reserva]:[Usuário]],7,FALSE),Dados!$A$17)</f>
        <v>0.80509259259259258</v>
      </c>
      <c r="G492" s="40">
        <f>IF(RES_AB[[#This Row],[Reserva]]="","",IF(RES_AB[[#This Row],[Hora Int WMS]]&lt;Dados!$A$16,2,2))</f>
        <v>2</v>
      </c>
      <c r="H492" s="40" t="str">
        <f>IF(RES_AB[[#This Row],[Reserva]]="","",IFERROR(VLOOKUP(RES_AB[[#This Row],[Reserva]],Tabela3[[Reserva]:[Condição para Faturamento]],20,FALSE),"IMPORTADO COM SUCESSO"))</f>
        <v>IMPORTADO COM SUCESSO</v>
      </c>
      <c r="I492" s="38">
        <f>IF(RES_AB[[#This Row],[Data base]]="","",WORKDAY(RES_AB[[#This Row],[Data Reserva - Feriado e Fds]],RES_AB[[#This Row],[Dias para atendimento]],Feriados[Data]))</f>
        <v>45450</v>
      </c>
      <c r="J492" s="40" t="str">
        <f ca="1">IF(RES_AB[[#This Row],[Reserva]]="","",CONCATENATE("D+",NETWORKDAYS(RES_AB[[#This Row],[Data Reserva - Feriado e Fds]],TODAY(),Feriados[Data])-1))</f>
        <v>D+2</v>
      </c>
      <c r="K492" s="40" t="str">
        <f ca="1">IF(RES_AB[[#This Row],[Reserva]]="","",CONCATENATE(RES_AB[[#This Row],[Cen.]]," | ",RES_AB[[#This Row],[SLA2]]))</f>
        <v>N190 | D+2</v>
      </c>
      <c r="L492" s="40">
        <f ca="1">IF(RES_AB[[#This Row],[Reserva]]="","",IF(RES_AB[[#This Row],[SLA2]]=RES_AB[[#This Row],[Reserva]]="","",COUNTIF(MB25_VOLUMETRIA[Reserva],RES_AB[[#This Row],[Reserva]])))</f>
        <v>16</v>
      </c>
      <c r="M4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2" s="37" t="str">
        <f>IF(RES_AB[[#This Row],[Cen.]]="","",IFERROR(VLOOKUP(RES_AB[[#This Row],[Cen.]],Dados_Empresas[],2,FALSE),"Verificar empresa"))</f>
        <v>NET MASSIVO</v>
      </c>
      <c r="P492" s="37" t="str">
        <f>IF(RES_AB[[#This Row],[Empresa]]="","",IF(OR(RES_AB[[#This Row],[Empresa]]="NET MASSIVO",RES_AB[[#This Row],[Empresa]]="NET PROJETOS"),"NET","EMPRESARIAL"))</f>
        <v>NET</v>
      </c>
      <c r="Q492" s="37" t="str">
        <f>IF(RES_AB[[#This Row],[Reserva]]="","",IFERROR(VLOOKUP(RES_AB[[#This Row],[Reserva]],Tabela3[[Reserva]:[Descrição do status]],18,FALSE),"CONVENCIONAL"))</f>
        <v>CONVENCIONAL</v>
      </c>
    </row>
    <row r="493" spans="1:17" x14ac:dyDescent="0.25">
      <c r="A493" s="37">
        <v>4382452</v>
      </c>
      <c r="B493" s="37" t="s">
        <v>21</v>
      </c>
      <c r="C493" s="38" t="s">
        <v>182</v>
      </c>
      <c r="D493" s="38">
        <v>45448</v>
      </c>
      <c r="E4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3" s="39">
        <f>IFERROR(VLOOKUP(RES_AB[[#This Row],[Reserva]],Tabela8[[Reserva]:[Usuário]],7,FALSE),Dados!$A$17)</f>
        <v>0.8052083333333333</v>
      </c>
      <c r="G493" s="40">
        <f>IF(RES_AB[[#This Row],[Reserva]]="","",IF(RES_AB[[#This Row],[Hora Int WMS]]&lt;Dados!$A$16,2,2))</f>
        <v>2</v>
      </c>
      <c r="H493" s="40" t="str">
        <f>IF(RES_AB[[#This Row],[Reserva]]="","",IFERROR(VLOOKUP(RES_AB[[#This Row],[Reserva]],Tabela3[[Reserva]:[Condição para Faturamento]],20,FALSE),"IMPORTADO COM SUCESSO"))</f>
        <v>IMPORTADO COM SUCESSO</v>
      </c>
      <c r="I493" s="38">
        <f>IF(RES_AB[[#This Row],[Data base]]="","",WORKDAY(RES_AB[[#This Row],[Data Reserva - Feriado e Fds]],RES_AB[[#This Row],[Dias para atendimento]],Feriados[Data]))</f>
        <v>45450</v>
      </c>
      <c r="J493" s="40" t="str">
        <f ca="1">IF(RES_AB[[#This Row],[Reserva]]="","",CONCATENATE("D+",NETWORKDAYS(RES_AB[[#This Row],[Data Reserva - Feriado e Fds]],TODAY(),Feriados[Data])-1))</f>
        <v>D+2</v>
      </c>
      <c r="K493" s="40" t="str">
        <f ca="1">IF(RES_AB[[#This Row],[Reserva]]="","",CONCATENATE(RES_AB[[#This Row],[Cen.]]," | ",RES_AB[[#This Row],[SLA2]]))</f>
        <v>N190 | D+2</v>
      </c>
      <c r="L493" s="40">
        <f ca="1">IF(RES_AB[[#This Row],[Reserva]]="","",IF(RES_AB[[#This Row],[SLA2]]=RES_AB[[#This Row],[Reserva]]="","",COUNTIF(MB25_VOLUMETRIA[Reserva],RES_AB[[#This Row],[Reserva]])))</f>
        <v>3</v>
      </c>
      <c r="M4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3" s="37" t="str">
        <f>IF(RES_AB[[#This Row],[Cen.]]="","",IFERROR(VLOOKUP(RES_AB[[#This Row],[Cen.]],Dados_Empresas[],2,FALSE),"Verificar empresa"))</f>
        <v>NET MASSIVO</v>
      </c>
      <c r="P493" s="37" t="str">
        <f>IF(RES_AB[[#This Row],[Empresa]]="","",IF(OR(RES_AB[[#This Row],[Empresa]]="NET MASSIVO",RES_AB[[#This Row],[Empresa]]="NET PROJETOS"),"NET","EMPRESARIAL"))</f>
        <v>NET</v>
      </c>
      <c r="Q493" s="37" t="str">
        <f>IF(RES_AB[[#This Row],[Reserva]]="","",IFERROR(VLOOKUP(RES_AB[[#This Row],[Reserva]],Tabela3[[Reserva]:[Descrição do status]],18,FALSE),"CONVENCIONAL"))</f>
        <v>CONVENCIONAL</v>
      </c>
    </row>
    <row r="494" spans="1:17" x14ac:dyDescent="0.25">
      <c r="A494" s="37">
        <v>4382453</v>
      </c>
      <c r="B494" s="37" t="s">
        <v>21</v>
      </c>
      <c r="C494" s="38" t="s">
        <v>21</v>
      </c>
      <c r="D494" s="38">
        <v>45448</v>
      </c>
      <c r="E4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4" s="39">
        <f>IFERROR(VLOOKUP(RES_AB[[#This Row],[Reserva]],Tabela8[[Reserva]:[Usuário]],7,FALSE),Dados!$A$17)</f>
        <v>0.80532407407407403</v>
      </c>
      <c r="G494" s="40">
        <f>IF(RES_AB[[#This Row],[Reserva]]="","",IF(RES_AB[[#This Row],[Hora Int WMS]]&lt;Dados!$A$16,2,2))</f>
        <v>2</v>
      </c>
      <c r="H494" s="40" t="str">
        <f>IF(RES_AB[[#This Row],[Reserva]]="","",IFERROR(VLOOKUP(RES_AB[[#This Row],[Reserva]],Tabela3[[Reserva]:[Condição para Faturamento]],20,FALSE),"IMPORTADO COM SUCESSO"))</f>
        <v>IMPORTADO COM SUCESSO</v>
      </c>
      <c r="I494" s="38">
        <f>IF(RES_AB[[#This Row],[Data base]]="","",WORKDAY(RES_AB[[#This Row],[Data Reserva - Feriado e Fds]],RES_AB[[#This Row],[Dias para atendimento]],Feriados[Data]))</f>
        <v>45450</v>
      </c>
      <c r="J494" s="40" t="str">
        <f ca="1">IF(RES_AB[[#This Row],[Reserva]]="","",CONCATENATE("D+",NETWORKDAYS(RES_AB[[#This Row],[Data Reserva - Feriado e Fds]],TODAY(),Feriados[Data])-1))</f>
        <v>D+2</v>
      </c>
      <c r="K494" s="40" t="str">
        <f ca="1">IF(RES_AB[[#This Row],[Reserva]]="","",CONCATENATE(RES_AB[[#This Row],[Cen.]]," | ",RES_AB[[#This Row],[SLA2]]))</f>
        <v>N190 | D+2</v>
      </c>
      <c r="L494" s="40">
        <f ca="1">IF(RES_AB[[#This Row],[Reserva]]="","",IF(RES_AB[[#This Row],[SLA2]]=RES_AB[[#This Row],[Reserva]]="","",COUNTIF(MB25_VOLUMETRIA[Reserva],RES_AB[[#This Row],[Reserva]])))</f>
        <v>8</v>
      </c>
      <c r="M4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4" s="37" t="str">
        <f>IF(RES_AB[[#This Row],[Cen.]]="","",IFERROR(VLOOKUP(RES_AB[[#This Row],[Cen.]],Dados_Empresas[],2,FALSE),"Verificar empresa"))</f>
        <v>NET MASSIVO</v>
      </c>
      <c r="P494" s="37" t="str">
        <f>IF(RES_AB[[#This Row],[Empresa]]="","",IF(OR(RES_AB[[#This Row],[Empresa]]="NET MASSIVO",RES_AB[[#This Row],[Empresa]]="NET PROJETOS"),"NET","EMPRESARIAL"))</f>
        <v>NET</v>
      </c>
      <c r="Q494" s="37" t="str">
        <f>IF(RES_AB[[#This Row],[Reserva]]="","",IFERROR(VLOOKUP(RES_AB[[#This Row],[Reserva]],Tabela3[[Reserva]:[Descrição do status]],18,FALSE),"CONVENCIONAL"))</f>
        <v>CONVENCIONAL</v>
      </c>
    </row>
    <row r="495" spans="1:17" x14ac:dyDescent="0.25">
      <c r="A495" s="37">
        <v>4382454</v>
      </c>
      <c r="B495" s="37" t="s">
        <v>21</v>
      </c>
      <c r="C495" s="38" t="s">
        <v>21</v>
      </c>
      <c r="D495" s="38">
        <v>45448</v>
      </c>
      <c r="E4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5" s="39">
        <f>IFERROR(VLOOKUP(RES_AB[[#This Row],[Reserva]],Tabela8[[Reserva]:[Usuário]],7,FALSE),Dados!$A$17)</f>
        <v>0.80543981481481486</v>
      </c>
      <c r="G495" s="40">
        <f>IF(RES_AB[[#This Row],[Reserva]]="","",IF(RES_AB[[#This Row],[Hora Int WMS]]&lt;Dados!$A$16,2,2))</f>
        <v>2</v>
      </c>
      <c r="H495" s="40" t="str">
        <f>IF(RES_AB[[#This Row],[Reserva]]="","",IFERROR(VLOOKUP(RES_AB[[#This Row],[Reserva]],Tabela3[[Reserva]:[Condição para Faturamento]],20,FALSE),"IMPORTADO COM SUCESSO"))</f>
        <v>IMPORTADO COM SUCESSO</v>
      </c>
      <c r="I495" s="38">
        <f>IF(RES_AB[[#This Row],[Data base]]="","",WORKDAY(RES_AB[[#This Row],[Data Reserva - Feriado e Fds]],RES_AB[[#This Row],[Dias para atendimento]],Feriados[Data]))</f>
        <v>45450</v>
      </c>
      <c r="J495" s="40" t="str">
        <f ca="1">IF(RES_AB[[#This Row],[Reserva]]="","",CONCATENATE("D+",NETWORKDAYS(RES_AB[[#This Row],[Data Reserva - Feriado e Fds]],TODAY(),Feriados[Data])-1))</f>
        <v>D+2</v>
      </c>
      <c r="K495" s="40" t="str">
        <f ca="1">IF(RES_AB[[#This Row],[Reserva]]="","",CONCATENATE(RES_AB[[#This Row],[Cen.]]," | ",RES_AB[[#This Row],[SLA2]]))</f>
        <v>N190 | D+2</v>
      </c>
      <c r="L495" s="40">
        <f ca="1">IF(RES_AB[[#This Row],[Reserva]]="","",IF(RES_AB[[#This Row],[SLA2]]=RES_AB[[#This Row],[Reserva]]="","",COUNTIF(MB25_VOLUMETRIA[Reserva],RES_AB[[#This Row],[Reserva]])))</f>
        <v>1</v>
      </c>
      <c r="M4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5" s="37" t="str">
        <f>IF(RES_AB[[#This Row],[Cen.]]="","",IFERROR(VLOOKUP(RES_AB[[#This Row],[Cen.]],Dados_Empresas[],2,FALSE),"Verificar empresa"))</f>
        <v>NET MASSIVO</v>
      </c>
      <c r="P495" s="37" t="str">
        <f>IF(RES_AB[[#This Row],[Empresa]]="","",IF(OR(RES_AB[[#This Row],[Empresa]]="NET MASSIVO",RES_AB[[#This Row],[Empresa]]="NET PROJETOS"),"NET","EMPRESARIAL"))</f>
        <v>NET</v>
      </c>
      <c r="Q495" s="37" t="str">
        <f>IF(RES_AB[[#This Row],[Reserva]]="","",IFERROR(VLOOKUP(RES_AB[[#This Row],[Reserva]],Tabela3[[Reserva]:[Descrição do status]],18,FALSE),"CONVENCIONAL"))</f>
        <v>CONVENCIONAL</v>
      </c>
    </row>
    <row r="496" spans="1:17" x14ac:dyDescent="0.25">
      <c r="A496" s="37">
        <v>4382455</v>
      </c>
      <c r="B496" s="37" t="s">
        <v>21</v>
      </c>
      <c r="C496" s="38" t="s">
        <v>21</v>
      </c>
      <c r="D496" s="38">
        <v>45448</v>
      </c>
      <c r="E4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6" s="39">
        <f>IFERROR(VLOOKUP(RES_AB[[#This Row],[Reserva]],Tabela8[[Reserva]:[Usuário]],7,FALSE),Dados!$A$17)</f>
        <v>0.80543981481481486</v>
      </c>
      <c r="G496" s="40">
        <f>IF(RES_AB[[#This Row],[Reserva]]="","",IF(RES_AB[[#This Row],[Hora Int WMS]]&lt;Dados!$A$16,2,2))</f>
        <v>2</v>
      </c>
      <c r="H496" s="40" t="str">
        <f>IF(RES_AB[[#This Row],[Reserva]]="","",IFERROR(VLOOKUP(RES_AB[[#This Row],[Reserva]],Tabela3[[Reserva]:[Condição para Faturamento]],20,FALSE),"IMPORTADO COM SUCESSO"))</f>
        <v>IMPORTADO COM SUCESSO</v>
      </c>
      <c r="I496" s="38">
        <f>IF(RES_AB[[#This Row],[Data base]]="","",WORKDAY(RES_AB[[#This Row],[Data Reserva - Feriado e Fds]],RES_AB[[#This Row],[Dias para atendimento]],Feriados[Data]))</f>
        <v>45450</v>
      </c>
      <c r="J496" s="40" t="str">
        <f ca="1">IF(RES_AB[[#This Row],[Reserva]]="","",CONCATENATE("D+",NETWORKDAYS(RES_AB[[#This Row],[Data Reserva - Feriado e Fds]],TODAY(),Feriados[Data])-1))</f>
        <v>D+2</v>
      </c>
      <c r="K496" s="40" t="str">
        <f ca="1">IF(RES_AB[[#This Row],[Reserva]]="","",CONCATENATE(RES_AB[[#This Row],[Cen.]]," | ",RES_AB[[#This Row],[SLA2]]))</f>
        <v>N190 | D+2</v>
      </c>
      <c r="L496" s="40">
        <f ca="1">IF(RES_AB[[#This Row],[Reserva]]="","",IF(RES_AB[[#This Row],[SLA2]]=RES_AB[[#This Row],[Reserva]]="","",COUNTIF(MB25_VOLUMETRIA[Reserva],RES_AB[[#This Row],[Reserva]])))</f>
        <v>18</v>
      </c>
      <c r="M4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6" s="37" t="str">
        <f>IF(RES_AB[[#This Row],[Cen.]]="","",IFERROR(VLOOKUP(RES_AB[[#This Row],[Cen.]],Dados_Empresas[],2,FALSE),"Verificar empresa"))</f>
        <v>NET MASSIVO</v>
      </c>
      <c r="P496" s="37" t="str">
        <f>IF(RES_AB[[#This Row],[Empresa]]="","",IF(OR(RES_AB[[#This Row],[Empresa]]="NET MASSIVO",RES_AB[[#This Row],[Empresa]]="NET PROJETOS"),"NET","EMPRESARIAL"))</f>
        <v>NET</v>
      </c>
      <c r="Q496" s="37" t="str">
        <f>IF(RES_AB[[#This Row],[Reserva]]="","",IFERROR(VLOOKUP(RES_AB[[#This Row],[Reserva]],Tabela3[[Reserva]:[Descrição do status]],18,FALSE),"CONVENCIONAL"))</f>
        <v>CONVENCIONAL</v>
      </c>
    </row>
    <row r="497" spans="1:17" x14ac:dyDescent="0.25">
      <c r="A497" s="37">
        <v>4382456</v>
      </c>
      <c r="B497" s="37" t="s">
        <v>21</v>
      </c>
      <c r="C497" s="38" t="s">
        <v>21</v>
      </c>
      <c r="D497" s="38">
        <v>45448</v>
      </c>
      <c r="E4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7" s="39">
        <f>IFERROR(VLOOKUP(RES_AB[[#This Row],[Reserva]],Tabela8[[Reserva]:[Usuário]],7,FALSE),Dados!$A$17)</f>
        <v>0.8056712962962963</v>
      </c>
      <c r="G497" s="40">
        <f>IF(RES_AB[[#This Row],[Reserva]]="","",IF(RES_AB[[#This Row],[Hora Int WMS]]&lt;Dados!$A$16,2,2))</f>
        <v>2</v>
      </c>
      <c r="H497" s="40" t="str">
        <f>IF(RES_AB[[#This Row],[Reserva]]="","",IFERROR(VLOOKUP(RES_AB[[#This Row],[Reserva]],Tabela3[[Reserva]:[Condição para Faturamento]],20,FALSE),"IMPORTADO COM SUCESSO"))</f>
        <v>IMPORTADO COM SUCESSO</v>
      </c>
      <c r="I497" s="38">
        <f>IF(RES_AB[[#This Row],[Data base]]="","",WORKDAY(RES_AB[[#This Row],[Data Reserva - Feriado e Fds]],RES_AB[[#This Row],[Dias para atendimento]],Feriados[Data]))</f>
        <v>45450</v>
      </c>
      <c r="J497" s="40" t="str">
        <f ca="1">IF(RES_AB[[#This Row],[Reserva]]="","",CONCATENATE("D+",NETWORKDAYS(RES_AB[[#This Row],[Data Reserva - Feriado e Fds]],TODAY(),Feriados[Data])-1))</f>
        <v>D+2</v>
      </c>
      <c r="K497" s="40" t="str">
        <f ca="1">IF(RES_AB[[#This Row],[Reserva]]="","",CONCATENATE(RES_AB[[#This Row],[Cen.]]," | ",RES_AB[[#This Row],[SLA2]]))</f>
        <v>N190 | D+2</v>
      </c>
      <c r="L497" s="40">
        <f ca="1">IF(RES_AB[[#This Row],[Reserva]]="","",IF(RES_AB[[#This Row],[SLA2]]=RES_AB[[#This Row],[Reserva]]="","",COUNTIF(MB25_VOLUMETRIA[Reserva],RES_AB[[#This Row],[Reserva]])))</f>
        <v>1</v>
      </c>
      <c r="M4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7" s="37" t="str">
        <f>IF(RES_AB[[#This Row],[Cen.]]="","",IFERROR(VLOOKUP(RES_AB[[#This Row],[Cen.]],Dados_Empresas[],2,FALSE),"Verificar empresa"))</f>
        <v>NET MASSIVO</v>
      </c>
      <c r="P497" s="37" t="str">
        <f>IF(RES_AB[[#This Row],[Empresa]]="","",IF(OR(RES_AB[[#This Row],[Empresa]]="NET MASSIVO",RES_AB[[#This Row],[Empresa]]="NET PROJETOS"),"NET","EMPRESARIAL"))</f>
        <v>NET</v>
      </c>
      <c r="Q497" s="37" t="str">
        <f>IF(RES_AB[[#This Row],[Reserva]]="","",IFERROR(VLOOKUP(RES_AB[[#This Row],[Reserva]],Tabela3[[Reserva]:[Descrição do status]],18,FALSE),"CONVENCIONAL"))</f>
        <v>CONVENCIONAL</v>
      </c>
    </row>
    <row r="498" spans="1:17" x14ac:dyDescent="0.25">
      <c r="A498" s="37">
        <v>4382457</v>
      </c>
      <c r="B498" s="37" t="s">
        <v>21</v>
      </c>
      <c r="C498" s="38" t="s">
        <v>19</v>
      </c>
      <c r="D498" s="38">
        <v>45448</v>
      </c>
      <c r="E4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8" s="39">
        <f>IFERROR(VLOOKUP(RES_AB[[#This Row],[Reserva]],Tabela8[[Reserva]:[Usuário]],7,FALSE),Dados!$A$17)</f>
        <v>0.80578703703703702</v>
      </c>
      <c r="G498" s="40">
        <f>IF(RES_AB[[#This Row],[Reserva]]="","",IF(RES_AB[[#This Row],[Hora Int WMS]]&lt;Dados!$A$16,2,2))</f>
        <v>2</v>
      </c>
      <c r="H498" s="40" t="str">
        <f>IF(RES_AB[[#This Row],[Reserva]]="","",IFERROR(VLOOKUP(RES_AB[[#This Row],[Reserva]],Tabela3[[Reserva]:[Condição para Faturamento]],20,FALSE),"IMPORTADO COM SUCESSO"))</f>
        <v>IMPORTADO COM SUCESSO</v>
      </c>
      <c r="I498" s="38">
        <f>IF(RES_AB[[#This Row],[Data base]]="","",WORKDAY(RES_AB[[#This Row],[Data Reserva - Feriado e Fds]],RES_AB[[#This Row],[Dias para atendimento]],Feriados[Data]))</f>
        <v>45450</v>
      </c>
      <c r="J498" s="40" t="str">
        <f ca="1">IF(RES_AB[[#This Row],[Reserva]]="","",CONCATENATE("D+",NETWORKDAYS(RES_AB[[#This Row],[Data Reserva - Feriado e Fds]],TODAY(),Feriados[Data])-1))</f>
        <v>D+2</v>
      </c>
      <c r="K498" s="40" t="str">
        <f ca="1">IF(RES_AB[[#This Row],[Reserva]]="","",CONCATENATE(RES_AB[[#This Row],[Cen.]]," | ",RES_AB[[#This Row],[SLA2]]))</f>
        <v>N190 | D+2</v>
      </c>
      <c r="L498" s="40">
        <f ca="1">IF(RES_AB[[#This Row],[Reserva]]="","",IF(RES_AB[[#This Row],[SLA2]]=RES_AB[[#This Row],[Reserva]]="","",COUNTIF(MB25_VOLUMETRIA[Reserva],RES_AB[[#This Row],[Reserva]])))</f>
        <v>8</v>
      </c>
      <c r="M4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8" s="37" t="str">
        <f>IF(RES_AB[[#This Row],[Cen.]]="","",IFERROR(VLOOKUP(RES_AB[[#This Row],[Cen.]],Dados_Empresas[],2,FALSE),"Verificar empresa"))</f>
        <v>NET MASSIVO</v>
      </c>
      <c r="P498" s="37" t="str">
        <f>IF(RES_AB[[#This Row],[Empresa]]="","",IF(OR(RES_AB[[#This Row],[Empresa]]="NET MASSIVO",RES_AB[[#This Row],[Empresa]]="NET PROJETOS"),"NET","EMPRESARIAL"))</f>
        <v>NET</v>
      </c>
      <c r="Q498" s="37" t="str">
        <f>IF(RES_AB[[#This Row],[Reserva]]="","",IFERROR(VLOOKUP(RES_AB[[#This Row],[Reserva]],Tabela3[[Reserva]:[Descrição do status]],18,FALSE),"CONVENCIONAL"))</f>
        <v>CONVENCIONAL</v>
      </c>
    </row>
    <row r="499" spans="1:17" x14ac:dyDescent="0.25">
      <c r="A499" s="37">
        <v>4382458</v>
      </c>
      <c r="B499" s="37" t="s">
        <v>21</v>
      </c>
      <c r="C499" s="38" t="s">
        <v>21</v>
      </c>
      <c r="D499" s="38">
        <v>45448</v>
      </c>
      <c r="E4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499" s="39">
        <f>IFERROR(VLOOKUP(RES_AB[[#This Row],[Reserva]],Tabela8[[Reserva]:[Usuário]],7,FALSE),Dados!$A$17)</f>
        <v>0.80590277777777775</v>
      </c>
      <c r="G499" s="40">
        <f>IF(RES_AB[[#This Row],[Reserva]]="","",IF(RES_AB[[#This Row],[Hora Int WMS]]&lt;Dados!$A$16,2,2))</f>
        <v>2</v>
      </c>
      <c r="H499" s="40" t="str">
        <f>IF(RES_AB[[#This Row],[Reserva]]="","",IFERROR(VLOOKUP(RES_AB[[#This Row],[Reserva]],Tabela3[[Reserva]:[Condição para Faturamento]],20,FALSE),"IMPORTADO COM SUCESSO"))</f>
        <v>IMPORTADO COM SUCESSO</v>
      </c>
      <c r="I499" s="38">
        <f>IF(RES_AB[[#This Row],[Data base]]="","",WORKDAY(RES_AB[[#This Row],[Data Reserva - Feriado e Fds]],RES_AB[[#This Row],[Dias para atendimento]],Feriados[Data]))</f>
        <v>45450</v>
      </c>
      <c r="J499" s="40" t="str">
        <f ca="1">IF(RES_AB[[#This Row],[Reserva]]="","",CONCATENATE("D+",NETWORKDAYS(RES_AB[[#This Row],[Data Reserva - Feriado e Fds]],TODAY(),Feriados[Data])-1))</f>
        <v>D+2</v>
      </c>
      <c r="K499" s="40" t="str">
        <f ca="1">IF(RES_AB[[#This Row],[Reserva]]="","",CONCATENATE(RES_AB[[#This Row],[Cen.]]," | ",RES_AB[[#This Row],[SLA2]]))</f>
        <v>N190 | D+2</v>
      </c>
      <c r="L499" s="40">
        <f ca="1">IF(RES_AB[[#This Row],[Reserva]]="","",IF(RES_AB[[#This Row],[SLA2]]=RES_AB[[#This Row],[Reserva]]="","",COUNTIF(MB25_VOLUMETRIA[Reserva],RES_AB[[#This Row],[Reserva]])))</f>
        <v>2</v>
      </c>
      <c r="M4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49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499" s="37" t="str">
        <f>IF(RES_AB[[#This Row],[Cen.]]="","",IFERROR(VLOOKUP(RES_AB[[#This Row],[Cen.]],Dados_Empresas[],2,FALSE),"Verificar empresa"))</f>
        <v>NET MASSIVO</v>
      </c>
      <c r="P499" s="37" t="str">
        <f>IF(RES_AB[[#This Row],[Empresa]]="","",IF(OR(RES_AB[[#This Row],[Empresa]]="NET MASSIVO",RES_AB[[#This Row],[Empresa]]="NET PROJETOS"),"NET","EMPRESARIAL"))</f>
        <v>NET</v>
      </c>
      <c r="Q499" s="37" t="str">
        <f>IF(RES_AB[[#This Row],[Reserva]]="","",IFERROR(VLOOKUP(RES_AB[[#This Row],[Reserva]],Tabela3[[Reserva]:[Descrição do status]],18,FALSE),"CONVENCIONAL"))</f>
        <v>CONVENCIONAL</v>
      </c>
    </row>
    <row r="500" spans="1:17" x14ac:dyDescent="0.25">
      <c r="A500" s="37">
        <v>4382459</v>
      </c>
      <c r="B500" s="37" t="s">
        <v>21</v>
      </c>
      <c r="C500" s="38" t="s">
        <v>19</v>
      </c>
      <c r="D500" s="38">
        <v>45448</v>
      </c>
      <c r="E5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0" s="39">
        <f>IFERROR(VLOOKUP(RES_AB[[#This Row],[Reserva]],Tabela8[[Reserva]:[Usuário]],7,FALSE),Dados!$A$17)</f>
        <v>0.80601851851851847</v>
      </c>
      <c r="G500" s="40">
        <f>IF(RES_AB[[#This Row],[Reserva]]="","",IF(RES_AB[[#This Row],[Hora Int WMS]]&lt;Dados!$A$16,2,2))</f>
        <v>2</v>
      </c>
      <c r="H500" s="40" t="str">
        <f>IF(RES_AB[[#This Row],[Reserva]]="","",IFERROR(VLOOKUP(RES_AB[[#This Row],[Reserva]],Tabela3[[Reserva]:[Condição para Faturamento]],20,FALSE),"IMPORTADO COM SUCESSO"))</f>
        <v>IMPORTADO COM SUCESSO</v>
      </c>
      <c r="I500" s="38">
        <f>IF(RES_AB[[#This Row],[Data base]]="","",WORKDAY(RES_AB[[#This Row],[Data Reserva - Feriado e Fds]],RES_AB[[#This Row],[Dias para atendimento]],Feriados[Data]))</f>
        <v>45450</v>
      </c>
      <c r="J500" s="40" t="str">
        <f ca="1">IF(RES_AB[[#This Row],[Reserva]]="","",CONCATENATE("D+",NETWORKDAYS(RES_AB[[#This Row],[Data Reserva - Feriado e Fds]],TODAY(),Feriados[Data])-1))</f>
        <v>D+2</v>
      </c>
      <c r="K500" s="40" t="str">
        <f ca="1">IF(RES_AB[[#This Row],[Reserva]]="","",CONCATENATE(RES_AB[[#This Row],[Cen.]]," | ",RES_AB[[#This Row],[SLA2]]))</f>
        <v>N190 | D+2</v>
      </c>
      <c r="L500" s="40">
        <f ca="1">IF(RES_AB[[#This Row],[Reserva]]="","",IF(RES_AB[[#This Row],[SLA2]]=RES_AB[[#This Row],[Reserva]]="","",COUNTIF(MB25_VOLUMETRIA[Reserva],RES_AB[[#This Row],[Reserva]])))</f>
        <v>4</v>
      </c>
      <c r="M5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0" s="37" t="str">
        <f>IF(RES_AB[[#This Row],[Cen.]]="","",IFERROR(VLOOKUP(RES_AB[[#This Row],[Cen.]],Dados_Empresas[],2,FALSE),"Verificar empresa"))</f>
        <v>NET MASSIVO</v>
      </c>
      <c r="P500" s="37" t="str">
        <f>IF(RES_AB[[#This Row],[Empresa]]="","",IF(OR(RES_AB[[#This Row],[Empresa]]="NET MASSIVO",RES_AB[[#This Row],[Empresa]]="NET PROJETOS"),"NET","EMPRESARIAL"))</f>
        <v>NET</v>
      </c>
      <c r="Q500" s="37" t="str">
        <f>IF(RES_AB[[#This Row],[Reserva]]="","",IFERROR(VLOOKUP(RES_AB[[#This Row],[Reserva]],Tabela3[[Reserva]:[Descrição do status]],18,FALSE),"CONVENCIONAL"))</f>
        <v>CONVENCIONAL</v>
      </c>
    </row>
    <row r="501" spans="1:17" x14ac:dyDescent="0.25">
      <c r="A501" s="37">
        <v>4382460</v>
      </c>
      <c r="B501" s="37" t="s">
        <v>21</v>
      </c>
      <c r="C501" s="38" t="s">
        <v>182</v>
      </c>
      <c r="D501" s="38">
        <v>45448</v>
      </c>
      <c r="E5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1" s="39">
        <f>IFERROR(VLOOKUP(RES_AB[[#This Row],[Reserva]],Tabela8[[Reserva]:[Usuário]],7,FALSE),Dados!$A$17)</f>
        <v>0.8061342592592593</v>
      </c>
      <c r="G501" s="40">
        <f>IF(RES_AB[[#This Row],[Reserva]]="","",IF(RES_AB[[#This Row],[Hora Int WMS]]&lt;Dados!$A$16,2,2))</f>
        <v>2</v>
      </c>
      <c r="H501" s="40" t="str">
        <f>IF(RES_AB[[#This Row],[Reserva]]="","",IFERROR(VLOOKUP(RES_AB[[#This Row],[Reserva]],Tabela3[[Reserva]:[Condição para Faturamento]],20,FALSE),"IMPORTADO COM SUCESSO"))</f>
        <v>IMPORTADO COM SUCESSO</v>
      </c>
      <c r="I501" s="38">
        <f>IF(RES_AB[[#This Row],[Data base]]="","",WORKDAY(RES_AB[[#This Row],[Data Reserva - Feriado e Fds]],RES_AB[[#This Row],[Dias para atendimento]],Feriados[Data]))</f>
        <v>45450</v>
      </c>
      <c r="J501" s="40" t="str">
        <f ca="1">IF(RES_AB[[#This Row],[Reserva]]="","",CONCATENATE("D+",NETWORKDAYS(RES_AB[[#This Row],[Data Reserva - Feriado e Fds]],TODAY(),Feriados[Data])-1))</f>
        <v>D+2</v>
      </c>
      <c r="K501" s="40" t="str">
        <f ca="1">IF(RES_AB[[#This Row],[Reserva]]="","",CONCATENATE(RES_AB[[#This Row],[Cen.]]," | ",RES_AB[[#This Row],[SLA2]]))</f>
        <v>N190 | D+2</v>
      </c>
      <c r="L501" s="40">
        <f ca="1">IF(RES_AB[[#This Row],[Reserva]]="","",IF(RES_AB[[#This Row],[SLA2]]=RES_AB[[#This Row],[Reserva]]="","",COUNTIF(MB25_VOLUMETRIA[Reserva],RES_AB[[#This Row],[Reserva]])))</f>
        <v>2</v>
      </c>
      <c r="M5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1" s="37" t="str">
        <f>IF(RES_AB[[#This Row],[Cen.]]="","",IFERROR(VLOOKUP(RES_AB[[#This Row],[Cen.]],Dados_Empresas[],2,FALSE),"Verificar empresa"))</f>
        <v>NET MASSIVO</v>
      </c>
      <c r="P501" s="37" t="str">
        <f>IF(RES_AB[[#This Row],[Empresa]]="","",IF(OR(RES_AB[[#This Row],[Empresa]]="NET MASSIVO",RES_AB[[#This Row],[Empresa]]="NET PROJETOS"),"NET","EMPRESARIAL"))</f>
        <v>NET</v>
      </c>
      <c r="Q501" s="37" t="str">
        <f>IF(RES_AB[[#This Row],[Reserva]]="","",IFERROR(VLOOKUP(RES_AB[[#This Row],[Reserva]],Tabela3[[Reserva]:[Descrição do status]],18,FALSE),"CONVENCIONAL"))</f>
        <v>CONVENCIONAL</v>
      </c>
    </row>
    <row r="502" spans="1:17" x14ac:dyDescent="0.25">
      <c r="A502" s="37">
        <v>4382461</v>
      </c>
      <c r="B502" s="37" t="s">
        <v>21</v>
      </c>
      <c r="C502" s="38" t="s">
        <v>21</v>
      </c>
      <c r="D502" s="38">
        <v>45448</v>
      </c>
      <c r="E5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2" s="39">
        <f>IFERROR(VLOOKUP(RES_AB[[#This Row],[Reserva]],Tabela8[[Reserva]:[Usuário]],7,FALSE),Dados!$A$17)</f>
        <v>0.8061342592592593</v>
      </c>
      <c r="G502" s="40">
        <f>IF(RES_AB[[#This Row],[Reserva]]="","",IF(RES_AB[[#This Row],[Hora Int WMS]]&lt;Dados!$A$16,2,2))</f>
        <v>2</v>
      </c>
      <c r="H502" s="40" t="str">
        <f>IF(RES_AB[[#This Row],[Reserva]]="","",IFERROR(VLOOKUP(RES_AB[[#This Row],[Reserva]],Tabela3[[Reserva]:[Condição para Faturamento]],20,FALSE),"IMPORTADO COM SUCESSO"))</f>
        <v>IMPORTADO COM SUCESSO</v>
      </c>
      <c r="I502" s="38">
        <f>IF(RES_AB[[#This Row],[Data base]]="","",WORKDAY(RES_AB[[#This Row],[Data Reserva - Feriado e Fds]],RES_AB[[#This Row],[Dias para atendimento]],Feriados[Data]))</f>
        <v>45450</v>
      </c>
      <c r="J502" s="40" t="str">
        <f ca="1">IF(RES_AB[[#This Row],[Reserva]]="","",CONCATENATE("D+",NETWORKDAYS(RES_AB[[#This Row],[Data Reserva - Feriado e Fds]],TODAY(),Feriados[Data])-1))</f>
        <v>D+2</v>
      </c>
      <c r="K502" s="40" t="str">
        <f ca="1">IF(RES_AB[[#This Row],[Reserva]]="","",CONCATENATE(RES_AB[[#This Row],[Cen.]]," | ",RES_AB[[#This Row],[SLA2]]))</f>
        <v>N190 | D+2</v>
      </c>
      <c r="L502" s="40">
        <f ca="1">IF(RES_AB[[#This Row],[Reserva]]="","",IF(RES_AB[[#This Row],[SLA2]]=RES_AB[[#This Row],[Reserva]]="","",COUNTIF(MB25_VOLUMETRIA[Reserva],RES_AB[[#This Row],[Reserva]])))</f>
        <v>2</v>
      </c>
      <c r="M5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2" s="37" t="str">
        <f>IF(RES_AB[[#This Row],[Cen.]]="","",IFERROR(VLOOKUP(RES_AB[[#This Row],[Cen.]],Dados_Empresas[],2,FALSE),"Verificar empresa"))</f>
        <v>NET MASSIVO</v>
      </c>
      <c r="P502" s="37" t="str">
        <f>IF(RES_AB[[#This Row],[Empresa]]="","",IF(OR(RES_AB[[#This Row],[Empresa]]="NET MASSIVO",RES_AB[[#This Row],[Empresa]]="NET PROJETOS"),"NET","EMPRESARIAL"))</f>
        <v>NET</v>
      </c>
      <c r="Q502" s="37" t="str">
        <f>IF(RES_AB[[#This Row],[Reserva]]="","",IFERROR(VLOOKUP(RES_AB[[#This Row],[Reserva]],Tabela3[[Reserva]:[Descrição do status]],18,FALSE),"CONVENCIONAL"))</f>
        <v>CONVENCIONAL</v>
      </c>
    </row>
    <row r="503" spans="1:17" x14ac:dyDescent="0.25">
      <c r="A503" s="37">
        <v>4382462</v>
      </c>
      <c r="B503" s="37" t="s">
        <v>21</v>
      </c>
      <c r="C503" s="38" t="s">
        <v>182</v>
      </c>
      <c r="D503" s="38">
        <v>45448</v>
      </c>
      <c r="E5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3" s="39">
        <f>IFERROR(VLOOKUP(RES_AB[[#This Row],[Reserva]],Tabela8[[Reserva]:[Usuário]],7,FALSE),Dados!$A$17)</f>
        <v>0.80625000000000002</v>
      </c>
      <c r="G503" s="40">
        <f>IF(RES_AB[[#This Row],[Reserva]]="","",IF(RES_AB[[#This Row],[Hora Int WMS]]&lt;Dados!$A$16,2,2))</f>
        <v>2</v>
      </c>
      <c r="H503" s="40" t="str">
        <f>IF(RES_AB[[#This Row],[Reserva]]="","",IFERROR(VLOOKUP(RES_AB[[#This Row],[Reserva]],Tabela3[[Reserva]:[Condição para Faturamento]],20,FALSE),"IMPORTADO COM SUCESSO"))</f>
        <v>IMPORTADO COM SUCESSO</v>
      </c>
      <c r="I503" s="38">
        <f>IF(RES_AB[[#This Row],[Data base]]="","",WORKDAY(RES_AB[[#This Row],[Data Reserva - Feriado e Fds]],RES_AB[[#This Row],[Dias para atendimento]],Feriados[Data]))</f>
        <v>45450</v>
      </c>
      <c r="J503" s="40" t="str">
        <f ca="1">IF(RES_AB[[#This Row],[Reserva]]="","",CONCATENATE("D+",NETWORKDAYS(RES_AB[[#This Row],[Data Reserva - Feriado e Fds]],TODAY(),Feriados[Data])-1))</f>
        <v>D+2</v>
      </c>
      <c r="K503" s="40" t="str">
        <f ca="1">IF(RES_AB[[#This Row],[Reserva]]="","",CONCATENATE(RES_AB[[#This Row],[Cen.]]," | ",RES_AB[[#This Row],[SLA2]]))</f>
        <v>N190 | D+2</v>
      </c>
      <c r="L503" s="40">
        <f ca="1">IF(RES_AB[[#This Row],[Reserva]]="","",IF(RES_AB[[#This Row],[SLA2]]=RES_AB[[#This Row],[Reserva]]="","",COUNTIF(MB25_VOLUMETRIA[Reserva],RES_AB[[#This Row],[Reserva]])))</f>
        <v>3</v>
      </c>
      <c r="M5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3" s="37" t="str">
        <f>IF(RES_AB[[#This Row],[Cen.]]="","",IFERROR(VLOOKUP(RES_AB[[#This Row],[Cen.]],Dados_Empresas[],2,FALSE),"Verificar empresa"))</f>
        <v>NET MASSIVO</v>
      </c>
      <c r="P503" s="37" t="str">
        <f>IF(RES_AB[[#This Row],[Empresa]]="","",IF(OR(RES_AB[[#This Row],[Empresa]]="NET MASSIVO",RES_AB[[#This Row],[Empresa]]="NET PROJETOS"),"NET","EMPRESARIAL"))</f>
        <v>NET</v>
      </c>
      <c r="Q503" s="37" t="str">
        <f>IF(RES_AB[[#This Row],[Reserva]]="","",IFERROR(VLOOKUP(RES_AB[[#This Row],[Reserva]],Tabela3[[Reserva]:[Descrição do status]],18,FALSE),"CONVENCIONAL"))</f>
        <v>CONVENCIONAL</v>
      </c>
    </row>
    <row r="504" spans="1:17" x14ac:dyDescent="0.25">
      <c r="A504" s="37">
        <v>4382463</v>
      </c>
      <c r="B504" s="37" t="s">
        <v>21</v>
      </c>
      <c r="C504" s="38" t="s">
        <v>21</v>
      </c>
      <c r="D504" s="38">
        <v>45448</v>
      </c>
      <c r="E5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4" s="39">
        <f>IFERROR(VLOOKUP(RES_AB[[#This Row],[Reserva]],Tabela8[[Reserva]:[Usuário]],7,FALSE),Dados!$A$17)</f>
        <v>0.80636574074074074</v>
      </c>
      <c r="G504" s="40">
        <f>IF(RES_AB[[#This Row],[Reserva]]="","",IF(RES_AB[[#This Row],[Hora Int WMS]]&lt;Dados!$A$16,2,2))</f>
        <v>2</v>
      </c>
      <c r="H504" s="40" t="str">
        <f>IF(RES_AB[[#This Row],[Reserva]]="","",IFERROR(VLOOKUP(RES_AB[[#This Row],[Reserva]],Tabela3[[Reserva]:[Condição para Faturamento]],20,FALSE),"IMPORTADO COM SUCESSO"))</f>
        <v>IMPORTADO COM SUCESSO</v>
      </c>
      <c r="I504" s="38">
        <f>IF(RES_AB[[#This Row],[Data base]]="","",WORKDAY(RES_AB[[#This Row],[Data Reserva - Feriado e Fds]],RES_AB[[#This Row],[Dias para atendimento]],Feriados[Data]))</f>
        <v>45450</v>
      </c>
      <c r="J504" s="40" t="str">
        <f ca="1">IF(RES_AB[[#This Row],[Reserva]]="","",CONCATENATE("D+",NETWORKDAYS(RES_AB[[#This Row],[Data Reserva - Feriado e Fds]],TODAY(),Feriados[Data])-1))</f>
        <v>D+2</v>
      </c>
      <c r="K504" s="40" t="str">
        <f ca="1">IF(RES_AB[[#This Row],[Reserva]]="","",CONCATENATE(RES_AB[[#This Row],[Cen.]]," | ",RES_AB[[#This Row],[SLA2]]))</f>
        <v>N190 | D+2</v>
      </c>
      <c r="L504" s="40">
        <f ca="1">IF(RES_AB[[#This Row],[Reserva]]="","",IF(RES_AB[[#This Row],[SLA2]]=RES_AB[[#This Row],[Reserva]]="","",COUNTIF(MB25_VOLUMETRIA[Reserva],RES_AB[[#This Row],[Reserva]])))</f>
        <v>3</v>
      </c>
      <c r="M5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4" s="37" t="str">
        <f>IF(RES_AB[[#This Row],[Cen.]]="","",IFERROR(VLOOKUP(RES_AB[[#This Row],[Cen.]],Dados_Empresas[],2,FALSE),"Verificar empresa"))</f>
        <v>NET MASSIVO</v>
      </c>
      <c r="P504" s="37" t="str">
        <f>IF(RES_AB[[#This Row],[Empresa]]="","",IF(OR(RES_AB[[#This Row],[Empresa]]="NET MASSIVO",RES_AB[[#This Row],[Empresa]]="NET PROJETOS"),"NET","EMPRESARIAL"))</f>
        <v>NET</v>
      </c>
      <c r="Q504" s="37" t="str">
        <f>IF(RES_AB[[#This Row],[Reserva]]="","",IFERROR(VLOOKUP(RES_AB[[#This Row],[Reserva]],Tabela3[[Reserva]:[Descrição do status]],18,FALSE),"CONVENCIONAL"))</f>
        <v>CONVENCIONAL</v>
      </c>
    </row>
    <row r="505" spans="1:17" x14ac:dyDescent="0.25">
      <c r="A505" s="37">
        <v>4382464</v>
      </c>
      <c r="B505" s="37" t="s">
        <v>21</v>
      </c>
      <c r="C505" s="38" t="s">
        <v>19</v>
      </c>
      <c r="D505" s="38">
        <v>45448</v>
      </c>
      <c r="E5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5" s="39">
        <f>IFERROR(VLOOKUP(RES_AB[[#This Row],[Reserva]],Tabela8[[Reserva]:[Usuário]],7,FALSE),Dados!$A$17)</f>
        <v>0.80636574074074074</v>
      </c>
      <c r="G505" s="40">
        <f>IF(RES_AB[[#This Row],[Reserva]]="","",IF(RES_AB[[#This Row],[Hora Int WMS]]&lt;Dados!$A$16,2,2))</f>
        <v>2</v>
      </c>
      <c r="H505" s="40" t="str">
        <f>IF(RES_AB[[#This Row],[Reserva]]="","",IFERROR(VLOOKUP(RES_AB[[#This Row],[Reserva]],Tabela3[[Reserva]:[Condição para Faturamento]],20,FALSE),"IMPORTADO COM SUCESSO"))</f>
        <v>IMPORTADO COM SUCESSO</v>
      </c>
      <c r="I505" s="38">
        <f>IF(RES_AB[[#This Row],[Data base]]="","",WORKDAY(RES_AB[[#This Row],[Data Reserva - Feriado e Fds]],RES_AB[[#This Row],[Dias para atendimento]],Feriados[Data]))</f>
        <v>45450</v>
      </c>
      <c r="J505" s="40" t="str">
        <f ca="1">IF(RES_AB[[#This Row],[Reserva]]="","",CONCATENATE("D+",NETWORKDAYS(RES_AB[[#This Row],[Data Reserva - Feriado e Fds]],TODAY(),Feriados[Data])-1))</f>
        <v>D+2</v>
      </c>
      <c r="K505" s="40" t="str">
        <f ca="1">IF(RES_AB[[#This Row],[Reserva]]="","",CONCATENATE(RES_AB[[#This Row],[Cen.]]," | ",RES_AB[[#This Row],[SLA2]]))</f>
        <v>N190 | D+2</v>
      </c>
      <c r="L505" s="40">
        <f ca="1">IF(RES_AB[[#This Row],[Reserva]]="","",IF(RES_AB[[#This Row],[SLA2]]=RES_AB[[#This Row],[Reserva]]="","",COUNTIF(MB25_VOLUMETRIA[Reserva],RES_AB[[#This Row],[Reserva]])))</f>
        <v>1</v>
      </c>
      <c r="M5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5" s="37" t="str">
        <f>IF(RES_AB[[#This Row],[Cen.]]="","",IFERROR(VLOOKUP(RES_AB[[#This Row],[Cen.]],Dados_Empresas[],2,FALSE),"Verificar empresa"))</f>
        <v>NET MASSIVO</v>
      </c>
      <c r="P505" s="37" t="str">
        <f>IF(RES_AB[[#This Row],[Empresa]]="","",IF(OR(RES_AB[[#This Row],[Empresa]]="NET MASSIVO",RES_AB[[#This Row],[Empresa]]="NET PROJETOS"),"NET","EMPRESARIAL"))</f>
        <v>NET</v>
      </c>
      <c r="Q505" s="37" t="str">
        <f>IF(RES_AB[[#This Row],[Reserva]]="","",IFERROR(VLOOKUP(RES_AB[[#This Row],[Reserva]],Tabela3[[Reserva]:[Descrição do status]],18,FALSE),"CONVENCIONAL"))</f>
        <v>CONVENCIONAL</v>
      </c>
    </row>
    <row r="506" spans="1:17" x14ac:dyDescent="0.25">
      <c r="A506" s="37">
        <v>4382465</v>
      </c>
      <c r="B506" s="37" t="s">
        <v>21</v>
      </c>
      <c r="C506" s="38" t="s">
        <v>19</v>
      </c>
      <c r="D506" s="38">
        <v>45448</v>
      </c>
      <c r="E5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6" s="39">
        <f>IFERROR(VLOOKUP(RES_AB[[#This Row],[Reserva]],Tabela8[[Reserva]:[Usuário]],7,FALSE),Dados!$A$17)</f>
        <v>0.80648148148148147</v>
      </c>
      <c r="G506" s="40">
        <f>IF(RES_AB[[#This Row],[Reserva]]="","",IF(RES_AB[[#This Row],[Hora Int WMS]]&lt;Dados!$A$16,2,2))</f>
        <v>2</v>
      </c>
      <c r="H506" s="40" t="str">
        <f>IF(RES_AB[[#This Row],[Reserva]]="","",IFERROR(VLOOKUP(RES_AB[[#This Row],[Reserva]],Tabela3[[Reserva]:[Condição para Faturamento]],20,FALSE),"IMPORTADO COM SUCESSO"))</f>
        <v>IMPORTADO COM SUCESSO</v>
      </c>
      <c r="I506" s="38">
        <f>IF(RES_AB[[#This Row],[Data base]]="","",WORKDAY(RES_AB[[#This Row],[Data Reserva - Feriado e Fds]],RES_AB[[#This Row],[Dias para atendimento]],Feriados[Data]))</f>
        <v>45450</v>
      </c>
      <c r="J506" s="40" t="str">
        <f ca="1">IF(RES_AB[[#This Row],[Reserva]]="","",CONCATENATE("D+",NETWORKDAYS(RES_AB[[#This Row],[Data Reserva - Feriado e Fds]],TODAY(),Feriados[Data])-1))</f>
        <v>D+2</v>
      </c>
      <c r="K506" s="40" t="str">
        <f ca="1">IF(RES_AB[[#This Row],[Reserva]]="","",CONCATENATE(RES_AB[[#This Row],[Cen.]]," | ",RES_AB[[#This Row],[SLA2]]))</f>
        <v>N190 | D+2</v>
      </c>
      <c r="L506" s="40">
        <f ca="1">IF(RES_AB[[#This Row],[Reserva]]="","",IF(RES_AB[[#This Row],[SLA2]]=RES_AB[[#This Row],[Reserva]]="","",COUNTIF(MB25_VOLUMETRIA[Reserva],RES_AB[[#This Row],[Reserva]])))</f>
        <v>14</v>
      </c>
      <c r="M5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6" s="37" t="str">
        <f>IF(RES_AB[[#This Row],[Cen.]]="","",IFERROR(VLOOKUP(RES_AB[[#This Row],[Cen.]],Dados_Empresas[],2,FALSE),"Verificar empresa"))</f>
        <v>NET MASSIVO</v>
      </c>
      <c r="P506" s="37" t="str">
        <f>IF(RES_AB[[#This Row],[Empresa]]="","",IF(OR(RES_AB[[#This Row],[Empresa]]="NET MASSIVO",RES_AB[[#This Row],[Empresa]]="NET PROJETOS"),"NET","EMPRESARIAL"))</f>
        <v>NET</v>
      </c>
      <c r="Q506" s="37" t="str">
        <f>IF(RES_AB[[#This Row],[Reserva]]="","",IFERROR(VLOOKUP(RES_AB[[#This Row],[Reserva]],Tabela3[[Reserva]:[Descrição do status]],18,FALSE),"CONVENCIONAL"))</f>
        <v>CONVENCIONAL</v>
      </c>
    </row>
    <row r="507" spans="1:17" x14ac:dyDescent="0.25">
      <c r="A507" s="37">
        <v>4382466</v>
      </c>
      <c r="B507" s="37" t="s">
        <v>21</v>
      </c>
      <c r="C507" s="38" t="s">
        <v>21</v>
      </c>
      <c r="D507" s="38">
        <v>45448</v>
      </c>
      <c r="E5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7" s="39">
        <f>IFERROR(VLOOKUP(RES_AB[[#This Row],[Reserva]],Tabela8[[Reserva]:[Usuário]],7,FALSE),Dados!$A$17)</f>
        <v>0.80659722222222219</v>
      </c>
      <c r="G507" s="40">
        <f>IF(RES_AB[[#This Row],[Reserva]]="","",IF(RES_AB[[#This Row],[Hora Int WMS]]&lt;Dados!$A$16,2,2))</f>
        <v>2</v>
      </c>
      <c r="H507" s="40" t="str">
        <f>IF(RES_AB[[#This Row],[Reserva]]="","",IFERROR(VLOOKUP(RES_AB[[#This Row],[Reserva]],Tabela3[[Reserva]:[Condição para Faturamento]],20,FALSE),"IMPORTADO COM SUCESSO"))</f>
        <v>IMPORTADO COM SUCESSO</v>
      </c>
      <c r="I507" s="38">
        <f>IF(RES_AB[[#This Row],[Data base]]="","",WORKDAY(RES_AB[[#This Row],[Data Reserva - Feriado e Fds]],RES_AB[[#This Row],[Dias para atendimento]],Feriados[Data]))</f>
        <v>45450</v>
      </c>
      <c r="J507" s="40" t="str">
        <f ca="1">IF(RES_AB[[#This Row],[Reserva]]="","",CONCATENATE("D+",NETWORKDAYS(RES_AB[[#This Row],[Data Reserva - Feriado e Fds]],TODAY(),Feriados[Data])-1))</f>
        <v>D+2</v>
      </c>
      <c r="K507" s="40" t="str">
        <f ca="1">IF(RES_AB[[#This Row],[Reserva]]="","",CONCATENATE(RES_AB[[#This Row],[Cen.]]," | ",RES_AB[[#This Row],[SLA2]]))</f>
        <v>N190 | D+2</v>
      </c>
      <c r="L507" s="40">
        <f ca="1">IF(RES_AB[[#This Row],[Reserva]]="","",IF(RES_AB[[#This Row],[SLA2]]=RES_AB[[#This Row],[Reserva]]="","",COUNTIF(MB25_VOLUMETRIA[Reserva],RES_AB[[#This Row],[Reserva]])))</f>
        <v>5</v>
      </c>
      <c r="M5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7" s="37" t="str">
        <f>IF(RES_AB[[#This Row],[Cen.]]="","",IFERROR(VLOOKUP(RES_AB[[#This Row],[Cen.]],Dados_Empresas[],2,FALSE),"Verificar empresa"))</f>
        <v>NET MASSIVO</v>
      </c>
      <c r="P507" s="37" t="str">
        <f>IF(RES_AB[[#This Row],[Empresa]]="","",IF(OR(RES_AB[[#This Row],[Empresa]]="NET MASSIVO",RES_AB[[#This Row],[Empresa]]="NET PROJETOS"),"NET","EMPRESARIAL"))</f>
        <v>NET</v>
      </c>
      <c r="Q507" s="37" t="str">
        <f>IF(RES_AB[[#This Row],[Reserva]]="","",IFERROR(VLOOKUP(RES_AB[[#This Row],[Reserva]],Tabela3[[Reserva]:[Descrição do status]],18,FALSE),"CONVENCIONAL"))</f>
        <v>CONVENCIONAL</v>
      </c>
    </row>
    <row r="508" spans="1:17" x14ac:dyDescent="0.25">
      <c r="A508" s="37">
        <v>4382467</v>
      </c>
      <c r="B508" s="37" t="s">
        <v>21</v>
      </c>
      <c r="C508" s="38" t="s">
        <v>19</v>
      </c>
      <c r="D508" s="38">
        <v>45448</v>
      </c>
      <c r="E5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8" s="39">
        <f>IFERROR(VLOOKUP(RES_AB[[#This Row],[Reserva]],Tabela8[[Reserva]:[Usuário]],7,FALSE),Dados!$A$17)</f>
        <v>0.80671296296296291</v>
      </c>
      <c r="G508" s="40">
        <f>IF(RES_AB[[#This Row],[Reserva]]="","",IF(RES_AB[[#This Row],[Hora Int WMS]]&lt;Dados!$A$16,2,2))</f>
        <v>2</v>
      </c>
      <c r="H508" s="40" t="str">
        <f>IF(RES_AB[[#This Row],[Reserva]]="","",IFERROR(VLOOKUP(RES_AB[[#This Row],[Reserva]],Tabela3[[Reserva]:[Condição para Faturamento]],20,FALSE),"IMPORTADO COM SUCESSO"))</f>
        <v>IMPORTADO COM SUCESSO</v>
      </c>
      <c r="I508" s="38">
        <f>IF(RES_AB[[#This Row],[Data base]]="","",WORKDAY(RES_AB[[#This Row],[Data Reserva - Feriado e Fds]],RES_AB[[#This Row],[Dias para atendimento]],Feriados[Data]))</f>
        <v>45450</v>
      </c>
      <c r="J508" s="40" t="str">
        <f ca="1">IF(RES_AB[[#This Row],[Reserva]]="","",CONCATENATE("D+",NETWORKDAYS(RES_AB[[#This Row],[Data Reserva - Feriado e Fds]],TODAY(),Feriados[Data])-1))</f>
        <v>D+2</v>
      </c>
      <c r="K508" s="40" t="str">
        <f ca="1">IF(RES_AB[[#This Row],[Reserva]]="","",CONCATENATE(RES_AB[[#This Row],[Cen.]]," | ",RES_AB[[#This Row],[SLA2]]))</f>
        <v>N190 | D+2</v>
      </c>
      <c r="L508" s="40">
        <f ca="1">IF(RES_AB[[#This Row],[Reserva]]="","",IF(RES_AB[[#This Row],[SLA2]]=RES_AB[[#This Row],[Reserva]]="","",COUNTIF(MB25_VOLUMETRIA[Reserva],RES_AB[[#This Row],[Reserva]])))</f>
        <v>1</v>
      </c>
      <c r="M5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8" s="37" t="str">
        <f>IF(RES_AB[[#This Row],[Cen.]]="","",IFERROR(VLOOKUP(RES_AB[[#This Row],[Cen.]],Dados_Empresas[],2,FALSE),"Verificar empresa"))</f>
        <v>NET MASSIVO</v>
      </c>
      <c r="P508" s="37" t="str">
        <f>IF(RES_AB[[#This Row],[Empresa]]="","",IF(OR(RES_AB[[#This Row],[Empresa]]="NET MASSIVO",RES_AB[[#This Row],[Empresa]]="NET PROJETOS"),"NET","EMPRESARIAL"))</f>
        <v>NET</v>
      </c>
      <c r="Q508" s="37" t="str">
        <f>IF(RES_AB[[#This Row],[Reserva]]="","",IFERROR(VLOOKUP(RES_AB[[#This Row],[Reserva]],Tabela3[[Reserva]:[Descrição do status]],18,FALSE),"CONVENCIONAL"))</f>
        <v>CONVENCIONAL</v>
      </c>
    </row>
    <row r="509" spans="1:17" x14ac:dyDescent="0.25">
      <c r="A509" s="37">
        <v>4382468</v>
      </c>
      <c r="B509" s="37" t="s">
        <v>21</v>
      </c>
      <c r="C509" s="38" t="s">
        <v>19</v>
      </c>
      <c r="D509" s="38">
        <v>45448</v>
      </c>
      <c r="E5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09" s="39">
        <f>IFERROR(VLOOKUP(RES_AB[[#This Row],[Reserva]],Tabela8[[Reserva]:[Usuário]],7,FALSE),Dados!$A$17)</f>
        <v>0.80671296296296291</v>
      </c>
      <c r="G509" s="40">
        <f>IF(RES_AB[[#This Row],[Reserva]]="","",IF(RES_AB[[#This Row],[Hora Int WMS]]&lt;Dados!$A$16,2,2))</f>
        <v>2</v>
      </c>
      <c r="H509" s="40" t="str">
        <f>IF(RES_AB[[#This Row],[Reserva]]="","",IFERROR(VLOOKUP(RES_AB[[#This Row],[Reserva]],Tabela3[[Reserva]:[Condição para Faturamento]],20,FALSE),"IMPORTADO COM SUCESSO"))</f>
        <v>IMPORTADO COM SUCESSO</v>
      </c>
      <c r="I509" s="38">
        <f>IF(RES_AB[[#This Row],[Data base]]="","",WORKDAY(RES_AB[[#This Row],[Data Reserva - Feriado e Fds]],RES_AB[[#This Row],[Dias para atendimento]],Feriados[Data]))</f>
        <v>45450</v>
      </c>
      <c r="J509" s="40" t="str">
        <f ca="1">IF(RES_AB[[#This Row],[Reserva]]="","",CONCATENATE("D+",NETWORKDAYS(RES_AB[[#This Row],[Data Reserva - Feriado e Fds]],TODAY(),Feriados[Data])-1))</f>
        <v>D+2</v>
      </c>
      <c r="K509" s="40" t="str">
        <f ca="1">IF(RES_AB[[#This Row],[Reserva]]="","",CONCATENATE(RES_AB[[#This Row],[Cen.]]," | ",RES_AB[[#This Row],[SLA2]]))</f>
        <v>N190 | D+2</v>
      </c>
      <c r="L509" s="40">
        <f ca="1">IF(RES_AB[[#This Row],[Reserva]]="","",IF(RES_AB[[#This Row],[SLA2]]=RES_AB[[#This Row],[Reserva]]="","",COUNTIF(MB25_VOLUMETRIA[Reserva],RES_AB[[#This Row],[Reserva]])))</f>
        <v>1</v>
      </c>
      <c r="M5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0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09" s="37" t="str">
        <f>IF(RES_AB[[#This Row],[Cen.]]="","",IFERROR(VLOOKUP(RES_AB[[#This Row],[Cen.]],Dados_Empresas[],2,FALSE),"Verificar empresa"))</f>
        <v>NET MASSIVO</v>
      </c>
      <c r="P509" s="37" t="str">
        <f>IF(RES_AB[[#This Row],[Empresa]]="","",IF(OR(RES_AB[[#This Row],[Empresa]]="NET MASSIVO",RES_AB[[#This Row],[Empresa]]="NET PROJETOS"),"NET","EMPRESARIAL"))</f>
        <v>NET</v>
      </c>
      <c r="Q509" s="37" t="str">
        <f>IF(RES_AB[[#This Row],[Reserva]]="","",IFERROR(VLOOKUP(RES_AB[[#This Row],[Reserva]],Tabela3[[Reserva]:[Descrição do status]],18,FALSE),"CONVENCIONAL"))</f>
        <v>CONVENCIONAL</v>
      </c>
    </row>
    <row r="510" spans="1:17" x14ac:dyDescent="0.25">
      <c r="A510" s="37">
        <v>4382469</v>
      </c>
      <c r="B510" s="37" t="s">
        <v>21</v>
      </c>
      <c r="C510" s="38" t="s">
        <v>19</v>
      </c>
      <c r="D510" s="38">
        <v>45448</v>
      </c>
      <c r="E5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0" s="39">
        <f>IFERROR(VLOOKUP(RES_AB[[#This Row],[Reserva]],Tabela8[[Reserva]:[Usuário]],7,FALSE),Dados!$A$17)</f>
        <v>0.80682870370370374</v>
      </c>
      <c r="G510" s="40">
        <f>IF(RES_AB[[#This Row],[Reserva]]="","",IF(RES_AB[[#This Row],[Hora Int WMS]]&lt;Dados!$A$16,2,2))</f>
        <v>2</v>
      </c>
      <c r="H510" s="40" t="str">
        <f>IF(RES_AB[[#This Row],[Reserva]]="","",IFERROR(VLOOKUP(RES_AB[[#This Row],[Reserva]],Tabela3[[Reserva]:[Condição para Faturamento]],20,FALSE),"IMPORTADO COM SUCESSO"))</f>
        <v>IMPORTADO COM SUCESSO</v>
      </c>
      <c r="I510" s="38">
        <f>IF(RES_AB[[#This Row],[Data base]]="","",WORKDAY(RES_AB[[#This Row],[Data Reserva - Feriado e Fds]],RES_AB[[#This Row],[Dias para atendimento]],Feriados[Data]))</f>
        <v>45450</v>
      </c>
      <c r="J510" s="40" t="str">
        <f ca="1">IF(RES_AB[[#This Row],[Reserva]]="","",CONCATENATE("D+",NETWORKDAYS(RES_AB[[#This Row],[Data Reserva - Feriado e Fds]],TODAY(),Feriados[Data])-1))</f>
        <v>D+2</v>
      </c>
      <c r="K510" s="40" t="str">
        <f ca="1">IF(RES_AB[[#This Row],[Reserva]]="","",CONCATENATE(RES_AB[[#This Row],[Cen.]]," | ",RES_AB[[#This Row],[SLA2]]))</f>
        <v>N190 | D+2</v>
      </c>
      <c r="L510" s="40">
        <f ca="1">IF(RES_AB[[#This Row],[Reserva]]="","",IF(RES_AB[[#This Row],[SLA2]]=RES_AB[[#This Row],[Reserva]]="","",COUNTIF(MB25_VOLUMETRIA[Reserva],RES_AB[[#This Row],[Reserva]])))</f>
        <v>2</v>
      </c>
      <c r="M5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0" s="37" t="str">
        <f>IF(RES_AB[[#This Row],[Cen.]]="","",IFERROR(VLOOKUP(RES_AB[[#This Row],[Cen.]],Dados_Empresas[],2,FALSE),"Verificar empresa"))</f>
        <v>NET MASSIVO</v>
      </c>
      <c r="P510" s="37" t="str">
        <f>IF(RES_AB[[#This Row],[Empresa]]="","",IF(OR(RES_AB[[#This Row],[Empresa]]="NET MASSIVO",RES_AB[[#This Row],[Empresa]]="NET PROJETOS"),"NET","EMPRESARIAL"))</f>
        <v>NET</v>
      </c>
      <c r="Q510" s="37" t="str">
        <f>IF(RES_AB[[#This Row],[Reserva]]="","",IFERROR(VLOOKUP(RES_AB[[#This Row],[Reserva]],Tabela3[[Reserva]:[Descrição do status]],18,FALSE),"CONVENCIONAL"))</f>
        <v>CONVENCIONAL</v>
      </c>
    </row>
    <row r="511" spans="1:17" x14ac:dyDescent="0.25">
      <c r="A511" s="37">
        <v>4382470</v>
      </c>
      <c r="B511" s="37" t="s">
        <v>21</v>
      </c>
      <c r="C511" s="38" t="s">
        <v>19</v>
      </c>
      <c r="D511" s="38">
        <v>45448</v>
      </c>
      <c r="E5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1" s="39">
        <f>IFERROR(VLOOKUP(RES_AB[[#This Row],[Reserva]],Tabela8[[Reserva]:[Usuário]],7,FALSE),Dados!$A$17)</f>
        <v>0.80694444444444446</v>
      </c>
      <c r="G511" s="40">
        <f>IF(RES_AB[[#This Row],[Reserva]]="","",IF(RES_AB[[#This Row],[Hora Int WMS]]&lt;Dados!$A$16,2,2))</f>
        <v>2</v>
      </c>
      <c r="H511" s="40" t="str">
        <f>IF(RES_AB[[#This Row],[Reserva]]="","",IFERROR(VLOOKUP(RES_AB[[#This Row],[Reserva]],Tabela3[[Reserva]:[Condição para Faturamento]],20,FALSE),"IMPORTADO COM SUCESSO"))</f>
        <v>IMPORTADO COM SUCESSO</v>
      </c>
      <c r="I511" s="38">
        <f>IF(RES_AB[[#This Row],[Data base]]="","",WORKDAY(RES_AB[[#This Row],[Data Reserva - Feriado e Fds]],RES_AB[[#This Row],[Dias para atendimento]],Feriados[Data]))</f>
        <v>45450</v>
      </c>
      <c r="J511" s="40" t="str">
        <f ca="1">IF(RES_AB[[#This Row],[Reserva]]="","",CONCATENATE("D+",NETWORKDAYS(RES_AB[[#This Row],[Data Reserva - Feriado e Fds]],TODAY(),Feriados[Data])-1))</f>
        <v>D+2</v>
      </c>
      <c r="K511" s="40" t="str">
        <f ca="1">IF(RES_AB[[#This Row],[Reserva]]="","",CONCATENATE(RES_AB[[#This Row],[Cen.]]," | ",RES_AB[[#This Row],[SLA2]]))</f>
        <v>N190 | D+2</v>
      </c>
      <c r="L511" s="40">
        <f ca="1">IF(RES_AB[[#This Row],[Reserva]]="","",IF(RES_AB[[#This Row],[SLA2]]=RES_AB[[#This Row],[Reserva]]="","",COUNTIF(MB25_VOLUMETRIA[Reserva],RES_AB[[#This Row],[Reserva]])))</f>
        <v>1</v>
      </c>
      <c r="M5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1" s="37" t="str">
        <f>IF(RES_AB[[#This Row],[Cen.]]="","",IFERROR(VLOOKUP(RES_AB[[#This Row],[Cen.]],Dados_Empresas[],2,FALSE),"Verificar empresa"))</f>
        <v>NET MASSIVO</v>
      </c>
      <c r="P511" s="37" t="str">
        <f>IF(RES_AB[[#This Row],[Empresa]]="","",IF(OR(RES_AB[[#This Row],[Empresa]]="NET MASSIVO",RES_AB[[#This Row],[Empresa]]="NET PROJETOS"),"NET","EMPRESARIAL"))</f>
        <v>NET</v>
      </c>
      <c r="Q511" s="37" t="str">
        <f>IF(RES_AB[[#This Row],[Reserva]]="","",IFERROR(VLOOKUP(RES_AB[[#This Row],[Reserva]],Tabela3[[Reserva]:[Descrição do status]],18,FALSE),"CONVENCIONAL"))</f>
        <v>CONVENCIONAL</v>
      </c>
    </row>
    <row r="512" spans="1:17" x14ac:dyDescent="0.25">
      <c r="A512" s="37">
        <v>4382471</v>
      </c>
      <c r="B512" s="37" t="s">
        <v>21</v>
      </c>
      <c r="C512" s="38" t="s">
        <v>19</v>
      </c>
      <c r="D512" s="38">
        <v>45448</v>
      </c>
      <c r="E5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2" s="39">
        <f>IFERROR(VLOOKUP(RES_AB[[#This Row],[Reserva]],Tabela8[[Reserva]:[Usuário]],7,FALSE),Dados!$A$17)</f>
        <v>0.80694444444444446</v>
      </c>
      <c r="G512" s="40">
        <f>IF(RES_AB[[#This Row],[Reserva]]="","",IF(RES_AB[[#This Row],[Hora Int WMS]]&lt;Dados!$A$16,2,2))</f>
        <v>2</v>
      </c>
      <c r="H512" s="40" t="str">
        <f>IF(RES_AB[[#This Row],[Reserva]]="","",IFERROR(VLOOKUP(RES_AB[[#This Row],[Reserva]],Tabela3[[Reserva]:[Condição para Faturamento]],20,FALSE),"IMPORTADO COM SUCESSO"))</f>
        <v>IMPORTADO COM SUCESSO</v>
      </c>
      <c r="I512" s="38">
        <f>IF(RES_AB[[#This Row],[Data base]]="","",WORKDAY(RES_AB[[#This Row],[Data Reserva - Feriado e Fds]],RES_AB[[#This Row],[Dias para atendimento]],Feriados[Data]))</f>
        <v>45450</v>
      </c>
      <c r="J512" s="40" t="str">
        <f ca="1">IF(RES_AB[[#This Row],[Reserva]]="","",CONCATENATE("D+",NETWORKDAYS(RES_AB[[#This Row],[Data Reserva - Feriado e Fds]],TODAY(),Feriados[Data])-1))</f>
        <v>D+2</v>
      </c>
      <c r="K512" s="40" t="str">
        <f ca="1">IF(RES_AB[[#This Row],[Reserva]]="","",CONCATENATE(RES_AB[[#This Row],[Cen.]]," | ",RES_AB[[#This Row],[SLA2]]))</f>
        <v>N190 | D+2</v>
      </c>
      <c r="L512" s="40">
        <f ca="1">IF(RES_AB[[#This Row],[Reserva]]="","",IF(RES_AB[[#This Row],[SLA2]]=RES_AB[[#This Row],[Reserva]]="","",COUNTIF(MB25_VOLUMETRIA[Reserva],RES_AB[[#This Row],[Reserva]])))</f>
        <v>1</v>
      </c>
      <c r="M5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2" s="37" t="str">
        <f>IF(RES_AB[[#This Row],[Cen.]]="","",IFERROR(VLOOKUP(RES_AB[[#This Row],[Cen.]],Dados_Empresas[],2,FALSE),"Verificar empresa"))</f>
        <v>NET MASSIVO</v>
      </c>
      <c r="P512" s="37" t="str">
        <f>IF(RES_AB[[#This Row],[Empresa]]="","",IF(OR(RES_AB[[#This Row],[Empresa]]="NET MASSIVO",RES_AB[[#This Row],[Empresa]]="NET PROJETOS"),"NET","EMPRESARIAL"))</f>
        <v>NET</v>
      </c>
      <c r="Q512" s="37" t="str">
        <f>IF(RES_AB[[#This Row],[Reserva]]="","",IFERROR(VLOOKUP(RES_AB[[#This Row],[Reserva]],Tabela3[[Reserva]:[Descrição do status]],18,FALSE),"CONVENCIONAL"))</f>
        <v>CONVENCIONAL</v>
      </c>
    </row>
    <row r="513" spans="1:17" x14ac:dyDescent="0.25">
      <c r="A513" s="37">
        <v>4382472</v>
      </c>
      <c r="B513" s="37" t="s">
        <v>21</v>
      </c>
      <c r="C513" s="38" t="s">
        <v>21</v>
      </c>
      <c r="D513" s="38">
        <v>45448</v>
      </c>
      <c r="E5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3" s="39">
        <f>IFERROR(VLOOKUP(RES_AB[[#This Row],[Reserva]],Tabela8[[Reserva]:[Usuário]],7,FALSE),Dados!$A$17)</f>
        <v>0.80706018518518519</v>
      </c>
      <c r="G513" s="40">
        <f>IF(RES_AB[[#This Row],[Reserva]]="","",IF(RES_AB[[#This Row],[Hora Int WMS]]&lt;Dados!$A$16,2,2))</f>
        <v>2</v>
      </c>
      <c r="H513" s="40" t="str">
        <f>IF(RES_AB[[#This Row],[Reserva]]="","",IFERROR(VLOOKUP(RES_AB[[#This Row],[Reserva]],Tabela3[[Reserva]:[Condição para Faturamento]],20,FALSE),"IMPORTADO COM SUCESSO"))</f>
        <v>IMPORTADO COM SUCESSO</v>
      </c>
      <c r="I513" s="38">
        <f>IF(RES_AB[[#This Row],[Data base]]="","",WORKDAY(RES_AB[[#This Row],[Data Reserva - Feriado e Fds]],RES_AB[[#This Row],[Dias para atendimento]],Feriados[Data]))</f>
        <v>45450</v>
      </c>
      <c r="J513" s="40" t="str">
        <f ca="1">IF(RES_AB[[#This Row],[Reserva]]="","",CONCATENATE("D+",NETWORKDAYS(RES_AB[[#This Row],[Data Reserva - Feriado e Fds]],TODAY(),Feriados[Data])-1))</f>
        <v>D+2</v>
      </c>
      <c r="K513" s="40" t="str">
        <f ca="1">IF(RES_AB[[#This Row],[Reserva]]="","",CONCATENATE(RES_AB[[#This Row],[Cen.]]," | ",RES_AB[[#This Row],[SLA2]]))</f>
        <v>N190 | D+2</v>
      </c>
      <c r="L513" s="40">
        <f ca="1">IF(RES_AB[[#This Row],[Reserva]]="","",IF(RES_AB[[#This Row],[SLA2]]=RES_AB[[#This Row],[Reserva]]="","",COUNTIF(MB25_VOLUMETRIA[Reserva],RES_AB[[#This Row],[Reserva]])))</f>
        <v>4</v>
      </c>
      <c r="M5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3" s="37" t="str">
        <f>IF(RES_AB[[#This Row],[Cen.]]="","",IFERROR(VLOOKUP(RES_AB[[#This Row],[Cen.]],Dados_Empresas[],2,FALSE),"Verificar empresa"))</f>
        <v>NET MASSIVO</v>
      </c>
      <c r="P513" s="37" t="str">
        <f>IF(RES_AB[[#This Row],[Empresa]]="","",IF(OR(RES_AB[[#This Row],[Empresa]]="NET MASSIVO",RES_AB[[#This Row],[Empresa]]="NET PROJETOS"),"NET","EMPRESARIAL"))</f>
        <v>NET</v>
      </c>
      <c r="Q513" s="37" t="str">
        <f>IF(RES_AB[[#This Row],[Reserva]]="","",IFERROR(VLOOKUP(RES_AB[[#This Row],[Reserva]],Tabela3[[Reserva]:[Descrição do status]],18,FALSE),"CONVENCIONAL"))</f>
        <v>CONVENCIONAL</v>
      </c>
    </row>
    <row r="514" spans="1:17" x14ac:dyDescent="0.25">
      <c r="A514" s="37">
        <v>4382473</v>
      </c>
      <c r="B514" s="37" t="s">
        <v>21</v>
      </c>
      <c r="C514" s="38" t="s">
        <v>19</v>
      </c>
      <c r="D514" s="38">
        <v>45448</v>
      </c>
      <c r="E5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4" s="39">
        <f>IFERROR(VLOOKUP(RES_AB[[#This Row],[Reserva]],Tabela8[[Reserva]:[Usuário]],7,FALSE),Dados!$A$17)</f>
        <v>0.80717592592592591</v>
      </c>
      <c r="G514" s="40">
        <f>IF(RES_AB[[#This Row],[Reserva]]="","",IF(RES_AB[[#This Row],[Hora Int WMS]]&lt;Dados!$A$16,2,2))</f>
        <v>2</v>
      </c>
      <c r="H514" s="40" t="str">
        <f>IF(RES_AB[[#This Row],[Reserva]]="","",IFERROR(VLOOKUP(RES_AB[[#This Row],[Reserva]],Tabela3[[Reserva]:[Condição para Faturamento]],20,FALSE),"IMPORTADO COM SUCESSO"))</f>
        <v>IMPORTADO COM SUCESSO</v>
      </c>
      <c r="I514" s="38">
        <f>IF(RES_AB[[#This Row],[Data base]]="","",WORKDAY(RES_AB[[#This Row],[Data Reserva - Feriado e Fds]],RES_AB[[#This Row],[Dias para atendimento]],Feriados[Data]))</f>
        <v>45450</v>
      </c>
      <c r="J514" s="40" t="str">
        <f ca="1">IF(RES_AB[[#This Row],[Reserva]]="","",CONCATENATE("D+",NETWORKDAYS(RES_AB[[#This Row],[Data Reserva - Feriado e Fds]],TODAY(),Feriados[Data])-1))</f>
        <v>D+2</v>
      </c>
      <c r="K514" s="40" t="str">
        <f ca="1">IF(RES_AB[[#This Row],[Reserva]]="","",CONCATENATE(RES_AB[[#This Row],[Cen.]]," | ",RES_AB[[#This Row],[SLA2]]))</f>
        <v>N190 | D+2</v>
      </c>
      <c r="L514" s="40">
        <f ca="1">IF(RES_AB[[#This Row],[Reserva]]="","",IF(RES_AB[[#This Row],[SLA2]]=RES_AB[[#This Row],[Reserva]]="","",COUNTIF(MB25_VOLUMETRIA[Reserva],RES_AB[[#This Row],[Reserva]])))</f>
        <v>1</v>
      </c>
      <c r="M5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4" s="37" t="str">
        <f>IF(RES_AB[[#This Row],[Cen.]]="","",IFERROR(VLOOKUP(RES_AB[[#This Row],[Cen.]],Dados_Empresas[],2,FALSE),"Verificar empresa"))</f>
        <v>NET MASSIVO</v>
      </c>
      <c r="P514" s="37" t="str">
        <f>IF(RES_AB[[#This Row],[Empresa]]="","",IF(OR(RES_AB[[#This Row],[Empresa]]="NET MASSIVO",RES_AB[[#This Row],[Empresa]]="NET PROJETOS"),"NET","EMPRESARIAL"))</f>
        <v>NET</v>
      </c>
      <c r="Q514" s="37" t="str">
        <f>IF(RES_AB[[#This Row],[Reserva]]="","",IFERROR(VLOOKUP(RES_AB[[#This Row],[Reserva]],Tabela3[[Reserva]:[Descrição do status]],18,FALSE),"CONVENCIONAL"))</f>
        <v>CONVENCIONAL</v>
      </c>
    </row>
    <row r="515" spans="1:17" x14ac:dyDescent="0.25">
      <c r="A515" s="37">
        <v>4382474</v>
      </c>
      <c r="B515" s="37" t="s">
        <v>21</v>
      </c>
      <c r="C515" s="38" t="s">
        <v>19</v>
      </c>
      <c r="D515" s="38">
        <v>45448</v>
      </c>
      <c r="E5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5" s="39">
        <f>IFERROR(VLOOKUP(RES_AB[[#This Row],[Reserva]],Tabela8[[Reserva]:[Usuário]],7,FALSE),Dados!$A$17)</f>
        <v>0.80717592592592591</v>
      </c>
      <c r="G515" s="40">
        <f>IF(RES_AB[[#This Row],[Reserva]]="","",IF(RES_AB[[#This Row],[Hora Int WMS]]&lt;Dados!$A$16,2,2))</f>
        <v>2</v>
      </c>
      <c r="H515" s="40" t="str">
        <f>IF(RES_AB[[#This Row],[Reserva]]="","",IFERROR(VLOOKUP(RES_AB[[#This Row],[Reserva]],Tabela3[[Reserva]:[Condição para Faturamento]],20,FALSE),"IMPORTADO COM SUCESSO"))</f>
        <v>IMPORTADO COM SUCESSO</v>
      </c>
      <c r="I515" s="38">
        <f>IF(RES_AB[[#This Row],[Data base]]="","",WORKDAY(RES_AB[[#This Row],[Data Reserva - Feriado e Fds]],RES_AB[[#This Row],[Dias para atendimento]],Feriados[Data]))</f>
        <v>45450</v>
      </c>
      <c r="J515" s="40" t="str">
        <f ca="1">IF(RES_AB[[#This Row],[Reserva]]="","",CONCATENATE("D+",NETWORKDAYS(RES_AB[[#This Row],[Data Reserva - Feriado e Fds]],TODAY(),Feriados[Data])-1))</f>
        <v>D+2</v>
      </c>
      <c r="K515" s="40" t="str">
        <f ca="1">IF(RES_AB[[#This Row],[Reserva]]="","",CONCATENATE(RES_AB[[#This Row],[Cen.]]," | ",RES_AB[[#This Row],[SLA2]]))</f>
        <v>N190 | D+2</v>
      </c>
      <c r="L515" s="40">
        <f ca="1">IF(RES_AB[[#This Row],[Reserva]]="","",IF(RES_AB[[#This Row],[SLA2]]=RES_AB[[#This Row],[Reserva]]="","",COUNTIF(MB25_VOLUMETRIA[Reserva],RES_AB[[#This Row],[Reserva]])))</f>
        <v>1</v>
      </c>
      <c r="M5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5" s="37" t="str">
        <f>IF(RES_AB[[#This Row],[Cen.]]="","",IFERROR(VLOOKUP(RES_AB[[#This Row],[Cen.]],Dados_Empresas[],2,FALSE),"Verificar empresa"))</f>
        <v>NET MASSIVO</v>
      </c>
      <c r="P515" s="37" t="str">
        <f>IF(RES_AB[[#This Row],[Empresa]]="","",IF(OR(RES_AB[[#This Row],[Empresa]]="NET MASSIVO",RES_AB[[#This Row],[Empresa]]="NET PROJETOS"),"NET","EMPRESARIAL"))</f>
        <v>NET</v>
      </c>
      <c r="Q515" s="37" t="str">
        <f>IF(RES_AB[[#This Row],[Reserva]]="","",IFERROR(VLOOKUP(RES_AB[[#This Row],[Reserva]],Tabela3[[Reserva]:[Descrição do status]],18,FALSE),"CONVENCIONAL"))</f>
        <v>CONVENCIONAL</v>
      </c>
    </row>
    <row r="516" spans="1:17" x14ac:dyDescent="0.25">
      <c r="A516" s="37">
        <v>4382475</v>
      </c>
      <c r="B516" s="37" t="s">
        <v>21</v>
      </c>
      <c r="C516" s="38" t="s">
        <v>19</v>
      </c>
      <c r="D516" s="38">
        <v>45448</v>
      </c>
      <c r="E5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6" s="39">
        <f>IFERROR(VLOOKUP(RES_AB[[#This Row],[Reserva]],Tabela8[[Reserva]:[Usuário]],7,FALSE),Dados!$A$17)</f>
        <v>0.80729166666666663</v>
      </c>
      <c r="G516" s="40">
        <f>IF(RES_AB[[#This Row],[Reserva]]="","",IF(RES_AB[[#This Row],[Hora Int WMS]]&lt;Dados!$A$16,2,2))</f>
        <v>2</v>
      </c>
      <c r="H516" s="40" t="str">
        <f>IF(RES_AB[[#This Row],[Reserva]]="","",IFERROR(VLOOKUP(RES_AB[[#This Row],[Reserva]],Tabela3[[Reserva]:[Condição para Faturamento]],20,FALSE),"IMPORTADO COM SUCESSO"))</f>
        <v>IMPORTADO COM SUCESSO</v>
      </c>
      <c r="I516" s="38">
        <f>IF(RES_AB[[#This Row],[Data base]]="","",WORKDAY(RES_AB[[#This Row],[Data Reserva - Feriado e Fds]],RES_AB[[#This Row],[Dias para atendimento]],Feriados[Data]))</f>
        <v>45450</v>
      </c>
      <c r="J516" s="40" t="str">
        <f ca="1">IF(RES_AB[[#This Row],[Reserva]]="","",CONCATENATE("D+",NETWORKDAYS(RES_AB[[#This Row],[Data Reserva - Feriado e Fds]],TODAY(),Feriados[Data])-1))</f>
        <v>D+2</v>
      </c>
      <c r="K516" s="40" t="str">
        <f ca="1">IF(RES_AB[[#This Row],[Reserva]]="","",CONCATENATE(RES_AB[[#This Row],[Cen.]]," | ",RES_AB[[#This Row],[SLA2]]))</f>
        <v>N190 | D+2</v>
      </c>
      <c r="L516" s="40">
        <f ca="1">IF(RES_AB[[#This Row],[Reserva]]="","",IF(RES_AB[[#This Row],[SLA2]]=RES_AB[[#This Row],[Reserva]]="","",COUNTIF(MB25_VOLUMETRIA[Reserva],RES_AB[[#This Row],[Reserva]])))</f>
        <v>1</v>
      </c>
      <c r="M5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6" s="37" t="str">
        <f>IF(RES_AB[[#This Row],[Cen.]]="","",IFERROR(VLOOKUP(RES_AB[[#This Row],[Cen.]],Dados_Empresas[],2,FALSE),"Verificar empresa"))</f>
        <v>NET MASSIVO</v>
      </c>
      <c r="P516" s="37" t="str">
        <f>IF(RES_AB[[#This Row],[Empresa]]="","",IF(OR(RES_AB[[#This Row],[Empresa]]="NET MASSIVO",RES_AB[[#This Row],[Empresa]]="NET PROJETOS"),"NET","EMPRESARIAL"))</f>
        <v>NET</v>
      </c>
      <c r="Q516" s="37" t="str">
        <f>IF(RES_AB[[#This Row],[Reserva]]="","",IFERROR(VLOOKUP(RES_AB[[#This Row],[Reserva]],Tabela3[[Reserva]:[Descrição do status]],18,FALSE),"CONVENCIONAL"))</f>
        <v>CONVENCIONAL</v>
      </c>
    </row>
    <row r="517" spans="1:17" x14ac:dyDescent="0.25">
      <c r="A517" s="37">
        <v>4382476</v>
      </c>
      <c r="B517" s="37" t="s">
        <v>21</v>
      </c>
      <c r="C517" s="38" t="s">
        <v>19</v>
      </c>
      <c r="D517" s="38">
        <v>45448</v>
      </c>
      <c r="E5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7" s="39">
        <f>IFERROR(VLOOKUP(RES_AB[[#This Row],[Reserva]],Tabela8[[Reserva]:[Usuário]],7,FALSE),Dados!$A$17)</f>
        <v>0.80729166666666663</v>
      </c>
      <c r="G517" s="40">
        <f>IF(RES_AB[[#This Row],[Reserva]]="","",IF(RES_AB[[#This Row],[Hora Int WMS]]&lt;Dados!$A$16,2,2))</f>
        <v>2</v>
      </c>
      <c r="H517" s="40" t="str">
        <f>IF(RES_AB[[#This Row],[Reserva]]="","",IFERROR(VLOOKUP(RES_AB[[#This Row],[Reserva]],Tabela3[[Reserva]:[Condição para Faturamento]],20,FALSE),"IMPORTADO COM SUCESSO"))</f>
        <v>IMPORTADO COM SUCESSO</v>
      </c>
      <c r="I517" s="38">
        <f>IF(RES_AB[[#This Row],[Data base]]="","",WORKDAY(RES_AB[[#This Row],[Data Reserva - Feriado e Fds]],RES_AB[[#This Row],[Dias para atendimento]],Feriados[Data]))</f>
        <v>45450</v>
      </c>
      <c r="J517" s="40" t="str">
        <f ca="1">IF(RES_AB[[#This Row],[Reserva]]="","",CONCATENATE("D+",NETWORKDAYS(RES_AB[[#This Row],[Data Reserva - Feriado e Fds]],TODAY(),Feriados[Data])-1))</f>
        <v>D+2</v>
      </c>
      <c r="K517" s="40" t="str">
        <f ca="1">IF(RES_AB[[#This Row],[Reserva]]="","",CONCATENATE(RES_AB[[#This Row],[Cen.]]," | ",RES_AB[[#This Row],[SLA2]]))</f>
        <v>N190 | D+2</v>
      </c>
      <c r="L517" s="40">
        <f ca="1">IF(RES_AB[[#This Row],[Reserva]]="","",IF(RES_AB[[#This Row],[SLA2]]=RES_AB[[#This Row],[Reserva]]="","",COUNTIF(MB25_VOLUMETRIA[Reserva],RES_AB[[#This Row],[Reserva]])))</f>
        <v>1</v>
      </c>
      <c r="M5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7" s="37" t="str">
        <f>IF(RES_AB[[#This Row],[Cen.]]="","",IFERROR(VLOOKUP(RES_AB[[#This Row],[Cen.]],Dados_Empresas[],2,FALSE),"Verificar empresa"))</f>
        <v>NET MASSIVO</v>
      </c>
      <c r="P517" s="37" t="str">
        <f>IF(RES_AB[[#This Row],[Empresa]]="","",IF(OR(RES_AB[[#This Row],[Empresa]]="NET MASSIVO",RES_AB[[#This Row],[Empresa]]="NET PROJETOS"),"NET","EMPRESARIAL"))</f>
        <v>NET</v>
      </c>
      <c r="Q517" s="37" t="str">
        <f>IF(RES_AB[[#This Row],[Reserva]]="","",IFERROR(VLOOKUP(RES_AB[[#This Row],[Reserva]],Tabela3[[Reserva]:[Descrição do status]],18,FALSE),"CONVENCIONAL"))</f>
        <v>CONVENCIONAL</v>
      </c>
    </row>
    <row r="518" spans="1:17" x14ac:dyDescent="0.25">
      <c r="A518" s="37">
        <v>4382477</v>
      </c>
      <c r="B518" s="37" t="s">
        <v>21</v>
      </c>
      <c r="C518" s="38" t="s">
        <v>19</v>
      </c>
      <c r="D518" s="38">
        <v>45448</v>
      </c>
      <c r="E5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8" s="39">
        <f>IFERROR(VLOOKUP(RES_AB[[#This Row],[Reserva]],Tabela8[[Reserva]:[Usuário]],7,FALSE),Dados!$A$17)</f>
        <v>0.80740740740740746</v>
      </c>
      <c r="G518" s="40">
        <f>IF(RES_AB[[#This Row],[Reserva]]="","",IF(RES_AB[[#This Row],[Hora Int WMS]]&lt;Dados!$A$16,2,2))</f>
        <v>2</v>
      </c>
      <c r="H518" s="40" t="str">
        <f>IF(RES_AB[[#This Row],[Reserva]]="","",IFERROR(VLOOKUP(RES_AB[[#This Row],[Reserva]],Tabela3[[Reserva]:[Condição para Faturamento]],20,FALSE),"IMPORTADO COM SUCESSO"))</f>
        <v>IMPORTADO COM SUCESSO</v>
      </c>
      <c r="I518" s="38">
        <f>IF(RES_AB[[#This Row],[Data base]]="","",WORKDAY(RES_AB[[#This Row],[Data Reserva - Feriado e Fds]],RES_AB[[#This Row],[Dias para atendimento]],Feriados[Data]))</f>
        <v>45450</v>
      </c>
      <c r="J518" s="40" t="str">
        <f ca="1">IF(RES_AB[[#This Row],[Reserva]]="","",CONCATENATE("D+",NETWORKDAYS(RES_AB[[#This Row],[Data Reserva - Feriado e Fds]],TODAY(),Feriados[Data])-1))</f>
        <v>D+2</v>
      </c>
      <c r="K518" s="40" t="str">
        <f ca="1">IF(RES_AB[[#This Row],[Reserva]]="","",CONCATENATE(RES_AB[[#This Row],[Cen.]]," | ",RES_AB[[#This Row],[SLA2]]))</f>
        <v>N190 | D+2</v>
      </c>
      <c r="L518" s="40">
        <f ca="1">IF(RES_AB[[#This Row],[Reserva]]="","",IF(RES_AB[[#This Row],[SLA2]]=RES_AB[[#This Row],[Reserva]]="","",COUNTIF(MB25_VOLUMETRIA[Reserva],RES_AB[[#This Row],[Reserva]])))</f>
        <v>12</v>
      </c>
      <c r="M5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8" s="37" t="str">
        <f>IF(RES_AB[[#This Row],[Cen.]]="","",IFERROR(VLOOKUP(RES_AB[[#This Row],[Cen.]],Dados_Empresas[],2,FALSE),"Verificar empresa"))</f>
        <v>NET MASSIVO</v>
      </c>
      <c r="P518" s="37" t="str">
        <f>IF(RES_AB[[#This Row],[Empresa]]="","",IF(OR(RES_AB[[#This Row],[Empresa]]="NET MASSIVO",RES_AB[[#This Row],[Empresa]]="NET PROJETOS"),"NET","EMPRESARIAL"))</f>
        <v>NET</v>
      </c>
      <c r="Q518" s="37" t="str">
        <f>IF(RES_AB[[#This Row],[Reserva]]="","",IFERROR(VLOOKUP(RES_AB[[#This Row],[Reserva]],Tabela3[[Reserva]:[Descrição do status]],18,FALSE),"CONVENCIONAL"))</f>
        <v>CONVENCIONAL</v>
      </c>
    </row>
    <row r="519" spans="1:17" x14ac:dyDescent="0.25">
      <c r="A519" s="37">
        <v>4382478</v>
      </c>
      <c r="B519" s="37" t="s">
        <v>21</v>
      </c>
      <c r="C519" s="38" t="s">
        <v>19</v>
      </c>
      <c r="D519" s="38">
        <v>45448</v>
      </c>
      <c r="E5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19" s="39">
        <f>IFERROR(VLOOKUP(RES_AB[[#This Row],[Reserva]],Tabela8[[Reserva]:[Usuário]],7,FALSE),Dados!$A$17)</f>
        <v>0.80752314814814818</v>
      </c>
      <c r="G519" s="40">
        <f>IF(RES_AB[[#This Row],[Reserva]]="","",IF(RES_AB[[#This Row],[Hora Int WMS]]&lt;Dados!$A$16,2,2))</f>
        <v>2</v>
      </c>
      <c r="H519" s="40" t="str">
        <f>IF(RES_AB[[#This Row],[Reserva]]="","",IFERROR(VLOOKUP(RES_AB[[#This Row],[Reserva]],Tabela3[[Reserva]:[Condição para Faturamento]],20,FALSE),"IMPORTADO COM SUCESSO"))</f>
        <v>IMPORTADO COM SUCESSO</v>
      </c>
      <c r="I519" s="38">
        <f>IF(RES_AB[[#This Row],[Data base]]="","",WORKDAY(RES_AB[[#This Row],[Data Reserva - Feriado e Fds]],RES_AB[[#This Row],[Dias para atendimento]],Feriados[Data]))</f>
        <v>45450</v>
      </c>
      <c r="J519" s="40" t="str">
        <f ca="1">IF(RES_AB[[#This Row],[Reserva]]="","",CONCATENATE("D+",NETWORKDAYS(RES_AB[[#This Row],[Data Reserva - Feriado e Fds]],TODAY(),Feriados[Data])-1))</f>
        <v>D+2</v>
      </c>
      <c r="K519" s="40" t="str">
        <f ca="1">IF(RES_AB[[#This Row],[Reserva]]="","",CONCATENATE(RES_AB[[#This Row],[Cen.]]," | ",RES_AB[[#This Row],[SLA2]]))</f>
        <v>N190 | D+2</v>
      </c>
      <c r="L519" s="40">
        <f ca="1">IF(RES_AB[[#This Row],[Reserva]]="","",IF(RES_AB[[#This Row],[SLA2]]=RES_AB[[#This Row],[Reserva]]="","",COUNTIF(MB25_VOLUMETRIA[Reserva],RES_AB[[#This Row],[Reserva]])))</f>
        <v>2</v>
      </c>
      <c r="M5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1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19" s="37" t="str">
        <f>IF(RES_AB[[#This Row],[Cen.]]="","",IFERROR(VLOOKUP(RES_AB[[#This Row],[Cen.]],Dados_Empresas[],2,FALSE),"Verificar empresa"))</f>
        <v>NET MASSIVO</v>
      </c>
      <c r="P519" s="37" t="str">
        <f>IF(RES_AB[[#This Row],[Empresa]]="","",IF(OR(RES_AB[[#This Row],[Empresa]]="NET MASSIVO",RES_AB[[#This Row],[Empresa]]="NET PROJETOS"),"NET","EMPRESARIAL"))</f>
        <v>NET</v>
      </c>
      <c r="Q519" s="37" t="str">
        <f>IF(RES_AB[[#This Row],[Reserva]]="","",IFERROR(VLOOKUP(RES_AB[[#This Row],[Reserva]],Tabela3[[Reserva]:[Descrição do status]],18,FALSE),"CONVENCIONAL"))</f>
        <v>CONVENCIONAL</v>
      </c>
    </row>
    <row r="520" spans="1:17" x14ac:dyDescent="0.25">
      <c r="A520" s="37">
        <v>4382479</v>
      </c>
      <c r="B520" s="37" t="s">
        <v>21</v>
      </c>
      <c r="C520" s="38" t="s">
        <v>19</v>
      </c>
      <c r="D520" s="38">
        <v>45448</v>
      </c>
      <c r="E5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0" s="39">
        <f>IFERROR(VLOOKUP(RES_AB[[#This Row],[Reserva]],Tabela8[[Reserva]:[Usuário]],7,FALSE),Dados!$A$17)</f>
        <v>0.80752314814814818</v>
      </c>
      <c r="G520" s="40">
        <f>IF(RES_AB[[#This Row],[Reserva]]="","",IF(RES_AB[[#This Row],[Hora Int WMS]]&lt;Dados!$A$16,2,2))</f>
        <v>2</v>
      </c>
      <c r="H520" s="40" t="str">
        <f>IF(RES_AB[[#This Row],[Reserva]]="","",IFERROR(VLOOKUP(RES_AB[[#This Row],[Reserva]],Tabela3[[Reserva]:[Condição para Faturamento]],20,FALSE),"IMPORTADO COM SUCESSO"))</f>
        <v>IMPORTADO COM SUCESSO</v>
      </c>
      <c r="I520" s="38">
        <f>IF(RES_AB[[#This Row],[Data base]]="","",WORKDAY(RES_AB[[#This Row],[Data Reserva - Feriado e Fds]],RES_AB[[#This Row],[Dias para atendimento]],Feriados[Data]))</f>
        <v>45450</v>
      </c>
      <c r="J520" s="40" t="str">
        <f ca="1">IF(RES_AB[[#This Row],[Reserva]]="","",CONCATENATE("D+",NETWORKDAYS(RES_AB[[#This Row],[Data Reserva - Feriado e Fds]],TODAY(),Feriados[Data])-1))</f>
        <v>D+2</v>
      </c>
      <c r="K520" s="40" t="str">
        <f ca="1">IF(RES_AB[[#This Row],[Reserva]]="","",CONCATENATE(RES_AB[[#This Row],[Cen.]]," | ",RES_AB[[#This Row],[SLA2]]))</f>
        <v>N190 | D+2</v>
      </c>
      <c r="L520" s="40">
        <f ca="1">IF(RES_AB[[#This Row],[Reserva]]="","",IF(RES_AB[[#This Row],[SLA2]]=RES_AB[[#This Row],[Reserva]]="","",COUNTIF(MB25_VOLUMETRIA[Reserva],RES_AB[[#This Row],[Reserva]])))</f>
        <v>1</v>
      </c>
      <c r="M5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0" s="37" t="str">
        <f>IF(RES_AB[[#This Row],[Cen.]]="","",IFERROR(VLOOKUP(RES_AB[[#This Row],[Cen.]],Dados_Empresas[],2,FALSE),"Verificar empresa"))</f>
        <v>NET MASSIVO</v>
      </c>
      <c r="P520" s="37" t="str">
        <f>IF(RES_AB[[#This Row],[Empresa]]="","",IF(OR(RES_AB[[#This Row],[Empresa]]="NET MASSIVO",RES_AB[[#This Row],[Empresa]]="NET PROJETOS"),"NET","EMPRESARIAL"))</f>
        <v>NET</v>
      </c>
      <c r="Q520" s="37" t="str">
        <f>IF(RES_AB[[#This Row],[Reserva]]="","",IFERROR(VLOOKUP(RES_AB[[#This Row],[Reserva]],Tabela3[[Reserva]:[Descrição do status]],18,FALSE),"CONVENCIONAL"))</f>
        <v>CONVENCIONAL</v>
      </c>
    </row>
    <row r="521" spans="1:17" x14ac:dyDescent="0.25">
      <c r="A521" s="37">
        <v>4382480</v>
      </c>
      <c r="B521" s="37" t="s">
        <v>21</v>
      </c>
      <c r="C521" s="38" t="s">
        <v>19</v>
      </c>
      <c r="D521" s="38">
        <v>45448</v>
      </c>
      <c r="E5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1" s="39">
        <f>IFERROR(VLOOKUP(RES_AB[[#This Row],[Reserva]],Tabela8[[Reserva]:[Usuário]],7,FALSE),Dados!$A$17)</f>
        <v>0.80763888888888891</v>
      </c>
      <c r="G521" s="40">
        <f>IF(RES_AB[[#This Row],[Reserva]]="","",IF(RES_AB[[#This Row],[Hora Int WMS]]&lt;Dados!$A$16,2,2))</f>
        <v>2</v>
      </c>
      <c r="H521" s="40" t="str">
        <f>IF(RES_AB[[#This Row],[Reserva]]="","",IFERROR(VLOOKUP(RES_AB[[#This Row],[Reserva]],Tabela3[[Reserva]:[Condição para Faturamento]],20,FALSE),"IMPORTADO COM SUCESSO"))</f>
        <v>IMPORTADO COM SUCESSO</v>
      </c>
      <c r="I521" s="38">
        <f>IF(RES_AB[[#This Row],[Data base]]="","",WORKDAY(RES_AB[[#This Row],[Data Reserva - Feriado e Fds]],RES_AB[[#This Row],[Dias para atendimento]],Feriados[Data]))</f>
        <v>45450</v>
      </c>
      <c r="J521" s="40" t="str">
        <f ca="1">IF(RES_AB[[#This Row],[Reserva]]="","",CONCATENATE("D+",NETWORKDAYS(RES_AB[[#This Row],[Data Reserva - Feriado e Fds]],TODAY(),Feriados[Data])-1))</f>
        <v>D+2</v>
      </c>
      <c r="K521" s="40" t="str">
        <f ca="1">IF(RES_AB[[#This Row],[Reserva]]="","",CONCATENATE(RES_AB[[#This Row],[Cen.]]," | ",RES_AB[[#This Row],[SLA2]]))</f>
        <v>N190 | D+2</v>
      </c>
      <c r="L521" s="40">
        <f ca="1">IF(RES_AB[[#This Row],[Reserva]]="","",IF(RES_AB[[#This Row],[SLA2]]=RES_AB[[#This Row],[Reserva]]="","",COUNTIF(MB25_VOLUMETRIA[Reserva],RES_AB[[#This Row],[Reserva]])))</f>
        <v>1</v>
      </c>
      <c r="M5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1" s="37" t="str">
        <f>IF(RES_AB[[#This Row],[Cen.]]="","",IFERROR(VLOOKUP(RES_AB[[#This Row],[Cen.]],Dados_Empresas[],2,FALSE),"Verificar empresa"))</f>
        <v>NET MASSIVO</v>
      </c>
      <c r="P521" s="37" t="str">
        <f>IF(RES_AB[[#This Row],[Empresa]]="","",IF(OR(RES_AB[[#This Row],[Empresa]]="NET MASSIVO",RES_AB[[#This Row],[Empresa]]="NET PROJETOS"),"NET","EMPRESARIAL"))</f>
        <v>NET</v>
      </c>
      <c r="Q521" s="37" t="str">
        <f>IF(RES_AB[[#This Row],[Reserva]]="","",IFERROR(VLOOKUP(RES_AB[[#This Row],[Reserva]],Tabela3[[Reserva]:[Descrição do status]],18,FALSE),"CONVENCIONAL"))</f>
        <v>CONVENCIONAL</v>
      </c>
    </row>
    <row r="522" spans="1:17" x14ac:dyDescent="0.25">
      <c r="A522" s="37">
        <v>4382481</v>
      </c>
      <c r="B522" s="37" t="s">
        <v>21</v>
      </c>
      <c r="C522" s="38" t="s">
        <v>19</v>
      </c>
      <c r="D522" s="38">
        <v>45448</v>
      </c>
      <c r="E5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2" s="39">
        <f>IFERROR(VLOOKUP(RES_AB[[#This Row],[Reserva]],Tabela8[[Reserva]:[Usuário]],7,FALSE),Dados!$A$17)</f>
        <v>0.80763888888888891</v>
      </c>
      <c r="G522" s="40">
        <f>IF(RES_AB[[#This Row],[Reserva]]="","",IF(RES_AB[[#This Row],[Hora Int WMS]]&lt;Dados!$A$16,2,2))</f>
        <v>2</v>
      </c>
      <c r="H522" s="40" t="str">
        <f>IF(RES_AB[[#This Row],[Reserva]]="","",IFERROR(VLOOKUP(RES_AB[[#This Row],[Reserva]],Tabela3[[Reserva]:[Condição para Faturamento]],20,FALSE),"IMPORTADO COM SUCESSO"))</f>
        <v>IMPORTADO COM SUCESSO</v>
      </c>
      <c r="I522" s="38">
        <f>IF(RES_AB[[#This Row],[Data base]]="","",WORKDAY(RES_AB[[#This Row],[Data Reserva - Feriado e Fds]],RES_AB[[#This Row],[Dias para atendimento]],Feriados[Data]))</f>
        <v>45450</v>
      </c>
      <c r="J522" s="40" t="str">
        <f ca="1">IF(RES_AB[[#This Row],[Reserva]]="","",CONCATENATE("D+",NETWORKDAYS(RES_AB[[#This Row],[Data Reserva - Feriado e Fds]],TODAY(),Feriados[Data])-1))</f>
        <v>D+2</v>
      </c>
      <c r="K522" s="40" t="str">
        <f ca="1">IF(RES_AB[[#This Row],[Reserva]]="","",CONCATENATE(RES_AB[[#This Row],[Cen.]]," | ",RES_AB[[#This Row],[SLA2]]))</f>
        <v>N190 | D+2</v>
      </c>
      <c r="L522" s="40">
        <f ca="1">IF(RES_AB[[#This Row],[Reserva]]="","",IF(RES_AB[[#This Row],[SLA2]]=RES_AB[[#This Row],[Reserva]]="","",COUNTIF(MB25_VOLUMETRIA[Reserva],RES_AB[[#This Row],[Reserva]])))</f>
        <v>2</v>
      </c>
      <c r="M5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2" s="37" t="str">
        <f>IF(RES_AB[[#This Row],[Cen.]]="","",IFERROR(VLOOKUP(RES_AB[[#This Row],[Cen.]],Dados_Empresas[],2,FALSE),"Verificar empresa"))</f>
        <v>NET MASSIVO</v>
      </c>
      <c r="P522" s="37" t="str">
        <f>IF(RES_AB[[#This Row],[Empresa]]="","",IF(OR(RES_AB[[#This Row],[Empresa]]="NET MASSIVO",RES_AB[[#This Row],[Empresa]]="NET PROJETOS"),"NET","EMPRESARIAL"))</f>
        <v>NET</v>
      </c>
      <c r="Q522" s="37" t="str">
        <f>IF(RES_AB[[#This Row],[Reserva]]="","",IFERROR(VLOOKUP(RES_AB[[#This Row],[Reserva]],Tabela3[[Reserva]:[Descrição do status]],18,FALSE),"CONVENCIONAL"))</f>
        <v>CONVENCIONAL</v>
      </c>
    </row>
    <row r="523" spans="1:17" x14ac:dyDescent="0.25">
      <c r="A523" s="37">
        <v>4382482</v>
      </c>
      <c r="B523" s="37" t="s">
        <v>21</v>
      </c>
      <c r="C523" s="38" t="s">
        <v>19</v>
      </c>
      <c r="D523" s="38">
        <v>45448</v>
      </c>
      <c r="E5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3" s="39">
        <f>IFERROR(VLOOKUP(RES_AB[[#This Row],[Reserva]],Tabela8[[Reserva]:[Usuário]],7,FALSE),Dados!$A$17)</f>
        <v>0.80775462962962963</v>
      </c>
      <c r="G523" s="40">
        <f>IF(RES_AB[[#This Row],[Reserva]]="","",IF(RES_AB[[#This Row],[Hora Int WMS]]&lt;Dados!$A$16,2,2))</f>
        <v>2</v>
      </c>
      <c r="H523" s="40" t="str">
        <f>IF(RES_AB[[#This Row],[Reserva]]="","",IFERROR(VLOOKUP(RES_AB[[#This Row],[Reserva]],Tabela3[[Reserva]:[Condição para Faturamento]],20,FALSE),"IMPORTADO COM SUCESSO"))</f>
        <v>IMPORTADO COM SUCESSO</v>
      </c>
      <c r="I523" s="38">
        <f>IF(RES_AB[[#This Row],[Data base]]="","",WORKDAY(RES_AB[[#This Row],[Data Reserva - Feriado e Fds]],RES_AB[[#This Row],[Dias para atendimento]],Feriados[Data]))</f>
        <v>45450</v>
      </c>
      <c r="J523" s="40" t="str">
        <f ca="1">IF(RES_AB[[#This Row],[Reserva]]="","",CONCATENATE("D+",NETWORKDAYS(RES_AB[[#This Row],[Data Reserva - Feriado e Fds]],TODAY(),Feriados[Data])-1))</f>
        <v>D+2</v>
      </c>
      <c r="K523" s="40" t="str">
        <f ca="1">IF(RES_AB[[#This Row],[Reserva]]="","",CONCATENATE(RES_AB[[#This Row],[Cen.]]," | ",RES_AB[[#This Row],[SLA2]]))</f>
        <v>N190 | D+2</v>
      </c>
      <c r="L523" s="40">
        <f ca="1">IF(RES_AB[[#This Row],[Reserva]]="","",IF(RES_AB[[#This Row],[SLA2]]=RES_AB[[#This Row],[Reserva]]="","",COUNTIF(MB25_VOLUMETRIA[Reserva],RES_AB[[#This Row],[Reserva]])))</f>
        <v>1</v>
      </c>
      <c r="M5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3" s="37" t="str">
        <f>IF(RES_AB[[#This Row],[Cen.]]="","",IFERROR(VLOOKUP(RES_AB[[#This Row],[Cen.]],Dados_Empresas[],2,FALSE),"Verificar empresa"))</f>
        <v>NET MASSIVO</v>
      </c>
      <c r="P523" s="37" t="str">
        <f>IF(RES_AB[[#This Row],[Empresa]]="","",IF(OR(RES_AB[[#This Row],[Empresa]]="NET MASSIVO",RES_AB[[#This Row],[Empresa]]="NET PROJETOS"),"NET","EMPRESARIAL"))</f>
        <v>NET</v>
      </c>
      <c r="Q523" s="37" t="str">
        <f>IF(RES_AB[[#This Row],[Reserva]]="","",IFERROR(VLOOKUP(RES_AB[[#This Row],[Reserva]],Tabela3[[Reserva]:[Descrição do status]],18,FALSE),"CONVENCIONAL"))</f>
        <v>CONVENCIONAL</v>
      </c>
    </row>
    <row r="524" spans="1:17" x14ac:dyDescent="0.25">
      <c r="A524" s="37">
        <v>4382483</v>
      </c>
      <c r="B524" s="37" t="s">
        <v>21</v>
      </c>
      <c r="C524" s="38" t="s">
        <v>21</v>
      </c>
      <c r="D524" s="38">
        <v>45448</v>
      </c>
      <c r="E5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4" s="39">
        <f>IFERROR(VLOOKUP(RES_AB[[#This Row],[Reserva]],Tabela8[[Reserva]:[Usuário]],7,FALSE),Dados!$A$17)</f>
        <v>0.80775462962962963</v>
      </c>
      <c r="G524" s="40">
        <f>IF(RES_AB[[#This Row],[Reserva]]="","",IF(RES_AB[[#This Row],[Hora Int WMS]]&lt;Dados!$A$16,2,2))</f>
        <v>2</v>
      </c>
      <c r="H524" s="40" t="str">
        <f>IF(RES_AB[[#This Row],[Reserva]]="","",IFERROR(VLOOKUP(RES_AB[[#This Row],[Reserva]],Tabela3[[Reserva]:[Condição para Faturamento]],20,FALSE),"IMPORTADO COM SUCESSO"))</f>
        <v>IMPORTADO COM SUCESSO</v>
      </c>
      <c r="I524" s="38">
        <f>IF(RES_AB[[#This Row],[Data base]]="","",WORKDAY(RES_AB[[#This Row],[Data Reserva - Feriado e Fds]],RES_AB[[#This Row],[Dias para atendimento]],Feriados[Data]))</f>
        <v>45450</v>
      </c>
      <c r="J524" s="40" t="str">
        <f ca="1">IF(RES_AB[[#This Row],[Reserva]]="","",CONCATENATE("D+",NETWORKDAYS(RES_AB[[#This Row],[Data Reserva - Feriado e Fds]],TODAY(),Feriados[Data])-1))</f>
        <v>D+2</v>
      </c>
      <c r="K524" s="40" t="str">
        <f ca="1">IF(RES_AB[[#This Row],[Reserva]]="","",CONCATENATE(RES_AB[[#This Row],[Cen.]]," | ",RES_AB[[#This Row],[SLA2]]))</f>
        <v>N190 | D+2</v>
      </c>
      <c r="L524" s="40">
        <f ca="1">IF(RES_AB[[#This Row],[Reserva]]="","",IF(RES_AB[[#This Row],[SLA2]]=RES_AB[[#This Row],[Reserva]]="","",COUNTIF(MB25_VOLUMETRIA[Reserva],RES_AB[[#This Row],[Reserva]])))</f>
        <v>1</v>
      </c>
      <c r="M5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4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4" s="37" t="str">
        <f>IF(RES_AB[[#This Row],[Cen.]]="","",IFERROR(VLOOKUP(RES_AB[[#This Row],[Cen.]],Dados_Empresas[],2,FALSE),"Verificar empresa"))</f>
        <v>NET MASSIVO</v>
      </c>
      <c r="P524" s="37" t="str">
        <f>IF(RES_AB[[#This Row],[Empresa]]="","",IF(OR(RES_AB[[#This Row],[Empresa]]="NET MASSIVO",RES_AB[[#This Row],[Empresa]]="NET PROJETOS"),"NET","EMPRESARIAL"))</f>
        <v>NET</v>
      </c>
      <c r="Q524" s="37" t="str">
        <f>IF(RES_AB[[#This Row],[Reserva]]="","",IFERROR(VLOOKUP(RES_AB[[#This Row],[Reserva]],Tabela3[[Reserva]:[Descrição do status]],18,FALSE),"CONVENCIONAL"))</f>
        <v>CONVENCIONAL</v>
      </c>
    </row>
    <row r="525" spans="1:17" x14ac:dyDescent="0.25">
      <c r="A525" s="37">
        <v>4382484</v>
      </c>
      <c r="B525" s="37" t="s">
        <v>21</v>
      </c>
      <c r="C525" s="38" t="s">
        <v>19</v>
      </c>
      <c r="D525" s="38">
        <v>45448</v>
      </c>
      <c r="E5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5" s="39">
        <f>IFERROR(VLOOKUP(RES_AB[[#This Row],[Reserva]],Tabela8[[Reserva]:[Usuário]],7,FALSE),Dados!$A$17)</f>
        <v>0.80787037037037035</v>
      </c>
      <c r="G525" s="40">
        <f>IF(RES_AB[[#This Row],[Reserva]]="","",IF(RES_AB[[#This Row],[Hora Int WMS]]&lt;Dados!$A$16,2,2))</f>
        <v>2</v>
      </c>
      <c r="H525" s="40" t="str">
        <f>IF(RES_AB[[#This Row],[Reserva]]="","",IFERROR(VLOOKUP(RES_AB[[#This Row],[Reserva]],Tabela3[[Reserva]:[Condição para Faturamento]],20,FALSE),"IMPORTADO COM SUCESSO"))</f>
        <v>IMPORTADO COM SUCESSO</v>
      </c>
      <c r="I525" s="38">
        <f>IF(RES_AB[[#This Row],[Data base]]="","",WORKDAY(RES_AB[[#This Row],[Data Reserva - Feriado e Fds]],RES_AB[[#This Row],[Dias para atendimento]],Feriados[Data]))</f>
        <v>45450</v>
      </c>
      <c r="J525" s="40" t="str">
        <f ca="1">IF(RES_AB[[#This Row],[Reserva]]="","",CONCATENATE("D+",NETWORKDAYS(RES_AB[[#This Row],[Data Reserva - Feriado e Fds]],TODAY(),Feriados[Data])-1))</f>
        <v>D+2</v>
      </c>
      <c r="K525" s="40" t="str">
        <f ca="1">IF(RES_AB[[#This Row],[Reserva]]="","",CONCATENATE(RES_AB[[#This Row],[Cen.]]," | ",RES_AB[[#This Row],[SLA2]]))</f>
        <v>N190 | D+2</v>
      </c>
      <c r="L525" s="40">
        <f ca="1">IF(RES_AB[[#This Row],[Reserva]]="","",IF(RES_AB[[#This Row],[SLA2]]=RES_AB[[#This Row],[Reserva]]="","",COUNTIF(MB25_VOLUMETRIA[Reserva],RES_AB[[#This Row],[Reserva]])))</f>
        <v>1</v>
      </c>
      <c r="M5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5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5" s="37" t="str">
        <f>IF(RES_AB[[#This Row],[Cen.]]="","",IFERROR(VLOOKUP(RES_AB[[#This Row],[Cen.]],Dados_Empresas[],2,FALSE),"Verificar empresa"))</f>
        <v>NET MASSIVO</v>
      </c>
      <c r="P525" s="37" t="str">
        <f>IF(RES_AB[[#This Row],[Empresa]]="","",IF(OR(RES_AB[[#This Row],[Empresa]]="NET MASSIVO",RES_AB[[#This Row],[Empresa]]="NET PROJETOS"),"NET","EMPRESARIAL"))</f>
        <v>NET</v>
      </c>
      <c r="Q525" s="37" t="str">
        <f>IF(RES_AB[[#This Row],[Reserva]]="","",IFERROR(VLOOKUP(RES_AB[[#This Row],[Reserva]],Tabela3[[Reserva]:[Descrição do status]],18,FALSE),"CONVENCIONAL"))</f>
        <v>CONVENCIONAL</v>
      </c>
    </row>
    <row r="526" spans="1:17" x14ac:dyDescent="0.25">
      <c r="A526" s="37">
        <v>4382485</v>
      </c>
      <c r="B526" s="37" t="s">
        <v>21</v>
      </c>
      <c r="C526" s="38" t="s">
        <v>19</v>
      </c>
      <c r="D526" s="38">
        <v>45448</v>
      </c>
      <c r="E5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6" s="39">
        <f>IFERROR(VLOOKUP(RES_AB[[#This Row],[Reserva]],Tabela8[[Reserva]:[Usuário]],7,FALSE),Dados!$A$17)</f>
        <v>0.80798611111111107</v>
      </c>
      <c r="G526" s="40">
        <f>IF(RES_AB[[#This Row],[Reserva]]="","",IF(RES_AB[[#This Row],[Hora Int WMS]]&lt;Dados!$A$16,2,2))</f>
        <v>2</v>
      </c>
      <c r="H526" s="40" t="str">
        <f>IF(RES_AB[[#This Row],[Reserva]]="","",IFERROR(VLOOKUP(RES_AB[[#This Row],[Reserva]],Tabela3[[Reserva]:[Condição para Faturamento]],20,FALSE),"IMPORTADO COM SUCESSO"))</f>
        <v>IMPORTADO COM SUCESSO</v>
      </c>
      <c r="I526" s="38">
        <f>IF(RES_AB[[#This Row],[Data base]]="","",WORKDAY(RES_AB[[#This Row],[Data Reserva - Feriado e Fds]],RES_AB[[#This Row],[Dias para atendimento]],Feriados[Data]))</f>
        <v>45450</v>
      </c>
      <c r="J526" s="40" t="str">
        <f ca="1">IF(RES_AB[[#This Row],[Reserva]]="","",CONCATENATE("D+",NETWORKDAYS(RES_AB[[#This Row],[Data Reserva - Feriado e Fds]],TODAY(),Feriados[Data])-1))</f>
        <v>D+2</v>
      </c>
      <c r="K526" s="40" t="str">
        <f ca="1">IF(RES_AB[[#This Row],[Reserva]]="","",CONCATENATE(RES_AB[[#This Row],[Cen.]]," | ",RES_AB[[#This Row],[SLA2]]))</f>
        <v>N190 | D+2</v>
      </c>
      <c r="L526" s="40">
        <f ca="1">IF(RES_AB[[#This Row],[Reserva]]="","",IF(RES_AB[[#This Row],[SLA2]]=RES_AB[[#This Row],[Reserva]]="","",COUNTIF(MB25_VOLUMETRIA[Reserva],RES_AB[[#This Row],[Reserva]])))</f>
        <v>1</v>
      </c>
      <c r="M5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6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6" s="37" t="str">
        <f>IF(RES_AB[[#This Row],[Cen.]]="","",IFERROR(VLOOKUP(RES_AB[[#This Row],[Cen.]],Dados_Empresas[],2,FALSE),"Verificar empresa"))</f>
        <v>NET MASSIVO</v>
      </c>
      <c r="P526" s="37" t="str">
        <f>IF(RES_AB[[#This Row],[Empresa]]="","",IF(OR(RES_AB[[#This Row],[Empresa]]="NET MASSIVO",RES_AB[[#This Row],[Empresa]]="NET PROJETOS"),"NET","EMPRESARIAL"))</f>
        <v>NET</v>
      </c>
      <c r="Q526" s="37" t="str">
        <f>IF(RES_AB[[#This Row],[Reserva]]="","",IFERROR(VLOOKUP(RES_AB[[#This Row],[Reserva]],Tabela3[[Reserva]:[Descrição do status]],18,FALSE),"CONVENCIONAL"))</f>
        <v>CONVENCIONAL</v>
      </c>
    </row>
    <row r="527" spans="1:17" x14ac:dyDescent="0.25">
      <c r="A527" s="37">
        <v>4382486</v>
      </c>
      <c r="B527" s="37" t="s">
        <v>21</v>
      </c>
      <c r="C527" s="38" t="s">
        <v>19</v>
      </c>
      <c r="D527" s="38">
        <v>45448</v>
      </c>
      <c r="E5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7" s="39">
        <f>IFERROR(VLOOKUP(RES_AB[[#This Row],[Reserva]],Tabela8[[Reserva]:[Usuário]],7,FALSE),Dados!$A$17)</f>
        <v>0.80798611111111107</v>
      </c>
      <c r="G527" s="40">
        <f>IF(RES_AB[[#This Row],[Reserva]]="","",IF(RES_AB[[#This Row],[Hora Int WMS]]&lt;Dados!$A$16,2,2))</f>
        <v>2</v>
      </c>
      <c r="H527" s="40" t="str">
        <f>IF(RES_AB[[#This Row],[Reserva]]="","",IFERROR(VLOOKUP(RES_AB[[#This Row],[Reserva]],Tabela3[[Reserva]:[Condição para Faturamento]],20,FALSE),"IMPORTADO COM SUCESSO"))</f>
        <v>IMPORTADO COM SUCESSO</v>
      </c>
      <c r="I527" s="38">
        <f>IF(RES_AB[[#This Row],[Data base]]="","",WORKDAY(RES_AB[[#This Row],[Data Reserva - Feriado e Fds]],RES_AB[[#This Row],[Dias para atendimento]],Feriados[Data]))</f>
        <v>45450</v>
      </c>
      <c r="J527" s="40" t="str">
        <f ca="1">IF(RES_AB[[#This Row],[Reserva]]="","",CONCATENATE("D+",NETWORKDAYS(RES_AB[[#This Row],[Data Reserva - Feriado e Fds]],TODAY(),Feriados[Data])-1))</f>
        <v>D+2</v>
      </c>
      <c r="K527" s="40" t="str">
        <f ca="1">IF(RES_AB[[#This Row],[Reserva]]="","",CONCATENATE(RES_AB[[#This Row],[Cen.]]," | ",RES_AB[[#This Row],[SLA2]]))</f>
        <v>N190 | D+2</v>
      </c>
      <c r="L527" s="40">
        <f ca="1">IF(RES_AB[[#This Row],[Reserva]]="","",IF(RES_AB[[#This Row],[SLA2]]=RES_AB[[#This Row],[Reserva]]="","",COUNTIF(MB25_VOLUMETRIA[Reserva],RES_AB[[#This Row],[Reserva]])))</f>
        <v>1</v>
      </c>
      <c r="M5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7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7" s="37" t="str">
        <f>IF(RES_AB[[#This Row],[Cen.]]="","",IFERROR(VLOOKUP(RES_AB[[#This Row],[Cen.]],Dados_Empresas[],2,FALSE),"Verificar empresa"))</f>
        <v>NET MASSIVO</v>
      </c>
      <c r="P527" s="37" t="str">
        <f>IF(RES_AB[[#This Row],[Empresa]]="","",IF(OR(RES_AB[[#This Row],[Empresa]]="NET MASSIVO",RES_AB[[#This Row],[Empresa]]="NET PROJETOS"),"NET","EMPRESARIAL"))</f>
        <v>NET</v>
      </c>
      <c r="Q527" s="37" t="str">
        <f>IF(RES_AB[[#This Row],[Reserva]]="","",IFERROR(VLOOKUP(RES_AB[[#This Row],[Reserva]],Tabela3[[Reserva]:[Descrição do status]],18,FALSE),"CONVENCIONAL"))</f>
        <v>CONVENCIONAL</v>
      </c>
    </row>
    <row r="528" spans="1:17" x14ac:dyDescent="0.25">
      <c r="A528" s="37">
        <v>4382487</v>
      </c>
      <c r="B528" s="37" t="s">
        <v>21</v>
      </c>
      <c r="C528" s="38" t="s">
        <v>19</v>
      </c>
      <c r="D528" s="38">
        <v>45448</v>
      </c>
      <c r="E5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8" s="39">
        <f>IFERROR(VLOOKUP(RES_AB[[#This Row],[Reserva]],Tabela8[[Reserva]:[Usuário]],7,FALSE),Dados!$A$17)</f>
        <v>0.8081018518518519</v>
      </c>
      <c r="G528" s="40">
        <f>IF(RES_AB[[#This Row],[Reserva]]="","",IF(RES_AB[[#This Row],[Hora Int WMS]]&lt;Dados!$A$16,2,2))</f>
        <v>2</v>
      </c>
      <c r="H528" s="40" t="str">
        <f>IF(RES_AB[[#This Row],[Reserva]]="","",IFERROR(VLOOKUP(RES_AB[[#This Row],[Reserva]],Tabela3[[Reserva]:[Condição para Faturamento]],20,FALSE),"IMPORTADO COM SUCESSO"))</f>
        <v>IMPORTADO COM SUCESSO</v>
      </c>
      <c r="I528" s="38">
        <f>IF(RES_AB[[#This Row],[Data base]]="","",WORKDAY(RES_AB[[#This Row],[Data Reserva - Feriado e Fds]],RES_AB[[#This Row],[Dias para atendimento]],Feriados[Data]))</f>
        <v>45450</v>
      </c>
      <c r="J528" s="40" t="str">
        <f ca="1">IF(RES_AB[[#This Row],[Reserva]]="","",CONCATENATE("D+",NETWORKDAYS(RES_AB[[#This Row],[Data Reserva - Feriado e Fds]],TODAY(),Feriados[Data])-1))</f>
        <v>D+2</v>
      </c>
      <c r="K528" s="40" t="str">
        <f ca="1">IF(RES_AB[[#This Row],[Reserva]]="","",CONCATENATE(RES_AB[[#This Row],[Cen.]]," | ",RES_AB[[#This Row],[SLA2]]))</f>
        <v>N190 | D+2</v>
      </c>
      <c r="L528" s="40">
        <f ca="1">IF(RES_AB[[#This Row],[Reserva]]="","",IF(RES_AB[[#This Row],[SLA2]]=RES_AB[[#This Row],[Reserva]]="","",COUNTIF(MB25_VOLUMETRIA[Reserva],RES_AB[[#This Row],[Reserva]])))</f>
        <v>1</v>
      </c>
      <c r="M5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8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8" s="37" t="str">
        <f>IF(RES_AB[[#This Row],[Cen.]]="","",IFERROR(VLOOKUP(RES_AB[[#This Row],[Cen.]],Dados_Empresas[],2,FALSE),"Verificar empresa"))</f>
        <v>NET MASSIVO</v>
      </c>
      <c r="P528" s="37" t="str">
        <f>IF(RES_AB[[#This Row],[Empresa]]="","",IF(OR(RES_AB[[#This Row],[Empresa]]="NET MASSIVO",RES_AB[[#This Row],[Empresa]]="NET PROJETOS"),"NET","EMPRESARIAL"))</f>
        <v>NET</v>
      </c>
      <c r="Q528" s="37" t="str">
        <f>IF(RES_AB[[#This Row],[Reserva]]="","",IFERROR(VLOOKUP(RES_AB[[#This Row],[Reserva]],Tabela3[[Reserva]:[Descrição do status]],18,FALSE),"CONVENCIONAL"))</f>
        <v>CONVENCIONAL</v>
      </c>
    </row>
    <row r="529" spans="1:17" x14ac:dyDescent="0.25">
      <c r="A529" s="37">
        <v>4382488</v>
      </c>
      <c r="B529" s="37" t="s">
        <v>21</v>
      </c>
      <c r="C529" s="38" t="s">
        <v>19</v>
      </c>
      <c r="D529" s="38">
        <v>45448</v>
      </c>
      <c r="E5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29" s="39">
        <f>IFERROR(VLOOKUP(RES_AB[[#This Row],[Reserva]],Tabela8[[Reserva]:[Usuário]],7,FALSE),Dados!$A$17)</f>
        <v>0.80925925925925923</v>
      </c>
      <c r="G529" s="40">
        <f>IF(RES_AB[[#This Row],[Reserva]]="","",IF(RES_AB[[#This Row],[Hora Int WMS]]&lt;Dados!$A$16,2,2))</f>
        <v>2</v>
      </c>
      <c r="H529" s="40" t="str">
        <f>IF(RES_AB[[#This Row],[Reserva]]="","",IFERROR(VLOOKUP(RES_AB[[#This Row],[Reserva]],Tabela3[[Reserva]:[Condição para Faturamento]],20,FALSE),"IMPORTADO COM SUCESSO"))</f>
        <v>IMPORTADO COM SUCESSO</v>
      </c>
      <c r="I529" s="38">
        <f>IF(RES_AB[[#This Row],[Data base]]="","",WORKDAY(RES_AB[[#This Row],[Data Reserva - Feriado e Fds]],RES_AB[[#This Row],[Dias para atendimento]],Feriados[Data]))</f>
        <v>45450</v>
      </c>
      <c r="J529" s="40" t="str">
        <f ca="1">IF(RES_AB[[#This Row],[Reserva]]="","",CONCATENATE("D+",NETWORKDAYS(RES_AB[[#This Row],[Data Reserva - Feriado e Fds]],TODAY(),Feriados[Data])-1))</f>
        <v>D+2</v>
      </c>
      <c r="K529" s="40" t="str">
        <f ca="1">IF(RES_AB[[#This Row],[Reserva]]="","",CONCATENATE(RES_AB[[#This Row],[Cen.]]," | ",RES_AB[[#This Row],[SLA2]]))</f>
        <v>N190 | D+2</v>
      </c>
      <c r="L529" s="40">
        <f ca="1">IF(RES_AB[[#This Row],[Reserva]]="","",IF(RES_AB[[#This Row],[SLA2]]=RES_AB[[#This Row],[Reserva]]="","",COUNTIF(MB25_VOLUMETRIA[Reserva],RES_AB[[#This Row],[Reserva]])))</f>
        <v>1</v>
      </c>
      <c r="M5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29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29" s="37" t="str">
        <f>IF(RES_AB[[#This Row],[Cen.]]="","",IFERROR(VLOOKUP(RES_AB[[#This Row],[Cen.]],Dados_Empresas[],2,FALSE),"Verificar empresa"))</f>
        <v>NET MASSIVO</v>
      </c>
      <c r="P529" s="37" t="str">
        <f>IF(RES_AB[[#This Row],[Empresa]]="","",IF(OR(RES_AB[[#This Row],[Empresa]]="NET MASSIVO",RES_AB[[#This Row],[Empresa]]="NET PROJETOS"),"NET","EMPRESARIAL"))</f>
        <v>NET</v>
      </c>
      <c r="Q529" s="37" t="str">
        <f>IF(RES_AB[[#This Row],[Reserva]]="","",IFERROR(VLOOKUP(RES_AB[[#This Row],[Reserva]],Tabela3[[Reserva]:[Descrição do status]],18,FALSE),"CONVENCIONAL"))</f>
        <v>CONVENCIONAL</v>
      </c>
    </row>
    <row r="530" spans="1:17" x14ac:dyDescent="0.25">
      <c r="A530" s="37">
        <v>4382489</v>
      </c>
      <c r="B530" s="37" t="s">
        <v>21</v>
      </c>
      <c r="C530" s="38" t="s">
        <v>19</v>
      </c>
      <c r="D530" s="38">
        <v>45448</v>
      </c>
      <c r="E5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0" s="39">
        <f>IFERROR(VLOOKUP(RES_AB[[#This Row],[Reserva]],Tabela8[[Reserva]:[Usuário]],7,FALSE),Dados!$A$17)</f>
        <v>0.80925925925925923</v>
      </c>
      <c r="G530" s="40">
        <f>IF(RES_AB[[#This Row],[Reserva]]="","",IF(RES_AB[[#This Row],[Hora Int WMS]]&lt;Dados!$A$16,2,2))</f>
        <v>2</v>
      </c>
      <c r="H530" s="40" t="str">
        <f>IF(RES_AB[[#This Row],[Reserva]]="","",IFERROR(VLOOKUP(RES_AB[[#This Row],[Reserva]],Tabela3[[Reserva]:[Condição para Faturamento]],20,FALSE),"IMPORTADO COM SUCESSO"))</f>
        <v>IMPORTADO COM SUCESSO</v>
      </c>
      <c r="I530" s="38">
        <f>IF(RES_AB[[#This Row],[Data base]]="","",WORKDAY(RES_AB[[#This Row],[Data Reserva - Feriado e Fds]],RES_AB[[#This Row],[Dias para atendimento]],Feriados[Data]))</f>
        <v>45450</v>
      </c>
      <c r="J530" s="40" t="str">
        <f ca="1">IF(RES_AB[[#This Row],[Reserva]]="","",CONCATENATE("D+",NETWORKDAYS(RES_AB[[#This Row],[Data Reserva - Feriado e Fds]],TODAY(),Feriados[Data])-1))</f>
        <v>D+2</v>
      </c>
      <c r="K530" s="40" t="str">
        <f ca="1">IF(RES_AB[[#This Row],[Reserva]]="","",CONCATENATE(RES_AB[[#This Row],[Cen.]]," | ",RES_AB[[#This Row],[SLA2]]))</f>
        <v>N190 | D+2</v>
      </c>
      <c r="L530" s="40">
        <f ca="1">IF(RES_AB[[#This Row],[Reserva]]="","",IF(RES_AB[[#This Row],[SLA2]]=RES_AB[[#This Row],[Reserva]]="","",COUNTIF(MB25_VOLUMETRIA[Reserva],RES_AB[[#This Row],[Reserva]])))</f>
        <v>1</v>
      </c>
      <c r="M5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0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0" s="37" t="str">
        <f>IF(RES_AB[[#This Row],[Cen.]]="","",IFERROR(VLOOKUP(RES_AB[[#This Row],[Cen.]],Dados_Empresas[],2,FALSE),"Verificar empresa"))</f>
        <v>NET MASSIVO</v>
      </c>
      <c r="P530" s="37" t="str">
        <f>IF(RES_AB[[#This Row],[Empresa]]="","",IF(OR(RES_AB[[#This Row],[Empresa]]="NET MASSIVO",RES_AB[[#This Row],[Empresa]]="NET PROJETOS"),"NET","EMPRESARIAL"))</f>
        <v>NET</v>
      </c>
      <c r="Q530" s="37" t="str">
        <f>IF(RES_AB[[#This Row],[Reserva]]="","",IFERROR(VLOOKUP(RES_AB[[#This Row],[Reserva]],Tabela3[[Reserva]:[Descrição do status]],18,FALSE),"CONVENCIONAL"))</f>
        <v>CONVENCIONAL</v>
      </c>
    </row>
    <row r="531" spans="1:17" x14ac:dyDescent="0.25">
      <c r="A531" s="37">
        <v>4382490</v>
      </c>
      <c r="B531" s="37" t="s">
        <v>21</v>
      </c>
      <c r="C531" s="38" t="s">
        <v>19</v>
      </c>
      <c r="D531" s="38">
        <v>45448</v>
      </c>
      <c r="E5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1" s="39">
        <f>IFERROR(VLOOKUP(RES_AB[[#This Row],[Reserva]],Tabela8[[Reserva]:[Usuário]],7,FALSE),Dados!$A$17)</f>
        <v>0.80937499999999996</v>
      </c>
      <c r="G531" s="40">
        <f>IF(RES_AB[[#This Row],[Reserva]]="","",IF(RES_AB[[#This Row],[Hora Int WMS]]&lt;Dados!$A$16,2,2))</f>
        <v>2</v>
      </c>
      <c r="H531" s="40" t="str">
        <f>IF(RES_AB[[#This Row],[Reserva]]="","",IFERROR(VLOOKUP(RES_AB[[#This Row],[Reserva]],Tabela3[[Reserva]:[Condição para Faturamento]],20,FALSE),"IMPORTADO COM SUCESSO"))</f>
        <v>IMPORTADO COM SUCESSO</v>
      </c>
      <c r="I531" s="38">
        <f>IF(RES_AB[[#This Row],[Data base]]="","",WORKDAY(RES_AB[[#This Row],[Data Reserva - Feriado e Fds]],RES_AB[[#This Row],[Dias para atendimento]],Feriados[Data]))</f>
        <v>45450</v>
      </c>
      <c r="J531" s="40" t="str">
        <f ca="1">IF(RES_AB[[#This Row],[Reserva]]="","",CONCATENATE("D+",NETWORKDAYS(RES_AB[[#This Row],[Data Reserva - Feriado e Fds]],TODAY(),Feriados[Data])-1))</f>
        <v>D+2</v>
      </c>
      <c r="K531" s="40" t="str">
        <f ca="1">IF(RES_AB[[#This Row],[Reserva]]="","",CONCATENATE(RES_AB[[#This Row],[Cen.]]," | ",RES_AB[[#This Row],[SLA2]]))</f>
        <v>N190 | D+2</v>
      </c>
      <c r="L531" s="40">
        <f ca="1">IF(RES_AB[[#This Row],[Reserva]]="","",IF(RES_AB[[#This Row],[SLA2]]=RES_AB[[#This Row],[Reserva]]="","",COUNTIF(MB25_VOLUMETRIA[Reserva],RES_AB[[#This Row],[Reserva]])))</f>
        <v>1</v>
      </c>
      <c r="M5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1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1" s="37" t="str">
        <f>IF(RES_AB[[#This Row],[Cen.]]="","",IFERROR(VLOOKUP(RES_AB[[#This Row],[Cen.]],Dados_Empresas[],2,FALSE),"Verificar empresa"))</f>
        <v>NET MASSIVO</v>
      </c>
      <c r="P531" s="37" t="str">
        <f>IF(RES_AB[[#This Row],[Empresa]]="","",IF(OR(RES_AB[[#This Row],[Empresa]]="NET MASSIVO",RES_AB[[#This Row],[Empresa]]="NET PROJETOS"),"NET","EMPRESARIAL"))</f>
        <v>NET</v>
      </c>
      <c r="Q531" s="37" t="str">
        <f>IF(RES_AB[[#This Row],[Reserva]]="","",IFERROR(VLOOKUP(RES_AB[[#This Row],[Reserva]],Tabela3[[Reserva]:[Descrição do status]],18,FALSE),"CONVENCIONAL"))</f>
        <v>CONVENCIONAL</v>
      </c>
    </row>
    <row r="532" spans="1:17" x14ac:dyDescent="0.25">
      <c r="A532" s="37">
        <v>4382491</v>
      </c>
      <c r="B532" s="37" t="s">
        <v>21</v>
      </c>
      <c r="C532" s="38" t="s">
        <v>21</v>
      </c>
      <c r="D532" s="38">
        <v>45448</v>
      </c>
      <c r="E5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2" s="39">
        <f>IFERROR(VLOOKUP(RES_AB[[#This Row],[Reserva]],Tabela8[[Reserva]:[Usuário]],7,FALSE),Dados!$A$17)</f>
        <v>0.80937499999999996</v>
      </c>
      <c r="G532" s="40">
        <f>IF(RES_AB[[#This Row],[Reserva]]="","",IF(RES_AB[[#This Row],[Hora Int WMS]]&lt;Dados!$A$16,2,2))</f>
        <v>2</v>
      </c>
      <c r="H532" s="40" t="str">
        <f>IF(RES_AB[[#This Row],[Reserva]]="","",IFERROR(VLOOKUP(RES_AB[[#This Row],[Reserva]],Tabela3[[Reserva]:[Condição para Faturamento]],20,FALSE),"IMPORTADO COM SUCESSO"))</f>
        <v>IMPORTADO COM SUCESSO</v>
      </c>
      <c r="I532" s="38">
        <f>IF(RES_AB[[#This Row],[Data base]]="","",WORKDAY(RES_AB[[#This Row],[Data Reserva - Feriado e Fds]],RES_AB[[#This Row],[Dias para atendimento]],Feriados[Data]))</f>
        <v>45450</v>
      </c>
      <c r="J532" s="40" t="str">
        <f ca="1">IF(RES_AB[[#This Row],[Reserva]]="","",CONCATENATE("D+",NETWORKDAYS(RES_AB[[#This Row],[Data Reserva - Feriado e Fds]],TODAY(),Feriados[Data])-1))</f>
        <v>D+2</v>
      </c>
      <c r="K532" s="40" t="str">
        <f ca="1">IF(RES_AB[[#This Row],[Reserva]]="","",CONCATENATE(RES_AB[[#This Row],[Cen.]]," | ",RES_AB[[#This Row],[SLA2]]))</f>
        <v>N190 | D+2</v>
      </c>
      <c r="L532" s="40">
        <f ca="1">IF(RES_AB[[#This Row],[Reserva]]="","",IF(RES_AB[[#This Row],[SLA2]]=RES_AB[[#This Row],[Reserva]]="","",COUNTIF(MB25_VOLUMETRIA[Reserva],RES_AB[[#This Row],[Reserva]])))</f>
        <v>2</v>
      </c>
      <c r="M5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2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2" s="37" t="str">
        <f>IF(RES_AB[[#This Row],[Cen.]]="","",IFERROR(VLOOKUP(RES_AB[[#This Row],[Cen.]],Dados_Empresas[],2,FALSE),"Verificar empresa"))</f>
        <v>NET MASSIVO</v>
      </c>
      <c r="P532" s="37" t="str">
        <f>IF(RES_AB[[#This Row],[Empresa]]="","",IF(OR(RES_AB[[#This Row],[Empresa]]="NET MASSIVO",RES_AB[[#This Row],[Empresa]]="NET PROJETOS"),"NET","EMPRESARIAL"))</f>
        <v>NET</v>
      </c>
      <c r="Q532" s="37" t="str">
        <f>IF(RES_AB[[#This Row],[Reserva]]="","",IFERROR(VLOOKUP(RES_AB[[#This Row],[Reserva]],Tabela3[[Reserva]:[Descrição do status]],18,FALSE),"CONVENCIONAL"))</f>
        <v>CONVENCIONAL</v>
      </c>
    </row>
    <row r="533" spans="1:17" x14ac:dyDescent="0.25">
      <c r="A533" s="37">
        <v>4382492</v>
      </c>
      <c r="B533" s="37" t="s">
        <v>21</v>
      </c>
      <c r="C533" s="38" t="s">
        <v>19</v>
      </c>
      <c r="D533" s="38">
        <v>45448</v>
      </c>
      <c r="E5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45448</v>
      </c>
      <c r="F533" s="39">
        <f>IFERROR(VLOOKUP(RES_AB[[#This Row],[Reserva]],Tabela8[[Reserva]:[Usuário]],7,FALSE),Dados!$A$17)</f>
        <v>0.80949074074074079</v>
      </c>
      <c r="G533" s="40">
        <f>IF(RES_AB[[#This Row],[Reserva]]="","",IF(RES_AB[[#This Row],[Hora Int WMS]]&lt;Dados!$A$16,2,2))</f>
        <v>2</v>
      </c>
      <c r="H533" s="40" t="str">
        <f>IF(RES_AB[[#This Row],[Reserva]]="","",IFERROR(VLOOKUP(RES_AB[[#This Row],[Reserva]],Tabela3[[Reserva]:[Condição para Faturamento]],20,FALSE),"IMPORTADO COM SUCESSO"))</f>
        <v>IMPORTADO COM SUCESSO</v>
      </c>
      <c r="I533" s="38">
        <f>IF(RES_AB[[#This Row],[Data base]]="","",WORKDAY(RES_AB[[#This Row],[Data Reserva - Feriado e Fds]],RES_AB[[#This Row],[Dias para atendimento]],Feriados[Data]))</f>
        <v>45450</v>
      </c>
      <c r="J533" s="40" t="str">
        <f ca="1">IF(RES_AB[[#This Row],[Reserva]]="","",CONCATENATE("D+",NETWORKDAYS(RES_AB[[#This Row],[Data Reserva - Feriado e Fds]],TODAY(),Feriados[Data])-1))</f>
        <v>D+2</v>
      </c>
      <c r="K533" s="40" t="str">
        <f ca="1">IF(RES_AB[[#This Row],[Reserva]]="","",CONCATENATE(RES_AB[[#This Row],[Cen.]]," | ",RES_AB[[#This Row],[SLA2]]))</f>
        <v>N190 | D+2</v>
      </c>
      <c r="L533" s="40">
        <f ca="1">IF(RES_AB[[#This Row],[Reserva]]="","",IF(RES_AB[[#This Row],[SLA2]]=RES_AB[[#This Row],[Reserva]]="","",COUNTIF(MB25_VOLUMETRIA[Reserva],RES_AB[[#This Row],[Reserva]])))</f>
        <v>1</v>
      </c>
      <c r="M5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3" s="37" t="str">
        <f ca="1">IF(RES_AB[[#This Row],[Reserva]]="","",IF(RES_AB[[#This Row],[Previsão de Faturamento]]&lt;TODAY(),"RESERVAS EM ATRASO",IF(RES_AB[[#This Row],[Previsão de Faturamento]]=TODAY(),"PLANO DO DIA","RESERVAS PENDENTES")))</f>
        <v>PLANO DO DIA</v>
      </c>
      <c r="O533" s="37" t="str">
        <f>IF(RES_AB[[#This Row],[Cen.]]="","",IFERROR(VLOOKUP(RES_AB[[#This Row],[Cen.]],Dados_Empresas[],2,FALSE),"Verificar empresa"))</f>
        <v>NET MASSIVO</v>
      </c>
      <c r="P533" s="37" t="str">
        <f>IF(RES_AB[[#This Row],[Empresa]]="","",IF(OR(RES_AB[[#This Row],[Empresa]]="NET MASSIVO",RES_AB[[#This Row],[Empresa]]="NET PROJETOS"),"NET","EMPRESARIAL"))</f>
        <v>NET</v>
      </c>
      <c r="Q533" s="37" t="str">
        <f>IF(RES_AB[[#This Row],[Reserva]]="","",IFERROR(VLOOKUP(RES_AB[[#This Row],[Reserva]],Tabela3[[Reserva]:[Descrição do status]],18,FALSE),"CONVENCIONAL"))</f>
        <v>CONVENCIONAL</v>
      </c>
    </row>
    <row r="534" spans="1:17" x14ac:dyDescent="0.25">
      <c r="A534" s="37">
        <v>4382772</v>
      </c>
      <c r="B534" s="37" t="s">
        <v>21</v>
      </c>
      <c r="C534" s="38" t="s">
        <v>21</v>
      </c>
      <c r="D534" s="38">
        <v>45449</v>
      </c>
      <c r="E5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4" s="39">
        <f>IFERROR(VLOOKUP(RES_AB[[#This Row],[Reserva]],Tabela8[[Reserva]:[Usuário]],7,FALSE),Dados!$A$17)</f>
        <v>0.33333333333333331</v>
      </c>
      <c r="G534" s="40">
        <f>IF(RES_AB[[#This Row],[Reserva]]="","",IF(RES_AB[[#This Row],[Hora Int WMS]]&lt;Dados!$A$16,2,2))</f>
        <v>2</v>
      </c>
      <c r="H534" s="40" t="str">
        <f>IF(RES_AB[[#This Row],[Reserva]]="","",IFERROR(VLOOKUP(RES_AB[[#This Row],[Reserva]],Tabela3[[Reserva]:[Condição para Faturamento]],20,FALSE),"IMPORTADO COM SUCESSO"))</f>
        <v>IMPORTADO COM SUCESSO</v>
      </c>
      <c r="I534" s="38">
        <f>IF(RES_AB[[#This Row],[Data base]]="","",WORKDAY(RES_AB[[#This Row],[Data Reserva - Feriado e Fds]],RES_AB[[#This Row],[Dias para atendimento]],Feriados[Data]))</f>
        <v>45453</v>
      </c>
      <c r="J534" s="40" t="str">
        <f ca="1">IF(RES_AB[[#This Row],[Reserva]]="","",CONCATENATE("D+",NETWORKDAYS(RES_AB[[#This Row],[Data Reserva - Feriado e Fds]],TODAY(),Feriados[Data])-1))</f>
        <v>D+1</v>
      </c>
      <c r="K534" s="40" t="str">
        <f ca="1">IF(RES_AB[[#This Row],[Reserva]]="","",CONCATENATE(RES_AB[[#This Row],[Cen.]]," | ",RES_AB[[#This Row],[SLA2]]))</f>
        <v>N190 | D+1</v>
      </c>
      <c r="L534" s="40">
        <f ca="1">IF(RES_AB[[#This Row],[Reserva]]="","",IF(RES_AB[[#This Row],[SLA2]]=RES_AB[[#This Row],[Reserva]]="","",COUNTIF(MB25_VOLUMETRIA[Reserva],RES_AB[[#This Row],[Reserva]])))</f>
        <v>1</v>
      </c>
      <c r="M5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4" s="37" t="str">
        <f>IF(RES_AB[[#This Row],[Cen.]]="","",IFERROR(VLOOKUP(RES_AB[[#This Row],[Cen.]],Dados_Empresas[],2,FALSE),"Verificar empresa"))</f>
        <v>NET MASSIVO</v>
      </c>
      <c r="P534" s="37" t="str">
        <f>IF(RES_AB[[#This Row],[Empresa]]="","",IF(OR(RES_AB[[#This Row],[Empresa]]="NET MASSIVO",RES_AB[[#This Row],[Empresa]]="NET PROJETOS"),"NET","EMPRESARIAL"))</f>
        <v>NET</v>
      </c>
      <c r="Q534" s="37" t="str">
        <f>IF(RES_AB[[#This Row],[Reserva]]="","",IFERROR(VLOOKUP(RES_AB[[#This Row],[Reserva]],Tabela3[[Reserva]:[Descrição do status]],18,FALSE),"CONVENCIONAL"))</f>
        <v>CONVENCIONAL</v>
      </c>
    </row>
    <row r="535" spans="1:17" x14ac:dyDescent="0.25">
      <c r="A535" s="37">
        <v>4382811</v>
      </c>
      <c r="B535" s="37" t="s">
        <v>21</v>
      </c>
      <c r="C535" s="38" t="s">
        <v>21</v>
      </c>
      <c r="D535" s="38">
        <v>45449</v>
      </c>
      <c r="E5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5" s="39">
        <f>IFERROR(VLOOKUP(RES_AB[[#This Row],[Reserva]],Tabela8[[Reserva]:[Usuário]],7,FALSE),Dados!$A$17)</f>
        <v>0.43275462962962963</v>
      </c>
      <c r="G535" s="40">
        <f>IF(RES_AB[[#This Row],[Reserva]]="","",IF(RES_AB[[#This Row],[Hora Int WMS]]&lt;Dados!$A$16,2,2))</f>
        <v>2</v>
      </c>
      <c r="H535" s="40" t="str">
        <f>IF(RES_AB[[#This Row],[Reserva]]="","",IFERROR(VLOOKUP(RES_AB[[#This Row],[Reserva]],Tabela3[[Reserva]:[Condição para Faturamento]],20,FALSE),"IMPORTADO COM SUCESSO"))</f>
        <v>IMPORTADO COM SUCESSO</v>
      </c>
      <c r="I535" s="38">
        <f>IF(RES_AB[[#This Row],[Data base]]="","",WORKDAY(RES_AB[[#This Row],[Data Reserva - Feriado e Fds]],RES_AB[[#This Row],[Dias para atendimento]],Feriados[Data]))</f>
        <v>45453</v>
      </c>
      <c r="J535" s="40" t="str">
        <f ca="1">IF(RES_AB[[#This Row],[Reserva]]="","",CONCATENATE("D+",NETWORKDAYS(RES_AB[[#This Row],[Data Reserva - Feriado e Fds]],TODAY(),Feriados[Data])-1))</f>
        <v>D+1</v>
      </c>
      <c r="K535" s="40" t="str">
        <f ca="1">IF(RES_AB[[#This Row],[Reserva]]="","",CONCATENATE(RES_AB[[#This Row],[Cen.]]," | ",RES_AB[[#This Row],[SLA2]]))</f>
        <v>N190 | D+1</v>
      </c>
      <c r="L535" s="40">
        <f ca="1">IF(RES_AB[[#This Row],[Reserva]]="","",IF(RES_AB[[#This Row],[SLA2]]=RES_AB[[#This Row],[Reserva]]="","",COUNTIF(MB25_VOLUMETRIA[Reserva],RES_AB[[#This Row],[Reserva]])))</f>
        <v>1</v>
      </c>
      <c r="M5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5" s="37" t="str">
        <f>IF(RES_AB[[#This Row],[Cen.]]="","",IFERROR(VLOOKUP(RES_AB[[#This Row],[Cen.]],Dados_Empresas[],2,FALSE),"Verificar empresa"))</f>
        <v>NET MASSIVO</v>
      </c>
      <c r="P535" s="37" t="str">
        <f>IF(RES_AB[[#This Row],[Empresa]]="","",IF(OR(RES_AB[[#This Row],[Empresa]]="NET MASSIVO",RES_AB[[#This Row],[Empresa]]="NET PROJETOS"),"NET","EMPRESARIAL"))</f>
        <v>NET</v>
      </c>
      <c r="Q535" s="37" t="str">
        <f>IF(RES_AB[[#This Row],[Reserva]]="","",IFERROR(VLOOKUP(RES_AB[[#This Row],[Reserva]],Tabela3[[Reserva]:[Descrição do status]],18,FALSE),"CONVENCIONAL"))</f>
        <v>CONVENCIONAL</v>
      </c>
    </row>
    <row r="536" spans="1:17" x14ac:dyDescent="0.25">
      <c r="A536" s="37">
        <v>4383406</v>
      </c>
      <c r="B536" s="37" t="s">
        <v>21</v>
      </c>
      <c r="C536" s="38" t="s">
        <v>21</v>
      </c>
      <c r="D536" s="38">
        <v>45449</v>
      </c>
      <c r="E5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6" s="39">
        <f>IFERROR(VLOOKUP(RES_AB[[#This Row],[Reserva]],Tabela8[[Reserva]:[Usuário]],7,FALSE),Dados!$A$17)</f>
        <v>0.33333333333333331</v>
      </c>
      <c r="G536" s="40">
        <f>IF(RES_AB[[#This Row],[Reserva]]="","",IF(RES_AB[[#This Row],[Hora Int WMS]]&lt;Dados!$A$16,2,2))</f>
        <v>2</v>
      </c>
      <c r="H536" s="40" t="str">
        <f>IF(RES_AB[[#This Row],[Reserva]]="","",IFERROR(VLOOKUP(RES_AB[[#This Row],[Reserva]],Tabela3[[Reserva]:[Condição para Faturamento]],20,FALSE),"IMPORTADO COM SUCESSO"))</f>
        <v>IMPORTADO COM SUCESSO</v>
      </c>
      <c r="I536" s="38">
        <f>IF(RES_AB[[#This Row],[Data base]]="","",WORKDAY(RES_AB[[#This Row],[Data Reserva - Feriado e Fds]],RES_AB[[#This Row],[Dias para atendimento]],Feriados[Data]))</f>
        <v>45453</v>
      </c>
      <c r="J536" s="40" t="str">
        <f ca="1">IF(RES_AB[[#This Row],[Reserva]]="","",CONCATENATE("D+",NETWORKDAYS(RES_AB[[#This Row],[Data Reserva - Feriado e Fds]],TODAY(),Feriados[Data])-1))</f>
        <v>D+1</v>
      </c>
      <c r="K536" s="40" t="str">
        <f ca="1">IF(RES_AB[[#This Row],[Reserva]]="","",CONCATENATE(RES_AB[[#This Row],[Cen.]]," | ",RES_AB[[#This Row],[SLA2]]))</f>
        <v>N190 | D+1</v>
      </c>
      <c r="L536" s="40">
        <f ca="1">IF(RES_AB[[#This Row],[Reserva]]="","",IF(RES_AB[[#This Row],[SLA2]]=RES_AB[[#This Row],[Reserva]]="","",COUNTIF(MB25_VOLUMETRIA[Reserva],RES_AB[[#This Row],[Reserva]])))</f>
        <v>1</v>
      </c>
      <c r="M5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6" s="37" t="str">
        <f>IF(RES_AB[[#This Row],[Cen.]]="","",IFERROR(VLOOKUP(RES_AB[[#This Row],[Cen.]],Dados_Empresas[],2,FALSE),"Verificar empresa"))</f>
        <v>NET MASSIVO</v>
      </c>
      <c r="P536" s="37" t="str">
        <f>IF(RES_AB[[#This Row],[Empresa]]="","",IF(OR(RES_AB[[#This Row],[Empresa]]="NET MASSIVO",RES_AB[[#This Row],[Empresa]]="NET PROJETOS"),"NET","EMPRESARIAL"))</f>
        <v>NET</v>
      </c>
      <c r="Q536" s="37" t="str">
        <f>IF(RES_AB[[#This Row],[Reserva]]="","",IFERROR(VLOOKUP(RES_AB[[#This Row],[Reserva]],Tabela3[[Reserva]:[Descrição do status]],18,FALSE),"CONVENCIONAL"))</f>
        <v>CONVENCIONAL</v>
      </c>
    </row>
    <row r="537" spans="1:17" x14ac:dyDescent="0.25">
      <c r="A537" s="37">
        <v>4383638</v>
      </c>
      <c r="B537" s="37" t="s">
        <v>21</v>
      </c>
      <c r="C537" s="38" t="s">
        <v>19</v>
      </c>
      <c r="D537" s="38">
        <v>45449</v>
      </c>
      <c r="E5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7" s="39">
        <f>IFERROR(VLOOKUP(RES_AB[[#This Row],[Reserva]],Tabela8[[Reserva]:[Usuário]],7,FALSE),Dados!$A$17)</f>
        <v>0.33333333333333331</v>
      </c>
      <c r="G537" s="40">
        <f>IF(RES_AB[[#This Row],[Reserva]]="","",IF(RES_AB[[#This Row],[Hora Int WMS]]&lt;Dados!$A$16,2,2))</f>
        <v>2</v>
      </c>
      <c r="H537" s="40" t="str">
        <f>IF(RES_AB[[#This Row],[Reserva]]="","",IFERROR(VLOOKUP(RES_AB[[#This Row],[Reserva]],Tabela3[[Reserva]:[Condição para Faturamento]],20,FALSE),"IMPORTADO COM SUCESSO"))</f>
        <v>IMPORTADO COM SUCESSO</v>
      </c>
      <c r="I537" s="38">
        <f>IF(RES_AB[[#This Row],[Data base]]="","",WORKDAY(RES_AB[[#This Row],[Data Reserva - Feriado e Fds]],RES_AB[[#This Row],[Dias para atendimento]],Feriados[Data]))</f>
        <v>45453</v>
      </c>
      <c r="J537" s="40" t="str">
        <f ca="1">IF(RES_AB[[#This Row],[Reserva]]="","",CONCATENATE("D+",NETWORKDAYS(RES_AB[[#This Row],[Data Reserva - Feriado e Fds]],TODAY(),Feriados[Data])-1))</f>
        <v>D+1</v>
      </c>
      <c r="K537" s="40" t="str">
        <f ca="1">IF(RES_AB[[#This Row],[Reserva]]="","",CONCATENATE(RES_AB[[#This Row],[Cen.]]," | ",RES_AB[[#This Row],[SLA2]]))</f>
        <v>N190 | D+1</v>
      </c>
      <c r="L537" s="40">
        <f ca="1">IF(RES_AB[[#This Row],[Reserva]]="","",IF(RES_AB[[#This Row],[SLA2]]=RES_AB[[#This Row],[Reserva]]="","",COUNTIF(MB25_VOLUMETRIA[Reserva],RES_AB[[#This Row],[Reserva]])))</f>
        <v>3</v>
      </c>
      <c r="M5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7" s="37" t="str">
        <f>IF(RES_AB[[#This Row],[Cen.]]="","",IFERROR(VLOOKUP(RES_AB[[#This Row],[Cen.]],Dados_Empresas[],2,FALSE),"Verificar empresa"))</f>
        <v>NET MASSIVO</v>
      </c>
      <c r="P537" s="37" t="str">
        <f>IF(RES_AB[[#This Row],[Empresa]]="","",IF(OR(RES_AB[[#This Row],[Empresa]]="NET MASSIVO",RES_AB[[#This Row],[Empresa]]="NET PROJETOS"),"NET","EMPRESARIAL"))</f>
        <v>NET</v>
      </c>
      <c r="Q537" s="37" t="str">
        <f>IF(RES_AB[[#This Row],[Reserva]]="","",IFERROR(VLOOKUP(RES_AB[[#This Row],[Reserva]],Tabela3[[Reserva]:[Descrição do status]],18,FALSE),"CONVENCIONAL"))</f>
        <v>CONVENCIONAL</v>
      </c>
    </row>
    <row r="538" spans="1:17" x14ac:dyDescent="0.25">
      <c r="A538" s="37">
        <v>4383639</v>
      </c>
      <c r="B538" s="37" t="s">
        <v>21</v>
      </c>
      <c r="C538" s="38" t="s">
        <v>19</v>
      </c>
      <c r="D538" s="38">
        <v>45449</v>
      </c>
      <c r="E5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8" s="39">
        <f>IFERROR(VLOOKUP(RES_AB[[#This Row],[Reserva]],Tabela8[[Reserva]:[Usuário]],7,FALSE),Dados!$A$17)</f>
        <v>0.33333333333333331</v>
      </c>
      <c r="G538" s="40">
        <f>IF(RES_AB[[#This Row],[Reserva]]="","",IF(RES_AB[[#This Row],[Hora Int WMS]]&lt;Dados!$A$16,2,2))</f>
        <v>2</v>
      </c>
      <c r="H538" s="40" t="str">
        <f>IF(RES_AB[[#This Row],[Reserva]]="","",IFERROR(VLOOKUP(RES_AB[[#This Row],[Reserva]],Tabela3[[Reserva]:[Condição para Faturamento]],20,FALSE),"IMPORTADO COM SUCESSO"))</f>
        <v>IMPORTADO COM SUCESSO</v>
      </c>
      <c r="I538" s="38">
        <f>IF(RES_AB[[#This Row],[Data base]]="","",WORKDAY(RES_AB[[#This Row],[Data Reserva - Feriado e Fds]],RES_AB[[#This Row],[Dias para atendimento]],Feriados[Data]))</f>
        <v>45453</v>
      </c>
      <c r="J538" s="40" t="str">
        <f ca="1">IF(RES_AB[[#This Row],[Reserva]]="","",CONCATENATE("D+",NETWORKDAYS(RES_AB[[#This Row],[Data Reserva - Feriado e Fds]],TODAY(),Feriados[Data])-1))</f>
        <v>D+1</v>
      </c>
      <c r="K538" s="40" t="str">
        <f ca="1">IF(RES_AB[[#This Row],[Reserva]]="","",CONCATENATE(RES_AB[[#This Row],[Cen.]]," | ",RES_AB[[#This Row],[SLA2]]))</f>
        <v>N190 | D+1</v>
      </c>
      <c r="L538" s="40">
        <f ca="1">IF(RES_AB[[#This Row],[Reserva]]="","",IF(RES_AB[[#This Row],[SLA2]]=RES_AB[[#This Row],[Reserva]]="","",COUNTIF(MB25_VOLUMETRIA[Reserva],RES_AB[[#This Row],[Reserva]])))</f>
        <v>3</v>
      </c>
      <c r="M5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8" s="37" t="str">
        <f>IF(RES_AB[[#This Row],[Cen.]]="","",IFERROR(VLOOKUP(RES_AB[[#This Row],[Cen.]],Dados_Empresas[],2,FALSE),"Verificar empresa"))</f>
        <v>NET MASSIVO</v>
      </c>
      <c r="P538" s="37" t="str">
        <f>IF(RES_AB[[#This Row],[Empresa]]="","",IF(OR(RES_AB[[#This Row],[Empresa]]="NET MASSIVO",RES_AB[[#This Row],[Empresa]]="NET PROJETOS"),"NET","EMPRESARIAL"))</f>
        <v>NET</v>
      </c>
      <c r="Q538" s="37" t="str">
        <f>IF(RES_AB[[#This Row],[Reserva]]="","",IFERROR(VLOOKUP(RES_AB[[#This Row],[Reserva]],Tabela3[[Reserva]:[Descrição do status]],18,FALSE),"CONVENCIONAL"))</f>
        <v>CONVENCIONAL</v>
      </c>
    </row>
    <row r="539" spans="1:17" x14ac:dyDescent="0.25">
      <c r="A539" s="37">
        <v>4383640</v>
      </c>
      <c r="B539" s="37" t="s">
        <v>21</v>
      </c>
      <c r="C539" s="38" t="s">
        <v>19</v>
      </c>
      <c r="D539" s="38">
        <v>45449</v>
      </c>
      <c r="E5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39" s="39">
        <f>IFERROR(VLOOKUP(RES_AB[[#This Row],[Reserva]],Tabela8[[Reserva]:[Usuário]],7,FALSE),Dados!$A$17)</f>
        <v>0.33333333333333331</v>
      </c>
      <c r="G539" s="40">
        <f>IF(RES_AB[[#This Row],[Reserva]]="","",IF(RES_AB[[#This Row],[Hora Int WMS]]&lt;Dados!$A$16,2,2))</f>
        <v>2</v>
      </c>
      <c r="H539" s="40" t="str">
        <f>IF(RES_AB[[#This Row],[Reserva]]="","",IFERROR(VLOOKUP(RES_AB[[#This Row],[Reserva]],Tabela3[[Reserva]:[Condição para Faturamento]],20,FALSE),"IMPORTADO COM SUCESSO"))</f>
        <v>IMPORTADO COM SUCESSO</v>
      </c>
      <c r="I539" s="38">
        <f>IF(RES_AB[[#This Row],[Data base]]="","",WORKDAY(RES_AB[[#This Row],[Data Reserva - Feriado e Fds]],RES_AB[[#This Row],[Dias para atendimento]],Feriados[Data]))</f>
        <v>45453</v>
      </c>
      <c r="J539" s="40" t="str">
        <f ca="1">IF(RES_AB[[#This Row],[Reserva]]="","",CONCATENATE("D+",NETWORKDAYS(RES_AB[[#This Row],[Data Reserva - Feriado e Fds]],TODAY(),Feriados[Data])-1))</f>
        <v>D+1</v>
      </c>
      <c r="K539" s="40" t="str">
        <f ca="1">IF(RES_AB[[#This Row],[Reserva]]="","",CONCATENATE(RES_AB[[#This Row],[Cen.]]," | ",RES_AB[[#This Row],[SLA2]]))</f>
        <v>N190 | D+1</v>
      </c>
      <c r="L539" s="40">
        <f ca="1">IF(RES_AB[[#This Row],[Reserva]]="","",IF(RES_AB[[#This Row],[SLA2]]=RES_AB[[#This Row],[Reserva]]="","",COUNTIF(MB25_VOLUMETRIA[Reserva],RES_AB[[#This Row],[Reserva]])))</f>
        <v>4</v>
      </c>
      <c r="M5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39" s="37" t="str">
        <f>IF(RES_AB[[#This Row],[Cen.]]="","",IFERROR(VLOOKUP(RES_AB[[#This Row],[Cen.]],Dados_Empresas[],2,FALSE),"Verificar empresa"))</f>
        <v>NET MASSIVO</v>
      </c>
      <c r="P539" s="37" t="str">
        <f>IF(RES_AB[[#This Row],[Empresa]]="","",IF(OR(RES_AB[[#This Row],[Empresa]]="NET MASSIVO",RES_AB[[#This Row],[Empresa]]="NET PROJETOS"),"NET","EMPRESARIAL"))</f>
        <v>NET</v>
      </c>
      <c r="Q539" s="37" t="str">
        <f>IF(RES_AB[[#This Row],[Reserva]]="","",IFERROR(VLOOKUP(RES_AB[[#This Row],[Reserva]],Tabela3[[Reserva]:[Descrição do status]],18,FALSE),"CONVENCIONAL"))</f>
        <v>CONVENCIONAL</v>
      </c>
    </row>
    <row r="540" spans="1:17" x14ac:dyDescent="0.25">
      <c r="A540" s="37">
        <v>4383901</v>
      </c>
      <c r="B540" s="37" t="s">
        <v>21</v>
      </c>
      <c r="C540" s="38" t="s">
        <v>19</v>
      </c>
      <c r="D540" s="38">
        <v>45449</v>
      </c>
      <c r="E5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0" s="39">
        <f>IFERROR(VLOOKUP(RES_AB[[#This Row],[Reserva]],Tabela8[[Reserva]:[Usuário]],7,FALSE),Dados!$A$17)</f>
        <v>0.33333333333333331</v>
      </c>
      <c r="G540" s="40">
        <f>IF(RES_AB[[#This Row],[Reserva]]="","",IF(RES_AB[[#This Row],[Hora Int WMS]]&lt;Dados!$A$16,2,2))</f>
        <v>2</v>
      </c>
      <c r="H540" s="40" t="str">
        <f>IF(RES_AB[[#This Row],[Reserva]]="","",IFERROR(VLOOKUP(RES_AB[[#This Row],[Reserva]],Tabela3[[Reserva]:[Condição para Faturamento]],20,FALSE),"IMPORTADO COM SUCESSO"))</f>
        <v>IMPORTADO COM SUCESSO</v>
      </c>
      <c r="I540" s="38">
        <f>IF(RES_AB[[#This Row],[Data base]]="","",WORKDAY(RES_AB[[#This Row],[Data Reserva - Feriado e Fds]],RES_AB[[#This Row],[Dias para atendimento]],Feriados[Data]))</f>
        <v>45453</v>
      </c>
      <c r="J540" s="40" t="str">
        <f ca="1">IF(RES_AB[[#This Row],[Reserva]]="","",CONCATENATE("D+",NETWORKDAYS(RES_AB[[#This Row],[Data Reserva - Feriado e Fds]],TODAY(),Feriados[Data])-1))</f>
        <v>D+1</v>
      </c>
      <c r="K540" s="40" t="str">
        <f ca="1">IF(RES_AB[[#This Row],[Reserva]]="","",CONCATENATE(RES_AB[[#This Row],[Cen.]]," | ",RES_AB[[#This Row],[SLA2]]))</f>
        <v>N190 | D+1</v>
      </c>
      <c r="L540" s="40">
        <f ca="1">IF(RES_AB[[#This Row],[Reserva]]="","",IF(RES_AB[[#This Row],[SLA2]]=RES_AB[[#This Row],[Reserva]]="","",COUNTIF(MB25_VOLUMETRIA[Reserva],RES_AB[[#This Row],[Reserva]])))</f>
        <v>4</v>
      </c>
      <c r="M5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0" s="37" t="str">
        <f>IF(RES_AB[[#This Row],[Cen.]]="","",IFERROR(VLOOKUP(RES_AB[[#This Row],[Cen.]],Dados_Empresas[],2,FALSE),"Verificar empresa"))</f>
        <v>NET MASSIVO</v>
      </c>
      <c r="P540" s="37" t="str">
        <f>IF(RES_AB[[#This Row],[Empresa]]="","",IF(OR(RES_AB[[#This Row],[Empresa]]="NET MASSIVO",RES_AB[[#This Row],[Empresa]]="NET PROJETOS"),"NET","EMPRESARIAL"))</f>
        <v>NET</v>
      </c>
      <c r="Q540" s="37" t="str">
        <f>IF(RES_AB[[#This Row],[Reserva]]="","",IFERROR(VLOOKUP(RES_AB[[#This Row],[Reserva]],Tabela3[[Reserva]:[Descrição do status]],18,FALSE),"CONVENCIONAL"))</f>
        <v>CONVENCIONAL</v>
      </c>
    </row>
    <row r="541" spans="1:17" x14ac:dyDescent="0.25">
      <c r="A541" s="37">
        <v>4383902</v>
      </c>
      <c r="B541" s="37" t="s">
        <v>21</v>
      </c>
      <c r="C541" s="38" t="s">
        <v>19</v>
      </c>
      <c r="D541" s="38">
        <v>45449</v>
      </c>
      <c r="E5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1" s="39">
        <f>IFERROR(VLOOKUP(RES_AB[[#This Row],[Reserva]],Tabela8[[Reserva]:[Usuário]],7,FALSE),Dados!$A$17)</f>
        <v>0.33333333333333331</v>
      </c>
      <c r="G541" s="40">
        <f>IF(RES_AB[[#This Row],[Reserva]]="","",IF(RES_AB[[#This Row],[Hora Int WMS]]&lt;Dados!$A$16,2,2))</f>
        <v>2</v>
      </c>
      <c r="H541" s="40" t="str">
        <f>IF(RES_AB[[#This Row],[Reserva]]="","",IFERROR(VLOOKUP(RES_AB[[#This Row],[Reserva]],Tabela3[[Reserva]:[Condição para Faturamento]],20,FALSE),"IMPORTADO COM SUCESSO"))</f>
        <v>IMPORTADO COM SUCESSO</v>
      </c>
      <c r="I541" s="38">
        <f>IF(RES_AB[[#This Row],[Data base]]="","",WORKDAY(RES_AB[[#This Row],[Data Reserva - Feriado e Fds]],RES_AB[[#This Row],[Dias para atendimento]],Feriados[Data]))</f>
        <v>45453</v>
      </c>
      <c r="J541" s="40" t="str">
        <f ca="1">IF(RES_AB[[#This Row],[Reserva]]="","",CONCATENATE("D+",NETWORKDAYS(RES_AB[[#This Row],[Data Reserva - Feriado e Fds]],TODAY(),Feriados[Data])-1))</f>
        <v>D+1</v>
      </c>
      <c r="K541" s="40" t="str">
        <f ca="1">IF(RES_AB[[#This Row],[Reserva]]="","",CONCATENATE(RES_AB[[#This Row],[Cen.]]," | ",RES_AB[[#This Row],[SLA2]]))</f>
        <v>N190 | D+1</v>
      </c>
      <c r="L541" s="40">
        <f ca="1">IF(RES_AB[[#This Row],[Reserva]]="","",IF(RES_AB[[#This Row],[SLA2]]=RES_AB[[#This Row],[Reserva]]="","",COUNTIF(MB25_VOLUMETRIA[Reserva],RES_AB[[#This Row],[Reserva]])))</f>
        <v>4</v>
      </c>
      <c r="M5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1" s="37" t="str">
        <f>IF(RES_AB[[#This Row],[Cen.]]="","",IFERROR(VLOOKUP(RES_AB[[#This Row],[Cen.]],Dados_Empresas[],2,FALSE),"Verificar empresa"))</f>
        <v>NET MASSIVO</v>
      </c>
      <c r="P541" s="37" t="str">
        <f>IF(RES_AB[[#This Row],[Empresa]]="","",IF(OR(RES_AB[[#This Row],[Empresa]]="NET MASSIVO",RES_AB[[#This Row],[Empresa]]="NET PROJETOS"),"NET","EMPRESARIAL"))</f>
        <v>NET</v>
      </c>
      <c r="Q541" s="37" t="str">
        <f>IF(RES_AB[[#This Row],[Reserva]]="","",IFERROR(VLOOKUP(RES_AB[[#This Row],[Reserva]],Tabela3[[Reserva]:[Descrição do status]],18,FALSE),"CONVENCIONAL"))</f>
        <v>CONVENCIONAL</v>
      </c>
    </row>
    <row r="542" spans="1:17" x14ac:dyDescent="0.25">
      <c r="A542" s="37">
        <v>4383903</v>
      </c>
      <c r="B542" s="37" t="s">
        <v>21</v>
      </c>
      <c r="C542" s="38" t="s">
        <v>19</v>
      </c>
      <c r="D542" s="38">
        <v>45449</v>
      </c>
      <c r="E5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2" s="39">
        <f>IFERROR(VLOOKUP(RES_AB[[#This Row],[Reserva]],Tabela8[[Reserva]:[Usuário]],7,FALSE),Dados!$A$17)</f>
        <v>0.33333333333333331</v>
      </c>
      <c r="G542" s="40">
        <f>IF(RES_AB[[#This Row],[Reserva]]="","",IF(RES_AB[[#This Row],[Hora Int WMS]]&lt;Dados!$A$16,2,2))</f>
        <v>2</v>
      </c>
      <c r="H542" s="40" t="str">
        <f>IF(RES_AB[[#This Row],[Reserva]]="","",IFERROR(VLOOKUP(RES_AB[[#This Row],[Reserva]],Tabela3[[Reserva]:[Condição para Faturamento]],20,FALSE),"IMPORTADO COM SUCESSO"))</f>
        <v>IMPORTADO COM SUCESSO</v>
      </c>
      <c r="I542" s="38">
        <f>IF(RES_AB[[#This Row],[Data base]]="","",WORKDAY(RES_AB[[#This Row],[Data Reserva - Feriado e Fds]],RES_AB[[#This Row],[Dias para atendimento]],Feriados[Data]))</f>
        <v>45453</v>
      </c>
      <c r="J542" s="40" t="str">
        <f ca="1">IF(RES_AB[[#This Row],[Reserva]]="","",CONCATENATE("D+",NETWORKDAYS(RES_AB[[#This Row],[Data Reserva - Feriado e Fds]],TODAY(),Feriados[Data])-1))</f>
        <v>D+1</v>
      </c>
      <c r="K542" s="40" t="str">
        <f ca="1">IF(RES_AB[[#This Row],[Reserva]]="","",CONCATENATE(RES_AB[[#This Row],[Cen.]]," | ",RES_AB[[#This Row],[SLA2]]))</f>
        <v>N190 | D+1</v>
      </c>
      <c r="L542" s="40">
        <f ca="1">IF(RES_AB[[#This Row],[Reserva]]="","",IF(RES_AB[[#This Row],[SLA2]]=RES_AB[[#This Row],[Reserva]]="","",COUNTIF(MB25_VOLUMETRIA[Reserva],RES_AB[[#This Row],[Reserva]])))</f>
        <v>6</v>
      </c>
      <c r="M5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2" s="37" t="str">
        <f>IF(RES_AB[[#This Row],[Cen.]]="","",IFERROR(VLOOKUP(RES_AB[[#This Row],[Cen.]],Dados_Empresas[],2,FALSE),"Verificar empresa"))</f>
        <v>NET MASSIVO</v>
      </c>
      <c r="P542" s="37" t="str">
        <f>IF(RES_AB[[#This Row],[Empresa]]="","",IF(OR(RES_AB[[#This Row],[Empresa]]="NET MASSIVO",RES_AB[[#This Row],[Empresa]]="NET PROJETOS"),"NET","EMPRESARIAL"))</f>
        <v>NET</v>
      </c>
      <c r="Q542" s="37" t="str">
        <f>IF(RES_AB[[#This Row],[Reserva]]="","",IFERROR(VLOOKUP(RES_AB[[#This Row],[Reserva]],Tabela3[[Reserva]:[Descrição do status]],18,FALSE),"CONVENCIONAL"))</f>
        <v>CONVENCIONAL</v>
      </c>
    </row>
    <row r="543" spans="1:17" x14ac:dyDescent="0.25">
      <c r="A543" s="37">
        <v>4383905</v>
      </c>
      <c r="B543" s="37" t="s">
        <v>21</v>
      </c>
      <c r="C543" s="38" t="s">
        <v>19</v>
      </c>
      <c r="D543" s="38">
        <v>45449</v>
      </c>
      <c r="E5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3" s="39">
        <f>IFERROR(VLOOKUP(RES_AB[[#This Row],[Reserva]],Tabela8[[Reserva]:[Usuário]],7,FALSE),Dados!$A$17)</f>
        <v>0.33333333333333331</v>
      </c>
      <c r="G543" s="40">
        <f>IF(RES_AB[[#This Row],[Reserva]]="","",IF(RES_AB[[#This Row],[Hora Int WMS]]&lt;Dados!$A$16,2,2))</f>
        <v>2</v>
      </c>
      <c r="H543" s="40" t="str">
        <f>IF(RES_AB[[#This Row],[Reserva]]="","",IFERROR(VLOOKUP(RES_AB[[#This Row],[Reserva]],Tabela3[[Reserva]:[Condição para Faturamento]],20,FALSE),"IMPORTADO COM SUCESSO"))</f>
        <v>IMPORTADO COM SUCESSO</v>
      </c>
      <c r="I543" s="38">
        <f>IF(RES_AB[[#This Row],[Data base]]="","",WORKDAY(RES_AB[[#This Row],[Data Reserva - Feriado e Fds]],RES_AB[[#This Row],[Dias para atendimento]],Feriados[Data]))</f>
        <v>45453</v>
      </c>
      <c r="J543" s="40" t="str">
        <f ca="1">IF(RES_AB[[#This Row],[Reserva]]="","",CONCATENATE("D+",NETWORKDAYS(RES_AB[[#This Row],[Data Reserva - Feriado e Fds]],TODAY(),Feriados[Data])-1))</f>
        <v>D+1</v>
      </c>
      <c r="K543" s="40" t="str">
        <f ca="1">IF(RES_AB[[#This Row],[Reserva]]="","",CONCATENATE(RES_AB[[#This Row],[Cen.]]," | ",RES_AB[[#This Row],[SLA2]]))</f>
        <v>N190 | D+1</v>
      </c>
      <c r="L543" s="40">
        <f ca="1">IF(RES_AB[[#This Row],[Reserva]]="","",IF(RES_AB[[#This Row],[SLA2]]=RES_AB[[#This Row],[Reserva]]="","",COUNTIF(MB25_VOLUMETRIA[Reserva],RES_AB[[#This Row],[Reserva]])))</f>
        <v>4</v>
      </c>
      <c r="M5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3" s="37" t="str">
        <f>IF(RES_AB[[#This Row],[Cen.]]="","",IFERROR(VLOOKUP(RES_AB[[#This Row],[Cen.]],Dados_Empresas[],2,FALSE),"Verificar empresa"))</f>
        <v>NET MASSIVO</v>
      </c>
      <c r="P543" s="37" t="str">
        <f>IF(RES_AB[[#This Row],[Empresa]]="","",IF(OR(RES_AB[[#This Row],[Empresa]]="NET MASSIVO",RES_AB[[#This Row],[Empresa]]="NET PROJETOS"),"NET","EMPRESARIAL"))</f>
        <v>NET</v>
      </c>
      <c r="Q543" s="37" t="str">
        <f>IF(RES_AB[[#This Row],[Reserva]]="","",IFERROR(VLOOKUP(RES_AB[[#This Row],[Reserva]],Tabela3[[Reserva]:[Descrição do status]],18,FALSE),"CONVENCIONAL"))</f>
        <v>CONVENCIONAL</v>
      </c>
    </row>
    <row r="544" spans="1:17" x14ac:dyDescent="0.25">
      <c r="A544" s="37">
        <v>4383906</v>
      </c>
      <c r="B544" s="37" t="s">
        <v>21</v>
      </c>
      <c r="C544" s="38" t="s">
        <v>19</v>
      </c>
      <c r="D544" s="38">
        <v>45449</v>
      </c>
      <c r="E5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4" s="39">
        <f>IFERROR(VLOOKUP(RES_AB[[#This Row],[Reserva]],Tabela8[[Reserva]:[Usuário]],7,FALSE),Dados!$A$17)</f>
        <v>0.33333333333333331</v>
      </c>
      <c r="G544" s="40">
        <f>IF(RES_AB[[#This Row],[Reserva]]="","",IF(RES_AB[[#This Row],[Hora Int WMS]]&lt;Dados!$A$16,2,2))</f>
        <v>2</v>
      </c>
      <c r="H544" s="40" t="str">
        <f>IF(RES_AB[[#This Row],[Reserva]]="","",IFERROR(VLOOKUP(RES_AB[[#This Row],[Reserva]],Tabela3[[Reserva]:[Condição para Faturamento]],20,FALSE),"IMPORTADO COM SUCESSO"))</f>
        <v>IMPORTADO COM SUCESSO</v>
      </c>
      <c r="I544" s="38">
        <f>IF(RES_AB[[#This Row],[Data base]]="","",WORKDAY(RES_AB[[#This Row],[Data Reserva - Feriado e Fds]],RES_AB[[#This Row],[Dias para atendimento]],Feriados[Data]))</f>
        <v>45453</v>
      </c>
      <c r="J544" s="40" t="str">
        <f ca="1">IF(RES_AB[[#This Row],[Reserva]]="","",CONCATENATE("D+",NETWORKDAYS(RES_AB[[#This Row],[Data Reserva - Feriado e Fds]],TODAY(),Feriados[Data])-1))</f>
        <v>D+1</v>
      </c>
      <c r="K544" s="40" t="str">
        <f ca="1">IF(RES_AB[[#This Row],[Reserva]]="","",CONCATENATE(RES_AB[[#This Row],[Cen.]]," | ",RES_AB[[#This Row],[SLA2]]))</f>
        <v>N190 | D+1</v>
      </c>
      <c r="L544" s="40">
        <f ca="1">IF(RES_AB[[#This Row],[Reserva]]="","",IF(RES_AB[[#This Row],[SLA2]]=RES_AB[[#This Row],[Reserva]]="","",COUNTIF(MB25_VOLUMETRIA[Reserva],RES_AB[[#This Row],[Reserva]])))</f>
        <v>5</v>
      </c>
      <c r="M5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4" s="37" t="str">
        <f>IF(RES_AB[[#This Row],[Cen.]]="","",IFERROR(VLOOKUP(RES_AB[[#This Row],[Cen.]],Dados_Empresas[],2,FALSE),"Verificar empresa"))</f>
        <v>NET MASSIVO</v>
      </c>
      <c r="P544" s="37" t="str">
        <f>IF(RES_AB[[#This Row],[Empresa]]="","",IF(OR(RES_AB[[#This Row],[Empresa]]="NET MASSIVO",RES_AB[[#This Row],[Empresa]]="NET PROJETOS"),"NET","EMPRESARIAL"))</f>
        <v>NET</v>
      </c>
      <c r="Q544" s="37" t="str">
        <f>IF(RES_AB[[#This Row],[Reserva]]="","",IFERROR(VLOOKUP(RES_AB[[#This Row],[Reserva]],Tabela3[[Reserva]:[Descrição do status]],18,FALSE),"CONVENCIONAL"))</f>
        <v>CONVENCIONAL</v>
      </c>
    </row>
    <row r="545" spans="1:17" x14ac:dyDescent="0.25">
      <c r="A545" s="37">
        <v>4383907</v>
      </c>
      <c r="B545" s="37" t="s">
        <v>21</v>
      </c>
      <c r="C545" s="38" t="s">
        <v>19</v>
      </c>
      <c r="D545" s="38">
        <v>45449</v>
      </c>
      <c r="E5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5" s="39">
        <f>IFERROR(VLOOKUP(RES_AB[[#This Row],[Reserva]],Tabela8[[Reserva]:[Usuário]],7,FALSE),Dados!$A$17)</f>
        <v>0.33333333333333331</v>
      </c>
      <c r="G545" s="40">
        <f>IF(RES_AB[[#This Row],[Reserva]]="","",IF(RES_AB[[#This Row],[Hora Int WMS]]&lt;Dados!$A$16,2,2))</f>
        <v>2</v>
      </c>
      <c r="H545" s="40" t="str">
        <f>IF(RES_AB[[#This Row],[Reserva]]="","",IFERROR(VLOOKUP(RES_AB[[#This Row],[Reserva]],Tabela3[[Reserva]:[Condição para Faturamento]],20,FALSE),"IMPORTADO COM SUCESSO"))</f>
        <v>IMPORTADO COM SUCESSO</v>
      </c>
      <c r="I545" s="38">
        <f>IF(RES_AB[[#This Row],[Data base]]="","",WORKDAY(RES_AB[[#This Row],[Data Reserva - Feriado e Fds]],RES_AB[[#This Row],[Dias para atendimento]],Feriados[Data]))</f>
        <v>45453</v>
      </c>
      <c r="J545" s="40" t="str">
        <f ca="1">IF(RES_AB[[#This Row],[Reserva]]="","",CONCATENATE("D+",NETWORKDAYS(RES_AB[[#This Row],[Data Reserva - Feriado e Fds]],TODAY(),Feriados[Data])-1))</f>
        <v>D+1</v>
      </c>
      <c r="K545" s="40" t="str">
        <f ca="1">IF(RES_AB[[#This Row],[Reserva]]="","",CONCATENATE(RES_AB[[#This Row],[Cen.]]," | ",RES_AB[[#This Row],[SLA2]]))</f>
        <v>N190 | D+1</v>
      </c>
      <c r="L545" s="40">
        <f ca="1">IF(RES_AB[[#This Row],[Reserva]]="","",IF(RES_AB[[#This Row],[SLA2]]=RES_AB[[#This Row],[Reserva]]="","",COUNTIF(MB25_VOLUMETRIA[Reserva],RES_AB[[#This Row],[Reserva]])))</f>
        <v>9</v>
      </c>
      <c r="M5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5" s="37" t="str">
        <f>IF(RES_AB[[#This Row],[Cen.]]="","",IFERROR(VLOOKUP(RES_AB[[#This Row],[Cen.]],Dados_Empresas[],2,FALSE),"Verificar empresa"))</f>
        <v>NET MASSIVO</v>
      </c>
      <c r="P545" s="37" t="str">
        <f>IF(RES_AB[[#This Row],[Empresa]]="","",IF(OR(RES_AB[[#This Row],[Empresa]]="NET MASSIVO",RES_AB[[#This Row],[Empresa]]="NET PROJETOS"),"NET","EMPRESARIAL"))</f>
        <v>NET</v>
      </c>
      <c r="Q545" s="37" t="str">
        <f>IF(RES_AB[[#This Row],[Reserva]]="","",IFERROR(VLOOKUP(RES_AB[[#This Row],[Reserva]],Tabela3[[Reserva]:[Descrição do status]],18,FALSE),"CONVENCIONAL"))</f>
        <v>CONVENCIONAL</v>
      </c>
    </row>
    <row r="546" spans="1:17" x14ac:dyDescent="0.25">
      <c r="A546" s="37">
        <v>4383908</v>
      </c>
      <c r="B546" s="37" t="s">
        <v>21</v>
      </c>
      <c r="C546" s="38" t="s">
        <v>19</v>
      </c>
      <c r="D546" s="38">
        <v>45449</v>
      </c>
      <c r="E5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6" s="39">
        <f>IFERROR(VLOOKUP(RES_AB[[#This Row],[Reserva]],Tabela8[[Reserva]:[Usuário]],7,FALSE),Dados!$A$17)</f>
        <v>0.33333333333333331</v>
      </c>
      <c r="G546" s="40">
        <f>IF(RES_AB[[#This Row],[Reserva]]="","",IF(RES_AB[[#This Row],[Hora Int WMS]]&lt;Dados!$A$16,2,2))</f>
        <v>2</v>
      </c>
      <c r="H546" s="40" t="str">
        <f>IF(RES_AB[[#This Row],[Reserva]]="","",IFERROR(VLOOKUP(RES_AB[[#This Row],[Reserva]],Tabela3[[Reserva]:[Condição para Faturamento]],20,FALSE),"IMPORTADO COM SUCESSO"))</f>
        <v>IMPORTADO COM SUCESSO</v>
      </c>
      <c r="I546" s="38">
        <f>IF(RES_AB[[#This Row],[Data base]]="","",WORKDAY(RES_AB[[#This Row],[Data Reserva - Feriado e Fds]],RES_AB[[#This Row],[Dias para atendimento]],Feriados[Data]))</f>
        <v>45453</v>
      </c>
      <c r="J546" s="40" t="str">
        <f ca="1">IF(RES_AB[[#This Row],[Reserva]]="","",CONCATENATE("D+",NETWORKDAYS(RES_AB[[#This Row],[Data Reserva - Feriado e Fds]],TODAY(),Feriados[Data])-1))</f>
        <v>D+1</v>
      </c>
      <c r="K546" s="40" t="str">
        <f ca="1">IF(RES_AB[[#This Row],[Reserva]]="","",CONCATENATE(RES_AB[[#This Row],[Cen.]]," | ",RES_AB[[#This Row],[SLA2]]))</f>
        <v>N190 | D+1</v>
      </c>
      <c r="L546" s="40">
        <f ca="1">IF(RES_AB[[#This Row],[Reserva]]="","",IF(RES_AB[[#This Row],[SLA2]]=RES_AB[[#This Row],[Reserva]]="","",COUNTIF(MB25_VOLUMETRIA[Reserva],RES_AB[[#This Row],[Reserva]])))</f>
        <v>1</v>
      </c>
      <c r="M5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6" s="37" t="str">
        <f>IF(RES_AB[[#This Row],[Cen.]]="","",IFERROR(VLOOKUP(RES_AB[[#This Row],[Cen.]],Dados_Empresas[],2,FALSE),"Verificar empresa"))</f>
        <v>NET MASSIVO</v>
      </c>
      <c r="P546" s="37" t="str">
        <f>IF(RES_AB[[#This Row],[Empresa]]="","",IF(OR(RES_AB[[#This Row],[Empresa]]="NET MASSIVO",RES_AB[[#This Row],[Empresa]]="NET PROJETOS"),"NET","EMPRESARIAL"))</f>
        <v>NET</v>
      </c>
      <c r="Q546" s="37" t="str">
        <f>IF(RES_AB[[#This Row],[Reserva]]="","",IFERROR(VLOOKUP(RES_AB[[#This Row],[Reserva]],Tabela3[[Reserva]:[Descrição do status]],18,FALSE),"CONVENCIONAL"))</f>
        <v>CONVENCIONAL</v>
      </c>
    </row>
    <row r="547" spans="1:17" x14ac:dyDescent="0.25">
      <c r="A547" s="37">
        <v>4383909</v>
      </c>
      <c r="B547" s="37" t="s">
        <v>21</v>
      </c>
      <c r="C547" s="38" t="s">
        <v>19</v>
      </c>
      <c r="D547" s="38">
        <v>45449</v>
      </c>
      <c r="E5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7" s="39">
        <f>IFERROR(VLOOKUP(RES_AB[[#This Row],[Reserva]],Tabela8[[Reserva]:[Usuário]],7,FALSE),Dados!$A$17)</f>
        <v>0.33333333333333331</v>
      </c>
      <c r="G547" s="40">
        <f>IF(RES_AB[[#This Row],[Reserva]]="","",IF(RES_AB[[#This Row],[Hora Int WMS]]&lt;Dados!$A$16,2,2))</f>
        <v>2</v>
      </c>
      <c r="H547" s="40" t="str">
        <f>IF(RES_AB[[#This Row],[Reserva]]="","",IFERROR(VLOOKUP(RES_AB[[#This Row],[Reserva]],Tabela3[[Reserva]:[Condição para Faturamento]],20,FALSE),"IMPORTADO COM SUCESSO"))</f>
        <v>IMPORTADO COM SUCESSO</v>
      </c>
      <c r="I547" s="38">
        <f>IF(RES_AB[[#This Row],[Data base]]="","",WORKDAY(RES_AB[[#This Row],[Data Reserva - Feriado e Fds]],RES_AB[[#This Row],[Dias para atendimento]],Feriados[Data]))</f>
        <v>45453</v>
      </c>
      <c r="J547" s="40" t="str">
        <f ca="1">IF(RES_AB[[#This Row],[Reserva]]="","",CONCATENATE("D+",NETWORKDAYS(RES_AB[[#This Row],[Data Reserva - Feriado e Fds]],TODAY(),Feriados[Data])-1))</f>
        <v>D+1</v>
      </c>
      <c r="K547" s="40" t="str">
        <f ca="1">IF(RES_AB[[#This Row],[Reserva]]="","",CONCATENATE(RES_AB[[#This Row],[Cen.]]," | ",RES_AB[[#This Row],[SLA2]]))</f>
        <v>N190 | D+1</v>
      </c>
      <c r="L547" s="40">
        <f ca="1">IF(RES_AB[[#This Row],[Reserva]]="","",IF(RES_AB[[#This Row],[SLA2]]=RES_AB[[#This Row],[Reserva]]="","",COUNTIF(MB25_VOLUMETRIA[Reserva],RES_AB[[#This Row],[Reserva]])))</f>
        <v>11</v>
      </c>
      <c r="M5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7" s="37" t="str">
        <f>IF(RES_AB[[#This Row],[Cen.]]="","",IFERROR(VLOOKUP(RES_AB[[#This Row],[Cen.]],Dados_Empresas[],2,FALSE),"Verificar empresa"))</f>
        <v>NET MASSIVO</v>
      </c>
      <c r="P547" s="37" t="str">
        <f>IF(RES_AB[[#This Row],[Empresa]]="","",IF(OR(RES_AB[[#This Row],[Empresa]]="NET MASSIVO",RES_AB[[#This Row],[Empresa]]="NET PROJETOS"),"NET","EMPRESARIAL"))</f>
        <v>NET</v>
      </c>
      <c r="Q547" s="37" t="str">
        <f>IF(RES_AB[[#This Row],[Reserva]]="","",IFERROR(VLOOKUP(RES_AB[[#This Row],[Reserva]],Tabela3[[Reserva]:[Descrição do status]],18,FALSE),"CONVENCIONAL"))</f>
        <v>CONVENCIONAL</v>
      </c>
    </row>
    <row r="548" spans="1:17" x14ac:dyDescent="0.25">
      <c r="A548" s="37">
        <v>4383910</v>
      </c>
      <c r="B548" s="37" t="s">
        <v>21</v>
      </c>
      <c r="C548" s="38" t="s">
        <v>19</v>
      </c>
      <c r="D548" s="38">
        <v>45449</v>
      </c>
      <c r="E5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8" s="39">
        <f>IFERROR(VLOOKUP(RES_AB[[#This Row],[Reserva]],Tabela8[[Reserva]:[Usuário]],7,FALSE),Dados!$A$17)</f>
        <v>0.33333333333333331</v>
      </c>
      <c r="G548" s="40">
        <f>IF(RES_AB[[#This Row],[Reserva]]="","",IF(RES_AB[[#This Row],[Hora Int WMS]]&lt;Dados!$A$16,2,2))</f>
        <v>2</v>
      </c>
      <c r="H548" s="40" t="str">
        <f>IF(RES_AB[[#This Row],[Reserva]]="","",IFERROR(VLOOKUP(RES_AB[[#This Row],[Reserva]],Tabela3[[Reserva]:[Condição para Faturamento]],20,FALSE),"IMPORTADO COM SUCESSO"))</f>
        <v>IMPORTADO COM SUCESSO</v>
      </c>
      <c r="I548" s="38">
        <f>IF(RES_AB[[#This Row],[Data base]]="","",WORKDAY(RES_AB[[#This Row],[Data Reserva - Feriado e Fds]],RES_AB[[#This Row],[Dias para atendimento]],Feriados[Data]))</f>
        <v>45453</v>
      </c>
      <c r="J548" s="40" t="str">
        <f ca="1">IF(RES_AB[[#This Row],[Reserva]]="","",CONCATENATE("D+",NETWORKDAYS(RES_AB[[#This Row],[Data Reserva - Feriado e Fds]],TODAY(),Feriados[Data])-1))</f>
        <v>D+1</v>
      </c>
      <c r="K548" s="40" t="str">
        <f ca="1">IF(RES_AB[[#This Row],[Reserva]]="","",CONCATENATE(RES_AB[[#This Row],[Cen.]]," | ",RES_AB[[#This Row],[SLA2]]))</f>
        <v>N190 | D+1</v>
      </c>
      <c r="L548" s="40">
        <f ca="1">IF(RES_AB[[#This Row],[Reserva]]="","",IF(RES_AB[[#This Row],[SLA2]]=RES_AB[[#This Row],[Reserva]]="","",COUNTIF(MB25_VOLUMETRIA[Reserva],RES_AB[[#This Row],[Reserva]])))</f>
        <v>2</v>
      </c>
      <c r="M5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8" s="37" t="str">
        <f>IF(RES_AB[[#This Row],[Cen.]]="","",IFERROR(VLOOKUP(RES_AB[[#This Row],[Cen.]],Dados_Empresas[],2,FALSE),"Verificar empresa"))</f>
        <v>NET MASSIVO</v>
      </c>
      <c r="P548" s="37" t="str">
        <f>IF(RES_AB[[#This Row],[Empresa]]="","",IF(OR(RES_AB[[#This Row],[Empresa]]="NET MASSIVO",RES_AB[[#This Row],[Empresa]]="NET PROJETOS"),"NET","EMPRESARIAL"))</f>
        <v>NET</v>
      </c>
      <c r="Q548" s="37" t="str">
        <f>IF(RES_AB[[#This Row],[Reserva]]="","",IFERROR(VLOOKUP(RES_AB[[#This Row],[Reserva]],Tabela3[[Reserva]:[Descrição do status]],18,FALSE),"CONVENCIONAL"))</f>
        <v>CONVENCIONAL</v>
      </c>
    </row>
    <row r="549" spans="1:17" x14ac:dyDescent="0.25">
      <c r="A549" s="37">
        <v>4383911</v>
      </c>
      <c r="B549" s="37" t="s">
        <v>21</v>
      </c>
      <c r="C549" s="38" t="s">
        <v>19</v>
      </c>
      <c r="D549" s="38">
        <v>45449</v>
      </c>
      <c r="E5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49" s="39">
        <f>IFERROR(VLOOKUP(RES_AB[[#This Row],[Reserva]],Tabela8[[Reserva]:[Usuário]],7,FALSE),Dados!$A$17)</f>
        <v>0.33333333333333331</v>
      </c>
      <c r="G549" s="40">
        <f>IF(RES_AB[[#This Row],[Reserva]]="","",IF(RES_AB[[#This Row],[Hora Int WMS]]&lt;Dados!$A$16,2,2))</f>
        <v>2</v>
      </c>
      <c r="H549" s="40" t="str">
        <f>IF(RES_AB[[#This Row],[Reserva]]="","",IFERROR(VLOOKUP(RES_AB[[#This Row],[Reserva]],Tabela3[[Reserva]:[Condição para Faturamento]],20,FALSE),"IMPORTADO COM SUCESSO"))</f>
        <v>IMPORTADO COM SUCESSO</v>
      </c>
      <c r="I549" s="38">
        <f>IF(RES_AB[[#This Row],[Data base]]="","",WORKDAY(RES_AB[[#This Row],[Data Reserva - Feriado e Fds]],RES_AB[[#This Row],[Dias para atendimento]],Feriados[Data]))</f>
        <v>45453</v>
      </c>
      <c r="J549" s="40" t="str">
        <f ca="1">IF(RES_AB[[#This Row],[Reserva]]="","",CONCATENATE("D+",NETWORKDAYS(RES_AB[[#This Row],[Data Reserva - Feriado e Fds]],TODAY(),Feriados[Data])-1))</f>
        <v>D+1</v>
      </c>
      <c r="K549" s="40" t="str">
        <f ca="1">IF(RES_AB[[#This Row],[Reserva]]="","",CONCATENATE(RES_AB[[#This Row],[Cen.]]," | ",RES_AB[[#This Row],[SLA2]]))</f>
        <v>N190 | D+1</v>
      </c>
      <c r="L549" s="40">
        <f ca="1">IF(RES_AB[[#This Row],[Reserva]]="","",IF(RES_AB[[#This Row],[SLA2]]=RES_AB[[#This Row],[Reserva]]="","",COUNTIF(MB25_VOLUMETRIA[Reserva],RES_AB[[#This Row],[Reserva]])))</f>
        <v>3</v>
      </c>
      <c r="M5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49" s="37" t="str">
        <f>IF(RES_AB[[#This Row],[Cen.]]="","",IFERROR(VLOOKUP(RES_AB[[#This Row],[Cen.]],Dados_Empresas[],2,FALSE),"Verificar empresa"))</f>
        <v>NET MASSIVO</v>
      </c>
      <c r="P549" s="37" t="str">
        <f>IF(RES_AB[[#This Row],[Empresa]]="","",IF(OR(RES_AB[[#This Row],[Empresa]]="NET MASSIVO",RES_AB[[#This Row],[Empresa]]="NET PROJETOS"),"NET","EMPRESARIAL"))</f>
        <v>NET</v>
      </c>
      <c r="Q549" s="37" t="str">
        <f>IF(RES_AB[[#This Row],[Reserva]]="","",IFERROR(VLOOKUP(RES_AB[[#This Row],[Reserva]],Tabela3[[Reserva]:[Descrição do status]],18,FALSE),"CONVENCIONAL"))</f>
        <v>CONVENCIONAL</v>
      </c>
    </row>
    <row r="550" spans="1:17" x14ac:dyDescent="0.25">
      <c r="A550" s="37">
        <v>4383912</v>
      </c>
      <c r="B550" s="37" t="s">
        <v>21</v>
      </c>
      <c r="C550" s="38" t="s">
        <v>19</v>
      </c>
      <c r="D550" s="38">
        <v>45449</v>
      </c>
      <c r="E5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0" s="39">
        <f>IFERROR(VLOOKUP(RES_AB[[#This Row],[Reserva]],Tabela8[[Reserva]:[Usuário]],7,FALSE),Dados!$A$17)</f>
        <v>0.33333333333333331</v>
      </c>
      <c r="G550" s="40">
        <f>IF(RES_AB[[#This Row],[Reserva]]="","",IF(RES_AB[[#This Row],[Hora Int WMS]]&lt;Dados!$A$16,2,2))</f>
        <v>2</v>
      </c>
      <c r="H550" s="40" t="str">
        <f>IF(RES_AB[[#This Row],[Reserva]]="","",IFERROR(VLOOKUP(RES_AB[[#This Row],[Reserva]],Tabela3[[Reserva]:[Condição para Faturamento]],20,FALSE),"IMPORTADO COM SUCESSO"))</f>
        <v>IMPORTADO COM SUCESSO</v>
      </c>
      <c r="I550" s="38">
        <f>IF(RES_AB[[#This Row],[Data base]]="","",WORKDAY(RES_AB[[#This Row],[Data Reserva - Feriado e Fds]],RES_AB[[#This Row],[Dias para atendimento]],Feriados[Data]))</f>
        <v>45453</v>
      </c>
      <c r="J550" s="40" t="str">
        <f ca="1">IF(RES_AB[[#This Row],[Reserva]]="","",CONCATENATE("D+",NETWORKDAYS(RES_AB[[#This Row],[Data Reserva - Feriado e Fds]],TODAY(),Feriados[Data])-1))</f>
        <v>D+1</v>
      </c>
      <c r="K550" s="40" t="str">
        <f ca="1">IF(RES_AB[[#This Row],[Reserva]]="","",CONCATENATE(RES_AB[[#This Row],[Cen.]]," | ",RES_AB[[#This Row],[SLA2]]))</f>
        <v>N190 | D+1</v>
      </c>
      <c r="L550" s="40">
        <f ca="1">IF(RES_AB[[#This Row],[Reserva]]="","",IF(RES_AB[[#This Row],[SLA2]]=RES_AB[[#This Row],[Reserva]]="","",COUNTIF(MB25_VOLUMETRIA[Reserva],RES_AB[[#This Row],[Reserva]])))</f>
        <v>2</v>
      </c>
      <c r="M5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0" s="37" t="str">
        <f>IF(RES_AB[[#This Row],[Cen.]]="","",IFERROR(VLOOKUP(RES_AB[[#This Row],[Cen.]],Dados_Empresas[],2,FALSE),"Verificar empresa"))</f>
        <v>NET MASSIVO</v>
      </c>
      <c r="P550" s="37" t="str">
        <f>IF(RES_AB[[#This Row],[Empresa]]="","",IF(OR(RES_AB[[#This Row],[Empresa]]="NET MASSIVO",RES_AB[[#This Row],[Empresa]]="NET PROJETOS"),"NET","EMPRESARIAL"))</f>
        <v>NET</v>
      </c>
      <c r="Q550" s="37" t="str">
        <f>IF(RES_AB[[#This Row],[Reserva]]="","",IFERROR(VLOOKUP(RES_AB[[#This Row],[Reserva]],Tabela3[[Reserva]:[Descrição do status]],18,FALSE),"CONVENCIONAL"))</f>
        <v>CONVENCIONAL</v>
      </c>
    </row>
    <row r="551" spans="1:17" x14ac:dyDescent="0.25">
      <c r="A551" s="37">
        <v>4383913</v>
      </c>
      <c r="B551" s="37" t="s">
        <v>21</v>
      </c>
      <c r="C551" s="38" t="s">
        <v>19</v>
      </c>
      <c r="D551" s="38">
        <v>45449</v>
      </c>
      <c r="E5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1" s="39">
        <f>IFERROR(VLOOKUP(RES_AB[[#This Row],[Reserva]],Tabela8[[Reserva]:[Usuário]],7,FALSE),Dados!$A$17)</f>
        <v>0.33333333333333331</v>
      </c>
      <c r="G551" s="40">
        <f>IF(RES_AB[[#This Row],[Reserva]]="","",IF(RES_AB[[#This Row],[Hora Int WMS]]&lt;Dados!$A$16,2,2))</f>
        <v>2</v>
      </c>
      <c r="H551" s="40" t="str">
        <f>IF(RES_AB[[#This Row],[Reserva]]="","",IFERROR(VLOOKUP(RES_AB[[#This Row],[Reserva]],Tabela3[[Reserva]:[Condição para Faturamento]],20,FALSE),"IMPORTADO COM SUCESSO"))</f>
        <v>IMPORTADO COM SUCESSO</v>
      </c>
      <c r="I551" s="38">
        <f>IF(RES_AB[[#This Row],[Data base]]="","",WORKDAY(RES_AB[[#This Row],[Data Reserva - Feriado e Fds]],RES_AB[[#This Row],[Dias para atendimento]],Feriados[Data]))</f>
        <v>45453</v>
      </c>
      <c r="J551" s="40" t="str">
        <f ca="1">IF(RES_AB[[#This Row],[Reserva]]="","",CONCATENATE("D+",NETWORKDAYS(RES_AB[[#This Row],[Data Reserva - Feriado e Fds]],TODAY(),Feriados[Data])-1))</f>
        <v>D+1</v>
      </c>
      <c r="K551" s="40" t="str">
        <f ca="1">IF(RES_AB[[#This Row],[Reserva]]="","",CONCATENATE(RES_AB[[#This Row],[Cen.]]," | ",RES_AB[[#This Row],[SLA2]]))</f>
        <v>N190 | D+1</v>
      </c>
      <c r="L551" s="40">
        <f ca="1">IF(RES_AB[[#This Row],[Reserva]]="","",IF(RES_AB[[#This Row],[SLA2]]=RES_AB[[#This Row],[Reserva]]="","",COUNTIF(MB25_VOLUMETRIA[Reserva],RES_AB[[#This Row],[Reserva]])))</f>
        <v>4</v>
      </c>
      <c r="M5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1" s="37" t="str">
        <f>IF(RES_AB[[#This Row],[Cen.]]="","",IFERROR(VLOOKUP(RES_AB[[#This Row],[Cen.]],Dados_Empresas[],2,FALSE),"Verificar empresa"))</f>
        <v>NET MASSIVO</v>
      </c>
      <c r="P551" s="37" t="str">
        <f>IF(RES_AB[[#This Row],[Empresa]]="","",IF(OR(RES_AB[[#This Row],[Empresa]]="NET MASSIVO",RES_AB[[#This Row],[Empresa]]="NET PROJETOS"),"NET","EMPRESARIAL"))</f>
        <v>NET</v>
      </c>
      <c r="Q551" s="37" t="str">
        <f>IF(RES_AB[[#This Row],[Reserva]]="","",IFERROR(VLOOKUP(RES_AB[[#This Row],[Reserva]],Tabela3[[Reserva]:[Descrição do status]],18,FALSE),"CONVENCIONAL"))</f>
        <v>CONVENCIONAL</v>
      </c>
    </row>
    <row r="552" spans="1:17" x14ac:dyDescent="0.25">
      <c r="A552" s="37">
        <v>4383914</v>
      </c>
      <c r="B552" s="37" t="s">
        <v>21</v>
      </c>
      <c r="C552" s="38" t="s">
        <v>19</v>
      </c>
      <c r="D552" s="38">
        <v>45449</v>
      </c>
      <c r="E5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2" s="39">
        <f>IFERROR(VLOOKUP(RES_AB[[#This Row],[Reserva]],Tabela8[[Reserva]:[Usuário]],7,FALSE),Dados!$A$17)</f>
        <v>0.33333333333333331</v>
      </c>
      <c r="G552" s="40">
        <f>IF(RES_AB[[#This Row],[Reserva]]="","",IF(RES_AB[[#This Row],[Hora Int WMS]]&lt;Dados!$A$16,2,2))</f>
        <v>2</v>
      </c>
      <c r="H552" s="40" t="str">
        <f>IF(RES_AB[[#This Row],[Reserva]]="","",IFERROR(VLOOKUP(RES_AB[[#This Row],[Reserva]],Tabela3[[Reserva]:[Condição para Faturamento]],20,FALSE),"IMPORTADO COM SUCESSO"))</f>
        <v>IMPORTADO COM SUCESSO</v>
      </c>
      <c r="I552" s="38">
        <f>IF(RES_AB[[#This Row],[Data base]]="","",WORKDAY(RES_AB[[#This Row],[Data Reserva - Feriado e Fds]],RES_AB[[#This Row],[Dias para atendimento]],Feriados[Data]))</f>
        <v>45453</v>
      </c>
      <c r="J552" s="40" t="str">
        <f ca="1">IF(RES_AB[[#This Row],[Reserva]]="","",CONCATENATE("D+",NETWORKDAYS(RES_AB[[#This Row],[Data Reserva - Feriado e Fds]],TODAY(),Feriados[Data])-1))</f>
        <v>D+1</v>
      </c>
      <c r="K552" s="40" t="str">
        <f ca="1">IF(RES_AB[[#This Row],[Reserva]]="","",CONCATENATE(RES_AB[[#This Row],[Cen.]]," | ",RES_AB[[#This Row],[SLA2]]))</f>
        <v>N190 | D+1</v>
      </c>
      <c r="L552" s="40">
        <f ca="1">IF(RES_AB[[#This Row],[Reserva]]="","",IF(RES_AB[[#This Row],[SLA2]]=RES_AB[[#This Row],[Reserva]]="","",COUNTIF(MB25_VOLUMETRIA[Reserva],RES_AB[[#This Row],[Reserva]])))</f>
        <v>4</v>
      </c>
      <c r="M5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2" s="37" t="str">
        <f>IF(RES_AB[[#This Row],[Cen.]]="","",IFERROR(VLOOKUP(RES_AB[[#This Row],[Cen.]],Dados_Empresas[],2,FALSE),"Verificar empresa"))</f>
        <v>NET MASSIVO</v>
      </c>
      <c r="P552" s="37" t="str">
        <f>IF(RES_AB[[#This Row],[Empresa]]="","",IF(OR(RES_AB[[#This Row],[Empresa]]="NET MASSIVO",RES_AB[[#This Row],[Empresa]]="NET PROJETOS"),"NET","EMPRESARIAL"))</f>
        <v>NET</v>
      </c>
      <c r="Q552" s="37" t="str">
        <f>IF(RES_AB[[#This Row],[Reserva]]="","",IFERROR(VLOOKUP(RES_AB[[#This Row],[Reserva]],Tabela3[[Reserva]:[Descrição do status]],18,FALSE),"CONVENCIONAL"))</f>
        <v>CONVENCIONAL</v>
      </c>
    </row>
    <row r="553" spans="1:17" x14ac:dyDescent="0.25">
      <c r="A553" s="37">
        <v>4383915</v>
      </c>
      <c r="B553" s="37" t="s">
        <v>21</v>
      </c>
      <c r="C553" s="38" t="s">
        <v>19</v>
      </c>
      <c r="D553" s="38">
        <v>45449</v>
      </c>
      <c r="E5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3" s="39">
        <f>IFERROR(VLOOKUP(RES_AB[[#This Row],[Reserva]],Tabela8[[Reserva]:[Usuário]],7,FALSE),Dados!$A$17)</f>
        <v>0.33333333333333331</v>
      </c>
      <c r="G553" s="40">
        <f>IF(RES_AB[[#This Row],[Reserva]]="","",IF(RES_AB[[#This Row],[Hora Int WMS]]&lt;Dados!$A$16,2,2))</f>
        <v>2</v>
      </c>
      <c r="H553" s="40" t="str">
        <f>IF(RES_AB[[#This Row],[Reserva]]="","",IFERROR(VLOOKUP(RES_AB[[#This Row],[Reserva]],Tabela3[[Reserva]:[Condição para Faturamento]],20,FALSE),"IMPORTADO COM SUCESSO"))</f>
        <v>IMPORTADO COM SUCESSO</v>
      </c>
      <c r="I553" s="38">
        <f>IF(RES_AB[[#This Row],[Data base]]="","",WORKDAY(RES_AB[[#This Row],[Data Reserva - Feriado e Fds]],RES_AB[[#This Row],[Dias para atendimento]],Feriados[Data]))</f>
        <v>45453</v>
      </c>
      <c r="J553" s="40" t="str">
        <f ca="1">IF(RES_AB[[#This Row],[Reserva]]="","",CONCATENATE("D+",NETWORKDAYS(RES_AB[[#This Row],[Data Reserva - Feriado e Fds]],TODAY(),Feriados[Data])-1))</f>
        <v>D+1</v>
      </c>
      <c r="K553" s="40" t="str">
        <f ca="1">IF(RES_AB[[#This Row],[Reserva]]="","",CONCATENATE(RES_AB[[#This Row],[Cen.]]," | ",RES_AB[[#This Row],[SLA2]]))</f>
        <v>N190 | D+1</v>
      </c>
      <c r="L553" s="40">
        <f ca="1">IF(RES_AB[[#This Row],[Reserva]]="","",IF(RES_AB[[#This Row],[SLA2]]=RES_AB[[#This Row],[Reserva]]="","",COUNTIF(MB25_VOLUMETRIA[Reserva],RES_AB[[#This Row],[Reserva]])))</f>
        <v>1</v>
      </c>
      <c r="M5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3" s="37" t="str">
        <f>IF(RES_AB[[#This Row],[Cen.]]="","",IFERROR(VLOOKUP(RES_AB[[#This Row],[Cen.]],Dados_Empresas[],2,FALSE),"Verificar empresa"))</f>
        <v>NET MASSIVO</v>
      </c>
      <c r="P553" s="37" t="str">
        <f>IF(RES_AB[[#This Row],[Empresa]]="","",IF(OR(RES_AB[[#This Row],[Empresa]]="NET MASSIVO",RES_AB[[#This Row],[Empresa]]="NET PROJETOS"),"NET","EMPRESARIAL"))</f>
        <v>NET</v>
      </c>
      <c r="Q553" s="37" t="str">
        <f>IF(RES_AB[[#This Row],[Reserva]]="","",IFERROR(VLOOKUP(RES_AB[[#This Row],[Reserva]],Tabela3[[Reserva]:[Descrição do status]],18,FALSE),"CONVENCIONAL"))</f>
        <v>CONVENCIONAL</v>
      </c>
    </row>
    <row r="554" spans="1:17" x14ac:dyDescent="0.25">
      <c r="A554" s="37">
        <v>4383916</v>
      </c>
      <c r="B554" s="37" t="s">
        <v>21</v>
      </c>
      <c r="C554" s="38" t="s">
        <v>19</v>
      </c>
      <c r="D554" s="38">
        <v>45449</v>
      </c>
      <c r="E5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4" s="39">
        <f>IFERROR(VLOOKUP(RES_AB[[#This Row],[Reserva]],Tabela8[[Reserva]:[Usuário]],7,FALSE),Dados!$A$17)</f>
        <v>0.33333333333333331</v>
      </c>
      <c r="G554" s="40">
        <f>IF(RES_AB[[#This Row],[Reserva]]="","",IF(RES_AB[[#This Row],[Hora Int WMS]]&lt;Dados!$A$16,2,2))</f>
        <v>2</v>
      </c>
      <c r="H554" s="40" t="str">
        <f>IF(RES_AB[[#This Row],[Reserva]]="","",IFERROR(VLOOKUP(RES_AB[[#This Row],[Reserva]],Tabela3[[Reserva]:[Condição para Faturamento]],20,FALSE),"IMPORTADO COM SUCESSO"))</f>
        <v>IMPORTADO COM SUCESSO</v>
      </c>
      <c r="I554" s="38">
        <f>IF(RES_AB[[#This Row],[Data base]]="","",WORKDAY(RES_AB[[#This Row],[Data Reserva - Feriado e Fds]],RES_AB[[#This Row],[Dias para atendimento]],Feriados[Data]))</f>
        <v>45453</v>
      </c>
      <c r="J554" s="40" t="str">
        <f ca="1">IF(RES_AB[[#This Row],[Reserva]]="","",CONCATENATE("D+",NETWORKDAYS(RES_AB[[#This Row],[Data Reserva - Feriado e Fds]],TODAY(),Feriados[Data])-1))</f>
        <v>D+1</v>
      </c>
      <c r="K554" s="40" t="str">
        <f ca="1">IF(RES_AB[[#This Row],[Reserva]]="","",CONCATENATE(RES_AB[[#This Row],[Cen.]]," | ",RES_AB[[#This Row],[SLA2]]))</f>
        <v>N190 | D+1</v>
      </c>
      <c r="L554" s="40">
        <f ca="1">IF(RES_AB[[#This Row],[Reserva]]="","",IF(RES_AB[[#This Row],[SLA2]]=RES_AB[[#This Row],[Reserva]]="","",COUNTIF(MB25_VOLUMETRIA[Reserva],RES_AB[[#This Row],[Reserva]])))</f>
        <v>2</v>
      </c>
      <c r="M5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4" s="37" t="str">
        <f>IF(RES_AB[[#This Row],[Cen.]]="","",IFERROR(VLOOKUP(RES_AB[[#This Row],[Cen.]],Dados_Empresas[],2,FALSE),"Verificar empresa"))</f>
        <v>NET MASSIVO</v>
      </c>
      <c r="P554" s="37" t="str">
        <f>IF(RES_AB[[#This Row],[Empresa]]="","",IF(OR(RES_AB[[#This Row],[Empresa]]="NET MASSIVO",RES_AB[[#This Row],[Empresa]]="NET PROJETOS"),"NET","EMPRESARIAL"))</f>
        <v>NET</v>
      </c>
      <c r="Q554" s="37" t="str">
        <f>IF(RES_AB[[#This Row],[Reserva]]="","",IFERROR(VLOOKUP(RES_AB[[#This Row],[Reserva]],Tabela3[[Reserva]:[Descrição do status]],18,FALSE),"CONVENCIONAL"))</f>
        <v>CONVENCIONAL</v>
      </c>
    </row>
    <row r="555" spans="1:17" x14ac:dyDescent="0.25">
      <c r="A555" s="37">
        <v>4383918</v>
      </c>
      <c r="B555" s="37" t="s">
        <v>21</v>
      </c>
      <c r="C555" s="38" t="s">
        <v>19</v>
      </c>
      <c r="D555" s="38">
        <v>45449</v>
      </c>
      <c r="E5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5" s="39">
        <f>IFERROR(VLOOKUP(RES_AB[[#This Row],[Reserva]],Tabela8[[Reserva]:[Usuário]],7,FALSE),Dados!$A$17)</f>
        <v>0.33333333333333331</v>
      </c>
      <c r="G555" s="40">
        <f>IF(RES_AB[[#This Row],[Reserva]]="","",IF(RES_AB[[#This Row],[Hora Int WMS]]&lt;Dados!$A$16,2,2))</f>
        <v>2</v>
      </c>
      <c r="H555" s="40" t="str">
        <f>IF(RES_AB[[#This Row],[Reserva]]="","",IFERROR(VLOOKUP(RES_AB[[#This Row],[Reserva]],Tabela3[[Reserva]:[Condição para Faturamento]],20,FALSE),"IMPORTADO COM SUCESSO"))</f>
        <v>IMPORTADO COM SUCESSO</v>
      </c>
      <c r="I555" s="38">
        <f>IF(RES_AB[[#This Row],[Data base]]="","",WORKDAY(RES_AB[[#This Row],[Data Reserva - Feriado e Fds]],RES_AB[[#This Row],[Dias para atendimento]],Feriados[Data]))</f>
        <v>45453</v>
      </c>
      <c r="J555" s="40" t="str">
        <f ca="1">IF(RES_AB[[#This Row],[Reserva]]="","",CONCATENATE("D+",NETWORKDAYS(RES_AB[[#This Row],[Data Reserva - Feriado e Fds]],TODAY(),Feriados[Data])-1))</f>
        <v>D+1</v>
      </c>
      <c r="K555" s="40" t="str">
        <f ca="1">IF(RES_AB[[#This Row],[Reserva]]="","",CONCATENATE(RES_AB[[#This Row],[Cen.]]," | ",RES_AB[[#This Row],[SLA2]]))</f>
        <v>N190 | D+1</v>
      </c>
      <c r="L555" s="40">
        <f ca="1">IF(RES_AB[[#This Row],[Reserva]]="","",IF(RES_AB[[#This Row],[SLA2]]=RES_AB[[#This Row],[Reserva]]="","",COUNTIF(MB25_VOLUMETRIA[Reserva],RES_AB[[#This Row],[Reserva]])))</f>
        <v>8</v>
      </c>
      <c r="M5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5" s="37" t="str">
        <f>IF(RES_AB[[#This Row],[Cen.]]="","",IFERROR(VLOOKUP(RES_AB[[#This Row],[Cen.]],Dados_Empresas[],2,FALSE),"Verificar empresa"))</f>
        <v>NET MASSIVO</v>
      </c>
      <c r="P555" s="37" t="str">
        <f>IF(RES_AB[[#This Row],[Empresa]]="","",IF(OR(RES_AB[[#This Row],[Empresa]]="NET MASSIVO",RES_AB[[#This Row],[Empresa]]="NET PROJETOS"),"NET","EMPRESARIAL"))</f>
        <v>NET</v>
      </c>
      <c r="Q555" s="37" t="str">
        <f>IF(RES_AB[[#This Row],[Reserva]]="","",IFERROR(VLOOKUP(RES_AB[[#This Row],[Reserva]],Tabela3[[Reserva]:[Descrição do status]],18,FALSE),"CONVENCIONAL"))</f>
        <v>CONVENCIONAL</v>
      </c>
    </row>
    <row r="556" spans="1:17" x14ac:dyDescent="0.25">
      <c r="A556" s="37">
        <v>4383919</v>
      </c>
      <c r="B556" s="37" t="s">
        <v>21</v>
      </c>
      <c r="C556" s="38" t="s">
        <v>19</v>
      </c>
      <c r="D556" s="38">
        <v>45449</v>
      </c>
      <c r="E5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6" s="39">
        <f>IFERROR(VLOOKUP(RES_AB[[#This Row],[Reserva]],Tabela8[[Reserva]:[Usuário]],7,FALSE),Dados!$A$17)</f>
        <v>0.93449074074074079</v>
      </c>
      <c r="G556" s="40">
        <f>IF(RES_AB[[#This Row],[Reserva]]="","",IF(RES_AB[[#This Row],[Hora Int WMS]]&lt;Dados!$A$16,2,2))</f>
        <v>2</v>
      </c>
      <c r="H556" s="40" t="str">
        <f>IF(RES_AB[[#This Row],[Reserva]]="","",IFERROR(VLOOKUP(RES_AB[[#This Row],[Reserva]],Tabela3[[Reserva]:[Condição para Faturamento]],20,FALSE),"IMPORTADO COM SUCESSO"))</f>
        <v>IMPORTADO COM SUCESSO</v>
      </c>
      <c r="I556" s="38">
        <f>IF(RES_AB[[#This Row],[Data base]]="","",WORKDAY(RES_AB[[#This Row],[Data Reserva - Feriado e Fds]],RES_AB[[#This Row],[Dias para atendimento]],Feriados[Data]))</f>
        <v>45453</v>
      </c>
      <c r="J556" s="40" t="str">
        <f ca="1">IF(RES_AB[[#This Row],[Reserva]]="","",CONCATENATE("D+",NETWORKDAYS(RES_AB[[#This Row],[Data Reserva - Feriado e Fds]],TODAY(),Feriados[Data])-1))</f>
        <v>D+1</v>
      </c>
      <c r="K556" s="40" t="str">
        <f ca="1">IF(RES_AB[[#This Row],[Reserva]]="","",CONCATENATE(RES_AB[[#This Row],[Cen.]]," | ",RES_AB[[#This Row],[SLA2]]))</f>
        <v>N190 | D+1</v>
      </c>
      <c r="L556" s="40">
        <f ca="1">IF(RES_AB[[#This Row],[Reserva]]="","",IF(RES_AB[[#This Row],[SLA2]]=RES_AB[[#This Row],[Reserva]]="","",COUNTIF(MB25_VOLUMETRIA[Reserva],RES_AB[[#This Row],[Reserva]])))</f>
        <v>6</v>
      </c>
      <c r="M5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6" s="37" t="str">
        <f>IF(RES_AB[[#This Row],[Cen.]]="","",IFERROR(VLOOKUP(RES_AB[[#This Row],[Cen.]],Dados_Empresas[],2,FALSE),"Verificar empresa"))</f>
        <v>NET MASSIVO</v>
      </c>
      <c r="P556" s="37" t="str">
        <f>IF(RES_AB[[#This Row],[Empresa]]="","",IF(OR(RES_AB[[#This Row],[Empresa]]="NET MASSIVO",RES_AB[[#This Row],[Empresa]]="NET PROJETOS"),"NET","EMPRESARIAL"))</f>
        <v>NET</v>
      </c>
      <c r="Q556" s="37" t="str">
        <f>IF(RES_AB[[#This Row],[Reserva]]="","",IFERROR(VLOOKUP(RES_AB[[#This Row],[Reserva]],Tabela3[[Reserva]:[Descrição do status]],18,FALSE),"CONVENCIONAL"))</f>
        <v>CONVENCIONAL</v>
      </c>
    </row>
    <row r="557" spans="1:17" x14ac:dyDescent="0.25">
      <c r="A557" s="37">
        <v>4383920</v>
      </c>
      <c r="B557" s="37" t="s">
        <v>21</v>
      </c>
      <c r="C557" s="38" t="s">
        <v>21</v>
      </c>
      <c r="D557" s="38">
        <v>45449</v>
      </c>
      <c r="E5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7" s="39">
        <f>IFERROR(VLOOKUP(RES_AB[[#This Row],[Reserva]],Tabela8[[Reserva]:[Usuário]],7,FALSE),Dados!$A$17)</f>
        <v>0.93449074074074079</v>
      </c>
      <c r="G557" s="40">
        <f>IF(RES_AB[[#This Row],[Reserva]]="","",IF(RES_AB[[#This Row],[Hora Int WMS]]&lt;Dados!$A$16,2,2))</f>
        <v>2</v>
      </c>
      <c r="H557" s="40" t="str">
        <f>IF(RES_AB[[#This Row],[Reserva]]="","",IFERROR(VLOOKUP(RES_AB[[#This Row],[Reserva]],Tabela3[[Reserva]:[Condição para Faturamento]],20,FALSE),"IMPORTADO COM SUCESSO"))</f>
        <v>IMPORTADO COM SUCESSO</v>
      </c>
      <c r="I557" s="38">
        <f>IF(RES_AB[[#This Row],[Data base]]="","",WORKDAY(RES_AB[[#This Row],[Data Reserva - Feriado e Fds]],RES_AB[[#This Row],[Dias para atendimento]],Feriados[Data]))</f>
        <v>45453</v>
      </c>
      <c r="J557" s="40" t="str">
        <f ca="1">IF(RES_AB[[#This Row],[Reserva]]="","",CONCATENATE("D+",NETWORKDAYS(RES_AB[[#This Row],[Data Reserva - Feriado e Fds]],TODAY(),Feriados[Data])-1))</f>
        <v>D+1</v>
      </c>
      <c r="K557" s="40" t="str">
        <f ca="1">IF(RES_AB[[#This Row],[Reserva]]="","",CONCATENATE(RES_AB[[#This Row],[Cen.]]," | ",RES_AB[[#This Row],[SLA2]]))</f>
        <v>N190 | D+1</v>
      </c>
      <c r="L557" s="40">
        <f ca="1">IF(RES_AB[[#This Row],[Reserva]]="","",IF(RES_AB[[#This Row],[SLA2]]=RES_AB[[#This Row],[Reserva]]="","",COUNTIF(MB25_VOLUMETRIA[Reserva],RES_AB[[#This Row],[Reserva]])))</f>
        <v>1</v>
      </c>
      <c r="M5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7" s="37" t="str">
        <f>IF(RES_AB[[#This Row],[Cen.]]="","",IFERROR(VLOOKUP(RES_AB[[#This Row],[Cen.]],Dados_Empresas[],2,FALSE),"Verificar empresa"))</f>
        <v>NET MASSIVO</v>
      </c>
      <c r="P557" s="37" t="str">
        <f>IF(RES_AB[[#This Row],[Empresa]]="","",IF(OR(RES_AB[[#This Row],[Empresa]]="NET MASSIVO",RES_AB[[#This Row],[Empresa]]="NET PROJETOS"),"NET","EMPRESARIAL"))</f>
        <v>NET</v>
      </c>
      <c r="Q557" s="37" t="str">
        <f>IF(RES_AB[[#This Row],[Reserva]]="","",IFERROR(VLOOKUP(RES_AB[[#This Row],[Reserva]],Tabela3[[Reserva]:[Descrição do status]],18,FALSE),"CONVENCIONAL"))</f>
        <v>CONVENCIONAL</v>
      </c>
    </row>
    <row r="558" spans="1:17" x14ac:dyDescent="0.25">
      <c r="A558" s="37">
        <v>4383921</v>
      </c>
      <c r="B558" s="37" t="s">
        <v>21</v>
      </c>
      <c r="C558" s="38" t="s">
        <v>19</v>
      </c>
      <c r="D558" s="38">
        <v>45449</v>
      </c>
      <c r="E5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8" s="39">
        <f>IFERROR(VLOOKUP(RES_AB[[#This Row],[Reserva]],Tabela8[[Reserva]:[Usuário]],7,FALSE),Dados!$A$17)</f>
        <v>0.33333333333333331</v>
      </c>
      <c r="G558" s="40">
        <f>IF(RES_AB[[#This Row],[Reserva]]="","",IF(RES_AB[[#This Row],[Hora Int WMS]]&lt;Dados!$A$16,2,2))</f>
        <v>2</v>
      </c>
      <c r="H558" s="40" t="str">
        <f>IF(RES_AB[[#This Row],[Reserva]]="","",IFERROR(VLOOKUP(RES_AB[[#This Row],[Reserva]],Tabela3[[Reserva]:[Condição para Faturamento]],20,FALSE),"IMPORTADO COM SUCESSO"))</f>
        <v>IMPORTADO COM SUCESSO</v>
      </c>
      <c r="I558" s="38">
        <f>IF(RES_AB[[#This Row],[Data base]]="","",WORKDAY(RES_AB[[#This Row],[Data Reserva - Feriado e Fds]],RES_AB[[#This Row],[Dias para atendimento]],Feriados[Data]))</f>
        <v>45453</v>
      </c>
      <c r="J558" s="40" t="str">
        <f ca="1">IF(RES_AB[[#This Row],[Reserva]]="","",CONCATENATE("D+",NETWORKDAYS(RES_AB[[#This Row],[Data Reserva - Feriado e Fds]],TODAY(),Feriados[Data])-1))</f>
        <v>D+1</v>
      </c>
      <c r="K558" s="40" t="str">
        <f ca="1">IF(RES_AB[[#This Row],[Reserva]]="","",CONCATENATE(RES_AB[[#This Row],[Cen.]]," | ",RES_AB[[#This Row],[SLA2]]))</f>
        <v>N190 | D+1</v>
      </c>
      <c r="L558" s="40">
        <f ca="1">IF(RES_AB[[#This Row],[Reserva]]="","",IF(RES_AB[[#This Row],[SLA2]]=RES_AB[[#This Row],[Reserva]]="","",COUNTIF(MB25_VOLUMETRIA[Reserva],RES_AB[[#This Row],[Reserva]])))</f>
        <v>3</v>
      </c>
      <c r="M5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8" s="37" t="str">
        <f>IF(RES_AB[[#This Row],[Cen.]]="","",IFERROR(VLOOKUP(RES_AB[[#This Row],[Cen.]],Dados_Empresas[],2,FALSE),"Verificar empresa"))</f>
        <v>NET MASSIVO</v>
      </c>
      <c r="P558" s="37" t="str">
        <f>IF(RES_AB[[#This Row],[Empresa]]="","",IF(OR(RES_AB[[#This Row],[Empresa]]="NET MASSIVO",RES_AB[[#This Row],[Empresa]]="NET PROJETOS"),"NET","EMPRESARIAL"))</f>
        <v>NET</v>
      </c>
      <c r="Q558" s="37" t="str">
        <f>IF(RES_AB[[#This Row],[Reserva]]="","",IFERROR(VLOOKUP(RES_AB[[#This Row],[Reserva]],Tabela3[[Reserva]:[Descrição do status]],18,FALSE),"CONVENCIONAL"))</f>
        <v>CONVENCIONAL</v>
      </c>
    </row>
    <row r="559" spans="1:17" x14ac:dyDescent="0.25">
      <c r="A559" s="37">
        <v>4383922</v>
      </c>
      <c r="B559" s="37" t="s">
        <v>21</v>
      </c>
      <c r="C559" s="38" t="s">
        <v>19</v>
      </c>
      <c r="D559" s="38">
        <v>45449</v>
      </c>
      <c r="E5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59" s="39">
        <f>IFERROR(VLOOKUP(RES_AB[[#This Row],[Reserva]],Tabela8[[Reserva]:[Usuário]],7,FALSE),Dados!$A$17)</f>
        <v>0.33333333333333331</v>
      </c>
      <c r="G559" s="40">
        <f>IF(RES_AB[[#This Row],[Reserva]]="","",IF(RES_AB[[#This Row],[Hora Int WMS]]&lt;Dados!$A$16,2,2))</f>
        <v>2</v>
      </c>
      <c r="H559" s="40" t="str">
        <f>IF(RES_AB[[#This Row],[Reserva]]="","",IFERROR(VLOOKUP(RES_AB[[#This Row],[Reserva]],Tabela3[[Reserva]:[Condição para Faturamento]],20,FALSE),"IMPORTADO COM SUCESSO"))</f>
        <v>IMPORTADO COM SUCESSO</v>
      </c>
      <c r="I559" s="38">
        <f>IF(RES_AB[[#This Row],[Data base]]="","",WORKDAY(RES_AB[[#This Row],[Data Reserva - Feriado e Fds]],RES_AB[[#This Row],[Dias para atendimento]],Feriados[Data]))</f>
        <v>45453</v>
      </c>
      <c r="J559" s="40" t="str">
        <f ca="1">IF(RES_AB[[#This Row],[Reserva]]="","",CONCATENATE("D+",NETWORKDAYS(RES_AB[[#This Row],[Data Reserva - Feriado e Fds]],TODAY(),Feriados[Data])-1))</f>
        <v>D+1</v>
      </c>
      <c r="K559" s="40" t="str">
        <f ca="1">IF(RES_AB[[#This Row],[Reserva]]="","",CONCATENATE(RES_AB[[#This Row],[Cen.]]," | ",RES_AB[[#This Row],[SLA2]]))</f>
        <v>N190 | D+1</v>
      </c>
      <c r="L559" s="40">
        <f ca="1">IF(RES_AB[[#This Row],[Reserva]]="","",IF(RES_AB[[#This Row],[SLA2]]=RES_AB[[#This Row],[Reserva]]="","",COUNTIF(MB25_VOLUMETRIA[Reserva],RES_AB[[#This Row],[Reserva]])))</f>
        <v>2</v>
      </c>
      <c r="M5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59" s="37" t="str">
        <f>IF(RES_AB[[#This Row],[Cen.]]="","",IFERROR(VLOOKUP(RES_AB[[#This Row],[Cen.]],Dados_Empresas[],2,FALSE),"Verificar empresa"))</f>
        <v>NET MASSIVO</v>
      </c>
      <c r="P559" s="37" t="str">
        <f>IF(RES_AB[[#This Row],[Empresa]]="","",IF(OR(RES_AB[[#This Row],[Empresa]]="NET MASSIVO",RES_AB[[#This Row],[Empresa]]="NET PROJETOS"),"NET","EMPRESARIAL"))</f>
        <v>NET</v>
      </c>
      <c r="Q559" s="37" t="str">
        <f>IF(RES_AB[[#This Row],[Reserva]]="","",IFERROR(VLOOKUP(RES_AB[[#This Row],[Reserva]],Tabela3[[Reserva]:[Descrição do status]],18,FALSE),"CONVENCIONAL"))</f>
        <v>CONVENCIONAL</v>
      </c>
    </row>
    <row r="560" spans="1:17" x14ac:dyDescent="0.25">
      <c r="A560" s="37">
        <v>4383923</v>
      </c>
      <c r="B560" s="37" t="s">
        <v>21</v>
      </c>
      <c r="C560" s="38" t="s">
        <v>19</v>
      </c>
      <c r="D560" s="38">
        <v>45449</v>
      </c>
      <c r="E5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0" s="39">
        <f>IFERROR(VLOOKUP(RES_AB[[#This Row],[Reserva]],Tabela8[[Reserva]:[Usuário]],7,FALSE),Dados!$A$17)</f>
        <v>0.93472222222222223</v>
      </c>
      <c r="G560" s="40">
        <f>IF(RES_AB[[#This Row],[Reserva]]="","",IF(RES_AB[[#This Row],[Hora Int WMS]]&lt;Dados!$A$16,2,2))</f>
        <v>2</v>
      </c>
      <c r="H560" s="40" t="str">
        <f>IF(RES_AB[[#This Row],[Reserva]]="","",IFERROR(VLOOKUP(RES_AB[[#This Row],[Reserva]],Tabela3[[Reserva]:[Condição para Faturamento]],20,FALSE),"IMPORTADO COM SUCESSO"))</f>
        <v>IMPORTADO COM SUCESSO</v>
      </c>
      <c r="I560" s="38">
        <f>IF(RES_AB[[#This Row],[Data base]]="","",WORKDAY(RES_AB[[#This Row],[Data Reserva - Feriado e Fds]],RES_AB[[#This Row],[Dias para atendimento]],Feriados[Data]))</f>
        <v>45453</v>
      </c>
      <c r="J560" s="40" t="str">
        <f ca="1">IF(RES_AB[[#This Row],[Reserva]]="","",CONCATENATE("D+",NETWORKDAYS(RES_AB[[#This Row],[Data Reserva - Feriado e Fds]],TODAY(),Feriados[Data])-1))</f>
        <v>D+1</v>
      </c>
      <c r="K560" s="40" t="str">
        <f ca="1">IF(RES_AB[[#This Row],[Reserva]]="","",CONCATENATE(RES_AB[[#This Row],[Cen.]]," | ",RES_AB[[#This Row],[SLA2]]))</f>
        <v>N190 | D+1</v>
      </c>
      <c r="L560" s="40">
        <f ca="1">IF(RES_AB[[#This Row],[Reserva]]="","",IF(RES_AB[[#This Row],[SLA2]]=RES_AB[[#This Row],[Reserva]]="","",COUNTIF(MB25_VOLUMETRIA[Reserva],RES_AB[[#This Row],[Reserva]])))</f>
        <v>2</v>
      </c>
      <c r="M5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0" s="37" t="str">
        <f>IF(RES_AB[[#This Row],[Cen.]]="","",IFERROR(VLOOKUP(RES_AB[[#This Row],[Cen.]],Dados_Empresas[],2,FALSE),"Verificar empresa"))</f>
        <v>NET MASSIVO</v>
      </c>
      <c r="P560" s="37" t="str">
        <f>IF(RES_AB[[#This Row],[Empresa]]="","",IF(OR(RES_AB[[#This Row],[Empresa]]="NET MASSIVO",RES_AB[[#This Row],[Empresa]]="NET PROJETOS"),"NET","EMPRESARIAL"))</f>
        <v>NET</v>
      </c>
      <c r="Q560" s="37" t="str">
        <f>IF(RES_AB[[#This Row],[Reserva]]="","",IFERROR(VLOOKUP(RES_AB[[#This Row],[Reserva]],Tabela3[[Reserva]:[Descrição do status]],18,FALSE),"CONVENCIONAL"))</f>
        <v>CONVENCIONAL</v>
      </c>
    </row>
    <row r="561" spans="1:17" x14ac:dyDescent="0.25">
      <c r="A561" s="37">
        <v>4383924</v>
      </c>
      <c r="B561" s="37" t="s">
        <v>21</v>
      </c>
      <c r="C561" s="38" t="s">
        <v>21</v>
      </c>
      <c r="D561" s="38">
        <v>45449</v>
      </c>
      <c r="E5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1" s="39">
        <f>IFERROR(VLOOKUP(RES_AB[[#This Row],[Reserva]],Tabela8[[Reserva]:[Usuário]],7,FALSE),Dados!$A$17)</f>
        <v>0.93483796296296295</v>
      </c>
      <c r="G561" s="40">
        <f>IF(RES_AB[[#This Row],[Reserva]]="","",IF(RES_AB[[#This Row],[Hora Int WMS]]&lt;Dados!$A$16,2,2))</f>
        <v>2</v>
      </c>
      <c r="H561" s="40" t="str">
        <f>IF(RES_AB[[#This Row],[Reserva]]="","",IFERROR(VLOOKUP(RES_AB[[#This Row],[Reserva]],Tabela3[[Reserva]:[Condição para Faturamento]],20,FALSE),"IMPORTADO COM SUCESSO"))</f>
        <v>IMPORTADO COM SUCESSO</v>
      </c>
      <c r="I561" s="38">
        <f>IF(RES_AB[[#This Row],[Data base]]="","",WORKDAY(RES_AB[[#This Row],[Data Reserva - Feriado e Fds]],RES_AB[[#This Row],[Dias para atendimento]],Feriados[Data]))</f>
        <v>45453</v>
      </c>
      <c r="J561" s="40" t="str">
        <f ca="1">IF(RES_AB[[#This Row],[Reserva]]="","",CONCATENATE("D+",NETWORKDAYS(RES_AB[[#This Row],[Data Reserva - Feriado e Fds]],TODAY(),Feriados[Data])-1))</f>
        <v>D+1</v>
      </c>
      <c r="K561" s="40" t="str">
        <f ca="1">IF(RES_AB[[#This Row],[Reserva]]="","",CONCATENATE(RES_AB[[#This Row],[Cen.]]," | ",RES_AB[[#This Row],[SLA2]]))</f>
        <v>N190 | D+1</v>
      </c>
      <c r="L561" s="40">
        <f ca="1">IF(RES_AB[[#This Row],[Reserva]]="","",IF(RES_AB[[#This Row],[SLA2]]=RES_AB[[#This Row],[Reserva]]="","",COUNTIF(MB25_VOLUMETRIA[Reserva],RES_AB[[#This Row],[Reserva]])))</f>
        <v>9</v>
      </c>
      <c r="M5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1" s="37" t="str">
        <f>IF(RES_AB[[#This Row],[Cen.]]="","",IFERROR(VLOOKUP(RES_AB[[#This Row],[Cen.]],Dados_Empresas[],2,FALSE),"Verificar empresa"))</f>
        <v>NET MASSIVO</v>
      </c>
      <c r="P561" s="37" t="str">
        <f>IF(RES_AB[[#This Row],[Empresa]]="","",IF(OR(RES_AB[[#This Row],[Empresa]]="NET MASSIVO",RES_AB[[#This Row],[Empresa]]="NET PROJETOS"),"NET","EMPRESARIAL"))</f>
        <v>NET</v>
      </c>
      <c r="Q561" s="37" t="str">
        <f>IF(RES_AB[[#This Row],[Reserva]]="","",IFERROR(VLOOKUP(RES_AB[[#This Row],[Reserva]],Tabela3[[Reserva]:[Descrição do status]],18,FALSE),"CONVENCIONAL"))</f>
        <v>CONVENCIONAL</v>
      </c>
    </row>
    <row r="562" spans="1:17" x14ac:dyDescent="0.25">
      <c r="A562" s="37">
        <v>4383925</v>
      </c>
      <c r="B562" s="37" t="s">
        <v>21</v>
      </c>
      <c r="C562" s="38" t="s">
        <v>19</v>
      </c>
      <c r="D562" s="38">
        <v>45449</v>
      </c>
      <c r="E5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2" s="39">
        <f>IFERROR(VLOOKUP(RES_AB[[#This Row],[Reserva]],Tabela8[[Reserva]:[Usuário]],7,FALSE),Dados!$A$17)</f>
        <v>0.93495370370370368</v>
      </c>
      <c r="G562" s="40">
        <f>IF(RES_AB[[#This Row],[Reserva]]="","",IF(RES_AB[[#This Row],[Hora Int WMS]]&lt;Dados!$A$16,2,2))</f>
        <v>2</v>
      </c>
      <c r="H562" s="40" t="str">
        <f>IF(RES_AB[[#This Row],[Reserva]]="","",IFERROR(VLOOKUP(RES_AB[[#This Row],[Reserva]],Tabela3[[Reserva]:[Condição para Faturamento]],20,FALSE),"IMPORTADO COM SUCESSO"))</f>
        <v>IMPORTADO COM SUCESSO</v>
      </c>
      <c r="I562" s="38">
        <f>IF(RES_AB[[#This Row],[Data base]]="","",WORKDAY(RES_AB[[#This Row],[Data Reserva - Feriado e Fds]],RES_AB[[#This Row],[Dias para atendimento]],Feriados[Data]))</f>
        <v>45453</v>
      </c>
      <c r="J562" s="40" t="str">
        <f ca="1">IF(RES_AB[[#This Row],[Reserva]]="","",CONCATENATE("D+",NETWORKDAYS(RES_AB[[#This Row],[Data Reserva - Feriado e Fds]],TODAY(),Feriados[Data])-1))</f>
        <v>D+1</v>
      </c>
      <c r="K562" s="40" t="str">
        <f ca="1">IF(RES_AB[[#This Row],[Reserva]]="","",CONCATENATE(RES_AB[[#This Row],[Cen.]]," | ",RES_AB[[#This Row],[SLA2]]))</f>
        <v>N190 | D+1</v>
      </c>
      <c r="L562" s="40">
        <f ca="1">IF(RES_AB[[#This Row],[Reserva]]="","",IF(RES_AB[[#This Row],[SLA2]]=RES_AB[[#This Row],[Reserva]]="","",COUNTIF(MB25_VOLUMETRIA[Reserva],RES_AB[[#This Row],[Reserva]])))</f>
        <v>3</v>
      </c>
      <c r="M5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2" s="37" t="str">
        <f>IF(RES_AB[[#This Row],[Cen.]]="","",IFERROR(VLOOKUP(RES_AB[[#This Row],[Cen.]],Dados_Empresas[],2,FALSE),"Verificar empresa"))</f>
        <v>NET MASSIVO</v>
      </c>
      <c r="P562" s="37" t="str">
        <f>IF(RES_AB[[#This Row],[Empresa]]="","",IF(OR(RES_AB[[#This Row],[Empresa]]="NET MASSIVO",RES_AB[[#This Row],[Empresa]]="NET PROJETOS"),"NET","EMPRESARIAL"))</f>
        <v>NET</v>
      </c>
      <c r="Q562" s="37" t="str">
        <f>IF(RES_AB[[#This Row],[Reserva]]="","",IFERROR(VLOOKUP(RES_AB[[#This Row],[Reserva]],Tabela3[[Reserva]:[Descrição do status]],18,FALSE),"CONVENCIONAL"))</f>
        <v>CONVENCIONAL</v>
      </c>
    </row>
    <row r="563" spans="1:17" x14ac:dyDescent="0.25">
      <c r="A563" s="37">
        <v>4383926</v>
      </c>
      <c r="B563" s="37" t="s">
        <v>21</v>
      </c>
      <c r="C563" s="38" t="s">
        <v>19</v>
      </c>
      <c r="D563" s="38">
        <v>45449</v>
      </c>
      <c r="E5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3" s="39">
        <f>IFERROR(VLOOKUP(RES_AB[[#This Row],[Reserva]],Tabela8[[Reserva]:[Usuário]],7,FALSE),Dados!$A$17)</f>
        <v>0.93495370370370368</v>
      </c>
      <c r="G563" s="40">
        <f>IF(RES_AB[[#This Row],[Reserva]]="","",IF(RES_AB[[#This Row],[Hora Int WMS]]&lt;Dados!$A$16,2,2))</f>
        <v>2</v>
      </c>
      <c r="H563" s="40" t="str">
        <f>IF(RES_AB[[#This Row],[Reserva]]="","",IFERROR(VLOOKUP(RES_AB[[#This Row],[Reserva]],Tabela3[[Reserva]:[Condição para Faturamento]],20,FALSE),"IMPORTADO COM SUCESSO"))</f>
        <v>IMPORTADO COM SUCESSO</v>
      </c>
      <c r="I563" s="38">
        <f>IF(RES_AB[[#This Row],[Data base]]="","",WORKDAY(RES_AB[[#This Row],[Data Reserva - Feriado e Fds]],RES_AB[[#This Row],[Dias para atendimento]],Feriados[Data]))</f>
        <v>45453</v>
      </c>
      <c r="J563" s="40" t="str">
        <f ca="1">IF(RES_AB[[#This Row],[Reserva]]="","",CONCATENATE("D+",NETWORKDAYS(RES_AB[[#This Row],[Data Reserva - Feriado e Fds]],TODAY(),Feriados[Data])-1))</f>
        <v>D+1</v>
      </c>
      <c r="K563" s="40" t="str">
        <f ca="1">IF(RES_AB[[#This Row],[Reserva]]="","",CONCATENATE(RES_AB[[#This Row],[Cen.]]," | ",RES_AB[[#This Row],[SLA2]]))</f>
        <v>N190 | D+1</v>
      </c>
      <c r="L563" s="40">
        <f ca="1">IF(RES_AB[[#This Row],[Reserva]]="","",IF(RES_AB[[#This Row],[SLA2]]=RES_AB[[#This Row],[Reserva]]="","",COUNTIF(MB25_VOLUMETRIA[Reserva],RES_AB[[#This Row],[Reserva]])))</f>
        <v>2</v>
      </c>
      <c r="M5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3" s="37" t="str">
        <f>IF(RES_AB[[#This Row],[Cen.]]="","",IFERROR(VLOOKUP(RES_AB[[#This Row],[Cen.]],Dados_Empresas[],2,FALSE),"Verificar empresa"))</f>
        <v>NET MASSIVO</v>
      </c>
      <c r="P563" s="37" t="str">
        <f>IF(RES_AB[[#This Row],[Empresa]]="","",IF(OR(RES_AB[[#This Row],[Empresa]]="NET MASSIVO",RES_AB[[#This Row],[Empresa]]="NET PROJETOS"),"NET","EMPRESARIAL"))</f>
        <v>NET</v>
      </c>
      <c r="Q563" s="37" t="str">
        <f>IF(RES_AB[[#This Row],[Reserva]]="","",IFERROR(VLOOKUP(RES_AB[[#This Row],[Reserva]],Tabela3[[Reserva]:[Descrição do status]],18,FALSE),"CONVENCIONAL"))</f>
        <v>CONVENCIONAL</v>
      </c>
    </row>
    <row r="564" spans="1:17" x14ac:dyDescent="0.25">
      <c r="A564" s="37">
        <v>4383927</v>
      </c>
      <c r="B564" s="37" t="s">
        <v>21</v>
      </c>
      <c r="C564" s="38" t="s">
        <v>19</v>
      </c>
      <c r="D564" s="38">
        <v>45449</v>
      </c>
      <c r="E5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4" s="39">
        <f>IFERROR(VLOOKUP(RES_AB[[#This Row],[Reserva]],Tabela8[[Reserva]:[Usuário]],7,FALSE),Dados!$A$17)</f>
        <v>0.9350694444444444</v>
      </c>
      <c r="G564" s="40">
        <f>IF(RES_AB[[#This Row],[Reserva]]="","",IF(RES_AB[[#This Row],[Hora Int WMS]]&lt;Dados!$A$16,2,2))</f>
        <v>2</v>
      </c>
      <c r="H564" s="40" t="str">
        <f>IF(RES_AB[[#This Row],[Reserva]]="","",IFERROR(VLOOKUP(RES_AB[[#This Row],[Reserva]],Tabela3[[Reserva]:[Condição para Faturamento]],20,FALSE),"IMPORTADO COM SUCESSO"))</f>
        <v>IMPORTADO COM SUCESSO</v>
      </c>
      <c r="I564" s="38">
        <f>IF(RES_AB[[#This Row],[Data base]]="","",WORKDAY(RES_AB[[#This Row],[Data Reserva - Feriado e Fds]],RES_AB[[#This Row],[Dias para atendimento]],Feriados[Data]))</f>
        <v>45453</v>
      </c>
      <c r="J564" s="40" t="str">
        <f ca="1">IF(RES_AB[[#This Row],[Reserva]]="","",CONCATENATE("D+",NETWORKDAYS(RES_AB[[#This Row],[Data Reserva - Feriado e Fds]],TODAY(),Feriados[Data])-1))</f>
        <v>D+1</v>
      </c>
      <c r="K564" s="40" t="str">
        <f ca="1">IF(RES_AB[[#This Row],[Reserva]]="","",CONCATENATE(RES_AB[[#This Row],[Cen.]]," | ",RES_AB[[#This Row],[SLA2]]))</f>
        <v>N190 | D+1</v>
      </c>
      <c r="L564" s="40">
        <f ca="1">IF(RES_AB[[#This Row],[Reserva]]="","",IF(RES_AB[[#This Row],[SLA2]]=RES_AB[[#This Row],[Reserva]]="","",COUNTIF(MB25_VOLUMETRIA[Reserva],RES_AB[[#This Row],[Reserva]])))</f>
        <v>3</v>
      </c>
      <c r="M5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4" s="37" t="str">
        <f>IF(RES_AB[[#This Row],[Cen.]]="","",IFERROR(VLOOKUP(RES_AB[[#This Row],[Cen.]],Dados_Empresas[],2,FALSE),"Verificar empresa"))</f>
        <v>NET MASSIVO</v>
      </c>
      <c r="P564" s="37" t="str">
        <f>IF(RES_AB[[#This Row],[Empresa]]="","",IF(OR(RES_AB[[#This Row],[Empresa]]="NET MASSIVO",RES_AB[[#This Row],[Empresa]]="NET PROJETOS"),"NET","EMPRESARIAL"))</f>
        <v>NET</v>
      </c>
      <c r="Q564" s="37" t="str">
        <f>IF(RES_AB[[#This Row],[Reserva]]="","",IFERROR(VLOOKUP(RES_AB[[#This Row],[Reserva]],Tabela3[[Reserva]:[Descrição do status]],18,FALSE),"CONVENCIONAL"))</f>
        <v>CONVENCIONAL</v>
      </c>
    </row>
    <row r="565" spans="1:17" x14ac:dyDescent="0.25">
      <c r="A565" s="37">
        <v>4383928</v>
      </c>
      <c r="B565" s="37" t="s">
        <v>21</v>
      </c>
      <c r="C565" s="38" t="s">
        <v>19</v>
      </c>
      <c r="D565" s="38">
        <v>45449</v>
      </c>
      <c r="E5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5" s="39">
        <f>IFERROR(VLOOKUP(RES_AB[[#This Row],[Reserva]],Tabela8[[Reserva]:[Usuário]],7,FALSE),Dados!$A$17)</f>
        <v>0.93518518518518523</v>
      </c>
      <c r="G565" s="40">
        <f>IF(RES_AB[[#This Row],[Reserva]]="","",IF(RES_AB[[#This Row],[Hora Int WMS]]&lt;Dados!$A$16,2,2))</f>
        <v>2</v>
      </c>
      <c r="H565" s="40" t="str">
        <f>IF(RES_AB[[#This Row],[Reserva]]="","",IFERROR(VLOOKUP(RES_AB[[#This Row],[Reserva]],Tabela3[[Reserva]:[Condição para Faturamento]],20,FALSE),"IMPORTADO COM SUCESSO"))</f>
        <v>IMPORTADO COM SUCESSO</v>
      </c>
      <c r="I565" s="38">
        <f>IF(RES_AB[[#This Row],[Data base]]="","",WORKDAY(RES_AB[[#This Row],[Data Reserva - Feriado e Fds]],RES_AB[[#This Row],[Dias para atendimento]],Feriados[Data]))</f>
        <v>45453</v>
      </c>
      <c r="J565" s="40" t="str">
        <f ca="1">IF(RES_AB[[#This Row],[Reserva]]="","",CONCATENATE("D+",NETWORKDAYS(RES_AB[[#This Row],[Data Reserva - Feriado e Fds]],TODAY(),Feriados[Data])-1))</f>
        <v>D+1</v>
      </c>
      <c r="K565" s="40" t="str">
        <f ca="1">IF(RES_AB[[#This Row],[Reserva]]="","",CONCATENATE(RES_AB[[#This Row],[Cen.]]," | ",RES_AB[[#This Row],[SLA2]]))</f>
        <v>N190 | D+1</v>
      </c>
      <c r="L565" s="40">
        <f ca="1">IF(RES_AB[[#This Row],[Reserva]]="","",IF(RES_AB[[#This Row],[SLA2]]=RES_AB[[#This Row],[Reserva]]="","",COUNTIF(MB25_VOLUMETRIA[Reserva],RES_AB[[#This Row],[Reserva]])))</f>
        <v>4</v>
      </c>
      <c r="M5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5" s="37" t="str">
        <f>IF(RES_AB[[#This Row],[Cen.]]="","",IFERROR(VLOOKUP(RES_AB[[#This Row],[Cen.]],Dados_Empresas[],2,FALSE),"Verificar empresa"))</f>
        <v>NET MASSIVO</v>
      </c>
      <c r="P565" s="37" t="str">
        <f>IF(RES_AB[[#This Row],[Empresa]]="","",IF(OR(RES_AB[[#This Row],[Empresa]]="NET MASSIVO",RES_AB[[#This Row],[Empresa]]="NET PROJETOS"),"NET","EMPRESARIAL"))</f>
        <v>NET</v>
      </c>
      <c r="Q565" s="37" t="str">
        <f>IF(RES_AB[[#This Row],[Reserva]]="","",IFERROR(VLOOKUP(RES_AB[[#This Row],[Reserva]],Tabela3[[Reserva]:[Descrição do status]],18,FALSE),"CONVENCIONAL"))</f>
        <v>CONVENCIONAL</v>
      </c>
    </row>
    <row r="566" spans="1:17" x14ac:dyDescent="0.25">
      <c r="A566" s="37">
        <v>4383929</v>
      </c>
      <c r="B566" s="37" t="s">
        <v>21</v>
      </c>
      <c r="C566" s="38" t="s">
        <v>19</v>
      </c>
      <c r="D566" s="38">
        <v>45449</v>
      </c>
      <c r="E5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6" s="39">
        <f>IFERROR(VLOOKUP(RES_AB[[#This Row],[Reserva]],Tabela8[[Reserva]:[Usuário]],7,FALSE),Dados!$A$17)</f>
        <v>0.93518518518518523</v>
      </c>
      <c r="G566" s="40">
        <f>IF(RES_AB[[#This Row],[Reserva]]="","",IF(RES_AB[[#This Row],[Hora Int WMS]]&lt;Dados!$A$16,2,2))</f>
        <v>2</v>
      </c>
      <c r="H566" s="40" t="str">
        <f>IF(RES_AB[[#This Row],[Reserva]]="","",IFERROR(VLOOKUP(RES_AB[[#This Row],[Reserva]],Tabela3[[Reserva]:[Condição para Faturamento]],20,FALSE),"IMPORTADO COM SUCESSO"))</f>
        <v>IMPORTADO COM SUCESSO</v>
      </c>
      <c r="I566" s="38">
        <f>IF(RES_AB[[#This Row],[Data base]]="","",WORKDAY(RES_AB[[#This Row],[Data Reserva - Feriado e Fds]],RES_AB[[#This Row],[Dias para atendimento]],Feriados[Data]))</f>
        <v>45453</v>
      </c>
      <c r="J566" s="40" t="str">
        <f ca="1">IF(RES_AB[[#This Row],[Reserva]]="","",CONCATENATE("D+",NETWORKDAYS(RES_AB[[#This Row],[Data Reserva - Feriado e Fds]],TODAY(),Feriados[Data])-1))</f>
        <v>D+1</v>
      </c>
      <c r="K566" s="40" t="str">
        <f ca="1">IF(RES_AB[[#This Row],[Reserva]]="","",CONCATENATE(RES_AB[[#This Row],[Cen.]]," | ",RES_AB[[#This Row],[SLA2]]))</f>
        <v>N190 | D+1</v>
      </c>
      <c r="L566" s="40">
        <f ca="1">IF(RES_AB[[#This Row],[Reserva]]="","",IF(RES_AB[[#This Row],[SLA2]]=RES_AB[[#This Row],[Reserva]]="","",COUNTIF(MB25_VOLUMETRIA[Reserva],RES_AB[[#This Row],[Reserva]])))</f>
        <v>5</v>
      </c>
      <c r="M5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6" s="37" t="str">
        <f>IF(RES_AB[[#This Row],[Cen.]]="","",IFERROR(VLOOKUP(RES_AB[[#This Row],[Cen.]],Dados_Empresas[],2,FALSE),"Verificar empresa"))</f>
        <v>NET MASSIVO</v>
      </c>
      <c r="P566" s="37" t="str">
        <f>IF(RES_AB[[#This Row],[Empresa]]="","",IF(OR(RES_AB[[#This Row],[Empresa]]="NET MASSIVO",RES_AB[[#This Row],[Empresa]]="NET PROJETOS"),"NET","EMPRESARIAL"))</f>
        <v>NET</v>
      </c>
      <c r="Q566" s="37" t="str">
        <f>IF(RES_AB[[#This Row],[Reserva]]="","",IFERROR(VLOOKUP(RES_AB[[#This Row],[Reserva]],Tabela3[[Reserva]:[Descrição do status]],18,FALSE),"CONVENCIONAL"))</f>
        <v>CONVENCIONAL</v>
      </c>
    </row>
    <row r="567" spans="1:17" x14ac:dyDescent="0.25">
      <c r="A567" s="37">
        <v>4383931</v>
      </c>
      <c r="B567" s="37" t="s">
        <v>21</v>
      </c>
      <c r="C567" s="38" t="s">
        <v>182</v>
      </c>
      <c r="D567" s="38">
        <v>45449</v>
      </c>
      <c r="E56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7" s="39">
        <f>IFERROR(VLOOKUP(RES_AB[[#This Row],[Reserva]],Tabela8[[Reserva]:[Usuário]],7,FALSE),Dados!$A$17)</f>
        <v>0.93530092592592595</v>
      </c>
      <c r="G567" s="40">
        <f>IF(RES_AB[[#This Row],[Reserva]]="","",IF(RES_AB[[#This Row],[Hora Int WMS]]&lt;Dados!$A$16,2,2))</f>
        <v>2</v>
      </c>
      <c r="H567" s="40" t="str">
        <f>IF(RES_AB[[#This Row],[Reserva]]="","",IFERROR(VLOOKUP(RES_AB[[#This Row],[Reserva]],Tabela3[[Reserva]:[Condição para Faturamento]],20,FALSE),"IMPORTADO COM SUCESSO"))</f>
        <v>IMPORTADO COM SUCESSO</v>
      </c>
      <c r="I567" s="38">
        <f>IF(RES_AB[[#This Row],[Data base]]="","",WORKDAY(RES_AB[[#This Row],[Data Reserva - Feriado e Fds]],RES_AB[[#This Row],[Dias para atendimento]],Feriados[Data]))</f>
        <v>45453</v>
      </c>
      <c r="J567" s="40" t="str">
        <f ca="1">IF(RES_AB[[#This Row],[Reserva]]="","",CONCATENATE("D+",NETWORKDAYS(RES_AB[[#This Row],[Data Reserva - Feriado e Fds]],TODAY(),Feriados[Data])-1))</f>
        <v>D+1</v>
      </c>
      <c r="K567" s="40" t="str">
        <f ca="1">IF(RES_AB[[#This Row],[Reserva]]="","",CONCATENATE(RES_AB[[#This Row],[Cen.]]," | ",RES_AB[[#This Row],[SLA2]]))</f>
        <v>N190 | D+1</v>
      </c>
      <c r="L567" s="40">
        <f ca="1">IF(RES_AB[[#This Row],[Reserva]]="","",IF(RES_AB[[#This Row],[SLA2]]=RES_AB[[#This Row],[Reserva]]="","",COUNTIF(MB25_VOLUMETRIA[Reserva],RES_AB[[#This Row],[Reserva]])))</f>
        <v>3</v>
      </c>
      <c r="M56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7" s="37" t="str">
        <f>IF(RES_AB[[#This Row],[Cen.]]="","",IFERROR(VLOOKUP(RES_AB[[#This Row],[Cen.]],Dados_Empresas[],2,FALSE),"Verificar empresa"))</f>
        <v>NET MASSIVO</v>
      </c>
      <c r="P567" s="37" t="str">
        <f>IF(RES_AB[[#This Row],[Empresa]]="","",IF(OR(RES_AB[[#This Row],[Empresa]]="NET MASSIVO",RES_AB[[#This Row],[Empresa]]="NET PROJETOS"),"NET","EMPRESARIAL"))</f>
        <v>NET</v>
      </c>
      <c r="Q567" s="37" t="str">
        <f>IF(RES_AB[[#This Row],[Reserva]]="","",IFERROR(VLOOKUP(RES_AB[[#This Row],[Reserva]],Tabela3[[Reserva]:[Descrição do status]],18,FALSE),"CONVENCIONAL"))</f>
        <v>CONVENCIONAL</v>
      </c>
    </row>
    <row r="568" spans="1:17" x14ac:dyDescent="0.25">
      <c r="A568" s="37">
        <v>4383932</v>
      </c>
      <c r="B568" s="37" t="s">
        <v>21</v>
      </c>
      <c r="C568" s="38" t="s">
        <v>182</v>
      </c>
      <c r="D568" s="38">
        <v>45449</v>
      </c>
      <c r="E56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8" s="39">
        <f>IFERROR(VLOOKUP(RES_AB[[#This Row],[Reserva]],Tabela8[[Reserva]:[Usuário]],7,FALSE),Dados!$A$17)</f>
        <v>0.93541666666666667</v>
      </c>
      <c r="G568" s="40">
        <f>IF(RES_AB[[#This Row],[Reserva]]="","",IF(RES_AB[[#This Row],[Hora Int WMS]]&lt;Dados!$A$16,2,2))</f>
        <v>2</v>
      </c>
      <c r="H568" s="40" t="str">
        <f>IF(RES_AB[[#This Row],[Reserva]]="","",IFERROR(VLOOKUP(RES_AB[[#This Row],[Reserva]],Tabela3[[Reserva]:[Condição para Faturamento]],20,FALSE),"IMPORTADO COM SUCESSO"))</f>
        <v>IMPORTADO COM SUCESSO</v>
      </c>
      <c r="I568" s="38">
        <f>IF(RES_AB[[#This Row],[Data base]]="","",WORKDAY(RES_AB[[#This Row],[Data Reserva - Feriado e Fds]],RES_AB[[#This Row],[Dias para atendimento]],Feriados[Data]))</f>
        <v>45453</v>
      </c>
      <c r="J568" s="40" t="str">
        <f ca="1">IF(RES_AB[[#This Row],[Reserva]]="","",CONCATENATE("D+",NETWORKDAYS(RES_AB[[#This Row],[Data Reserva - Feriado e Fds]],TODAY(),Feriados[Data])-1))</f>
        <v>D+1</v>
      </c>
      <c r="K568" s="40" t="str">
        <f ca="1">IF(RES_AB[[#This Row],[Reserva]]="","",CONCATENATE(RES_AB[[#This Row],[Cen.]]," | ",RES_AB[[#This Row],[SLA2]]))</f>
        <v>N190 | D+1</v>
      </c>
      <c r="L568" s="40">
        <f ca="1">IF(RES_AB[[#This Row],[Reserva]]="","",IF(RES_AB[[#This Row],[SLA2]]=RES_AB[[#This Row],[Reserva]]="","",COUNTIF(MB25_VOLUMETRIA[Reserva],RES_AB[[#This Row],[Reserva]])))</f>
        <v>1</v>
      </c>
      <c r="M56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8" s="37" t="str">
        <f>IF(RES_AB[[#This Row],[Cen.]]="","",IFERROR(VLOOKUP(RES_AB[[#This Row],[Cen.]],Dados_Empresas[],2,FALSE),"Verificar empresa"))</f>
        <v>NET MASSIVO</v>
      </c>
      <c r="P568" s="37" t="str">
        <f>IF(RES_AB[[#This Row],[Empresa]]="","",IF(OR(RES_AB[[#This Row],[Empresa]]="NET MASSIVO",RES_AB[[#This Row],[Empresa]]="NET PROJETOS"),"NET","EMPRESARIAL"))</f>
        <v>NET</v>
      </c>
      <c r="Q568" s="37" t="str">
        <f>IF(RES_AB[[#This Row],[Reserva]]="","",IFERROR(VLOOKUP(RES_AB[[#This Row],[Reserva]],Tabela3[[Reserva]:[Descrição do status]],18,FALSE),"CONVENCIONAL"))</f>
        <v>CONVENCIONAL</v>
      </c>
    </row>
    <row r="569" spans="1:17" x14ac:dyDescent="0.25">
      <c r="A569" s="37">
        <v>4383933</v>
      </c>
      <c r="B569" s="37" t="s">
        <v>21</v>
      </c>
      <c r="C569" s="38" t="s">
        <v>19</v>
      </c>
      <c r="D569" s="38">
        <v>45449</v>
      </c>
      <c r="E56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69" s="39">
        <f>IFERROR(VLOOKUP(RES_AB[[#This Row],[Reserva]],Tabela8[[Reserva]:[Usuário]],7,FALSE),Dados!$A$17)</f>
        <v>0.93541666666666667</v>
      </c>
      <c r="G569" s="40">
        <f>IF(RES_AB[[#This Row],[Reserva]]="","",IF(RES_AB[[#This Row],[Hora Int WMS]]&lt;Dados!$A$16,2,2))</f>
        <v>2</v>
      </c>
      <c r="H569" s="40" t="str">
        <f>IF(RES_AB[[#This Row],[Reserva]]="","",IFERROR(VLOOKUP(RES_AB[[#This Row],[Reserva]],Tabela3[[Reserva]:[Condição para Faturamento]],20,FALSE),"IMPORTADO COM SUCESSO"))</f>
        <v>IMPORTADO COM SUCESSO</v>
      </c>
      <c r="I569" s="38">
        <f>IF(RES_AB[[#This Row],[Data base]]="","",WORKDAY(RES_AB[[#This Row],[Data Reserva - Feriado e Fds]],RES_AB[[#This Row],[Dias para atendimento]],Feriados[Data]))</f>
        <v>45453</v>
      </c>
      <c r="J569" s="40" t="str">
        <f ca="1">IF(RES_AB[[#This Row],[Reserva]]="","",CONCATENATE("D+",NETWORKDAYS(RES_AB[[#This Row],[Data Reserva - Feriado e Fds]],TODAY(),Feriados[Data])-1))</f>
        <v>D+1</v>
      </c>
      <c r="K569" s="40" t="str">
        <f ca="1">IF(RES_AB[[#This Row],[Reserva]]="","",CONCATENATE(RES_AB[[#This Row],[Cen.]]," | ",RES_AB[[#This Row],[SLA2]]))</f>
        <v>N190 | D+1</v>
      </c>
      <c r="L569" s="40">
        <f ca="1">IF(RES_AB[[#This Row],[Reserva]]="","",IF(RES_AB[[#This Row],[SLA2]]=RES_AB[[#This Row],[Reserva]]="","",COUNTIF(MB25_VOLUMETRIA[Reserva],RES_AB[[#This Row],[Reserva]])))</f>
        <v>4</v>
      </c>
      <c r="M56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6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69" s="37" t="str">
        <f>IF(RES_AB[[#This Row],[Cen.]]="","",IFERROR(VLOOKUP(RES_AB[[#This Row],[Cen.]],Dados_Empresas[],2,FALSE),"Verificar empresa"))</f>
        <v>NET MASSIVO</v>
      </c>
      <c r="P569" s="37" t="str">
        <f>IF(RES_AB[[#This Row],[Empresa]]="","",IF(OR(RES_AB[[#This Row],[Empresa]]="NET MASSIVO",RES_AB[[#This Row],[Empresa]]="NET PROJETOS"),"NET","EMPRESARIAL"))</f>
        <v>NET</v>
      </c>
      <c r="Q569" s="37" t="str">
        <f>IF(RES_AB[[#This Row],[Reserva]]="","",IFERROR(VLOOKUP(RES_AB[[#This Row],[Reserva]],Tabela3[[Reserva]:[Descrição do status]],18,FALSE),"CONVENCIONAL"))</f>
        <v>CONVENCIONAL</v>
      </c>
    </row>
    <row r="570" spans="1:17" x14ac:dyDescent="0.25">
      <c r="A570" s="37">
        <v>4383934</v>
      </c>
      <c r="B570" s="37" t="s">
        <v>21</v>
      </c>
      <c r="C570" s="38" t="s">
        <v>19</v>
      </c>
      <c r="D570" s="38">
        <v>45449</v>
      </c>
      <c r="E57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0" s="39">
        <f>IFERROR(VLOOKUP(RES_AB[[#This Row],[Reserva]],Tabela8[[Reserva]:[Usuário]],7,FALSE),Dados!$A$17)</f>
        <v>0.9355324074074074</v>
      </c>
      <c r="G570" s="40">
        <f>IF(RES_AB[[#This Row],[Reserva]]="","",IF(RES_AB[[#This Row],[Hora Int WMS]]&lt;Dados!$A$16,2,2))</f>
        <v>2</v>
      </c>
      <c r="H570" s="40" t="str">
        <f>IF(RES_AB[[#This Row],[Reserva]]="","",IFERROR(VLOOKUP(RES_AB[[#This Row],[Reserva]],Tabela3[[Reserva]:[Condição para Faturamento]],20,FALSE),"IMPORTADO COM SUCESSO"))</f>
        <v>IMPORTADO COM SUCESSO</v>
      </c>
      <c r="I570" s="38">
        <f>IF(RES_AB[[#This Row],[Data base]]="","",WORKDAY(RES_AB[[#This Row],[Data Reserva - Feriado e Fds]],RES_AB[[#This Row],[Dias para atendimento]],Feriados[Data]))</f>
        <v>45453</v>
      </c>
      <c r="J570" s="40" t="str">
        <f ca="1">IF(RES_AB[[#This Row],[Reserva]]="","",CONCATENATE("D+",NETWORKDAYS(RES_AB[[#This Row],[Data Reserva - Feriado e Fds]],TODAY(),Feriados[Data])-1))</f>
        <v>D+1</v>
      </c>
      <c r="K570" s="40" t="str">
        <f ca="1">IF(RES_AB[[#This Row],[Reserva]]="","",CONCATENATE(RES_AB[[#This Row],[Cen.]]," | ",RES_AB[[#This Row],[SLA2]]))</f>
        <v>N190 | D+1</v>
      </c>
      <c r="L570" s="40">
        <f ca="1">IF(RES_AB[[#This Row],[Reserva]]="","",IF(RES_AB[[#This Row],[SLA2]]=RES_AB[[#This Row],[Reserva]]="","",COUNTIF(MB25_VOLUMETRIA[Reserva],RES_AB[[#This Row],[Reserva]])))</f>
        <v>5</v>
      </c>
      <c r="M57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0" s="37" t="str">
        <f>IF(RES_AB[[#This Row],[Cen.]]="","",IFERROR(VLOOKUP(RES_AB[[#This Row],[Cen.]],Dados_Empresas[],2,FALSE),"Verificar empresa"))</f>
        <v>NET MASSIVO</v>
      </c>
      <c r="P570" s="37" t="str">
        <f>IF(RES_AB[[#This Row],[Empresa]]="","",IF(OR(RES_AB[[#This Row],[Empresa]]="NET MASSIVO",RES_AB[[#This Row],[Empresa]]="NET PROJETOS"),"NET","EMPRESARIAL"))</f>
        <v>NET</v>
      </c>
      <c r="Q570" s="37" t="str">
        <f>IF(RES_AB[[#This Row],[Reserva]]="","",IFERROR(VLOOKUP(RES_AB[[#This Row],[Reserva]],Tabela3[[Reserva]:[Descrição do status]],18,FALSE),"CONVENCIONAL"))</f>
        <v>CONVENCIONAL</v>
      </c>
    </row>
    <row r="571" spans="1:17" x14ac:dyDescent="0.25">
      <c r="A571" s="37">
        <v>4383935</v>
      </c>
      <c r="B571" s="37" t="s">
        <v>21</v>
      </c>
      <c r="C571" s="38" t="s">
        <v>19</v>
      </c>
      <c r="D571" s="38">
        <v>45449</v>
      </c>
      <c r="E57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1" s="39">
        <f>IFERROR(VLOOKUP(RES_AB[[#This Row],[Reserva]],Tabela8[[Reserva]:[Usuário]],7,FALSE),Dados!$A$17)</f>
        <v>0.93564814814814812</v>
      </c>
      <c r="G571" s="40">
        <f>IF(RES_AB[[#This Row],[Reserva]]="","",IF(RES_AB[[#This Row],[Hora Int WMS]]&lt;Dados!$A$16,2,2))</f>
        <v>2</v>
      </c>
      <c r="H571" s="40" t="str">
        <f>IF(RES_AB[[#This Row],[Reserva]]="","",IFERROR(VLOOKUP(RES_AB[[#This Row],[Reserva]],Tabela3[[Reserva]:[Condição para Faturamento]],20,FALSE),"IMPORTADO COM SUCESSO"))</f>
        <v>IMPORTADO COM SUCESSO</v>
      </c>
      <c r="I571" s="38">
        <f>IF(RES_AB[[#This Row],[Data base]]="","",WORKDAY(RES_AB[[#This Row],[Data Reserva - Feriado e Fds]],RES_AB[[#This Row],[Dias para atendimento]],Feriados[Data]))</f>
        <v>45453</v>
      </c>
      <c r="J571" s="40" t="str">
        <f ca="1">IF(RES_AB[[#This Row],[Reserva]]="","",CONCATENATE("D+",NETWORKDAYS(RES_AB[[#This Row],[Data Reserva - Feriado e Fds]],TODAY(),Feriados[Data])-1))</f>
        <v>D+1</v>
      </c>
      <c r="K571" s="40" t="str">
        <f ca="1">IF(RES_AB[[#This Row],[Reserva]]="","",CONCATENATE(RES_AB[[#This Row],[Cen.]]," | ",RES_AB[[#This Row],[SLA2]]))</f>
        <v>N190 | D+1</v>
      </c>
      <c r="L571" s="40">
        <f ca="1">IF(RES_AB[[#This Row],[Reserva]]="","",IF(RES_AB[[#This Row],[SLA2]]=RES_AB[[#This Row],[Reserva]]="","",COUNTIF(MB25_VOLUMETRIA[Reserva],RES_AB[[#This Row],[Reserva]])))</f>
        <v>5</v>
      </c>
      <c r="M57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1" s="37" t="str">
        <f>IF(RES_AB[[#This Row],[Cen.]]="","",IFERROR(VLOOKUP(RES_AB[[#This Row],[Cen.]],Dados_Empresas[],2,FALSE),"Verificar empresa"))</f>
        <v>NET MASSIVO</v>
      </c>
      <c r="P571" s="37" t="str">
        <f>IF(RES_AB[[#This Row],[Empresa]]="","",IF(OR(RES_AB[[#This Row],[Empresa]]="NET MASSIVO",RES_AB[[#This Row],[Empresa]]="NET PROJETOS"),"NET","EMPRESARIAL"))</f>
        <v>NET</v>
      </c>
      <c r="Q571" s="37" t="str">
        <f>IF(RES_AB[[#This Row],[Reserva]]="","",IFERROR(VLOOKUP(RES_AB[[#This Row],[Reserva]],Tabela3[[Reserva]:[Descrição do status]],18,FALSE),"CONVENCIONAL"))</f>
        <v>CONVENCIONAL</v>
      </c>
    </row>
    <row r="572" spans="1:17" x14ac:dyDescent="0.25">
      <c r="A572" s="37">
        <v>4383936</v>
      </c>
      <c r="B572" s="37" t="s">
        <v>21</v>
      </c>
      <c r="C572" s="38" t="s">
        <v>19</v>
      </c>
      <c r="D572" s="38">
        <v>45449</v>
      </c>
      <c r="E57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2" s="39">
        <f>IFERROR(VLOOKUP(RES_AB[[#This Row],[Reserva]],Tabela8[[Reserva]:[Usuário]],7,FALSE),Dados!$A$17)</f>
        <v>0.93564814814814812</v>
      </c>
      <c r="G572" s="40">
        <f>IF(RES_AB[[#This Row],[Reserva]]="","",IF(RES_AB[[#This Row],[Hora Int WMS]]&lt;Dados!$A$16,2,2))</f>
        <v>2</v>
      </c>
      <c r="H572" s="40" t="str">
        <f>IF(RES_AB[[#This Row],[Reserva]]="","",IFERROR(VLOOKUP(RES_AB[[#This Row],[Reserva]],Tabela3[[Reserva]:[Condição para Faturamento]],20,FALSE),"IMPORTADO COM SUCESSO"))</f>
        <v>IMPORTADO COM SUCESSO</v>
      </c>
      <c r="I572" s="38">
        <f>IF(RES_AB[[#This Row],[Data base]]="","",WORKDAY(RES_AB[[#This Row],[Data Reserva - Feriado e Fds]],RES_AB[[#This Row],[Dias para atendimento]],Feriados[Data]))</f>
        <v>45453</v>
      </c>
      <c r="J572" s="40" t="str">
        <f ca="1">IF(RES_AB[[#This Row],[Reserva]]="","",CONCATENATE("D+",NETWORKDAYS(RES_AB[[#This Row],[Data Reserva - Feriado e Fds]],TODAY(),Feriados[Data])-1))</f>
        <v>D+1</v>
      </c>
      <c r="K572" s="40" t="str">
        <f ca="1">IF(RES_AB[[#This Row],[Reserva]]="","",CONCATENATE(RES_AB[[#This Row],[Cen.]]," | ",RES_AB[[#This Row],[SLA2]]))</f>
        <v>N190 | D+1</v>
      </c>
      <c r="L572" s="40">
        <f ca="1">IF(RES_AB[[#This Row],[Reserva]]="","",IF(RES_AB[[#This Row],[SLA2]]=RES_AB[[#This Row],[Reserva]]="","",COUNTIF(MB25_VOLUMETRIA[Reserva],RES_AB[[#This Row],[Reserva]])))</f>
        <v>5</v>
      </c>
      <c r="M57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2" s="37" t="str">
        <f>IF(RES_AB[[#This Row],[Cen.]]="","",IFERROR(VLOOKUP(RES_AB[[#This Row],[Cen.]],Dados_Empresas[],2,FALSE),"Verificar empresa"))</f>
        <v>NET MASSIVO</v>
      </c>
      <c r="P572" s="37" t="str">
        <f>IF(RES_AB[[#This Row],[Empresa]]="","",IF(OR(RES_AB[[#This Row],[Empresa]]="NET MASSIVO",RES_AB[[#This Row],[Empresa]]="NET PROJETOS"),"NET","EMPRESARIAL"))</f>
        <v>NET</v>
      </c>
      <c r="Q572" s="37" t="str">
        <f>IF(RES_AB[[#This Row],[Reserva]]="","",IFERROR(VLOOKUP(RES_AB[[#This Row],[Reserva]],Tabela3[[Reserva]:[Descrição do status]],18,FALSE),"CONVENCIONAL"))</f>
        <v>CONVENCIONAL</v>
      </c>
    </row>
    <row r="573" spans="1:17" x14ac:dyDescent="0.25">
      <c r="A573" s="37">
        <v>4383937</v>
      </c>
      <c r="B573" s="37" t="s">
        <v>21</v>
      </c>
      <c r="C573" s="38" t="s">
        <v>21</v>
      </c>
      <c r="D573" s="38">
        <v>45449</v>
      </c>
      <c r="E57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3" s="39">
        <f>IFERROR(VLOOKUP(RES_AB[[#This Row],[Reserva]],Tabela8[[Reserva]:[Usuário]],7,FALSE),Dados!$A$17)</f>
        <v>0.93576388888888884</v>
      </c>
      <c r="G573" s="40">
        <f>IF(RES_AB[[#This Row],[Reserva]]="","",IF(RES_AB[[#This Row],[Hora Int WMS]]&lt;Dados!$A$16,2,2))</f>
        <v>2</v>
      </c>
      <c r="H573" s="40" t="str">
        <f>IF(RES_AB[[#This Row],[Reserva]]="","",IFERROR(VLOOKUP(RES_AB[[#This Row],[Reserva]],Tabela3[[Reserva]:[Condição para Faturamento]],20,FALSE),"IMPORTADO COM SUCESSO"))</f>
        <v>IMPORTADO COM SUCESSO</v>
      </c>
      <c r="I573" s="38">
        <f>IF(RES_AB[[#This Row],[Data base]]="","",WORKDAY(RES_AB[[#This Row],[Data Reserva - Feriado e Fds]],RES_AB[[#This Row],[Dias para atendimento]],Feriados[Data]))</f>
        <v>45453</v>
      </c>
      <c r="J573" s="40" t="str">
        <f ca="1">IF(RES_AB[[#This Row],[Reserva]]="","",CONCATENATE("D+",NETWORKDAYS(RES_AB[[#This Row],[Data Reserva - Feriado e Fds]],TODAY(),Feriados[Data])-1))</f>
        <v>D+1</v>
      </c>
      <c r="K573" s="40" t="str">
        <f ca="1">IF(RES_AB[[#This Row],[Reserva]]="","",CONCATENATE(RES_AB[[#This Row],[Cen.]]," | ",RES_AB[[#This Row],[SLA2]]))</f>
        <v>N190 | D+1</v>
      </c>
      <c r="L573" s="40">
        <f ca="1">IF(RES_AB[[#This Row],[Reserva]]="","",IF(RES_AB[[#This Row],[SLA2]]=RES_AB[[#This Row],[Reserva]]="","",COUNTIF(MB25_VOLUMETRIA[Reserva],RES_AB[[#This Row],[Reserva]])))</f>
        <v>1</v>
      </c>
      <c r="M57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3" s="37" t="str">
        <f>IF(RES_AB[[#This Row],[Cen.]]="","",IFERROR(VLOOKUP(RES_AB[[#This Row],[Cen.]],Dados_Empresas[],2,FALSE),"Verificar empresa"))</f>
        <v>NET MASSIVO</v>
      </c>
      <c r="P573" s="37" t="str">
        <f>IF(RES_AB[[#This Row],[Empresa]]="","",IF(OR(RES_AB[[#This Row],[Empresa]]="NET MASSIVO",RES_AB[[#This Row],[Empresa]]="NET PROJETOS"),"NET","EMPRESARIAL"))</f>
        <v>NET</v>
      </c>
      <c r="Q573" s="37" t="str">
        <f>IF(RES_AB[[#This Row],[Reserva]]="","",IFERROR(VLOOKUP(RES_AB[[#This Row],[Reserva]],Tabela3[[Reserva]:[Descrição do status]],18,FALSE),"CONVENCIONAL"))</f>
        <v>CONVENCIONAL</v>
      </c>
    </row>
    <row r="574" spans="1:17" x14ac:dyDescent="0.25">
      <c r="A574" s="37">
        <v>4383938</v>
      </c>
      <c r="B574" s="37" t="s">
        <v>21</v>
      </c>
      <c r="C574" s="38" t="s">
        <v>19</v>
      </c>
      <c r="D574" s="38">
        <v>45449</v>
      </c>
      <c r="E57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4" s="39">
        <f>IFERROR(VLOOKUP(RES_AB[[#This Row],[Reserva]],Tabela8[[Reserva]:[Usuário]],7,FALSE),Dados!$A$17)</f>
        <v>0.93587962962962967</v>
      </c>
      <c r="G574" s="40">
        <f>IF(RES_AB[[#This Row],[Reserva]]="","",IF(RES_AB[[#This Row],[Hora Int WMS]]&lt;Dados!$A$16,2,2))</f>
        <v>2</v>
      </c>
      <c r="H574" s="40" t="str">
        <f>IF(RES_AB[[#This Row],[Reserva]]="","",IFERROR(VLOOKUP(RES_AB[[#This Row],[Reserva]],Tabela3[[Reserva]:[Condição para Faturamento]],20,FALSE),"IMPORTADO COM SUCESSO"))</f>
        <v>IMPORTADO COM SUCESSO</v>
      </c>
      <c r="I574" s="38">
        <f>IF(RES_AB[[#This Row],[Data base]]="","",WORKDAY(RES_AB[[#This Row],[Data Reserva - Feriado e Fds]],RES_AB[[#This Row],[Dias para atendimento]],Feriados[Data]))</f>
        <v>45453</v>
      </c>
      <c r="J574" s="40" t="str">
        <f ca="1">IF(RES_AB[[#This Row],[Reserva]]="","",CONCATENATE("D+",NETWORKDAYS(RES_AB[[#This Row],[Data Reserva - Feriado e Fds]],TODAY(),Feriados[Data])-1))</f>
        <v>D+1</v>
      </c>
      <c r="K574" s="40" t="str">
        <f ca="1">IF(RES_AB[[#This Row],[Reserva]]="","",CONCATENATE(RES_AB[[#This Row],[Cen.]]," | ",RES_AB[[#This Row],[SLA2]]))</f>
        <v>N190 | D+1</v>
      </c>
      <c r="L574" s="40">
        <f ca="1">IF(RES_AB[[#This Row],[Reserva]]="","",IF(RES_AB[[#This Row],[SLA2]]=RES_AB[[#This Row],[Reserva]]="","",COUNTIF(MB25_VOLUMETRIA[Reserva],RES_AB[[#This Row],[Reserva]])))</f>
        <v>1</v>
      </c>
      <c r="M57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4" s="37" t="str">
        <f>IF(RES_AB[[#This Row],[Cen.]]="","",IFERROR(VLOOKUP(RES_AB[[#This Row],[Cen.]],Dados_Empresas[],2,FALSE),"Verificar empresa"))</f>
        <v>NET MASSIVO</v>
      </c>
      <c r="P574" s="37" t="str">
        <f>IF(RES_AB[[#This Row],[Empresa]]="","",IF(OR(RES_AB[[#This Row],[Empresa]]="NET MASSIVO",RES_AB[[#This Row],[Empresa]]="NET PROJETOS"),"NET","EMPRESARIAL"))</f>
        <v>NET</v>
      </c>
      <c r="Q574" s="37" t="str">
        <f>IF(RES_AB[[#This Row],[Reserva]]="","",IFERROR(VLOOKUP(RES_AB[[#This Row],[Reserva]],Tabela3[[Reserva]:[Descrição do status]],18,FALSE),"CONVENCIONAL"))</f>
        <v>CONVENCIONAL</v>
      </c>
    </row>
    <row r="575" spans="1:17" x14ac:dyDescent="0.25">
      <c r="A575" s="37">
        <v>4383939</v>
      </c>
      <c r="B575" s="37" t="s">
        <v>21</v>
      </c>
      <c r="C575" s="38" t="s">
        <v>19</v>
      </c>
      <c r="D575" s="38">
        <v>45449</v>
      </c>
      <c r="E57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5" s="39">
        <f>IFERROR(VLOOKUP(RES_AB[[#This Row],[Reserva]],Tabela8[[Reserva]:[Usuário]],7,FALSE),Dados!$A$17)</f>
        <v>0.93599537037037039</v>
      </c>
      <c r="G575" s="40">
        <f>IF(RES_AB[[#This Row],[Reserva]]="","",IF(RES_AB[[#This Row],[Hora Int WMS]]&lt;Dados!$A$16,2,2))</f>
        <v>2</v>
      </c>
      <c r="H575" s="40" t="str">
        <f>IF(RES_AB[[#This Row],[Reserva]]="","",IFERROR(VLOOKUP(RES_AB[[#This Row],[Reserva]],Tabela3[[Reserva]:[Condição para Faturamento]],20,FALSE),"IMPORTADO COM SUCESSO"))</f>
        <v>IMPORTADO COM SUCESSO</v>
      </c>
      <c r="I575" s="38">
        <f>IF(RES_AB[[#This Row],[Data base]]="","",WORKDAY(RES_AB[[#This Row],[Data Reserva - Feriado e Fds]],RES_AB[[#This Row],[Dias para atendimento]],Feriados[Data]))</f>
        <v>45453</v>
      </c>
      <c r="J575" s="40" t="str">
        <f ca="1">IF(RES_AB[[#This Row],[Reserva]]="","",CONCATENATE("D+",NETWORKDAYS(RES_AB[[#This Row],[Data Reserva - Feriado e Fds]],TODAY(),Feriados[Data])-1))</f>
        <v>D+1</v>
      </c>
      <c r="K575" s="40" t="str">
        <f ca="1">IF(RES_AB[[#This Row],[Reserva]]="","",CONCATENATE(RES_AB[[#This Row],[Cen.]]," | ",RES_AB[[#This Row],[SLA2]]))</f>
        <v>N190 | D+1</v>
      </c>
      <c r="L575" s="40">
        <f ca="1">IF(RES_AB[[#This Row],[Reserva]]="","",IF(RES_AB[[#This Row],[SLA2]]=RES_AB[[#This Row],[Reserva]]="","",COUNTIF(MB25_VOLUMETRIA[Reserva],RES_AB[[#This Row],[Reserva]])))</f>
        <v>7</v>
      </c>
      <c r="M57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5" s="37" t="str">
        <f>IF(RES_AB[[#This Row],[Cen.]]="","",IFERROR(VLOOKUP(RES_AB[[#This Row],[Cen.]],Dados_Empresas[],2,FALSE),"Verificar empresa"))</f>
        <v>NET MASSIVO</v>
      </c>
      <c r="P575" s="37" t="str">
        <f>IF(RES_AB[[#This Row],[Empresa]]="","",IF(OR(RES_AB[[#This Row],[Empresa]]="NET MASSIVO",RES_AB[[#This Row],[Empresa]]="NET PROJETOS"),"NET","EMPRESARIAL"))</f>
        <v>NET</v>
      </c>
      <c r="Q575" s="37" t="str">
        <f>IF(RES_AB[[#This Row],[Reserva]]="","",IFERROR(VLOOKUP(RES_AB[[#This Row],[Reserva]],Tabela3[[Reserva]:[Descrição do status]],18,FALSE),"CONVENCIONAL"))</f>
        <v>CONVENCIONAL</v>
      </c>
    </row>
    <row r="576" spans="1:17" x14ac:dyDescent="0.25">
      <c r="A576" s="37">
        <v>4383940</v>
      </c>
      <c r="B576" s="37" t="s">
        <v>21</v>
      </c>
      <c r="C576" s="38" t="s">
        <v>19</v>
      </c>
      <c r="D576" s="38">
        <v>45449</v>
      </c>
      <c r="E57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6" s="39">
        <f>IFERROR(VLOOKUP(RES_AB[[#This Row],[Reserva]],Tabela8[[Reserva]:[Usuário]],7,FALSE),Dados!$A$17)</f>
        <v>0.93599537037037039</v>
      </c>
      <c r="G576" s="40">
        <f>IF(RES_AB[[#This Row],[Reserva]]="","",IF(RES_AB[[#This Row],[Hora Int WMS]]&lt;Dados!$A$16,2,2))</f>
        <v>2</v>
      </c>
      <c r="H576" s="40" t="str">
        <f>IF(RES_AB[[#This Row],[Reserva]]="","",IFERROR(VLOOKUP(RES_AB[[#This Row],[Reserva]],Tabela3[[Reserva]:[Condição para Faturamento]],20,FALSE),"IMPORTADO COM SUCESSO"))</f>
        <v>IMPORTADO COM SUCESSO</v>
      </c>
      <c r="I576" s="38">
        <f>IF(RES_AB[[#This Row],[Data base]]="","",WORKDAY(RES_AB[[#This Row],[Data Reserva - Feriado e Fds]],RES_AB[[#This Row],[Dias para atendimento]],Feriados[Data]))</f>
        <v>45453</v>
      </c>
      <c r="J576" s="40" t="str">
        <f ca="1">IF(RES_AB[[#This Row],[Reserva]]="","",CONCATENATE("D+",NETWORKDAYS(RES_AB[[#This Row],[Data Reserva - Feriado e Fds]],TODAY(),Feriados[Data])-1))</f>
        <v>D+1</v>
      </c>
      <c r="K576" s="40" t="str">
        <f ca="1">IF(RES_AB[[#This Row],[Reserva]]="","",CONCATENATE(RES_AB[[#This Row],[Cen.]]," | ",RES_AB[[#This Row],[SLA2]]))</f>
        <v>N190 | D+1</v>
      </c>
      <c r="L576" s="40">
        <f ca="1">IF(RES_AB[[#This Row],[Reserva]]="","",IF(RES_AB[[#This Row],[SLA2]]=RES_AB[[#This Row],[Reserva]]="","",COUNTIF(MB25_VOLUMETRIA[Reserva],RES_AB[[#This Row],[Reserva]])))</f>
        <v>6</v>
      </c>
      <c r="M57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6" s="37" t="str">
        <f>IF(RES_AB[[#This Row],[Cen.]]="","",IFERROR(VLOOKUP(RES_AB[[#This Row],[Cen.]],Dados_Empresas[],2,FALSE),"Verificar empresa"))</f>
        <v>NET MASSIVO</v>
      </c>
      <c r="P576" s="37" t="str">
        <f>IF(RES_AB[[#This Row],[Empresa]]="","",IF(OR(RES_AB[[#This Row],[Empresa]]="NET MASSIVO",RES_AB[[#This Row],[Empresa]]="NET PROJETOS"),"NET","EMPRESARIAL"))</f>
        <v>NET</v>
      </c>
      <c r="Q576" s="37" t="str">
        <f>IF(RES_AB[[#This Row],[Reserva]]="","",IFERROR(VLOOKUP(RES_AB[[#This Row],[Reserva]],Tabela3[[Reserva]:[Descrição do status]],18,FALSE),"CONVENCIONAL"))</f>
        <v>CONVENCIONAL</v>
      </c>
    </row>
    <row r="577" spans="1:17" x14ac:dyDescent="0.25">
      <c r="A577" s="37">
        <v>4383941</v>
      </c>
      <c r="B577" s="37" t="s">
        <v>21</v>
      </c>
      <c r="C577" s="38" t="s">
        <v>19</v>
      </c>
      <c r="D577" s="38">
        <v>45449</v>
      </c>
      <c r="E57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7" s="39">
        <f>IFERROR(VLOOKUP(RES_AB[[#This Row],[Reserva]],Tabela8[[Reserva]:[Usuário]],7,FALSE),Dados!$A$17)</f>
        <v>0.93611111111111112</v>
      </c>
      <c r="G577" s="40">
        <f>IF(RES_AB[[#This Row],[Reserva]]="","",IF(RES_AB[[#This Row],[Hora Int WMS]]&lt;Dados!$A$16,2,2))</f>
        <v>2</v>
      </c>
      <c r="H577" s="40" t="str">
        <f>IF(RES_AB[[#This Row],[Reserva]]="","",IFERROR(VLOOKUP(RES_AB[[#This Row],[Reserva]],Tabela3[[Reserva]:[Condição para Faturamento]],20,FALSE),"IMPORTADO COM SUCESSO"))</f>
        <v>IMPORTADO COM SUCESSO</v>
      </c>
      <c r="I577" s="38">
        <f>IF(RES_AB[[#This Row],[Data base]]="","",WORKDAY(RES_AB[[#This Row],[Data Reserva - Feriado e Fds]],RES_AB[[#This Row],[Dias para atendimento]],Feriados[Data]))</f>
        <v>45453</v>
      </c>
      <c r="J577" s="40" t="str">
        <f ca="1">IF(RES_AB[[#This Row],[Reserva]]="","",CONCATENATE("D+",NETWORKDAYS(RES_AB[[#This Row],[Data Reserva - Feriado e Fds]],TODAY(),Feriados[Data])-1))</f>
        <v>D+1</v>
      </c>
      <c r="K577" s="40" t="str">
        <f ca="1">IF(RES_AB[[#This Row],[Reserva]]="","",CONCATENATE(RES_AB[[#This Row],[Cen.]]," | ",RES_AB[[#This Row],[SLA2]]))</f>
        <v>N190 | D+1</v>
      </c>
      <c r="L577" s="40">
        <f ca="1">IF(RES_AB[[#This Row],[Reserva]]="","",IF(RES_AB[[#This Row],[SLA2]]=RES_AB[[#This Row],[Reserva]]="","",COUNTIF(MB25_VOLUMETRIA[Reserva],RES_AB[[#This Row],[Reserva]])))</f>
        <v>3</v>
      </c>
      <c r="M57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7" s="37" t="str">
        <f>IF(RES_AB[[#This Row],[Cen.]]="","",IFERROR(VLOOKUP(RES_AB[[#This Row],[Cen.]],Dados_Empresas[],2,FALSE),"Verificar empresa"))</f>
        <v>NET MASSIVO</v>
      </c>
      <c r="P577" s="37" t="str">
        <f>IF(RES_AB[[#This Row],[Empresa]]="","",IF(OR(RES_AB[[#This Row],[Empresa]]="NET MASSIVO",RES_AB[[#This Row],[Empresa]]="NET PROJETOS"),"NET","EMPRESARIAL"))</f>
        <v>NET</v>
      </c>
      <c r="Q577" s="37" t="str">
        <f>IF(RES_AB[[#This Row],[Reserva]]="","",IFERROR(VLOOKUP(RES_AB[[#This Row],[Reserva]],Tabela3[[Reserva]:[Descrição do status]],18,FALSE),"CONVENCIONAL"))</f>
        <v>CONVENCIONAL</v>
      </c>
    </row>
    <row r="578" spans="1:17" x14ac:dyDescent="0.25">
      <c r="A578" s="37">
        <v>4383942</v>
      </c>
      <c r="B578" s="37" t="s">
        <v>21</v>
      </c>
      <c r="C578" s="38" t="s">
        <v>19</v>
      </c>
      <c r="D578" s="38">
        <v>45449</v>
      </c>
      <c r="E57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8" s="39">
        <f>IFERROR(VLOOKUP(RES_AB[[#This Row],[Reserva]],Tabela8[[Reserva]:[Usuário]],7,FALSE),Dados!$A$17)</f>
        <v>0.93622685185185184</v>
      </c>
      <c r="G578" s="40">
        <f>IF(RES_AB[[#This Row],[Reserva]]="","",IF(RES_AB[[#This Row],[Hora Int WMS]]&lt;Dados!$A$16,2,2))</f>
        <v>2</v>
      </c>
      <c r="H578" s="40" t="str">
        <f>IF(RES_AB[[#This Row],[Reserva]]="","",IFERROR(VLOOKUP(RES_AB[[#This Row],[Reserva]],Tabela3[[Reserva]:[Condição para Faturamento]],20,FALSE),"IMPORTADO COM SUCESSO"))</f>
        <v>IMPORTADO COM SUCESSO</v>
      </c>
      <c r="I578" s="38">
        <f>IF(RES_AB[[#This Row],[Data base]]="","",WORKDAY(RES_AB[[#This Row],[Data Reserva - Feriado e Fds]],RES_AB[[#This Row],[Dias para atendimento]],Feriados[Data]))</f>
        <v>45453</v>
      </c>
      <c r="J578" s="40" t="str">
        <f ca="1">IF(RES_AB[[#This Row],[Reserva]]="","",CONCATENATE("D+",NETWORKDAYS(RES_AB[[#This Row],[Data Reserva - Feriado e Fds]],TODAY(),Feriados[Data])-1))</f>
        <v>D+1</v>
      </c>
      <c r="K578" s="40" t="str">
        <f ca="1">IF(RES_AB[[#This Row],[Reserva]]="","",CONCATENATE(RES_AB[[#This Row],[Cen.]]," | ",RES_AB[[#This Row],[SLA2]]))</f>
        <v>N190 | D+1</v>
      </c>
      <c r="L578" s="40">
        <f ca="1">IF(RES_AB[[#This Row],[Reserva]]="","",IF(RES_AB[[#This Row],[SLA2]]=RES_AB[[#This Row],[Reserva]]="","",COUNTIF(MB25_VOLUMETRIA[Reserva],RES_AB[[#This Row],[Reserva]])))</f>
        <v>3</v>
      </c>
      <c r="M57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8" s="37" t="str">
        <f>IF(RES_AB[[#This Row],[Cen.]]="","",IFERROR(VLOOKUP(RES_AB[[#This Row],[Cen.]],Dados_Empresas[],2,FALSE),"Verificar empresa"))</f>
        <v>NET MASSIVO</v>
      </c>
      <c r="P578" s="37" t="str">
        <f>IF(RES_AB[[#This Row],[Empresa]]="","",IF(OR(RES_AB[[#This Row],[Empresa]]="NET MASSIVO",RES_AB[[#This Row],[Empresa]]="NET PROJETOS"),"NET","EMPRESARIAL"))</f>
        <v>NET</v>
      </c>
      <c r="Q578" s="37" t="str">
        <f>IF(RES_AB[[#This Row],[Reserva]]="","",IFERROR(VLOOKUP(RES_AB[[#This Row],[Reserva]],Tabela3[[Reserva]:[Descrição do status]],18,FALSE),"CONVENCIONAL"))</f>
        <v>CONVENCIONAL</v>
      </c>
    </row>
    <row r="579" spans="1:17" x14ac:dyDescent="0.25">
      <c r="A579" s="37">
        <v>4383943</v>
      </c>
      <c r="B579" s="37" t="s">
        <v>21</v>
      </c>
      <c r="C579" s="38" t="s">
        <v>19</v>
      </c>
      <c r="D579" s="38">
        <v>45449</v>
      </c>
      <c r="E57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79" s="39">
        <f>IFERROR(VLOOKUP(RES_AB[[#This Row],[Reserva]],Tabela8[[Reserva]:[Usuário]],7,FALSE),Dados!$A$17)</f>
        <v>0.93622685185185184</v>
      </c>
      <c r="G579" s="40">
        <f>IF(RES_AB[[#This Row],[Reserva]]="","",IF(RES_AB[[#This Row],[Hora Int WMS]]&lt;Dados!$A$16,2,2))</f>
        <v>2</v>
      </c>
      <c r="H579" s="40" t="str">
        <f>IF(RES_AB[[#This Row],[Reserva]]="","",IFERROR(VLOOKUP(RES_AB[[#This Row],[Reserva]],Tabela3[[Reserva]:[Condição para Faturamento]],20,FALSE),"IMPORTADO COM SUCESSO"))</f>
        <v>IMPORTADO COM SUCESSO</v>
      </c>
      <c r="I579" s="38">
        <f>IF(RES_AB[[#This Row],[Data base]]="","",WORKDAY(RES_AB[[#This Row],[Data Reserva - Feriado e Fds]],RES_AB[[#This Row],[Dias para atendimento]],Feriados[Data]))</f>
        <v>45453</v>
      </c>
      <c r="J579" s="40" t="str">
        <f ca="1">IF(RES_AB[[#This Row],[Reserva]]="","",CONCATENATE("D+",NETWORKDAYS(RES_AB[[#This Row],[Data Reserva - Feriado e Fds]],TODAY(),Feriados[Data])-1))</f>
        <v>D+1</v>
      </c>
      <c r="K579" s="40" t="str">
        <f ca="1">IF(RES_AB[[#This Row],[Reserva]]="","",CONCATENATE(RES_AB[[#This Row],[Cen.]]," | ",RES_AB[[#This Row],[SLA2]]))</f>
        <v>N190 | D+1</v>
      </c>
      <c r="L579" s="40">
        <f ca="1">IF(RES_AB[[#This Row],[Reserva]]="","",IF(RES_AB[[#This Row],[SLA2]]=RES_AB[[#This Row],[Reserva]]="","",COUNTIF(MB25_VOLUMETRIA[Reserva],RES_AB[[#This Row],[Reserva]])))</f>
        <v>4</v>
      </c>
      <c r="M57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7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79" s="37" t="str">
        <f>IF(RES_AB[[#This Row],[Cen.]]="","",IFERROR(VLOOKUP(RES_AB[[#This Row],[Cen.]],Dados_Empresas[],2,FALSE),"Verificar empresa"))</f>
        <v>NET MASSIVO</v>
      </c>
      <c r="P579" s="37" t="str">
        <f>IF(RES_AB[[#This Row],[Empresa]]="","",IF(OR(RES_AB[[#This Row],[Empresa]]="NET MASSIVO",RES_AB[[#This Row],[Empresa]]="NET PROJETOS"),"NET","EMPRESARIAL"))</f>
        <v>NET</v>
      </c>
      <c r="Q579" s="37" t="str">
        <f>IF(RES_AB[[#This Row],[Reserva]]="","",IFERROR(VLOOKUP(RES_AB[[#This Row],[Reserva]],Tabela3[[Reserva]:[Descrição do status]],18,FALSE),"CONVENCIONAL"))</f>
        <v>CONVENCIONAL</v>
      </c>
    </row>
    <row r="580" spans="1:17" x14ac:dyDescent="0.25">
      <c r="A580" s="37">
        <v>4383944</v>
      </c>
      <c r="B580" s="37" t="s">
        <v>21</v>
      </c>
      <c r="C580" s="38" t="s">
        <v>19</v>
      </c>
      <c r="D580" s="38">
        <v>45449</v>
      </c>
      <c r="E58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0" s="39">
        <f>IFERROR(VLOOKUP(RES_AB[[#This Row],[Reserva]],Tabela8[[Reserva]:[Usuário]],7,FALSE),Dados!$A$17)</f>
        <v>0.93634259259259256</v>
      </c>
      <c r="G580" s="40">
        <f>IF(RES_AB[[#This Row],[Reserva]]="","",IF(RES_AB[[#This Row],[Hora Int WMS]]&lt;Dados!$A$16,2,2))</f>
        <v>2</v>
      </c>
      <c r="H580" s="40" t="str">
        <f>IF(RES_AB[[#This Row],[Reserva]]="","",IFERROR(VLOOKUP(RES_AB[[#This Row],[Reserva]],Tabela3[[Reserva]:[Condição para Faturamento]],20,FALSE),"IMPORTADO COM SUCESSO"))</f>
        <v>IMPORTADO COM SUCESSO</v>
      </c>
      <c r="I580" s="38">
        <f>IF(RES_AB[[#This Row],[Data base]]="","",WORKDAY(RES_AB[[#This Row],[Data Reserva - Feriado e Fds]],RES_AB[[#This Row],[Dias para atendimento]],Feriados[Data]))</f>
        <v>45453</v>
      </c>
      <c r="J580" s="40" t="str">
        <f ca="1">IF(RES_AB[[#This Row],[Reserva]]="","",CONCATENATE("D+",NETWORKDAYS(RES_AB[[#This Row],[Data Reserva - Feriado e Fds]],TODAY(),Feriados[Data])-1))</f>
        <v>D+1</v>
      </c>
      <c r="K580" s="40" t="str">
        <f ca="1">IF(RES_AB[[#This Row],[Reserva]]="","",CONCATENATE(RES_AB[[#This Row],[Cen.]]," | ",RES_AB[[#This Row],[SLA2]]))</f>
        <v>N190 | D+1</v>
      </c>
      <c r="L580" s="40">
        <f ca="1">IF(RES_AB[[#This Row],[Reserva]]="","",IF(RES_AB[[#This Row],[SLA2]]=RES_AB[[#This Row],[Reserva]]="","",COUNTIF(MB25_VOLUMETRIA[Reserva],RES_AB[[#This Row],[Reserva]])))</f>
        <v>6</v>
      </c>
      <c r="M58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0" s="37" t="str">
        <f>IF(RES_AB[[#This Row],[Cen.]]="","",IFERROR(VLOOKUP(RES_AB[[#This Row],[Cen.]],Dados_Empresas[],2,FALSE),"Verificar empresa"))</f>
        <v>NET MASSIVO</v>
      </c>
      <c r="P580" s="37" t="str">
        <f>IF(RES_AB[[#This Row],[Empresa]]="","",IF(OR(RES_AB[[#This Row],[Empresa]]="NET MASSIVO",RES_AB[[#This Row],[Empresa]]="NET PROJETOS"),"NET","EMPRESARIAL"))</f>
        <v>NET</v>
      </c>
      <c r="Q580" s="37" t="str">
        <f>IF(RES_AB[[#This Row],[Reserva]]="","",IFERROR(VLOOKUP(RES_AB[[#This Row],[Reserva]],Tabela3[[Reserva]:[Descrição do status]],18,FALSE),"CONVENCIONAL"))</f>
        <v>CONVENCIONAL</v>
      </c>
    </row>
    <row r="581" spans="1:17" x14ac:dyDescent="0.25">
      <c r="A581" s="37">
        <v>4383945</v>
      </c>
      <c r="B581" s="37" t="s">
        <v>21</v>
      </c>
      <c r="C581" s="38" t="s">
        <v>19</v>
      </c>
      <c r="D581" s="38">
        <v>45449</v>
      </c>
      <c r="E58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1" s="39">
        <f>IFERROR(VLOOKUP(RES_AB[[#This Row],[Reserva]],Tabela8[[Reserva]:[Usuário]],7,FALSE),Dados!$A$17)</f>
        <v>0.93645833333333328</v>
      </c>
      <c r="G581" s="40">
        <f>IF(RES_AB[[#This Row],[Reserva]]="","",IF(RES_AB[[#This Row],[Hora Int WMS]]&lt;Dados!$A$16,2,2))</f>
        <v>2</v>
      </c>
      <c r="H581" s="40" t="str">
        <f>IF(RES_AB[[#This Row],[Reserva]]="","",IFERROR(VLOOKUP(RES_AB[[#This Row],[Reserva]],Tabela3[[Reserva]:[Condição para Faturamento]],20,FALSE),"IMPORTADO COM SUCESSO"))</f>
        <v>IMPORTADO COM SUCESSO</v>
      </c>
      <c r="I581" s="38">
        <f>IF(RES_AB[[#This Row],[Data base]]="","",WORKDAY(RES_AB[[#This Row],[Data Reserva - Feriado e Fds]],RES_AB[[#This Row],[Dias para atendimento]],Feriados[Data]))</f>
        <v>45453</v>
      </c>
      <c r="J581" s="40" t="str">
        <f ca="1">IF(RES_AB[[#This Row],[Reserva]]="","",CONCATENATE("D+",NETWORKDAYS(RES_AB[[#This Row],[Data Reserva - Feriado e Fds]],TODAY(),Feriados[Data])-1))</f>
        <v>D+1</v>
      </c>
      <c r="K581" s="40" t="str">
        <f ca="1">IF(RES_AB[[#This Row],[Reserva]]="","",CONCATENATE(RES_AB[[#This Row],[Cen.]]," | ",RES_AB[[#This Row],[SLA2]]))</f>
        <v>N190 | D+1</v>
      </c>
      <c r="L581" s="40">
        <f ca="1">IF(RES_AB[[#This Row],[Reserva]]="","",IF(RES_AB[[#This Row],[SLA2]]=RES_AB[[#This Row],[Reserva]]="","",COUNTIF(MB25_VOLUMETRIA[Reserva],RES_AB[[#This Row],[Reserva]])))</f>
        <v>3</v>
      </c>
      <c r="M58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1" s="37" t="str">
        <f>IF(RES_AB[[#This Row],[Cen.]]="","",IFERROR(VLOOKUP(RES_AB[[#This Row],[Cen.]],Dados_Empresas[],2,FALSE),"Verificar empresa"))</f>
        <v>NET MASSIVO</v>
      </c>
      <c r="P581" s="37" t="str">
        <f>IF(RES_AB[[#This Row],[Empresa]]="","",IF(OR(RES_AB[[#This Row],[Empresa]]="NET MASSIVO",RES_AB[[#This Row],[Empresa]]="NET PROJETOS"),"NET","EMPRESARIAL"))</f>
        <v>NET</v>
      </c>
      <c r="Q581" s="37" t="str">
        <f>IF(RES_AB[[#This Row],[Reserva]]="","",IFERROR(VLOOKUP(RES_AB[[#This Row],[Reserva]],Tabela3[[Reserva]:[Descrição do status]],18,FALSE),"CONVENCIONAL"))</f>
        <v>CONVENCIONAL</v>
      </c>
    </row>
    <row r="582" spans="1:17" x14ac:dyDescent="0.25">
      <c r="A582" s="37">
        <v>4383946</v>
      </c>
      <c r="B582" s="37" t="s">
        <v>21</v>
      </c>
      <c r="C582" s="38" t="s">
        <v>19</v>
      </c>
      <c r="D582" s="38">
        <v>45449</v>
      </c>
      <c r="E58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2" s="39">
        <f>IFERROR(VLOOKUP(RES_AB[[#This Row],[Reserva]],Tabela8[[Reserva]:[Usuário]],7,FALSE),Dados!$A$17)</f>
        <v>0.93657407407407411</v>
      </c>
      <c r="G582" s="40">
        <f>IF(RES_AB[[#This Row],[Reserva]]="","",IF(RES_AB[[#This Row],[Hora Int WMS]]&lt;Dados!$A$16,2,2))</f>
        <v>2</v>
      </c>
      <c r="H582" s="40" t="str">
        <f>IF(RES_AB[[#This Row],[Reserva]]="","",IFERROR(VLOOKUP(RES_AB[[#This Row],[Reserva]],Tabela3[[Reserva]:[Condição para Faturamento]],20,FALSE),"IMPORTADO COM SUCESSO"))</f>
        <v>IMPORTADO COM SUCESSO</v>
      </c>
      <c r="I582" s="38">
        <f>IF(RES_AB[[#This Row],[Data base]]="","",WORKDAY(RES_AB[[#This Row],[Data Reserva - Feriado e Fds]],RES_AB[[#This Row],[Dias para atendimento]],Feriados[Data]))</f>
        <v>45453</v>
      </c>
      <c r="J582" s="40" t="str">
        <f ca="1">IF(RES_AB[[#This Row],[Reserva]]="","",CONCATENATE("D+",NETWORKDAYS(RES_AB[[#This Row],[Data Reserva - Feriado e Fds]],TODAY(),Feriados[Data])-1))</f>
        <v>D+1</v>
      </c>
      <c r="K582" s="40" t="str">
        <f ca="1">IF(RES_AB[[#This Row],[Reserva]]="","",CONCATENATE(RES_AB[[#This Row],[Cen.]]," | ",RES_AB[[#This Row],[SLA2]]))</f>
        <v>N190 | D+1</v>
      </c>
      <c r="L582" s="40">
        <f ca="1">IF(RES_AB[[#This Row],[Reserva]]="","",IF(RES_AB[[#This Row],[SLA2]]=RES_AB[[#This Row],[Reserva]]="","",COUNTIF(MB25_VOLUMETRIA[Reserva],RES_AB[[#This Row],[Reserva]])))</f>
        <v>3</v>
      </c>
      <c r="M58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2" s="37" t="str">
        <f>IF(RES_AB[[#This Row],[Cen.]]="","",IFERROR(VLOOKUP(RES_AB[[#This Row],[Cen.]],Dados_Empresas[],2,FALSE),"Verificar empresa"))</f>
        <v>NET MASSIVO</v>
      </c>
      <c r="P582" s="37" t="str">
        <f>IF(RES_AB[[#This Row],[Empresa]]="","",IF(OR(RES_AB[[#This Row],[Empresa]]="NET MASSIVO",RES_AB[[#This Row],[Empresa]]="NET PROJETOS"),"NET","EMPRESARIAL"))</f>
        <v>NET</v>
      </c>
      <c r="Q582" s="37" t="str">
        <f>IF(RES_AB[[#This Row],[Reserva]]="","",IFERROR(VLOOKUP(RES_AB[[#This Row],[Reserva]],Tabela3[[Reserva]:[Descrição do status]],18,FALSE),"CONVENCIONAL"))</f>
        <v>CONVENCIONAL</v>
      </c>
    </row>
    <row r="583" spans="1:17" x14ac:dyDescent="0.25">
      <c r="A583" s="37">
        <v>4383948</v>
      </c>
      <c r="B583" s="37" t="s">
        <v>21</v>
      </c>
      <c r="C583" s="38" t="s">
        <v>19</v>
      </c>
      <c r="D583" s="38">
        <v>45449</v>
      </c>
      <c r="E58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3" s="39">
        <f>IFERROR(VLOOKUP(RES_AB[[#This Row],[Reserva]],Tabela8[[Reserva]:[Usuário]],7,FALSE),Dados!$A$17)</f>
        <v>0.93657407407407411</v>
      </c>
      <c r="G583" s="40">
        <f>IF(RES_AB[[#This Row],[Reserva]]="","",IF(RES_AB[[#This Row],[Hora Int WMS]]&lt;Dados!$A$16,2,2))</f>
        <v>2</v>
      </c>
      <c r="H583" s="40" t="str">
        <f>IF(RES_AB[[#This Row],[Reserva]]="","",IFERROR(VLOOKUP(RES_AB[[#This Row],[Reserva]],Tabela3[[Reserva]:[Condição para Faturamento]],20,FALSE),"IMPORTADO COM SUCESSO"))</f>
        <v>IMPORTADO COM SUCESSO</v>
      </c>
      <c r="I583" s="38">
        <f>IF(RES_AB[[#This Row],[Data base]]="","",WORKDAY(RES_AB[[#This Row],[Data Reserva - Feriado e Fds]],RES_AB[[#This Row],[Dias para atendimento]],Feriados[Data]))</f>
        <v>45453</v>
      </c>
      <c r="J583" s="40" t="str">
        <f ca="1">IF(RES_AB[[#This Row],[Reserva]]="","",CONCATENATE("D+",NETWORKDAYS(RES_AB[[#This Row],[Data Reserva - Feriado e Fds]],TODAY(),Feriados[Data])-1))</f>
        <v>D+1</v>
      </c>
      <c r="K583" s="40" t="str">
        <f ca="1">IF(RES_AB[[#This Row],[Reserva]]="","",CONCATENATE(RES_AB[[#This Row],[Cen.]]," | ",RES_AB[[#This Row],[SLA2]]))</f>
        <v>N190 | D+1</v>
      </c>
      <c r="L583" s="40">
        <f ca="1">IF(RES_AB[[#This Row],[Reserva]]="","",IF(RES_AB[[#This Row],[SLA2]]=RES_AB[[#This Row],[Reserva]]="","",COUNTIF(MB25_VOLUMETRIA[Reserva],RES_AB[[#This Row],[Reserva]])))</f>
        <v>2</v>
      </c>
      <c r="M58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3" s="37" t="str">
        <f>IF(RES_AB[[#This Row],[Cen.]]="","",IFERROR(VLOOKUP(RES_AB[[#This Row],[Cen.]],Dados_Empresas[],2,FALSE),"Verificar empresa"))</f>
        <v>NET MASSIVO</v>
      </c>
      <c r="P583" s="37" t="str">
        <f>IF(RES_AB[[#This Row],[Empresa]]="","",IF(OR(RES_AB[[#This Row],[Empresa]]="NET MASSIVO",RES_AB[[#This Row],[Empresa]]="NET PROJETOS"),"NET","EMPRESARIAL"))</f>
        <v>NET</v>
      </c>
      <c r="Q583" s="37" t="str">
        <f>IF(RES_AB[[#This Row],[Reserva]]="","",IFERROR(VLOOKUP(RES_AB[[#This Row],[Reserva]],Tabela3[[Reserva]:[Descrição do status]],18,FALSE),"CONVENCIONAL"))</f>
        <v>CONVENCIONAL</v>
      </c>
    </row>
    <row r="584" spans="1:17" x14ac:dyDescent="0.25">
      <c r="A584" s="37">
        <v>4383949</v>
      </c>
      <c r="B584" s="37" t="s">
        <v>21</v>
      </c>
      <c r="C584" s="38" t="s">
        <v>19</v>
      </c>
      <c r="D584" s="38">
        <v>45449</v>
      </c>
      <c r="E58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4" s="39">
        <f>IFERROR(VLOOKUP(RES_AB[[#This Row],[Reserva]],Tabela8[[Reserva]:[Usuário]],7,FALSE),Dados!$A$17)</f>
        <v>0.93668981481481484</v>
      </c>
      <c r="G584" s="40">
        <f>IF(RES_AB[[#This Row],[Reserva]]="","",IF(RES_AB[[#This Row],[Hora Int WMS]]&lt;Dados!$A$16,2,2))</f>
        <v>2</v>
      </c>
      <c r="H584" s="40" t="str">
        <f>IF(RES_AB[[#This Row],[Reserva]]="","",IFERROR(VLOOKUP(RES_AB[[#This Row],[Reserva]],Tabela3[[Reserva]:[Condição para Faturamento]],20,FALSE),"IMPORTADO COM SUCESSO"))</f>
        <v>IMPORTADO COM SUCESSO</v>
      </c>
      <c r="I584" s="38">
        <f>IF(RES_AB[[#This Row],[Data base]]="","",WORKDAY(RES_AB[[#This Row],[Data Reserva - Feriado e Fds]],RES_AB[[#This Row],[Dias para atendimento]],Feriados[Data]))</f>
        <v>45453</v>
      </c>
      <c r="J584" s="40" t="str">
        <f ca="1">IF(RES_AB[[#This Row],[Reserva]]="","",CONCATENATE("D+",NETWORKDAYS(RES_AB[[#This Row],[Data Reserva - Feriado e Fds]],TODAY(),Feriados[Data])-1))</f>
        <v>D+1</v>
      </c>
      <c r="K584" s="40" t="str">
        <f ca="1">IF(RES_AB[[#This Row],[Reserva]]="","",CONCATENATE(RES_AB[[#This Row],[Cen.]]," | ",RES_AB[[#This Row],[SLA2]]))</f>
        <v>N190 | D+1</v>
      </c>
      <c r="L584" s="40">
        <f ca="1">IF(RES_AB[[#This Row],[Reserva]]="","",IF(RES_AB[[#This Row],[SLA2]]=RES_AB[[#This Row],[Reserva]]="","",COUNTIF(MB25_VOLUMETRIA[Reserva],RES_AB[[#This Row],[Reserva]])))</f>
        <v>1</v>
      </c>
      <c r="M58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4" s="37" t="str">
        <f>IF(RES_AB[[#This Row],[Cen.]]="","",IFERROR(VLOOKUP(RES_AB[[#This Row],[Cen.]],Dados_Empresas[],2,FALSE),"Verificar empresa"))</f>
        <v>NET MASSIVO</v>
      </c>
      <c r="P584" s="37" t="str">
        <f>IF(RES_AB[[#This Row],[Empresa]]="","",IF(OR(RES_AB[[#This Row],[Empresa]]="NET MASSIVO",RES_AB[[#This Row],[Empresa]]="NET PROJETOS"),"NET","EMPRESARIAL"))</f>
        <v>NET</v>
      </c>
      <c r="Q584" s="37" t="str">
        <f>IF(RES_AB[[#This Row],[Reserva]]="","",IFERROR(VLOOKUP(RES_AB[[#This Row],[Reserva]],Tabela3[[Reserva]:[Descrição do status]],18,FALSE),"CONVENCIONAL"))</f>
        <v>CONVENCIONAL</v>
      </c>
    </row>
    <row r="585" spans="1:17" x14ac:dyDescent="0.25">
      <c r="A585" s="37">
        <v>4383951</v>
      </c>
      <c r="B585" s="37" t="s">
        <v>21</v>
      </c>
      <c r="C585" s="38" t="s">
        <v>19</v>
      </c>
      <c r="D585" s="38">
        <v>45449</v>
      </c>
      <c r="E58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5" s="39">
        <f>IFERROR(VLOOKUP(RES_AB[[#This Row],[Reserva]],Tabela8[[Reserva]:[Usuário]],7,FALSE),Dados!$A$17)</f>
        <v>0.93668981481481484</v>
      </c>
      <c r="G585" s="40">
        <f>IF(RES_AB[[#This Row],[Reserva]]="","",IF(RES_AB[[#This Row],[Hora Int WMS]]&lt;Dados!$A$16,2,2))</f>
        <v>2</v>
      </c>
      <c r="H585" s="40" t="str">
        <f>IF(RES_AB[[#This Row],[Reserva]]="","",IFERROR(VLOOKUP(RES_AB[[#This Row],[Reserva]],Tabela3[[Reserva]:[Condição para Faturamento]],20,FALSE),"IMPORTADO COM SUCESSO"))</f>
        <v>IMPORTADO COM SUCESSO</v>
      </c>
      <c r="I585" s="38">
        <f>IF(RES_AB[[#This Row],[Data base]]="","",WORKDAY(RES_AB[[#This Row],[Data Reserva - Feriado e Fds]],RES_AB[[#This Row],[Dias para atendimento]],Feriados[Data]))</f>
        <v>45453</v>
      </c>
      <c r="J585" s="40" t="str">
        <f ca="1">IF(RES_AB[[#This Row],[Reserva]]="","",CONCATENATE("D+",NETWORKDAYS(RES_AB[[#This Row],[Data Reserva - Feriado e Fds]],TODAY(),Feriados[Data])-1))</f>
        <v>D+1</v>
      </c>
      <c r="K585" s="40" t="str">
        <f ca="1">IF(RES_AB[[#This Row],[Reserva]]="","",CONCATENATE(RES_AB[[#This Row],[Cen.]]," | ",RES_AB[[#This Row],[SLA2]]))</f>
        <v>N190 | D+1</v>
      </c>
      <c r="L585" s="40">
        <f ca="1">IF(RES_AB[[#This Row],[Reserva]]="","",IF(RES_AB[[#This Row],[SLA2]]=RES_AB[[#This Row],[Reserva]]="","",COUNTIF(MB25_VOLUMETRIA[Reserva],RES_AB[[#This Row],[Reserva]])))</f>
        <v>3</v>
      </c>
      <c r="M58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5" s="37" t="str">
        <f>IF(RES_AB[[#This Row],[Cen.]]="","",IFERROR(VLOOKUP(RES_AB[[#This Row],[Cen.]],Dados_Empresas[],2,FALSE),"Verificar empresa"))</f>
        <v>NET MASSIVO</v>
      </c>
      <c r="P585" s="37" t="str">
        <f>IF(RES_AB[[#This Row],[Empresa]]="","",IF(OR(RES_AB[[#This Row],[Empresa]]="NET MASSIVO",RES_AB[[#This Row],[Empresa]]="NET PROJETOS"),"NET","EMPRESARIAL"))</f>
        <v>NET</v>
      </c>
      <c r="Q585" s="37" t="str">
        <f>IF(RES_AB[[#This Row],[Reserva]]="","",IFERROR(VLOOKUP(RES_AB[[#This Row],[Reserva]],Tabela3[[Reserva]:[Descrição do status]],18,FALSE),"CONVENCIONAL"))</f>
        <v>CONVENCIONAL</v>
      </c>
    </row>
    <row r="586" spans="1:17" x14ac:dyDescent="0.25">
      <c r="A586" s="37">
        <v>4383952</v>
      </c>
      <c r="B586" s="37" t="s">
        <v>21</v>
      </c>
      <c r="C586" s="38" t="s">
        <v>19</v>
      </c>
      <c r="D586" s="38">
        <v>45449</v>
      </c>
      <c r="E58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6" s="39">
        <f>IFERROR(VLOOKUP(RES_AB[[#This Row],[Reserva]],Tabela8[[Reserva]:[Usuário]],7,FALSE),Dados!$A$17)</f>
        <v>0.93680555555555556</v>
      </c>
      <c r="G586" s="40">
        <f>IF(RES_AB[[#This Row],[Reserva]]="","",IF(RES_AB[[#This Row],[Hora Int WMS]]&lt;Dados!$A$16,2,2))</f>
        <v>2</v>
      </c>
      <c r="H586" s="40" t="str">
        <f>IF(RES_AB[[#This Row],[Reserva]]="","",IFERROR(VLOOKUP(RES_AB[[#This Row],[Reserva]],Tabela3[[Reserva]:[Condição para Faturamento]],20,FALSE),"IMPORTADO COM SUCESSO"))</f>
        <v>IMPORTADO COM SUCESSO</v>
      </c>
      <c r="I586" s="38">
        <f>IF(RES_AB[[#This Row],[Data base]]="","",WORKDAY(RES_AB[[#This Row],[Data Reserva - Feriado e Fds]],RES_AB[[#This Row],[Dias para atendimento]],Feriados[Data]))</f>
        <v>45453</v>
      </c>
      <c r="J586" s="40" t="str">
        <f ca="1">IF(RES_AB[[#This Row],[Reserva]]="","",CONCATENATE("D+",NETWORKDAYS(RES_AB[[#This Row],[Data Reserva - Feriado e Fds]],TODAY(),Feriados[Data])-1))</f>
        <v>D+1</v>
      </c>
      <c r="K586" s="40" t="str">
        <f ca="1">IF(RES_AB[[#This Row],[Reserva]]="","",CONCATENATE(RES_AB[[#This Row],[Cen.]]," | ",RES_AB[[#This Row],[SLA2]]))</f>
        <v>N190 | D+1</v>
      </c>
      <c r="L586" s="40">
        <f ca="1">IF(RES_AB[[#This Row],[Reserva]]="","",IF(RES_AB[[#This Row],[SLA2]]=RES_AB[[#This Row],[Reserva]]="","",COUNTIF(MB25_VOLUMETRIA[Reserva],RES_AB[[#This Row],[Reserva]])))</f>
        <v>3</v>
      </c>
      <c r="M58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6" s="37" t="str">
        <f>IF(RES_AB[[#This Row],[Cen.]]="","",IFERROR(VLOOKUP(RES_AB[[#This Row],[Cen.]],Dados_Empresas[],2,FALSE),"Verificar empresa"))</f>
        <v>NET MASSIVO</v>
      </c>
      <c r="P586" s="37" t="str">
        <f>IF(RES_AB[[#This Row],[Empresa]]="","",IF(OR(RES_AB[[#This Row],[Empresa]]="NET MASSIVO",RES_AB[[#This Row],[Empresa]]="NET PROJETOS"),"NET","EMPRESARIAL"))</f>
        <v>NET</v>
      </c>
      <c r="Q586" s="37" t="str">
        <f>IF(RES_AB[[#This Row],[Reserva]]="","",IFERROR(VLOOKUP(RES_AB[[#This Row],[Reserva]],Tabela3[[Reserva]:[Descrição do status]],18,FALSE),"CONVENCIONAL"))</f>
        <v>CONVENCIONAL</v>
      </c>
    </row>
    <row r="587" spans="1:17" x14ac:dyDescent="0.25">
      <c r="A587" s="37">
        <v>4383953</v>
      </c>
      <c r="B587" s="37" t="s">
        <v>21</v>
      </c>
      <c r="C587" s="38" t="s">
        <v>19</v>
      </c>
      <c r="D587" s="38">
        <v>45449</v>
      </c>
      <c r="E58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7" s="39">
        <f>IFERROR(VLOOKUP(RES_AB[[#This Row],[Reserva]],Tabela8[[Reserva]:[Usuário]],7,FALSE),Dados!$A$17)</f>
        <v>0.93692129629629628</v>
      </c>
      <c r="G587" s="40">
        <f>IF(RES_AB[[#This Row],[Reserva]]="","",IF(RES_AB[[#This Row],[Hora Int WMS]]&lt;Dados!$A$16,2,2))</f>
        <v>2</v>
      </c>
      <c r="H587" s="40" t="str">
        <f>IF(RES_AB[[#This Row],[Reserva]]="","",IFERROR(VLOOKUP(RES_AB[[#This Row],[Reserva]],Tabela3[[Reserva]:[Condição para Faturamento]],20,FALSE),"IMPORTADO COM SUCESSO"))</f>
        <v>IMPORTADO COM SUCESSO</v>
      </c>
      <c r="I587" s="38">
        <f>IF(RES_AB[[#This Row],[Data base]]="","",WORKDAY(RES_AB[[#This Row],[Data Reserva - Feriado e Fds]],RES_AB[[#This Row],[Dias para atendimento]],Feriados[Data]))</f>
        <v>45453</v>
      </c>
      <c r="J587" s="40" t="str">
        <f ca="1">IF(RES_AB[[#This Row],[Reserva]]="","",CONCATENATE("D+",NETWORKDAYS(RES_AB[[#This Row],[Data Reserva - Feriado e Fds]],TODAY(),Feriados[Data])-1))</f>
        <v>D+1</v>
      </c>
      <c r="K587" s="40" t="str">
        <f ca="1">IF(RES_AB[[#This Row],[Reserva]]="","",CONCATENATE(RES_AB[[#This Row],[Cen.]]," | ",RES_AB[[#This Row],[SLA2]]))</f>
        <v>N190 | D+1</v>
      </c>
      <c r="L587" s="40">
        <f ca="1">IF(RES_AB[[#This Row],[Reserva]]="","",IF(RES_AB[[#This Row],[SLA2]]=RES_AB[[#This Row],[Reserva]]="","",COUNTIF(MB25_VOLUMETRIA[Reserva],RES_AB[[#This Row],[Reserva]])))</f>
        <v>2</v>
      </c>
      <c r="M58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7" s="37" t="str">
        <f>IF(RES_AB[[#This Row],[Cen.]]="","",IFERROR(VLOOKUP(RES_AB[[#This Row],[Cen.]],Dados_Empresas[],2,FALSE),"Verificar empresa"))</f>
        <v>NET MASSIVO</v>
      </c>
      <c r="P587" s="37" t="str">
        <f>IF(RES_AB[[#This Row],[Empresa]]="","",IF(OR(RES_AB[[#This Row],[Empresa]]="NET MASSIVO",RES_AB[[#This Row],[Empresa]]="NET PROJETOS"),"NET","EMPRESARIAL"))</f>
        <v>NET</v>
      </c>
      <c r="Q587" s="37" t="str">
        <f>IF(RES_AB[[#This Row],[Reserva]]="","",IFERROR(VLOOKUP(RES_AB[[#This Row],[Reserva]],Tabela3[[Reserva]:[Descrição do status]],18,FALSE),"CONVENCIONAL"))</f>
        <v>CONVENCIONAL</v>
      </c>
    </row>
    <row r="588" spans="1:17" x14ac:dyDescent="0.25">
      <c r="A588" s="37">
        <v>4383954</v>
      </c>
      <c r="B588" s="37" t="s">
        <v>21</v>
      </c>
      <c r="C588" s="38" t="s">
        <v>19</v>
      </c>
      <c r="D588" s="38">
        <v>45449</v>
      </c>
      <c r="E58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8" s="39">
        <f>IFERROR(VLOOKUP(RES_AB[[#This Row],[Reserva]],Tabela8[[Reserva]:[Usuário]],7,FALSE),Dados!$A$17)</f>
        <v>0.93692129629629628</v>
      </c>
      <c r="G588" s="40">
        <f>IF(RES_AB[[#This Row],[Reserva]]="","",IF(RES_AB[[#This Row],[Hora Int WMS]]&lt;Dados!$A$16,2,2))</f>
        <v>2</v>
      </c>
      <c r="H588" s="40" t="str">
        <f>IF(RES_AB[[#This Row],[Reserva]]="","",IFERROR(VLOOKUP(RES_AB[[#This Row],[Reserva]],Tabela3[[Reserva]:[Condição para Faturamento]],20,FALSE),"IMPORTADO COM SUCESSO"))</f>
        <v>IMPORTADO COM SUCESSO</v>
      </c>
      <c r="I588" s="38">
        <f>IF(RES_AB[[#This Row],[Data base]]="","",WORKDAY(RES_AB[[#This Row],[Data Reserva - Feriado e Fds]],RES_AB[[#This Row],[Dias para atendimento]],Feriados[Data]))</f>
        <v>45453</v>
      </c>
      <c r="J588" s="40" t="str">
        <f ca="1">IF(RES_AB[[#This Row],[Reserva]]="","",CONCATENATE("D+",NETWORKDAYS(RES_AB[[#This Row],[Data Reserva - Feriado e Fds]],TODAY(),Feriados[Data])-1))</f>
        <v>D+1</v>
      </c>
      <c r="K588" s="40" t="str">
        <f ca="1">IF(RES_AB[[#This Row],[Reserva]]="","",CONCATENATE(RES_AB[[#This Row],[Cen.]]," | ",RES_AB[[#This Row],[SLA2]]))</f>
        <v>N190 | D+1</v>
      </c>
      <c r="L588" s="40">
        <f ca="1">IF(RES_AB[[#This Row],[Reserva]]="","",IF(RES_AB[[#This Row],[SLA2]]=RES_AB[[#This Row],[Reserva]]="","",COUNTIF(MB25_VOLUMETRIA[Reserva],RES_AB[[#This Row],[Reserva]])))</f>
        <v>2</v>
      </c>
      <c r="M58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8" s="37" t="str">
        <f>IF(RES_AB[[#This Row],[Cen.]]="","",IFERROR(VLOOKUP(RES_AB[[#This Row],[Cen.]],Dados_Empresas[],2,FALSE),"Verificar empresa"))</f>
        <v>NET MASSIVO</v>
      </c>
      <c r="P588" s="37" t="str">
        <f>IF(RES_AB[[#This Row],[Empresa]]="","",IF(OR(RES_AB[[#This Row],[Empresa]]="NET MASSIVO",RES_AB[[#This Row],[Empresa]]="NET PROJETOS"),"NET","EMPRESARIAL"))</f>
        <v>NET</v>
      </c>
      <c r="Q588" s="37" t="str">
        <f>IF(RES_AB[[#This Row],[Reserva]]="","",IFERROR(VLOOKUP(RES_AB[[#This Row],[Reserva]],Tabela3[[Reserva]:[Descrição do status]],18,FALSE),"CONVENCIONAL"))</f>
        <v>CONVENCIONAL</v>
      </c>
    </row>
    <row r="589" spans="1:17" x14ac:dyDescent="0.25">
      <c r="A589" s="37">
        <v>4383955</v>
      </c>
      <c r="B589" s="37" t="s">
        <v>21</v>
      </c>
      <c r="C589" s="38" t="s">
        <v>19</v>
      </c>
      <c r="D589" s="38">
        <v>45449</v>
      </c>
      <c r="E58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89" s="39">
        <f>IFERROR(VLOOKUP(RES_AB[[#This Row],[Reserva]],Tabela8[[Reserva]:[Usuário]],7,FALSE),Dados!$A$17)</f>
        <v>0.937037037037037</v>
      </c>
      <c r="G589" s="40">
        <f>IF(RES_AB[[#This Row],[Reserva]]="","",IF(RES_AB[[#This Row],[Hora Int WMS]]&lt;Dados!$A$16,2,2))</f>
        <v>2</v>
      </c>
      <c r="H589" s="40" t="str">
        <f>IF(RES_AB[[#This Row],[Reserva]]="","",IFERROR(VLOOKUP(RES_AB[[#This Row],[Reserva]],Tabela3[[Reserva]:[Condição para Faturamento]],20,FALSE),"IMPORTADO COM SUCESSO"))</f>
        <v>IMPORTADO COM SUCESSO</v>
      </c>
      <c r="I589" s="38">
        <f>IF(RES_AB[[#This Row],[Data base]]="","",WORKDAY(RES_AB[[#This Row],[Data Reserva - Feriado e Fds]],RES_AB[[#This Row],[Dias para atendimento]],Feriados[Data]))</f>
        <v>45453</v>
      </c>
      <c r="J589" s="40" t="str">
        <f ca="1">IF(RES_AB[[#This Row],[Reserva]]="","",CONCATENATE("D+",NETWORKDAYS(RES_AB[[#This Row],[Data Reserva - Feriado e Fds]],TODAY(),Feriados[Data])-1))</f>
        <v>D+1</v>
      </c>
      <c r="K589" s="40" t="str">
        <f ca="1">IF(RES_AB[[#This Row],[Reserva]]="","",CONCATENATE(RES_AB[[#This Row],[Cen.]]," | ",RES_AB[[#This Row],[SLA2]]))</f>
        <v>N190 | D+1</v>
      </c>
      <c r="L589" s="40">
        <f ca="1">IF(RES_AB[[#This Row],[Reserva]]="","",IF(RES_AB[[#This Row],[SLA2]]=RES_AB[[#This Row],[Reserva]]="","",COUNTIF(MB25_VOLUMETRIA[Reserva],RES_AB[[#This Row],[Reserva]])))</f>
        <v>3</v>
      </c>
      <c r="M58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8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89" s="37" t="str">
        <f>IF(RES_AB[[#This Row],[Cen.]]="","",IFERROR(VLOOKUP(RES_AB[[#This Row],[Cen.]],Dados_Empresas[],2,FALSE),"Verificar empresa"))</f>
        <v>NET MASSIVO</v>
      </c>
      <c r="P589" s="37" t="str">
        <f>IF(RES_AB[[#This Row],[Empresa]]="","",IF(OR(RES_AB[[#This Row],[Empresa]]="NET MASSIVO",RES_AB[[#This Row],[Empresa]]="NET PROJETOS"),"NET","EMPRESARIAL"))</f>
        <v>NET</v>
      </c>
      <c r="Q589" s="37" t="str">
        <f>IF(RES_AB[[#This Row],[Reserva]]="","",IFERROR(VLOOKUP(RES_AB[[#This Row],[Reserva]],Tabela3[[Reserva]:[Descrição do status]],18,FALSE),"CONVENCIONAL"))</f>
        <v>CONVENCIONAL</v>
      </c>
    </row>
    <row r="590" spans="1:17" x14ac:dyDescent="0.25">
      <c r="A590" s="37">
        <v>4383956</v>
      </c>
      <c r="B590" s="37" t="s">
        <v>21</v>
      </c>
      <c r="C590" s="38" t="s">
        <v>19</v>
      </c>
      <c r="D590" s="38">
        <v>45449</v>
      </c>
      <c r="E59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0" s="39">
        <f>IFERROR(VLOOKUP(RES_AB[[#This Row],[Reserva]],Tabela8[[Reserva]:[Usuário]],7,FALSE),Dados!$A$17)</f>
        <v>0.93715277777777772</v>
      </c>
      <c r="G590" s="40">
        <f>IF(RES_AB[[#This Row],[Reserva]]="","",IF(RES_AB[[#This Row],[Hora Int WMS]]&lt;Dados!$A$16,2,2))</f>
        <v>2</v>
      </c>
      <c r="H590" s="40" t="str">
        <f>IF(RES_AB[[#This Row],[Reserva]]="","",IFERROR(VLOOKUP(RES_AB[[#This Row],[Reserva]],Tabela3[[Reserva]:[Condição para Faturamento]],20,FALSE),"IMPORTADO COM SUCESSO"))</f>
        <v>IMPORTADO COM SUCESSO</v>
      </c>
      <c r="I590" s="38">
        <f>IF(RES_AB[[#This Row],[Data base]]="","",WORKDAY(RES_AB[[#This Row],[Data Reserva - Feriado e Fds]],RES_AB[[#This Row],[Dias para atendimento]],Feriados[Data]))</f>
        <v>45453</v>
      </c>
      <c r="J590" s="40" t="str">
        <f ca="1">IF(RES_AB[[#This Row],[Reserva]]="","",CONCATENATE("D+",NETWORKDAYS(RES_AB[[#This Row],[Data Reserva - Feriado e Fds]],TODAY(),Feriados[Data])-1))</f>
        <v>D+1</v>
      </c>
      <c r="K590" s="40" t="str">
        <f ca="1">IF(RES_AB[[#This Row],[Reserva]]="","",CONCATENATE(RES_AB[[#This Row],[Cen.]]," | ",RES_AB[[#This Row],[SLA2]]))</f>
        <v>N190 | D+1</v>
      </c>
      <c r="L590" s="40">
        <f ca="1">IF(RES_AB[[#This Row],[Reserva]]="","",IF(RES_AB[[#This Row],[SLA2]]=RES_AB[[#This Row],[Reserva]]="","",COUNTIF(MB25_VOLUMETRIA[Reserva],RES_AB[[#This Row],[Reserva]])))</f>
        <v>3</v>
      </c>
      <c r="M59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0" s="37" t="str">
        <f>IF(RES_AB[[#This Row],[Cen.]]="","",IFERROR(VLOOKUP(RES_AB[[#This Row],[Cen.]],Dados_Empresas[],2,FALSE),"Verificar empresa"))</f>
        <v>NET MASSIVO</v>
      </c>
      <c r="P590" s="37" t="str">
        <f>IF(RES_AB[[#This Row],[Empresa]]="","",IF(OR(RES_AB[[#This Row],[Empresa]]="NET MASSIVO",RES_AB[[#This Row],[Empresa]]="NET PROJETOS"),"NET","EMPRESARIAL"))</f>
        <v>NET</v>
      </c>
      <c r="Q590" s="37" t="str">
        <f>IF(RES_AB[[#This Row],[Reserva]]="","",IFERROR(VLOOKUP(RES_AB[[#This Row],[Reserva]],Tabela3[[Reserva]:[Descrição do status]],18,FALSE),"CONVENCIONAL"))</f>
        <v>CONVENCIONAL</v>
      </c>
    </row>
    <row r="591" spans="1:17" x14ac:dyDescent="0.25">
      <c r="A591" s="37">
        <v>4383957</v>
      </c>
      <c r="B591" s="37" t="s">
        <v>21</v>
      </c>
      <c r="C591" s="38" t="s">
        <v>19</v>
      </c>
      <c r="D591" s="38">
        <v>45449</v>
      </c>
      <c r="E59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1" s="39">
        <f>IFERROR(VLOOKUP(RES_AB[[#This Row],[Reserva]],Tabela8[[Reserva]:[Usuário]],7,FALSE),Dados!$A$17)</f>
        <v>0.93715277777777772</v>
      </c>
      <c r="G591" s="40">
        <f>IF(RES_AB[[#This Row],[Reserva]]="","",IF(RES_AB[[#This Row],[Hora Int WMS]]&lt;Dados!$A$16,2,2))</f>
        <v>2</v>
      </c>
      <c r="H591" s="40" t="str">
        <f>IF(RES_AB[[#This Row],[Reserva]]="","",IFERROR(VLOOKUP(RES_AB[[#This Row],[Reserva]],Tabela3[[Reserva]:[Condição para Faturamento]],20,FALSE),"IMPORTADO COM SUCESSO"))</f>
        <v>IMPORTADO COM SUCESSO</v>
      </c>
      <c r="I591" s="38">
        <f>IF(RES_AB[[#This Row],[Data base]]="","",WORKDAY(RES_AB[[#This Row],[Data Reserva - Feriado e Fds]],RES_AB[[#This Row],[Dias para atendimento]],Feriados[Data]))</f>
        <v>45453</v>
      </c>
      <c r="J591" s="40" t="str">
        <f ca="1">IF(RES_AB[[#This Row],[Reserva]]="","",CONCATENATE("D+",NETWORKDAYS(RES_AB[[#This Row],[Data Reserva - Feriado e Fds]],TODAY(),Feriados[Data])-1))</f>
        <v>D+1</v>
      </c>
      <c r="K591" s="40" t="str">
        <f ca="1">IF(RES_AB[[#This Row],[Reserva]]="","",CONCATENATE(RES_AB[[#This Row],[Cen.]]," | ",RES_AB[[#This Row],[SLA2]]))</f>
        <v>N190 | D+1</v>
      </c>
      <c r="L591" s="40">
        <f ca="1">IF(RES_AB[[#This Row],[Reserva]]="","",IF(RES_AB[[#This Row],[SLA2]]=RES_AB[[#This Row],[Reserva]]="","",COUNTIF(MB25_VOLUMETRIA[Reserva],RES_AB[[#This Row],[Reserva]])))</f>
        <v>3</v>
      </c>
      <c r="M59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1" s="37" t="str">
        <f>IF(RES_AB[[#This Row],[Cen.]]="","",IFERROR(VLOOKUP(RES_AB[[#This Row],[Cen.]],Dados_Empresas[],2,FALSE),"Verificar empresa"))</f>
        <v>NET MASSIVO</v>
      </c>
      <c r="P591" s="37" t="str">
        <f>IF(RES_AB[[#This Row],[Empresa]]="","",IF(OR(RES_AB[[#This Row],[Empresa]]="NET MASSIVO",RES_AB[[#This Row],[Empresa]]="NET PROJETOS"),"NET","EMPRESARIAL"))</f>
        <v>NET</v>
      </c>
      <c r="Q591" s="37" t="str">
        <f>IF(RES_AB[[#This Row],[Reserva]]="","",IFERROR(VLOOKUP(RES_AB[[#This Row],[Reserva]],Tabela3[[Reserva]:[Descrição do status]],18,FALSE),"CONVENCIONAL"))</f>
        <v>CONVENCIONAL</v>
      </c>
    </row>
    <row r="592" spans="1:17" x14ac:dyDescent="0.25">
      <c r="A592" s="37">
        <v>4383958</v>
      </c>
      <c r="B592" s="37" t="s">
        <v>21</v>
      </c>
      <c r="C592" s="38" t="s">
        <v>19</v>
      </c>
      <c r="D592" s="38">
        <v>45449</v>
      </c>
      <c r="E59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2" s="39">
        <f>IFERROR(VLOOKUP(RES_AB[[#This Row],[Reserva]],Tabela8[[Reserva]:[Usuário]],7,FALSE),Dados!$A$17)</f>
        <v>0.93726851851851856</v>
      </c>
      <c r="G592" s="40">
        <f>IF(RES_AB[[#This Row],[Reserva]]="","",IF(RES_AB[[#This Row],[Hora Int WMS]]&lt;Dados!$A$16,2,2))</f>
        <v>2</v>
      </c>
      <c r="H592" s="40" t="str">
        <f>IF(RES_AB[[#This Row],[Reserva]]="","",IFERROR(VLOOKUP(RES_AB[[#This Row],[Reserva]],Tabela3[[Reserva]:[Condição para Faturamento]],20,FALSE),"IMPORTADO COM SUCESSO"))</f>
        <v>IMPORTADO COM SUCESSO</v>
      </c>
      <c r="I592" s="38">
        <f>IF(RES_AB[[#This Row],[Data base]]="","",WORKDAY(RES_AB[[#This Row],[Data Reserva - Feriado e Fds]],RES_AB[[#This Row],[Dias para atendimento]],Feriados[Data]))</f>
        <v>45453</v>
      </c>
      <c r="J592" s="40" t="str">
        <f ca="1">IF(RES_AB[[#This Row],[Reserva]]="","",CONCATENATE("D+",NETWORKDAYS(RES_AB[[#This Row],[Data Reserva - Feriado e Fds]],TODAY(),Feriados[Data])-1))</f>
        <v>D+1</v>
      </c>
      <c r="K592" s="40" t="str">
        <f ca="1">IF(RES_AB[[#This Row],[Reserva]]="","",CONCATENATE(RES_AB[[#This Row],[Cen.]]," | ",RES_AB[[#This Row],[SLA2]]))</f>
        <v>N190 | D+1</v>
      </c>
      <c r="L592" s="40">
        <f ca="1">IF(RES_AB[[#This Row],[Reserva]]="","",IF(RES_AB[[#This Row],[SLA2]]=RES_AB[[#This Row],[Reserva]]="","",COUNTIF(MB25_VOLUMETRIA[Reserva],RES_AB[[#This Row],[Reserva]])))</f>
        <v>3</v>
      </c>
      <c r="M59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2" s="37" t="str">
        <f>IF(RES_AB[[#This Row],[Cen.]]="","",IFERROR(VLOOKUP(RES_AB[[#This Row],[Cen.]],Dados_Empresas[],2,FALSE),"Verificar empresa"))</f>
        <v>NET MASSIVO</v>
      </c>
      <c r="P592" s="37" t="str">
        <f>IF(RES_AB[[#This Row],[Empresa]]="","",IF(OR(RES_AB[[#This Row],[Empresa]]="NET MASSIVO",RES_AB[[#This Row],[Empresa]]="NET PROJETOS"),"NET","EMPRESARIAL"))</f>
        <v>NET</v>
      </c>
      <c r="Q592" s="37" t="str">
        <f>IF(RES_AB[[#This Row],[Reserva]]="","",IFERROR(VLOOKUP(RES_AB[[#This Row],[Reserva]],Tabela3[[Reserva]:[Descrição do status]],18,FALSE),"CONVENCIONAL"))</f>
        <v>CONVENCIONAL</v>
      </c>
    </row>
    <row r="593" spans="1:17" x14ac:dyDescent="0.25">
      <c r="A593" s="37">
        <v>4383959</v>
      </c>
      <c r="B593" s="37" t="s">
        <v>21</v>
      </c>
      <c r="C593" s="38" t="s">
        <v>19</v>
      </c>
      <c r="D593" s="38">
        <v>45449</v>
      </c>
      <c r="E59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3" s="39">
        <f>IFERROR(VLOOKUP(RES_AB[[#This Row],[Reserva]],Tabela8[[Reserva]:[Usuário]],7,FALSE),Dados!$A$17)</f>
        <v>0.93738425925925928</v>
      </c>
      <c r="G593" s="40">
        <f>IF(RES_AB[[#This Row],[Reserva]]="","",IF(RES_AB[[#This Row],[Hora Int WMS]]&lt;Dados!$A$16,2,2))</f>
        <v>2</v>
      </c>
      <c r="H593" s="40" t="str">
        <f>IF(RES_AB[[#This Row],[Reserva]]="","",IFERROR(VLOOKUP(RES_AB[[#This Row],[Reserva]],Tabela3[[Reserva]:[Condição para Faturamento]],20,FALSE),"IMPORTADO COM SUCESSO"))</f>
        <v>IMPORTADO COM SUCESSO</v>
      </c>
      <c r="I593" s="38">
        <f>IF(RES_AB[[#This Row],[Data base]]="","",WORKDAY(RES_AB[[#This Row],[Data Reserva - Feriado e Fds]],RES_AB[[#This Row],[Dias para atendimento]],Feriados[Data]))</f>
        <v>45453</v>
      </c>
      <c r="J593" s="40" t="str">
        <f ca="1">IF(RES_AB[[#This Row],[Reserva]]="","",CONCATENATE("D+",NETWORKDAYS(RES_AB[[#This Row],[Data Reserva - Feriado e Fds]],TODAY(),Feriados[Data])-1))</f>
        <v>D+1</v>
      </c>
      <c r="K593" s="40" t="str">
        <f ca="1">IF(RES_AB[[#This Row],[Reserva]]="","",CONCATENATE(RES_AB[[#This Row],[Cen.]]," | ",RES_AB[[#This Row],[SLA2]]))</f>
        <v>N190 | D+1</v>
      </c>
      <c r="L593" s="40">
        <f ca="1">IF(RES_AB[[#This Row],[Reserva]]="","",IF(RES_AB[[#This Row],[SLA2]]=RES_AB[[#This Row],[Reserva]]="","",COUNTIF(MB25_VOLUMETRIA[Reserva],RES_AB[[#This Row],[Reserva]])))</f>
        <v>3</v>
      </c>
      <c r="M59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3" s="37" t="str">
        <f>IF(RES_AB[[#This Row],[Cen.]]="","",IFERROR(VLOOKUP(RES_AB[[#This Row],[Cen.]],Dados_Empresas[],2,FALSE),"Verificar empresa"))</f>
        <v>NET MASSIVO</v>
      </c>
      <c r="P593" s="37" t="str">
        <f>IF(RES_AB[[#This Row],[Empresa]]="","",IF(OR(RES_AB[[#This Row],[Empresa]]="NET MASSIVO",RES_AB[[#This Row],[Empresa]]="NET PROJETOS"),"NET","EMPRESARIAL"))</f>
        <v>NET</v>
      </c>
      <c r="Q593" s="37" t="str">
        <f>IF(RES_AB[[#This Row],[Reserva]]="","",IFERROR(VLOOKUP(RES_AB[[#This Row],[Reserva]],Tabela3[[Reserva]:[Descrição do status]],18,FALSE),"CONVENCIONAL"))</f>
        <v>CONVENCIONAL</v>
      </c>
    </row>
    <row r="594" spans="1:17" x14ac:dyDescent="0.25">
      <c r="A594" s="37">
        <v>4383960</v>
      </c>
      <c r="B594" s="37" t="s">
        <v>21</v>
      </c>
      <c r="C594" s="38" t="s">
        <v>19</v>
      </c>
      <c r="D594" s="38">
        <v>45449</v>
      </c>
      <c r="E59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4" s="39">
        <f>IFERROR(VLOOKUP(RES_AB[[#This Row],[Reserva]],Tabela8[[Reserva]:[Usuário]],7,FALSE),Dados!$A$17)</f>
        <v>0.93738425925925928</v>
      </c>
      <c r="G594" s="40">
        <f>IF(RES_AB[[#This Row],[Reserva]]="","",IF(RES_AB[[#This Row],[Hora Int WMS]]&lt;Dados!$A$16,2,2))</f>
        <v>2</v>
      </c>
      <c r="H594" s="40" t="str">
        <f>IF(RES_AB[[#This Row],[Reserva]]="","",IFERROR(VLOOKUP(RES_AB[[#This Row],[Reserva]],Tabela3[[Reserva]:[Condição para Faturamento]],20,FALSE),"IMPORTADO COM SUCESSO"))</f>
        <v>IMPORTADO COM SUCESSO</v>
      </c>
      <c r="I594" s="38">
        <f>IF(RES_AB[[#This Row],[Data base]]="","",WORKDAY(RES_AB[[#This Row],[Data Reserva - Feriado e Fds]],RES_AB[[#This Row],[Dias para atendimento]],Feriados[Data]))</f>
        <v>45453</v>
      </c>
      <c r="J594" s="40" t="str">
        <f ca="1">IF(RES_AB[[#This Row],[Reserva]]="","",CONCATENATE("D+",NETWORKDAYS(RES_AB[[#This Row],[Data Reserva - Feriado e Fds]],TODAY(),Feriados[Data])-1))</f>
        <v>D+1</v>
      </c>
      <c r="K594" s="40" t="str">
        <f ca="1">IF(RES_AB[[#This Row],[Reserva]]="","",CONCATENATE(RES_AB[[#This Row],[Cen.]]," | ",RES_AB[[#This Row],[SLA2]]))</f>
        <v>N190 | D+1</v>
      </c>
      <c r="L594" s="40">
        <f ca="1">IF(RES_AB[[#This Row],[Reserva]]="","",IF(RES_AB[[#This Row],[SLA2]]=RES_AB[[#This Row],[Reserva]]="","",COUNTIF(MB25_VOLUMETRIA[Reserva],RES_AB[[#This Row],[Reserva]])))</f>
        <v>2</v>
      </c>
      <c r="M59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4" s="37" t="str">
        <f>IF(RES_AB[[#This Row],[Cen.]]="","",IFERROR(VLOOKUP(RES_AB[[#This Row],[Cen.]],Dados_Empresas[],2,FALSE),"Verificar empresa"))</f>
        <v>NET MASSIVO</v>
      </c>
      <c r="P594" s="37" t="str">
        <f>IF(RES_AB[[#This Row],[Empresa]]="","",IF(OR(RES_AB[[#This Row],[Empresa]]="NET MASSIVO",RES_AB[[#This Row],[Empresa]]="NET PROJETOS"),"NET","EMPRESARIAL"))</f>
        <v>NET</v>
      </c>
      <c r="Q594" s="37" t="str">
        <f>IF(RES_AB[[#This Row],[Reserva]]="","",IFERROR(VLOOKUP(RES_AB[[#This Row],[Reserva]],Tabela3[[Reserva]:[Descrição do status]],18,FALSE),"CONVENCIONAL"))</f>
        <v>CONVENCIONAL</v>
      </c>
    </row>
    <row r="595" spans="1:17" x14ac:dyDescent="0.25">
      <c r="A595" s="37">
        <v>4383961</v>
      </c>
      <c r="B595" s="37" t="s">
        <v>21</v>
      </c>
      <c r="C595" s="38" t="s">
        <v>19</v>
      </c>
      <c r="D595" s="38">
        <v>45449</v>
      </c>
      <c r="E59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5" s="39">
        <f>IFERROR(VLOOKUP(RES_AB[[#This Row],[Reserva]],Tabela8[[Reserva]:[Usuário]],7,FALSE),Dados!$A$17)</f>
        <v>0.9375</v>
      </c>
      <c r="G595" s="40">
        <f>IF(RES_AB[[#This Row],[Reserva]]="","",IF(RES_AB[[#This Row],[Hora Int WMS]]&lt;Dados!$A$16,2,2))</f>
        <v>2</v>
      </c>
      <c r="H595" s="40" t="str">
        <f>IF(RES_AB[[#This Row],[Reserva]]="","",IFERROR(VLOOKUP(RES_AB[[#This Row],[Reserva]],Tabela3[[Reserva]:[Condição para Faturamento]],20,FALSE),"IMPORTADO COM SUCESSO"))</f>
        <v>IMPORTADO COM SUCESSO</v>
      </c>
      <c r="I595" s="38">
        <f>IF(RES_AB[[#This Row],[Data base]]="","",WORKDAY(RES_AB[[#This Row],[Data Reserva - Feriado e Fds]],RES_AB[[#This Row],[Dias para atendimento]],Feriados[Data]))</f>
        <v>45453</v>
      </c>
      <c r="J595" s="40" t="str">
        <f ca="1">IF(RES_AB[[#This Row],[Reserva]]="","",CONCATENATE("D+",NETWORKDAYS(RES_AB[[#This Row],[Data Reserva - Feriado e Fds]],TODAY(),Feriados[Data])-1))</f>
        <v>D+1</v>
      </c>
      <c r="K595" s="40" t="str">
        <f ca="1">IF(RES_AB[[#This Row],[Reserva]]="","",CONCATENATE(RES_AB[[#This Row],[Cen.]]," | ",RES_AB[[#This Row],[SLA2]]))</f>
        <v>N190 | D+1</v>
      </c>
      <c r="L595" s="40">
        <f ca="1">IF(RES_AB[[#This Row],[Reserva]]="","",IF(RES_AB[[#This Row],[SLA2]]=RES_AB[[#This Row],[Reserva]]="","",COUNTIF(MB25_VOLUMETRIA[Reserva],RES_AB[[#This Row],[Reserva]])))</f>
        <v>5</v>
      </c>
      <c r="M59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5" s="37" t="str">
        <f>IF(RES_AB[[#This Row],[Cen.]]="","",IFERROR(VLOOKUP(RES_AB[[#This Row],[Cen.]],Dados_Empresas[],2,FALSE),"Verificar empresa"))</f>
        <v>NET MASSIVO</v>
      </c>
      <c r="P595" s="37" t="str">
        <f>IF(RES_AB[[#This Row],[Empresa]]="","",IF(OR(RES_AB[[#This Row],[Empresa]]="NET MASSIVO",RES_AB[[#This Row],[Empresa]]="NET PROJETOS"),"NET","EMPRESARIAL"))</f>
        <v>NET</v>
      </c>
      <c r="Q595" s="37" t="str">
        <f>IF(RES_AB[[#This Row],[Reserva]]="","",IFERROR(VLOOKUP(RES_AB[[#This Row],[Reserva]],Tabela3[[Reserva]:[Descrição do status]],18,FALSE),"CONVENCIONAL"))</f>
        <v>CONVENCIONAL</v>
      </c>
    </row>
    <row r="596" spans="1:17" x14ac:dyDescent="0.25">
      <c r="A596" s="37">
        <v>4383962</v>
      </c>
      <c r="B596" s="37" t="s">
        <v>21</v>
      </c>
      <c r="C596" s="38" t="s">
        <v>19</v>
      </c>
      <c r="D596" s="38">
        <v>45449</v>
      </c>
      <c r="E59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6" s="39">
        <f>IFERROR(VLOOKUP(RES_AB[[#This Row],[Reserva]],Tabela8[[Reserva]:[Usuário]],7,FALSE),Dados!$A$17)</f>
        <v>0.93761574074074072</v>
      </c>
      <c r="G596" s="40">
        <f>IF(RES_AB[[#This Row],[Reserva]]="","",IF(RES_AB[[#This Row],[Hora Int WMS]]&lt;Dados!$A$16,2,2))</f>
        <v>2</v>
      </c>
      <c r="H596" s="40" t="str">
        <f>IF(RES_AB[[#This Row],[Reserva]]="","",IFERROR(VLOOKUP(RES_AB[[#This Row],[Reserva]],Tabela3[[Reserva]:[Condição para Faturamento]],20,FALSE),"IMPORTADO COM SUCESSO"))</f>
        <v>IMPORTADO COM SUCESSO</v>
      </c>
      <c r="I596" s="38">
        <f>IF(RES_AB[[#This Row],[Data base]]="","",WORKDAY(RES_AB[[#This Row],[Data Reserva - Feriado e Fds]],RES_AB[[#This Row],[Dias para atendimento]],Feriados[Data]))</f>
        <v>45453</v>
      </c>
      <c r="J596" s="40" t="str">
        <f ca="1">IF(RES_AB[[#This Row],[Reserva]]="","",CONCATENATE("D+",NETWORKDAYS(RES_AB[[#This Row],[Data Reserva - Feriado e Fds]],TODAY(),Feriados[Data])-1))</f>
        <v>D+1</v>
      </c>
      <c r="K596" s="40" t="str">
        <f ca="1">IF(RES_AB[[#This Row],[Reserva]]="","",CONCATENATE(RES_AB[[#This Row],[Cen.]]," | ",RES_AB[[#This Row],[SLA2]]))</f>
        <v>N190 | D+1</v>
      </c>
      <c r="L596" s="40">
        <f ca="1">IF(RES_AB[[#This Row],[Reserva]]="","",IF(RES_AB[[#This Row],[SLA2]]=RES_AB[[#This Row],[Reserva]]="","",COUNTIF(MB25_VOLUMETRIA[Reserva],RES_AB[[#This Row],[Reserva]])))</f>
        <v>6</v>
      </c>
      <c r="M59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6" s="37" t="str">
        <f>IF(RES_AB[[#This Row],[Cen.]]="","",IFERROR(VLOOKUP(RES_AB[[#This Row],[Cen.]],Dados_Empresas[],2,FALSE),"Verificar empresa"))</f>
        <v>NET MASSIVO</v>
      </c>
      <c r="P596" s="37" t="str">
        <f>IF(RES_AB[[#This Row],[Empresa]]="","",IF(OR(RES_AB[[#This Row],[Empresa]]="NET MASSIVO",RES_AB[[#This Row],[Empresa]]="NET PROJETOS"),"NET","EMPRESARIAL"))</f>
        <v>NET</v>
      </c>
      <c r="Q596" s="37" t="str">
        <f>IF(RES_AB[[#This Row],[Reserva]]="","",IFERROR(VLOOKUP(RES_AB[[#This Row],[Reserva]],Tabela3[[Reserva]:[Descrição do status]],18,FALSE),"CONVENCIONAL"))</f>
        <v>CONVENCIONAL</v>
      </c>
    </row>
    <row r="597" spans="1:17" x14ac:dyDescent="0.25">
      <c r="A597" s="37">
        <v>4383963</v>
      </c>
      <c r="B597" s="37" t="s">
        <v>21</v>
      </c>
      <c r="C597" s="38" t="s">
        <v>21</v>
      </c>
      <c r="D597" s="38">
        <v>45449</v>
      </c>
      <c r="E59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7" s="39">
        <f>IFERROR(VLOOKUP(RES_AB[[#This Row],[Reserva]],Tabela8[[Reserva]:[Usuário]],7,FALSE),Dados!$A$17)</f>
        <v>0.93773148148148144</v>
      </c>
      <c r="G597" s="40">
        <f>IF(RES_AB[[#This Row],[Reserva]]="","",IF(RES_AB[[#This Row],[Hora Int WMS]]&lt;Dados!$A$16,2,2))</f>
        <v>2</v>
      </c>
      <c r="H597" s="40" t="str">
        <f>IF(RES_AB[[#This Row],[Reserva]]="","",IFERROR(VLOOKUP(RES_AB[[#This Row],[Reserva]],Tabela3[[Reserva]:[Condição para Faturamento]],20,FALSE),"IMPORTADO COM SUCESSO"))</f>
        <v>IMPORTADO COM SUCESSO</v>
      </c>
      <c r="I597" s="38">
        <f>IF(RES_AB[[#This Row],[Data base]]="","",WORKDAY(RES_AB[[#This Row],[Data Reserva - Feriado e Fds]],RES_AB[[#This Row],[Dias para atendimento]],Feriados[Data]))</f>
        <v>45453</v>
      </c>
      <c r="J597" s="40" t="str">
        <f ca="1">IF(RES_AB[[#This Row],[Reserva]]="","",CONCATENATE("D+",NETWORKDAYS(RES_AB[[#This Row],[Data Reserva - Feriado e Fds]],TODAY(),Feriados[Data])-1))</f>
        <v>D+1</v>
      </c>
      <c r="K597" s="40" t="str">
        <f ca="1">IF(RES_AB[[#This Row],[Reserva]]="","",CONCATENATE(RES_AB[[#This Row],[Cen.]]," | ",RES_AB[[#This Row],[SLA2]]))</f>
        <v>N190 | D+1</v>
      </c>
      <c r="L597" s="40">
        <f ca="1">IF(RES_AB[[#This Row],[Reserva]]="","",IF(RES_AB[[#This Row],[SLA2]]=RES_AB[[#This Row],[Reserva]]="","",COUNTIF(MB25_VOLUMETRIA[Reserva],RES_AB[[#This Row],[Reserva]])))</f>
        <v>9</v>
      </c>
      <c r="M59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7" s="37" t="str">
        <f>IF(RES_AB[[#This Row],[Cen.]]="","",IFERROR(VLOOKUP(RES_AB[[#This Row],[Cen.]],Dados_Empresas[],2,FALSE),"Verificar empresa"))</f>
        <v>NET MASSIVO</v>
      </c>
      <c r="P597" s="37" t="str">
        <f>IF(RES_AB[[#This Row],[Empresa]]="","",IF(OR(RES_AB[[#This Row],[Empresa]]="NET MASSIVO",RES_AB[[#This Row],[Empresa]]="NET PROJETOS"),"NET","EMPRESARIAL"))</f>
        <v>NET</v>
      </c>
      <c r="Q597" s="37" t="str">
        <f>IF(RES_AB[[#This Row],[Reserva]]="","",IFERROR(VLOOKUP(RES_AB[[#This Row],[Reserva]],Tabela3[[Reserva]:[Descrição do status]],18,FALSE),"CONVENCIONAL"))</f>
        <v>CONVENCIONAL</v>
      </c>
    </row>
    <row r="598" spans="1:17" x14ac:dyDescent="0.25">
      <c r="A598" s="37">
        <v>4383964</v>
      </c>
      <c r="B598" s="37" t="s">
        <v>21</v>
      </c>
      <c r="C598" s="38" t="s">
        <v>19</v>
      </c>
      <c r="D598" s="38">
        <v>45449</v>
      </c>
      <c r="E59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8" s="39">
        <f>IFERROR(VLOOKUP(RES_AB[[#This Row],[Reserva]],Tabela8[[Reserva]:[Usuário]],7,FALSE),Dados!$A$17)</f>
        <v>0.93784722222222228</v>
      </c>
      <c r="G598" s="40">
        <f>IF(RES_AB[[#This Row],[Reserva]]="","",IF(RES_AB[[#This Row],[Hora Int WMS]]&lt;Dados!$A$16,2,2))</f>
        <v>2</v>
      </c>
      <c r="H598" s="40" t="str">
        <f>IF(RES_AB[[#This Row],[Reserva]]="","",IFERROR(VLOOKUP(RES_AB[[#This Row],[Reserva]],Tabela3[[Reserva]:[Condição para Faturamento]],20,FALSE),"IMPORTADO COM SUCESSO"))</f>
        <v>IMPORTADO COM SUCESSO</v>
      </c>
      <c r="I598" s="38">
        <f>IF(RES_AB[[#This Row],[Data base]]="","",WORKDAY(RES_AB[[#This Row],[Data Reserva - Feriado e Fds]],RES_AB[[#This Row],[Dias para atendimento]],Feriados[Data]))</f>
        <v>45453</v>
      </c>
      <c r="J598" s="40" t="str">
        <f ca="1">IF(RES_AB[[#This Row],[Reserva]]="","",CONCATENATE("D+",NETWORKDAYS(RES_AB[[#This Row],[Data Reserva - Feriado e Fds]],TODAY(),Feriados[Data])-1))</f>
        <v>D+1</v>
      </c>
      <c r="K598" s="40" t="str">
        <f ca="1">IF(RES_AB[[#This Row],[Reserva]]="","",CONCATENATE(RES_AB[[#This Row],[Cen.]]," | ",RES_AB[[#This Row],[SLA2]]))</f>
        <v>N190 | D+1</v>
      </c>
      <c r="L598" s="40">
        <f ca="1">IF(RES_AB[[#This Row],[Reserva]]="","",IF(RES_AB[[#This Row],[SLA2]]=RES_AB[[#This Row],[Reserva]]="","",COUNTIF(MB25_VOLUMETRIA[Reserva],RES_AB[[#This Row],[Reserva]])))</f>
        <v>3</v>
      </c>
      <c r="M59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8" s="37" t="str">
        <f>IF(RES_AB[[#This Row],[Cen.]]="","",IFERROR(VLOOKUP(RES_AB[[#This Row],[Cen.]],Dados_Empresas[],2,FALSE),"Verificar empresa"))</f>
        <v>NET MASSIVO</v>
      </c>
      <c r="P598" s="37" t="str">
        <f>IF(RES_AB[[#This Row],[Empresa]]="","",IF(OR(RES_AB[[#This Row],[Empresa]]="NET MASSIVO",RES_AB[[#This Row],[Empresa]]="NET PROJETOS"),"NET","EMPRESARIAL"))</f>
        <v>NET</v>
      </c>
      <c r="Q598" s="37" t="str">
        <f>IF(RES_AB[[#This Row],[Reserva]]="","",IFERROR(VLOOKUP(RES_AB[[#This Row],[Reserva]],Tabela3[[Reserva]:[Descrição do status]],18,FALSE),"CONVENCIONAL"))</f>
        <v>CONVENCIONAL</v>
      </c>
    </row>
    <row r="599" spans="1:17" x14ac:dyDescent="0.25">
      <c r="A599" s="37">
        <v>4383965</v>
      </c>
      <c r="B599" s="37" t="s">
        <v>21</v>
      </c>
      <c r="C599" s="38" t="s">
        <v>21</v>
      </c>
      <c r="D599" s="38">
        <v>45449</v>
      </c>
      <c r="E59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599" s="39">
        <f>IFERROR(VLOOKUP(RES_AB[[#This Row],[Reserva]],Tabela8[[Reserva]:[Usuário]],7,FALSE),Dados!$A$17)</f>
        <v>0.937962962962963</v>
      </c>
      <c r="G599" s="40">
        <f>IF(RES_AB[[#This Row],[Reserva]]="","",IF(RES_AB[[#This Row],[Hora Int WMS]]&lt;Dados!$A$16,2,2))</f>
        <v>2</v>
      </c>
      <c r="H599" s="40" t="str">
        <f>IF(RES_AB[[#This Row],[Reserva]]="","",IFERROR(VLOOKUP(RES_AB[[#This Row],[Reserva]],Tabela3[[Reserva]:[Condição para Faturamento]],20,FALSE),"IMPORTADO COM SUCESSO"))</f>
        <v>IMPORTADO COM SUCESSO</v>
      </c>
      <c r="I599" s="38">
        <f>IF(RES_AB[[#This Row],[Data base]]="","",WORKDAY(RES_AB[[#This Row],[Data Reserva - Feriado e Fds]],RES_AB[[#This Row],[Dias para atendimento]],Feriados[Data]))</f>
        <v>45453</v>
      </c>
      <c r="J599" s="40" t="str">
        <f ca="1">IF(RES_AB[[#This Row],[Reserva]]="","",CONCATENATE("D+",NETWORKDAYS(RES_AB[[#This Row],[Data Reserva - Feriado e Fds]],TODAY(),Feriados[Data])-1))</f>
        <v>D+1</v>
      </c>
      <c r="K599" s="40" t="str">
        <f ca="1">IF(RES_AB[[#This Row],[Reserva]]="","",CONCATENATE(RES_AB[[#This Row],[Cen.]]," | ",RES_AB[[#This Row],[SLA2]]))</f>
        <v>N190 | D+1</v>
      </c>
      <c r="L599" s="40">
        <f ca="1">IF(RES_AB[[#This Row],[Reserva]]="","",IF(RES_AB[[#This Row],[SLA2]]=RES_AB[[#This Row],[Reserva]]="","",COUNTIF(MB25_VOLUMETRIA[Reserva],RES_AB[[#This Row],[Reserva]])))</f>
        <v>1</v>
      </c>
      <c r="M59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59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599" s="37" t="str">
        <f>IF(RES_AB[[#This Row],[Cen.]]="","",IFERROR(VLOOKUP(RES_AB[[#This Row],[Cen.]],Dados_Empresas[],2,FALSE),"Verificar empresa"))</f>
        <v>NET MASSIVO</v>
      </c>
      <c r="P599" s="37" t="str">
        <f>IF(RES_AB[[#This Row],[Empresa]]="","",IF(OR(RES_AB[[#This Row],[Empresa]]="NET MASSIVO",RES_AB[[#This Row],[Empresa]]="NET PROJETOS"),"NET","EMPRESARIAL"))</f>
        <v>NET</v>
      </c>
      <c r="Q599" s="37" t="str">
        <f>IF(RES_AB[[#This Row],[Reserva]]="","",IFERROR(VLOOKUP(RES_AB[[#This Row],[Reserva]],Tabela3[[Reserva]:[Descrição do status]],18,FALSE),"CONVENCIONAL"))</f>
        <v>CONVENCIONAL</v>
      </c>
    </row>
    <row r="600" spans="1:17" x14ac:dyDescent="0.25">
      <c r="A600" s="37">
        <v>4383966</v>
      </c>
      <c r="B600" s="37" t="s">
        <v>21</v>
      </c>
      <c r="C600" s="38" t="s">
        <v>19</v>
      </c>
      <c r="D600" s="38">
        <v>45449</v>
      </c>
      <c r="E60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0" s="39">
        <f>IFERROR(VLOOKUP(RES_AB[[#This Row],[Reserva]],Tabela8[[Reserva]:[Usuário]],7,FALSE),Dados!$A$17)</f>
        <v>0.937962962962963</v>
      </c>
      <c r="G600" s="40">
        <f>IF(RES_AB[[#This Row],[Reserva]]="","",IF(RES_AB[[#This Row],[Hora Int WMS]]&lt;Dados!$A$16,2,2))</f>
        <v>2</v>
      </c>
      <c r="H600" s="40" t="str">
        <f>IF(RES_AB[[#This Row],[Reserva]]="","",IFERROR(VLOOKUP(RES_AB[[#This Row],[Reserva]],Tabela3[[Reserva]:[Condição para Faturamento]],20,FALSE),"IMPORTADO COM SUCESSO"))</f>
        <v>IMPORTADO COM SUCESSO</v>
      </c>
      <c r="I600" s="38">
        <f>IF(RES_AB[[#This Row],[Data base]]="","",WORKDAY(RES_AB[[#This Row],[Data Reserva - Feriado e Fds]],RES_AB[[#This Row],[Dias para atendimento]],Feriados[Data]))</f>
        <v>45453</v>
      </c>
      <c r="J600" s="40" t="str">
        <f ca="1">IF(RES_AB[[#This Row],[Reserva]]="","",CONCATENATE("D+",NETWORKDAYS(RES_AB[[#This Row],[Data Reserva - Feriado e Fds]],TODAY(),Feriados[Data])-1))</f>
        <v>D+1</v>
      </c>
      <c r="K600" s="40" t="str">
        <f ca="1">IF(RES_AB[[#This Row],[Reserva]]="","",CONCATENATE(RES_AB[[#This Row],[Cen.]]," | ",RES_AB[[#This Row],[SLA2]]))</f>
        <v>N190 | D+1</v>
      </c>
      <c r="L600" s="40">
        <f ca="1">IF(RES_AB[[#This Row],[Reserva]]="","",IF(RES_AB[[#This Row],[SLA2]]=RES_AB[[#This Row],[Reserva]]="","",COUNTIF(MB25_VOLUMETRIA[Reserva],RES_AB[[#This Row],[Reserva]])))</f>
        <v>1</v>
      </c>
      <c r="M60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0" s="37" t="str">
        <f>IF(RES_AB[[#This Row],[Cen.]]="","",IFERROR(VLOOKUP(RES_AB[[#This Row],[Cen.]],Dados_Empresas[],2,FALSE),"Verificar empresa"))</f>
        <v>NET MASSIVO</v>
      </c>
      <c r="P600" s="37" t="str">
        <f>IF(RES_AB[[#This Row],[Empresa]]="","",IF(OR(RES_AB[[#This Row],[Empresa]]="NET MASSIVO",RES_AB[[#This Row],[Empresa]]="NET PROJETOS"),"NET","EMPRESARIAL"))</f>
        <v>NET</v>
      </c>
      <c r="Q600" s="37" t="str">
        <f>IF(RES_AB[[#This Row],[Reserva]]="","",IFERROR(VLOOKUP(RES_AB[[#This Row],[Reserva]],Tabela3[[Reserva]:[Descrição do status]],18,FALSE),"CONVENCIONAL"))</f>
        <v>CONVENCIONAL</v>
      </c>
    </row>
    <row r="601" spans="1:17" x14ac:dyDescent="0.25">
      <c r="A601" s="37">
        <v>4383968</v>
      </c>
      <c r="B601" s="37" t="s">
        <v>21</v>
      </c>
      <c r="C601" s="38" t="s">
        <v>21</v>
      </c>
      <c r="D601" s="38">
        <v>45449</v>
      </c>
      <c r="E60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1" s="39">
        <f>IFERROR(VLOOKUP(RES_AB[[#This Row],[Reserva]],Tabela8[[Reserva]:[Usuário]],7,FALSE),Dados!$A$17)</f>
        <v>0.93807870370370372</v>
      </c>
      <c r="G601" s="40">
        <f>IF(RES_AB[[#This Row],[Reserva]]="","",IF(RES_AB[[#This Row],[Hora Int WMS]]&lt;Dados!$A$16,2,2))</f>
        <v>2</v>
      </c>
      <c r="H601" s="40" t="str">
        <f>IF(RES_AB[[#This Row],[Reserva]]="","",IFERROR(VLOOKUP(RES_AB[[#This Row],[Reserva]],Tabela3[[Reserva]:[Condição para Faturamento]],20,FALSE),"IMPORTADO COM SUCESSO"))</f>
        <v>IMPORTADO COM SUCESSO</v>
      </c>
      <c r="I601" s="38">
        <f>IF(RES_AB[[#This Row],[Data base]]="","",WORKDAY(RES_AB[[#This Row],[Data Reserva - Feriado e Fds]],RES_AB[[#This Row],[Dias para atendimento]],Feriados[Data]))</f>
        <v>45453</v>
      </c>
      <c r="J601" s="40" t="str">
        <f ca="1">IF(RES_AB[[#This Row],[Reserva]]="","",CONCATENATE("D+",NETWORKDAYS(RES_AB[[#This Row],[Data Reserva - Feriado e Fds]],TODAY(),Feriados[Data])-1))</f>
        <v>D+1</v>
      </c>
      <c r="K601" s="40" t="str">
        <f ca="1">IF(RES_AB[[#This Row],[Reserva]]="","",CONCATENATE(RES_AB[[#This Row],[Cen.]]," | ",RES_AB[[#This Row],[SLA2]]))</f>
        <v>N190 | D+1</v>
      </c>
      <c r="L601" s="40">
        <f ca="1">IF(RES_AB[[#This Row],[Reserva]]="","",IF(RES_AB[[#This Row],[SLA2]]=RES_AB[[#This Row],[Reserva]]="","",COUNTIF(MB25_VOLUMETRIA[Reserva],RES_AB[[#This Row],[Reserva]])))</f>
        <v>1</v>
      </c>
      <c r="M60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1" s="37" t="str">
        <f>IF(RES_AB[[#This Row],[Cen.]]="","",IFERROR(VLOOKUP(RES_AB[[#This Row],[Cen.]],Dados_Empresas[],2,FALSE),"Verificar empresa"))</f>
        <v>NET MASSIVO</v>
      </c>
      <c r="P601" s="37" t="str">
        <f>IF(RES_AB[[#This Row],[Empresa]]="","",IF(OR(RES_AB[[#This Row],[Empresa]]="NET MASSIVO",RES_AB[[#This Row],[Empresa]]="NET PROJETOS"),"NET","EMPRESARIAL"))</f>
        <v>NET</v>
      </c>
      <c r="Q601" s="37" t="str">
        <f>IF(RES_AB[[#This Row],[Reserva]]="","",IFERROR(VLOOKUP(RES_AB[[#This Row],[Reserva]],Tabela3[[Reserva]:[Descrição do status]],18,FALSE),"CONVENCIONAL"))</f>
        <v>CONVENCIONAL</v>
      </c>
    </row>
    <row r="602" spans="1:17" x14ac:dyDescent="0.25">
      <c r="A602" s="37">
        <v>4383969</v>
      </c>
      <c r="B602" s="37" t="s">
        <v>21</v>
      </c>
      <c r="C602" s="38" t="s">
        <v>19</v>
      </c>
      <c r="D602" s="38">
        <v>45449</v>
      </c>
      <c r="E60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2" s="39">
        <f>IFERROR(VLOOKUP(RES_AB[[#This Row],[Reserva]],Tabela8[[Reserva]:[Usuário]],7,FALSE),Dados!$A$17)</f>
        <v>0.93807870370370372</v>
      </c>
      <c r="G602" s="40">
        <f>IF(RES_AB[[#This Row],[Reserva]]="","",IF(RES_AB[[#This Row],[Hora Int WMS]]&lt;Dados!$A$16,2,2))</f>
        <v>2</v>
      </c>
      <c r="H602" s="40" t="str">
        <f>IF(RES_AB[[#This Row],[Reserva]]="","",IFERROR(VLOOKUP(RES_AB[[#This Row],[Reserva]],Tabela3[[Reserva]:[Condição para Faturamento]],20,FALSE),"IMPORTADO COM SUCESSO"))</f>
        <v>IMPORTADO COM SUCESSO</v>
      </c>
      <c r="I602" s="38">
        <f>IF(RES_AB[[#This Row],[Data base]]="","",WORKDAY(RES_AB[[#This Row],[Data Reserva - Feriado e Fds]],RES_AB[[#This Row],[Dias para atendimento]],Feriados[Data]))</f>
        <v>45453</v>
      </c>
      <c r="J602" s="40" t="str">
        <f ca="1">IF(RES_AB[[#This Row],[Reserva]]="","",CONCATENATE("D+",NETWORKDAYS(RES_AB[[#This Row],[Data Reserva - Feriado e Fds]],TODAY(),Feriados[Data])-1))</f>
        <v>D+1</v>
      </c>
      <c r="K602" s="40" t="str">
        <f ca="1">IF(RES_AB[[#This Row],[Reserva]]="","",CONCATENATE(RES_AB[[#This Row],[Cen.]]," | ",RES_AB[[#This Row],[SLA2]]))</f>
        <v>N190 | D+1</v>
      </c>
      <c r="L602" s="40">
        <f ca="1">IF(RES_AB[[#This Row],[Reserva]]="","",IF(RES_AB[[#This Row],[SLA2]]=RES_AB[[#This Row],[Reserva]]="","",COUNTIF(MB25_VOLUMETRIA[Reserva],RES_AB[[#This Row],[Reserva]])))</f>
        <v>2</v>
      </c>
      <c r="M60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2" s="37" t="str">
        <f>IF(RES_AB[[#This Row],[Cen.]]="","",IFERROR(VLOOKUP(RES_AB[[#This Row],[Cen.]],Dados_Empresas[],2,FALSE),"Verificar empresa"))</f>
        <v>NET MASSIVO</v>
      </c>
      <c r="P602" s="37" t="str">
        <f>IF(RES_AB[[#This Row],[Empresa]]="","",IF(OR(RES_AB[[#This Row],[Empresa]]="NET MASSIVO",RES_AB[[#This Row],[Empresa]]="NET PROJETOS"),"NET","EMPRESARIAL"))</f>
        <v>NET</v>
      </c>
      <c r="Q602" s="37" t="str">
        <f>IF(RES_AB[[#This Row],[Reserva]]="","",IFERROR(VLOOKUP(RES_AB[[#This Row],[Reserva]],Tabela3[[Reserva]:[Descrição do status]],18,FALSE),"CONVENCIONAL"))</f>
        <v>CONVENCIONAL</v>
      </c>
    </row>
    <row r="603" spans="1:17" x14ac:dyDescent="0.25">
      <c r="A603" s="37">
        <v>4383970</v>
      </c>
      <c r="B603" s="37" t="s">
        <v>21</v>
      </c>
      <c r="C603" s="38" t="s">
        <v>19</v>
      </c>
      <c r="D603" s="38">
        <v>45449</v>
      </c>
      <c r="E60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3" s="39">
        <f>IFERROR(VLOOKUP(RES_AB[[#This Row],[Reserva]],Tabela8[[Reserva]:[Usuário]],7,FALSE),Dados!$A$17)</f>
        <v>0.93819444444444444</v>
      </c>
      <c r="G603" s="40">
        <f>IF(RES_AB[[#This Row],[Reserva]]="","",IF(RES_AB[[#This Row],[Hora Int WMS]]&lt;Dados!$A$16,2,2))</f>
        <v>2</v>
      </c>
      <c r="H603" s="40" t="str">
        <f>IF(RES_AB[[#This Row],[Reserva]]="","",IFERROR(VLOOKUP(RES_AB[[#This Row],[Reserva]],Tabela3[[Reserva]:[Condição para Faturamento]],20,FALSE),"IMPORTADO COM SUCESSO"))</f>
        <v>IMPORTADO COM SUCESSO</v>
      </c>
      <c r="I603" s="38">
        <f>IF(RES_AB[[#This Row],[Data base]]="","",WORKDAY(RES_AB[[#This Row],[Data Reserva - Feriado e Fds]],RES_AB[[#This Row],[Dias para atendimento]],Feriados[Data]))</f>
        <v>45453</v>
      </c>
      <c r="J603" s="40" t="str">
        <f ca="1">IF(RES_AB[[#This Row],[Reserva]]="","",CONCATENATE("D+",NETWORKDAYS(RES_AB[[#This Row],[Data Reserva - Feriado e Fds]],TODAY(),Feriados[Data])-1))</f>
        <v>D+1</v>
      </c>
      <c r="K603" s="40" t="str">
        <f ca="1">IF(RES_AB[[#This Row],[Reserva]]="","",CONCATENATE(RES_AB[[#This Row],[Cen.]]," | ",RES_AB[[#This Row],[SLA2]]))</f>
        <v>N190 | D+1</v>
      </c>
      <c r="L603" s="40">
        <f ca="1">IF(RES_AB[[#This Row],[Reserva]]="","",IF(RES_AB[[#This Row],[SLA2]]=RES_AB[[#This Row],[Reserva]]="","",COUNTIF(MB25_VOLUMETRIA[Reserva],RES_AB[[#This Row],[Reserva]])))</f>
        <v>3</v>
      </c>
      <c r="M60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3" s="37" t="str">
        <f>IF(RES_AB[[#This Row],[Cen.]]="","",IFERROR(VLOOKUP(RES_AB[[#This Row],[Cen.]],Dados_Empresas[],2,FALSE),"Verificar empresa"))</f>
        <v>NET MASSIVO</v>
      </c>
      <c r="P603" s="37" t="str">
        <f>IF(RES_AB[[#This Row],[Empresa]]="","",IF(OR(RES_AB[[#This Row],[Empresa]]="NET MASSIVO",RES_AB[[#This Row],[Empresa]]="NET PROJETOS"),"NET","EMPRESARIAL"))</f>
        <v>NET</v>
      </c>
      <c r="Q603" s="37" t="str">
        <f>IF(RES_AB[[#This Row],[Reserva]]="","",IFERROR(VLOOKUP(RES_AB[[#This Row],[Reserva]],Tabela3[[Reserva]:[Descrição do status]],18,FALSE),"CONVENCIONAL"))</f>
        <v>CONVENCIONAL</v>
      </c>
    </row>
    <row r="604" spans="1:17" x14ac:dyDescent="0.25">
      <c r="A604" s="37">
        <v>4383971</v>
      </c>
      <c r="B604" s="37" t="s">
        <v>21</v>
      </c>
      <c r="C604" s="38" t="s">
        <v>21</v>
      </c>
      <c r="D604" s="38">
        <v>45449</v>
      </c>
      <c r="E60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4" s="39">
        <f>IFERROR(VLOOKUP(RES_AB[[#This Row],[Reserva]],Tabela8[[Reserva]:[Usuário]],7,FALSE),Dados!$A$17)</f>
        <v>0.93819444444444444</v>
      </c>
      <c r="G604" s="40">
        <f>IF(RES_AB[[#This Row],[Reserva]]="","",IF(RES_AB[[#This Row],[Hora Int WMS]]&lt;Dados!$A$16,2,2))</f>
        <v>2</v>
      </c>
      <c r="H604" s="40" t="str">
        <f>IF(RES_AB[[#This Row],[Reserva]]="","",IFERROR(VLOOKUP(RES_AB[[#This Row],[Reserva]],Tabela3[[Reserva]:[Condição para Faturamento]],20,FALSE),"IMPORTADO COM SUCESSO"))</f>
        <v>IMPORTADO COM SUCESSO</v>
      </c>
      <c r="I604" s="38">
        <f>IF(RES_AB[[#This Row],[Data base]]="","",WORKDAY(RES_AB[[#This Row],[Data Reserva - Feriado e Fds]],RES_AB[[#This Row],[Dias para atendimento]],Feriados[Data]))</f>
        <v>45453</v>
      </c>
      <c r="J604" s="40" t="str">
        <f ca="1">IF(RES_AB[[#This Row],[Reserva]]="","",CONCATENATE("D+",NETWORKDAYS(RES_AB[[#This Row],[Data Reserva - Feriado e Fds]],TODAY(),Feriados[Data])-1))</f>
        <v>D+1</v>
      </c>
      <c r="K604" s="40" t="str">
        <f ca="1">IF(RES_AB[[#This Row],[Reserva]]="","",CONCATENATE(RES_AB[[#This Row],[Cen.]]," | ",RES_AB[[#This Row],[SLA2]]))</f>
        <v>N190 | D+1</v>
      </c>
      <c r="L604" s="40">
        <f ca="1">IF(RES_AB[[#This Row],[Reserva]]="","",IF(RES_AB[[#This Row],[SLA2]]=RES_AB[[#This Row],[Reserva]]="","",COUNTIF(MB25_VOLUMETRIA[Reserva],RES_AB[[#This Row],[Reserva]])))</f>
        <v>1</v>
      </c>
      <c r="M60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4" s="37" t="str">
        <f>IF(RES_AB[[#This Row],[Cen.]]="","",IFERROR(VLOOKUP(RES_AB[[#This Row],[Cen.]],Dados_Empresas[],2,FALSE),"Verificar empresa"))</f>
        <v>NET MASSIVO</v>
      </c>
      <c r="P604" s="37" t="str">
        <f>IF(RES_AB[[#This Row],[Empresa]]="","",IF(OR(RES_AB[[#This Row],[Empresa]]="NET MASSIVO",RES_AB[[#This Row],[Empresa]]="NET PROJETOS"),"NET","EMPRESARIAL"))</f>
        <v>NET</v>
      </c>
      <c r="Q604" s="37" t="str">
        <f>IF(RES_AB[[#This Row],[Reserva]]="","",IFERROR(VLOOKUP(RES_AB[[#This Row],[Reserva]],Tabela3[[Reserva]:[Descrição do status]],18,FALSE),"CONVENCIONAL"))</f>
        <v>CONVENCIONAL</v>
      </c>
    </row>
    <row r="605" spans="1:17" x14ac:dyDescent="0.25">
      <c r="A605" s="37">
        <v>4383972</v>
      </c>
      <c r="B605" s="37" t="s">
        <v>21</v>
      </c>
      <c r="C605" s="38" t="s">
        <v>19</v>
      </c>
      <c r="D605" s="38">
        <v>45449</v>
      </c>
      <c r="E60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5" s="39">
        <f>IFERROR(VLOOKUP(RES_AB[[#This Row],[Reserva]],Tabela8[[Reserva]:[Usuário]],7,FALSE),Dados!$A$17)</f>
        <v>0.93831018518518516</v>
      </c>
      <c r="G605" s="40">
        <f>IF(RES_AB[[#This Row],[Reserva]]="","",IF(RES_AB[[#This Row],[Hora Int WMS]]&lt;Dados!$A$16,2,2))</f>
        <v>2</v>
      </c>
      <c r="H605" s="40" t="str">
        <f>IF(RES_AB[[#This Row],[Reserva]]="","",IFERROR(VLOOKUP(RES_AB[[#This Row],[Reserva]],Tabela3[[Reserva]:[Condição para Faturamento]],20,FALSE),"IMPORTADO COM SUCESSO"))</f>
        <v>IMPORTADO COM SUCESSO</v>
      </c>
      <c r="I605" s="38">
        <f>IF(RES_AB[[#This Row],[Data base]]="","",WORKDAY(RES_AB[[#This Row],[Data Reserva - Feriado e Fds]],RES_AB[[#This Row],[Dias para atendimento]],Feriados[Data]))</f>
        <v>45453</v>
      </c>
      <c r="J605" s="40" t="str">
        <f ca="1">IF(RES_AB[[#This Row],[Reserva]]="","",CONCATENATE("D+",NETWORKDAYS(RES_AB[[#This Row],[Data Reserva - Feriado e Fds]],TODAY(),Feriados[Data])-1))</f>
        <v>D+1</v>
      </c>
      <c r="K605" s="40" t="str">
        <f ca="1">IF(RES_AB[[#This Row],[Reserva]]="","",CONCATENATE(RES_AB[[#This Row],[Cen.]]," | ",RES_AB[[#This Row],[SLA2]]))</f>
        <v>N190 | D+1</v>
      </c>
      <c r="L605" s="40">
        <f ca="1">IF(RES_AB[[#This Row],[Reserva]]="","",IF(RES_AB[[#This Row],[SLA2]]=RES_AB[[#This Row],[Reserva]]="","",COUNTIF(MB25_VOLUMETRIA[Reserva],RES_AB[[#This Row],[Reserva]])))</f>
        <v>4</v>
      </c>
      <c r="M60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5" s="37" t="str">
        <f>IF(RES_AB[[#This Row],[Cen.]]="","",IFERROR(VLOOKUP(RES_AB[[#This Row],[Cen.]],Dados_Empresas[],2,FALSE),"Verificar empresa"))</f>
        <v>NET MASSIVO</v>
      </c>
      <c r="P605" s="37" t="str">
        <f>IF(RES_AB[[#This Row],[Empresa]]="","",IF(OR(RES_AB[[#This Row],[Empresa]]="NET MASSIVO",RES_AB[[#This Row],[Empresa]]="NET PROJETOS"),"NET","EMPRESARIAL"))</f>
        <v>NET</v>
      </c>
      <c r="Q605" s="37" t="str">
        <f>IF(RES_AB[[#This Row],[Reserva]]="","",IFERROR(VLOOKUP(RES_AB[[#This Row],[Reserva]],Tabela3[[Reserva]:[Descrição do status]],18,FALSE),"CONVENCIONAL"))</f>
        <v>CONVENCIONAL</v>
      </c>
    </row>
    <row r="606" spans="1:17" x14ac:dyDescent="0.25">
      <c r="A606" s="37">
        <v>4383973</v>
      </c>
      <c r="B606" s="37" t="s">
        <v>21</v>
      </c>
      <c r="C606" s="38" t="s">
        <v>19</v>
      </c>
      <c r="D606" s="38">
        <v>45449</v>
      </c>
      <c r="E60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6" s="39">
        <f>IFERROR(VLOOKUP(RES_AB[[#This Row],[Reserva]],Tabela8[[Reserva]:[Usuário]],7,FALSE),Dados!$A$17)</f>
        <v>0.93842592592592589</v>
      </c>
      <c r="G606" s="40">
        <f>IF(RES_AB[[#This Row],[Reserva]]="","",IF(RES_AB[[#This Row],[Hora Int WMS]]&lt;Dados!$A$16,2,2))</f>
        <v>2</v>
      </c>
      <c r="H606" s="40" t="str">
        <f>IF(RES_AB[[#This Row],[Reserva]]="","",IFERROR(VLOOKUP(RES_AB[[#This Row],[Reserva]],Tabela3[[Reserva]:[Condição para Faturamento]],20,FALSE),"IMPORTADO COM SUCESSO"))</f>
        <v>IMPORTADO COM SUCESSO</v>
      </c>
      <c r="I606" s="38">
        <f>IF(RES_AB[[#This Row],[Data base]]="","",WORKDAY(RES_AB[[#This Row],[Data Reserva - Feriado e Fds]],RES_AB[[#This Row],[Dias para atendimento]],Feriados[Data]))</f>
        <v>45453</v>
      </c>
      <c r="J606" s="40" t="str">
        <f ca="1">IF(RES_AB[[#This Row],[Reserva]]="","",CONCATENATE("D+",NETWORKDAYS(RES_AB[[#This Row],[Data Reserva - Feriado e Fds]],TODAY(),Feriados[Data])-1))</f>
        <v>D+1</v>
      </c>
      <c r="K606" s="40" t="str">
        <f ca="1">IF(RES_AB[[#This Row],[Reserva]]="","",CONCATENATE(RES_AB[[#This Row],[Cen.]]," | ",RES_AB[[#This Row],[SLA2]]))</f>
        <v>N190 | D+1</v>
      </c>
      <c r="L606" s="40">
        <f ca="1">IF(RES_AB[[#This Row],[Reserva]]="","",IF(RES_AB[[#This Row],[SLA2]]=RES_AB[[#This Row],[Reserva]]="","",COUNTIF(MB25_VOLUMETRIA[Reserva],RES_AB[[#This Row],[Reserva]])))</f>
        <v>3</v>
      </c>
      <c r="M60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6" s="37" t="str">
        <f>IF(RES_AB[[#This Row],[Cen.]]="","",IFERROR(VLOOKUP(RES_AB[[#This Row],[Cen.]],Dados_Empresas[],2,FALSE),"Verificar empresa"))</f>
        <v>NET MASSIVO</v>
      </c>
      <c r="P606" s="37" t="str">
        <f>IF(RES_AB[[#This Row],[Empresa]]="","",IF(OR(RES_AB[[#This Row],[Empresa]]="NET MASSIVO",RES_AB[[#This Row],[Empresa]]="NET PROJETOS"),"NET","EMPRESARIAL"))</f>
        <v>NET</v>
      </c>
      <c r="Q606" s="37" t="str">
        <f>IF(RES_AB[[#This Row],[Reserva]]="","",IFERROR(VLOOKUP(RES_AB[[#This Row],[Reserva]],Tabela3[[Reserva]:[Descrição do status]],18,FALSE),"CONVENCIONAL"))</f>
        <v>CONVENCIONAL</v>
      </c>
    </row>
    <row r="607" spans="1:17" x14ac:dyDescent="0.25">
      <c r="A607" s="37">
        <v>4383974</v>
      </c>
      <c r="B607" s="37" t="s">
        <v>21</v>
      </c>
      <c r="C607" s="38" t="s">
        <v>19</v>
      </c>
      <c r="D607" s="38">
        <v>45449</v>
      </c>
      <c r="E60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7" s="39">
        <f>IFERROR(VLOOKUP(RES_AB[[#This Row],[Reserva]],Tabela8[[Reserva]:[Usuário]],7,FALSE),Dados!$A$17)</f>
        <v>0.93854166666666672</v>
      </c>
      <c r="G607" s="40">
        <f>IF(RES_AB[[#This Row],[Reserva]]="","",IF(RES_AB[[#This Row],[Hora Int WMS]]&lt;Dados!$A$16,2,2))</f>
        <v>2</v>
      </c>
      <c r="H607" s="40" t="str">
        <f>IF(RES_AB[[#This Row],[Reserva]]="","",IFERROR(VLOOKUP(RES_AB[[#This Row],[Reserva]],Tabela3[[Reserva]:[Condição para Faturamento]],20,FALSE),"IMPORTADO COM SUCESSO"))</f>
        <v>IMPORTADO COM SUCESSO</v>
      </c>
      <c r="I607" s="38">
        <f>IF(RES_AB[[#This Row],[Data base]]="","",WORKDAY(RES_AB[[#This Row],[Data Reserva - Feriado e Fds]],RES_AB[[#This Row],[Dias para atendimento]],Feriados[Data]))</f>
        <v>45453</v>
      </c>
      <c r="J607" s="40" t="str">
        <f ca="1">IF(RES_AB[[#This Row],[Reserva]]="","",CONCATENATE("D+",NETWORKDAYS(RES_AB[[#This Row],[Data Reserva - Feriado e Fds]],TODAY(),Feriados[Data])-1))</f>
        <v>D+1</v>
      </c>
      <c r="K607" s="40" t="str">
        <f ca="1">IF(RES_AB[[#This Row],[Reserva]]="","",CONCATENATE(RES_AB[[#This Row],[Cen.]]," | ",RES_AB[[#This Row],[SLA2]]))</f>
        <v>N190 | D+1</v>
      </c>
      <c r="L607" s="40">
        <f ca="1">IF(RES_AB[[#This Row],[Reserva]]="","",IF(RES_AB[[#This Row],[SLA2]]=RES_AB[[#This Row],[Reserva]]="","",COUNTIF(MB25_VOLUMETRIA[Reserva],RES_AB[[#This Row],[Reserva]])))</f>
        <v>3</v>
      </c>
      <c r="M60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7" s="37" t="str">
        <f>IF(RES_AB[[#This Row],[Cen.]]="","",IFERROR(VLOOKUP(RES_AB[[#This Row],[Cen.]],Dados_Empresas[],2,FALSE),"Verificar empresa"))</f>
        <v>NET MASSIVO</v>
      </c>
      <c r="P607" s="37" t="str">
        <f>IF(RES_AB[[#This Row],[Empresa]]="","",IF(OR(RES_AB[[#This Row],[Empresa]]="NET MASSIVO",RES_AB[[#This Row],[Empresa]]="NET PROJETOS"),"NET","EMPRESARIAL"))</f>
        <v>NET</v>
      </c>
      <c r="Q607" s="37" t="str">
        <f>IF(RES_AB[[#This Row],[Reserva]]="","",IFERROR(VLOOKUP(RES_AB[[#This Row],[Reserva]],Tabela3[[Reserva]:[Descrição do status]],18,FALSE),"CONVENCIONAL"))</f>
        <v>CONVENCIONAL</v>
      </c>
    </row>
    <row r="608" spans="1:17" x14ac:dyDescent="0.25">
      <c r="A608" s="37">
        <v>4383975</v>
      </c>
      <c r="B608" s="37" t="s">
        <v>21</v>
      </c>
      <c r="C608" s="38" t="s">
        <v>19</v>
      </c>
      <c r="D608" s="38">
        <v>45449</v>
      </c>
      <c r="E60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8" s="39">
        <f>IFERROR(VLOOKUP(RES_AB[[#This Row],[Reserva]],Tabela8[[Reserva]:[Usuário]],7,FALSE),Dados!$A$17)</f>
        <v>0.93854166666666672</v>
      </c>
      <c r="G608" s="40">
        <f>IF(RES_AB[[#This Row],[Reserva]]="","",IF(RES_AB[[#This Row],[Hora Int WMS]]&lt;Dados!$A$16,2,2))</f>
        <v>2</v>
      </c>
      <c r="H608" s="40" t="str">
        <f>IF(RES_AB[[#This Row],[Reserva]]="","",IFERROR(VLOOKUP(RES_AB[[#This Row],[Reserva]],Tabela3[[Reserva]:[Condição para Faturamento]],20,FALSE),"IMPORTADO COM SUCESSO"))</f>
        <v>IMPORTADO COM SUCESSO</v>
      </c>
      <c r="I608" s="38">
        <f>IF(RES_AB[[#This Row],[Data base]]="","",WORKDAY(RES_AB[[#This Row],[Data Reserva - Feriado e Fds]],RES_AB[[#This Row],[Dias para atendimento]],Feriados[Data]))</f>
        <v>45453</v>
      </c>
      <c r="J608" s="40" t="str">
        <f ca="1">IF(RES_AB[[#This Row],[Reserva]]="","",CONCATENATE("D+",NETWORKDAYS(RES_AB[[#This Row],[Data Reserva - Feriado e Fds]],TODAY(),Feriados[Data])-1))</f>
        <v>D+1</v>
      </c>
      <c r="K608" s="40" t="str">
        <f ca="1">IF(RES_AB[[#This Row],[Reserva]]="","",CONCATENATE(RES_AB[[#This Row],[Cen.]]," | ",RES_AB[[#This Row],[SLA2]]))</f>
        <v>N190 | D+1</v>
      </c>
      <c r="L608" s="40">
        <f ca="1">IF(RES_AB[[#This Row],[Reserva]]="","",IF(RES_AB[[#This Row],[SLA2]]=RES_AB[[#This Row],[Reserva]]="","",COUNTIF(MB25_VOLUMETRIA[Reserva],RES_AB[[#This Row],[Reserva]])))</f>
        <v>7</v>
      </c>
      <c r="M60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8" s="37" t="str">
        <f>IF(RES_AB[[#This Row],[Cen.]]="","",IFERROR(VLOOKUP(RES_AB[[#This Row],[Cen.]],Dados_Empresas[],2,FALSE),"Verificar empresa"))</f>
        <v>NET MASSIVO</v>
      </c>
      <c r="P608" s="37" t="str">
        <f>IF(RES_AB[[#This Row],[Empresa]]="","",IF(OR(RES_AB[[#This Row],[Empresa]]="NET MASSIVO",RES_AB[[#This Row],[Empresa]]="NET PROJETOS"),"NET","EMPRESARIAL"))</f>
        <v>NET</v>
      </c>
      <c r="Q608" s="37" t="str">
        <f>IF(RES_AB[[#This Row],[Reserva]]="","",IFERROR(VLOOKUP(RES_AB[[#This Row],[Reserva]],Tabela3[[Reserva]:[Descrição do status]],18,FALSE),"CONVENCIONAL"))</f>
        <v>CONVENCIONAL</v>
      </c>
    </row>
    <row r="609" spans="1:17" x14ac:dyDescent="0.25">
      <c r="A609" s="37">
        <v>4383976</v>
      </c>
      <c r="B609" s="37" t="s">
        <v>21</v>
      </c>
      <c r="C609" s="38" t="s">
        <v>19</v>
      </c>
      <c r="D609" s="38">
        <v>45449</v>
      </c>
      <c r="E60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09" s="39">
        <f>IFERROR(VLOOKUP(RES_AB[[#This Row],[Reserva]],Tabela8[[Reserva]:[Usuário]],7,FALSE),Dados!$A$17)</f>
        <v>0.93865740740740744</v>
      </c>
      <c r="G609" s="40">
        <f>IF(RES_AB[[#This Row],[Reserva]]="","",IF(RES_AB[[#This Row],[Hora Int WMS]]&lt;Dados!$A$16,2,2))</f>
        <v>2</v>
      </c>
      <c r="H609" s="40" t="str">
        <f>IF(RES_AB[[#This Row],[Reserva]]="","",IFERROR(VLOOKUP(RES_AB[[#This Row],[Reserva]],Tabela3[[Reserva]:[Condição para Faturamento]],20,FALSE),"IMPORTADO COM SUCESSO"))</f>
        <v>IMPORTADO COM SUCESSO</v>
      </c>
      <c r="I609" s="38">
        <f>IF(RES_AB[[#This Row],[Data base]]="","",WORKDAY(RES_AB[[#This Row],[Data Reserva - Feriado e Fds]],RES_AB[[#This Row],[Dias para atendimento]],Feriados[Data]))</f>
        <v>45453</v>
      </c>
      <c r="J609" s="40" t="str">
        <f ca="1">IF(RES_AB[[#This Row],[Reserva]]="","",CONCATENATE("D+",NETWORKDAYS(RES_AB[[#This Row],[Data Reserva - Feriado e Fds]],TODAY(),Feriados[Data])-1))</f>
        <v>D+1</v>
      </c>
      <c r="K609" s="40" t="str">
        <f ca="1">IF(RES_AB[[#This Row],[Reserva]]="","",CONCATENATE(RES_AB[[#This Row],[Cen.]]," | ",RES_AB[[#This Row],[SLA2]]))</f>
        <v>N190 | D+1</v>
      </c>
      <c r="L609" s="40">
        <f ca="1">IF(RES_AB[[#This Row],[Reserva]]="","",IF(RES_AB[[#This Row],[SLA2]]=RES_AB[[#This Row],[Reserva]]="","",COUNTIF(MB25_VOLUMETRIA[Reserva],RES_AB[[#This Row],[Reserva]])))</f>
        <v>8</v>
      </c>
      <c r="M60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0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09" s="37" t="str">
        <f>IF(RES_AB[[#This Row],[Cen.]]="","",IFERROR(VLOOKUP(RES_AB[[#This Row],[Cen.]],Dados_Empresas[],2,FALSE),"Verificar empresa"))</f>
        <v>NET MASSIVO</v>
      </c>
      <c r="P609" s="37" t="str">
        <f>IF(RES_AB[[#This Row],[Empresa]]="","",IF(OR(RES_AB[[#This Row],[Empresa]]="NET MASSIVO",RES_AB[[#This Row],[Empresa]]="NET PROJETOS"),"NET","EMPRESARIAL"))</f>
        <v>NET</v>
      </c>
      <c r="Q609" s="37" t="str">
        <f>IF(RES_AB[[#This Row],[Reserva]]="","",IFERROR(VLOOKUP(RES_AB[[#This Row],[Reserva]],Tabela3[[Reserva]:[Descrição do status]],18,FALSE),"CONVENCIONAL"))</f>
        <v>CONVENCIONAL</v>
      </c>
    </row>
    <row r="610" spans="1:17" x14ac:dyDescent="0.25">
      <c r="A610" s="37">
        <v>4383977</v>
      </c>
      <c r="B610" s="37" t="s">
        <v>21</v>
      </c>
      <c r="C610" s="38" t="s">
        <v>19</v>
      </c>
      <c r="D610" s="38">
        <v>45449</v>
      </c>
      <c r="E61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0" s="39">
        <f>IFERROR(VLOOKUP(RES_AB[[#This Row],[Reserva]],Tabela8[[Reserva]:[Usuário]],7,FALSE),Dados!$A$17)</f>
        <v>0.93877314814814816</v>
      </c>
      <c r="G610" s="40">
        <f>IF(RES_AB[[#This Row],[Reserva]]="","",IF(RES_AB[[#This Row],[Hora Int WMS]]&lt;Dados!$A$16,2,2))</f>
        <v>2</v>
      </c>
      <c r="H610" s="40" t="str">
        <f>IF(RES_AB[[#This Row],[Reserva]]="","",IFERROR(VLOOKUP(RES_AB[[#This Row],[Reserva]],Tabela3[[Reserva]:[Condição para Faturamento]],20,FALSE),"IMPORTADO COM SUCESSO"))</f>
        <v>IMPORTADO COM SUCESSO</v>
      </c>
      <c r="I610" s="38">
        <f>IF(RES_AB[[#This Row],[Data base]]="","",WORKDAY(RES_AB[[#This Row],[Data Reserva - Feriado e Fds]],RES_AB[[#This Row],[Dias para atendimento]],Feriados[Data]))</f>
        <v>45453</v>
      </c>
      <c r="J610" s="40" t="str">
        <f ca="1">IF(RES_AB[[#This Row],[Reserva]]="","",CONCATENATE("D+",NETWORKDAYS(RES_AB[[#This Row],[Data Reserva - Feriado e Fds]],TODAY(),Feriados[Data])-1))</f>
        <v>D+1</v>
      </c>
      <c r="K610" s="40" t="str">
        <f ca="1">IF(RES_AB[[#This Row],[Reserva]]="","",CONCATENATE(RES_AB[[#This Row],[Cen.]]," | ",RES_AB[[#This Row],[SLA2]]))</f>
        <v>N190 | D+1</v>
      </c>
      <c r="L610" s="40">
        <f ca="1">IF(RES_AB[[#This Row],[Reserva]]="","",IF(RES_AB[[#This Row],[SLA2]]=RES_AB[[#This Row],[Reserva]]="","",COUNTIF(MB25_VOLUMETRIA[Reserva],RES_AB[[#This Row],[Reserva]])))</f>
        <v>5</v>
      </c>
      <c r="M61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0" s="37" t="str">
        <f>IF(RES_AB[[#This Row],[Cen.]]="","",IFERROR(VLOOKUP(RES_AB[[#This Row],[Cen.]],Dados_Empresas[],2,FALSE),"Verificar empresa"))</f>
        <v>NET MASSIVO</v>
      </c>
      <c r="P610" s="37" t="str">
        <f>IF(RES_AB[[#This Row],[Empresa]]="","",IF(OR(RES_AB[[#This Row],[Empresa]]="NET MASSIVO",RES_AB[[#This Row],[Empresa]]="NET PROJETOS"),"NET","EMPRESARIAL"))</f>
        <v>NET</v>
      </c>
      <c r="Q610" s="37" t="str">
        <f>IF(RES_AB[[#This Row],[Reserva]]="","",IFERROR(VLOOKUP(RES_AB[[#This Row],[Reserva]],Tabela3[[Reserva]:[Descrição do status]],18,FALSE),"CONVENCIONAL"))</f>
        <v>CONVENCIONAL</v>
      </c>
    </row>
    <row r="611" spans="1:17" x14ac:dyDescent="0.25">
      <c r="A611" s="37">
        <v>4383978</v>
      </c>
      <c r="B611" s="37" t="s">
        <v>21</v>
      </c>
      <c r="C611" s="38" t="s">
        <v>19</v>
      </c>
      <c r="D611" s="38">
        <v>45449</v>
      </c>
      <c r="E61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1" s="39">
        <f>IFERROR(VLOOKUP(RES_AB[[#This Row],[Reserva]],Tabela8[[Reserva]:[Usuário]],7,FALSE),Dados!$A$17)</f>
        <v>0.93888888888888888</v>
      </c>
      <c r="G611" s="40">
        <f>IF(RES_AB[[#This Row],[Reserva]]="","",IF(RES_AB[[#This Row],[Hora Int WMS]]&lt;Dados!$A$16,2,2))</f>
        <v>2</v>
      </c>
      <c r="H611" s="40" t="str">
        <f>IF(RES_AB[[#This Row],[Reserva]]="","",IFERROR(VLOOKUP(RES_AB[[#This Row],[Reserva]],Tabela3[[Reserva]:[Condição para Faturamento]],20,FALSE),"IMPORTADO COM SUCESSO"))</f>
        <v>IMPORTADO COM SUCESSO</v>
      </c>
      <c r="I611" s="38">
        <f>IF(RES_AB[[#This Row],[Data base]]="","",WORKDAY(RES_AB[[#This Row],[Data Reserva - Feriado e Fds]],RES_AB[[#This Row],[Dias para atendimento]],Feriados[Data]))</f>
        <v>45453</v>
      </c>
      <c r="J611" s="40" t="str">
        <f ca="1">IF(RES_AB[[#This Row],[Reserva]]="","",CONCATENATE("D+",NETWORKDAYS(RES_AB[[#This Row],[Data Reserva - Feriado e Fds]],TODAY(),Feriados[Data])-1))</f>
        <v>D+1</v>
      </c>
      <c r="K611" s="40" t="str">
        <f ca="1">IF(RES_AB[[#This Row],[Reserva]]="","",CONCATENATE(RES_AB[[#This Row],[Cen.]]," | ",RES_AB[[#This Row],[SLA2]]))</f>
        <v>N190 | D+1</v>
      </c>
      <c r="L611" s="40">
        <f ca="1">IF(RES_AB[[#This Row],[Reserva]]="","",IF(RES_AB[[#This Row],[SLA2]]=RES_AB[[#This Row],[Reserva]]="","",COUNTIF(MB25_VOLUMETRIA[Reserva],RES_AB[[#This Row],[Reserva]])))</f>
        <v>5</v>
      </c>
      <c r="M61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1" s="37" t="str">
        <f>IF(RES_AB[[#This Row],[Cen.]]="","",IFERROR(VLOOKUP(RES_AB[[#This Row],[Cen.]],Dados_Empresas[],2,FALSE),"Verificar empresa"))</f>
        <v>NET MASSIVO</v>
      </c>
      <c r="P611" s="37" t="str">
        <f>IF(RES_AB[[#This Row],[Empresa]]="","",IF(OR(RES_AB[[#This Row],[Empresa]]="NET MASSIVO",RES_AB[[#This Row],[Empresa]]="NET PROJETOS"),"NET","EMPRESARIAL"))</f>
        <v>NET</v>
      </c>
      <c r="Q611" s="37" t="str">
        <f>IF(RES_AB[[#This Row],[Reserva]]="","",IFERROR(VLOOKUP(RES_AB[[#This Row],[Reserva]],Tabela3[[Reserva]:[Descrição do status]],18,FALSE),"CONVENCIONAL"))</f>
        <v>CONVENCIONAL</v>
      </c>
    </row>
    <row r="612" spans="1:17" x14ac:dyDescent="0.25">
      <c r="A612" s="37">
        <v>4383979</v>
      </c>
      <c r="B612" s="37" t="s">
        <v>21</v>
      </c>
      <c r="C612" s="38" t="s">
        <v>19</v>
      </c>
      <c r="D612" s="38">
        <v>45449</v>
      </c>
      <c r="E61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2" s="39">
        <f>IFERROR(VLOOKUP(RES_AB[[#This Row],[Reserva]],Tabela8[[Reserva]:[Usuário]],7,FALSE),Dados!$A$17)</f>
        <v>0.93900462962962961</v>
      </c>
      <c r="G612" s="40">
        <f>IF(RES_AB[[#This Row],[Reserva]]="","",IF(RES_AB[[#This Row],[Hora Int WMS]]&lt;Dados!$A$16,2,2))</f>
        <v>2</v>
      </c>
      <c r="H612" s="40" t="str">
        <f>IF(RES_AB[[#This Row],[Reserva]]="","",IFERROR(VLOOKUP(RES_AB[[#This Row],[Reserva]],Tabela3[[Reserva]:[Condição para Faturamento]],20,FALSE),"IMPORTADO COM SUCESSO"))</f>
        <v>IMPORTADO COM SUCESSO</v>
      </c>
      <c r="I612" s="38">
        <f>IF(RES_AB[[#This Row],[Data base]]="","",WORKDAY(RES_AB[[#This Row],[Data Reserva - Feriado e Fds]],RES_AB[[#This Row],[Dias para atendimento]],Feriados[Data]))</f>
        <v>45453</v>
      </c>
      <c r="J612" s="40" t="str">
        <f ca="1">IF(RES_AB[[#This Row],[Reserva]]="","",CONCATENATE("D+",NETWORKDAYS(RES_AB[[#This Row],[Data Reserva - Feriado e Fds]],TODAY(),Feriados[Data])-1))</f>
        <v>D+1</v>
      </c>
      <c r="K612" s="40" t="str">
        <f ca="1">IF(RES_AB[[#This Row],[Reserva]]="","",CONCATENATE(RES_AB[[#This Row],[Cen.]]," | ",RES_AB[[#This Row],[SLA2]]))</f>
        <v>N190 | D+1</v>
      </c>
      <c r="L612" s="40">
        <f ca="1">IF(RES_AB[[#This Row],[Reserva]]="","",IF(RES_AB[[#This Row],[SLA2]]=RES_AB[[#This Row],[Reserva]]="","",COUNTIF(MB25_VOLUMETRIA[Reserva],RES_AB[[#This Row],[Reserva]])))</f>
        <v>3</v>
      </c>
      <c r="M61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2" s="37" t="str">
        <f>IF(RES_AB[[#This Row],[Cen.]]="","",IFERROR(VLOOKUP(RES_AB[[#This Row],[Cen.]],Dados_Empresas[],2,FALSE),"Verificar empresa"))</f>
        <v>NET MASSIVO</v>
      </c>
      <c r="P612" s="37" t="str">
        <f>IF(RES_AB[[#This Row],[Empresa]]="","",IF(OR(RES_AB[[#This Row],[Empresa]]="NET MASSIVO",RES_AB[[#This Row],[Empresa]]="NET PROJETOS"),"NET","EMPRESARIAL"))</f>
        <v>NET</v>
      </c>
      <c r="Q612" s="37" t="str">
        <f>IF(RES_AB[[#This Row],[Reserva]]="","",IFERROR(VLOOKUP(RES_AB[[#This Row],[Reserva]],Tabela3[[Reserva]:[Descrição do status]],18,FALSE),"CONVENCIONAL"))</f>
        <v>CONVENCIONAL</v>
      </c>
    </row>
    <row r="613" spans="1:17" x14ac:dyDescent="0.25">
      <c r="A613" s="37">
        <v>4383980</v>
      </c>
      <c r="B613" s="37" t="s">
        <v>21</v>
      </c>
      <c r="C613" s="38" t="s">
        <v>19</v>
      </c>
      <c r="D613" s="38">
        <v>45449</v>
      </c>
      <c r="E61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3" s="39">
        <f>IFERROR(VLOOKUP(RES_AB[[#This Row],[Reserva]],Tabela8[[Reserva]:[Usuário]],7,FALSE),Dados!$A$17)</f>
        <v>0.93912037037037033</v>
      </c>
      <c r="G613" s="40">
        <f>IF(RES_AB[[#This Row],[Reserva]]="","",IF(RES_AB[[#This Row],[Hora Int WMS]]&lt;Dados!$A$16,2,2))</f>
        <v>2</v>
      </c>
      <c r="H613" s="40" t="str">
        <f>IF(RES_AB[[#This Row],[Reserva]]="","",IFERROR(VLOOKUP(RES_AB[[#This Row],[Reserva]],Tabela3[[Reserva]:[Condição para Faturamento]],20,FALSE),"IMPORTADO COM SUCESSO"))</f>
        <v>IMPORTADO COM SUCESSO</v>
      </c>
      <c r="I613" s="38">
        <f>IF(RES_AB[[#This Row],[Data base]]="","",WORKDAY(RES_AB[[#This Row],[Data Reserva - Feriado e Fds]],RES_AB[[#This Row],[Dias para atendimento]],Feriados[Data]))</f>
        <v>45453</v>
      </c>
      <c r="J613" s="40" t="str">
        <f ca="1">IF(RES_AB[[#This Row],[Reserva]]="","",CONCATENATE("D+",NETWORKDAYS(RES_AB[[#This Row],[Data Reserva - Feriado e Fds]],TODAY(),Feriados[Data])-1))</f>
        <v>D+1</v>
      </c>
      <c r="K613" s="40" t="str">
        <f ca="1">IF(RES_AB[[#This Row],[Reserva]]="","",CONCATENATE(RES_AB[[#This Row],[Cen.]]," | ",RES_AB[[#This Row],[SLA2]]))</f>
        <v>N190 | D+1</v>
      </c>
      <c r="L613" s="40">
        <f ca="1">IF(RES_AB[[#This Row],[Reserva]]="","",IF(RES_AB[[#This Row],[SLA2]]=RES_AB[[#This Row],[Reserva]]="","",COUNTIF(MB25_VOLUMETRIA[Reserva],RES_AB[[#This Row],[Reserva]])))</f>
        <v>4</v>
      </c>
      <c r="M61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3" s="37" t="str">
        <f>IF(RES_AB[[#This Row],[Cen.]]="","",IFERROR(VLOOKUP(RES_AB[[#This Row],[Cen.]],Dados_Empresas[],2,FALSE),"Verificar empresa"))</f>
        <v>NET MASSIVO</v>
      </c>
      <c r="P613" s="37" t="str">
        <f>IF(RES_AB[[#This Row],[Empresa]]="","",IF(OR(RES_AB[[#This Row],[Empresa]]="NET MASSIVO",RES_AB[[#This Row],[Empresa]]="NET PROJETOS"),"NET","EMPRESARIAL"))</f>
        <v>NET</v>
      </c>
      <c r="Q613" s="37" t="str">
        <f>IF(RES_AB[[#This Row],[Reserva]]="","",IFERROR(VLOOKUP(RES_AB[[#This Row],[Reserva]],Tabela3[[Reserva]:[Descrição do status]],18,FALSE),"CONVENCIONAL"))</f>
        <v>CONVENCIONAL</v>
      </c>
    </row>
    <row r="614" spans="1:17" x14ac:dyDescent="0.25">
      <c r="A614" s="37">
        <v>4383981</v>
      </c>
      <c r="B614" s="37" t="s">
        <v>21</v>
      </c>
      <c r="C614" s="38" t="s">
        <v>19</v>
      </c>
      <c r="D614" s="38">
        <v>45449</v>
      </c>
      <c r="E61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4" s="39">
        <f>IFERROR(VLOOKUP(RES_AB[[#This Row],[Reserva]],Tabela8[[Reserva]:[Usuário]],7,FALSE),Dados!$A$17)</f>
        <v>0.33333333333333331</v>
      </c>
      <c r="G614" s="40">
        <f>IF(RES_AB[[#This Row],[Reserva]]="","",IF(RES_AB[[#This Row],[Hora Int WMS]]&lt;Dados!$A$16,2,2))</f>
        <v>2</v>
      </c>
      <c r="H614" s="40" t="str">
        <f>IF(RES_AB[[#This Row],[Reserva]]="","",IFERROR(VLOOKUP(RES_AB[[#This Row],[Reserva]],Tabela3[[Reserva]:[Condição para Faturamento]],20,FALSE),"IMPORTADO COM SUCESSO"))</f>
        <v>IMPORTADO COM SUCESSO</v>
      </c>
      <c r="I614" s="38">
        <f>IF(RES_AB[[#This Row],[Data base]]="","",WORKDAY(RES_AB[[#This Row],[Data Reserva - Feriado e Fds]],RES_AB[[#This Row],[Dias para atendimento]],Feriados[Data]))</f>
        <v>45453</v>
      </c>
      <c r="J614" s="40" t="str">
        <f ca="1">IF(RES_AB[[#This Row],[Reserva]]="","",CONCATENATE("D+",NETWORKDAYS(RES_AB[[#This Row],[Data Reserva - Feriado e Fds]],TODAY(),Feriados[Data])-1))</f>
        <v>D+1</v>
      </c>
      <c r="K614" s="40" t="str">
        <f ca="1">IF(RES_AB[[#This Row],[Reserva]]="","",CONCATENATE(RES_AB[[#This Row],[Cen.]]," | ",RES_AB[[#This Row],[SLA2]]))</f>
        <v>N190 | D+1</v>
      </c>
      <c r="L614" s="40">
        <f ca="1">IF(RES_AB[[#This Row],[Reserva]]="","",IF(RES_AB[[#This Row],[SLA2]]=RES_AB[[#This Row],[Reserva]]="","",COUNTIF(MB25_VOLUMETRIA[Reserva],RES_AB[[#This Row],[Reserva]])))</f>
        <v>4</v>
      </c>
      <c r="M61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4" s="37" t="str">
        <f>IF(RES_AB[[#This Row],[Cen.]]="","",IFERROR(VLOOKUP(RES_AB[[#This Row],[Cen.]],Dados_Empresas[],2,FALSE),"Verificar empresa"))</f>
        <v>NET MASSIVO</v>
      </c>
      <c r="P614" s="37" t="str">
        <f>IF(RES_AB[[#This Row],[Empresa]]="","",IF(OR(RES_AB[[#This Row],[Empresa]]="NET MASSIVO",RES_AB[[#This Row],[Empresa]]="NET PROJETOS"),"NET","EMPRESARIAL"))</f>
        <v>NET</v>
      </c>
      <c r="Q614" s="37" t="str">
        <f>IF(RES_AB[[#This Row],[Reserva]]="","",IFERROR(VLOOKUP(RES_AB[[#This Row],[Reserva]],Tabela3[[Reserva]:[Descrição do status]],18,FALSE),"CONVENCIONAL"))</f>
        <v>CONVENCIONAL</v>
      </c>
    </row>
    <row r="615" spans="1:17" x14ac:dyDescent="0.25">
      <c r="A615" s="37">
        <v>4383982</v>
      </c>
      <c r="B615" s="37" t="s">
        <v>21</v>
      </c>
      <c r="C615" s="38" t="s">
        <v>19</v>
      </c>
      <c r="D615" s="38">
        <v>45449</v>
      </c>
      <c r="E61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5" s="39">
        <f>IFERROR(VLOOKUP(RES_AB[[#This Row],[Reserva]],Tabela8[[Reserva]:[Usuário]],7,FALSE),Dados!$A$17)</f>
        <v>0.33333333333333331</v>
      </c>
      <c r="G615" s="40">
        <f>IF(RES_AB[[#This Row],[Reserva]]="","",IF(RES_AB[[#This Row],[Hora Int WMS]]&lt;Dados!$A$16,2,2))</f>
        <v>2</v>
      </c>
      <c r="H615" s="40" t="str">
        <f>IF(RES_AB[[#This Row],[Reserva]]="","",IFERROR(VLOOKUP(RES_AB[[#This Row],[Reserva]],Tabela3[[Reserva]:[Condição para Faturamento]],20,FALSE),"IMPORTADO COM SUCESSO"))</f>
        <v>IMPORTADO COM SUCESSO</v>
      </c>
      <c r="I615" s="38">
        <f>IF(RES_AB[[#This Row],[Data base]]="","",WORKDAY(RES_AB[[#This Row],[Data Reserva - Feriado e Fds]],RES_AB[[#This Row],[Dias para atendimento]],Feriados[Data]))</f>
        <v>45453</v>
      </c>
      <c r="J615" s="40" t="str">
        <f ca="1">IF(RES_AB[[#This Row],[Reserva]]="","",CONCATENATE("D+",NETWORKDAYS(RES_AB[[#This Row],[Data Reserva - Feriado e Fds]],TODAY(),Feriados[Data])-1))</f>
        <v>D+1</v>
      </c>
      <c r="K615" s="40" t="str">
        <f ca="1">IF(RES_AB[[#This Row],[Reserva]]="","",CONCATENATE(RES_AB[[#This Row],[Cen.]]," | ",RES_AB[[#This Row],[SLA2]]))</f>
        <v>N190 | D+1</v>
      </c>
      <c r="L615" s="40">
        <f ca="1">IF(RES_AB[[#This Row],[Reserva]]="","",IF(RES_AB[[#This Row],[SLA2]]=RES_AB[[#This Row],[Reserva]]="","",COUNTIF(MB25_VOLUMETRIA[Reserva],RES_AB[[#This Row],[Reserva]])))</f>
        <v>4</v>
      </c>
      <c r="M61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5" s="37" t="str">
        <f>IF(RES_AB[[#This Row],[Cen.]]="","",IFERROR(VLOOKUP(RES_AB[[#This Row],[Cen.]],Dados_Empresas[],2,FALSE),"Verificar empresa"))</f>
        <v>NET MASSIVO</v>
      </c>
      <c r="P615" s="37" t="str">
        <f>IF(RES_AB[[#This Row],[Empresa]]="","",IF(OR(RES_AB[[#This Row],[Empresa]]="NET MASSIVO",RES_AB[[#This Row],[Empresa]]="NET PROJETOS"),"NET","EMPRESARIAL"))</f>
        <v>NET</v>
      </c>
      <c r="Q615" s="37" t="str">
        <f>IF(RES_AB[[#This Row],[Reserva]]="","",IFERROR(VLOOKUP(RES_AB[[#This Row],[Reserva]],Tabela3[[Reserva]:[Descrição do status]],18,FALSE),"CONVENCIONAL"))</f>
        <v>CONVENCIONAL</v>
      </c>
    </row>
    <row r="616" spans="1:17" x14ac:dyDescent="0.25">
      <c r="A616" s="37">
        <v>4383983</v>
      </c>
      <c r="B616" s="37" t="s">
        <v>21</v>
      </c>
      <c r="C616" s="38" t="s">
        <v>21</v>
      </c>
      <c r="D616" s="38">
        <v>45449</v>
      </c>
      <c r="E61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6" s="39">
        <f>IFERROR(VLOOKUP(RES_AB[[#This Row],[Reserva]],Tabela8[[Reserva]:[Usuário]],7,FALSE),Dados!$A$17)</f>
        <v>0.33333333333333331</v>
      </c>
      <c r="G616" s="40">
        <f>IF(RES_AB[[#This Row],[Reserva]]="","",IF(RES_AB[[#This Row],[Hora Int WMS]]&lt;Dados!$A$16,2,2))</f>
        <v>2</v>
      </c>
      <c r="H616" s="40" t="str">
        <f>IF(RES_AB[[#This Row],[Reserva]]="","",IFERROR(VLOOKUP(RES_AB[[#This Row],[Reserva]],Tabela3[[Reserva]:[Condição para Faturamento]],20,FALSE),"IMPORTADO COM SUCESSO"))</f>
        <v>IMPORTADO COM SUCESSO</v>
      </c>
      <c r="I616" s="38">
        <f>IF(RES_AB[[#This Row],[Data base]]="","",WORKDAY(RES_AB[[#This Row],[Data Reserva - Feriado e Fds]],RES_AB[[#This Row],[Dias para atendimento]],Feriados[Data]))</f>
        <v>45453</v>
      </c>
      <c r="J616" s="40" t="str">
        <f ca="1">IF(RES_AB[[#This Row],[Reserva]]="","",CONCATENATE("D+",NETWORKDAYS(RES_AB[[#This Row],[Data Reserva - Feriado e Fds]],TODAY(),Feriados[Data])-1))</f>
        <v>D+1</v>
      </c>
      <c r="K616" s="40" t="str">
        <f ca="1">IF(RES_AB[[#This Row],[Reserva]]="","",CONCATENATE(RES_AB[[#This Row],[Cen.]]," | ",RES_AB[[#This Row],[SLA2]]))</f>
        <v>N190 | D+1</v>
      </c>
      <c r="L616" s="40">
        <f ca="1">IF(RES_AB[[#This Row],[Reserva]]="","",IF(RES_AB[[#This Row],[SLA2]]=RES_AB[[#This Row],[Reserva]]="","",COUNTIF(MB25_VOLUMETRIA[Reserva],RES_AB[[#This Row],[Reserva]])))</f>
        <v>6</v>
      </c>
      <c r="M61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6" s="37" t="str">
        <f>IF(RES_AB[[#This Row],[Cen.]]="","",IFERROR(VLOOKUP(RES_AB[[#This Row],[Cen.]],Dados_Empresas[],2,FALSE),"Verificar empresa"))</f>
        <v>NET MASSIVO</v>
      </c>
      <c r="P616" s="37" t="str">
        <f>IF(RES_AB[[#This Row],[Empresa]]="","",IF(OR(RES_AB[[#This Row],[Empresa]]="NET MASSIVO",RES_AB[[#This Row],[Empresa]]="NET PROJETOS"),"NET","EMPRESARIAL"))</f>
        <v>NET</v>
      </c>
      <c r="Q616" s="37" t="str">
        <f>IF(RES_AB[[#This Row],[Reserva]]="","",IFERROR(VLOOKUP(RES_AB[[#This Row],[Reserva]],Tabela3[[Reserva]:[Descrição do status]],18,FALSE),"CONVENCIONAL"))</f>
        <v>CONVENCIONAL</v>
      </c>
    </row>
    <row r="617" spans="1:17" x14ac:dyDescent="0.25">
      <c r="A617" s="37">
        <v>4383984</v>
      </c>
      <c r="B617" s="37" t="s">
        <v>21</v>
      </c>
      <c r="C617" s="38" t="s">
        <v>19</v>
      </c>
      <c r="D617" s="38">
        <v>45449</v>
      </c>
      <c r="E61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7" s="39">
        <f>IFERROR(VLOOKUP(RES_AB[[#This Row],[Reserva]],Tabela8[[Reserva]:[Usuário]],7,FALSE),Dados!$A$17)</f>
        <v>0.33333333333333331</v>
      </c>
      <c r="G617" s="40">
        <f>IF(RES_AB[[#This Row],[Reserva]]="","",IF(RES_AB[[#This Row],[Hora Int WMS]]&lt;Dados!$A$16,2,2))</f>
        <v>2</v>
      </c>
      <c r="H617" s="40" t="str">
        <f>IF(RES_AB[[#This Row],[Reserva]]="","",IFERROR(VLOOKUP(RES_AB[[#This Row],[Reserva]],Tabela3[[Reserva]:[Condição para Faturamento]],20,FALSE),"IMPORTADO COM SUCESSO"))</f>
        <v>IMPORTADO COM SUCESSO</v>
      </c>
      <c r="I617" s="38">
        <f>IF(RES_AB[[#This Row],[Data base]]="","",WORKDAY(RES_AB[[#This Row],[Data Reserva - Feriado e Fds]],RES_AB[[#This Row],[Dias para atendimento]],Feriados[Data]))</f>
        <v>45453</v>
      </c>
      <c r="J617" s="40" t="str">
        <f ca="1">IF(RES_AB[[#This Row],[Reserva]]="","",CONCATENATE("D+",NETWORKDAYS(RES_AB[[#This Row],[Data Reserva - Feriado e Fds]],TODAY(),Feriados[Data])-1))</f>
        <v>D+1</v>
      </c>
      <c r="K617" s="40" t="str">
        <f ca="1">IF(RES_AB[[#This Row],[Reserva]]="","",CONCATENATE(RES_AB[[#This Row],[Cen.]]," | ",RES_AB[[#This Row],[SLA2]]))</f>
        <v>N190 | D+1</v>
      </c>
      <c r="L617" s="40">
        <f ca="1">IF(RES_AB[[#This Row],[Reserva]]="","",IF(RES_AB[[#This Row],[SLA2]]=RES_AB[[#This Row],[Reserva]]="","",COUNTIF(MB25_VOLUMETRIA[Reserva],RES_AB[[#This Row],[Reserva]])))</f>
        <v>3</v>
      </c>
      <c r="M61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7" s="37" t="str">
        <f>IF(RES_AB[[#This Row],[Cen.]]="","",IFERROR(VLOOKUP(RES_AB[[#This Row],[Cen.]],Dados_Empresas[],2,FALSE),"Verificar empresa"))</f>
        <v>NET MASSIVO</v>
      </c>
      <c r="P617" s="37" t="str">
        <f>IF(RES_AB[[#This Row],[Empresa]]="","",IF(OR(RES_AB[[#This Row],[Empresa]]="NET MASSIVO",RES_AB[[#This Row],[Empresa]]="NET PROJETOS"),"NET","EMPRESARIAL"))</f>
        <v>NET</v>
      </c>
      <c r="Q617" s="37" t="str">
        <f>IF(RES_AB[[#This Row],[Reserva]]="","",IFERROR(VLOOKUP(RES_AB[[#This Row],[Reserva]],Tabela3[[Reserva]:[Descrição do status]],18,FALSE),"CONVENCIONAL"))</f>
        <v>CONVENCIONAL</v>
      </c>
    </row>
    <row r="618" spans="1:17" x14ac:dyDescent="0.25">
      <c r="A618" s="37">
        <v>4383985</v>
      </c>
      <c r="B618" s="37" t="s">
        <v>21</v>
      </c>
      <c r="C618" s="38" t="s">
        <v>19</v>
      </c>
      <c r="D618" s="38">
        <v>45449</v>
      </c>
      <c r="E61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8" s="39">
        <f>IFERROR(VLOOKUP(RES_AB[[#This Row],[Reserva]],Tabela8[[Reserva]:[Usuário]],7,FALSE),Dados!$A$17)</f>
        <v>0.33333333333333331</v>
      </c>
      <c r="G618" s="40">
        <f>IF(RES_AB[[#This Row],[Reserva]]="","",IF(RES_AB[[#This Row],[Hora Int WMS]]&lt;Dados!$A$16,2,2))</f>
        <v>2</v>
      </c>
      <c r="H618" s="40" t="str">
        <f>IF(RES_AB[[#This Row],[Reserva]]="","",IFERROR(VLOOKUP(RES_AB[[#This Row],[Reserva]],Tabela3[[Reserva]:[Condição para Faturamento]],20,FALSE),"IMPORTADO COM SUCESSO"))</f>
        <v>IMPORTADO COM SUCESSO</v>
      </c>
      <c r="I618" s="38">
        <f>IF(RES_AB[[#This Row],[Data base]]="","",WORKDAY(RES_AB[[#This Row],[Data Reserva - Feriado e Fds]],RES_AB[[#This Row],[Dias para atendimento]],Feriados[Data]))</f>
        <v>45453</v>
      </c>
      <c r="J618" s="40" t="str">
        <f ca="1">IF(RES_AB[[#This Row],[Reserva]]="","",CONCATENATE("D+",NETWORKDAYS(RES_AB[[#This Row],[Data Reserva - Feriado e Fds]],TODAY(),Feriados[Data])-1))</f>
        <v>D+1</v>
      </c>
      <c r="K618" s="40" t="str">
        <f ca="1">IF(RES_AB[[#This Row],[Reserva]]="","",CONCATENATE(RES_AB[[#This Row],[Cen.]]," | ",RES_AB[[#This Row],[SLA2]]))</f>
        <v>N190 | D+1</v>
      </c>
      <c r="L618" s="40">
        <f ca="1">IF(RES_AB[[#This Row],[Reserva]]="","",IF(RES_AB[[#This Row],[SLA2]]=RES_AB[[#This Row],[Reserva]]="","",COUNTIF(MB25_VOLUMETRIA[Reserva],RES_AB[[#This Row],[Reserva]])))</f>
        <v>6</v>
      </c>
      <c r="M61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8" s="37" t="str">
        <f>IF(RES_AB[[#This Row],[Cen.]]="","",IFERROR(VLOOKUP(RES_AB[[#This Row],[Cen.]],Dados_Empresas[],2,FALSE),"Verificar empresa"))</f>
        <v>NET MASSIVO</v>
      </c>
      <c r="P618" s="37" t="str">
        <f>IF(RES_AB[[#This Row],[Empresa]]="","",IF(OR(RES_AB[[#This Row],[Empresa]]="NET MASSIVO",RES_AB[[#This Row],[Empresa]]="NET PROJETOS"),"NET","EMPRESARIAL"))</f>
        <v>NET</v>
      </c>
      <c r="Q618" s="37" t="str">
        <f>IF(RES_AB[[#This Row],[Reserva]]="","",IFERROR(VLOOKUP(RES_AB[[#This Row],[Reserva]],Tabela3[[Reserva]:[Descrição do status]],18,FALSE),"CONVENCIONAL"))</f>
        <v>CONVENCIONAL</v>
      </c>
    </row>
    <row r="619" spans="1:17" x14ac:dyDescent="0.25">
      <c r="A619" s="37">
        <v>4383986</v>
      </c>
      <c r="B619" s="37" t="s">
        <v>21</v>
      </c>
      <c r="C619" s="38" t="s">
        <v>19</v>
      </c>
      <c r="D619" s="38">
        <v>45449</v>
      </c>
      <c r="E61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19" s="39">
        <f>IFERROR(VLOOKUP(RES_AB[[#This Row],[Reserva]],Tabela8[[Reserva]:[Usuário]],7,FALSE),Dados!$A$17)</f>
        <v>0.33333333333333331</v>
      </c>
      <c r="G619" s="40">
        <f>IF(RES_AB[[#This Row],[Reserva]]="","",IF(RES_AB[[#This Row],[Hora Int WMS]]&lt;Dados!$A$16,2,2))</f>
        <v>2</v>
      </c>
      <c r="H619" s="40" t="str">
        <f>IF(RES_AB[[#This Row],[Reserva]]="","",IFERROR(VLOOKUP(RES_AB[[#This Row],[Reserva]],Tabela3[[Reserva]:[Condição para Faturamento]],20,FALSE),"IMPORTADO COM SUCESSO"))</f>
        <v>IMPORTADO COM SUCESSO</v>
      </c>
      <c r="I619" s="38">
        <f>IF(RES_AB[[#This Row],[Data base]]="","",WORKDAY(RES_AB[[#This Row],[Data Reserva - Feriado e Fds]],RES_AB[[#This Row],[Dias para atendimento]],Feriados[Data]))</f>
        <v>45453</v>
      </c>
      <c r="J619" s="40" t="str">
        <f ca="1">IF(RES_AB[[#This Row],[Reserva]]="","",CONCATENATE("D+",NETWORKDAYS(RES_AB[[#This Row],[Data Reserva - Feriado e Fds]],TODAY(),Feriados[Data])-1))</f>
        <v>D+1</v>
      </c>
      <c r="K619" s="40" t="str">
        <f ca="1">IF(RES_AB[[#This Row],[Reserva]]="","",CONCATENATE(RES_AB[[#This Row],[Cen.]]," | ",RES_AB[[#This Row],[SLA2]]))</f>
        <v>N190 | D+1</v>
      </c>
      <c r="L619" s="40">
        <f ca="1">IF(RES_AB[[#This Row],[Reserva]]="","",IF(RES_AB[[#This Row],[SLA2]]=RES_AB[[#This Row],[Reserva]]="","",COUNTIF(MB25_VOLUMETRIA[Reserva],RES_AB[[#This Row],[Reserva]])))</f>
        <v>7</v>
      </c>
      <c r="M61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1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19" s="37" t="str">
        <f>IF(RES_AB[[#This Row],[Cen.]]="","",IFERROR(VLOOKUP(RES_AB[[#This Row],[Cen.]],Dados_Empresas[],2,FALSE),"Verificar empresa"))</f>
        <v>NET MASSIVO</v>
      </c>
      <c r="P619" s="37" t="str">
        <f>IF(RES_AB[[#This Row],[Empresa]]="","",IF(OR(RES_AB[[#This Row],[Empresa]]="NET MASSIVO",RES_AB[[#This Row],[Empresa]]="NET PROJETOS"),"NET","EMPRESARIAL"))</f>
        <v>NET</v>
      </c>
      <c r="Q619" s="37" t="str">
        <f>IF(RES_AB[[#This Row],[Reserva]]="","",IFERROR(VLOOKUP(RES_AB[[#This Row],[Reserva]],Tabela3[[Reserva]:[Descrição do status]],18,FALSE),"CONVENCIONAL"))</f>
        <v>CONVENCIONAL</v>
      </c>
    </row>
    <row r="620" spans="1:17" x14ac:dyDescent="0.25">
      <c r="A620" s="37">
        <v>4383987</v>
      </c>
      <c r="B620" s="37" t="s">
        <v>21</v>
      </c>
      <c r="C620" s="38" t="s">
        <v>21</v>
      </c>
      <c r="D620" s="38">
        <v>45449</v>
      </c>
      <c r="E62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0" s="39">
        <f>IFERROR(VLOOKUP(RES_AB[[#This Row],[Reserva]],Tabela8[[Reserva]:[Usuário]],7,FALSE),Dados!$A$17)</f>
        <v>0.33333333333333331</v>
      </c>
      <c r="G620" s="40">
        <f>IF(RES_AB[[#This Row],[Reserva]]="","",IF(RES_AB[[#This Row],[Hora Int WMS]]&lt;Dados!$A$16,2,2))</f>
        <v>2</v>
      </c>
      <c r="H620" s="40" t="str">
        <f>IF(RES_AB[[#This Row],[Reserva]]="","",IFERROR(VLOOKUP(RES_AB[[#This Row],[Reserva]],Tabela3[[Reserva]:[Condição para Faturamento]],20,FALSE),"IMPORTADO COM SUCESSO"))</f>
        <v>IMPORTADO COM SUCESSO</v>
      </c>
      <c r="I620" s="38">
        <f>IF(RES_AB[[#This Row],[Data base]]="","",WORKDAY(RES_AB[[#This Row],[Data Reserva - Feriado e Fds]],RES_AB[[#This Row],[Dias para atendimento]],Feriados[Data]))</f>
        <v>45453</v>
      </c>
      <c r="J620" s="40" t="str">
        <f ca="1">IF(RES_AB[[#This Row],[Reserva]]="","",CONCATENATE("D+",NETWORKDAYS(RES_AB[[#This Row],[Data Reserva - Feriado e Fds]],TODAY(),Feriados[Data])-1))</f>
        <v>D+1</v>
      </c>
      <c r="K620" s="40" t="str">
        <f ca="1">IF(RES_AB[[#This Row],[Reserva]]="","",CONCATENATE(RES_AB[[#This Row],[Cen.]]," | ",RES_AB[[#This Row],[SLA2]]))</f>
        <v>N190 | D+1</v>
      </c>
      <c r="L620" s="40">
        <f ca="1">IF(RES_AB[[#This Row],[Reserva]]="","",IF(RES_AB[[#This Row],[SLA2]]=RES_AB[[#This Row],[Reserva]]="","",COUNTIF(MB25_VOLUMETRIA[Reserva],RES_AB[[#This Row],[Reserva]])))</f>
        <v>1</v>
      </c>
      <c r="M62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0" s="37" t="str">
        <f>IF(RES_AB[[#This Row],[Cen.]]="","",IFERROR(VLOOKUP(RES_AB[[#This Row],[Cen.]],Dados_Empresas[],2,FALSE),"Verificar empresa"))</f>
        <v>NET MASSIVO</v>
      </c>
      <c r="P620" s="37" t="str">
        <f>IF(RES_AB[[#This Row],[Empresa]]="","",IF(OR(RES_AB[[#This Row],[Empresa]]="NET MASSIVO",RES_AB[[#This Row],[Empresa]]="NET PROJETOS"),"NET","EMPRESARIAL"))</f>
        <v>NET</v>
      </c>
      <c r="Q620" s="37" t="str">
        <f>IF(RES_AB[[#This Row],[Reserva]]="","",IFERROR(VLOOKUP(RES_AB[[#This Row],[Reserva]],Tabela3[[Reserva]:[Descrição do status]],18,FALSE),"CONVENCIONAL"))</f>
        <v>CONVENCIONAL</v>
      </c>
    </row>
    <row r="621" spans="1:17" x14ac:dyDescent="0.25">
      <c r="A621" s="37">
        <v>4383988</v>
      </c>
      <c r="B621" s="37" t="s">
        <v>21</v>
      </c>
      <c r="C621" s="38" t="s">
        <v>19</v>
      </c>
      <c r="D621" s="38">
        <v>45449</v>
      </c>
      <c r="E62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1" s="39">
        <f>IFERROR(VLOOKUP(RES_AB[[#This Row],[Reserva]],Tabela8[[Reserva]:[Usuário]],7,FALSE),Dados!$A$17)</f>
        <v>0.33333333333333331</v>
      </c>
      <c r="G621" s="40">
        <f>IF(RES_AB[[#This Row],[Reserva]]="","",IF(RES_AB[[#This Row],[Hora Int WMS]]&lt;Dados!$A$16,2,2))</f>
        <v>2</v>
      </c>
      <c r="H621" s="40" t="str">
        <f>IF(RES_AB[[#This Row],[Reserva]]="","",IFERROR(VLOOKUP(RES_AB[[#This Row],[Reserva]],Tabela3[[Reserva]:[Condição para Faturamento]],20,FALSE),"IMPORTADO COM SUCESSO"))</f>
        <v>IMPORTADO COM SUCESSO</v>
      </c>
      <c r="I621" s="38">
        <f>IF(RES_AB[[#This Row],[Data base]]="","",WORKDAY(RES_AB[[#This Row],[Data Reserva - Feriado e Fds]],RES_AB[[#This Row],[Dias para atendimento]],Feriados[Data]))</f>
        <v>45453</v>
      </c>
      <c r="J621" s="40" t="str">
        <f ca="1">IF(RES_AB[[#This Row],[Reserva]]="","",CONCATENATE("D+",NETWORKDAYS(RES_AB[[#This Row],[Data Reserva - Feriado e Fds]],TODAY(),Feriados[Data])-1))</f>
        <v>D+1</v>
      </c>
      <c r="K621" s="40" t="str">
        <f ca="1">IF(RES_AB[[#This Row],[Reserva]]="","",CONCATENATE(RES_AB[[#This Row],[Cen.]]," | ",RES_AB[[#This Row],[SLA2]]))</f>
        <v>N190 | D+1</v>
      </c>
      <c r="L621" s="40">
        <f ca="1">IF(RES_AB[[#This Row],[Reserva]]="","",IF(RES_AB[[#This Row],[SLA2]]=RES_AB[[#This Row],[Reserva]]="","",COUNTIF(MB25_VOLUMETRIA[Reserva],RES_AB[[#This Row],[Reserva]])))</f>
        <v>3</v>
      </c>
      <c r="M62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1" s="37" t="str">
        <f>IF(RES_AB[[#This Row],[Cen.]]="","",IFERROR(VLOOKUP(RES_AB[[#This Row],[Cen.]],Dados_Empresas[],2,FALSE),"Verificar empresa"))</f>
        <v>NET MASSIVO</v>
      </c>
      <c r="P621" s="37" t="str">
        <f>IF(RES_AB[[#This Row],[Empresa]]="","",IF(OR(RES_AB[[#This Row],[Empresa]]="NET MASSIVO",RES_AB[[#This Row],[Empresa]]="NET PROJETOS"),"NET","EMPRESARIAL"))</f>
        <v>NET</v>
      </c>
      <c r="Q621" s="37" t="str">
        <f>IF(RES_AB[[#This Row],[Reserva]]="","",IFERROR(VLOOKUP(RES_AB[[#This Row],[Reserva]],Tabela3[[Reserva]:[Descrição do status]],18,FALSE),"CONVENCIONAL"))</f>
        <v>CONVENCIONAL</v>
      </c>
    </row>
    <row r="622" spans="1:17" x14ac:dyDescent="0.25">
      <c r="A622" s="37">
        <v>4383989</v>
      </c>
      <c r="B622" s="37" t="s">
        <v>21</v>
      </c>
      <c r="C622" s="38" t="s">
        <v>19</v>
      </c>
      <c r="D622" s="38">
        <v>45449</v>
      </c>
      <c r="E62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2" s="39">
        <f>IFERROR(VLOOKUP(RES_AB[[#This Row],[Reserva]],Tabela8[[Reserva]:[Usuário]],7,FALSE),Dados!$A$17)</f>
        <v>0.33333333333333331</v>
      </c>
      <c r="G622" s="40">
        <f>IF(RES_AB[[#This Row],[Reserva]]="","",IF(RES_AB[[#This Row],[Hora Int WMS]]&lt;Dados!$A$16,2,2))</f>
        <v>2</v>
      </c>
      <c r="H622" s="40" t="str">
        <f>IF(RES_AB[[#This Row],[Reserva]]="","",IFERROR(VLOOKUP(RES_AB[[#This Row],[Reserva]],Tabela3[[Reserva]:[Condição para Faturamento]],20,FALSE),"IMPORTADO COM SUCESSO"))</f>
        <v>IMPORTADO COM SUCESSO</v>
      </c>
      <c r="I622" s="38">
        <f>IF(RES_AB[[#This Row],[Data base]]="","",WORKDAY(RES_AB[[#This Row],[Data Reserva - Feriado e Fds]],RES_AB[[#This Row],[Dias para atendimento]],Feriados[Data]))</f>
        <v>45453</v>
      </c>
      <c r="J622" s="40" t="str">
        <f ca="1">IF(RES_AB[[#This Row],[Reserva]]="","",CONCATENATE("D+",NETWORKDAYS(RES_AB[[#This Row],[Data Reserva - Feriado e Fds]],TODAY(),Feriados[Data])-1))</f>
        <v>D+1</v>
      </c>
      <c r="K622" s="40" t="str">
        <f ca="1">IF(RES_AB[[#This Row],[Reserva]]="","",CONCATENATE(RES_AB[[#This Row],[Cen.]]," | ",RES_AB[[#This Row],[SLA2]]))</f>
        <v>N190 | D+1</v>
      </c>
      <c r="L622" s="40">
        <f ca="1">IF(RES_AB[[#This Row],[Reserva]]="","",IF(RES_AB[[#This Row],[SLA2]]=RES_AB[[#This Row],[Reserva]]="","",COUNTIF(MB25_VOLUMETRIA[Reserva],RES_AB[[#This Row],[Reserva]])))</f>
        <v>4</v>
      </c>
      <c r="M62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2" s="37" t="str">
        <f>IF(RES_AB[[#This Row],[Cen.]]="","",IFERROR(VLOOKUP(RES_AB[[#This Row],[Cen.]],Dados_Empresas[],2,FALSE),"Verificar empresa"))</f>
        <v>NET MASSIVO</v>
      </c>
      <c r="P622" s="37" t="str">
        <f>IF(RES_AB[[#This Row],[Empresa]]="","",IF(OR(RES_AB[[#This Row],[Empresa]]="NET MASSIVO",RES_AB[[#This Row],[Empresa]]="NET PROJETOS"),"NET","EMPRESARIAL"))</f>
        <v>NET</v>
      </c>
      <c r="Q622" s="37" t="str">
        <f>IF(RES_AB[[#This Row],[Reserva]]="","",IFERROR(VLOOKUP(RES_AB[[#This Row],[Reserva]],Tabela3[[Reserva]:[Descrição do status]],18,FALSE),"CONVENCIONAL"))</f>
        <v>CONVENCIONAL</v>
      </c>
    </row>
    <row r="623" spans="1:17" x14ac:dyDescent="0.25">
      <c r="A623" s="37">
        <v>4383990</v>
      </c>
      <c r="B623" s="37" t="s">
        <v>21</v>
      </c>
      <c r="C623" s="38" t="s">
        <v>19</v>
      </c>
      <c r="D623" s="38">
        <v>45449</v>
      </c>
      <c r="E62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3" s="39">
        <f>IFERROR(VLOOKUP(RES_AB[[#This Row],[Reserva]],Tabela8[[Reserva]:[Usuário]],7,FALSE),Dados!$A$17)</f>
        <v>0.33333333333333331</v>
      </c>
      <c r="G623" s="40">
        <f>IF(RES_AB[[#This Row],[Reserva]]="","",IF(RES_AB[[#This Row],[Hora Int WMS]]&lt;Dados!$A$16,2,2))</f>
        <v>2</v>
      </c>
      <c r="H623" s="40" t="str">
        <f>IF(RES_AB[[#This Row],[Reserva]]="","",IFERROR(VLOOKUP(RES_AB[[#This Row],[Reserva]],Tabela3[[Reserva]:[Condição para Faturamento]],20,FALSE),"IMPORTADO COM SUCESSO"))</f>
        <v>IMPORTADO COM SUCESSO</v>
      </c>
      <c r="I623" s="38">
        <f>IF(RES_AB[[#This Row],[Data base]]="","",WORKDAY(RES_AB[[#This Row],[Data Reserva - Feriado e Fds]],RES_AB[[#This Row],[Dias para atendimento]],Feriados[Data]))</f>
        <v>45453</v>
      </c>
      <c r="J623" s="40" t="str">
        <f ca="1">IF(RES_AB[[#This Row],[Reserva]]="","",CONCATENATE("D+",NETWORKDAYS(RES_AB[[#This Row],[Data Reserva - Feriado e Fds]],TODAY(),Feriados[Data])-1))</f>
        <v>D+1</v>
      </c>
      <c r="K623" s="40" t="str">
        <f ca="1">IF(RES_AB[[#This Row],[Reserva]]="","",CONCATENATE(RES_AB[[#This Row],[Cen.]]," | ",RES_AB[[#This Row],[SLA2]]))</f>
        <v>N190 | D+1</v>
      </c>
      <c r="L623" s="40">
        <f ca="1">IF(RES_AB[[#This Row],[Reserva]]="","",IF(RES_AB[[#This Row],[SLA2]]=RES_AB[[#This Row],[Reserva]]="","",COUNTIF(MB25_VOLUMETRIA[Reserva],RES_AB[[#This Row],[Reserva]])))</f>
        <v>6</v>
      </c>
      <c r="M62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3" s="37" t="str">
        <f>IF(RES_AB[[#This Row],[Cen.]]="","",IFERROR(VLOOKUP(RES_AB[[#This Row],[Cen.]],Dados_Empresas[],2,FALSE),"Verificar empresa"))</f>
        <v>NET MASSIVO</v>
      </c>
      <c r="P623" s="37" t="str">
        <f>IF(RES_AB[[#This Row],[Empresa]]="","",IF(OR(RES_AB[[#This Row],[Empresa]]="NET MASSIVO",RES_AB[[#This Row],[Empresa]]="NET PROJETOS"),"NET","EMPRESARIAL"))</f>
        <v>NET</v>
      </c>
      <c r="Q623" s="37" t="str">
        <f>IF(RES_AB[[#This Row],[Reserva]]="","",IFERROR(VLOOKUP(RES_AB[[#This Row],[Reserva]],Tabela3[[Reserva]:[Descrição do status]],18,FALSE),"CONVENCIONAL"))</f>
        <v>CONVENCIONAL</v>
      </c>
    </row>
    <row r="624" spans="1:17" x14ac:dyDescent="0.25">
      <c r="A624" s="37">
        <v>4383991</v>
      </c>
      <c r="B624" s="37" t="s">
        <v>21</v>
      </c>
      <c r="C624" s="38" t="s">
        <v>21</v>
      </c>
      <c r="D624" s="38">
        <v>45449</v>
      </c>
      <c r="E62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4" s="39">
        <f>IFERROR(VLOOKUP(RES_AB[[#This Row],[Reserva]],Tabela8[[Reserva]:[Usuário]],7,FALSE),Dados!$A$17)</f>
        <v>0.33333333333333331</v>
      </c>
      <c r="G624" s="40">
        <f>IF(RES_AB[[#This Row],[Reserva]]="","",IF(RES_AB[[#This Row],[Hora Int WMS]]&lt;Dados!$A$16,2,2))</f>
        <v>2</v>
      </c>
      <c r="H624" s="40" t="str">
        <f>IF(RES_AB[[#This Row],[Reserva]]="","",IFERROR(VLOOKUP(RES_AB[[#This Row],[Reserva]],Tabela3[[Reserva]:[Condição para Faturamento]],20,FALSE),"IMPORTADO COM SUCESSO"))</f>
        <v>IMPORTADO COM SUCESSO</v>
      </c>
      <c r="I624" s="38">
        <f>IF(RES_AB[[#This Row],[Data base]]="","",WORKDAY(RES_AB[[#This Row],[Data Reserva - Feriado e Fds]],RES_AB[[#This Row],[Dias para atendimento]],Feriados[Data]))</f>
        <v>45453</v>
      </c>
      <c r="J624" s="40" t="str">
        <f ca="1">IF(RES_AB[[#This Row],[Reserva]]="","",CONCATENATE("D+",NETWORKDAYS(RES_AB[[#This Row],[Data Reserva - Feriado e Fds]],TODAY(),Feriados[Data])-1))</f>
        <v>D+1</v>
      </c>
      <c r="K624" s="40" t="str">
        <f ca="1">IF(RES_AB[[#This Row],[Reserva]]="","",CONCATENATE(RES_AB[[#This Row],[Cen.]]," | ",RES_AB[[#This Row],[SLA2]]))</f>
        <v>N190 | D+1</v>
      </c>
      <c r="L624" s="40">
        <f ca="1">IF(RES_AB[[#This Row],[Reserva]]="","",IF(RES_AB[[#This Row],[SLA2]]=RES_AB[[#This Row],[Reserva]]="","",COUNTIF(MB25_VOLUMETRIA[Reserva],RES_AB[[#This Row],[Reserva]])))</f>
        <v>1</v>
      </c>
      <c r="M62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4" s="37" t="str">
        <f>IF(RES_AB[[#This Row],[Cen.]]="","",IFERROR(VLOOKUP(RES_AB[[#This Row],[Cen.]],Dados_Empresas[],2,FALSE),"Verificar empresa"))</f>
        <v>NET MASSIVO</v>
      </c>
      <c r="P624" s="37" t="str">
        <f>IF(RES_AB[[#This Row],[Empresa]]="","",IF(OR(RES_AB[[#This Row],[Empresa]]="NET MASSIVO",RES_AB[[#This Row],[Empresa]]="NET PROJETOS"),"NET","EMPRESARIAL"))</f>
        <v>NET</v>
      </c>
      <c r="Q624" s="37" t="str">
        <f>IF(RES_AB[[#This Row],[Reserva]]="","",IFERROR(VLOOKUP(RES_AB[[#This Row],[Reserva]],Tabela3[[Reserva]:[Descrição do status]],18,FALSE),"CONVENCIONAL"))</f>
        <v>CONVENCIONAL</v>
      </c>
    </row>
    <row r="625" spans="1:17" x14ac:dyDescent="0.25">
      <c r="A625" s="37">
        <v>4383992</v>
      </c>
      <c r="B625" s="37" t="s">
        <v>21</v>
      </c>
      <c r="C625" s="38" t="s">
        <v>19</v>
      </c>
      <c r="D625" s="38">
        <v>45449</v>
      </c>
      <c r="E62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5" s="39">
        <f>IFERROR(VLOOKUP(RES_AB[[#This Row],[Reserva]],Tabela8[[Reserva]:[Usuário]],7,FALSE),Dados!$A$17)</f>
        <v>0.94027777777777777</v>
      </c>
      <c r="G625" s="40">
        <f>IF(RES_AB[[#This Row],[Reserva]]="","",IF(RES_AB[[#This Row],[Hora Int WMS]]&lt;Dados!$A$16,2,2))</f>
        <v>2</v>
      </c>
      <c r="H625" s="40" t="str">
        <f>IF(RES_AB[[#This Row],[Reserva]]="","",IFERROR(VLOOKUP(RES_AB[[#This Row],[Reserva]],Tabela3[[Reserva]:[Condição para Faturamento]],20,FALSE),"IMPORTADO COM SUCESSO"))</f>
        <v>IMPORTADO COM SUCESSO</v>
      </c>
      <c r="I625" s="38">
        <f>IF(RES_AB[[#This Row],[Data base]]="","",WORKDAY(RES_AB[[#This Row],[Data Reserva - Feriado e Fds]],RES_AB[[#This Row],[Dias para atendimento]],Feriados[Data]))</f>
        <v>45453</v>
      </c>
      <c r="J625" s="40" t="str">
        <f ca="1">IF(RES_AB[[#This Row],[Reserva]]="","",CONCATENATE("D+",NETWORKDAYS(RES_AB[[#This Row],[Data Reserva - Feriado e Fds]],TODAY(),Feriados[Data])-1))</f>
        <v>D+1</v>
      </c>
      <c r="K625" s="40" t="str">
        <f ca="1">IF(RES_AB[[#This Row],[Reserva]]="","",CONCATENATE(RES_AB[[#This Row],[Cen.]]," | ",RES_AB[[#This Row],[SLA2]]))</f>
        <v>N190 | D+1</v>
      </c>
      <c r="L625" s="40">
        <f ca="1">IF(RES_AB[[#This Row],[Reserva]]="","",IF(RES_AB[[#This Row],[SLA2]]=RES_AB[[#This Row],[Reserva]]="","",COUNTIF(MB25_VOLUMETRIA[Reserva],RES_AB[[#This Row],[Reserva]])))</f>
        <v>1</v>
      </c>
      <c r="M62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5" s="37" t="str">
        <f>IF(RES_AB[[#This Row],[Cen.]]="","",IFERROR(VLOOKUP(RES_AB[[#This Row],[Cen.]],Dados_Empresas[],2,FALSE),"Verificar empresa"))</f>
        <v>NET MASSIVO</v>
      </c>
      <c r="P625" s="37" t="str">
        <f>IF(RES_AB[[#This Row],[Empresa]]="","",IF(OR(RES_AB[[#This Row],[Empresa]]="NET MASSIVO",RES_AB[[#This Row],[Empresa]]="NET PROJETOS"),"NET","EMPRESARIAL"))</f>
        <v>NET</v>
      </c>
      <c r="Q625" s="37" t="str">
        <f>IF(RES_AB[[#This Row],[Reserva]]="","",IFERROR(VLOOKUP(RES_AB[[#This Row],[Reserva]],Tabela3[[Reserva]:[Descrição do status]],18,FALSE),"CONVENCIONAL"))</f>
        <v>CONVENCIONAL</v>
      </c>
    </row>
    <row r="626" spans="1:17" x14ac:dyDescent="0.25">
      <c r="A626" s="37">
        <v>4383993</v>
      </c>
      <c r="B626" s="37" t="s">
        <v>21</v>
      </c>
      <c r="C626" s="38" t="s">
        <v>19</v>
      </c>
      <c r="D626" s="38">
        <v>45449</v>
      </c>
      <c r="E62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6" s="39">
        <f>IFERROR(VLOOKUP(RES_AB[[#This Row],[Reserva]],Tabela8[[Reserva]:[Usuário]],7,FALSE),Dados!$A$17)</f>
        <v>0.94027777777777777</v>
      </c>
      <c r="G626" s="40">
        <f>IF(RES_AB[[#This Row],[Reserva]]="","",IF(RES_AB[[#This Row],[Hora Int WMS]]&lt;Dados!$A$16,2,2))</f>
        <v>2</v>
      </c>
      <c r="H626" s="40" t="str">
        <f>IF(RES_AB[[#This Row],[Reserva]]="","",IFERROR(VLOOKUP(RES_AB[[#This Row],[Reserva]],Tabela3[[Reserva]:[Condição para Faturamento]],20,FALSE),"IMPORTADO COM SUCESSO"))</f>
        <v>IMPORTADO COM SUCESSO</v>
      </c>
      <c r="I626" s="38">
        <f>IF(RES_AB[[#This Row],[Data base]]="","",WORKDAY(RES_AB[[#This Row],[Data Reserva - Feriado e Fds]],RES_AB[[#This Row],[Dias para atendimento]],Feriados[Data]))</f>
        <v>45453</v>
      </c>
      <c r="J626" s="40" t="str">
        <f ca="1">IF(RES_AB[[#This Row],[Reserva]]="","",CONCATENATE("D+",NETWORKDAYS(RES_AB[[#This Row],[Data Reserva - Feriado e Fds]],TODAY(),Feriados[Data])-1))</f>
        <v>D+1</v>
      </c>
      <c r="K626" s="40" t="str">
        <f ca="1">IF(RES_AB[[#This Row],[Reserva]]="","",CONCATENATE(RES_AB[[#This Row],[Cen.]]," | ",RES_AB[[#This Row],[SLA2]]))</f>
        <v>N190 | D+1</v>
      </c>
      <c r="L626" s="40">
        <f ca="1">IF(RES_AB[[#This Row],[Reserva]]="","",IF(RES_AB[[#This Row],[SLA2]]=RES_AB[[#This Row],[Reserva]]="","",COUNTIF(MB25_VOLUMETRIA[Reserva],RES_AB[[#This Row],[Reserva]])))</f>
        <v>2</v>
      </c>
      <c r="M62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6" s="37" t="str">
        <f>IF(RES_AB[[#This Row],[Cen.]]="","",IFERROR(VLOOKUP(RES_AB[[#This Row],[Cen.]],Dados_Empresas[],2,FALSE),"Verificar empresa"))</f>
        <v>NET MASSIVO</v>
      </c>
      <c r="P626" s="37" t="str">
        <f>IF(RES_AB[[#This Row],[Empresa]]="","",IF(OR(RES_AB[[#This Row],[Empresa]]="NET MASSIVO",RES_AB[[#This Row],[Empresa]]="NET PROJETOS"),"NET","EMPRESARIAL"))</f>
        <v>NET</v>
      </c>
      <c r="Q626" s="37" t="str">
        <f>IF(RES_AB[[#This Row],[Reserva]]="","",IFERROR(VLOOKUP(RES_AB[[#This Row],[Reserva]],Tabela3[[Reserva]:[Descrição do status]],18,FALSE),"CONVENCIONAL"))</f>
        <v>CONVENCIONAL</v>
      </c>
    </row>
    <row r="627" spans="1:17" x14ac:dyDescent="0.25">
      <c r="A627" s="37">
        <v>4383994</v>
      </c>
      <c r="B627" s="37" t="s">
        <v>21</v>
      </c>
      <c r="C627" s="38" t="s">
        <v>19</v>
      </c>
      <c r="D627" s="38">
        <v>45449</v>
      </c>
      <c r="E62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7" s="39">
        <f>IFERROR(VLOOKUP(RES_AB[[#This Row],[Reserva]],Tabela8[[Reserva]:[Usuário]],7,FALSE),Dados!$A$17)</f>
        <v>0.33333333333333331</v>
      </c>
      <c r="G627" s="40">
        <f>IF(RES_AB[[#This Row],[Reserva]]="","",IF(RES_AB[[#This Row],[Hora Int WMS]]&lt;Dados!$A$16,2,2))</f>
        <v>2</v>
      </c>
      <c r="H627" s="40" t="str">
        <f>IF(RES_AB[[#This Row],[Reserva]]="","",IFERROR(VLOOKUP(RES_AB[[#This Row],[Reserva]],Tabela3[[Reserva]:[Condição para Faturamento]],20,FALSE),"IMPORTADO COM SUCESSO"))</f>
        <v>IMPORTADO COM SUCESSO</v>
      </c>
      <c r="I627" s="38">
        <f>IF(RES_AB[[#This Row],[Data base]]="","",WORKDAY(RES_AB[[#This Row],[Data Reserva - Feriado e Fds]],RES_AB[[#This Row],[Dias para atendimento]],Feriados[Data]))</f>
        <v>45453</v>
      </c>
      <c r="J627" s="40" t="str">
        <f ca="1">IF(RES_AB[[#This Row],[Reserva]]="","",CONCATENATE("D+",NETWORKDAYS(RES_AB[[#This Row],[Data Reserva - Feriado e Fds]],TODAY(),Feriados[Data])-1))</f>
        <v>D+1</v>
      </c>
      <c r="K627" s="40" t="str">
        <f ca="1">IF(RES_AB[[#This Row],[Reserva]]="","",CONCATENATE(RES_AB[[#This Row],[Cen.]]," | ",RES_AB[[#This Row],[SLA2]]))</f>
        <v>N190 | D+1</v>
      </c>
      <c r="L627" s="40">
        <f ca="1">IF(RES_AB[[#This Row],[Reserva]]="","",IF(RES_AB[[#This Row],[SLA2]]=RES_AB[[#This Row],[Reserva]]="","",COUNTIF(MB25_VOLUMETRIA[Reserva],RES_AB[[#This Row],[Reserva]])))</f>
        <v>4</v>
      </c>
      <c r="M62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7" s="37" t="str">
        <f>IF(RES_AB[[#This Row],[Cen.]]="","",IFERROR(VLOOKUP(RES_AB[[#This Row],[Cen.]],Dados_Empresas[],2,FALSE),"Verificar empresa"))</f>
        <v>NET MASSIVO</v>
      </c>
      <c r="P627" s="37" t="str">
        <f>IF(RES_AB[[#This Row],[Empresa]]="","",IF(OR(RES_AB[[#This Row],[Empresa]]="NET MASSIVO",RES_AB[[#This Row],[Empresa]]="NET PROJETOS"),"NET","EMPRESARIAL"))</f>
        <v>NET</v>
      </c>
      <c r="Q627" s="37" t="str">
        <f>IF(RES_AB[[#This Row],[Reserva]]="","",IFERROR(VLOOKUP(RES_AB[[#This Row],[Reserva]],Tabela3[[Reserva]:[Descrição do status]],18,FALSE),"CONVENCIONAL"))</f>
        <v>CONVENCIONAL</v>
      </c>
    </row>
    <row r="628" spans="1:17" x14ac:dyDescent="0.25">
      <c r="A628" s="37">
        <v>4383995</v>
      </c>
      <c r="B628" s="37" t="s">
        <v>21</v>
      </c>
      <c r="C628" s="38" t="s">
        <v>21</v>
      </c>
      <c r="D628" s="38">
        <v>45449</v>
      </c>
      <c r="E62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8" s="39">
        <f>IFERROR(VLOOKUP(RES_AB[[#This Row],[Reserva]],Tabela8[[Reserva]:[Usuário]],7,FALSE),Dados!$A$17)</f>
        <v>0.33333333333333331</v>
      </c>
      <c r="G628" s="40">
        <f>IF(RES_AB[[#This Row],[Reserva]]="","",IF(RES_AB[[#This Row],[Hora Int WMS]]&lt;Dados!$A$16,2,2))</f>
        <v>2</v>
      </c>
      <c r="H628" s="40" t="str">
        <f>IF(RES_AB[[#This Row],[Reserva]]="","",IFERROR(VLOOKUP(RES_AB[[#This Row],[Reserva]],Tabela3[[Reserva]:[Condição para Faturamento]],20,FALSE),"IMPORTADO COM SUCESSO"))</f>
        <v>IMPORTADO COM SUCESSO</v>
      </c>
      <c r="I628" s="38">
        <f>IF(RES_AB[[#This Row],[Data base]]="","",WORKDAY(RES_AB[[#This Row],[Data Reserva - Feriado e Fds]],RES_AB[[#This Row],[Dias para atendimento]],Feriados[Data]))</f>
        <v>45453</v>
      </c>
      <c r="J628" s="40" t="str">
        <f ca="1">IF(RES_AB[[#This Row],[Reserva]]="","",CONCATENATE("D+",NETWORKDAYS(RES_AB[[#This Row],[Data Reserva - Feriado e Fds]],TODAY(),Feriados[Data])-1))</f>
        <v>D+1</v>
      </c>
      <c r="K628" s="40" t="str">
        <f ca="1">IF(RES_AB[[#This Row],[Reserva]]="","",CONCATENATE(RES_AB[[#This Row],[Cen.]]," | ",RES_AB[[#This Row],[SLA2]]))</f>
        <v>N190 | D+1</v>
      </c>
      <c r="L628" s="40">
        <f ca="1">IF(RES_AB[[#This Row],[Reserva]]="","",IF(RES_AB[[#This Row],[SLA2]]=RES_AB[[#This Row],[Reserva]]="","",COUNTIF(MB25_VOLUMETRIA[Reserva],RES_AB[[#This Row],[Reserva]])))</f>
        <v>17</v>
      </c>
      <c r="M62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8" s="37" t="str">
        <f>IF(RES_AB[[#This Row],[Cen.]]="","",IFERROR(VLOOKUP(RES_AB[[#This Row],[Cen.]],Dados_Empresas[],2,FALSE),"Verificar empresa"))</f>
        <v>NET MASSIVO</v>
      </c>
      <c r="P628" s="37" t="str">
        <f>IF(RES_AB[[#This Row],[Empresa]]="","",IF(OR(RES_AB[[#This Row],[Empresa]]="NET MASSIVO",RES_AB[[#This Row],[Empresa]]="NET PROJETOS"),"NET","EMPRESARIAL"))</f>
        <v>NET</v>
      </c>
      <c r="Q628" s="37" t="str">
        <f>IF(RES_AB[[#This Row],[Reserva]]="","",IFERROR(VLOOKUP(RES_AB[[#This Row],[Reserva]],Tabela3[[Reserva]:[Descrição do status]],18,FALSE),"CONVENCIONAL"))</f>
        <v>CONVENCIONAL</v>
      </c>
    </row>
    <row r="629" spans="1:17" x14ac:dyDescent="0.25">
      <c r="A629" s="37">
        <v>4383996</v>
      </c>
      <c r="B629" s="37" t="s">
        <v>21</v>
      </c>
      <c r="C629" s="38" t="s">
        <v>19</v>
      </c>
      <c r="D629" s="38">
        <v>45449</v>
      </c>
      <c r="E62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29" s="39">
        <f>IFERROR(VLOOKUP(RES_AB[[#This Row],[Reserva]],Tabela8[[Reserva]:[Usuário]],7,FALSE),Dados!$A$17)</f>
        <v>0.33333333333333331</v>
      </c>
      <c r="G629" s="40">
        <f>IF(RES_AB[[#This Row],[Reserva]]="","",IF(RES_AB[[#This Row],[Hora Int WMS]]&lt;Dados!$A$16,2,2))</f>
        <v>2</v>
      </c>
      <c r="H629" s="40" t="str">
        <f>IF(RES_AB[[#This Row],[Reserva]]="","",IFERROR(VLOOKUP(RES_AB[[#This Row],[Reserva]],Tabela3[[Reserva]:[Condição para Faturamento]],20,FALSE),"IMPORTADO COM SUCESSO"))</f>
        <v>IMPORTADO COM SUCESSO</v>
      </c>
      <c r="I629" s="38">
        <f>IF(RES_AB[[#This Row],[Data base]]="","",WORKDAY(RES_AB[[#This Row],[Data Reserva - Feriado e Fds]],RES_AB[[#This Row],[Dias para atendimento]],Feriados[Data]))</f>
        <v>45453</v>
      </c>
      <c r="J629" s="40" t="str">
        <f ca="1">IF(RES_AB[[#This Row],[Reserva]]="","",CONCATENATE("D+",NETWORKDAYS(RES_AB[[#This Row],[Data Reserva - Feriado e Fds]],TODAY(),Feriados[Data])-1))</f>
        <v>D+1</v>
      </c>
      <c r="K629" s="40" t="str">
        <f ca="1">IF(RES_AB[[#This Row],[Reserva]]="","",CONCATENATE(RES_AB[[#This Row],[Cen.]]," | ",RES_AB[[#This Row],[SLA2]]))</f>
        <v>N190 | D+1</v>
      </c>
      <c r="L629" s="40">
        <f ca="1">IF(RES_AB[[#This Row],[Reserva]]="","",IF(RES_AB[[#This Row],[SLA2]]=RES_AB[[#This Row],[Reserva]]="","",COUNTIF(MB25_VOLUMETRIA[Reserva],RES_AB[[#This Row],[Reserva]])))</f>
        <v>7</v>
      </c>
      <c r="M62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2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29" s="37" t="str">
        <f>IF(RES_AB[[#This Row],[Cen.]]="","",IFERROR(VLOOKUP(RES_AB[[#This Row],[Cen.]],Dados_Empresas[],2,FALSE),"Verificar empresa"))</f>
        <v>NET MASSIVO</v>
      </c>
      <c r="P629" s="37" t="str">
        <f>IF(RES_AB[[#This Row],[Empresa]]="","",IF(OR(RES_AB[[#This Row],[Empresa]]="NET MASSIVO",RES_AB[[#This Row],[Empresa]]="NET PROJETOS"),"NET","EMPRESARIAL"))</f>
        <v>NET</v>
      </c>
      <c r="Q629" s="37" t="str">
        <f>IF(RES_AB[[#This Row],[Reserva]]="","",IFERROR(VLOOKUP(RES_AB[[#This Row],[Reserva]],Tabela3[[Reserva]:[Descrição do status]],18,FALSE),"CONVENCIONAL"))</f>
        <v>CONVENCIONAL</v>
      </c>
    </row>
    <row r="630" spans="1:17" x14ac:dyDescent="0.25">
      <c r="A630" s="37">
        <v>4383997</v>
      </c>
      <c r="B630" s="37" t="s">
        <v>21</v>
      </c>
      <c r="C630" s="38" t="s">
        <v>19</v>
      </c>
      <c r="D630" s="38">
        <v>45449</v>
      </c>
      <c r="E63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0" s="39">
        <f>IFERROR(VLOOKUP(RES_AB[[#This Row],[Reserva]],Tabela8[[Reserva]:[Usuário]],7,FALSE),Dados!$A$17)</f>
        <v>0.33333333333333331</v>
      </c>
      <c r="G630" s="40">
        <f>IF(RES_AB[[#This Row],[Reserva]]="","",IF(RES_AB[[#This Row],[Hora Int WMS]]&lt;Dados!$A$16,2,2))</f>
        <v>2</v>
      </c>
      <c r="H630" s="40" t="str">
        <f>IF(RES_AB[[#This Row],[Reserva]]="","",IFERROR(VLOOKUP(RES_AB[[#This Row],[Reserva]],Tabela3[[Reserva]:[Condição para Faturamento]],20,FALSE),"IMPORTADO COM SUCESSO"))</f>
        <v>IMPORTADO COM SUCESSO</v>
      </c>
      <c r="I630" s="38">
        <f>IF(RES_AB[[#This Row],[Data base]]="","",WORKDAY(RES_AB[[#This Row],[Data Reserva - Feriado e Fds]],RES_AB[[#This Row],[Dias para atendimento]],Feriados[Data]))</f>
        <v>45453</v>
      </c>
      <c r="J630" s="40" t="str">
        <f ca="1">IF(RES_AB[[#This Row],[Reserva]]="","",CONCATENATE("D+",NETWORKDAYS(RES_AB[[#This Row],[Data Reserva - Feriado e Fds]],TODAY(),Feriados[Data])-1))</f>
        <v>D+1</v>
      </c>
      <c r="K630" s="40" t="str">
        <f ca="1">IF(RES_AB[[#This Row],[Reserva]]="","",CONCATENATE(RES_AB[[#This Row],[Cen.]]," | ",RES_AB[[#This Row],[SLA2]]))</f>
        <v>N190 | D+1</v>
      </c>
      <c r="L630" s="40">
        <f ca="1">IF(RES_AB[[#This Row],[Reserva]]="","",IF(RES_AB[[#This Row],[SLA2]]=RES_AB[[#This Row],[Reserva]]="","",COUNTIF(MB25_VOLUMETRIA[Reserva],RES_AB[[#This Row],[Reserva]])))</f>
        <v>2</v>
      </c>
      <c r="M63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0" s="37" t="str">
        <f>IF(RES_AB[[#This Row],[Cen.]]="","",IFERROR(VLOOKUP(RES_AB[[#This Row],[Cen.]],Dados_Empresas[],2,FALSE),"Verificar empresa"))</f>
        <v>NET MASSIVO</v>
      </c>
      <c r="P630" s="37" t="str">
        <f>IF(RES_AB[[#This Row],[Empresa]]="","",IF(OR(RES_AB[[#This Row],[Empresa]]="NET MASSIVO",RES_AB[[#This Row],[Empresa]]="NET PROJETOS"),"NET","EMPRESARIAL"))</f>
        <v>NET</v>
      </c>
      <c r="Q630" s="37" t="str">
        <f>IF(RES_AB[[#This Row],[Reserva]]="","",IFERROR(VLOOKUP(RES_AB[[#This Row],[Reserva]],Tabela3[[Reserva]:[Descrição do status]],18,FALSE),"CONVENCIONAL"))</f>
        <v>CONVENCIONAL</v>
      </c>
    </row>
    <row r="631" spans="1:17" x14ac:dyDescent="0.25">
      <c r="A631" s="37">
        <v>4383998</v>
      </c>
      <c r="B631" s="37" t="s">
        <v>21</v>
      </c>
      <c r="C631" s="38" t="s">
        <v>19</v>
      </c>
      <c r="D631" s="38">
        <v>45449</v>
      </c>
      <c r="E63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1" s="39">
        <f>IFERROR(VLOOKUP(RES_AB[[#This Row],[Reserva]],Tabela8[[Reserva]:[Usuário]],7,FALSE),Dados!$A$17)</f>
        <v>0.94085648148148149</v>
      </c>
      <c r="G631" s="40">
        <f>IF(RES_AB[[#This Row],[Reserva]]="","",IF(RES_AB[[#This Row],[Hora Int WMS]]&lt;Dados!$A$16,2,2))</f>
        <v>2</v>
      </c>
      <c r="H631" s="40" t="str">
        <f>IF(RES_AB[[#This Row],[Reserva]]="","",IFERROR(VLOOKUP(RES_AB[[#This Row],[Reserva]],Tabela3[[Reserva]:[Condição para Faturamento]],20,FALSE),"IMPORTADO COM SUCESSO"))</f>
        <v>IMPORTADO COM SUCESSO</v>
      </c>
      <c r="I631" s="38">
        <f>IF(RES_AB[[#This Row],[Data base]]="","",WORKDAY(RES_AB[[#This Row],[Data Reserva - Feriado e Fds]],RES_AB[[#This Row],[Dias para atendimento]],Feriados[Data]))</f>
        <v>45453</v>
      </c>
      <c r="J631" s="40" t="str">
        <f ca="1">IF(RES_AB[[#This Row],[Reserva]]="","",CONCATENATE("D+",NETWORKDAYS(RES_AB[[#This Row],[Data Reserva - Feriado e Fds]],TODAY(),Feriados[Data])-1))</f>
        <v>D+1</v>
      </c>
      <c r="K631" s="40" t="str">
        <f ca="1">IF(RES_AB[[#This Row],[Reserva]]="","",CONCATENATE(RES_AB[[#This Row],[Cen.]]," | ",RES_AB[[#This Row],[SLA2]]))</f>
        <v>N190 | D+1</v>
      </c>
      <c r="L631" s="40">
        <f ca="1">IF(RES_AB[[#This Row],[Reserva]]="","",IF(RES_AB[[#This Row],[SLA2]]=RES_AB[[#This Row],[Reserva]]="","",COUNTIF(MB25_VOLUMETRIA[Reserva],RES_AB[[#This Row],[Reserva]])))</f>
        <v>2</v>
      </c>
      <c r="M63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1" s="37" t="str">
        <f>IF(RES_AB[[#This Row],[Cen.]]="","",IFERROR(VLOOKUP(RES_AB[[#This Row],[Cen.]],Dados_Empresas[],2,FALSE),"Verificar empresa"))</f>
        <v>NET MASSIVO</v>
      </c>
      <c r="P631" s="37" t="str">
        <f>IF(RES_AB[[#This Row],[Empresa]]="","",IF(OR(RES_AB[[#This Row],[Empresa]]="NET MASSIVO",RES_AB[[#This Row],[Empresa]]="NET PROJETOS"),"NET","EMPRESARIAL"))</f>
        <v>NET</v>
      </c>
      <c r="Q631" s="37" t="str">
        <f>IF(RES_AB[[#This Row],[Reserva]]="","",IFERROR(VLOOKUP(RES_AB[[#This Row],[Reserva]],Tabela3[[Reserva]:[Descrição do status]],18,FALSE),"CONVENCIONAL"))</f>
        <v>CONVENCIONAL</v>
      </c>
    </row>
    <row r="632" spans="1:17" x14ac:dyDescent="0.25">
      <c r="A632" s="37">
        <v>4383999</v>
      </c>
      <c r="B632" s="37" t="s">
        <v>21</v>
      </c>
      <c r="C632" s="38" t="s">
        <v>19</v>
      </c>
      <c r="D632" s="38">
        <v>45449</v>
      </c>
      <c r="E63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2" s="39">
        <f>IFERROR(VLOOKUP(RES_AB[[#This Row],[Reserva]],Tabela8[[Reserva]:[Usuário]],7,FALSE),Dados!$A$17)</f>
        <v>0.94085648148148149</v>
      </c>
      <c r="G632" s="40">
        <f>IF(RES_AB[[#This Row],[Reserva]]="","",IF(RES_AB[[#This Row],[Hora Int WMS]]&lt;Dados!$A$16,2,2))</f>
        <v>2</v>
      </c>
      <c r="H632" s="40" t="str">
        <f>IF(RES_AB[[#This Row],[Reserva]]="","",IFERROR(VLOOKUP(RES_AB[[#This Row],[Reserva]],Tabela3[[Reserva]:[Condição para Faturamento]],20,FALSE),"IMPORTADO COM SUCESSO"))</f>
        <v>IMPORTADO COM SUCESSO</v>
      </c>
      <c r="I632" s="38">
        <f>IF(RES_AB[[#This Row],[Data base]]="","",WORKDAY(RES_AB[[#This Row],[Data Reserva - Feriado e Fds]],RES_AB[[#This Row],[Dias para atendimento]],Feriados[Data]))</f>
        <v>45453</v>
      </c>
      <c r="J632" s="40" t="str">
        <f ca="1">IF(RES_AB[[#This Row],[Reserva]]="","",CONCATENATE("D+",NETWORKDAYS(RES_AB[[#This Row],[Data Reserva - Feriado e Fds]],TODAY(),Feriados[Data])-1))</f>
        <v>D+1</v>
      </c>
      <c r="K632" s="40" t="str">
        <f ca="1">IF(RES_AB[[#This Row],[Reserva]]="","",CONCATENATE(RES_AB[[#This Row],[Cen.]]," | ",RES_AB[[#This Row],[SLA2]]))</f>
        <v>N190 | D+1</v>
      </c>
      <c r="L632" s="40">
        <f ca="1">IF(RES_AB[[#This Row],[Reserva]]="","",IF(RES_AB[[#This Row],[SLA2]]=RES_AB[[#This Row],[Reserva]]="","",COUNTIF(MB25_VOLUMETRIA[Reserva],RES_AB[[#This Row],[Reserva]])))</f>
        <v>2</v>
      </c>
      <c r="M63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2" s="37" t="str">
        <f>IF(RES_AB[[#This Row],[Cen.]]="","",IFERROR(VLOOKUP(RES_AB[[#This Row],[Cen.]],Dados_Empresas[],2,FALSE),"Verificar empresa"))</f>
        <v>NET MASSIVO</v>
      </c>
      <c r="P632" s="37" t="str">
        <f>IF(RES_AB[[#This Row],[Empresa]]="","",IF(OR(RES_AB[[#This Row],[Empresa]]="NET MASSIVO",RES_AB[[#This Row],[Empresa]]="NET PROJETOS"),"NET","EMPRESARIAL"))</f>
        <v>NET</v>
      </c>
      <c r="Q632" s="37" t="str">
        <f>IF(RES_AB[[#This Row],[Reserva]]="","",IFERROR(VLOOKUP(RES_AB[[#This Row],[Reserva]],Tabela3[[Reserva]:[Descrição do status]],18,FALSE),"CONVENCIONAL"))</f>
        <v>CONVENCIONAL</v>
      </c>
    </row>
    <row r="633" spans="1:17" x14ac:dyDescent="0.25">
      <c r="A633" s="37">
        <v>4384000</v>
      </c>
      <c r="B633" s="37" t="s">
        <v>21</v>
      </c>
      <c r="C633" s="38" t="s">
        <v>21</v>
      </c>
      <c r="D633" s="38">
        <v>45449</v>
      </c>
      <c r="E63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3" s="39">
        <f>IFERROR(VLOOKUP(RES_AB[[#This Row],[Reserva]],Tabela8[[Reserva]:[Usuário]],7,FALSE),Dados!$A$17)</f>
        <v>0.33333333333333331</v>
      </c>
      <c r="G633" s="40">
        <f>IF(RES_AB[[#This Row],[Reserva]]="","",IF(RES_AB[[#This Row],[Hora Int WMS]]&lt;Dados!$A$16,2,2))</f>
        <v>2</v>
      </c>
      <c r="H633" s="40" t="str">
        <f>IF(RES_AB[[#This Row],[Reserva]]="","",IFERROR(VLOOKUP(RES_AB[[#This Row],[Reserva]],Tabela3[[Reserva]:[Condição para Faturamento]],20,FALSE),"IMPORTADO COM SUCESSO"))</f>
        <v>IMPORTADO COM SUCESSO</v>
      </c>
      <c r="I633" s="38">
        <f>IF(RES_AB[[#This Row],[Data base]]="","",WORKDAY(RES_AB[[#This Row],[Data Reserva - Feriado e Fds]],RES_AB[[#This Row],[Dias para atendimento]],Feriados[Data]))</f>
        <v>45453</v>
      </c>
      <c r="J633" s="40" t="str">
        <f ca="1">IF(RES_AB[[#This Row],[Reserva]]="","",CONCATENATE("D+",NETWORKDAYS(RES_AB[[#This Row],[Data Reserva - Feriado e Fds]],TODAY(),Feriados[Data])-1))</f>
        <v>D+1</v>
      </c>
      <c r="K633" s="40" t="str">
        <f ca="1">IF(RES_AB[[#This Row],[Reserva]]="","",CONCATENATE(RES_AB[[#This Row],[Cen.]]," | ",RES_AB[[#This Row],[SLA2]]))</f>
        <v>N190 | D+1</v>
      </c>
      <c r="L633" s="40">
        <f ca="1">IF(RES_AB[[#This Row],[Reserva]]="","",IF(RES_AB[[#This Row],[SLA2]]=RES_AB[[#This Row],[Reserva]]="","",COUNTIF(MB25_VOLUMETRIA[Reserva],RES_AB[[#This Row],[Reserva]])))</f>
        <v>1</v>
      </c>
      <c r="M63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3" s="37" t="str">
        <f>IF(RES_AB[[#This Row],[Cen.]]="","",IFERROR(VLOOKUP(RES_AB[[#This Row],[Cen.]],Dados_Empresas[],2,FALSE),"Verificar empresa"))</f>
        <v>NET MASSIVO</v>
      </c>
      <c r="P633" s="37" t="str">
        <f>IF(RES_AB[[#This Row],[Empresa]]="","",IF(OR(RES_AB[[#This Row],[Empresa]]="NET MASSIVO",RES_AB[[#This Row],[Empresa]]="NET PROJETOS"),"NET","EMPRESARIAL"))</f>
        <v>NET</v>
      </c>
      <c r="Q633" s="37" t="str">
        <f>IF(RES_AB[[#This Row],[Reserva]]="","",IFERROR(VLOOKUP(RES_AB[[#This Row],[Reserva]],Tabela3[[Reserva]:[Descrição do status]],18,FALSE),"CONVENCIONAL"))</f>
        <v>CONVENCIONAL</v>
      </c>
    </row>
    <row r="634" spans="1:17" x14ac:dyDescent="0.25">
      <c r="A634" s="37">
        <v>4384001</v>
      </c>
      <c r="B634" s="37" t="s">
        <v>21</v>
      </c>
      <c r="C634" s="38" t="s">
        <v>19</v>
      </c>
      <c r="D634" s="38">
        <v>45449</v>
      </c>
      <c r="E63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4" s="39">
        <f>IFERROR(VLOOKUP(RES_AB[[#This Row],[Reserva]],Tabela8[[Reserva]:[Usuário]],7,FALSE),Dados!$A$17)</f>
        <v>0.33333333333333331</v>
      </c>
      <c r="G634" s="40">
        <f>IF(RES_AB[[#This Row],[Reserva]]="","",IF(RES_AB[[#This Row],[Hora Int WMS]]&lt;Dados!$A$16,2,2))</f>
        <v>2</v>
      </c>
      <c r="H634" s="40" t="str">
        <f>IF(RES_AB[[#This Row],[Reserva]]="","",IFERROR(VLOOKUP(RES_AB[[#This Row],[Reserva]],Tabela3[[Reserva]:[Condição para Faturamento]],20,FALSE),"IMPORTADO COM SUCESSO"))</f>
        <v>IMPORTADO COM SUCESSO</v>
      </c>
      <c r="I634" s="38">
        <f>IF(RES_AB[[#This Row],[Data base]]="","",WORKDAY(RES_AB[[#This Row],[Data Reserva - Feriado e Fds]],RES_AB[[#This Row],[Dias para atendimento]],Feriados[Data]))</f>
        <v>45453</v>
      </c>
      <c r="J634" s="40" t="str">
        <f ca="1">IF(RES_AB[[#This Row],[Reserva]]="","",CONCATENATE("D+",NETWORKDAYS(RES_AB[[#This Row],[Data Reserva - Feriado e Fds]],TODAY(),Feriados[Data])-1))</f>
        <v>D+1</v>
      </c>
      <c r="K634" s="40" t="str">
        <f ca="1">IF(RES_AB[[#This Row],[Reserva]]="","",CONCATENATE(RES_AB[[#This Row],[Cen.]]," | ",RES_AB[[#This Row],[SLA2]]))</f>
        <v>N190 | D+1</v>
      </c>
      <c r="L634" s="40">
        <f ca="1">IF(RES_AB[[#This Row],[Reserva]]="","",IF(RES_AB[[#This Row],[SLA2]]=RES_AB[[#This Row],[Reserva]]="","",COUNTIF(MB25_VOLUMETRIA[Reserva],RES_AB[[#This Row],[Reserva]])))</f>
        <v>2</v>
      </c>
      <c r="M63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4" s="37" t="str">
        <f>IF(RES_AB[[#This Row],[Cen.]]="","",IFERROR(VLOOKUP(RES_AB[[#This Row],[Cen.]],Dados_Empresas[],2,FALSE),"Verificar empresa"))</f>
        <v>NET MASSIVO</v>
      </c>
      <c r="P634" s="37" t="str">
        <f>IF(RES_AB[[#This Row],[Empresa]]="","",IF(OR(RES_AB[[#This Row],[Empresa]]="NET MASSIVO",RES_AB[[#This Row],[Empresa]]="NET PROJETOS"),"NET","EMPRESARIAL"))</f>
        <v>NET</v>
      </c>
      <c r="Q634" s="37" t="str">
        <f>IF(RES_AB[[#This Row],[Reserva]]="","",IFERROR(VLOOKUP(RES_AB[[#This Row],[Reserva]],Tabela3[[Reserva]:[Descrição do status]],18,FALSE),"CONVENCIONAL"))</f>
        <v>CONVENCIONAL</v>
      </c>
    </row>
    <row r="635" spans="1:17" x14ac:dyDescent="0.25">
      <c r="A635" s="37">
        <v>4384002</v>
      </c>
      <c r="B635" s="37" t="s">
        <v>21</v>
      </c>
      <c r="C635" s="38" t="s">
        <v>182</v>
      </c>
      <c r="D635" s="38">
        <v>45449</v>
      </c>
      <c r="E63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5" s="39">
        <f>IFERROR(VLOOKUP(RES_AB[[#This Row],[Reserva]],Tabela8[[Reserva]:[Usuário]],7,FALSE),Dados!$A$17)</f>
        <v>0.94108796296296293</v>
      </c>
      <c r="G635" s="40">
        <f>IF(RES_AB[[#This Row],[Reserva]]="","",IF(RES_AB[[#This Row],[Hora Int WMS]]&lt;Dados!$A$16,2,2))</f>
        <v>2</v>
      </c>
      <c r="H635" s="40" t="str">
        <f>IF(RES_AB[[#This Row],[Reserva]]="","",IFERROR(VLOOKUP(RES_AB[[#This Row],[Reserva]],Tabela3[[Reserva]:[Condição para Faturamento]],20,FALSE),"IMPORTADO COM SUCESSO"))</f>
        <v>IMPORTADO COM SUCESSO</v>
      </c>
      <c r="I635" s="38">
        <f>IF(RES_AB[[#This Row],[Data base]]="","",WORKDAY(RES_AB[[#This Row],[Data Reserva - Feriado e Fds]],RES_AB[[#This Row],[Dias para atendimento]],Feriados[Data]))</f>
        <v>45453</v>
      </c>
      <c r="J635" s="40" t="str">
        <f ca="1">IF(RES_AB[[#This Row],[Reserva]]="","",CONCATENATE("D+",NETWORKDAYS(RES_AB[[#This Row],[Data Reserva - Feriado e Fds]],TODAY(),Feriados[Data])-1))</f>
        <v>D+1</v>
      </c>
      <c r="K635" s="40" t="str">
        <f ca="1">IF(RES_AB[[#This Row],[Reserva]]="","",CONCATENATE(RES_AB[[#This Row],[Cen.]]," | ",RES_AB[[#This Row],[SLA2]]))</f>
        <v>N190 | D+1</v>
      </c>
      <c r="L635" s="40">
        <f ca="1">IF(RES_AB[[#This Row],[Reserva]]="","",IF(RES_AB[[#This Row],[SLA2]]=RES_AB[[#This Row],[Reserva]]="","",COUNTIF(MB25_VOLUMETRIA[Reserva],RES_AB[[#This Row],[Reserva]])))</f>
        <v>1</v>
      </c>
      <c r="M63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5" s="37" t="str">
        <f>IF(RES_AB[[#This Row],[Cen.]]="","",IFERROR(VLOOKUP(RES_AB[[#This Row],[Cen.]],Dados_Empresas[],2,FALSE),"Verificar empresa"))</f>
        <v>NET MASSIVO</v>
      </c>
      <c r="P635" s="37" t="str">
        <f>IF(RES_AB[[#This Row],[Empresa]]="","",IF(OR(RES_AB[[#This Row],[Empresa]]="NET MASSIVO",RES_AB[[#This Row],[Empresa]]="NET PROJETOS"),"NET","EMPRESARIAL"))</f>
        <v>NET</v>
      </c>
      <c r="Q635" s="37" t="str">
        <f>IF(RES_AB[[#This Row],[Reserva]]="","",IFERROR(VLOOKUP(RES_AB[[#This Row],[Reserva]],Tabela3[[Reserva]:[Descrição do status]],18,FALSE),"CONVENCIONAL"))</f>
        <v>CONVENCIONAL</v>
      </c>
    </row>
    <row r="636" spans="1:17" x14ac:dyDescent="0.25">
      <c r="A636" s="37">
        <v>4384003</v>
      </c>
      <c r="B636" s="37" t="s">
        <v>21</v>
      </c>
      <c r="C636" s="38" t="s">
        <v>19</v>
      </c>
      <c r="D636" s="38">
        <v>45449</v>
      </c>
      <c r="E63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6" s="39">
        <f>IFERROR(VLOOKUP(RES_AB[[#This Row],[Reserva]],Tabela8[[Reserva]:[Usuário]],7,FALSE),Dados!$A$17)</f>
        <v>0.33333333333333331</v>
      </c>
      <c r="G636" s="40">
        <f>IF(RES_AB[[#This Row],[Reserva]]="","",IF(RES_AB[[#This Row],[Hora Int WMS]]&lt;Dados!$A$16,2,2))</f>
        <v>2</v>
      </c>
      <c r="H636" s="40" t="str">
        <f>IF(RES_AB[[#This Row],[Reserva]]="","",IFERROR(VLOOKUP(RES_AB[[#This Row],[Reserva]],Tabela3[[Reserva]:[Condição para Faturamento]],20,FALSE),"IMPORTADO COM SUCESSO"))</f>
        <v>IMPORTADO COM SUCESSO</v>
      </c>
      <c r="I636" s="38">
        <f>IF(RES_AB[[#This Row],[Data base]]="","",WORKDAY(RES_AB[[#This Row],[Data Reserva - Feriado e Fds]],RES_AB[[#This Row],[Dias para atendimento]],Feriados[Data]))</f>
        <v>45453</v>
      </c>
      <c r="J636" s="40" t="str">
        <f ca="1">IF(RES_AB[[#This Row],[Reserva]]="","",CONCATENATE("D+",NETWORKDAYS(RES_AB[[#This Row],[Data Reserva - Feriado e Fds]],TODAY(),Feriados[Data])-1))</f>
        <v>D+1</v>
      </c>
      <c r="K636" s="40" t="str">
        <f ca="1">IF(RES_AB[[#This Row],[Reserva]]="","",CONCATENATE(RES_AB[[#This Row],[Cen.]]," | ",RES_AB[[#This Row],[SLA2]]))</f>
        <v>N190 | D+1</v>
      </c>
      <c r="L636" s="40">
        <f ca="1">IF(RES_AB[[#This Row],[Reserva]]="","",IF(RES_AB[[#This Row],[SLA2]]=RES_AB[[#This Row],[Reserva]]="","",COUNTIF(MB25_VOLUMETRIA[Reserva],RES_AB[[#This Row],[Reserva]])))</f>
        <v>2</v>
      </c>
      <c r="M63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6" s="37" t="str">
        <f>IF(RES_AB[[#This Row],[Cen.]]="","",IFERROR(VLOOKUP(RES_AB[[#This Row],[Cen.]],Dados_Empresas[],2,FALSE),"Verificar empresa"))</f>
        <v>NET MASSIVO</v>
      </c>
      <c r="P636" s="37" t="str">
        <f>IF(RES_AB[[#This Row],[Empresa]]="","",IF(OR(RES_AB[[#This Row],[Empresa]]="NET MASSIVO",RES_AB[[#This Row],[Empresa]]="NET PROJETOS"),"NET","EMPRESARIAL"))</f>
        <v>NET</v>
      </c>
      <c r="Q636" s="37" t="str">
        <f>IF(RES_AB[[#This Row],[Reserva]]="","",IFERROR(VLOOKUP(RES_AB[[#This Row],[Reserva]],Tabela3[[Reserva]:[Descrição do status]],18,FALSE),"CONVENCIONAL"))</f>
        <v>CONVENCIONAL</v>
      </c>
    </row>
    <row r="637" spans="1:17" x14ac:dyDescent="0.25">
      <c r="A637" s="37">
        <v>4384004</v>
      </c>
      <c r="B637" s="37" t="s">
        <v>21</v>
      </c>
      <c r="C637" s="38" t="s">
        <v>19</v>
      </c>
      <c r="D637" s="38">
        <v>45449</v>
      </c>
      <c r="E63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7" s="39">
        <f>IFERROR(VLOOKUP(RES_AB[[#This Row],[Reserva]],Tabela8[[Reserva]:[Usuário]],7,FALSE),Dados!$A$17)</f>
        <v>0.33333333333333331</v>
      </c>
      <c r="G637" s="40">
        <f>IF(RES_AB[[#This Row],[Reserva]]="","",IF(RES_AB[[#This Row],[Hora Int WMS]]&lt;Dados!$A$16,2,2))</f>
        <v>2</v>
      </c>
      <c r="H637" s="40" t="str">
        <f>IF(RES_AB[[#This Row],[Reserva]]="","",IFERROR(VLOOKUP(RES_AB[[#This Row],[Reserva]],Tabela3[[Reserva]:[Condição para Faturamento]],20,FALSE),"IMPORTADO COM SUCESSO"))</f>
        <v>IMPORTADO COM SUCESSO</v>
      </c>
      <c r="I637" s="38">
        <f>IF(RES_AB[[#This Row],[Data base]]="","",WORKDAY(RES_AB[[#This Row],[Data Reserva - Feriado e Fds]],RES_AB[[#This Row],[Dias para atendimento]],Feriados[Data]))</f>
        <v>45453</v>
      </c>
      <c r="J637" s="40" t="str">
        <f ca="1">IF(RES_AB[[#This Row],[Reserva]]="","",CONCATENATE("D+",NETWORKDAYS(RES_AB[[#This Row],[Data Reserva - Feriado e Fds]],TODAY(),Feriados[Data])-1))</f>
        <v>D+1</v>
      </c>
      <c r="K637" s="40" t="str">
        <f ca="1">IF(RES_AB[[#This Row],[Reserva]]="","",CONCATENATE(RES_AB[[#This Row],[Cen.]]," | ",RES_AB[[#This Row],[SLA2]]))</f>
        <v>N190 | D+1</v>
      </c>
      <c r="L637" s="40">
        <f ca="1">IF(RES_AB[[#This Row],[Reserva]]="","",IF(RES_AB[[#This Row],[SLA2]]=RES_AB[[#This Row],[Reserva]]="","",COUNTIF(MB25_VOLUMETRIA[Reserva],RES_AB[[#This Row],[Reserva]])))</f>
        <v>2</v>
      </c>
      <c r="M63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7" s="37" t="str">
        <f>IF(RES_AB[[#This Row],[Cen.]]="","",IFERROR(VLOOKUP(RES_AB[[#This Row],[Cen.]],Dados_Empresas[],2,FALSE),"Verificar empresa"))</f>
        <v>NET MASSIVO</v>
      </c>
      <c r="P637" s="37" t="str">
        <f>IF(RES_AB[[#This Row],[Empresa]]="","",IF(OR(RES_AB[[#This Row],[Empresa]]="NET MASSIVO",RES_AB[[#This Row],[Empresa]]="NET PROJETOS"),"NET","EMPRESARIAL"))</f>
        <v>NET</v>
      </c>
      <c r="Q637" s="37" t="str">
        <f>IF(RES_AB[[#This Row],[Reserva]]="","",IFERROR(VLOOKUP(RES_AB[[#This Row],[Reserva]],Tabela3[[Reserva]:[Descrição do status]],18,FALSE),"CONVENCIONAL"))</f>
        <v>CONVENCIONAL</v>
      </c>
    </row>
    <row r="638" spans="1:17" x14ac:dyDescent="0.25">
      <c r="A638" s="37">
        <v>4384005</v>
      </c>
      <c r="B638" s="37" t="s">
        <v>21</v>
      </c>
      <c r="C638" s="38" t="s">
        <v>19</v>
      </c>
      <c r="D638" s="38">
        <v>45449</v>
      </c>
      <c r="E63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8" s="39">
        <f>IFERROR(VLOOKUP(RES_AB[[#This Row],[Reserva]],Tabela8[[Reserva]:[Usuário]],7,FALSE),Dados!$A$17)</f>
        <v>0.94131944444444449</v>
      </c>
      <c r="G638" s="40">
        <f>IF(RES_AB[[#This Row],[Reserva]]="","",IF(RES_AB[[#This Row],[Hora Int WMS]]&lt;Dados!$A$16,2,2))</f>
        <v>2</v>
      </c>
      <c r="H638" s="40" t="str">
        <f>IF(RES_AB[[#This Row],[Reserva]]="","",IFERROR(VLOOKUP(RES_AB[[#This Row],[Reserva]],Tabela3[[Reserva]:[Condição para Faturamento]],20,FALSE),"IMPORTADO COM SUCESSO"))</f>
        <v>IMPORTADO COM SUCESSO</v>
      </c>
      <c r="I638" s="38">
        <f>IF(RES_AB[[#This Row],[Data base]]="","",WORKDAY(RES_AB[[#This Row],[Data Reserva - Feriado e Fds]],RES_AB[[#This Row],[Dias para atendimento]],Feriados[Data]))</f>
        <v>45453</v>
      </c>
      <c r="J638" s="40" t="str">
        <f ca="1">IF(RES_AB[[#This Row],[Reserva]]="","",CONCATENATE("D+",NETWORKDAYS(RES_AB[[#This Row],[Data Reserva - Feriado e Fds]],TODAY(),Feriados[Data])-1))</f>
        <v>D+1</v>
      </c>
      <c r="K638" s="40" t="str">
        <f ca="1">IF(RES_AB[[#This Row],[Reserva]]="","",CONCATENATE(RES_AB[[#This Row],[Cen.]]," | ",RES_AB[[#This Row],[SLA2]]))</f>
        <v>N190 | D+1</v>
      </c>
      <c r="L638" s="40">
        <f ca="1">IF(RES_AB[[#This Row],[Reserva]]="","",IF(RES_AB[[#This Row],[SLA2]]=RES_AB[[#This Row],[Reserva]]="","",COUNTIF(MB25_VOLUMETRIA[Reserva],RES_AB[[#This Row],[Reserva]])))</f>
        <v>2</v>
      </c>
      <c r="M63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8" s="37" t="str">
        <f>IF(RES_AB[[#This Row],[Cen.]]="","",IFERROR(VLOOKUP(RES_AB[[#This Row],[Cen.]],Dados_Empresas[],2,FALSE),"Verificar empresa"))</f>
        <v>NET MASSIVO</v>
      </c>
      <c r="P638" s="37" t="str">
        <f>IF(RES_AB[[#This Row],[Empresa]]="","",IF(OR(RES_AB[[#This Row],[Empresa]]="NET MASSIVO",RES_AB[[#This Row],[Empresa]]="NET PROJETOS"),"NET","EMPRESARIAL"))</f>
        <v>NET</v>
      </c>
      <c r="Q638" s="37" t="str">
        <f>IF(RES_AB[[#This Row],[Reserva]]="","",IFERROR(VLOOKUP(RES_AB[[#This Row],[Reserva]],Tabela3[[Reserva]:[Descrição do status]],18,FALSE),"CONVENCIONAL"))</f>
        <v>CONVENCIONAL</v>
      </c>
    </row>
    <row r="639" spans="1:17" x14ac:dyDescent="0.25">
      <c r="A639" s="37">
        <v>4384006</v>
      </c>
      <c r="B639" s="37" t="s">
        <v>21</v>
      </c>
      <c r="C639" s="38" t="s">
        <v>19</v>
      </c>
      <c r="D639" s="38">
        <v>45449</v>
      </c>
      <c r="E63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39" s="39">
        <f>IFERROR(VLOOKUP(RES_AB[[#This Row],[Reserva]],Tabela8[[Reserva]:[Usuário]],7,FALSE),Dados!$A$17)</f>
        <v>0.94143518518518521</v>
      </c>
      <c r="G639" s="40">
        <f>IF(RES_AB[[#This Row],[Reserva]]="","",IF(RES_AB[[#This Row],[Hora Int WMS]]&lt;Dados!$A$16,2,2))</f>
        <v>2</v>
      </c>
      <c r="H639" s="40" t="str">
        <f>IF(RES_AB[[#This Row],[Reserva]]="","",IFERROR(VLOOKUP(RES_AB[[#This Row],[Reserva]],Tabela3[[Reserva]:[Condição para Faturamento]],20,FALSE),"IMPORTADO COM SUCESSO"))</f>
        <v>IMPORTADO COM SUCESSO</v>
      </c>
      <c r="I639" s="38">
        <f>IF(RES_AB[[#This Row],[Data base]]="","",WORKDAY(RES_AB[[#This Row],[Data Reserva - Feriado e Fds]],RES_AB[[#This Row],[Dias para atendimento]],Feriados[Data]))</f>
        <v>45453</v>
      </c>
      <c r="J639" s="40" t="str">
        <f ca="1">IF(RES_AB[[#This Row],[Reserva]]="","",CONCATENATE("D+",NETWORKDAYS(RES_AB[[#This Row],[Data Reserva - Feriado e Fds]],TODAY(),Feriados[Data])-1))</f>
        <v>D+1</v>
      </c>
      <c r="K639" s="40" t="str">
        <f ca="1">IF(RES_AB[[#This Row],[Reserva]]="","",CONCATENATE(RES_AB[[#This Row],[Cen.]]," | ",RES_AB[[#This Row],[SLA2]]))</f>
        <v>N190 | D+1</v>
      </c>
      <c r="L639" s="40">
        <f ca="1">IF(RES_AB[[#This Row],[Reserva]]="","",IF(RES_AB[[#This Row],[SLA2]]=RES_AB[[#This Row],[Reserva]]="","",COUNTIF(MB25_VOLUMETRIA[Reserva],RES_AB[[#This Row],[Reserva]])))</f>
        <v>2</v>
      </c>
      <c r="M63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3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39" s="37" t="str">
        <f>IF(RES_AB[[#This Row],[Cen.]]="","",IFERROR(VLOOKUP(RES_AB[[#This Row],[Cen.]],Dados_Empresas[],2,FALSE),"Verificar empresa"))</f>
        <v>NET MASSIVO</v>
      </c>
      <c r="P639" s="37" t="str">
        <f>IF(RES_AB[[#This Row],[Empresa]]="","",IF(OR(RES_AB[[#This Row],[Empresa]]="NET MASSIVO",RES_AB[[#This Row],[Empresa]]="NET PROJETOS"),"NET","EMPRESARIAL"))</f>
        <v>NET</v>
      </c>
      <c r="Q639" s="37" t="str">
        <f>IF(RES_AB[[#This Row],[Reserva]]="","",IFERROR(VLOOKUP(RES_AB[[#This Row],[Reserva]],Tabela3[[Reserva]:[Descrição do status]],18,FALSE),"CONVENCIONAL"))</f>
        <v>CONVENCIONAL</v>
      </c>
    </row>
    <row r="640" spans="1:17" x14ac:dyDescent="0.25">
      <c r="A640" s="37">
        <v>4384007</v>
      </c>
      <c r="B640" s="37" t="s">
        <v>21</v>
      </c>
      <c r="C640" s="38" t="s">
        <v>19</v>
      </c>
      <c r="D640" s="38">
        <v>45449</v>
      </c>
      <c r="E64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0" s="39">
        <f>IFERROR(VLOOKUP(RES_AB[[#This Row],[Reserva]],Tabela8[[Reserva]:[Usuário]],7,FALSE),Dados!$A$17)</f>
        <v>0.33333333333333331</v>
      </c>
      <c r="G640" s="40">
        <f>IF(RES_AB[[#This Row],[Reserva]]="","",IF(RES_AB[[#This Row],[Hora Int WMS]]&lt;Dados!$A$16,2,2))</f>
        <v>2</v>
      </c>
      <c r="H640" s="40" t="str">
        <f>IF(RES_AB[[#This Row],[Reserva]]="","",IFERROR(VLOOKUP(RES_AB[[#This Row],[Reserva]],Tabela3[[Reserva]:[Condição para Faturamento]],20,FALSE),"IMPORTADO COM SUCESSO"))</f>
        <v>IMPORTADO COM SUCESSO</v>
      </c>
      <c r="I640" s="38">
        <f>IF(RES_AB[[#This Row],[Data base]]="","",WORKDAY(RES_AB[[#This Row],[Data Reserva - Feriado e Fds]],RES_AB[[#This Row],[Dias para atendimento]],Feriados[Data]))</f>
        <v>45453</v>
      </c>
      <c r="J640" s="40" t="str">
        <f ca="1">IF(RES_AB[[#This Row],[Reserva]]="","",CONCATENATE("D+",NETWORKDAYS(RES_AB[[#This Row],[Data Reserva - Feriado e Fds]],TODAY(),Feriados[Data])-1))</f>
        <v>D+1</v>
      </c>
      <c r="K640" s="40" t="str">
        <f ca="1">IF(RES_AB[[#This Row],[Reserva]]="","",CONCATENATE(RES_AB[[#This Row],[Cen.]]," | ",RES_AB[[#This Row],[SLA2]]))</f>
        <v>N190 | D+1</v>
      </c>
      <c r="L640" s="40">
        <f ca="1">IF(RES_AB[[#This Row],[Reserva]]="","",IF(RES_AB[[#This Row],[SLA2]]=RES_AB[[#This Row],[Reserva]]="","",COUNTIF(MB25_VOLUMETRIA[Reserva],RES_AB[[#This Row],[Reserva]])))</f>
        <v>3</v>
      </c>
      <c r="M64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0" s="37" t="str">
        <f>IF(RES_AB[[#This Row],[Cen.]]="","",IFERROR(VLOOKUP(RES_AB[[#This Row],[Cen.]],Dados_Empresas[],2,FALSE),"Verificar empresa"))</f>
        <v>NET MASSIVO</v>
      </c>
      <c r="P640" s="37" t="str">
        <f>IF(RES_AB[[#This Row],[Empresa]]="","",IF(OR(RES_AB[[#This Row],[Empresa]]="NET MASSIVO",RES_AB[[#This Row],[Empresa]]="NET PROJETOS"),"NET","EMPRESARIAL"))</f>
        <v>NET</v>
      </c>
      <c r="Q640" s="37" t="str">
        <f>IF(RES_AB[[#This Row],[Reserva]]="","",IFERROR(VLOOKUP(RES_AB[[#This Row],[Reserva]],Tabela3[[Reserva]:[Descrição do status]],18,FALSE),"CONVENCIONAL"))</f>
        <v>CONVENCIONAL</v>
      </c>
    </row>
    <row r="641" spans="1:17" x14ac:dyDescent="0.25">
      <c r="A641" s="37">
        <v>4384008</v>
      </c>
      <c r="B641" s="37" t="s">
        <v>21</v>
      </c>
      <c r="C641" s="38" t="s">
        <v>19</v>
      </c>
      <c r="D641" s="38">
        <v>45449</v>
      </c>
      <c r="E64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1" s="39">
        <f>IFERROR(VLOOKUP(RES_AB[[#This Row],[Reserva]],Tabela8[[Reserva]:[Usuário]],7,FALSE),Dados!$A$17)</f>
        <v>0.33333333333333331</v>
      </c>
      <c r="G641" s="40">
        <f>IF(RES_AB[[#This Row],[Reserva]]="","",IF(RES_AB[[#This Row],[Hora Int WMS]]&lt;Dados!$A$16,2,2))</f>
        <v>2</v>
      </c>
      <c r="H641" s="40" t="str">
        <f>IF(RES_AB[[#This Row],[Reserva]]="","",IFERROR(VLOOKUP(RES_AB[[#This Row],[Reserva]],Tabela3[[Reserva]:[Condição para Faturamento]],20,FALSE),"IMPORTADO COM SUCESSO"))</f>
        <v>IMPORTADO COM SUCESSO</v>
      </c>
      <c r="I641" s="38">
        <f>IF(RES_AB[[#This Row],[Data base]]="","",WORKDAY(RES_AB[[#This Row],[Data Reserva - Feriado e Fds]],RES_AB[[#This Row],[Dias para atendimento]],Feriados[Data]))</f>
        <v>45453</v>
      </c>
      <c r="J641" s="40" t="str">
        <f ca="1">IF(RES_AB[[#This Row],[Reserva]]="","",CONCATENATE("D+",NETWORKDAYS(RES_AB[[#This Row],[Data Reserva - Feriado e Fds]],TODAY(),Feriados[Data])-1))</f>
        <v>D+1</v>
      </c>
      <c r="K641" s="40" t="str">
        <f ca="1">IF(RES_AB[[#This Row],[Reserva]]="","",CONCATENATE(RES_AB[[#This Row],[Cen.]]," | ",RES_AB[[#This Row],[SLA2]]))</f>
        <v>N190 | D+1</v>
      </c>
      <c r="L641" s="40">
        <f ca="1">IF(RES_AB[[#This Row],[Reserva]]="","",IF(RES_AB[[#This Row],[SLA2]]=RES_AB[[#This Row],[Reserva]]="","",COUNTIF(MB25_VOLUMETRIA[Reserva],RES_AB[[#This Row],[Reserva]])))</f>
        <v>3</v>
      </c>
      <c r="M64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1" s="37" t="str">
        <f>IF(RES_AB[[#This Row],[Cen.]]="","",IFERROR(VLOOKUP(RES_AB[[#This Row],[Cen.]],Dados_Empresas[],2,FALSE),"Verificar empresa"))</f>
        <v>NET MASSIVO</v>
      </c>
      <c r="P641" s="37" t="str">
        <f>IF(RES_AB[[#This Row],[Empresa]]="","",IF(OR(RES_AB[[#This Row],[Empresa]]="NET MASSIVO",RES_AB[[#This Row],[Empresa]]="NET PROJETOS"),"NET","EMPRESARIAL"))</f>
        <v>NET</v>
      </c>
      <c r="Q641" s="37" t="str">
        <f>IF(RES_AB[[#This Row],[Reserva]]="","",IFERROR(VLOOKUP(RES_AB[[#This Row],[Reserva]],Tabela3[[Reserva]:[Descrição do status]],18,FALSE),"CONVENCIONAL"))</f>
        <v>CONVENCIONAL</v>
      </c>
    </row>
    <row r="642" spans="1:17" x14ac:dyDescent="0.25">
      <c r="A642" s="37">
        <v>4384009</v>
      </c>
      <c r="B642" s="37" t="s">
        <v>21</v>
      </c>
      <c r="C642" s="38" t="s">
        <v>19</v>
      </c>
      <c r="D642" s="38">
        <v>45449</v>
      </c>
      <c r="E64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2" s="39">
        <f>IFERROR(VLOOKUP(RES_AB[[#This Row],[Reserva]],Tabela8[[Reserva]:[Usuário]],7,FALSE),Dados!$A$17)</f>
        <v>0.33333333333333331</v>
      </c>
      <c r="G642" s="40">
        <f>IF(RES_AB[[#This Row],[Reserva]]="","",IF(RES_AB[[#This Row],[Hora Int WMS]]&lt;Dados!$A$16,2,2))</f>
        <v>2</v>
      </c>
      <c r="H642" s="40" t="str">
        <f>IF(RES_AB[[#This Row],[Reserva]]="","",IFERROR(VLOOKUP(RES_AB[[#This Row],[Reserva]],Tabela3[[Reserva]:[Condição para Faturamento]],20,FALSE),"IMPORTADO COM SUCESSO"))</f>
        <v>IMPORTADO COM SUCESSO</v>
      </c>
      <c r="I642" s="38">
        <f>IF(RES_AB[[#This Row],[Data base]]="","",WORKDAY(RES_AB[[#This Row],[Data Reserva - Feriado e Fds]],RES_AB[[#This Row],[Dias para atendimento]],Feriados[Data]))</f>
        <v>45453</v>
      </c>
      <c r="J642" s="40" t="str">
        <f ca="1">IF(RES_AB[[#This Row],[Reserva]]="","",CONCATENATE("D+",NETWORKDAYS(RES_AB[[#This Row],[Data Reserva - Feriado e Fds]],TODAY(),Feriados[Data])-1))</f>
        <v>D+1</v>
      </c>
      <c r="K642" s="40" t="str">
        <f ca="1">IF(RES_AB[[#This Row],[Reserva]]="","",CONCATENATE(RES_AB[[#This Row],[Cen.]]," | ",RES_AB[[#This Row],[SLA2]]))</f>
        <v>N190 | D+1</v>
      </c>
      <c r="L642" s="40">
        <f ca="1">IF(RES_AB[[#This Row],[Reserva]]="","",IF(RES_AB[[#This Row],[SLA2]]=RES_AB[[#This Row],[Reserva]]="","",COUNTIF(MB25_VOLUMETRIA[Reserva],RES_AB[[#This Row],[Reserva]])))</f>
        <v>2</v>
      </c>
      <c r="M64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2" s="37" t="str">
        <f>IF(RES_AB[[#This Row],[Cen.]]="","",IFERROR(VLOOKUP(RES_AB[[#This Row],[Cen.]],Dados_Empresas[],2,FALSE),"Verificar empresa"))</f>
        <v>NET MASSIVO</v>
      </c>
      <c r="P642" s="37" t="str">
        <f>IF(RES_AB[[#This Row],[Empresa]]="","",IF(OR(RES_AB[[#This Row],[Empresa]]="NET MASSIVO",RES_AB[[#This Row],[Empresa]]="NET PROJETOS"),"NET","EMPRESARIAL"))</f>
        <v>NET</v>
      </c>
      <c r="Q642" s="37" t="str">
        <f>IF(RES_AB[[#This Row],[Reserva]]="","",IFERROR(VLOOKUP(RES_AB[[#This Row],[Reserva]],Tabela3[[Reserva]:[Descrição do status]],18,FALSE),"CONVENCIONAL"))</f>
        <v>CONVENCIONAL</v>
      </c>
    </row>
    <row r="643" spans="1:17" x14ac:dyDescent="0.25">
      <c r="A643" s="37">
        <v>4384010</v>
      </c>
      <c r="B643" s="37" t="s">
        <v>21</v>
      </c>
      <c r="C643" s="38" t="s">
        <v>21</v>
      </c>
      <c r="D643" s="38">
        <v>45449</v>
      </c>
      <c r="E64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3" s="39">
        <f>IFERROR(VLOOKUP(RES_AB[[#This Row],[Reserva]],Tabela8[[Reserva]:[Usuário]],7,FALSE),Dados!$A$17)</f>
        <v>0.33333333333333331</v>
      </c>
      <c r="G643" s="40">
        <f>IF(RES_AB[[#This Row],[Reserva]]="","",IF(RES_AB[[#This Row],[Hora Int WMS]]&lt;Dados!$A$16,2,2))</f>
        <v>2</v>
      </c>
      <c r="H643" s="40" t="str">
        <f>IF(RES_AB[[#This Row],[Reserva]]="","",IFERROR(VLOOKUP(RES_AB[[#This Row],[Reserva]],Tabela3[[Reserva]:[Condição para Faturamento]],20,FALSE),"IMPORTADO COM SUCESSO"))</f>
        <v>IMPORTADO COM SUCESSO</v>
      </c>
      <c r="I643" s="38">
        <f>IF(RES_AB[[#This Row],[Data base]]="","",WORKDAY(RES_AB[[#This Row],[Data Reserva - Feriado e Fds]],RES_AB[[#This Row],[Dias para atendimento]],Feriados[Data]))</f>
        <v>45453</v>
      </c>
      <c r="J643" s="40" t="str">
        <f ca="1">IF(RES_AB[[#This Row],[Reserva]]="","",CONCATENATE("D+",NETWORKDAYS(RES_AB[[#This Row],[Data Reserva - Feriado e Fds]],TODAY(),Feriados[Data])-1))</f>
        <v>D+1</v>
      </c>
      <c r="K643" s="40" t="str">
        <f ca="1">IF(RES_AB[[#This Row],[Reserva]]="","",CONCATENATE(RES_AB[[#This Row],[Cen.]]," | ",RES_AB[[#This Row],[SLA2]]))</f>
        <v>N190 | D+1</v>
      </c>
      <c r="L643" s="40">
        <f ca="1">IF(RES_AB[[#This Row],[Reserva]]="","",IF(RES_AB[[#This Row],[SLA2]]=RES_AB[[#This Row],[Reserva]]="","",COUNTIF(MB25_VOLUMETRIA[Reserva],RES_AB[[#This Row],[Reserva]])))</f>
        <v>1</v>
      </c>
      <c r="M64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3" s="37" t="str">
        <f>IF(RES_AB[[#This Row],[Cen.]]="","",IFERROR(VLOOKUP(RES_AB[[#This Row],[Cen.]],Dados_Empresas[],2,FALSE),"Verificar empresa"))</f>
        <v>NET MASSIVO</v>
      </c>
      <c r="P643" s="37" t="str">
        <f>IF(RES_AB[[#This Row],[Empresa]]="","",IF(OR(RES_AB[[#This Row],[Empresa]]="NET MASSIVO",RES_AB[[#This Row],[Empresa]]="NET PROJETOS"),"NET","EMPRESARIAL"))</f>
        <v>NET</v>
      </c>
      <c r="Q643" s="37" t="str">
        <f>IF(RES_AB[[#This Row],[Reserva]]="","",IFERROR(VLOOKUP(RES_AB[[#This Row],[Reserva]],Tabela3[[Reserva]:[Descrição do status]],18,FALSE),"CONVENCIONAL"))</f>
        <v>CONVENCIONAL</v>
      </c>
    </row>
    <row r="644" spans="1:17" x14ac:dyDescent="0.25">
      <c r="A644" s="37">
        <v>4384011</v>
      </c>
      <c r="B644" s="37" t="s">
        <v>21</v>
      </c>
      <c r="C644" s="38" t="s">
        <v>19</v>
      </c>
      <c r="D644" s="38">
        <v>45449</v>
      </c>
      <c r="E64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4" s="39">
        <f>IFERROR(VLOOKUP(RES_AB[[#This Row],[Reserva]],Tabela8[[Reserva]:[Usuário]],7,FALSE),Dados!$A$17)</f>
        <v>0.94178240740740737</v>
      </c>
      <c r="G644" s="40">
        <f>IF(RES_AB[[#This Row],[Reserva]]="","",IF(RES_AB[[#This Row],[Hora Int WMS]]&lt;Dados!$A$16,2,2))</f>
        <v>2</v>
      </c>
      <c r="H644" s="40" t="str">
        <f>IF(RES_AB[[#This Row],[Reserva]]="","",IFERROR(VLOOKUP(RES_AB[[#This Row],[Reserva]],Tabela3[[Reserva]:[Condição para Faturamento]],20,FALSE),"IMPORTADO COM SUCESSO"))</f>
        <v>IMPORTADO COM SUCESSO</v>
      </c>
      <c r="I644" s="38">
        <f>IF(RES_AB[[#This Row],[Data base]]="","",WORKDAY(RES_AB[[#This Row],[Data Reserva - Feriado e Fds]],RES_AB[[#This Row],[Dias para atendimento]],Feriados[Data]))</f>
        <v>45453</v>
      </c>
      <c r="J644" s="40" t="str">
        <f ca="1">IF(RES_AB[[#This Row],[Reserva]]="","",CONCATENATE("D+",NETWORKDAYS(RES_AB[[#This Row],[Data Reserva - Feriado e Fds]],TODAY(),Feriados[Data])-1))</f>
        <v>D+1</v>
      </c>
      <c r="K644" s="40" t="str">
        <f ca="1">IF(RES_AB[[#This Row],[Reserva]]="","",CONCATENATE(RES_AB[[#This Row],[Cen.]]," | ",RES_AB[[#This Row],[SLA2]]))</f>
        <v>N190 | D+1</v>
      </c>
      <c r="L644" s="40">
        <f ca="1">IF(RES_AB[[#This Row],[Reserva]]="","",IF(RES_AB[[#This Row],[SLA2]]=RES_AB[[#This Row],[Reserva]]="","",COUNTIF(MB25_VOLUMETRIA[Reserva],RES_AB[[#This Row],[Reserva]])))</f>
        <v>3</v>
      </c>
      <c r="M64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4" s="37" t="str">
        <f>IF(RES_AB[[#This Row],[Cen.]]="","",IFERROR(VLOOKUP(RES_AB[[#This Row],[Cen.]],Dados_Empresas[],2,FALSE),"Verificar empresa"))</f>
        <v>NET MASSIVO</v>
      </c>
      <c r="P644" s="37" t="str">
        <f>IF(RES_AB[[#This Row],[Empresa]]="","",IF(OR(RES_AB[[#This Row],[Empresa]]="NET MASSIVO",RES_AB[[#This Row],[Empresa]]="NET PROJETOS"),"NET","EMPRESARIAL"))</f>
        <v>NET</v>
      </c>
      <c r="Q644" s="37" t="str">
        <f>IF(RES_AB[[#This Row],[Reserva]]="","",IFERROR(VLOOKUP(RES_AB[[#This Row],[Reserva]],Tabela3[[Reserva]:[Descrição do status]],18,FALSE),"CONVENCIONAL"))</f>
        <v>CONVENCIONAL</v>
      </c>
    </row>
    <row r="645" spans="1:17" x14ac:dyDescent="0.25">
      <c r="A645" s="37">
        <v>4384012</v>
      </c>
      <c r="B645" s="37" t="s">
        <v>21</v>
      </c>
      <c r="C645" s="38" t="s">
        <v>19</v>
      </c>
      <c r="D645" s="38">
        <v>45449</v>
      </c>
      <c r="E64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5" s="39">
        <f>IFERROR(VLOOKUP(RES_AB[[#This Row],[Reserva]],Tabela8[[Reserva]:[Usuário]],7,FALSE),Dados!$A$17)</f>
        <v>0.33333333333333331</v>
      </c>
      <c r="G645" s="40">
        <f>IF(RES_AB[[#This Row],[Reserva]]="","",IF(RES_AB[[#This Row],[Hora Int WMS]]&lt;Dados!$A$16,2,2))</f>
        <v>2</v>
      </c>
      <c r="H645" s="40" t="str">
        <f>IF(RES_AB[[#This Row],[Reserva]]="","",IFERROR(VLOOKUP(RES_AB[[#This Row],[Reserva]],Tabela3[[Reserva]:[Condição para Faturamento]],20,FALSE),"IMPORTADO COM SUCESSO"))</f>
        <v>IMPORTADO COM SUCESSO</v>
      </c>
      <c r="I645" s="38">
        <f>IF(RES_AB[[#This Row],[Data base]]="","",WORKDAY(RES_AB[[#This Row],[Data Reserva - Feriado e Fds]],RES_AB[[#This Row],[Dias para atendimento]],Feriados[Data]))</f>
        <v>45453</v>
      </c>
      <c r="J645" s="40" t="str">
        <f ca="1">IF(RES_AB[[#This Row],[Reserva]]="","",CONCATENATE("D+",NETWORKDAYS(RES_AB[[#This Row],[Data Reserva - Feriado e Fds]],TODAY(),Feriados[Data])-1))</f>
        <v>D+1</v>
      </c>
      <c r="K645" s="40" t="str">
        <f ca="1">IF(RES_AB[[#This Row],[Reserva]]="","",CONCATENATE(RES_AB[[#This Row],[Cen.]]," | ",RES_AB[[#This Row],[SLA2]]))</f>
        <v>N190 | D+1</v>
      </c>
      <c r="L645" s="40">
        <f ca="1">IF(RES_AB[[#This Row],[Reserva]]="","",IF(RES_AB[[#This Row],[SLA2]]=RES_AB[[#This Row],[Reserva]]="","",COUNTIF(MB25_VOLUMETRIA[Reserva],RES_AB[[#This Row],[Reserva]])))</f>
        <v>3</v>
      </c>
      <c r="M64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5" s="37" t="str">
        <f>IF(RES_AB[[#This Row],[Cen.]]="","",IFERROR(VLOOKUP(RES_AB[[#This Row],[Cen.]],Dados_Empresas[],2,FALSE),"Verificar empresa"))</f>
        <v>NET MASSIVO</v>
      </c>
      <c r="P645" s="37" t="str">
        <f>IF(RES_AB[[#This Row],[Empresa]]="","",IF(OR(RES_AB[[#This Row],[Empresa]]="NET MASSIVO",RES_AB[[#This Row],[Empresa]]="NET PROJETOS"),"NET","EMPRESARIAL"))</f>
        <v>NET</v>
      </c>
      <c r="Q645" s="37" t="str">
        <f>IF(RES_AB[[#This Row],[Reserva]]="","",IFERROR(VLOOKUP(RES_AB[[#This Row],[Reserva]],Tabela3[[Reserva]:[Descrição do status]],18,FALSE),"CONVENCIONAL"))</f>
        <v>CONVENCIONAL</v>
      </c>
    </row>
    <row r="646" spans="1:17" x14ac:dyDescent="0.25">
      <c r="A646" s="37">
        <v>4384013</v>
      </c>
      <c r="B646" s="37" t="s">
        <v>21</v>
      </c>
      <c r="C646" s="38" t="s">
        <v>19</v>
      </c>
      <c r="D646" s="38">
        <v>45449</v>
      </c>
      <c r="E64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6" s="39">
        <f>IFERROR(VLOOKUP(RES_AB[[#This Row],[Reserva]],Tabela8[[Reserva]:[Usuário]],7,FALSE),Dados!$A$17)</f>
        <v>0.33333333333333331</v>
      </c>
      <c r="G646" s="40">
        <f>IF(RES_AB[[#This Row],[Reserva]]="","",IF(RES_AB[[#This Row],[Hora Int WMS]]&lt;Dados!$A$16,2,2))</f>
        <v>2</v>
      </c>
      <c r="H646" s="40" t="str">
        <f>IF(RES_AB[[#This Row],[Reserva]]="","",IFERROR(VLOOKUP(RES_AB[[#This Row],[Reserva]],Tabela3[[Reserva]:[Condição para Faturamento]],20,FALSE),"IMPORTADO COM SUCESSO"))</f>
        <v>IMPORTADO COM SUCESSO</v>
      </c>
      <c r="I646" s="38">
        <f>IF(RES_AB[[#This Row],[Data base]]="","",WORKDAY(RES_AB[[#This Row],[Data Reserva - Feriado e Fds]],RES_AB[[#This Row],[Dias para atendimento]],Feriados[Data]))</f>
        <v>45453</v>
      </c>
      <c r="J646" s="40" t="str">
        <f ca="1">IF(RES_AB[[#This Row],[Reserva]]="","",CONCATENATE("D+",NETWORKDAYS(RES_AB[[#This Row],[Data Reserva - Feriado e Fds]],TODAY(),Feriados[Data])-1))</f>
        <v>D+1</v>
      </c>
      <c r="K646" s="40" t="str">
        <f ca="1">IF(RES_AB[[#This Row],[Reserva]]="","",CONCATENATE(RES_AB[[#This Row],[Cen.]]," | ",RES_AB[[#This Row],[SLA2]]))</f>
        <v>N190 | D+1</v>
      </c>
      <c r="L646" s="40">
        <f ca="1">IF(RES_AB[[#This Row],[Reserva]]="","",IF(RES_AB[[#This Row],[SLA2]]=RES_AB[[#This Row],[Reserva]]="","",COUNTIF(MB25_VOLUMETRIA[Reserva],RES_AB[[#This Row],[Reserva]])))</f>
        <v>2</v>
      </c>
      <c r="M64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6" s="37" t="str">
        <f>IF(RES_AB[[#This Row],[Cen.]]="","",IFERROR(VLOOKUP(RES_AB[[#This Row],[Cen.]],Dados_Empresas[],2,FALSE),"Verificar empresa"))</f>
        <v>NET MASSIVO</v>
      </c>
      <c r="P646" s="37" t="str">
        <f>IF(RES_AB[[#This Row],[Empresa]]="","",IF(OR(RES_AB[[#This Row],[Empresa]]="NET MASSIVO",RES_AB[[#This Row],[Empresa]]="NET PROJETOS"),"NET","EMPRESARIAL"))</f>
        <v>NET</v>
      </c>
      <c r="Q646" s="37" t="str">
        <f>IF(RES_AB[[#This Row],[Reserva]]="","",IFERROR(VLOOKUP(RES_AB[[#This Row],[Reserva]],Tabela3[[Reserva]:[Descrição do status]],18,FALSE),"CONVENCIONAL"))</f>
        <v>CONVENCIONAL</v>
      </c>
    </row>
    <row r="647" spans="1:17" x14ac:dyDescent="0.25">
      <c r="A647" s="37">
        <v>4384014</v>
      </c>
      <c r="B647" s="37" t="s">
        <v>21</v>
      </c>
      <c r="C647" s="38" t="s">
        <v>19</v>
      </c>
      <c r="D647" s="38">
        <v>45449</v>
      </c>
      <c r="E64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7" s="39">
        <f>IFERROR(VLOOKUP(RES_AB[[#This Row],[Reserva]],Tabela8[[Reserva]:[Usuário]],7,FALSE),Dados!$A$17)</f>
        <v>0.94201388888888893</v>
      </c>
      <c r="G647" s="40">
        <f>IF(RES_AB[[#This Row],[Reserva]]="","",IF(RES_AB[[#This Row],[Hora Int WMS]]&lt;Dados!$A$16,2,2))</f>
        <v>2</v>
      </c>
      <c r="H647" s="40" t="str">
        <f>IF(RES_AB[[#This Row],[Reserva]]="","",IFERROR(VLOOKUP(RES_AB[[#This Row],[Reserva]],Tabela3[[Reserva]:[Condição para Faturamento]],20,FALSE),"IMPORTADO COM SUCESSO"))</f>
        <v>IMPORTADO COM SUCESSO</v>
      </c>
      <c r="I647" s="38">
        <f>IF(RES_AB[[#This Row],[Data base]]="","",WORKDAY(RES_AB[[#This Row],[Data Reserva - Feriado e Fds]],RES_AB[[#This Row],[Dias para atendimento]],Feriados[Data]))</f>
        <v>45453</v>
      </c>
      <c r="J647" s="40" t="str">
        <f ca="1">IF(RES_AB[[#This Row],[Reserva]]="","",CONCATENATE("D+",NETWORKDAYS(RES_AB[[#This Row],[Data Reserva - Feriado e Fds]],TODAY(),Feriados[Data])-1))</f>
        <v>D+1</v>
      </c>
      <c r="K647" s="40" t="str">
        <f ca="1">IF(RES_AB[[#This Row],[Reserva]]="","",CONCATENATE(RES_AB[[#This Row],[Cen.]]," | ",RES_AB[[#This Row],[SLA2]]))</f>
        <v>N190 | D+1</v>
      </c>
      <c r="L647" s="40">
        <f ca="1">IF(RES_AB[[#This Row],[Reserva]]="","",IF(RES_AB[[#This Row],[SLA2]]=RES_AB[[#This Row],[Reserva]]="","",COUNTIF(MB25_VOLUMETRIA[Reserva],RES_AB[[#This Row],[Reserva]])))</f>
        <v>2</v>
      </c>
      <c r="M64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7" s="37" t="str">
        <f>IF(RES_AB[[#This Row],[Cen.]]="","",IFERROR(VLOOKUP(RES_AB[[#This Row],[Cen.]],Dados_Empresas[],2,FALSE),"Verificar empresa"))</f>
        <v>NET MASSIVO</v>
      </c>
      <c r="P647" s="37" t="str">
        <f>IF(RES_AB[[#This Row],[Empresa]]="","",IF(OR(RES_AB[[#This Row],[Empresa]]="NET MASSIVO",RES_AB[[#This Row],[Empresa]]="NET PROJETOS"),"NET","EMPRESARIAL"))</f>
        <v>NET</v>
      </c>
      <c r="Q647" s="37" t="str">
        <f>IF(RES_AB[[#This Row],[Reserva]]="","",IFERROR(VLOOKUP(RES_AB[[#This Row],[Reserva]],Tabela3[[Reserva]:[Descrição do status]],18,FALSE),"CONVENCIONAL"))</f>
        <v>CONVENCIONAL</v>
      </c>
    </row>
    <row r="648" spans="1:17" x14ac:dyDescent="0.25">
      <c r="A648" s="37">
        <v>4384015</v>
      </c>
      <c r="B648" s="37" t="s">
        <v>21</v>
      </c>
      <c r="C648" s="38" t="s">
        <v>19</v>
      </c>
      <c r="D648" s="38">
        <v>45449</v>
      </c>
      <c r="E64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8" s="39">
        <f>IFERROR(VLOOKUP(RES_AB[[#This Row],[Reserva]],Tabela8[[Reserva]:[Usuário]],7,FALSE),Dados!$A$17)</f>
        <v>0.33333333333333331</v>
      </c>
      <c r="G648" s="40">
        <f>IF(RES_AB[[#This Row],[Reserva]]="","",IF(RES_AB[[#This Row],[Hora Int WMS]]&lt;Dados!$A$16,2,2))</f>
        <v>2</v>
      </c>
      <c r="H648" s="40" t="str">
        <f>IF(RES_AB[[#This Row],[Reserva]]="","",IFERROR(VLOOKUP(RES_AB[[#This Row],[Reserva]],Tabela3[[Reserva]:[Condição para Faturamento]],20,FALSE),"IMPORTADO COM SUCESSO"))</f>
        <v>IMPORTADO COM SUCESSO</v>
      </c>
      <c r="I648" s="38">
        <f>IF(RES_AB[[#This Row],[Data base]]="","",WORKDAY(RES_AB[[#This Row],[Data Reserva - Feriado e Fds]],RES_AB[[#This Row],[Dias para atendimento]],Feriados[Data]))</f>
        <v>45453</v>
      </c>
      <c r="J648" s="40" t="str">
        <f ca="1">IF(RES_AB[[#This Row],[Reserva]]="","",CONCATENATE("D+",NETWORKDAYS(RES_AB[[#This Row],[Data Reserva - Feriado e Fds]],TODAY(),Feriados[Data])-1))</f>
        <v>D+1</v>
      </c>
      <c r="K648" s="40" t="str">
        <f ca="1">IF(RES_AB[[#This Row],[Reserva]]="","",CONCATENATE(RES_AB[[#This Row],[Cen.]]," | ",RES_AB[[#This Row],[SLA2]]))</f>
        <v>N190 | D+1</v>
      </c>
      <c r="L648" s="40">
        <f ca="1">IF(RES_AB[[#This Row],[Reserva]]="","",IF(RES_AB[[#This Row],[SLA2]]=RES_AB[[#This Row],[Reserva]]="","",COUNTIF(MB25_VOLUMETRIA[Reserva],RES_AB[[#This Row],[Reserva]])))</f>
        <v>2</v>
      </c>
      <c r="M64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8" s="37" t="str">
        <f>IF(RES_AB[[#This Row],[Cen.]]="","",IFERROR(VLOOKUP(RES_AB[[#This Row],[Cen.]],Dados_Empresas[],2,FALSE),"Verificar empresa"))</f>
        <v>NET MASSIVO</v>
      </c>
      <c r="P648" s="37" t="str">
        <f>IF(RES_AB[[#This Row],[Empresa]]="","",IF(OR(RES_AB[[#This Row],[Empresa]]="NET MASSIVO",RES_AB[[#This Row],[Empresa]]="NET PROJETOS"),"NET","EMPRESARIAL"))</f>
        <v>NET</v>
      </c>
      <c r="Q648" s="37" t="str">
        <f>IF(RES_AB[[#This Row],[Reserva]]="","",IFERROR(VLOOKUP(RES_AB[[#This Row],[Reserva]],Tabela3[[Reserva]:[Descrição do status]],18,FALSE),"CONVENCIONAL"))</f>
        <v>CONVENCIONAL</v>
      </c>
    </row>
    <row r="649" spans="1:17" x14ac:dyDescent="0.25">
      <c r="A649" s="37">
        <v>4384016</v>
      </c>
      <c r="B649" s="37" t="s">
        <v>21</v>
      </c>
      <c r="C649" s="38" t="s">
        <v>19</v>
      </c>
      <c r="D649" s="38">
        <v>45449</v>
      </c>
      <c r="E64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49" s="39">
        <f>IFERROR(VLOOKUP(RES_AB[[#This Row],[Reserva]],Tabela8[[Reserva]:[Usuário]],7,FALSE),Dados!$A$17)</f>
        <v>0.33333333333333331</v>
      </c>
      <c r="G649" s="40">
        <f>IF(RES_AB[[#This Row],[Reserva]]="","",IF(RES_AB[[#This Row],[Hora Int WMS]]&lt;Dados!$A$16,2,2))</f>
        <v>2</v>
      </c>
      <c r="H649" s="40" t="str">
        <f>IF(RES_AB[[#This Row],[Reserva]]="","",IFERROR(VLOOKUP(RES_AB[[#This Row],[Reserva]],Tabela3[[Reserva]:[Condição para Faturamento]],20,FALSE),"IMPORTADO COM SUCESSO"))</f>
        <v>IMPORTADO COM SUCESSO</v>
      </c>
      <c r="I649" s="38">
        <f>IF(RES_AB[[#This Row],[Data base]]="","",WORKDAY(RES_AB[[#This Row],[Data Reserva - Feriado e Fds]],RES_AB[[#This Row],[Dias para atendimento]],Feriados[Data]))</f>
        <v>45453</v>
      </c>
      <c r="J649" s="40" t="str">
        <f ca="1">IF(RES_AB[[#This Row],[Reserva]]="","",CONCATENATE("D+",NETWORKDAYS(RES_AB[[#This Row],[Data Reserva - Feriado e Fds]],TODAY(),Feriados[Data])-1))</f>
        <v>D+1</v>
      </c>
      <c r="K649" s="40" t="str">
        <f ca="1">IF(RES_AB[[#This Row],[Reserva]]="","",CONCATENATE(RES_AB[[#This Row],[Cen.]]," | ",RES_AB[[#This Row],[SLA2]]))</f>
        <v>N190 | D+1</v>
      </c>
      <c r="L649" s="40">
        <f ca="1">IF(RES_AB[[#This Row],[Reserva]]="","",IF(RES_AB[[#This Row],[SLA2]]=RES_AB[[#This Row],[Reserva]]="","",COUNTIF(MB25_VOLUMETRIA[Reserva],RES_AB[[#This Row],[Reserva]])))</f>
        <v>3</v>
      </c>
      <c r="M64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4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49" s="37" t="str">
        <f>IF(RES_AB[[#This Row],[Cen.]]="","",IFERROR(VLOOKUP(RES_AB[[#This Row],[Cen.]],Dados_Empresas[],2,FALSE),"Verificar empresa"))</f>
        <v>NET MASSIVO</v>
      </c>
      <c r="P649" s="37" t="str">
        <f>IF(RES_AB[[#This Row],[Empresa]]="","",IF(OR(RES_AB[[#This Row],[Empresa]]="NET MASSIVO",RES_AB[[#This Row],[Empresa]]="NET PROJETOS"),"NET","EMPRESARIAL"))</f>
        <v>NET</v>
      </c>
      <c r="Q649" s="37" t="str">
        <f>IF(RES_AB[[#This Row],[Reserva]]="","",IFERROR(VLOOKUP(RES_AB[[#This Row],[Reserva]],Tabela3[[Reserva]:[Descrição do status]],18,FALSE),"CONVENCIONAL"))</f>
        <v>CONVENCIONAL</v>
      </c>
    </row>
    <row r="650" spans="1:17" x14ac:dyDescent="0.25">
      <c r="A650" s="37">
        <v>4384017</v>
      </c>
      <c r="B650" s="37" t="s">
        <v>21</v>
      </c>
      <c r="C650" s="38" t="s">
        <v>19</v>
      </c>
      <c r="D650" s="38">
        <v>45449</v>
      </c>
      <c r="E65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0" s="39">
        <f>IFERROR(VLOOKUP(RES_AB[[#This Row],[Reserva]],Tabela8[[Reserva]:[Usuário]],7,FALSE),Dados!$A$17)</f>
        <v>0.33333333333333331</v>
      </c>
      <c r="G650" s="40">
        <f>IF(RES_AB[[#This Row],[Reserva]]="","",IF(RES_AB[[#This Row],[Hora Int WMS]]&lt;Dados!$A$16,2,2))</f>
        <v>2</v>
      </c>
      <c r="H650" s="40" t="str">
        <f>IF(RES_AB[[#This Row],[Reserva]]="","",IFERROR(VLOOKUP(RES_AB[[#This Row],[Reserva]],Tabela3[[Reserva]:[Condição para Faturamento]],20,FALSE),"IMPORTADO COM SUCESSO"))</f>
        <v>IMPORTADO COM SUCESSO</v>
      </c>
      <c r="I650" s="38">
        <f>IF(RES_AB[[#This Row],[Data base]]="","",WORKDAY(RES_AB[[#This Row],[Data Reserva - Feriado e Fds]],RES_AB[[#This Row],[Dias para atendimento]],Feriados[Data]))</f>
        <v>45453</v>
      </c>
      <c r="J650" s="40" t="str">
        <f ca="1">IF(RES_AB[[#This Row],[Reserva]]="","",CONCATENATE("D+",NETWORKDAYS(RES_AB[[#This Row],[Data Reserva - Feriado e Fds]],TODAY(),Feriados[Data])-1))</f>
        <v>D+1</v>
      </c>
      <c r="K650" s="40" t="str">
        <f ca="1">IF(RES_AB[[#This Row],[Reserva]]="","",CONCATENATE(RES_AB[[#This Row],[Cen.]]," | ",RES_AB[[#This Row],[SLA2]]))</f>
        <v>N190 | D+1</v>
      </c>
      <c r="L650" s="40">
        <f ca="1">IF(RES_AB[[#This Row],[Reserva]]="","",IF(RES_AB[[#This Row],[SLA2]]=RES_AB[[#This Row],[Reserva]]="","",COUNTIF(MB25_VOLUMETRIA[Reserva],RES_AB[[#This Row],[Reserva]])))</f>
        <v>3</v>
      </c>
      <c r="M65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0" s="37" t="str">
        <f>IF(RES_AB[[#This Row],[Cen.]]="","",IFERROR(VLOOKUP(RES_AB[[#This Row],[Cen.]],Dados_Empresas[],2,FALSE),"Verificar empresa"))</f>
        <v>NET MASSIVO</v>
      </c>
      <c r="P650" s="37" t="str">
        <f>IF(RES_AB[[#This Row],[Empresa]]="","",IF(OR(RES_AB[[#This Row],[Empresa]]="NET MASSIVO",RES_AB[[#This Row],[Empresa]]="NET PROJETOS"),"NET","EMPRESARIAL"))</f>
        <v>NET</v>
      </c>
      <c r="Q650" s="37" t="str">
        <f>IF(RES_AB[[#This Row],[Reserva]]="","",IFERROR(VLOOKUP(RES_AB[[#This Row],[Reserva]],Tabela3[[Reserva]:[Descrição do status]],18,FALSE),"CONVENCIONAL"))</f>
        <v>CONVENCIONAL</v>
      </c>
    </row>
    <row r="651" spans="1:17" x14ac:dyDescent="0.25">
      <c r="A651" s="37">
        <v>4384018</v>
      </c>
      <c r="B651" s="37" t="s">
        <v>21</v>
      </c>
      <c r="C651" s="38" t="s">
        <v>21</v>
      </c>
      <c r="D651" s="38">
        <v>45449</v>
      </c>
      <c r="E65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1" s="39">
        <f>IFERROR(VLOOKUP(RES_AB[[#This Row],[Reserva]],Tabela8[[Reserva]:[Usuário]],7,FALSE),Dados!$A$17)</f>
        <v>0.33333333333333331</v>
      </c>
      <c r="G651" s="40">
        <f>IF(RES_AB[[#This Row],[Reserva]]="","",IF(RES_AB[[#This Row],[Hora Int WMS]]&lt;Dados!$A$16,2,2))</f>
        <v>2</v>
      </c>
      <c r="H651" s="40" t="str">
        <f>IF(RES_AB[[#This Row],[Reserva]]="","",IFERROR(VLOOKUP(RES_AB[[#This Row],[Reserva]],Tabela3[[Reserva]:[Condição para Faturamento]],20,FALSE),"IMPORTADO COM SUCESSO"))</f>
        <v>IMPORTADO COM SUCESSO</v>
      </c>
      <c r="I651" s="38">
        <f>IF(RES_AB[[#This Row],[Data base]]="","",WORKDAY(RES_AB[[#This Row],[Data Reserva - Feriado e Fds]],RES_AB[[#This Row],[Dias para atendimento]],Feriados[Data]))</f>
        <v>45453</v>
      </c>
      <c r="J651" s="40" t="str">
        <f ca="1">IF(RES_AB[[#This Row],[Reserva]]="","",CONCATENATE("D+",NETWORKDAYS(RES_AB[[#This Row],[Data Reserva - Feriado e Fds]],TODAY(),Feriados[Data])-1))</f>
        <v>D+1</v>
      </c>
      <c r="K651" s="40" t="str">
        <f ca="1">IF(RES_AB[[#This Row],[Reserva]]="","",CONCATENATE(RES_AB[[#This Row],[Cen.]]," | ",RES_AB[[#This Row],[SLA2]]))</f>
        <v>N190 | D+1</v>
      </c>
      <c r="L651" s="40">
        <f ca="1">IF(RES_AB[[#This Row],[Reserva]]="","",IF(RES_AB[[#This Row],[SLA2]]=RES_AB[[#This Row],[Reserva]]="","",COUNTIF(MB25_VOLUMETRIA[Reserva],RES_AB[[#This Row],[Reserva]])))</f>
        <v>3</v>
      </c>
      <c r="M65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1" s="37" t="str">
        <f>IF(RES_AB[[#This Row],[Cen.]]="","",IFERROR(VLOOKUP(RES_AB[[#This Row],[Cen.]],Dados_Empresas[],2,FALSE),"Verificar empresa"))</f>
        <v>NET MASSIVO</v>
      </c>
      <c r="P651" s="37" t="str">
        <f>IF(RES_AB[[#This Row],[Empresa]]="","",IF(OR(RES_AB[[#This Row],[Empresa]]="NET MASSIVO",RES_AB[[#This Row],[Empresa]]="NET PROJETOS"),"NET","EMPRESARIAL"))</f>
        <v>NET</v>
      </c>
      <c r="Q651" s="37" t="str">
        <f>IF(RES_AB[[#This Row],[Reserva]]="","",IFERROR(VLOOKUP(RES_AB[[#This Row],[Reserva]],Tabela3[[Reserva]:[Descrição do status]],18,FALSE),"CONVENCIONAL"))</f>
        <v>CONVENCIONAL</v>
      </c>
    </row>
    <row r="652" spans="1:17" x14ac:dyDescent="0.25">
      <c r="A652" s="37">
        <v>4384019</v>
      </c>
      <c r="B652" s="37" t="s">
        <v>21</v>
      </c>
      <c r="C652" s="38" t="s">
        <v>19</v>
      </c>
      <c r="D652" s="38">
        <v>45449</v>
      </c>
      <c r="E65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2" s="39">
        <f>IFERROR(VLOOKUP(RES_AB[[#This Row],[Reserva]],Tabela8[[Reserva]:[Usuário]],7,FALSE),Dados!$A$17)</f>
        <v>0.33333333333333331</v>
      </c>
      <c r="G652" s="40">
        <f>IF(RES_AB[[#This Row],[Reserva]]="","",IF(RES_AB[[#This Row],[Hora Int WMS]]&lt;Dados!$A$16,2,2))</f>
        <v>2</v>
      </c>
      <c r="H652" s="40" t="str">
        <f>IF(RES_AB[[#This Row],[Reserva]]="","",IFERROR(VLOOKUP(RES_AB[[#This Row],[Reserva]],Tabela3[[Reserva]:[Condição para Faturamento]],20,FALSE),"IMPORTADO COM SUCESSO"))</f>
        <v>IMPORTADO COM SUCESSO</v>
      </c>
      <c r="I652" s="38">
        <f>IF(RES_AB[[#This Row],[Data base]]="","",WORKDAY(RES_AB[[#This Row],[Data Reserva - Feriado e Fds]],RES_AB[[#This Row],[Dias para atendimento]],Feriados[Data]))</f>
        <v>45453</v>
      </c>
      <c r="J652" s="40" t="str">
        <f ca="1">IF(RES_AB[[#This Row],[Reserva]]="","",CONCATENATE("D+",NETWORKDAYS(RES_AB[[#This Row],[Data Reserva - Feriado e Fds]],TODAY(),Feriados[Data])-1))</f>
        <v>D+1</v>
      </c>
      <c r="K652" s="40" t="str">
        <f ca="1">IF(RES_AB[[#This Row],[Reserva]]="","",CONCATENATE(RES_AB[[#This Row],[Cen.]]," | ",RES_AB[[#This Row],[SLA2]]))</f>
        <v>N190 | D+1</v>
      </c>
      <c r="L652" s="40">
        <f ca="1">IF(RES_AB[[#This Row],[Reserva]]="","",IF(RES_AB[[#This Row],[SLA2]]=RES_AB[[#This Row],[Reserva]]="","",COUNTIF(MB25_VOLUMETRIA[Reserva],RES_AB[[#This Row],[Reserva]])))</f>
        <v>2</v>
      </c>
      <c r="M65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2" s="37" t="str">
        <f>IF(RES_AB[[#This Row],[Cen.]]="","",IFERROR(VLOOKUP(RES_AB[[#This Row],[Cen.]],Dados_Empresas[],2,FALSE),"Verificar empresa"))</f>
        <v>NET MASSIVO</v>
      </c>
      <c r="P652" s="37" t="str">
        <f>IF(RES_AB[[#This Row],[Empresa]]="","",IF(OR(RES_AB[[#This Row],[Empresa]]="NET MASSIVO",RES_AB[[#This Row],[Empresa]]="NET PROJETOS"),"NET","EMPRESARIAL"))</f>
        <v>NET</v>
      </c>
      <c r="Q652" s="37" t="str">
        <f>IF(RES_AB[[#This Row],[Reserva]]="","",IFERROR(VLOOKUP(RES_AB[[#This Row],[Reserva]],Tabela3[[Reserva]:[Descrição do status]],18,FALSE),"CONVENCIONAL"))</f>
        <v>CONVENCIONAL</v>
      </c>
    </row>
    <row r="653" spans="1:17" x14ac:dyDescent="0.25">
      <c r="A653" s="37">
        <v>4384020</v>
      </c>
      <c r="B653" s="37" t="s">
        <v>21</v>
      </c>
      <c r="C653" s="38" t="s">
        <v>19</v>
      </c>
      <c r="D653" s="38">
        <v>45449</v>
      </c>
      <c r="E65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3" s="39">
        <f>IFERROR(VLOOKUP(RES_AB[[#This Row],[Reserva]],Tabela8[[Reserva]:[Usuário]],7,FALSE),Dados!$A$17)</f>
        <v>0.33333333333333331</v>
      </c>
      <c r="G653" s="40">
        <f>IF(RES_AB[[#This Row],[Reserva]]="","",IF(RES_AB[[#This Row],[Hora Int WMS]]&lt;Dados!$A$16,2,2))</f>
        <v>2</v>
      </c>
      <c r="H653" s="40" t="str">
        <f>IF(RES_AB[[#This Row],[Reserva]]="","",IFERROR(VLOOKUP(RES_AB[[#This Row],[Reserva]],Tabela3[[Reserva]:[Condição para Faturamento]],20,FALSE),"IMPORTADO COM SUCESSO"))</f>
        <v>IMPORTADO COM SUCESSO</v>
      </c>
      <c r="I653" s="38">
        <f>IF(RES_AB[[#This Row],[Data base]]="","",WORKDAY(RES_AB[[#This Row],[Data Reserva - Feriado e Fds]],RES_AB[[#This Row],[Dias para atendimento]],Feriados[Data]))</f>
        <v>45453</v>
      </c>
      <c r="J653" s="40" t="str">
        <f ca="1">IF(RES_AB[[#This Row],[Reserva]]="","",CONCATENATE("D+",NETWORKDAYS(RES_AB[[#This Row],[Data Reserva - Feriado e Fds]],TODAY(),Feriados[Data])-1))</f>
        <v>D+1</v>
      </c>
      <c r="K653" s="40" t="str">
        <f ca="1">IF(RES_AB[[#This Row],[Reserva]]="","",CONCATENATE(RES_AB[[#This Row],[Cen.]]," | ",RES_AB[[#This Row],[SLA2]]))</f>
        <v>N190 | D+1</v>
      </c>
      <c r="L653" s="40">
        <f ca="1">IF(RES_AB[[#This Row],[Reserva]]="","",IF(RES_AB[[#This Row],[SLA2]]=RES_AB[[#This Row],[Reserva]]="","",COUNTIF(MB25_VOLUMETRIA[Reserva],RES_AB[[#This Row],[Reserva]])))</f>
        <v>2</v>
      </c>
      <c r="M65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3" s="37" t="str">
        <f>IF(RES_AB[[#This Row],[Cen.]]="","",IFERROR(VLOOKUP(RES_AB[[#This Row],[Cen.]],Dados_Empresas[],2,FALSE),"Verificar empresa"))</f>
        <v>NET MASSIVO</v>
      </c>
      <c r="P653" s="37" t="str">
        <f>IF(RES_AB[[#This Row],[Empresa]]="","",IF(OR(RES_AB[[#This Row],[Empresa]]="NET MASSIVO",RES_AB[[#This Row],[Empresa]]="NET PROJETOS"),"NET","EMPRESARIAL"))</f>
        <v>NET</v>
      </c>
      <c r="Q653" s="37" t="str">
        <f>IF(RES_AB[[#This Row],[Reserva]]="","",IFERROR(VLOOKUP(RES_AB[[#This Row],[Reserva]],Tabela3[[Reserva]:[Descrição do status]],18,FALSE),"CONVENCIONAL"))</f>
        <v>CONVENCIONAL</v>
      </c>
    </row>
    <row r="654" spans="1:17" x14ac:dyDescent="0.25">
      <c r="A654" s="37">
        <v>4384021</v>
      </c>
      <c r="B654" s="37" t="s">
        <v>21</v>
      </c>
      <c r="C654" s="38" t="s">
        <v>19</v>
      </c>
      <c r="D654" s="38">
        <v>45449</v>
      </c>
      <c r="E65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4" s="39">
        <f>IFERROR(VLOOKUP(RES_AB[[#This Row],[Reserva]],Tabela8[[Reserva]:[Usuário]],7,FALSE),Dados!$A$17)</f>
        <v>0.33333333333333331</v>
      </c>
      <c r="G654" s="40">
        <f>IF(RES_AB[[#This Row],[Reserva]]="","",IF(RES_AB[[#This Row],[Hora Int WMS]]&lt;Dados!$A$16,2,2))</f>
        <v>2</v>
      </c>
      <c r="H654" s="40" t="str">
        <f>IF(RES_AB[[#This Row],[Reserva]]="","",IFERROR(VLOOKUP(RES_AB[[#This Row],[Reserva]],Tabela3[[Reserva]:[Condição para Faturamento]],20,FALSE),"IMPORTADO COM SUCESSO"))</f>
        <v>IMPORTADO COM SUCESSO</v>
      </c>
      <c r="I654" s="38">
        <f>IF(RES_AB[[#This Row],[Data base]]="","",WORKDAY(RES_AB[[#This Row],[Data Reserva - Feriado e Fds]],RES_AB[[#This Row],[Dias para atendimento]],Feriados[Data]))</f>
        <v>45453</v>
      </c>
      <c r="J654" s="40" t="str">
        <f ca="1">IF(RES_AB[[#This Row],[Reserva]]="","",CONCATENATE("D+",NETWORKDAYS(RES_AB[[#This Row],[Data Reserva - Feriado e Fds]],TODAY(),Feriados[Data])-1))</f>
        <v>D+1</v>
      </c>
      <c r="K654" s="40" t="str">
        <f ca="1">IF(RES_AB[[#This Row],[Reserva]]="","",CONCATENATE(RES_AB[[#This Row],[Cen.]]," | ",RES_AB[[#This Row],[SLA2]]))</f>
        <v>N190 | D+1</v>
      </c>
      <c r="L654" s="40">
        <f ca="1">IF(RES_AB[[#This Row],[Reserva]]="","",IF(RES_AB[[#This Row],[SLA2]]=RES_AB[[#This Row],[Reserva]]="","",COUNTIF(MB25_VOLUMETRIA[Reserva],RES_AB[[#This Row],[Reserva]])))</f>
        <v>2</v>
      </c>
      <c r="M65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4" s="37" t="str">
        <f>IF(RES_AB[[#This Row],[Cen.]]="","",IFERROR(VLOOKUP(RES_AB[[#This Row],[Cen.]],Dados_Empresas[],2,FALSE),"Verificar empresa"))</f>
        <v>NET MASSIVO</v>
      </c>
      <c r="P654" s="37" t="str">
        <f>IF(RES_AB[[#This Row],[Empresa]]="","",IF(OR(RES_AB[[#This Row],[Empresa]]="NET MASSIVO",RES_AB[[#This Row],[Empresa]]="NET PROJETOS"),"NET","EMPRESARIAL"))</f>
        <v>NET</v>
      </c>
      <c r="Q654" s="37" t="str">
        <f>IF(RES_AB[[#This Row],[Reserva]]="","",IFERROR(VLOOKUP(RES_AB[[#This Row],[Reserva]],Tabela3[[Reserva]:[Descrição do status]],18,FALSE),"CONVENCIONAL"))</f>
        <v>CONVENCIONAL</v>
      </c>
    </row>
    <row r="655" spans="1:17" x14ac:dyDescent="0.25">
      <c r="A655" s="37">
        <v>4384022</v>
      </c>
      <c r="B655" s="37" t="s">
        <v>21</v>
      </c>
      <c r="C655" s="38" t="s">
        <v>19</v>
      </c>
      <c r="D655" s="38">
        <v>45449</v>
      </c>
      <c r="E65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5" s="39">
        <f>IFERROR(VLOOKUP(RES_AB[[#This Row],[Reserva]],Tabela8[[Reserva]:[Usuário]],7,FALSE),Dados!$A$17)</f>
        <v>0.33333333333333331</v>
      </c>
      <c r="G655" s="40">
        <f>IF(RES_AB[[#This Row],[Reserva]]="","",IF(RES_AB[[#This Row],[Hora Int WMS]]&lt;Dados!$A$16,2,2))</f>
        <v>2</v>
      </c>
      <c r="H655" s="40" t="str">
        <f>IF(RES_AB[[#This Row],[Reserva]]="","",IFERROR(VLOOKUP(RES_AB[[#This Row],[Reserva]],Tabela3[[Reserva]:[Condição para Faturamento]],20,FALSE),"IMPORTADO COM SUCESSO"))</f>
        <v>IMPORTADO COM SUCESSO</v>
      </c>
      <c r="I655" s="38">
        <f>IF(RES_AB[[#This Row],[Data base]]="","",WORKDAY(RES_AB[[#This Row],[Data Reserva - Feriado e Fds]],RES_AB[[#This Row],[Dias para atendimento]],Feriados[Data]))</f>
        <v>45453</v>
      </c>
      <c r="J655" s="40" t="str">
        <f ca="1">IF(RES_AB[[#This Row],[Reserva]]="","",CONCATENATE("D+",NETWORKDAYS(RES_AB[[#This Row],[Data Reserva - Feriado e Fds]],TODAY(),Feriados[Data])-1))</f>
        <v>D+1</v>
      </c>
      <c r="K655" s="40" t="str">
        <f ca="1">IF(RES_AB[[#This Row],[Reserva]]="","",CONCATENATE(RES_AB[[#This Row],[Cen.]]," | ",RES_AB[[#This Row],[SLA2]]))</f>
        <v>N190 | D+1</v>
      </c>
      <c r="L655" s="40">
        <f ca="1">IF(RES_AB[[#This Row],[Reserva]]="","",IF(RES_AB[[#This Row],[SLA2]]=RES_AB[[#This Row],[Reserva]]="","",COUNTIF(MB25_VOLUMETRIA[Reserva],RES_AB[[#This Row],[Reserva]])))</f>
        <v>3</v>
      </c>
      <c r="M65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5" s="37" t="str">
        <f>IF(RES_AB[[#This Row],[Cen.]]="","",IFERROR(VLOOKUP(RES_AB[[#This Row],[Cen.]],Dados_Empresas[],2,FALSE),"Verificar empresa"))</f>
        <v>NET MASSIVO</v>
      </c>
      <c r="P655" s="37" t="str">
        <f>IF(RES_AB[[#This Row],[Empresa]]="","",IF(OR(RES_AB[[#This Row],[Empresa]]="NET MASSIVO",RES_AB[[#This Row],[Empresa]]="NET PROJETOS"),"NET","EMPRESARIAL"))</f>
        <v>NET</v>
      </c>
      <c r="Q655" s="37" t="str">
        <f>IF(RES_AB[[#This Row],[Reserva]]="","",IFERROR(VLOOKUP(RES_AB[[#This Row],[Reserva]],Tabela3[[Reserva]:[Descrição do status]],18,FALSE),"CONVENCIONAL"))</f>
        <v>CONVENCIONAL</v>
      </c>
    </row>
    <row r="656" spans="1:17" x14ac:dyDescent="0.25">
      <c r="A656" s="37">
        <v>4384023</v>
      </c>
      <c r="B656" s="37" t="s">
        <v>21</v>
      </c>
      <c r="C656" s="38" t="s">
        <v>19</v>
      </c>
      <c r="D656" s="38">
        <v>45449</v>
      </c>
      <c r="E65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6" s="39">
        <f>IFERROR(VLOOKUP(RES_AB[[#This Row],[Reserva]],Tabela8[[Reserva]:[Usuário]],7,FALSE),Dados!$A$17)</f>
        <v>0.33333333333333331</v>
      </c>
      <c r="G656" s="40">
        <f>IF(RES_AB[[#This Row],[Reserva]]="","",IF(RES_AB[[#This Row],[Hora Int WMS]]&lt;Dados!$A$16,2,2))</f>
        <v>2</v>
      </c>
      <c r="H656" s="40" t="str">
        <f>IF(RES_AB[[#This Row],[Reserva]]="","",IFERROR(VLOOKUP(RES_AB[[#This Row],[Reserva]],Tabela3[[Reserva]:[Condição para Faturamento]],20,FALSE),"IMPORTADO COM SUCESSO"))</f>
        <v>IMPORTADO COM SUCESSO</v>
      </c>
      <c r="I656" s="38">
        <f>IF(RES_AB[[#This Row],[Data base]]="","",WORKDAY(RES_AB[[#This Row],[Data Reserva - Feriado e Fds]],RES_AB[[#This Row],[Dias para atendimento]],Feriados[Data]))</f>
        <v>45453</v>
      </c>
      <c r="J656" s="40" t="str">
        <f ca="1">IF(RES_AB[[#This Row],[Reserva]]="","",CONCATENATE("D+",NETWORKDAYS(RES_AB[[#This Row],[Data Reserva - Feriado e Fds]],TODAY(),Feriados[Data])-1))</f>
        <v>D+1</v>
      </c>
      <c r="K656" s="40" t="str">
        <f ca="1">IF(RES_AB[[#This Row],[Reserva]]="","",CONCATENATE(RES_AB[[#This Row],[Cen.]]," | ",RES_AB[[#This Row],[SLA2]]))</f>
        <v>N190 | D+1</v>
      </c>
      <c r="L656" s="40">
        <f ca="1">IF(RES_AB[[#This Row],[Reserva]]="","",IF(RES_AB[[#This Row],[SLA2]]=RES_AB[[#This Row],[Reserva]]="","",COUNTIF(MB25_VOLUMETRIA[Reserva],RES_AB[[#This Row],[Reserva]])))</f>
        <v>2</v>
      </c>
      <c r="M65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6" s="37" t="str">
        <f>IF(RES_AB[[#This Row],[Cen.]]="","",IFERROR(VLOOKUP(RES_AB[[#This Row],[Cen.]],Dados_Empresas[],2,FALSE),"Verificar empresa"))</f>
        <v>NET MASSIVO</v>
      </c>
      <c r="P656" s="37" t="str">
        <f>IF(RES_AB[[#This Row],[Empresa]]="","",IF(OR(RES_AB[[#This Row],[Empresa]]="NET MASSIVO",RES_AB[[#This Row],[Empresa]]="NET PROJETOS"),"NET","EMPRESARIAL"))</f>
        <v>NET</v>
      </c>
      <c r="Q656" s="37" t="str">
        <f>IF(RES_AB[[#This Row],[Reserva]]="","",IFERROR(VLOOKUP(RES_AB[[#This Row],[Reserva]],Tabela3[[Reserva]:[Descrição do status]],18,FALSE),"CONVENCIONAL"))</f>
        <v>CONVENCIONAL</v>
      </c>
    </row>
    <row r="657" spans="1:17" x14ac:dyDescent="0.25">
      <c r="A657" s="37">
        <v>4384024</v>
      </c>
      <c r="B657" s="37" t="s">
        <v>21</v>
      </c>
      <c r="C657" s="38" t="s">
        <v>19</v>
      </c>
      <c r="D657" s="38">
        <v>45449</v>
      </c>
      <c r="E657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7" s="39">
        <f>IFERROR(VLOOKUP(RES_AB[[#This Row],[Reserva]],Tabela8[[Reserva]:[Usuário]],7,FALSE),Dados!$A$17)</f>
        <v>0.33333333333333331</v>
      </c>
      <c r="G657" s="40">
        <f>IF(RES_AB[[#This Row],[Reserva]]="","",IF(RES_AB[[#This Row],[Hora Int WMS]]&lt;Dados!$A$16,2,2))</f>
        <v>2</v>
      </c>
      <c r="H657" s="40" t="str">
        <f>IF(RES_AB[[#This Row],[Reserva]]="","",IFERROR(VLOOKUP(RES_AB[[#This Row],[Reserva]],Tabela3[[Reserva]:[Condição para Faturamento]],20,FALSE),"IMPORTADO COM SUCESSO"))</f>
        <v>IMPORTADO COM SUCESSO</v>
      </c>
      <c r="I657" s="38">
        <f>IF(RES_AB[[#This Row],[Data base]]="","",WORKDAY(RES_AB[[#This Row],[Data Reserva - Feriado e Fds]],RES_AB[[#This Row],[Dias para atendimento]],Feriados[Data]))</f>
        <v>45453</v>
      </c>
      <c r="J657" s="40" t="str">
        <f ca="1">IF(RES_AB[[#This Row],[Reserva]]="","",CONCATENATE("D+",NETWORKDAYS(RES_AB[[#This Row],[Data Reserva - Feriado e Fds]],TODAY(),Feriados[Data])-1))</f>
        <v>D+1</v>
      </c>
      <c r="K657" s="40" t="str">
        <f ca="1">IF(RES_AB[[#This Row],[Reserva]]="","",CONCATENATE(RES_AB[[#This Row],[Cen.]]," | ",RES_AB[[#This Row],[SLA2]]))</f>
        <v>N190 | D+1</v>
      </c>
      <c r="L657" s="40">
        <f ca="1">IF(RES_AB[[#This Row],[Reserva]]="","",IF(RES_AB[[#This Row],[SLA2]]=RES_AB[[#This Row],[Reserva]]="","",COUNTIF(MB25_VOLUMETRIA[Reserva],RES_AB[[#This Row],[Reserva]])))</f>
        <v>2</v>
      </c>
      <c r="M657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7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7" s="37" t="str">
        <f>IF(RES_AB[[#This Row],[Cen.]]="","",IFERROR(VLOOKUP(RES_AB[[#This Row],[Cen.]],Dados_Empresas[],2,FALSE),"Verificar empresa"))</f>
        <v>NET MASSIVO</v>
      </c>
      <c r="P657" s="37" t="str">
        <f>IF(RES_AB[[#This Row],[Empresa]]="","",IF(OR(RES_AB[[#This Row],[Empresa]]="NET MASSIVO",RES_AB[[#This Row],[Empresa]]="NET PROJETOS"),"NET","EMPRESARIAL"))</f>
        <v>NET</v>
      </c>
      <c r="Q657" s="37" t="str">
        <f>IF(RES_AB[[#This Row],[Reserva]]="","",IFERROR(VLOOKUP(RES_AB[[#This Row],[Reserva]],Tabela3[[Reserva]:[Descrição do status]],18,FALSE),"CONVENCIONAL"))</f>
        <v>CONVENCIONAL</v>
      </c>
    </row>
    <row r="658" spans="1:17" x14ac:dyDescent="0.25">
      <c r="A658" s="37">
        <v>4384025</v>
      </c>
      <c r="B658" s="37" t="s">
        <v>21</v>
      </c>
      <c r="C658" s="38" t="s">
        <v>19</v>
      </c>
      <c r="D658" s="38">
        <v>45449</v>
      </c>
      <c r="E658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8" s="39">
        <f>IFERROR(VLOOKUP(RES_AB[[#This Row],[Reserva]],Tabela8[[Reserva]:[Usuário]],7,FALSE),Dados!$A$17)</f>
        <v>0.33333333333333331</v>
      </c>
      <c r="G658" s="40">
        <f>IF(RES_AB[[#This Row],[Reserva]]="","",IF(RES_AB[[#This Row],[Hora Int WMS]]&lt;Dados!$A$16,2,2))</f>
        <v>2</v>
      </c>
      <c r="H658" s="40" t="str">
        <f>IF(RES_AB[[#This Row],[Reserva]]="","",IFERROR(VLOOKUP(RES_AB[[#This Row],[Reserva]],Tabela3[[Reserva]:[Condição para Faturamento]],20,FALSE),"IMPORTADO COM SUCESSO"))</f>
        <v>IMPORTADO COM SUCESSO</v>
      </c>
      <c r="I658" s="38">
        <f>IF(RES_AB[[#This Row],[Data base]]="","",WORKDAY(RES_AB[[#This Row],[Data Reserva - Feriado e Fds]],RES_AB[[#This Row],[Dias para atendimento]],Feriados[Data]))</f>
        <v>45453</v>
      </c>
      <c r="J658" s="40" t="str">
        <f ca="1">IF(RES_AB[[#This Row],[Reserva]]="","",CONCATENATE("D+",NETWORKDAYS(RES_AB[[#This Row],[Data Reserva - Feriado e Fds]],TODAY(),Feriados[Data])-1))</f>
        <v>D+1</v>
      </c>
      <c r="K658" s="40" t="str">
        <f ca="1">IF(RES_AB[[#This Row],[Reserva]]="","",CONCATENATE(RES_AB[[#This Row],[Cen.]]," | ",RES_AB[[#This Row],[SLA2]]))</f>
        <v>N190 | D+1</v>
      </c>
      <c r="L658" s="40">
        <f ca="1">IF(RES_AB[[#This Row],[Reserva]]="","",IF(RES_AB[[#This Row],[SLA2]]=RES_AB[[#This Row],[Reserva]]="","",COUNTIF(MB25_VOLUMETRIA[Reserva],RES_AB[[#This Row],[Reserva]])))</f>
        <v>2</v>
      </c>
      <c r="M658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8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8" s="37" t="str">
        <f>IF(RES_AB[[#This Row],[Cen.]]="","",IFERROR(VLOOKUP(RES_AB[[#This Row],[Cen.]],Dados_Empresas[],2,FALSE),"Verificar empresa"))</f>
        <v>NET MASSIVO</v>
      </c>
      <c r="P658" s="37" t="str">
        <f>IF(RES_AB[[#This Row],[Empresa]]="","",IF(OR(RES_AB[[#This Row],[Empresa]]="NET MASSIVO",RES_AB[[#This Row],[Empresa]]="NET PROJETOS"),"NET","EMPRESARIAL"))</f>
        <v>NET</v>
      </c>
      <c r="Q658" s="37" t="str">
        <f>IF(RES_AB[[#This Row],[Reserva]]="","",IFERROR(VLOOKUP(RES_AB[[#This Row],[Reserva]],Tabela3[[Reserva]:[Descrição do status]],18,FALSE),"CONVENCIONAL"))</f>
        <v>CONVENCIONAL</v>
      </c>
    </row>
    <row r="659" spans="1:17" x14ac:dyDescent="0.25">
      <c r="A659" s="37">
        <v>4384026</v>
      </c>
      <c r="B659" s="37" t="s">
        <v>21</v>
      </c>
      <c r="C659" s="38" t="s">
        <v>21</v>
      </c>
      <c r="D659" s="38">
        <v>45449</v>
      </c>
      <c r="E659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59" s="39">
        <f>IFERROR(VLOOKUP(RES_AB[[#This Row],[Reserva]],Tabela8[[Reserva]:[Usuário]],7,FALSE),Dados!$A$17)</f>
        <v>0.33333333333333331</v>
      </c>
      <c r="G659" s="40">
        <f>IF(RES_AB[[#This Row],[Reserva]]="","",IF(RES_AB[[#This Row],[Hora Int WMS]]&lt;Dados!$A$16,2,2))</f>
        <v>2</v>
      </c>
      <c r="H659" s="40" t="str">
        <f>IF(RES_AB[[#This Row],[Reserva]]="","",IFERROR(VLOOKUP(RES_AB[[#This Row],[Reserva]],Tabela3[[Reserva]:[Condição para Faturamento]],20,FALSE),"IMPORTADO COM SUCESSO"))</f>
        <v>IMPORTADO COM SUCESSO</v>
      </c>
      <c r="I659" s="38">
        <f>IF(RES_AB[[#This Row],[Data base]]="","",WORKDAY(RES_AB[[#This Row],[Data Reserva - Feriado e Fds]],RES_AB[[#This Row],[Dias para atendimento]],Feriados[Data]))</f>
        <v>45453</v>
      </c>
      <c r="J659" s="40" t="str">
        <f ca="1">IF(RES_AB[[#This Row],[Reserva]]="","",CONCATENATE("D+",NETWORKDAYS(RES_AB[[#This Row],[Data Reserva - Feriado e Fds]],TODAY(),Feriados[Data])-1))</f>
        <v>D+1</v>
      </c>
      <c r="K659" s="40" t="str">
        <f ca="1">IF(RES_AB[[#This Row],[Reserva]]="","",CONCATENATE(RES_AB[[#This Row],[Cen.]]," | ",RES_AB[[#This Row],[SLA2]]))</f>
        <v>N190 | D+1</v>
      </c>
      <c r="L659" s="40">
        <f ca="1">IF(RES_AB[[#This Row],[Reserva]]="","",IF(RES_AB[[#This Row],[SLA2]]=RES_AB[[#This Row],[Reserva]]="","",COUNTIF(MB25_VOLUMETRIA[Reserva],RES_AB[[#This Row],[Reserva]])))</f>
        <v>1</v>
      </c>
      <c r="M659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59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59" s="37" t="str">
        <f>IF(RES_AB[[#This Row],[Cen.]]="","",IFERROR(VLOOKUP(RES_AB[[#This Row],[Cen.]],Dados_Empresas[],2,FALSE),"Verificar empresa"))</f>
        <v>NET MASSIVO</v>
      </c>
      <c r="P659" s="37" t="str">
        <f>IF(RES_AB[[#This Row],[Empresa]]="","",IF(OR(RES_AB[[#This Row],[Empresa]]="NET MASSIVO",RES_AB[[#This Row],[Empresa]]="NET PROJETOS"),"NET","EMPRESARIAL"))</f>
        <v>NET</v>
      </c>
      <c r="Q659" s="37" t="str">
        <f>IF(RES_AB[[#This Row],[Reserva]]="","",IFERROR(VLOOKUP(RES_AB[[#This Row],[Reserva]],Tabela3[[Reserva]:[Descrição do status]],18,FALSE),"CONVENCIONAL"))</f>
        <v>CONVENCIONAL</v>
      </c>
    </row>
    <row r="660" spans="1:17" x14ac:dyDescent="0.25">
      <c r="A660" s="37">
        <v>4384027</v>
      </c>
      <c r="B660" s="37" t="s">
        <v>21</v>
      </c>
      <c r="C660" s="38" t="s">
        <v>19</v>
      </c>
      <c r="D660" s="38">
        <v>45449</v>
      </c>
      <c r="E660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0" s="39">
        <f>IFERROR(VLOOKUP(RES_AB[[#This Row],[Reserva]],Tabela8[[Reserva]:[Usuário]],7,FALSE),Dados!$A$17)</f>
        <v>0.94282407407407409</v>
      </c>
      <c r="G660" s="40">
        <f>IF(RES_AB[[#This Row],[Reserva]]="","",IF(RES_AB[[#This Row],[Hora Int WMS]]&lt;Dados!$A$16,2,2))</f>
        <v>2</v>
      </c>
      <c r="H660" s="40" t="str">
        <f>IF(RES_AB[[#This Row],[Reserva]]="","",IFERROR(VLOOKUP(RES_AB[[#This Row],[Reserva]],Tabela3[[Reserva]:[Condição para Faturamento]],20,FALSE),"IMPORTADO COM SUCESSO"))</f>
        <v>IMPORTADO COM SUCESSO</v>
      </c>
      <c r="I660" s="38">
        <f>IF(RES_AB[[#This Row],[Data base]]="","",WORKDAY(RES_AB[[#This Row],[Data Reserva - Feriado e Fds]],RES_AB[[#This Row],[Dias para atendimento]],Feriados[Data]))</f>
        <v>45453</v>
      </c>
      <c r="J660" s="40" t="str">
        <f ca="1">IF(RES_AB[[#This Row],[Reserva]]="","",CONCATENATE("D+",NETWORKDAYS(RES_AB[[#This Row],[Data Reserva - Feriado e Fds]],TODAY(),Feriados[Data])-1))</f>
        <v>D+1</v>
      </c>
      <c r="K660" s="40" t="str">
        <f ca="1">IF(RES_AB[[#This Row],[Reserva]]="","",CONCATENATE(RES_AB[[#This Row],[Cen.]]," | ",RES_AB[[#This Row],[SLA2]]))</f>
        <v>N190 | D+1</v>
      </c>
      <c r="L660" s="40">
        <f ca="1">IF(RES_AB[[#This Row],[Reserva]]="","",IF(RES_AB[[#This Row],[SLA2]]=RES_AB[[#This Row],[Reserva]]="","",COUNTIF(MB25_VOLUMETRIA[Reserva],RES_AB[[#This Row],[Reserva]])))</f>
        <v>3</v>
      </c>
      <c r="M660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0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0" s="37" t="str">
        <f>IF(RES_AB[[#This Row],[Cen.]]="","",IFERROR(VLOOKUP(RES_AB[[#This Row],[Cen.]],Dados_Empresas[],2,FALSE),"Verificar empresa"))</f>
        <v>NET MASSIVO</v>
      </c>
      <c r="P660" s="37" t="str">
        <f>IF(RES_AB[[#This Row],[Empresa]]="","",IF(OR(RES_AB[[#This Row],[Empresa]]="NET MASSIVO",RES_AB[[#This Row],[Empresa]]="NET PROJETOS"),"NET","EMPRESARIAL"))</f>
        <v>NET</v>
      </c>
      <c r="Q660" s="37" t="str">
        <f>IF(RES_AB[[#This Row],[Reserva]]="","",IFERROR(VLOOKUP(RES_AB[[#This Row],[Reserva]],Tabela3[[Reserva]:[Descrição do status]],18,FALSE),"CONVENCIONAL"))</f>
        <v>CONVENCIONAL</v>
      </c>
    </row>
    <row r="661" spans="1:17" x14ac:dyDescent="0.25">
      <c r="A661" s="37">
        <v>4384028</v>
      </c>
      <c r="B661" s="37" t="s">
        <v>21</v>
      </c>
      <c r="C661" s="38" t="s">
        <v>19</v>
      </c>
      <c r="D661" s="38">
        <v>45449</v>
      </c>
      <c r="E661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1" s="39">
        <f>IFERROR(VLOOKUP(RES_AB[[#This Row],[Reserva]],Tabela8[[Reserva]:[Usuário]],7,FALSE),Dados!$A$17)</f>
        <v>0.94293981481481481</v>
      </c>
      <c r="G661" s="40">
        <f>IF(RES_AB[[#This Row],[Reserva]]="","",IF(RES_AB[[#This Row],[Hora Int WMS]]&lt;Dados!$A$16,2,2))</f>
        <v>2</v>
      </c>
      <c r="H661" s="40" t="str">
        <f>IF(RES_AB[[#This Row],[Reserva]]="","",IFERROR(VLOOKUP(RES_AB[[#This Row],[Reserva]],Tabela3[[Reserva]:[Condição para Faturamento]],20,FALSE),"IMPORTADO COM SUCESSO"))</f>
        <v>IMPORTADO COM SUCESSO</v>
      </c>
      <c r="I661" s="38">
        <f>IF(RES_AB[[#This Row],[Data base]]="","",WORKDAY(RES_AB[[#This Row],[Data Reserva - Feriado e Fds]],RES_AB[[#This Row],[Dias para atendimento]],Feriados[Data]))</f>
        <v>45453</v>
      </c>
      <c r="J661" s="40" t="str">
        <f ca="1">IF(RES_AB[[#This Row],[Reserva]]="","",CONCATENATE("D+",NETWORKDAYS(RES_AB[[#This Row],[Data Reserva - Feriado e Fds]],TODAY(),Feriados[Data])-1))</f>
        <v>D+1</v>
      </c>
      <c r="K661" s="40" t="str">
        <f ca="1">IF(RES_AB[[#This Row],[Reserva]]="","",CONCATENATE(RES_AB[[#This Row],[Cen.]]," | ",RES_AB[[#This Row],[SLA2]]))</f>
        <v>N190 | D+1</v>
      </c>
      <c r="L661" s="40">
        <f ca="1">IF(RES_AB[[#This Row],[Reserva]]="","",IF(RES_AB[[#This Row],[SLA2]]=RES_AB[[#This Row],[Reserva]]="","",COUNTIF(MB25_VOLUMETRIA[Reserva],RES_AB[[#This Row],[Reserva]])))</f>
        <v>3</v>
      </c>
      <c r="M661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1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1" s="37" t="str">
        <f>IF(RES_AB[[#This Row],[Cen.]]="","",IFERROR(VLOOKUP(RES_AB[[#This Row],[Cen.]],Dados_Empresas[],2,FALSE),"Verificar empresa"))</f>
        <v>NET MASSIVO</v>
      </c>
      <c r="P661" s="37" t="str">
        <f>IF(RES_AB[[#This Row],[Empresa]]="","",IF(OR(RES_AB[[#This Row],[Empresa]]="NET MASSIVO",RES_AB[[#This Row],[Empresa]]="NET PROJETOS"),"NET","EMPRESARIAL"))</f>
        <v>NET</v>
      </c>
      <c r="Q661" s="37" t="str">
        <f>IF(RES_AB[[#This Row],[Reserva]]="","",IFERROR(VLOOKUP(RES_AB[[#This Row],[Reserva]],Tabela3[[Reserva]:[Descrição do status]],18,FALSE),"CONVENCIONAL"))</f>
        <v>CONVENCIONAL</v>
      </c>
    </row>
    <row r="662" spans="1:17" x14ac:dyDescent="0.25">
      <c r="A662" s="37">
        <v>4384029</v>
      </c>
      <c r="B662" s="37" t="s">
        <v>21</v>
      </c>
      <c r="C662" s="38" t="s">
        <v>21</v>
      </c>
      <c r="D662" s="38">
        <v>45449</v>
      </c>
      <c r="E662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2" s="39">
        <f>IFERROR(VLOOKUP(RES_AB[[#This Row],[Reserva]],Tabela8[[Reserva]:[Usuário]],7,FALSE),Dados!$A$17)</f>
        <v>0.94293981481481481</v>
      </c>
      <c r="G662" s="40">
        <f>IF(RES_AB[[#This Row],[Reserva]]="","",IF(RES_AB[[#This Row],[Hora Int WMS]]&lt;Dados!$A$16,2,2))</f>
        <v>2</v>
      </c>
      <c r="H662" s="40" t="str">
        <f>IF(RES_AB[[#This Row],[Reserva]]="","",IFERROR(VLOOKUP(RES_AB[[#This Row],[Reserva]],Tabela3[[Reserva]:[Condição para Faturamento]],20,FALSE),"IMPORTADO COM SUCESSO"))</f>
        <v>IMPORTADO COM SUCESSO</v>
      </c>
      <c r="I662" s="38">
        <f>IF(RES_AB[[#This Row],[Data base]]="","",WORKDAY(RES_AB[[#This Row],[Data Reserva - Feriado e Fds]],RES_AB[[#This Row],[Dias para atendimento]],Feriados[Data]))</f>
        <v>45453</v>
      </c>
      <c r="J662" s="40" t="str">
        <f ca="1">IF(RES_AB[[#This Row],[Reserva]]="","",CONCATENATE("D+",NETWORKDAYS(RES_AB[[#This Row],[Data Reserva - Feriado e Fds]],TODAY(),Feriados[Data])-1))</f>
        <v>D+1</v>
      </c>
      <c r="K662" s="40" t="str">
        <f ca="1">IF(RES_AB[[#This Row],[Reserva]]="","",CONCATENATE(RES_AB[[#This Row],[Cen.]]," | ",RES_AB[[#This Row],[SLA2]]))</f>
        <v>N190 | D+1</v>
      </c>
      <c r="L662" s="40">
        <f ca="1">IF(RES_AB[[#This Row],[Reserva]]="","",IF(RES_AB[[#This Row],[SLA2]]=RES_AB[[#This Row],[Reserva]]="","",COUNTIF(MB25_VOLUMETRIA[Reserva],RES_AB[[#This Row],[Reserva]])))</f>
        <v>1</v>
      </c>
      <c r="M662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2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2" s="37" t="str">
        <f>IF(RES_AB[[#This Row],[Cen.]]="","",IFERROR(VLOOKUP(RES_AB[[#This Row],[Cen.]],Dados_Empresas[],2,FALSE),"Verificar empresa"))</f>
        <v>NET MASSIVO</v>
      </c>
      <c r="P662" s="37" t="str">
        <f>IF(RES_AB[[#This Row],[Empresa]]="","",IF(OR(RES_AB[[#This Row],[Empresa]]="NET MASSIVO",RES_AB[[#This Row],[Empresa]]="NET PROJETOS"),"NET","EMPRESARIAL"))</f>
        <v>NET</v>
      </c>
      <c r="Q662" s="37" t="str">
        <f>IF(RES_AB[[#This Row],[Reserva]]="","",IFERROR(VLOOKUP(RES_AB[[#This Row],[Reserva]],Tabela3[[Reserva]:[Descrição do status]],18,FALSE),"CONVENCIONAL"))</f>
        <v>CONVENCIONAL</v>
      </c>
    </row>
    <row r="663" spans="1:17" x14ac:dyDescent="0.25">
      <c r="A663" s="37">
        <v>4384030</v>
      </c>
      <c r="B663" s="37" t="s">
        <v>21</v>
      </c>
      <c r="C663" s="38" t="s">
        <v>21</v>
      </c>
      <c r="D663" s="38">
        <v>45449</v>
      </c>
      <c r="E663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45449</v>
      </c>
      <c r="F663" s="39">
        <f>IFERROR(VLOOKUP(RES_AB[[#This Row],[Reserva]],Tabela8[[Reserva]:[Usuário]],7,FALSE),Dados!$A$17)</f>
        <v>0.94305555555555554</v>
      </c>
      <c r="G663" s="40">
        <f>IF(RES_AB[[#This Row],[Reserva]]="","",IF(RES_AB[[#This Row],[Hora Int WMS]]&lt;Dados!$A$16,2,2))</f>
        <v>2</v>
      </c>
      <c r="H663" s="40" t="str">
        <f>IF(RES_AB[[#This Row],[Reserva]]="","",IFERROR(VLOOKUP(RES_AB[[#This Row],[Reserva]],Tabela3[[Reserva]:[Condição para Faturamento]],20,FALSE),"IMPORTADO COM SUCESSO"))</f>
        <v>IMPORTADO COM SUCESSO</v>
      </c>
      <c r="I663" s="38">
        <f>IF(RES_AB[[#This Row],[Data base]]="","",WORKDAY(RES_AB[[#This Row],[Data Reserva - Feriado e Fds]],RES_AB[[#This Row],[Dias para atendimento]],Feriados[Data]))</f>
        <v>45453</v>
      </c>
      <c r="J663" s="40" t="str">
        <f ca="1">IF(RES_AB[[#This Row],[Reserva]]="","",CONCATENATE("D+",NETWORKDAYS(RES_AB[[#This Row],[Data Reserva - Feriado e Fds]],TODAY(),Feriados[Data])-1))</f>
        <v>D+1</v>
      </c>
      <c r="K663" s="40" t="str">
        <f ca="1">IF(RES_AB[[#This Row],[Reserva]]="","",CONCATENATE(RES_AB[[#This Row],[Cen.]]," | ",RES_AB[[#This Row],[SLA2]]))</f>
        <v>N190 | D+1</v>
      </c>
      <c r="L663" s="40">
        <f ca="1">IF(RES_AB[[#This Row],[Reserva]]="","",IF(RES_AB[[#This Row],[SLA2]]=RES_AB[[#This Row],[Reserva]]="","",COUNTIF(MB25_VOLUMETRIA[Reserva],RES_AB[[#This Row],[Reserva]])))</f>
        <v>5</v>
      </c>
      <c r="M663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3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3" s="37" t="str">
        <f>IF(RES_AB[[#This Row],[Cen.]]="","",IFERROR(VLOOKUP(RES_AB[[#This Row],[Cen.]],Dados_Empresas[],2,FALSE),"Verificar empresa"))</f>
        <v>NET MASSIVO</v>
      </c>
      <c r="P663" s="37" t="str">
        <f>IF(RES_AB[[#This Row],[Empresa]]="","",IF(OR(RES_AB[[#This Row],[Empresa]]="NET MASSIVO",RES_AB[[#This Row],[Empresa]]="NET PROJETOS"),"NET","EMPRESARIAL"))</f>
        <v>NET</v>
      </c>
      <c r="Q663" s="37" t="str">
        <f>IF(RES_AB[[#This Row],[Reserva]]="","",IFERROR(VLOOKUP(RES_AB[[#This Row],[Reserva]],Tabela3[[Reserva]:[Descrição do status]],18,FALSE),"CONVENCIONAL"))</f>
        <v>CONVENCIONAL</v>
      </c>
    </row>
    <row r="664" spans="1:17" x14ac:dyDescent="0.25">
      <c r="A664" s="37">
        <v>4384123</v>
      </c>
      <c r="B664" s="37" t="s">
        <v>21</v>
      </c>
      <c r="C664" s="38" t="s">
        <v>541</v>
      </c>
      <c r="D664" s="38">
        <v>45450</v>
      </c>
      <c r="E664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664" s="39">
        <f>IFERROR(VLOOKUP(RES_AB[[#This Row],[Reserva]],Tabela8[[Reserva]:[Usuário]],7,FALSE),Dados!$A$17)</f>
        <v>0.33333333333333331</v>
      </c>
      <c r="G664" s="40">
        <f>IF(RES_AB[[#This Row],[Reserva]]="","",IF(RES_AB[[#This Row],[Hora Int WMS]]&lt;Dados!$A$16,2,2))</f>
        <v>2</v>
      </c>
      <c r="H664" s="40" t="str">
        <f>IF(RES_AB[[#This Row],[Reserva]]="","",IFERROR(VLOOKUP(RES_AB[[#This Row],[Reserva]],Tabela3[[Reserva]:[Condição para Faturamento]],20,FALSE),"IMPORTADO COM SUCESSO"))</f>
        <v>IMPORTADO COM SUCESSO</v>
      </c>
      <c r="I664" s="38">
        <f>IF(RES_AB[[#This Row],[Data base]]="","",WORKDAY(RES_AB[[#This Row],[Data Reserva - Feriado e Fds]],RES_AB[[#This Row],[Dias para atendimento]],Feriados[Data]))</f>
        <v>45454</v>
      </c>
      <c r="J664" s="40" t="str">
        <f ca="1">IF(RES_AB[[#This Row],[Reserva]]="","",CONCATENATE("D+",NETWORKDAYS(RES_AB[[#This Row],[Data Reserva - Feriado e Fds]],TODAY(),Feriados[Data])-1))</f>
        <v>D+0</v>
      </c>
      <c r="K664" s="40" t="str">
        <f ca="1">IF(RES_AB[[#This Row],[Reserva]]="","",CONCATENATE(RES_AB[[#This Row],[Cen.]]," | ",RES_AB[[#This Row],[SLA2]]))</f>
        <v>N190 | D+0</v>
      </c>
      <c r="L664" s="40">
        <f ca="1">IF(RES_AB[[#This Row],[Reserva]]="","",IF(RES_AB[[#This Row],[SLA2]]=RES_AB[[#This Row],[Reserva]]="","",COUNTIF(MB25_VOLUMETRIA[Reserva],RES_AB[[#This Row],[Reserva]])))</f>
        <v>3</v>
      </c>
      <c r="M664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4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4" s="37" t="str">
        <f>IF(RES_AB[[#This Row],[Cen.]]="","",IFERROR(VLOOKUP(RES_AB[[#This Row],[Cen.]],Dados_Empresas[],2,FALSE),"Verificar empresa"))</f>
        <v>NET MASSIVO</v>
      </c>
      <c r="P664" s="37" t="str">
        <f>IF(RES_AB[[#This Row],[Empresa]]="","",IF(OR(RES_AB[[#This Row],[Empresa]]="NET MASSIVO",RES_AB[[#This Row],[Empresa]]="NET PROJETOS"),"NET","EMPRESARIAL"))</f>
        <v>NET</v>
      </c>
      <c r="Q664" s="37" t="str">
        <f>IF(RES_AB[[#This Row],[Reserva]]="","",IFERROR(VLOOKUP(RES_AB[[#This Row],[Reserva]],Tabela3[[Reserva]:[Descrição do status]],18,FALSE),"CONVENCIONAL"))</f>
        <v>CONVENCIONAL</v>
      </c>
    </row>
    <row r="665" spans="1:17" x14ac:dyDescent="0.25">
      <c r="A665" s="37">
        <v>4384124</v>
      </c>
      <c r="B665" s="37" t="s">
        <v>21</v>
      </c>
      <c r="C665" s="38" t="s">
        <v>541</v>
      </c>
      <c r="D665" s="38">
        <v>45450</v>
      </c>
      <c r="E665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665" s="39">
        <f>IFERROR(VLOOKUP(RES_AB[[#This Row],[Reserva]],Tabela8[[Reserva]:[Usuário]],7,FALSE),Dados!$A$17)</f>
        <v>0.44594907407407408</v>
      </c>
      <c r="G665" s="40">
        <f>IF(RES_AB[[#This Row],[Reserva]]="","",IF(RES_AB[[#This Row],[Hora Int WMS]]&lt;Dados!$A$16,2,2))</f>
        <v>2</v>
      </c>
      <c r="H665" s="40" t="str">
        <f>IF(RES_AB[[#This Row],[Reserva]]="","",IFERROR(VLOOKUP(RES_AB[[#This Row],[Reserva]],Tabela3[[Reserva]:[Condição para Faturamento]],20,FALSE),"IMPORTADO COM SUCESSO"))</f>
        <v>IMPORTADO COM SUCESSO</v>
      </c>
      <c r="I665" s="38">
        <f>IF(RES_AB[[#This Row],[Data base]]="","",WORKDAY(RES_AB[[#This Row],[Data Reserva - Feriado e Fds]],RES_AB[[#This Row],[Dias para atendimento]],Feriados[Data]))</f>
        <v>45454</v>
      </c>
      <c r="J665" s="40" t="str">
        <f ca="1">IF(RES_AB[[#This Row],[Reserva]]="","",CONCATENATE("D+",NETWORKDAYS(RES_AB[[#This Row],[Data Reserva - Feriado e Fds]],TODAY(),Feriados[Data])-1))</f>
        <v>D+0</v>
      </c>
      <c r="K665" s="40" t="str">
        <f ca="1">IF(RES_AB[[#This Row],[Reserva]]="","",CONCATENATE(RES_AB[[#This Row],[Cen.]]," | ",RES_AB[[#This Row],[SLA2]]))</f>
        <v>N190 | D+0</v>
      </c>
      <c r="L665" s="40">
        <f ca="1">IF(RES_AB[[#This Row],[Reserva]]="","",IF(RES_AB[[#This Row],[SLA2]]=RES_AB[[#This Row],[Reserva]]="","",COUNTIF(MB25_VOLUMETRIA[Reserva],RES_AB[[#This Row],[Reserva]])))</f>
        <v>1</v>
      </c>
      <c r="M665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5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5" s="37" t="str">
        <f>IF(RES_AB[[#This Row],[Cen.]]="","",IFERROR(VLOOKUP(RES_AB[[#This Row],[Cen.]],Dados_Empresas[],2,FALSE),"Verificar empresa"))</f>
        <v>NET MASSIVO</v>
      </c>
      <c r="P665" s="37" t="str">
        <f>IF(RES_AB[[#This Row],[Empresa]]="","",IF(OR(RES_AB[[#This Row],[Empresa]]="NET MASSIVO",RES_AB[[#This Row],[Empresa]]="NET PROJETOS"),"NET","EMPRESARIAL"))</f>
        <v>NET</v>
      </c>
      <c r="Q665" s="37" t="str">
        <f>IF(RES_AB[[#This Row],[Reserva]]="","",IFERROR(VLOOKUP(RES_AB[[#This Row],[Reserva]],Tabela3[[Reserva]:[Descrição do status]],18,FALSE),"CONVENCIONAL"))</f>
        <v>CONVENCIONAL</v>
      </c>
    </row>
    <row r="666" spans="1:17" x14ac:dyDescent="0.25">
      <c r="A666" s="37">
        <v>4384322</v>
      </c>
      <c r="B666" s="37" t="s">
        <v>21</v>
      </c>
      <c r="C666" s="38" t="s">
        <v>541</v>
      </c>
      <c r="D666" s="38">
        <v>45450</v>
      </c>
      <c r="E666" s="38">
        <f>IF(RES_AB[[#This Row],[Data base]]="","",IF(OR(RES_AB[[#This Row],[Data base]]=Dados!$A$2,RES_AB[[#This Row],[Data base]]=Dados!$A$3,RES_AB[[#This Row],[Data base]]=Dados!$A$4,RES_AB[[#This Row],[Data base]]=Dados!$A$5,RES_AB[[#This Row],[Data base]]=Dados!$A$6,RES_AB[[#This Row],[Data base]]=Dados!$A$7,RES_AB[[#This Row],[Data base]]=Dados!$A$8,RES_AB[[#This Row],[Data base]]=Dados!$A$9,RES_AB[[#This Row],[Data base]]=Dados!$A$10,RES_AB[[#This Row],[Data base]]=Dados!$A$11,RES_AB[[#This Row],[Data base]]=Dados!$A$12),RES_AB[[#This Row],[Data base]]+1,IF(WEEKDAY(RES_AB[[#This Row],[Data base]],1)=1,RES_AB[[#This Row],[Data base]]+1,IF(WEEKDAY(RES_AB[[#This Row],[Data base]],1)=7,RES_AB[[#This Row],[Data base]]+2,RES_AB[[#This Row],[Data base]]))))</f>
        <v>45450</v>
      </c>
      <c r="F666" s="39">
        <f>IFERROR(VLOOKUP(RES_AB[[#This Row],[Reserva]],Tabela8[[Reserva]:[Usuário]],7,FALSE),Dados!$A$17)</f>
        <v>0.33333333333333331</v>
      </c>
      <c r="G666" s="40">
        <f>IF(RES_AB[[#This Row],[Reserva]]="","",IF(RES_AB[[#This Row],[Hora Int WMS]]&lt;Dados!$A$16,2,2))</f>
        <v>2</v>
      </c>
      <c r="H666" s="40" t="str">
        <f>IF(RES_AB[[#This Row],[Reserva]]="","",IFERROR(VLOOKUP(RES_AB[[#This Row],[Reserva]],Tabela3[[Reserva]:[Condição para Faturamento]],20,FALSE),"IMPORTADO COM SUCESSO"))</f>
        <v>IMPORTADO COM SUCESSO</v>
      </c>
      <c r="I666" s="38">
        <f>IF(RES_AB[[#This Row],[Data base]]="","",WORKDAY(RES_AB[[#This Row],[Data Reserva - Feriado e Fds]],RES_AB[[#This Row],[Dias para atendimento]],Feriados[Data]))</f>
        <v>45454</v>
      </c>
      <c r="J666" s="40" t="str">
        <f ca="1">IF(RES_AB[[#This Row],[Reserva]]="","",CONCATENATE("D+",NETWORKDAYS(RES_AB[[#This Row],[Data Reserva - Feriado e Fds]],TODAY(),Feriados[Data])-1))</f>
        <v>D+0</v>
      </c>
      <c r="K666" s="40" t="str">
        <f ca="1">IF(RES_AB[[#This Row],[Reserva]]="","",CONCATENATE(RES_AB[[#This Row],[Cen.]]," | ",RES_AB[[#This Row],[SLA2]]))</f>
        <v>N190 | D+0</v>
      </c>
      <c r="L666" s="40">
        <f ca="1">IF(RES_AB[[#This Row],[Reserva]]="","",IF(RES_AB[[#This Row],[SLA2]]=RES_AB[[#This Row],[Reserva]]="","",COUNTIF(MB25_VOLUMETRIA[Reserva],RES_AB[[#This Row],[Reserva]])))</f>
        <v>4</v>
      </c>
      <c r="M666" s="40" t="str">
        <f>IF(RES_AB[[#This Row],[Reserva]]="","",IF(AND(RES_AB[[#This Row],[WMS]]="PEDIDO EM LABORATORIO",RES_AB[[#This Row],[Cen.]]="11EU"),"LAB|EMBRATEL",IF(AND(RES_AB[[#This Row],[WMS]]="PEDIDO EM LABORATORIO",OR(RES_AB[[#This Row],[Cen.]]="11AB",RES_AB[[#This Row],[Cen.]]="11XD")),"LAB|TELMEX",IF(AND(RES_AB[[#This Row],[WMS]]="PEDIDO EM LABORATORIO",OR(RES_AB[[#This Row],[Cen.]]&lt;&gt;"11AB",RES_AB[[#This Row],[Cen.]]&lt;&gt;"11XD",RES_AB[[#This Row],[Cen.]]&lt;&gt;"11AB")),"LAB|DEMAIS CENTROS","-"))))</f>
        <v>-</v>
      </c>
      <c r="N666" s="37" t="str">
        <f ca="1">IF(RES_AB[[#This Row],[Reserva]]="","",IF(RES_AB[[#This Row],[Previsão de Faturamento]]&lt;TODAY(),"RESERVAS EM ATRASO",IF(RES_AB[[#This Row],[Previsão de Faturamento]]=TODAY(),"PLANO DO DIA","RESERVAS PENDENTES")))</f>
        <v>RESERVAS PENDENTES</v>
      </c>
      <c r="O666" s="37" t="str">
        <f>IF(RES_AB[[#This Row],[Cen.]]="","",IFERROR(VLOOKUP(RES_AB[[#This Row],[Cen.]],Dados_Empresas[],2,FALSE),"Verificar empresa"))</f>
        <v>NET MASSIVO</v>
      </c>
      <c r="P666" s="37" t="str">
        <f>IF(RES_AB[[#This Row],[Empresa]]="","",IF(OR(RES_AB[[#This Row],[Empresa]]="NET MASSIVO",RES_AB[[#This Row],[Empresa]]="NET PROJETOS"),"NET","EMPRESARIAL"))</f>
        <v>NET</v>
      </c>
      <c r="Q666" s="37" t="str">
        <f>IF(RES_AB[[#This Row],[Reserva]]="","",IFERROR(VLOOKUP(RES_AB[[#This Row],[Reserva]],Tabela3[[Reserva]:[Descrição do status]],18,FALSE),"CONVENCIONAL"))</f>
        <v>CONVENCIONAL</v>
      </c>
    </row>
  </sheetData>
  <conditionalFormatting sqref="A2:D666">
    <cfRule type="top10" dxfId="7" priority="5454" percent="1" rank="10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B51"/>
  <dimension ref="A1:K657"/>
  <sheetViews>
    <sheetView showGridLines="0" workbookViewId="0">
      <selection activeCell="A8" sqref="A8"/>
    </sheetView>
  </sheetViews>
  <sheetFormatPr defaultRowHeight="15" x14ac:dyDescent="0.25"/>
  <cols>
    <col min="1" max="1" width="12.5703125" style="2" bestFit="1" customWidth="1"/>
    <col min="2" max="2" width="9.5703125" style="2" bestFit="1" customWidth="1"/>
    <col min="3" max="3" width="9.7109375" style="2" bestFit="1" customWidth="1"/>
    <col min="4" max="4" width="12" style="2" bestFit="1" customWidth="1"/>
    <col min="5" max="5" width="9.7109375" style="2" bestFit="1" customWidth="1"/>
    <col min="6" max="6" width="15.140625" style="2" bestFit="1" customWidth="1"/>
    <col min="7" max="7" width="9.42578125" style="2" bestFit="1" customWidth="1"/>
    <col min="8" max="8" width="12.5703125" style="2" bestFit="1" customWidth="1"/>
    <col min="9" max="9" width="15" style="2" bestFit="1" customWidth="1"/>
    <col min="10" max="10" width="14" style="2" bestFit="1" customWidth="1"/>
    <col min="11" max="11" width="21.42578125" style="2" bestFit="1" customWidth="1"/>
    <col min="12" max="16384" width="9.140625" style="2"/>
  </cols>
  <sheetData>
    <row r="1" spans="1:11" ht="57" customHeight="1" x14ac:dyDescent="0.25">
      <c r="A1" s="15" t="s">
        <v>0</v>
      </c>
      <c r="B1" s="15" t="s">
        <v>1</v>
      </c>
      <c r="C1" s="15" t="s">
        <v>2</v>
      </c>
      <c r="D1" s="25" t="s">
        <v>22</v>
      </c>
      <c r="E1" s="15" t="s">
        <v>23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15</v>
      </c>
      <c r="K1" s="15" t="s">
        <v>28</v>
      </c>
    </row>
    <row r="2" spans="1:11" x14ac:dyDescent="0.25">
      <c r="A2" s="26">
        <v>4381923</v>
      </c>
      <c r="B2" s="26" t="s">
        <v>17</v>
      </c>
      <c r="C2" s="27" t="s">
        <v>17</v>
      </c>
      <c r="D2" s="34" t="s">
        <v>477</v>
      </c>
      <c r="E2" s="44">
        <v>0.42158564814814814</v>
      </c>
      <c r="F2" s="26" t="s">
        <v>499</v>
      </c>
      <c r="G2" s="26">
        <v>221</v>
      </c>
      <c r="H2" s="2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" s="26" t="str">
        <f>IF(Faturamento[[#This Row],[Cen.]]="","",IFERROR(VLOOKUP(Faturamento[[#This Row],[Cen.]],Dados_Empresas[],2,FALSE),"Verificar empresa"))</f>
        <v>EMBRATEL</v>
      </c>
      <c r="J2" s="26" t="str">
        <f>IF(Faturamento[[#This Row],[Cen.]]="","",IF(OR(Faturamento[[#This Row],[Cen.]]="N190",Faturamento[[#This Row],[Cen.]]="N193"),"NET","EMPRESARIAL"))</f>
        <v>EMPRESARIAL</v>
      </c>
      <c r="K2" s="26" t="str">
        <f>IF(Faturamento[[#This Row],[Hora]]="","",CONCATENATE(LEFT(TEXT(Faturamento[[#This Row],[Hora]],"hh"),2)," h"))</f>
        <v>10 h</v>
      </c>
    </row>
    <row r="3" spans="1:11" x14ac:dyDescent="0.25">
      <c r="A3" s="32">
        <v>4383619</v>
      </c>
      <c r="B3" s="32" t="s">
        <v>500</v>
      </c>
      <c r="C3" s="33" t="s">
        <v>309</v>
      </c>
      <c r="D3" s="35" t="s">
        <v>477</v>
      </c>
      <c r="E3" s="45">
        <v>0.41703703703703704</v>
      </c>
      <c r="F3" s="32" t="s">
        <v>499</v>
      </c>
      <c r="G3" s="32">
        <v>221</v>
      </c>
      <c r="H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" s="36" t="str">
        <f>IF(Faturamento[[#This Row],[Cen.]]="","",IFERROR(VLOOKUP(Faturamento[[#This Row],[Cen.]],Dados_Empresas[],2,FALSE),"Verificar empresa"))</f>
        <v>Verificar empresa</v>
      </c>
      <c r="J3" s="36" t="str">
        <f>IF(Faturamento[[#This Row],[Cen.]]="","",IF(OR(Faturamento[[#This Row],[Cen.]]="N190",Faturamento[[#This Row],[Cen.]]="N193"),"NET","EMPRESARIAL"))</f>
        <v>EMPRESARIAL</v>
      </c>
      <c r="K3" s="36" t="str">
        <f>IF(Faturamento[[#This Row],[Hora]]="","",CONCATENATE(LEFT(TEXT(Faturamento[[#This Row],[Hora]],"hh"),2)," h"))</f>
        <v>10 h</v>
      </c>
    </row>
    <row r="4" spans="1:11" x14ac:dyDescent="0.25">
      <c r="A4" s="32">
        <v>4383620</v>
      </c>
      <c r="B4" s="32" t="s">
        <v>500</v>
      </c>
      <c r="C4" s="33" t="s">
        <v>314</v>
      </c>
      <c r="D4" s="35" t="s">
        <v>477</v>
      </c>
      <c r="E4" s="45">
        <v>0.41774305555555558</v>
      </c>
      <c r="F4" s="32" t="s">
        <v>499</v>
      </c>
      <c r="G4" s="32">
        <v>221</v>
      </c>
      <c r="H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" s="36" t="str">
        <f>IF(Faturamento[[#This Row],[Cen.]]="","",IFERROR(VLOOKUP(Faturamento[[#This Row],[Cen.]],Dados_Empresas[],2,FALSE),"Verificar empresa"))</f>
        <v>Verificar empresa</v>
      </c>
      <c r="J4" s="36" t="str">
        <f>IF(Faturamento[[#This Row],[Cen.]]="","",IF(OR(Faturamento[[#This Row],[Cen.]]="N190",Faturamento[[#This Row],[Cen.]]="N193"),"NET","EMPRESARIAL"))</f>
        <v>EMPRESARIAL</v>
      </c>
      <c r="K4" s="36" t="str">
        <f>IF(Faturamento[[#This Row],[Hora]]="","",CONCATENATE(LEFT(TEXT(Faturamento[[#This Row],[Hora]],"hh"),2)," h"))</f>
        <v>10 h</v>
      </c>
    </row>
    <row r="5" spans="1:11" x14ac:dyDescent="0.25">
      <c r="A5" s="32">
        <v>4381705</v>
      </c>
      <c r="B5" s="32" t="s">
        <v>17</v>
      </c>
      <c r="C5" s="33" t="s">
        <v>17</v>
      </c>
      <c r="D5" s="35" t="s">
        <v>477</v>
      </c>
      <c r="E5" s="45">
        <v>0.41833333333333333</v>
      </c>
      <c r="F5" s="32" t="s">
        <v>499</v>
      </c>
      <c r="G5" s="32">
        <v>221</v>
      </c>
      <c r="H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5" s="36" t="str">
        <f>IF(Faturamento[[#This Row],[Cen.]]="","",IFERROR(VLOOKUP(Faturamento[[#This Row],[Cen.]],Dados_Empresas[],2,FALSE),"Verificar empresa"))</f>
        <v>EMBRATEL</v>
      </c>
      <c r="J5" s="36" t="str">
        <f>IF(Faturamento[[#This Row],[Cen.]]="","",IF(OR(Faturamento[[#This Row],[Cen.]]="N190",Faturamento[[#This Row],[Cen.]]="N193"),"NET","EMPRESARIAL"))</f>
        <v>EMPRESARIAL</v>
      </c>
      <c r="K5" s="36" t="str">
        <f>IF(Faturamento[[#This Row],[Hora]]="","",CONCATENATE(LEFT(TEXT(Faturamento[[#This Row],[Hora]],"hh"),2)," h"))</f>
        <v>10 h</v>
      </c>
    </row>
    <row r="6" spans="1:11" x14ac:dyDescent="0.25">
      <c r="A6" s="32">
        <v>4381722</v>
      </c>
      <c r="B6" s="32" t="s">
        <v>17</v>
      </c>
      <c r="C6" s="33" t="s">
        <v>17</v>
      </c>
      <c r="D6" s="35" t="s">
        <v>477</v>
      </c>
      <c r="E6" s="45">
        <v>0.42077546296296298</v>
      </c>
      <c r="F6" s="32" t="s">
        <v>499</v>
      </c>
      <c r="G6" s="32">
        <v>221</v>
      </c>
      <c r="H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6" s="36" t="str">
        <f>IF(Faturamento[[#This Row],[Cen.]]="","",IFERROR(VLOOKUP(Faturamento[[#This Row],[Cen.]],Dados_Empresas[],2,FALSE),"Verificar empresa"))</f>
        <v>EMBRATEL</v>
      </c>
      <c r="J6" s="36" t="str">
        <f>IF(Faturamento[[#This Row],[Cen.]]="","",IF(OR(Faturamento[[#This Row],[Cen.]]="N190",Faturamento[[#This Row],[Cen.]]="N193"),"NET","EMPRESARIAL"))</f>
        <v>EMPRESARIAL</v>
      </c>
      <c r="K6" s="36" t="str">
        <f>IF(Faturamento[[#This Row],[Hora]]="","",CONCATENATE(LEFT(TEXT(Faturamento[[#This Row],[Hora]],"hh"),2)," h"))</f>
        <v>10 h</v>
      </c>
    </row>
    <row r="7" spans="1:11" x14ac:dyDescent="0.25">
      <c r="A7" s="32">
        <v>4381748</v>
      </c>
      <c r="B7" s="32" t="s">
        <v>17</v>
      </c>
      <c r="C7" s="33" t="s">
        <v>17</v>
      </c>
      <c r="D7" s="35" t="s">
        <v>477</v>
      </c>
      <c r="E7" s="45">
        <v>0.41913194444444446</v>
      </c>
      <c r="F7" s="32" t="s">
        <v>499</v>
      </c>
      <c r="G7" s="32">
        <v>221</v>
      </c>
      <c r="H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7" s="36" t="str">
        <f>IF(Faturamento[[#This Row],[Cen.]]="","",IFERROR(VLOOKUP(Faturamento[[#This Row],[Cen.]],Dados_Empresas[],2,FALSE),"Verificar empresa"))</f>
        <v>EMBRATEL</v>
      </c>
      <c r="J7" s="36" t="str">
        <f>IF(Faturamento[[#This Row],[Cen.]]="","",IF(OR(Faturamento[[#This Row],[Cen.]]="N190",Faturamento[[#This Row],[Cen.]]="N193"),"NET","EMPRESARIAL"))</f>
        <v>EMPRESARIAL</v>
      </c>
      <c r="K7" s="36" t="str">
        <f>IF(Faturamento[[#This Row],[Hora]]="","",CONCATENATE(LEFT(TEXT(Faturamento[[#This Row],[Hora]],"hh"),2)," h"))</f>
        <v>10 h</v>
      </c>
    </row>
    <row r="8" spans="1:11" x14ac:dyDescent="0.25">
      <c r="A8" s="32">
        <v>4384035</v>
      </c>
      <c r="B8" s="32">
        <v>1196</v>
      </c>
      <c r="C8" s="33" t="s">
        <v>501</v>
      </c>
      <c r="D8" s="35" t="s">
        <v>477</v>
      </c>
      <c r="E8" s="45">
        <v>0.41069444444444442</v>
      </c>
      <c r="F8" s="32" t="s">
        <v>502</v>
      </c>
      <c r="G8" s="32">
        <v>301</v>
      </c>
      <c r="H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8" s="36" t="str">
        <f>IF(Faturamento[[#This Row],[Cen.]]="","",IFERROR(VLOOKUP(Faturamento[[#This Row],[Cen.]],Dados_Empresas[],2,FALSE),"Verificar empresa"))</f>
        <v>OMR</v>
      </c>
      <c r="J8" s="36" t="str">
        <f>IF(Faturamento[[#This Row],[Cen.]]="","",IF(OR(Faturamento[[#This Row],[Cen.]]="N190",Faturamento[[#This Row],[Cen.]]="N193"),"NET","EMPRESARIAL"))</f>
        <v>EMPRESARIAL</v>
      </c>
      <c r="K8" s="36" t="str">
        <f>IF(Faturamento[[#This Row],[Hora]]="","",CONCATENATE(LEFT(TEXT(Faturamento[[#This Row],[Hora]],"hh"),2)," h"))</f>
        <v>09 h</v>
      </c>
    </row>
    <row r="9" spans="1:11" x14ac:dyDescent="0.25">
      <c r="A9" s="32">
        <v>4383580</v>
      </c>
      <c r="B9" s="32">
        <v>1196</v>
      </c>
      <c r="C9" s="33" t="s">
        <v>501</v>
      </c>
      <c r="D9" s="35" t="s">
        <v>477</v>
      </c>
      <c r="E9" s="45">
        <v>0.4021527777777778</v>
      </c>
      <c r="F9" s="32" t="s">
        <v>503</v>
      </c>
      <c r="G9" s="32">
        <v>301</v>
      </c>
      <c r="H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9" s="36" t="str">
        <f>IF(Faturamento[[#This Row],[Cen.]]="","",IFERROR(VLOOKUP(Faturamento[[#This Row],[Cen.]],Dados_Empresas[],2,FALSE),"Verificar empresa"))</f>
        <v>OMR</v>
      </c>
      <c r="J9" s="36" t="str">
        <f>IF(Faturamento[[#This Row],[Cen.]]="","",IF(OR(Faturamento[[#This Row],[Cen.]]="N190",Faturamento[[#This Row],[Cen.]]="N193"),"NET","EMPRESARIAL"))</f>
        <v>EMPRESARIAL</v>
      </c>
      <c r="K9" s="36" t="str">
        <f>IF(Faturamento[[#This Row],[Hora]]="","",CONCATENATE(LEFT(TEXT(Faturamento[[#This Row],[Hora]],"hh"),2)," h"))</f>
        <v>09 h</v>
      </c>
    </row>
    <row r="10" spans="1:11" x14ac:dyDescent="0.25">
      <c r="A10" s="32">
        <v>4382273</v>
      </c>
      <c r="B10" s="32" t="s">
        <v>17</v>
      </c>
      <c r="C10" s="33" t="s">
        <v>17</v>
      </c>
      <c r="D10" s="35" t="s">
        <v>477</v>
      </c>
      <c r="E10" s="45">
        <v>0.39957175925925925</v>
      </c>
      <c r="F10" s="32" t="s">
        <v>504</v>
      </c>
      <c r="G10" s="32">
        <v>221</v>
      </c>
      <c r="H1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0" s="36" t="str">
        <f>IF(Faturamento[[#This Row],[Cen.]]="","",IFERROR(VLOOKUP(Faturamento[[#This Row],[Cen.]],Dados_Empresas[],2,FALSE),"Verificar empresa"))</f>
        <v>EMBRATEL</v>
      </c>
      <c r="J10" s="36" t="str">
        <f>IF(Faturamento[[#This Row],[Cen.]]="","",IF(OR(Faturamento[[#This Row],[Cen.]]="N190",Faturamento[[#This Row],[Cen.]]="N193"),"NET","EMPRESARIAL"))</f>
        <v>EMPRESARIAL</v>
      </c>
      <c r="K10" s="36" t="str">
        <f>IF(Faturamento[[#This Row],[Hora]]="","",CONCATENATE(LEFT(TEXT(Faturamento[[#This Row],[Hora]],"hh"),2)," h"))</f>
        <v>09 h</v>
      </c>
    </row>
    <row r="11" spans="1:11" x14ac:dyDescent="0.25">
      <c r="A11" s="32">
        <v>4381743</v>
      </c>
      <c r="B11" s="32" t="s">
        <v>17</v>
      </c>
      <c r="C11" s="33" t="s">
        <v>17</v>
      </c>
      <c r="D11" s="35" t="s">
        <v>477</v>
      </c>
      <c r="E11" s="45">
        <v>0.40121527777777777</v>
      </c>
      <c r="F11" s="32" t="s">
        <v>505</v>
      </c>
      <c r="G11" s="32">
        <v>221</v>
      </c>
      <c r="H1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1" s="36" t="str">
        <f>IF(Faturamento[[#This Row],[Cen.]]="","",IFERROR(VLOOKUP(Faturamento[[#This Row],[Cen.]],Dados_Empresas[],2,FALSE),"Verificar empresa"))</f>
        <v>EMBRATEL</v>
      </c>
      <c r="J11" s="36" t="str">
        <f>IF(Faturamento[[#This Row],[Cen.]]="","",IF(OR(Faturamento[[#This Row],[Cen.]]="N190",Faturamento[[#This Row],[Cen.]]="N193"),"NET","EMPRESARIAL"))</f>
        <v>EMPRESARIAL</v>
      </c>
      <c r="K11" s="36" t="str">
        <f>IF(Faturamento[[#This Row],[Hora]]="","",CONCATENATE(LEFT(TEXT(Faturamento[[#This Row],[Hora]],"hh"),2)," h"))</f>
        <v>09 h</v>
      </c>
    </row>
    <row r="12" spans="1:11" x14ac:dyDescent="0.25">
      <c r="A12" s="32">
        <v>4382268</v>
      </c>
      <c r="B12" s="32" t="s">
        <v>17</v>
      </c>
      <c r="C12" s="33" t="s">
        <v>17</v>
      </c>
      <c r="D12" s="35" t="s">
        <v>477</v>
      </c>
      <c r="E12" s="45">
        <v>0.40061342592592591</v>
      </c>
      <c r="F12" s="32" t="s">
        <v>506</v>
      </c>
      <c r="G12" s="32">
        <v>221</v>
      </c>
      <c r="H1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2" s="36" t="str">
        <f>IF(Faturamento[[#This Row],[Cen.]]="","",IFERROR(VLOOKUP(Faturamento[[#This Row],[Cen.]],Dados_Empresas[],2,FALSE),"Verificar empresa"))</f>
        <v>EMBRATEL</v>
      </c>
      <c r="J12" s="36" t="str">
        <f>IF(Faturamento[[#This Row],[Cen.]]="","",IF(OR(Faturamento[[#This Row],[Cen.]]="N190",Faturamento[[#This Row],[Cen.]]="N193"),"NET","EMPRESARIAL"))</f>
        <v>EMPRESARIAL</v>
      </c>
      <c r="K12" s="36" t="str">
        <f>IF(Faturamento[[#This Row],[Hora]]="","",CONCATENATE(LEFT(TEXT(Faturamento[[#This Row],[Hora]],"hh"),2)," h"))</f>
        <v>09 h</v>
      </c>
    </row>
    <row r="13" spans="1:11" x14ac:dyDescent="0.25">
      <c r="A13" s="32">
        <v>4381701</v>
      </c>
      <c r="B13" s="32" t="s">
        <v>17</v>
      </c>
      <c r="C13" s="33" t="s">
        <v>17</v>
      </c>
      <c r="D13" s="35" t="s">
        <v>477</v>
      </c>
      <c r="E13" s="45">
        <v>0.40414351851851854</v>
      </c>
      <c r="F13" s="32" t="s">
        <v>507</v>
      </c>
      <c r="G13" s="32">
        <v>221</v>
      </c>
      <c r="H1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3" s="36" t="str">
        <f>IF(Faturamento[[#This Row],[Cen.]]="","",IFERROR(VLOOKUP(Faturamento[[#This Row],[Cen.]],Dados_Empresas[],2,FALSE),"Verificar empresa"))</f>
        <v>EMBRATEL</v>
      </c>
      <c r="J13" s="36" t="str">
        <f>IF(Faturamento[[#This Row],[Cen.]]="","",IF(OR(Faturamento[[#This Row],[Cen.]]="N190",Faturamento[[#This Row],[Cen.]]="N193"),"NET","EMPRESARIAL"))</f>
        <v>EMPRESARIAL</v>
      </c>
      <c r="K13" s="36" t="str">
        <f>IF(Faturamento[[#This Row],[Hora]]="","",CONCATENATE(LEFT(TEXT(Faturamento[[#This Row],[Hora]],"hh"),2)," h"))</f>
        <v>09 h</v>
      </c>
    </row>
    <row r="14" spans="1:11" x14ac:dyDescent="0.25">
      <c r="A14" s="32">
        <v>4381747</v>
      </c>
      <c r="B14" s="32" t="s">
        <v>17</v>
      </c>
      <c r="C14" s="33" t="s">
        <v>17</v>
      </c>
      <c r="D14" s="35" t="s">
        <v>477</v>
      </c>
      <c r="E14" s="45">
        <v>0.40494212962962961</v>
      </c>
      <c r="F14" s="32" t="s">
        <v>508</v>
      </c>
      <c r="G14" s="32">
        <v>221</v>
      </c>
      <c r="H1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4" s="36" t="str">
        <f>IF(Faturamento[[#This Row],[Cen.]]="","",IFERROR(VLOOKUP(Faturamento[[#This Row],[Cen.]],Dados_Empresas[],2,FALSE),"Verificar empresa"))</f>
        <v>EMBRATEL</v>
      </c>
      <c r="J14" s="36" t="str">
        <f>IF(Faturamento[[#This Row],[Cen.]]="","",IF(OR(Faturamento[[#This Row],[Cen.]]="N190",Faturamento[[#This Row],[Cen.]]="N193"),"NET","EMPRESARIAL"))</f>
        <v>EMPRESARIAL</v>
      </c>
      <c r="K14" s="36" t="str">
        <f>IF(Faturamento[[#This Row],[Hora]]="","",CONCATENATE(LEFT(TEXT(Faturamento[[#This Row],[Hora]],"hh"),2)," h"))</f>
        <v>09 h</v>
      </c>
    </row>
    <row r="15" spans="1:11" x14ac:dyDescent="0.25">
      <c r="A15" s="32">
        <v>4381713</v>
      </c>
      <c r="B15" s="32" t="s">
        <v>17</v>
      </c>
      <c r="C15" s="33" t="s">
        <v>17</v>
      </c>
      <c r="D15" s="35" t="s">
        <v>477</v>
      </c>
      <c r="E15" s="45">
        <v>0.4057175925925926</v>
      </c>
      <c r="F15" s="32" t="s">
        <v>509</v>
      </c>
      <c r="G15" s="32">
        <v>221</v>
      </c>
      <c r="H1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5" s="36" t="str">
        <f>IF(Faturamento[[#This Row],[Cen.]]="","",IFERROR(VLOOKUP(Faturamento[[#This Row],[Cen.]],Dados_Empresas[],2,FALSE),"Verificar empresa"))</f>
        <v>EMBRATEL</v>
      </c>
      <c r="J15" s="36" t="str">
        <f>IF(Faturamento[[#This Row],[Cen.]]="","",IF(OR(Faturamento[[#This Row],[Cen.]]="N190",Faturamento[[#This Row],[Cen.]]="N193"),"NET","EMPRESARIAL"))</f>
        <v>EMPRESARIAL</v>
      </c>
      <c r="K15" s="36" t="str">
        <f>IF(Faturamento[[#This Row],[Hora]]="","",CONCATENATE(LEFT(TEXT(Faturamento[[#This Row],[Hora]],"hh"),2)," h"))</f>
        <v>09 h</v>
      </c>
    </row>
    <row r="16" spans="1:11" x14ac:dyDescent="0.25">
      <c r="A16" s="32">
        <v>4381728</v>
      </c>
      <c r="B16" s="32" t="s">
        <v>17</v>
      </c>
      <c r="C16" s="33" t="s">
        <v>17</v>
      </c>
      <c r="D16" s="35" t="s">
        <v>477</v>
      </c>
      <c r="E16" s="45">
        <v>0.40248842592592593</v>
      </c>
      <c r="F16" s="32" t="s">
        <v>510</v>
      </c>
      <c r="G16" s="32">
        <v>221</v>
      </c>
      <c r="H1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6" s="36" t="str">
        <f>IF(Faturamento[[#This Row],[Cen.]]="","",IFERROR(VLOOKUP(Faturamento[[#This Row],[Cen.]],Dados_Empresas[],2,FALSE),"Verificar empresa"))</f>
        <v>EMBRATEL</v>
      </c>
      <c r="J16" s="36" t="str">
        <f>IF(Faturamento[[#This Row],[Cen.]]="","",IF(OR(Faturamento[[#This Row],[Cen.]]="N190",Faturamento[[#This Row],[Cen.]]="N193"),"NET","EMPRESARIAL"))</f>
        <v>EMPRESARIAL</v>
      </c>
      <c r="K16" s="36" t="str">
        <f>IF(Faturamento[[#This Row],[Hora]]="","",CONCATENATE(LEFT(TEXT(Faturamento[[#This Row],[Hora]],"hh"),2)," h"))</f>
        <v>09 h</v>
      </c>
    </row>
    <row r="17" spans="1:11" x14ac:dyDescent="0.25">
      <c r="A17" s="32">
        <v>4381727</v>
      </c>
      <c r="B17" s="32" t="s">
        <v>17</v>
      </c>
      <c r="C17" s="33" t="s">
        <v>17</v>
      </c>
      <c r="D17" s="35" t="s">
        <v>477</v>
      </c>
      <c r="E17" s="45">
        <v>0.40324074074074073</v>
      </c>
      <c r="F17" s="32" t="s">
        <v>511</v>
      </c>
      <c r="G17" s="32">
        <v>221</v>
      </c>
      <c r="H1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7" s="36" t="str">
        <f>IF(Faturamento[[#This Row],[Cen.]]="","",IFERROR(VLOOKUP(Faturamento[[#This Row],[Cen.]],Dados_Empresas[],2,FALSE),"Verificar empresa"))</f>
        <v>EMBRATEL</v>
      </c>
      <c r="J17" s="36" t="str">
        <f>IF(Faturamento[[#This Row],[Cen.]]="","",IF(OR(Faturamento[[#This Row],[Cen.]]="N190",Faturamento[[#This Row],[Cen.]]="N193"),"NET","EMPRESARIAL"))</f>
        <v>EMPRESARIAL</v>
      </c>
      <c r="K17" s="36" t="str">
        <f>IF(Faturamento[[#This Row],[Hora]]="","",CONCATENATE(LEFT(TEXT(Faturamento[[#This Row],[Hora]],"hh"),2)," h"))</f>
        <v>09 h</v>
      </c>
    </row>
    <row r="18" spans="1:11" x14ac:dyDescent="0.25">
      <c r="A18" s="32">
        <v>4381731</v>
      </c>
      <c r="B18" s="32" t="s">
        <v>17</v>
      </c>
      <c r="C18" s="33" t="s">
        <v>17</v>
      </c>
      <c r="D18" s="35" t="s">
        <v>477</v>
      </c>
      <c r="E18" s="45">
        <v>0.40467592592592594</v>
      </c>
      <c r="F18" s="32" t="s">
        <v>512</v>
      </c>
      <c r="G18" s="32">
        <v>221</v>
      </c>
      <c r="H1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8" s="36" t="str">
        <f>IF(Faturamento[[#This Row],[Cen.]]="","",IFERROR(VLOOKUP(Faturamento[[#This Row],[Cen.]],Dados_Empresas[],2,FALSE),"Verificar empresa"))</f>
        <v>EMBRATEL</v>
      </c>
      <c r="J18" s="36" t="str">
        <f>IF(Faturamento[[#This Row],[Cen.]]="","",IF(OR(Faturamento[[#This Row],[Cen.]]="N190",Faturamento[[#This Row],[Cen.]]="N193"),"NET","EMPRESARIAL"))</f>
        <v>EMPRESARIAL</v>
      </c>
      <c r="K18" s="36" t="str">
        <f>IF(Faturamento[[#This Row],[Hora]]="","",CONCATENATE(LEFT(TEXT(Faturamento[[#This Row],[Hora]],"hh"),2)," h"))</f>
        <v>09 h</v>
      </c>
    </row>
    <row r="19" spans="1:11" x14ac:dyDescent="0.25">
      <c r="A19" s="32">
        <v>4381711</v>
      </c>
      <c r="B19" s="32" t="s">
        <v>17</v>
      </c>
      <c r="C19" s="33" t="s">
        <v>17</v>
      </c>
      <c r="D19" s="35" t="s">
        <v>477</v>
      </c>
      <c r="E19" s="45">
        <v>0.40392361111111114</v>
      </c>
      <c r="F19" s="32" t="s">
        <v>513</v>
      </c>
      <c r="G19" s="32">
        <v>221</v>
      </c>
      <c r="H1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19" s="36" t="str">
        <f>IF(Faturamento[[#This Row],[Cen.]]="","",IFERROR(VLOOKUP(Faturamento[[#This Row],[Cen.]],Dados_Empresas[],2,FALSE),"Verificar empresa"))</f>
        <v>EMBRATEL</v>
      </c>
      <c r="J19" s="36" t="str">
        <f>IF(Faturamento[[#This Row],[Cen.]]="","",IF(OR(Faturamento[[#This Row],[Cen.]]="N190",Faturamento[[#This Row],[Cen.]]="N193"),"NET","EMPRESARIAL"))</f>
        <v>EMPRESARIAL</v>
      </c>
      <c r="K19" s="36" t="str">
        <f>IF(Faturamento[[#This Row],[Hora]]="","",CONCATENATE(LEFT(TEXT(Faturamento[[#This Row],[Hora]],"hh"),2)," h"))</f>
        <v>09 h</v>
      </c>
    </row>
    <row r="20" spans="1:11" x14ac:dyDescent="0.25">
      <c r="A20" s="32">
        <v>4382263</v>
      </c>
      <c r="B20" s="32" t="s">
        <v>17</v>
      </c>
      <c r="C20" s="33" t="s">
        <v>17</v>
      </c>
      <c r="D20" s="35" t="s">
        <v>477</v>
      </c>
      <c r="E20" s="45">
        <v>0.40256944444444442</v>
      </c>
      <c r="F20" s="32" t="s">
        <v>514</v>
      </c>
      <c r="G20" s="32">
        <v>221</v>
      </c>
      <c r="H2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0" s="36" t="str">
        <f>IF(Faturamento[[#This Row],[Cen.]]="","",IFERROR(VLOOKUP(Faturamento[[#This Row],[Cen.]],Dados_Empresas[],2,FALSE),"Verificar empresa"))</f>
        <v>EMBRATEL</v>
      </c>
      <c r="J20" s="36" t="str">
        <f>IF(Faturamento[[#This Row],[Cen.]]="","",IF(OR(Faturamento[[#This Row],[Cen.]]="N190",Faturamento[[#This Row],[Cen.]]="N193"),"NET","EMPRESARIAL"))</f>
        <v>EMPRESARIAL</v>
      </c>
      <c r="K20" s="36" t="str">
        <f>IF(Faturamento[[#This Row],[Hora]]="","",CONCATENATE(LEFT(TEXT(Faturamento[[#This Row],[Hora]],"hh"),2)," h"))</f>
        <v>09 h</v>
      </c>
    </row>
    <row r="21" spans="1:11" x14ac:dyDescent="0.25">
      <c r="A21" s="32">
        <v>4381741</v>
      </c>
      <c r="B21" s="32" t="s">
        <v>17</v>
      </c>
      <c r="C21" s="33" t="s">
        <v>17</v>
      </c>
      <c r="D21" s="35" t="s">
        <v>477</v>
      </c>
      <c r="E21" s="45">
        <v>0.40540509259259261</v>
      </c>
      <c r="F21" s="32" t="s">
        <v>515</v>
      </c>
      <c r="G21" s="32">
        <v>221</v>
      </c>
      <c r="H2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1" s="36" t="str">
        <f>IF(Faturamento[[#This Row],[Cen.]]="","",IFERROR(VLOOKUP(Faturamento[[#This Row],[Cen.]],Dados_Empresas[],2,FALSE),"Verificar empresa"))</f>
        <v>EMBRATEL</v>
      </c>
      <c r="J21" s="36" t="str">
        <f>IF(Faturamento[[#This Row],[Cen.]]="","",IF(OR(Faturamento[[#This Row],[Cen.]]="N190",Faturamento[[#This Row],[Cen.]]="N193"),"NET","EMPRESARIAL"))</f>
        <v>EMPRESARIAL</v>
      </c>
      <c r="K21" s="36" t="str">
        <f>IF(Faturamento[[#This Row],[Hora]]="","",CONCATENATE(LEFT(TEXT(Faturamento[[#This Row],[Hora]],"hh"),2)," h"))</f>
        <v>09 h</v>
      </c>
    </row>
    <row r="22" spans="1:11" x14ac:dyDescent="0.25">
      <c r="A22" s="32">
        <v>4382277</v>
      </c>
      <c r="B22" s="32" t="s">
        <v>17</v>
      </c>
      <c r="C22" s="33" t="s">
        <v>17</v>
      </c>
      <c r="D22" s="35" t="s">
        <v>477</v>
      </c>
      <c r="E22" s="45">
        <v>0.40155092592592595</v>
      </c>
      <c r="F22" s="32" t="s">
        <v>516</v>
      </c>
      <c r="G22" s="32">
        <v>221</v>
      </c>
      <c r="H2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2" s="36" t="str">
        <f>IF(Faturamento[[#This Row],[Cen.]]="","",IFERROR(VLOOKUP(Faturamento[[#This Row],[Cen.]],Dados_Empresas[],2,FALSE),"Verificar empresa"))</f>
        <v>EMBRATEL</v>
      </c>
      <c r="J22" s="36" t="str">
        <f>IF(Faturamento[[#This Row],[Cen.]]="","",IF(OR(Faturamento[[#This Row],[Cen.]]="N190",Faturamento[[#This Row],[Cen.]]="N193"),"NET","EMPRESARIAL"))</f>
        <v>EMPRESARIAL</v>
      </c>
      <c r="K22" s="36" t="str">
        <f>IF(Faturamento[[#This Row],[Hora]]="","",CONCATENATE(LEFT(TEXT(Faturamento[[#This Row],[Hora]],"hh"),2)," h"))</f>
        <v>09 h</v>
      </c>
    </row>
    <row r="23" spans="1:11" x14ac:dyDescent="0.25">
      <c r="A23" s="32">
        <v>4381709</v>
      </c>
      <c r="B23" s="32" t="s">
        <v>17</v>
      </c>
      <c r="C23" s="33" t="s">
        <v>17</v>
      </c>
      <c r="D23" s="35" t="s">
        <v>477</v>
      </c>
      <c r="E23" s="45">
        <v>0.41222222222222221</v>
      </c>
      <c r="F23" s="32" t="s">
        <v>517</v>
      </c>
      <c r="G23" s="32">
        <v>221</v>
      </c>
      <c r="H2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3" s="36" t="str">
        <f>IF(Faturamento[[#This Row],[Cen.]]="","",IFERROR(VLOOKUP(Faturamento[[#This Row],[Cen.]],Dados_Empresas[],2,FALSE),"Verificar empresa"))</f>
        <v>EMBRATEL</v>
      </c>
      <c r="J23" s="36" t="str">
        <f>IF(Faturamento[[#This Row],[Cen.]]="","",IF(OR(Faturamento[[#This Row],[Cen.]]="N190",Faturamento[[#This Row],[Cen.]]="N193"),"NET","EMPRESARIAL"))</f>
        <v>EMPRESARIAL</v>
      </c>
      <c r="K23" s="36" t="str">
        <f>IF(Faturamento[[#This Row],[Hora]]="","",CONCATENATE(LEFT(TEXT(Faturamento[[#This Row],[Hora]],"hh"),2)," h"))</f>
        <v>09 h</v>
      </c>
    </row>
    <row r="24" spans="1:11" x14ac:dyDescent="0.25">
      <c r="A24" s="32">
        <v>4381716</v>
      </c>
      <c r="B24" s="32" t="s">
        <v>17</v>
      </c>
      <c r="C24" s="33" t="s">
        <v>17</v>
      </c>
      <c r="D24" s="35" t="s">
        <v>477</v>
      </c>
      <c r="E24" s="45">
        <v>0.41076388888888887</v>
      </c>
      <c r="F24" s="32" t="s">
        <v>518</v>
      </c>
      <c r="G24" s="32">
        <v>221</v>
      </c>
      <c r="H2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4" s="36" t="str">
        <f>IF(Faturamento[[#This Row],[Cen.]]="","",IFERROR(VLOOKUP(Faturamento[[#This Row],[Cen.]],Dados_Empresas[],2,FALSE),"Verificar empresa"))</f>
        <v>EMBRATEL</v>
      </c>
      <c r="J24" s="36" t="str">
        <f>IF(Faturamento[[#This Row],[Cen.]]="","",IF(OR(Faturamento[[#This Row],[Cen.]]="N190",Faturamento[[#This Row],[Cen.]]="N193"),"NET","EMPRESARIAL"))</f>
        <v>EMPRESARIAL</v>
      </c>
      <c r="K24" s="36" t="str">
        <f>IF(Faturamento[[#This Row],[Hora]]="","",CONCATENATE(LEFT(TEXT(Faturamento[[#This Row],[Hora]],"hh"),2)," h"))</f>
        <v>09 h</v>
      </c>
    </row>
    <row r="25" spans="1:11" x14ac:dyDescent="0.25">
      <c r="A25" s="32">
        <v>4381725</v>
      </c>
      <c r="B25" s="32" t="s">
        <v>17</v>
      </c>
      <c r="C25" s="33" t="s">
        <v>17</v>
      </c>
      <c r="D25" s="35" t="s">
        <v>477</v>
      </c>
      <c r="E25" s="45">
        <v>0.41415509259259259</v>
      </c>
      <c r="F25" s="32" t="s">
        <v>519</v>
      </c>
      <c r="G25" s="32">
        <v>221</v>
      </c>
      <c r="H2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5" s="36" t="str">
        <f>IF(Faturamento[[#This Row],[Cen.]]="","",IFERROR(VLOOKUP(Faturamento[[#This Row],[Cen.]],Dados_Empresas[],2,FALSE),"Verificar empresa"))</f>
        <v>EMBRATEL</v>
      </c>
      <c r="J25" s="36" t="str">
        <f>IF(Faturamento[[#This Row],[Cen.]]="","",IF(OR(Faturamento[[#This Row],[Cen.]]="N190",Faturamento[[#This Row],[Cen.]]="N193"),"NET","EMPRESARIAL"))</f>
        <v>EMPRESARIAL</v>
      </c>
      <c r="K25" s="36" t="str">
        <f>IF(Faturamento[[#This Row],[Hora]]="","",CONCATENATE(LEFT(TEXT(Faturamento[[#This Row],[Hora]],"hh"),2)," h"))</f>
        <v>09 h</v>
      </c>
    </row>
    <row r="26" spans="1:11" x14ac:dyDescent="0.25">
      <c r="A26" s="32">
        <v>4381732</v>
      </c>
      <c r="B26" s="32" t="s">
        <v>17</v>
      </c>
      <c r="C26" s="33" t="s">
        <v>17</v>
      </c>
      <c r="D26" s="35" t="s">
        <v>477</v>
      </c>
      <c r="E26" s="45">
        <v>0.41302083333333334</v>
      </c>
      <c r="F26" s="32" t="s">
        <v>520</v>
      </c>
      <c r="G26" s="32">
        <v>221</v>
      </c>
      <c r="H2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6" s="36" t="str">
        <f>IF(Faturamento[[#This Row],[Cen.]]="","",IFERROR(VLOOKUP(Faturamento[[#This Row],[Cen.]],Dados_Empresas[],2,FALSE),"Verificar empresa"))</f>
        <v>EMBRATEL</v>
      </c>
      <c r="J26" s="36" t="str">
        <f>IF(Faturamento[[#This Row],[Cen.]]="","",IF(OR(Faturamento[[#This Row],[Cen.]]="N190",Faturamento[[#This Row],[Cen.]]="N193"),"NET","EMPRESARIAL"))</f>
        <v>EMPRESARIAL</v>
      </c>
      <c r="K26" s="36" t="str">
        <f>IF(Faturamento[[#This Row],[Hora]]="","",CONCATENATE(LEFT(TEXT(Faturamento[[#This Row],[Hora]],"hh"),2)," h"))</f>
        <v>09 h</v>
      </c>
    </row>
    <row r="27" spans="1:11" x14ac:dyDescent="0.25">
      <c r="A27" s="32">
        <v>4381749</v>
      </c>
      <c r="B27" s="32" t="s">
        <v>17</v>
      </c>
      <c r="C27" s="33" t="s">
        <v>17</v>
      </c>
      <c r="D27" s="35" t="s">
        <v>477</v>
      </c>
      <c r="E27" s="45">
        <v>0.41229166666666667</v>
      </c>
      <c r="F27" s="32" t="s">
        <v>521</v>
      </c>
      <c r="G27" s="32">
        <v>221</v>
      </c>
      <c r="H2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7" s="36" t="str">
        <f>IF(Faturamento[[#This Row],[Cen.]]="","",IFERROR(VLOOKUP(Faturamento[[#This Row],[Cen.]],Dados_Empresas[],2,FALSE),"Verificar empresa"))</f>
        <v>EMBRATEL</v>
      </c>
      <c r="J27" s="36" t="str">
        <f>IF(Faturamento[[#This Row],[Cen.]]="","",IF(OR(Faturamento[[#This Row],[Cen.]]="N190",Faturamento[[#This Row],[Cen.]]="N193"),"NET","EMPRESARIAL"))</f>
        <v>EMPRESARIAL</v>
      </c>
      <c r="K27" s="36" t="str">
        <f>IF(Faturamento[[#This Row],[Hora]]="","",CONCATENATE(LEFT(TEXT(Faturamento[[#This Row],[Hora]],"hh"),2)," h"))</f>
        <v>09 h</v>
      </c>
    </row>
    <row r="28" spans="1:11" x14ac:dyDescent="0.25">
      <c r="A28" s="32">
        <v>4381740</v>
      </c>
      <c r="B28" s="32" t="s">
        <v>17</v>
      </c>
      <c r="C28" s="33" t="s">
        <v>17</v>
      </c>
      <c r="D28" s="35" t="s">
        <v>477</v>
      </c>
      <c r="E28" s="45">
        <v>0.41315972222222225</v>
      </c>
      <c r="F28" s="32" t="s">
        <v>522</v>
      </c>
      <c r="G28" s="32">
        <v>221</v>
      </c>
      <c r="H2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8" s="36" t="str">
        <f>IF(Faturamento[[#This Row],[Cen.]]="","",IFERROR(VLOOKUP(Faturamento[[#This Row],[Cen.]],Dados_Empresas[],2,FALSE),"Verificar empresa"))</f>
        <v>EMBRATEL</v>
      </c>
      <c r="J28" s="36" t="str">
        <f>IF(Faturamento[[#This Row],[Cen.]]="","",IF(OR(Faturamento[[#This Row],[Cen.]]="N190",Faturamento[[#This Row],[Cen.]]="N193"),"NET","EMPRESARIAL"))</f>
        <v>EMPRESARIAL</v>
      </c>
      <c r="K28" s="36" t="str">
        <f>IF(Faturamento[[#This Row],[Hora]]="","",CONCATENATE(LEFT(TEXT(Faturamento[[#This Row],[Hora]],"hh"),2)," h"))</f>
        <v>09 h</v>
      </c>
    </row>
    <row r="29" spans="1:11" x14ac:dyDescent="0.25">
      <c r="A29" s="32">
        <v>4381735</v>
      </c>
      <c r="B29" s="32" t="s">
        <v>17</v>
      </c>
      <c r="C29" s="33" t="s">
        <v>17</v>
      </c>
      <c r="D29" s="35" t="s">
        <v>477</v>
      </c>
      <c r="E29" s="45">
        <v>0.41149305555555554</v>
      </c>
      <c r="F29" s="32" t="s">
        <v>523</v>
      </c>
      <c r="G29" s="32">
        <v>221</v>
      </c>
      <c r="H2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29" s="36" t="str">
        <f>IF(Faturamento[[#This Row],[Cen.]]="","",IFERROR(VLOOKUP(Faturamento[[#This Row],[Cen.]],Dados_Empresas[],2,FALSE),"Verificar empresa"))</f>
        <v>EMBRATEL</v>
      </c>
      <c r="J29" s="36" t="str">
        <f>IF(Faturamento[[#This Row],[Cen.]]="","",IF(OR(Faturamento[[#This Row],[Cen.]]="N190",Faturamento[[#This Row],[Cen.]]="N193"),"NET","EMPRESARIAL"))</f>
        <v>EMPRESARIAL</v>
      </c>
      <c r="K29" s="36" t="str">
        <f>IF(Faturamento[[#This Row],[Hora]]="","",CONCATENATE(LEFT(TEXT(Faturamento[[#This Row],[Hora]],"hh"),2)," h"))</f>
        <v>09 h</v>
      </c>
    </row>
    <row r="30" spans="1:11" x14ac:dyDescent="0.25">
      <c r="A30" s="32">
        <v>4380947</v>
      </c>
      <c r="B30" s="32" t="s">
        <v>524</v>
      </c>
      <c r="C30" s="33" t="s">
        <v>19</v>
      </c>
      <c r="D30" s="35" t="s">
        <v>477</v>
      </c>
      <c r="E30" s="45">
        <v>0.41497685185185185</v>
      </c>
      <c r="F30" s="32" t="s">
        <v>525</v>
      </c>
      <c r="G30" s="32" t="s">
        <v>308</v>
      </c>
      <c r="H3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0" s="36" t="str">
        <f>IF(Faturamento[[#This Row],[Cen.]]="","",IFERROR(VLOOKUP(Faturamento[[#This Row],[Cen.]],Dados_Empresas[],2,FALSE),"Verificar empresa"))</f>
        <v>Verificar empresa</v>
      </c>
      <c r="J30" s="36" t="str">
        <f>IF(Faturamento[[#This Row],[Cen.]]="","",IF(OR(Faturamento[[#This Row],[Cen.]]="N190",Faturamento[[#This Row],[Cen.]]="N193"),"NET","EMPRESARIAL"))</f>
        <v>EMPRESARIAL</v>
      </c>
      <c r="K30" s="36" t="str">
        <f>IF(Faturamento[[#This Row],[Hora]]="","",CONCATENATE(LEFT(TEXT(Faturamento[[#This Row],[Hora]],"hh"),2)," h"))</f>
        <v>09 h</v>
      </c>
    </row>
    <row r="31" spans="1:11" x14ac:dyDescent="0.25">
      <c r="A31" s="32">
        <v>4379735</v>
      </c>
      <c r="B31" s="32" t="s">
        <v>21</v>
      </c>
      <c r="C31" s="33" t="s">
        <v>19</v>
      </c>
      <c r="D31" s="35" t="s">
        <v>477</v>
      </c>
      <c r="E31" s="45">
        <v>0.32699074074074075</v>
      </c>
      <c r="F31" s="32" t="s">
        <v>481</v>
      </c>
      <c r="G31" s="32" t="s">
        <v>192</v>
      </c>
      <c r="H3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1" s="36" t="str">
        <f>IF(Faturamento[[#This Row],[Cen.]]="","",IFERROR(VLOOKUP(Faturamento[[#This Row],[Cen.]],Dados_Empresas[],2,FALSE),"Verificar empresa"))</f>
        <v>NET MASSIVO</v>
      </c>
      <c r="J31" s="36" t="str">
        <f>IF(Faturamento[[#This Row],[Cen.]]="","",IF(OR(Faturamento[[#This Row],[Cen.]]="N190",Faturamento[[#This Row],[Cen.]]="N193"),"NET","EMPRESARIAL"))</f>
        <v>NET</v>
      </c>
      <c r="K31" s="36" t="str">
        <f>IF(Faturamento[[#This Row],[Hora]]="","",CONCATENATE(LEFT(TEXT(Faturamento[[#This Row],[Hora]],"hh"),2)," h"))</f>
        <v>07 h</v>
      </c>
    </row>
    <row r="32" spans="1:11" x14ac:dyDescent="0.25">
      <c r="A32" s="32">
        <v>4379695</v>
      </c>
      <c r="B32" s="32" t="s">
        <v>21</v>
      </c>
      <c r="C32" s="33" t="s">
        <v>19</v>
      </c>
      <c r="D32" s="35" t="s">
        <v>477</v>
      </c>
      <c r="E32" s="45">
        <v>0.33384259259259258</v>
      </c>
      <c r="F32" s="32" t="s">
        <v>479</v>
      </c>
      <c r="G32" s="32" t="s">
        <v>185</v>
      </c>
      <c r="H3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2" s="36" t="str">
        <f>IF(Faturamento[[#This Row],[Cen.]]="","",IFERROR(VLOOKUP(Faturamento[[#This Row],[Cen.]],Dados_Empresas[],2,FALSE),"Verificar empresa"))</f>
        <v>NET MASSIVO</v>
      </c>
      <c r="J32" s="36" t="str">
        <f>IF(Faturamento[[#This Row],[Cen.]]="","",IF(OR(Faturamento[[#This Row],[Cen.]]="N190",Faturamento[[#This Row],[Cen.]]="N193"),"NET","EMPRESARIAL"))</f>
        <v>NET</v>
      </c>
      <c r="K32" s="36" t="str">
        <f>IF(Faturamento[[#This Row],[Hora]]="","",CONCATENATE(LEFT(TEXT(Faturamento[[#This Row],[Hora]],"hh"),2)," h"))</f>
        <v>08 h</v>
      </c>
    </row>
    <row r="33" spans="1:11" x14ac:dyDescent="0.25">
      <c r="A33" s="32">
        <v>4379707</v>
      </c>
      <c r="B33" s="32" t="s">
        <v>21</v>
      </c>
      <c r="C33" s="33" t="s">
        <v>19</v>
      </c>
      <c r="D33" s="35" t="s">
        <v>477</v>
      </c>
      <c r="E33" s="45">
        <v>0.33392361111111113</v>
      </c>
      <c r="F33" s="32" t="s">
        <v>480</v>
      </c>
      <c r="G33" s="32" t="s">
        <v>185</v>
      </c>
      <c r="H3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3" s="36" t="str">
        <f>IF(Faturamento[[#This Row],[Cen.]]="","",IFERROR(VLOOKUP(Faturamento[[#This Row],[Cen.]],Dados_Empresas[],2,FALSE),"Verificar empresa"))</f>
        <v>NET MASSIVO</v>
      </c>
      <c r="J33" s="36" t="str">
        <f>IF(Faturamento[[#This Row],[Cen.]]="","",IF(OR(Faturamento[[#This Row],[Cen.]]="N190",Faturamento[[#This Row],[Cen.]]="N193"),"NET","EMPRESARIAL"))</f>
        <v>NET</v>
      </c>
      <c r="K33" s="36" t="str">
        <f>IF(Faturamento[[#This Row],[Hora]]="","",CONCATENATE(LEFT(TEXT(Faturamento[[#This Row],[Hora]],"hh"),2)," h"))</f>
        <v>08 h</v>
      </c>
    </row>
    <row r="34" spans="1:11" x14ac:dyDescent="0.25">
      <c r="A34" s="32">
        <v>4379696</v>
      </c>
      <c r="B34" s="32" t="s">
        <v>21</v>
      </c>
      <c r="C34" s="33" t="s">
        <v>19</v>
      </c>
      <c r="D34" s="35" t="s">
        <v>477</v>
      </c>
      <c r="E34" s="45">
        <v>0.33387731481481481</v>
      </c>
      <c r="F34" s="32" t="s">
        <v>478</v>
      </c>
      <c r="G34" s="32" t="s">
        <v>185</v>
      </c>
      <c r="H3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4" s="36" t="str">
        <f>IF(Faturamento[[#This Row],[Cen.]]="","",IFERROR(VLOOKUP(Faturamento[[#This Row],[Cen.]],Dados_Empresas[],2,FALSE),"Verificar empresa"))</f>
        <v>NET MASSIVO</v>
      </c>
      <c r="J34" s="36" t="str">
        <f>IF(Faturamento[[#This Row],[Cen.]]="","",IF(OR(Faturamento[[#This Row],[Cen.]]="N190",Faturamento[[#This Row],[Cen.]]="N193"),"NET","EMPRESARIAL"))</f>
        <v>NET</v>
      </c>
      <c r="K34" s="36" t="str">
        <f>IF(Faturamento[[#This Row],[Hora]]="","",CONCATENATE(LEFT(TEXT(Faturamento[[#This Row],[Hora]],"hh"),2)," h"))</f>
        <v>08 h</v>
      </c>
    </row>
    <row r="35" spans="1:11" x14ac:dyDescent="0.25">
      <c r="A35" s="32">
        <v>4383618</v>
      </c>
      <c r="B35" s="32" t="s">
        <v>21</v>
      </c>
      <c r="C35" s="33" t="s">
        <v>490</v>
      </c>
      <c r="D35" s="35" t="s">
        <v>477</v>
      </c>
      <c r="E35" s="45">
        <v>0.3528472222222222</v>
      </c>
      <c r="F35" s="32" t="s">
        <v>491</v>
      </c>
      <c r="G35" s="32">
        <v>541</v>
      </c>
      <c r="H3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5" s="36" t="str">
        <f>IF(Faturamento[[#This Row],[Cen.]]="","",IFERROR(VLOOKUP(Faturamento[[#This Row],[Cen.]],Dados_Empresas[],2,FALSE),"Verificar empresa"))</f>
        <v>NET MASSIVO</v>
      </c>
      <c r="J35" s="36" t="str">
        <f>IF(Faturamento[[#This Row],[Cen.]]="","",IF(OR(Faturamento[[#This Row],[Cen.]]="N190",Faturamento[[#This Row],[Cen.]]="N193"),"NET","EMPRESARIAL"))</f>
        <v>NET</v>
      </c>
      <c r="K35" s="36" t="str">
        <f>IF(Faturamento[[#This Row],[Hora]]="","",CONCATENATE(LEFT(TEXT(Faturamento[[#This Row],[Hora]],"hh"),2)," h"))</f>
        <v>08 h</v>
      </c>
    </row>
    <row r="36" spans="1:11" x14ac:dyDescent="0.25">
      <c r="A36" s="32">
        <v>4379597</v>
      </c>
      <c r="B36" s="32" t="s">
        <v>21</v>
      </c>
      <c r="C36" s="33" t="s">
        <v>19</v>
      </c>
      <c r="D36" s="35" t="s">
        <v>477</v>
      </c>
      <c r="E36" s="45">
        <v>0.36854166666666666</v>
      </c>
      <c r="F36" s="32" t="s">
        <v>492</v>
      </c>
      <c r="G36" s="32" t="s">
        <v>184</v>
      </c>
      <c r="H3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6" s="36" t="str">
        <f>IF(Faturamento[[#This Row],[Cen.]]="","",IFERROR(VLOOKUP(Faturamento[[#This Row],[Cen.]],Dados_Empresas[],2,FALSE),"Verificar empresa"))</f>
        <v>NET MASSIVO</v>
      </c>
      <c r="J36" s="36" t="str">
        <f>IF(Faturamento[[#This Row],[Cen.]]="","",IF(OR(Faturamento[[#This Row],[Cen.]]="N190",Faturamento[[#This Row],[Cen.]]="N193"),"NET","EMPRESARIAL"))</f>
        <v>NET</v>
      </c>
      <c r="K36" s="36" t="str">
        <f>IF(Faturamento[[#This Row],[Hora]]="","",CONCATENATE(LEFT(TEXT(Faturamento[[#This Row],[Hora]],"hh"),2)," h"))</f>
        <v>08 h</v>
      </c>
    </row>
    <row r="37" spans="1:11" x14ac:dyDescent="0.25">
      <c r="A37" s="32">
        <v>4379703</v>
      </c>
      <c r="B37" s="32" t="s">
        <v>21</v>
      </c>
      <c r="C37" s="33" t="s">
        <v>19</v>
      </c>
      <c r="D37" s="35" t="s">
        <v>477</v>
      </c>
      <c r="E37" s="45">
        <v>0.37833333333333335</v>
      </c>
      <c r="F37" s="32" t="s">
        <v>493</v>
      </c>
      <c r="G37" s="32" t="s">
        <v>185</v>
      </c>
      <c r="H3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7" s="36" t="str">
        <f>IF(Faturamento[[#This Row],[Cen.]]="","",IFERROR(VLOOKUP(Faturamento[[#This Row],[Cen.]],Dados_Empresas[],2,FALSE),"Verificar empresa"))</f>
        <v>NET MASSIVO</v>
      </c>
      <c r="J37" s="36" t="str">
        <f>IF(Faturamento[[#This Row],[Cen.]]="","",IF(OR(Faturamento[[#This Row],[Cen.]]="N190",Faturamento[[#This Row],[Cen.]]="N193"),"NET","EMPRESARIAL"))</f>
        <v>NET</v>
      </c>
      <c r="K37" s="36" t="str">
        <f>IF(Faturamento[[#This Row],[Hora]]="","",CONCATENATE(LEFT(TEXT(Faturamento[[#This Row],[Hora]],"hh"),2)," h"))</f>
        <v>09 h</v>
      </c>
    </row>
    <row r="38" spans="1:11" x14ac:dyDescent="0.25">
      <c r="A38" s="32">
        <v>4379584</v>
      </c>
      <c r="B38" s="32" t="s">
        <v>21</v>
      </c>
      <c r="C38" s="33" t="s">
        <v>19</v>
      </c>
      <c r="D38" s="35" t="s">
        <v>477</v>
      </c>
      <c r="E38" s="45">
        <v>0.37714120370370369</v>
      </c>
      <c r="F38" s="32" t="s">
        <v>494</v>
      </c>
      <c r="G38" s="32" t="s">
        <v>185</v>
      </c>
      <c r="H3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8" s="36" t="str">
        <f>IF(Faturamento[[#This Row],[Cen.]]="","",IFERROR(VLOOKUP(Faturamento[[#This Row],[Cen.]],Dados_Empresas[],2,FALSE),"Verificar empresa"))</f>
        <v>NET MASSIVO</v>
      </c>
      <c r="J38" s="36" t="str">
        <f>IF(Faturamento[[#This Row],[Cen.]]="","",IF(OR(Faturamento[[#This Row],[Cen.]]="N190",Faturamento[[#This Row],[Cen.]]="N193"),"NET","EMPRESARIAL"))</f>
        <v>NET</v>
      </c>
      <c r="K38" s="36" t="str">
        <f>IF(Faturamento[[#This Row],[Hora]]="","",CONCATENATE(LEFT(TEXT(Faturamento[[#This Row],[Hora]],"hh"),2)," h"))</f>
        <v>09 h</v>
      </c>
    </row>
    <row r="39" spans="1:11" x14ac:dyDescent="0.25">
      <c r="A39" s="32">
        <v>4379714</v>
      </c>
      <c r="B39" s="32" t="s">
        <v>21</v>
      </c>
      <c r="C39" s="33" t="s">
        <v>19</v>
      </c>
      <c r="D39" s="35" t="s">
        <v>477</v>
      </c>
      <c r="E39" s="45">
        <v>0.38168981481481479</v>
      </c>
      <c r="F39" s="32" t="s">
        <v>526</v>
      </c>
      <c r="G39" s="32" t="s">
        <v>192</v>
      </c>
      <c r="H39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39" s="36" t="str">
        <f>IF(Faturamento[[#This Row],[Cen.]]="","",IFERROR(VLOOKUP(Faturamento[[#This Row],[Cen.]],Dados_Empresas[],2,FALSE),"Verificar empresa"))</f>
        <v>NET MASSIVO</v>
      </c>
      <c r="J39" s="36" t="str">
        <f>IF(Faturamento[[#This Row],[Cen.]]="","",IF(OR(Faturamento[[#This Row],[Cen.]]="N190",Faturamento[[#This Row],[Cen.]]="N193"),"NET","EMPRESARIAL"))</f>
        <v>NET</v>
      </c>
      <c r="K39" s="36" t="str">
        <f>IF(Faturamento[[#This Row],[Hora]]="","",CONCATENATE(LEFT(TEXT(Faturamento[[#This Row],[Hora]],"hh"),2)," h"))</f>
        <v>09 h</v>
      </c>
    </row>
    <row r="40" spans="1:11" x14ac:dyDescent="0.25">
      <c r="A40" s="32">
        <v>4379720</v>
      </c>
      <c r="B40" s="32" t="s">
        <v>21</v>
      </c>
      <c r="C40" s="33" t="s">
        <v>19</v>
      </c>
      <c r="D40" s="35" t="s">
        <v>477</v>
      </c>
      <c r="E40" s="45">
        <v>0.38341435185185185</v>
      </c>
      <c r="F40" s="32" t="s">
        <v>527</v>
      </c>
      <c r="G40" s="32" t="s">
        <v>192</v>
      </c>
      <c r="H40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0" s="36" t="str">
        <f>IF(Faturamento[[#This Row],[Cen.]]="","",IFERROR(VLOOKUP(Faturamento[[#This Row],[Cen.]],Dados_Empresas[],2,FALSE),"Verificar empresa"))</f>
        <v>NET MASSIVO</v>
      </c>
      <c r="J40" s="36" t="str">
        <f>IF(Faturamento[[#This Row],[Cen.]]="","",IF(OR(Faturamento[[#This Row],[Cen.]]="N190",Faturamento[[#This Row],[Cen.]]="N193"),"NET","EMPRESARIAL"))</f>
        <v>NET</v>
      </c>
      <c r="K40" s="36" t="str">
        <f>IF(Faturamento[[#This Row],[Hora]]="","",CONCATENATE(LEFT(TEXT(Faturamento[[#This Row],[Hora]],"hh"),2)," h"))</f>
        <v>09 h</v>
      </c>
    </row>
    <row r="41" spans="1:11" x14ac:dyDescent="0.25">
      <c r="A41" s="32">
        <v>4379736</v>
      </c>
      <c r="B41" s="32" t="s">
        <v>21</v>
      </c>
      <c r="C41" s="33" t="s">
        <v>19</v>
      </c>
      <c r="D41" s="35" t="s">
        <v>477</v>
      </c>
      <c r="E41" s="45">
        <v>0.38642361111111112</v>
      </c>
      <c r="F41" s="32" t="s">
        <v>528</v>
      </c>
      <c r="G41" s="32" t="s">
        <v>192</v>
      </c>
      <c r="H41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1" s="36" t="str">
        <f>IF(Faturamento[[#This Row],[Cen.]]="","",IFERROR(VLOOKUP(Faturamento[[#This Row],[Cen.]],Dados_Empresas[],2,FALSE),"Verificar empresa"))</f>
        <v>NET MASSIVO</v>
      </c>
      <c r="J41" s="36" t="str">
        <f>IF(Faturamento[[#This Row],[Cen.]]="","",IF(OR(Faturamento[[#This Row],[Cen.]]="N190",Faturamento[[#This Row],[Cen.]]="N193"),"NET","EMPRESARIAL"))</f>
        <v>NET</v>
      </c>
      <c r="K41" s="36" t="str">
        <f>IF(Faturamento[[#This Row],[Hora]]="","",CONCATENATE(LEFT(TEXT(Faturamento[[#This Row],[Hora]],"hh"),2)," h"))</f>
        <v>09 h</v>
      </c>
    </row>
    <row r="42" spans="1:11" x14ac:dyDescent="0.25">
      <c r="A42" s="32">
        <v>4379721</v>
      </c>
      <c r="B42" s="32" t="s">
        <v>21</v>
      </c>
      <c r="C42" s="33" t="s">
        <v>19</v>
      </c>
      <c r="D42" s="35" t="s">
        <v>477</v>
      </c>
      <c r="E42" s="45">
        <v>0.38774305555555555</v>
      </c>
      <c r="F42" s="32" t="s">
        <v>529</v>
      </c>
      <c r="G42" s="32" t="s">
        <v>192</v>
      </c>
      <c r="H42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2" s="36" t="str">
        <f>IF(Faturamento[[#This Row],[Cen.]]="","",IFERROR(VLOOKUP(Faturamento[[#This Row],[Cen.]],Dados_Empresas[],2,FALSE),"Verificar empresa"))</f>
        <v>NET MASSIVO</v>
      </c>
      <c r="J42" s="36" t="str">
        <f>IF(Faturamento[[#This Row],[Cen.]]="","",IF(OR(Faturamento[[#This Row],[Cen.]]="N190",Faturamento[[#This Row],[Cen.]]="N193"),"NET","EMPRESARIAL"))</f>
        <v>NET</v>
      </c>
      <c r="K42" s="36" t="str">
        <f>IF(Faturamento[[#This Row],[Hora]]="","",CONCATENATE(LEFT(TEXT(Faturamento[[#This Row],[Hora]],"hh"),2)," h"))</f>
        <v>09 h</v>
      </c>
    </row>
    <row r="43" spans="1:11" x14ac:dyDescent="0.25">
      <c r="A43" s="32">
        <v>4379731</v>
      </c>
      <c r="B43" s="32" t="s">
        <v>21</v>
      </c>
      <c r="C43" s="33" t="s">
        <v>19</v>
      </c>
      <c r="D43" s="35" t="s">
        <v>477</v>
      </c>
      <c r="E43" s="45">
        <v>0.38980324074074074</v>
      </c>
      <c r="F43" s="32" t="s">
        <v>530</v>
      </c>
      <c r="G43" s="32" t="s">
        <v>192</v>
      </c>
      <c r="H43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3" s="36" t="str">
        <f>IF(Faturamento[[#This Row],[Cen.]]="","",IFERROR(VLOOKUP(Faturamento[[#This Row],[Cen.]],Dados_Empresas[],2,FALSE),"Verificar empresa"))</f>
        <v>NET MASSIVO</v>
      </c>
      <c r="J43" s="36" t="str">
        <f>IF(Faturamento[[#This Row],[Cen.]]="","",IF(OR(Faturamento[[#This Row],[Cen.]]="N190",Faturamento[[#This Row],[Cen.]]="N193"),"NET","EMPRESARIAL"))</f>
        <v>NET</v>
      </c>
      <c r="K43" s="36" t="str">
        <f>IF(Faturamento[[#This Row],[Hora]]="","",CONCATENATE(LEFT(TEXT(Faturamento[[#This Row],[Hora]],"hh"),2)," h"))</f>
        <v>09 h</v>
      </c>
    </row>
    <row r="44" spans="1:11" x14ac:dyDescent="0.25">
      <c r="A44" s="32">
        <v>4379582</v>
      </c>
      <c r="B44" s="32" t="s">
        <v>21</v>
      </c>
      <c r="C44" s="33" t="s">
        <v>19</v>
      </c>
      <c r="D44" s="35" t="s">
        <v>477</v>
      </c>
      <c r="E44" s="45">
        <v>0.39649305555555553</v>
      </c>
      <c r="F44" s="32" t="s">
        <v>531</v>
      </c>
      <c r="G44" s="32" t="s">
        <v>185</v>
      </c>
      <c r="H44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4" s="36" t="str">
        <f>IF(Faturamento[[#This Row],[Cen.]]="","",IFERROR(VLOOKUP(Faturamento[[#This Row],[Cen.]],Dados_Empresas[],2,FALSE),"Verificar empresa"))</f>
        <v>NET MASSIVO</v>
      </c>
      <c r="J44" s="36" t="str">
        <f>IF(Faturamento[[#This Row],[Cen.]]="","",IF(OR(Faturamento[[#This Row],[Cen.]]="N190",Faturamento[[#This Row],[Cen.]]="N193"),"NET","EMPRESARIAL"))</f>
        <v>NET</v>
      </c>
      <c r="K44" s="36" t="str">
        <f>IF(Faturamento[[#This Row],[Hora]]="","",CONCATENATE(LEFT(TEXT(Faturamento[[#This Row],[Hora]],"hh"),2)," h"))</f>
        <v>09 h</v>
      </c>
    </row>
    <row r="45" spans="1:11" x14ac:dyDescent="0.25">
      <c r="A45" s="32">
        <v>4379667</v>
      </c>
      <c r="B45" s="32" t="s">
        <v>21</v>
      </c>
      <c r="C45" s="33" t="s">
        <v>19</v>
      </c>
      <c r="D45" s="35" t="s">
        <v>477</v>
      </c>
      <c r="E45" s="45">
        <v>0.40350694444444446</v>
      </c>
      <c r="F45" s="32" t="s">
        <v>532</v>
      </c>
      <c r="G45" s="32" t="s">
        <v>185</v>
      </c>
      <c r="H45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5" s="36" t="str">
        <f>IF(Faturamento[[#This Row],[Cen.]]="","",IFERROR(VLOOKUP(Faturamento[[#This Row],[Cen.]],Dados_Empresas[],2,FALSE),"Verificar empresa"))</f>
        <v>NET MASSIVO</v>
      </c>
      <c r="J45" s="36" t="str">
        <f>IF(Faturamento[[#This Row],[Cen.]]="","",IF(OR(Faturamento[[#This Row],[Cen.]]="N190",Faturamento[[#This Row],[Cen.]]="N193"),"NET","EMPRESARIAL"))</f>
        <v>NET</v>
      </c>
      <c r="K45" s="36" t="str">
        <f>IF(Faturamento[[#This Row],[Hora]]="","",CONCATENATE(LEFT(TEXT(Faturamento[[#This Row],[Hora]],"hh"),2)," h"))</f>
        <v>09 h</v>
      </c>
    </row>
    <row r="46" spans="1:11" x14ac:dyDescent="0.25">
      <c r="A46" s="32">
        <v>4383196</v>
      </c>
      <c r="B46" s="32" t="s">
        <v>21</v>
      </c>
      <c r="C46" s="33" t="s">
        <v>21</v>
      </c>
      <c r="D46" s="35" t="s">
        <v>477</v>
      </c>
      <c r="E46" s="45">
        <v>0.40355324074074073</v>
      </c>
      <c r="F46" s="32" t="s">
        <v>533</v>
      </c>
      <c r="G46" s="32" t="s">
        <v>184</v>
      </c>
      <c r="H46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6" s="36" t="str">
        <f>IF(Faturamento[[#This Row],[Cen.]]="","",IFERROR(VLOOKUP(Faturamento[[#This Row],[Cen.]],Dados_Empresas[],2,FALSE),"Verificar empresa"))</f>
        <v>NET MASSIVO</v>
      </c>
      <c r="J46" s="36" t="str">
        <f>IF(Faturamento[[#This Row],[Cen.]]="","",IF(OR(Faturamento[[#This Row],[Cen.]]="N190",Faturamento[[#This Row],[Cen.]]="N193"),"NET","EMPRESARIAL"))</f>
        <v>NET</v>
      </c>
      <c r="K46" s="36" t="str">
        <f>IF(Faturamento[[#This Row],[Hora]]="","",CONCATENATE(LEFT(TEXT(Faturamento[[#This Row],[Hora]],"hh"),2)," h"))</f>
        <v>09 h</v>
      </c>
    </row>
    <row r="47" spans="1:11" x14ac:dyDescent="0.25">
      <c r="A47" s="32">
        <v>4379596</v>
      </c>
      <c r="B47" s="32" t="s">
        <v>21</v>
      </c>
      <c r="C47" s="33" t="s">
        <v>19</v>
      </c>
      <c r="D47" s="35" t="s">
        <v>477</v>
      </c>
      <c r="E47" s="45">
        <v>0.4034490740740741</v>
      </c>
      <c r="F47" s="32" t="s">
        <v>534</v>
      </c>
      <c r="G47" s="32" t="s">
        <v>185</v>
      </c>
      <c r="H47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7" s="36" t="str">
        <f>IF(Faturamento[[#This Row],[Cen.]]="","",IFERROR(VLOOKUP(Faturamento[[#This Row],[Cen.]],Dados_Empresas[],2,FALSE),"Verificar empresa"))</f>
        <v>NET MASSIVO</v>
      </c>
      <c r="J47" s="36" t="str">
        <f>IF(Faturamento[[#This Row],[Cen.]]="","",IF(OR(Faturamento[[#This Row],[Cen.]]="N190",Faturamento[[#This Row],[Cen.]]="N193"),"NET","EMPRESARIAL"))</f>
        <v>NET</v>
      </c>
      <c r="K47" s="36" t="str">
        <f>IF(Faturamento[[#This Row],[Hora]]="","",CONCATENATE(LEFT(TEXT(Faturamento[[#This Row],[Hora]],"hh"),2)," h"))</f>
        <v>09 h</v>
      </c>
    </row>
    <row r="48" spans="1:11" x14ac:dyDescent="0.25">
      <c r="A48" s="32">
        <v>4379638</v>
      </c>
      <c r="B48" s="32" t="s">
        <v>21</v>
      </c>
      <c r="C48" s="33" t="s">
        <v>21</v>
      </c>
      <c r="D48" s="35" t="s">
        <v>477</v>
      </c>
      <c r="E48" s="45">
        <v>0.41726851851851854</v>
      </c>
      <c r="F48" s="32" t="s">
        <v>535</v>
      </c>
      <c r="G48" s="32" t="s">
        <v>184</v>
      </c>
      <c r="H48" s="36" t="str">
        <f>IF(Faturamento[[#This Row],[Hora]]="","",IF(AND(Faturamento[[#This Row],[Hora]]&gt;=TIME(0,0,0),Faturamento[[#This Row],[Hora]]&lt;TIME(6,0,0)),"MADRUGADA",IF(AND(Faturamento[[#This Row],[Hora]]&gt;=TIME(6,0,0),Faturamento[[#This Row],[Hora]]&lt;TIME(12,0,0)),"MANHÃ",IF(AND(Faturamento[[#This Row],[Hora]]&gt;=TIME(12,0,0),Faturamento[[#This Row],[Hora]]&lt;TIME(18,0,0)),"TARDE","NOITE"))))</f>
        <v>MANHÃ</v>
      </c>
      <c r="I48" s="36" t="str">
        <f>IF(Faturamento[[#This Row],[Cen.]]="","",IFERROR(VLOOKUP(Faturamento[[#This Row],[Cen.]],Dados_Empresas[],2,FALSE),"Verificar empresa"))</f>
        <v>NET MASSIVO</v>
      </c>
      <c r="J48" s="36" t="str">
        <f>IF(Faturamento[[#This Row],[Cen.]]="","",IF(OR(Faturamento[[#This Row],[Cen.]]="N190",Faturamento[[#This Row],[Cen.]]="N193"),"NET","EMPRESARIAL"))</f>
        <v>NET</v>
      </c>
      <c r="K48" s="36" t="str">
        <f>IF(Faturamento[[#This Row],[Hora]]="","",CONCATENATE(LEFT(TEXT(Faturamento[[#This Row],[Hora]],"hh"),2)," h"))</f>
        <v>10 h</v>
      </c>
    </row>
    <row r="49" spans="1:11" x14ac:dyDescent="0.25">
      <c r="A49"/>
      <c r="B49"/>
      <c r="C49"/>
      <c r="D49"/>
      <c r="E49"/>
      <c r="F49"/>
      <c r="G49"/>
      <c r="H49"/>
      <c r="I49"/>
      <c r="J49"/>
      <c r="K49"/>
    </row>
    <row r="50" spans="1:11" x14ac:dyDescent="0.25">
      <c r="A50"/>
      <c r="B50"/>
      <c r="C50"/>
      <c r="D50"/>
      <c r="E50"/>
      <c r="F50"/>
      <c r="G50"/>
      <c r="H50"/>
      <c r="I50"/>
      <c r="J50"/>
      <c r="K50"/>
    </row>
    <row r="51" spans="1:11" x14ac:dyDescent="0.25">
      <c r="A51"/>
      <c r="B51"/>
      <c r="C51"/>
      <c r="D51"/>
      <c r="E51"/>
      <c r="F51"/>
      <c r="G51"/>
      <c r="H51"/>
      <c r="I51"/>
      <c r="J51"/>
      <c r="K51"/>
    </row>
    <row r="52" spans="1:11" x14ac:dyDescent="0.25">
      <c r="A52"/>
      <c r="B52"/>
      <c r="C52"/>
      <c r="D52"/>
      <c r="E52"/>
      <c r="F52"/>
      <c r="G52"/>
      <c r="H52"/>
      <c r="I52"/>
      <c r="J52"/>
      <c r="K52"/>
    </row>
    <row r="53" spans="1:11" x14ac:dyDescent="0.25">
      <c r="A53"/>
      <c r="B53"/>
      <c r="C53"/>
      <c r="D53"/>
      <c r="E53"/>
      <c r="F53"/>
      <c r="G53"/>
      <c r="H53"/>
      <c r="I53"/>
      <c r="J53"/>
      <c r="K53"/>
    </row>
    <row r="54" spans="1:11" x14ac:dyDescent="0.25">
      <c r="A54"/>
      <c r="B54"/>
      <c r="C54"/>
      <c r="D54"/>
      <c r="E54"/>
      <c r="F54"/>
      <c r="G54"/>
      <c r="H54"/>
      <c r="I54"/>
      <c r="J54"/>
      <c r="K54"/>
    </row>
    <row r="55" spans="1:11" x14ac:dyDescent="0.25">
      <c r="A55"/>
      <c r="B55"/>
      <c r="C55"/>
      <c r="D55"/>
      <c r="E55"/>
      <c r="F55"/>
      <c r="G55"/>
      <c r="H55"/>
      <c r="I55"/>
      <c r="J55"/>
      <c r="K55"/>
    </row>
    <row r="56" spans="1:11" x14ac:dyDescent="0.25">
      <c r="A56"/>
      <c r="B56"/>
      <c r="C56"/>
      <c r="D56"/>
      <c r="E56"/>
      <c r="F56"/>
      <c r="G56"/>
      <c r="H56"/>
      <c r="I56"/>
      <c r="J56"/>
      <c r="K56"/>
    </row>
    <row r="57" spans="1:11" x14ac:dyDescent="0.25">
      <c r="A57"/>
      <c r="B57"/>
      <c r="C57"/>
      <c r="D57"/>
      <c r="E57"/>
      <c r="F57"/>
      <c r="G57"/>
      <c r="H57"/>
      <c r="I57"/>
      <c r="J57"/>
      <c r="K57"/>
    </row>
    <row r="58" spans="1:11" x14ac:dyDescent="0.25">
      <c r="A58"/>
      <c r="B58"/>
      <c r="C58"/>
      <c r="D58"/>
      <c r="E58"/>
      <c r="F58"/>
      <c r="G58"/>
      <c r="H58"/>
      <c r="I58"/>
      <c r="J58"/>
      <c r="K58"/>
    </row>
    <row r="59" spans="1:11" x14ac:dyDescent="0.25">
      <c r="A59"/>
      <c r="B59"/>
      <c r="C59"/>
      <c r="D59"/>
      <c r="E59"/>
      <c r="F59"/>
      <c r="G59"/>
      <c r="H59"/>
      <c r="I59"/>
      <c r="J59"/>
      <c r="K59"/>
    </row>
    <row r="60" spans="1:11" x14ac:dyDescent="0.25">
      <c r="A60"/>
      <c r="B60"/>
      <c r="C60"/>
      <c r="D60"/>
      <c r="E60"/>
      <c r="F60"/>
      <c r="G60"/>
      <c r="H60"/>
      <c r="I60"/>
      <c r="J60"/>
      <c r="K60"/>
    </row>
    <row r="61" spans="1:11" x14ac:dyDescent="0.25">
      <c r="A61"/>
      <c r="B61"/>
      <c r="C61"/>
      <c r="D61"/>
      <c r="E61"/>
      <c r="F61"/>
      <c r="G61"/>
      <c r="H61"/>
      <c r="I61"/>
      <c r="J61"/>
      <c r="K61"/>
    </row>
    <row r="62" spans="1:11" x14ac:dyDescent="0.25">
      <c r="A62"/>
      <c r="B62"/>
      <c r="C62"/>
      <c r="D62"/>
      <c r="E62"/>
      <c r="F62"/>
      <c r="G62"/>
      <c r="H62"/>
      <c r="I62"/>
      <c r="J62"/>
      <c r="K62"/>
    </row>
    <row r="63" spans="1:11" x14ac:dyDescent="0.25">
      <c r="A63"/>
      <c r="B63"/>
      <c r="C63"/>
      <c r="D63"/>
      <c r="E63"/>
      <c r="F63"/>
      <c r="G63"/>
      <c r="H63"/>
      <c r="I63"/>
      <c r="J63"/>
      <c r="K63"/>
    </row>
    <row r="64" spans="1:11" x14ac:dyDescent="0.25">
      <c r="A64"/>
      <c r="B64"/>
      <c r="C64"/>
      <c r="D64"/>
      <c r="E64"/>
      <c r="F64"/>
      <c r="G64"/>
      <c r="H64"/>
      <c r="I64"/>
      <c r="J64"/>
      <c r="K64"/>
    </row>
    <row r="65" spans="1:11" x14ac:dyDescent="0.25">
      <c r="A65"/>
      <c r="B65"/>
      <c r="C65"/>
      <c r="D65"/>
      <c r="E65"/>
      <c r="F65"/>
      <c r="G65"/>
      <c r="H65"/>
      <c r="I65"/>
      <c r="J65"/>
      <c r="K65"/>
    </row>
    <row r="66" spans="1:11" x14ac:dyDescent="0.25">
      <c r="A66"/>
      <c r="B66"/>
      <c r="C66"/>
      <c r="D66"/>
      <c r="E66"/>
      <c r="F66"/>
      <c r="G66"/>
      <c r="H66"/>
      <c r="I66"/>
      <c r="J66"/>
      <c r="K66"/>
    </row>
    <row r="67" spans="1:11" x14ac:dyDescent="0.25">
      <c r="A67"/>
      <c r="B67"/>
      <c r="C67"/>
      <c r="D67"/>
      <c r="E67"/>
      <c r="F67"/>
      <c r="G67"/>
      <c r="H67"/>
      <c r="I67"/>
      <c r="J67"/>
      <c r="K67"/>
    </row>
    <row r="68" spans="1:11" x14ac:dyDescent="0.25">
      <c r="A68"/>
      <c r="B68"/>
      <c r="C68"/>
      <c r="D68"/>
      <c r="E68"/>
      <c r="F68"/>
      <c r="G68"/>
      <c r="H68"/>
      <c r="I68"/>
      <c r="J68"/>
      <c r="K68"/>
    </row>
    <row r="69" spans="1:11" x14ac:dyDescent="0.25">
      <c r="A69"/>
      <c r="B69"/>
      <c r="C69"/>
      <c r="D69"/>
      <c r="E69"/>
      <c r="F69"/>
      <c r="G69"/>
      <c r="H69"/>
      <c r="I69"/>
      <c r="J69"/>
      <c r="K69"/>
    </row>
    <row r="70" spans="1:11" x14ac:dyDescent="0.25">
      <c r="A70"/>
      <c r="B70"/>
      <c r="C70"/>
      <c r="D70"/>
      <c r="E70"/>
      <c r="F70"/>
      <c r="G70"/>
      <c r="H70"/>
      <c r="I70"/>
      <c r="J70"/>
      <c r="K70"/>
    </row>
    <row r="71" spans="1:11" x14ac:dyDescent="0.25">
      <c r="A71"/>
      <c r="B71"/>
      <c r="C71"/>
      <c r="D71"/>
      <c r="E71"/>
      <c r="F71"/>
      <c r="G71"/>
      <c r="H71"/>
      <c r="I71"/>
      <c r="J71"/>
      <c r="K71"/>
    </row>
    <row r="72" spans="1:11" x14ac:dyDescent="0.25">
      <c r="A72"/>
      <c r="B72"/>
      <c r="C72"/>
      <c r="D72"/>
      <c r="E72"/>
      <c r="F72"/>
      <c r="G72"/>
      <c r="H72"/>
      <c r="I72"/>
      <c r="J72"/>
      <c r="K72"/>
    </row>
    <row r="73" spans="1:11" x14ac:dyDescent="0.25">
      <c r="A73"/>
      <c r="B73"/>
      <c r="C73"/>
      <c r="D73"/>
      <c r="E73"/>
      <c r="F73"/>
      <c r="G73"/>
      <c r="H73"/>
      <c r="I73"/>
      <c r="J73"/>
      <c r="K73"/>
    </row>
    <row r="74" spans="1:11" x14ac:dyDescent="0.25">
      <c r="A74"/>
      <c r="B74"/>
      <c r="C74"/>
      <c r="D74"/>
      <c r="E74"/>
      <c r="F74"/>
      <c r="G74"/>
      <c r="H74"/>
      <c r="I74"/>
      <c r="J74"/>
      <c r="K74"/>
    </row>
    <row r="75" spans="1:11" x14ac:dyDescent="0.25">
      <c r="A75"/>
      <c r="B75"/>
      <c r="C75"/>
      <c r="D75"/>
      <c r="E75"/>
      <c r="F75"/>
      <c r="G75"/>
      <c r="H75"/>
      <c r="I75"/>
      <c r="J75"/>
      <c r="K75"/>
    </row>
    <row r="76" spans="1:11" x14ac:dyDescent="0.25">
      <c r="A76"/>
      <c r="B76"/>
      <c r="C76"/>
      <c r="D76"/>
      <c r="E76"/>
      <c r="F76"/>
      <c r="G76"/>
      <c r="H76"/>
      <c r="I76"/>
      <c r="J76"/>
      <c r="K76"/>
    </row>
    <row r="77" spans="1:11" x14ac:dyDescent="0.25">
      <c r="A77"/>
      <c r="B77"/>
      <c r="C77"/>
      <c r="D77"/>
      <c r="E77"/>
      <c r="F77"/>
      <c r="G77"/>
      <c r="H77"/>
      <c r="I77"/>
      <c r="J77"/>
      <c r="K77"/>
    </row>
    <row r="78" spans="1:11" x14ac:dyDescent="0.25">
      <c r="A78"/>
      <c r="B78"/>
      <c r="C78"/>
      <c r="D78"/>
      <c r="E78"/>
      <c r="F78"/>
      <c r="G78"/>
      <c r="H78"/>
      <c r="I78"/>
      <c r="J78"/>
      <c r="K78"/>
    </row>
    <row r="79" spans="1:11" x14ac:dyDescent="0.25">
      <c r="A79"/>
      <c r="B79"/>
      <c r="C79"/>
      <c r="D79"/>
      <c r="E79"/>
      <c r="F79"/>
      <c r="G79"/>
      <c r="H79"/>
      <c r="I79"/>
      <c r="J79"/>
      <c r="K79"/>
    </row>
    <row r="80" spans="1:11" x14ac:dyDescent="0.25">
      <c r="A80"/>
      <c r="B80"/>
      <c r="C80"/>
      <c r="D80"/>
      <c r="E80"/>
      <c r="F80"/>
      <c r="G80"/>
      <c r="H80"/>
      <c r="I80"/>
      <c r="J80"/>
      <c r="K80"/>
    </row>
    <row r="81" spans="1:11" x14ac:dyDescent="0.25">
      <c r="A81"/>
      <c r="B81"/>
      <c r="C81"/>
      <c r="D81"/>
      <c r="E81"/>
      <c r="F81"/>
      <c r="G81"/>
      <c r="H81"/>
      <c r="I81"/>
      <c r="J81"/>
      <c r="K81"/>
    </row>
    <row r="82" spans="1:11" x14ac:dyDescent="0.25">
      <c r="A82"/>
      <c r="B82"/>
      <c r="C82"/>
      <c r="D82"/>
      <c r="E82"/>
      <c r="F82"/>
      <c r="G82"/>
      <c r="H82"/>
      <c r="I82"/>
      <c r="J82"/>
      <c r="K82"/>
    </row>
    <row r="83" spans="1:11" x14ac:dyDescent="0.25">
      <c r="A83"/>
      <c r="B83"/>
      <c r="C83"/>
      <c r="D83"/>
      <c r="E83"/>
      <c r="F83"/>
      <c r="G83"/>
      <c r="H83"/>
      <c r="I83"/>
      <c r="J83"/>
      <c r="K83"/>
    </row>
    <row r="84" spans="1:11" x14ac:dyDescent="0.25">
      <c r="A84"/>
      <c r="B84"/>
      <c r="C84"/>
      <c r="D84"/>
      <c r="E84"/>
      <c r="F84"/>
      <c r="G84"/>
      <c r="H84"/>
      <c r="I84"/>
      <c r="J84"/>
      <c r="K84"/>
    </row>
    <row r="85" spans="1:11" x14ac:dyDescent="0.25">
      <c r="A85"/>
      <c r="B85"/>
      <c r="C85"/>
      <c r="D85"/>
      <c r="E85"/>
      <c r="F85"/>
      <c r="G85"/>
      <c r="H85"/>
      <c r="I85"/>
      <c r="J85"/>
      <c r="K85"/>
    </row>
    <row r="86" spans="1:11" x14ac:dyDescent="0.25">
      <c r="A86"/>
      <c r="B86"/>
      <c r="C86"/>
      <c r="D86"/>
      <c r="E86"/>
      <c r="F86"/>
      <c r="G86"/>
      <c r="H86"/>
      <c r="I86"/>
      <c r="J86"/>
      <c r="K86"/>
    </row>
    <row r="87" spans="1:11" x14ac:dyDescent="0.25">
      <c r="A87"/>
      <c r="B87"/>
      <c r="C87"/>
      <c r="D87"/>
      <c r="E87"/>
      <c r="F87"/>
      <c r="G87"/>
      <c r="H87"/>
      <c r="I87"/>
      <c r="J87"/>
      <c r="K87"/>
    </row>
    <row r="88" spans="1:11" x14ac:dyDescent="0.25">
      <c r="A88"/>
      <c r="B88"/>
      <c r="C88"/>
      <c r="D88"/>
      <c r="E88"/>
      <c r="F88"/>
      <c r="G88"/>
      <c r="H88"/>
      <c r="I88"/>
      <c r="J88"/>
      <c r="K88"/>
    </row>
    <row r="89" spans="1:11" x14ac:dyDescent="0.25">
      <c r="A89"/>
      <c r="B89"/>
      <c r="C89"/>
      <c r="D89"/>
      <c r="E89"/>
      <c r="F89"/>
      <c r="G89"/>
      <c r="H89"/>
      <c r="I89"/>
      <c r="J89"/>
      <c r="K89"/>
    </row>
    <row r="90" spans="1:11" x14ac:dyDescent="0.25">
      <c r="A90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/>
      <c r="B92"/>
      <c r="C92"/>
      <c r="D92"/>
      <c r="E92"/>
      <c r="F92"/>
      <c r="G92"/>
      <c r="H92"/>
      <c r="I92"/>
      <c r="J92"/>
      <c r="K92"/>
    </row>
    <row r="93" spans="1:11" x14ac:dyDescent="0.25">
      <c r="A93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x14ac:dyDescent="0.25">
      <c r="A95"/>
      <c r="B95"/>
      <c r="C95"/>
      <c r="D95"/>
      <c r="E95"/>
      <c r="F95"/>
      <c r="G95"/>
      <c r="H95"/>
      <c r="I95"/>
      <c r="J95"/>
      <c r="K95"/>
    </row>
    <row r="96" spans="1:11" x14ac:dyDescent="0.25">
      <c r="A96"/>
      <c r="B96"/>
      <c r="C96"/>
      <c r="D96"/>
      <c r="E96"/>
      <c r="F96"/>
      <c r="G96"/>
      <c r="H96"/>
      <c r="I96"/>
      <c r="J96"/>
      <c r="K96"/>
    </row>
    <row r="97" spans="1:11" x14ac:dyDescent="0.25">
      <c r="A97"/>
      <c r="B97"/>
      <c r="C97"/>
      <c r="D97"/>
      <c r="E97"/>
      <c r="F97"/>
      <c r="G97"/>
      <c r="H97"/>
      <c r="I97"/>
      <c r="J97"/>
      <c r="K97"/>
    </row>
    <row r="98" spans="1:11" x14ac:dyDescent="0.25">
      <c r="A98"/>
      <c r="B98"/>
      <c r="C98"/>
      <c r="D98"/>
      <c r="E98"/>
      <c r="F98"/>
      <c r="G98"/>
      <c r="H98"/>
      <c r="I98"/>
      <c r="J98"/>
      <c r="K98"/>
    </row>
    <row r="99" spans="1:11" x14ac:dyDescent="0.25">
      <c r="A99"/>
      <c r="B99"/>
      <c r="C99"/>
      <c r="D99"/>
      <c r="E99"/>
      <c r="F99"/>
      <c r="G99"/>
      <c r="H99"/>
      <c r="I99"/>
      <c r="J99"/>
      <c r="K99"/>
    </row>
    <row r="100" spans="1:11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x14ac:dyDescent="0.25">
      <c r="A657"/>
      <c r="B657"/>
      <c r="C657"/>
      <c r="D657"/>
      <c r="E657"/>
      <c r="F657"/>
      <c r="G657"/>
      <c r="H657"/>
      <c r="I657"/>
      <c r="J657"/>
      <c r="K65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B25"/>
  <dimension ref="A1:O1993"/>
  <sheetViews>
    <sheetView showGridLines="0" topLeftCell="M1" workbookViewId="0">
      <selection activeCell="T1" sqref="T1:W1993"/>
    </sheetView>
  </sheetViews>
  <sheetFormatPr defaultColWidth="9" defaultRowHeight="15" x14ac:dyDescent="0.25"/>
  <cols>
    <col min="1" max="1" width="11.7109375" bestFit="1" customWidth="1"/>
    <col min="2" max="2" width="9" bestFit="1" customWidth="1"/>
    <col min="3" max="3" width="9.140625" bestFit="1" customWidth="1"/>
    <col min="4" max="4" width="13.140625" bestFit="1" customWidth="1"/>
    <col min="5" max="5" width="8.85546875" bestFit="1" customWidth="1"/>
    <col min="6" max="6" width="12.140625" bestFit="1" customWidth="1"/>
    <col min="7" max="7" width="39.42578125" bestFit="1" customWidth="1"/>
    <col min="8" max="8" width="9.28515625" bestFit="1" customWidth="1"/>
    <col min="9" max="9" width="9" bestFit="1" customWidth="1"/>
    <col min="10" max="10" width="12.7109375" bestFit="1" customWidth="1"/>
    <col min="11" max="11" width="15.85546875" bestFit="1" customWidth="1"/>
    <col min="12" max="12" width="22.7109375" bestFit="1" customWidth="1"/>
    <col min="13" max="13" width="18" bestFit="1" customWidth="1"/>
    <col min="14" max="14" width="12.85546875" bestFit="1" customWidth="1"/>
    <col min="15" max="15" width="14.28515625" bestFit="1" customWidth="1"/>
    <col min="23" max="23" width="10.42578125" bestFit="1" customWidth="1"/>
  </cols>
  <sheetData>
    <row r="1" spans="1:15" ht="57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25</v>
      </c>
      <c r="F1" s="8" t="s">
        <v>29</v>
      </c>
      <c r="G1" s="8" t="s">
        <v>30</v>
      </c>
      <c r="H1" s="8" t="s">
        <v>31</v>
      </c>
      <c r="I1" s="8" t="s">
        <v>32</v>
      </c>
      <c r="J1" s="8" t="s">
        <v>33</v>
      </c>
      <c r="K1" s="8" t="s">
        <v>34</v>
      </c>
      <c r="L1" s="8" t="s">
        <v>35</v>
      </c>
      <c r="M1" s="8" t="s">
        <v>13</v>
      </c>
      <c r="N1" s="8" t="s">
        <v>36</v>
      </c>
      <c r="O1" s="8" t="s">
        <v>37</v>
      </c>
    </row>
    <row r="2" spans="1:15" x14ac:dyDescent="0.25">
      <c r="A2" s="26">
        <v>4380794</v>
      </c>
      <c r="B2" s="26" t="s">
        <v>17</v>
      </c>
      <c r="C2" s="27" t="s">
        <v>17</v>
      </c>
      <c r="D2" s="34">
        <v>45448</v>
      </c>
      <c r="E2" s="26">
        <v>221</v>
      </c>
      <c r="F2" s="26">
        <v>30058425</v>
      </c>
      <c r="G2" s="26" t="s">
        <v>312</v>
      </c>
      <c r="H2" s="26" t="s">
        <v>38</v>
      </c>
      <c r="I2" s="26">
        <v>1</v>
      </c>
      <c r="J2" s="26">
        <f>IF(MB25_VOLUMETRIA[[#This Row],[Reserva]]="","",1)</f>
        <v>1</v>
      </c>
      <c r="K2" s="26" t="str">
        <f>IF(MB25_VOLUMETRIA[[#This Row],[Reserva]]="","",IFERROR(VLOOKUP(MB25_VOLUMETRIA[[#This Row],[UMB]],CHAVE[],2,FALSE),"VERIFICAR"))</f>
        <v>Unidade</v>
      </c>
      <c r="L2" s="26" t="str">
        <f>IF(MB25_VOLUMETRIA[[#This Row],[Reserva]]="","",IFERROR(VLOOKUP(MB25_VOLUMETRIA[[#This Row],[Reserva]],Tabela3[[Reserva]:[Condição para Faturamento]],20,FALSE),"IMPORTADO COM SUCESSO"))</f>
        <v>EM FATURAMENTO</v>
      </c>
      <c r="M2" s="26" t="str">
        <f ca="1">IFERROR(VLOOKUP(MB25_VOLUMETRIA[[#This Row],[Reserva]],RES_AB[],14,FALSE),"")</f>
        <v>PLANO DO DIA</v>
      </c>
      <c r="N2" s="26" t="str">
        <f>IF(MB25_VOLUMETRIA[[#This Row],[Cen.]]="","",IFERROR(VLOOKUP(MB25_VOLUMETRIA[[#This Row],[Cen.]],Dados_Empresas[],2,FALSE),"Verificar empresa"))</f>
        <v>EMBRATEL</v>
      </c>
      <c r="O2" s="26" t="str">
        <f>IF(MB25_VOLUMETRIA[[#This Row],[EMPRESA]]="","",IF(OR(MB25_VOLUMETRIA[[#This Row],[EMPRESA]]="NET MASSIVO",MB25_VOLUMETRIA[[#This Row],[EMPRESA]]="NET PROJETOS"),"NET","EMPRESARIAL"))</f>
        <v>EMPRESARIAL</v>
      </c>
    </row>
    <row r="3" spans="1:15" x14ac:dyDescent="0.25">
      <c r="A3" s="32">
        <v>4380794</v>
      </c>
      <c r="B3" s="32" t="s">
        <v>17</v>
      </c>
      <c r="C3" s="33" t="s">
        <v>17</v>
      </c>
      <c r="D3" s="35">
        <v>45448</v>
      </c>
      <c r="E3" s="32">
        <v>221</v>
      </c>
      <c r="F3" s="32">
        <v>22043918</v>
      </c>
      <c r="G3" s="32" t="s">
        <v>374</v>
      </c>
      <c r="H3" s="26" t="s">
        <v>38</v>
      </c>
      <c r="I3" s="36">
        <v>2</v>
      </c>
      <c r="J3" s="32">
        <f>IF(MB25_VOLUMETRIA[[#This Row],[Reserva]]="","",1)</f>
        <v>1</v>
      </c>
      <c r="K3" s="36" t="str">
        <f>IF(MB25_VOLUMETRIA[[#This Row],[Reserva]]="","",IFERROR(VLOOKUP(MB25_VOLUMETRIA[[#This Row],[UMB]],CHAVE[],2,FALSE),"VERIFICAR"))</f>
        <v>Unidade</v>
      </c>
      <c r="L3" s="32" t="str">
        <f>IF(MB25_VOLUMETRIA[[#This Row],[Reserva]]="","",IFERROR(VLOOKUP(MB25_VOLUMETRIA[[#This Row],[Reserva]],Tabela3[[Reserva]:[Condição para Faturamento]],20,FALSE),"IMPORTADO COM SUCESSO"))</f>
        <v>EM FATURAMENTO</v>
      </c>
      <c r="M3" s="32" t="str">
        <f ca="1">IFERROR(VLOOKUP(MB25_VOLUMETRIA[[#This Row],[Reserva]],RES_AB[],14,FALSE),"")</f>
        <v>PLANO DO DIA</v>
      </c>
      <c r="N3" s="32" t="str">
        <f>IF(MB25_VOLUMETRIA[[#This Row],[Cen.]]="","",IFERROR(VLOOKUP(MB25_VOLUMETRIA[[#This Row],[Cen.]],Dados_Empresas[],2,FALSE),"Verificar empresa"))</f>
        <v>EMBRATEL</v>
      </c>
      <c r="O3" s="32" t="str">
        <f>IF(MB25_VOLUMETRIA[[#This Row],[EMPRESA]]="","",IF(OR(MB25_VOLUMETRIA[[#This Row],[EMPRESA]]="NET MASSIVO",MB25_VOLUMETRIA[[#This Row],[EMPRESA]]="NET PROJETOS"),"NET","EMPRESARIAL"))</f>
        <v>EMPRESARIAL</v>
      </c>
    </row>
    <row r="4" spans="1:15" x14ac:dyDescent="0.25">
      <c r="A4" s="32">
        <v>4380796</v>
      </c>
      <c r="B4" s="32" t="s">
        <v>17</v>
      </c>
      <c r="C4" s="33" t="s">
        <v>17</v>
      </c>
      <c r="D4" s="35">
        <v>45448</v>
      </c>
      <c r="E4" s="32">
        <v>221</v>
      </c>
      <c r="F4" s="32">
        <v>30058425</v>
      </c>
      <c r="G4" s="32" t="s">
        <v>312</v>
      </c>
      <c r="H4" s="26" t="s">
        <v>38</v>
      </c>
      <c r="I4" s="36">
        <v>2</v>
      </c>
      <c r="J4" s="32">
        <f>IF(MB25_VOLUMETRIA[[#This Row],[Reserva]]="","",1)</f>
        <v>1</v>
      </c>
      <c r="K4" s="36" t="str">
        <f>IF(MB25_VOLUMETRIA[[#This Row],[Reserva]]="","",IFERROR(VLOOKUP(MB25_VOLUMETRIA[[#This Row],[UMB]],CHAVE[],2,FALSE),"VERIFICAR"))</f>
        <v>Unidade</v>
      </c>
      <c r="L4" s="32" t="str">
        <f>IF(MB25_VOLUMETRIA[[#This Row],[Reserva]]="","",IFERROR(VLOOKUP(MB25_VOLUMETRIA[[#This Row],[Reserva]],Tabela3[[Reserva]:[Condição para Faturamento]],20,FALSE),"IMPORTADO COM SUCESSO"))</f>
        <v>EM FATURAMENTO</v>
      </c>
      <c r="M4" s="32" t="str">
        <f ca="1">IFERROR(VLOOKUP(MB25_VOLUMETRIA[[#This Row],[Reserva]],RES_AB[],14,FALSE),"")</f>
        <v>PLANO DO DIA</v>
      </c>
      <c r="N4" s="32" t="str">
        <f>IF(MB25_VOLUMETRIA[[#This Row],[Cen.]]="","",IFERROR(VLOOKUP(MB25_VOLUMETRIA[[#This Row],[Cen.]],Dados_Empresas[],2,FALSE),"Verificar empresa"))</f>
        <v>EMBRATEL</v>
      </c>
      <c r="O4" s="32" t="str">
        <f>IF(MB25_VOLUMETRIA[[#This Row],[EMPRESA]]="","",IF(OR(MB25_VOLUMETRIA[[#This Row],[EMPRESA]]="NET MASSIVO",MB25_VOLUMETRIA[[#This Row],[EMPRESA]]="NET PROJETOS"),"NET","EMPRESARIAL"))</f>
        <v>EMPRESARIAL</v>
      </c>
    </row>
    <row r="5" spans="1:15" x14ac:dyDescent="0.25">
      <c r="A5" s="32">
        <v>4380796</v>
      </c>
      <c r="B5" s="32" t="s">
        <v>17</v>
      </c>
      <c r="C5" s="33" t="s">
        <v>17</v>
      </c>
      <c r="D5" s="35">
        <v>45448</v>
      </c>
      <c r="E5" s="32">
        <v>221</v>
      </c>
      <c r="F5" s="32">
        <v>22043918</v>
      </c>
      <c r="G5" s="32" t="s">
        <v>374</v>
      </c>
      <c r="H5" s="26" t="s">
        <v>38</v>
      </c>
      <c r="I5" s="36">
        <v>4</v>
      </c>
      <c r="J5" s="32">
        <f>IF(MB25_VOLUMETRIA[[#This Row],[Reserva]]="","",1)</f>
        <v>1</v>
      </c>
      <c r="K5" s="36" t="str">
        <f>IF(MB25_VOLUMETRIA[[#This Row],[Reserva]]="","",IFERROR(VLOOKUP(MB25_VOLUMETRIA[[#This Row],[UMB]],CHAVE[],2,FALSE),"VERIFICAR"))</f>
        <v>Unidade</v>
      </c>
      <c r="L5" s="32" t="str">
        <f>IF(MB25_VOLUMETRIA[[#This Row],[Reserva]]="","",IFERROR(VLOOKUP(MB25_VOLUMETRIA[[#This Row],[Reserva]],Tabela3[[Reserva]:[Condição para Faturamento]],20,FALSE),"IMPORTADO COM SUCESSO"))</f>
        <v>EM FATURAMENTO</v>
      </c>
      <c r="M5" s="32" t="str">
        <f ca="1">IFERROR(VLOOKUP(MB25_VOLUMETRIA[[#This Row],[Reserva]],RES_AB[],14,FALSE),"")</f>
        <v>PLANO DO DIA</v>
      </c>
      <c r="N5" s="32" t="str">
        <f>IF(MB25_VOLUMETRIA[[#This Row],[Cen.]]="","",IFERROR(VLOOKUP(MB25_VOLUMETRIA[[#This Row],[Cen.]],Dados_Empresas[],2,FALSE),"Verificar empresa"))</f>
        <v>EMBRATEL</v>
      </c>
      <c r="O5" s="32" t="str">
        <f>IF(MB25_VOLUMETRIA[[#This Row],[EMPRESA]]="","",IF(OR(MB25_VOLUMETRIA[[#This Row],[EMPRESA]]="NET MASSIVO",MB25_VOLUMETRIA[[#This Row],[EMPRESA]]="NET PROJETOS"),"NET","EMPRESARIAL"))</f>
        <v>EMPRESARIAL</v>
      </c>
    </row>
    <row r="6" spans="1:15" x14ac:dyDescent="0.25">
      <c r="A6" s="32">
        <v>4380797</v>
      </c>
      <c r="B6" s="32" t="s">
        <v>17</v>
      </c>
      <c r="C6" s="33" t="s">
        <v>17</v>
      </c>
      <c r="D6" s="35">
        <v>45448</v>
      </c>
      <c r="E6" s="32">
        <v>221</v>
      </c>
      <c r="F6" s="32">
        <v>30058425</v>
      </c>
      <c r="G6" s="32" t="s">
        <v>312</v>
      </c>
      <c r="H6" s="26" t="s">
        <v>38</v>
      </c>
      <c r="I6" s="36">
        <v>2</v>
      </c>
      <c r="J6" s="32">
        <f>IF(MB25_VOLUMETRIA[[#This Row],[Reserva]]="","",1)</f>
        <v>1</v>
      </c>
      <c r="K6" s="36" t="str">
        <f>IF(MB25_VOLUMETRIA[[#This Row],[Reserva]]="","",IFERROR(VLOOKUP(MB25_VOLUMETRIA[[#This Row],[UMB]],CHAVE[],2,FALSE),"VERIFICAR"))</f>
        <v>Unidade</v>
      </c>
      <c r="L6" s="32" t="str">
        <f>IF(MB25_VOLUMETRIA[[#This Row],[Reserva]]="","",IFERROR(VLOOKUP(MB25_VOLUMETRIA[[#This Row],[Reserva]],Tabela3[[Reserva]:[Condição para Faturamento]],20,FALSE),"IMPORTADO COM SUCESSO"))</f>
        <v>EM FATURAMENTO</v>
      </c>
      <c r="M6" s="32" t="str">
        <f ca="1">IFERROR(VLOOKUP(MB25_VOLUMETRIA[[#This Row],[Reserva]],RES_AB[],14,FALSE),"")</f>
        <v>PLANO DO DIA</v>
      </c>
      <c r="N6" s="32" t="str">
        <f>IF(MB25_VOLUMETRIA[[#This Row],[Cen.]]="","",IFERROR(VLOOKUP(MB25_VOLUMETRIA[[#This Row],[Cen.]],Dados_Empresas[],2,FALSE),"Verificar empresa"))</f>
        <v>EMBRATEL</v>
      </c>
      <c r="O6" s="32" t="str">
        <f>IF(MB25_VOLUMETRIA[[#This Row],[EMPRESA]]="","",IF(OR(MB25_VOLUMETRIA[[#This Row],[EMPRESA]]="NET MASSIVO",MB25_VOLUMETRIA[[#This Row],[EMPRESA]]="NET PROJETOS"),"NET","EMPRESARIAL"))</f>
        <v>EMPRESARIAL</v>
      </c>
    </row>
    <row r="7" spans="1:15" x14ac:dyDescent="0.25">
      <c r="A7" s="32">
        <v>4380797</v>
      </c>
      <c r="B7" s="32" t="s">
        <v>17</v>
      </c>
      <c r="C7" s="33" t="s">
        <v>17</v>
      </c>
      <c r="D7" s="35">
        <v>45448</v>
      </c>
      <c r="E7" s="32">
        <v>221</v>
      </c>
      <c r="F7" s="32">
        <v>22043918</v>
      </c>
      <c r="G7" s="32" t="s">
        <v>374</v>
      </c>
      <c r="H7" s="26" t="s">
        <v>38</v>
      </c>
      <c r="I7" s="36">
        <v>4</v>
      </c>
      <c r="J7" s="32">
        <f>IF(MB25_VOLUMETRIA[[#This Row],[Reserva]]="","",1)</f>
        <v>1</v>
      </c>
      <c r="K7" s="36" t="str">
        <f>IF(MB25_VOLUMETRIA[[#This Row],[Reserva]]="","",IFERROR(VLOOKUP(MB25_VOLUMETRIA[[#This Row],[UMB]],CHAVE[],2,FALSE),"VERIFICAR"))</f>
        <v>Unidade</v>
      </c>
      <c r="L7" s="32" t="str">
        <f>IF(MB25_VOLUMETRIA[[#This Row],[Reserva]]="","",IFERROR(VLOOKUP(MB25_VOLUMETRIA[[#This Row],[Reserva]],Tabela3[[Reserva]:[Condição para Faturamento]],20,FALSE),"IMPORTADO COM SUCESSO"))</f>
        <v>EM FATURAMENTO</v>
      </c>
      <c r="M7" s="32" t="str">
        <f ca="1">IFERROR(VLOOKUP(MB25_VOLUMETRIA[[#This Row],[Reserva]],RES_AB[],14,FALSE),"")</f>
        <v>PLANO DO DIA</v>
      </c>
      <c r="N7" s="32" t="str">
        <f>IF(MB25_VOLUMETRIA[[#This Row],[Cen.]]="","",IFERROR(VLOOKUP(MB25_VOLUMETRIA[[#This Row],[Cen.]],Dados_Empresas[],2,FALSE),"Verificar empresa"))</f>
        <v>EMBRATEL</v>
      </c>
      <c r="O7" s="32" t="str">
        <f>IF(MB25_VOLUMETRIA[[#This Row],[EMPRESA]]="","",IF(OR(MB25_VOLUMETRIA[[#This Row],[EMPRESA]]="NET MASSIVO",MB25_VOLUMETRIA[[#This Row],[EMPRESA]]="NET PROJETOS"),"NET","EMPRESARIAL"))</f>
        <v>EMPRESARIAL</v>
      </c>
    </row>
    <row r="8" spans="1:15" x14ac:dyDescent="0.25">
      <c r="A8" s="32">
        <v>4381016</v>
      </c>
      <c r="B8" s="32" t="s">
        <v>17</v>
      </c>
      <c r="C8" s="33" t="s">
        <v>17</v>
      </c>
      <c r="D8" s="35">
        <v>45448</v>
      </c>
      <c r="E8" s="32">
        <v>201</v>
      </c>
      <c r="F8" s="32">
        <v>254543</v>
      </c>
      <c r="G8" s="32" t="s">
        <v>376</v>
      </c>
      <c r="H8" s="26" t="s">
        <v>38</v>
      </c>
      <c r="I8" s="36">
        <v>30</v>
      </c>
      <c r="J8" s="32">
        <f>IF(MB25_VOLUMETRIA[[#This Row],[Reserva]]="","",1)</f>
        <v>1</v>
      </c>
      <c r="K8" s="36" t="str">
        <f>IF(MB25_VOLUMETRIA[[#This Row],[Reserva]]="","",IFERROR(VLOOKUP(MB25_VOLUMETRIA[[#This Row],[UMB]],CHAVE[],2,FALSE),"VERIFICAR"))</f>
        <v>Unidade</v>
      </c>
      <c r="L8" s="32" t="str">
        <f>IF(MB25_VOLUMETRIA[[#This Row],[Reserva]]="","",IFERROR(VLOOKUP(MB25_VOLUMETRIA[[#This Row],[Reserva]],Tabela3[[Reserva]:[Condição para Faturamento]],20,FALSE),"IMPORTADO COM SUCESSO"))</f>
        <v>EM FATURAMENTO</v>
      </c>
      <c r="M8" s="32" t="str">
        <f ca="1">IFERROR(VLOOKUP(MB25_VOLUMETRIA[[#This Row],[Reserva]],RES_AB[],14,FALSE),"")</f>
        <v>PLANO DO DIA</v>
      </c>
      <c r="N8" s="32" t="str">
        <f>IF(MB25_VOLUMETRIA[[#This Row],[Cen.]]="","",IFERROR(VLOOKUP(MB25_VOLUMETRIA[[#This Row],[Cen.]],Dados_Empresas[],2,FALSE),"Verificar empresa"))</f>
        <v>EMBRATEL</v>
      </c>
      <c r="O8" s="32" t="str">
        <f>IF(MB25_VOLUMETRIA[[#This Row],[EMPRESA]]="","",IF(OR(MB25_VOLUMETRIA[[#This Row],[EMPRESA]]="NET MASSIVO",MB25_VOLUMETRIA[[#This Row],[EMPRESA]]="NET PROJETOS"),"NET","EMPRESARIAL"))</f>
        <v>EMPRESARIAL</v>
      </c>
    </row>
    <row r="9" spans="1:15" x14ac:dyDescent="0.25">
      <c r="A9" s="32">
        <v>4381020</v>
      </c>
      <c r="B9" s="32" t="s">
        <v>17</v>
      </c>
      <c r="C9" s="33" t="s">
        <v>17</v>
      </c>
      <c r="D9" s="35">
        <v>45448</v>
      </c>
      <c r="E9" s="32">
        <v>201</v>
      </c>
      <c r="F9" s="32">
        <v>251820</v>
      </c>
      <c r="G9" s="32" t="s">
        <v>262</v>
      </c>
      <c r="H9" s="26" t="s">
        <v>38</v>
      </c>
      <c r="I9" s="36">
        <v>50</v>
      </c>
      <c r="J9" s="32">
        <f>IF(MB25_VOLUMETRIA[[#This Row],[Reserva]]="","",1)</f>
        <v>1</v>
      </c>
      <c r="K9" s="36" t="str">
        <f>IF(MB25_VOLUMETRIA[[#This Row],[Reserva]]="","",IFERROR(VLOOKUP(MB25_VOLUMETRIA[[#This Row],[UMB]],CHAVE[],2,FALSE),"VERIFICAR"))</f>
        <v>Unidade</v>
      </c>
      <c r="L9" s="32" t="str">
        <f>IF(MB25_VOLUMETRIA[[#This Row],[Reserva]]="","",IFERROR(VLOOKUP(MB25_VOLUMETRIA[[#This Row],[Reserva]],Tabela3[[Reserva]:[Condição para Faturamento]],20,FALSE),"IMPORTADO COM SUCESSO"))</f>
        <v>EM CONFERENCIA</v>
      </c>
      <c r="M9" s="32" t="str">
        <f ca="1">IFERROR(VLOOKUP(MB25_VOLUMETRIA[[#This Row],[Reserva]],RES_AB[],14,FALSE),"")</f>
        <v>PLANO DO DIA</v>
      </c>
      <c r="N9" s="32" t="str">
        <f>IF(MB25_VOLUMETRIA[[#This Row],[Cen.]]="","",IFERROR(VLOOKUP(MB25_VOLUMETRIA[[#This Row],[Cen.]],Dados_Empresas[],2,FALSE),"Verificar empresa"))</f>
        <v>EMBRATEL</v>
      </c>
      <c r="O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" spans="1:15" x14ac:dyDescent="0.25">
      <c r="A10" s="32">
        <v>4381020</v>
      </c>
      <c r="B10" s="32" t="s">
        <v>17</v>
      </c>
      <c r="C10" s="33" t="s">
        <v>17</v>
      </c>
      <c r="D10" s="35">
        <v>45448</v>
      </c>
      <c r="E10" s="32">
        <v>201</v>
      </c>
      <c r="F10" s="32">
        <v>251880</v>
      </c>
      <c r="G10" s="32" t="s">
        <v>264</v>
      </c>
      <c r="H10" s="26" t="s">
        <v>38</v>
      </c>
      <c r="I10" s="36">
        <v>50</v>
      </c>
      <c r="J10" s="32">
        <f>IF(MB25_VOLUMETRIA[[#This Row],[Reserva]]="","",1)</f>
        <v>1</v>
      </c>
      <c r="K10" s="36" t="str">
        <f>IF(MB25_VOLUMETRIA[[#This Row],[Reserva]]="","",IFERROR(VLOOKUP(MB25_VOLUMETRIA[[#This Row],[UMB]],CHAVE[],2,FALSE),"VERIFICAR"))</f>
        <v>Unidade</v>
      </c>
      <c r="L10" s="32" t="str">
        <f>IF(MB25_VOLUMETRIA[[#This Row],[Reserva]]="","",IFERROR(VLOOKUP(MB25_VOLUMETRIA[[#This Row],[Reserva]],Tabela3[[Reserva]:[Condição para Faturamento]],20,FALSE),"IMPORTADO COM SUCESSO"))</f>
        <v>EM CONFERENCIA</v>
      </c>
      <c r="M10" s="32" t="str">
        <f ca="1">IFERROR(VLOOKUP(MB25_VOLUMETRIA[[#This Row],[Reserva]],RES_AB[],14,FALSE),"")</f>
        <v>PLANO DO DIA</v>
      </c>
      <c r="N10" s="32" t="str">
        <f>IF(MB25_VOLUMETRIA[[#This Row],[Cen.]]="","",IFERROR(VLOOKUP(MB25_VOLUMETRIA[[#This Row],[Cen.]],Dados_Empresas[],2,FALSE),"Verificar empresa"))</f>
        <v>EMBRATEL</v>
      </c>
      <c r="O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" spans="1:15" x14ac:dyDescent="0.25">
      <c r="A11" s="32">
        <v>4381020</v>
      </c>
      <c r="B11" s="32" t="s">
        <v>17</v>
      </c>
      <c r="C11" s="33" t="s">
        <v>17</v>
      </c>
      <c r="D11" s="35">
        <v>45448</v>
      </c>
      <c r="E11" s="32">
        <v>201</v>
      </c>
      <c r="F11" s="32">
        <v>252274</v>
      </c>
      <c r="G11" s="32" t="s">
        <v>266</v>
      </c>
      <c r="H11" s="26" t="s">
        <v>38</v>
      </c>
      <c r="I11" s="36">
        <v>100</v>
      </c>
      <c r="J11" s="32">
        <f>IF(MB25_VOLUMETRIA[[#This Row],[Reserva]]="","",1)</f>
        <v>1</v>
      </c>
      <c r="K11" s="36" t="str">
        <f>IF(MB25_VOLUMETRIA[[#This Row],[Reserva]]="","",IFERROR(VLOOKUP(MB25_VOLUMETRIA[[#This Row],[UMB]],CHAVE[],2,FALSE),"VERIFICAR"))</f>
        <v>Unidade</v>
      </c>
      <c r="L11" s="32" t="str">
        <f>IF(MB25_VOLUMETRIA[[#This Row],[Reserva]]="","",IFERROR(VLOOKUP(MB25_VOLUMETRIA[[#This Row],[Reserva]],Tabela3[[Reserva]:[Condição para Faturamento]],20,FALSE),"IMPORTADO COM SUCESSO"))</f>
        <v>EM CONFERENCIA</v>
      </c>
      <c r="M11" s="32" t="str">
        <f ca="1">IFERROR(VLOOKUP(MB25_VOLUMETRIA[[#This Row],[Reserva]],RES_AB[],14,FALSE),"")</f>
        <v>PLANO DO DIA</v>
      </c>
      <c r="N11" s="32" t="str">
        <f>IF(MB25_VOLUMETRIA[[#This Row],[Cen.]]="","",IFERROR(VLOOKUP(MB25_VOLUMETRIA[[#This Row],[Cen.]],Dados_Empresas[],2,FALSE),"Verificar empresa"))</f>
        <v>EMBRATEL</v>
      </c>
      <c r="O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" spans="1:15" x14ac:dyDescent="0.25">
      <c r="A12" s="32">
        <v>4381020</v>
      </c>
      <c r="B12" s="32" t="s">
        <v>17</v>
      </c>
      <c r="C12" s="33" t="s">
        <v>17</v>
      </c>
      <c r="D12" s="35">
        <v>45448</v>
      </c>
      <c r="E12" s="32">
        <v>201</v>
      </c>
      <c r="F12" s="32">
        <v>252265</v>
      </c>
      <c r="G12" s="32" t="s">
        <v>265</v>
      </c>
      <c r="H12" s="26" t="s">
        <v>38</v>
      </c>
      <c r="I12" s="36">
        <v>200</v>
      </c>
      <c r="J12" s="32">
        <f>IF(MB25_VOLUMETRIA[[#This Row],[Reserva]]="","",1)</f>
        <v>1</v>
      </c>
      <c r="K12" s="36" t="str">
        <f>IF(MB25_VOLUMETRIA[[#This Row],[Reserva]]="","",IFERROR(VLOOKUP(MB25_VOLUMETRIA[[#This Row],[UMB]],CHAVE[],2,FALSE),"VERIFICAR"))</f>
        <v>Unidade</v>
      </c>
      <c r="L12" s="32" t="str">
        <f>IF(MB25_VOLUMETRIA[[#This Row],[Reserva]]="","",IFERROR(VLOOKUP(MB25_VOLUMETRIA[[#This Row],[Reserva]],Tabela3[[Reserva]:[Condição para Faturamento]],20,FALSE),"IMPORTADO COM SUCESSO"))</f>
        <v>EM CONFERENCIA</v>
      </c>
      <c r="M12" s="32" t="str">
        <f ca="1">IFERROR(VLOOKUP(MB25_VOLUMETRIA[[#This Row],[Reserva]],RES_AB[],14,FALSE),"")</f>
        <v>PLANO DO DIA</v>
      </c>
      <c r="N12" s="32" t="str">
        <f>IF(MB25_VOLUMETRIA[[#This Row],[Cen.]]="","",IFERROR(VLOOKUP(MB25_VOLUMETRIA[[#This Row],[Cen.]],Dados_Empresas[],2,FALSE),"Verificar empresa"))</f>
        <v>EMBRATEL</v>
      </c>
      <c r="O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" spans="1:15" x14ac:dyDescent="0.25">
      <c r="A13" s="32">
        <v>4381020</v>
      </c>
      <c r="B13" s="32" t="s">
        <v>17</v>
      </c>
      <c r="C13" s="33" t="s">
        <v>17</v>
      </c>
      <c r="D13" s="35">
        <v>45448</v>
      </c>
      <c r="E13" s="32">
        <v>201</v>
      </c>
      <c r="F13" s="32">
        <v>253067</v>
      </c>
      <c r="G13" s="32" t="s">
        <v>284</v>
      </c>
      <c r="H13" s="26" t="s">
        <v>38</v>
      </c>
      <c r="I13" s="36">
        <v>200</v>
      </c>
      <c r="J13" s="32">
        <f>IF(MB25_VOLUMETRIA[[#This Row],[Reserva]]="","",1)</f>
        <v>1</v>
      </c>
      <c r="K13" s="36" t="str">
        <f>IF(MB25_VOLUMETRIA[[#This Row],[Reserva]]="","",IFERROR(VLOOKUP(MB25_VOLUMETRIA[[#This Row],[UMB]],CHAVE[],2,FALSE),"VERIFICAR"))</f>
        <v>Unidade</v>
      </c>
      <c r="L13" s="32" t="str">
        <f>IF(MB25_VOLUMETRIA[[#This Row],[Reserva]]="","",IFERROR(VLOOKUP(MB25_VOLUMETRIA[[#This Row],[Reserva]],Tabela3[[Reserva]:[Condição para Faturamento]],20,FALSE),"IMPORTADO COM SUCESSO"))</f>
        <v>EM CONFERENCIA</v>
      </c>
      <c r="M13" s="32" t="str">
        <f ca="1">IFERROR(VLOOKUP(MB25_VOLUMETRIA[[#This Row],[Reserva]],RES_AB[],14,FALSE),"")</f>
        <v>PLANO DO DIA</v>
      </c>
      <c r="N13" s="32" t="str">
        <f>IF(MB25_VOLUMETRIA[[#This Row],[Cen.]]="","",IFERROR(VLOOKUP(MB25_VOLUMETRIA[[#This Row],[Cen.]],Dados_Empresas[],2,FALSE),"Verificar empresa"))</f>
        <v>EMBRATEL</v>
      </c>
      <c r="O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" spans="1:15" x14ac:dyDescent="0.25">
      <c r="A14" s="32">
        <v>4381020</v>
      </c>
      <c r="B14" s="32" t="s">
        <v>17</v>
      </c>
      <c r="C14" s="33" t="s">
        <v>17</v>
      </c>
      <c r="D14" s="35">
        <v>45448</v>
      </c>
      <c r="E14" s="32">
        <v>201</v>
      </c>
      <c r="F14" s="32">
        <v>252276</v>
      </c>
      <c r="G14" s="32" t="s">
        <v>283</v>
      </c>
      <c r="H14" s="26" t="s">
        <v>38</v>
      </c>
      <c r="I14" s="36">
        <v>100</v>
      </c>
      <c r="J14" s="32">
        <f>IF(MB25_VOLUMETRIA[[#This Row],[Reserva]]="","",1)</f>
        <v>1</v>
      </c>
      <c r="K14" s="36" t="str">
        <f>IF(MB25_VOLUMETRIA[[#This Row],[Reserva]]="","",IFERROR(VLOOKUP(MB25_VOLUMETRIA[[#This Row],[UMB]],CHAVE[],2,FALSE),"VERIFICAR"))</f>
        <v>Unidade</v>
      </c>
      <c r="L14" s="32" t="str">
        <f>IF(MB25_VOLUMETRIA[[#This Row],[Reserva]]="","",IFERROR(VLOOKUP(MB25_VOLUMETRIA[[#This Row],[Reserva]],Tabela3[[Reserva]:[Condição para Faturamento]],20,FALSE),"IMPORTADO COM SUCESSO"))</f>
        <v>EM CONFERENCIA</v>
      </c>
      <c r="M14" s="32" t="str">
        <f ca="1">IFERROR(VLOOKUP(MB25_VOLUMETRIA[[#This Row],[Reserva]],RES_AB[],14,FALSE),"")</f>
        <v>PLANO DO DIA</v>
      </c>
      <c r="N14" s="32" t="str">
        <f>IF(MB25_VOLUMETRIA[[#This Row],[Cen.]]="","",IFERROR(VLOOKUP(MB25_VOLUMETRIA[[#This Row],[Cen.]],Dados_Empresas[],2,FALSE),"Verificar empresa"))</f>
        <v>EMBRATEL</v>
      </c>
      <c r="O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" spans="1:15" x14ac:dyDescent="0.25">
      <c r="A15" s="32">
        <v>4381020</v>
      </c>
      <c r="B15" s="32" t="s">
        <v>17</v>
      </c>
      <c r="C15" s="33" t="s">
        <v>17</v>
      </c>
      <c r="D15" s="35">
        <v>45448</v>
      </c>
      <c r="E15" s="32">
        <v>201</v>
      </c>
      <c r="F15" s="32">
        <v>251840</v>
      </c>
      <c r="G15" s="32" t="s">
        <v>271</v>
      </c>
      <c r="H15" s="26" t="s">
        <v>38</v>
      </c>
      <c r="I15" s="36">
        <v>100</v>
      </c>
      <c r="J15" s="32">
        <f>IF(MB25_VOLUMETRIA[[#This Row],[Reserva]]="","",1)</f>
        <v>1</v>
      </c>
      <c r="K15" s="36" t="str">
        <f>IF(MB25_VOLUMETRIA[[#This Row],[Reserva]]="","",IFERROR(VLOOKUP(MB25_VOLUMETRIA[[#This Row],[UMB]],CHAVE[],2,FALSE),"VERIFICAR"))</f>
        <v>Unidade</v>
      </c>
      <c r="L15" s="32" t="str">
        <f>IF(MB25_VOLUMETRIA[[#This Row],[Reserva]]="","",IFERROR(VLOOKUP(MB25_VOLUMETRIA[[#This Row],[Reserva]],Tabela3[[Reserva]:[Condição para Faturamento]],20,FALSE),"IMPORTADO COM SUCESSO"))</f>
        <v>EM CONFERENCIA</v>
      </c>
      <c r="M15" s="32" t="str">
        <f ca="1">IFERROR(VLOOKUP(MB25_VOLUMETRIA[[#This Row],[Reserva]],RES_AB[],14,FALSE),"")</f>
        <v>PLANO DO DIA</v>
      </c>
      <c r="N15" s="32" t="str">
        <f>IF(MB25_VOLUMETRIA[[#This Row],[Cen.]]="","",IFERROR(VLOOKUP(MB25_VOLUMETRIA[[#This Row],[Cen.]],Dados_Empresas[],2,FALSE),"Verificar empresa"))</f>
        <v>EMBRATEL</v>
      </c>
      <c r="O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" spans="1:15" x14ac:dyDescent="0.25">
      <c r="A16" s="32">
        <v>4381187</v>
      </c>
      <c r="B16" s="32" t="s">
        <v>17</v>
      </c>
      <c r="C16" s="33" t="s">
        <v>17</v>
      </c>
      <c r="D16" s="35">
        <v>45448</v>
      </c>
      <c r="E16" s="32">
        <v>201</v>
      </c>
      <c r="F16" s="32">
        <v>252815</v>
      </c>
      <c r="G16" s="32" t="s">
        <v>219</v>
      </c>
      <c r="H16" s="26" t="s">
        <v>38</v>
      </c>
      <c r="I16" s="36">
        <v>1000</v>
      </c>
      <c r="J16" s="32">
        <f>IF(MB25_VOLUMETRIA[[#This Row],[Reserva]]="","",1)</f>
        <v>1</v>
      </c>
      <c r="K16" s="36" t="str">
        <f>IF(MB25_VOLUMETRIA[[#This Row],[Reserva]]="","",IFERROR(VLOOKUP(MB25_VOLUMETRIA[[#This Row],[UMB]],CHAVE[],2,FALSE),"VERIFICAR"))</f>
        <v>Unidade</v>
      </c>
      <c r="L16" s="32" t="str">
        <f>IF(MB25_VOLUMETRIA[[#This Row],[Reserva]]="","",IFERROR(VLOOKUP(MB25_VOLUMETRIA[[#This Row],[Reserva]],Tabela3[[Reserva]:[Condição para Faturamento]],20,FALSE),"IMPORTADO COM SUCESSO"))</f>
        <v>EM CONFERENCIA</v>
      </c>
      <c r="M16" s="32" t="str">
        <f ca="1">IFERROR(VLOOKUP(MB25_VOLUMETRIA[[#This Row],[Reserva]],RES_AB[],14,FALSE),"")</f>
        <v>PLANO DO DIA</v>
      </c>
      <c r="N16" s="32" t="str">
        <f>IF(MB25_VOLUMETRIA[[#This Row],[Cen.]]="","",IFERROR(VLOOKUP(MB25_VOLUMETRIA[[#This Row],[Cen.]],Dados_Empresas[],2,FALSE),"Verificar empresa"))</f>
        <v>EMBRATEL</v>
      </c>
      <c r="O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" spans="1:15" x14ac:dyDescent="0.25">
      <c r="A17" s="32">
        <v>4381187</v>
      </c>
      <c r="B17" s="32" t="s">
        <v>17</v>
      </c>
      <c r="C17" s="33" t="s">
        <v>17</v>
      </c>
      <c r="D17" s="35">
        <v>45448</v>
      </c>
      <c r="E17" s="32">
        <v>201</v>
      </c>
      <c r="F17" s="32">
        <v>254499</v>
      </c>
      <c r="G17" s="32" t="s">
        <v>281</v>
      </c>
      <c r="H17" s="26" t="s">
        <v>38</v>
      </c>
      <c r="I17" s="36">
        <v>1000</v>
      </c>
      <c r="J17" s="32">
        <f>IF(MB25_VOLUMETRIA[[#This Row],[Reserva]]="","",1)</f>
        <v>1</v>
      </c>
      <c r="K17" s="36" t="str">
        <f>IF(MB25_VOLUMETRIA[[#This Row],[Reserva]]="","",IFERROR(VLOOKUP(MB25_VOLUMETRIA[[#This Row],[UMB]],CHAVE[],2,FALSE),"VERIFICAR"))</f>
        <v>Unidade</v>
      </c>
      <c r="L17" s="32" t="str">
        <f>IF(MB25_VOLUMETRIA[[#This Row],[Reserva]]="","",IFERROR(VLOOKUP(MB25_VOLUMETRIA[[#This Row],[Reserva]],Tabela3[[Reserva]:[Condição para Faturamento]],20,FALSE),"IMPORTADO COM SUCESSO"))</f>
        <v>EM CONFERENCIA</v>
      </c>
      <c r="M17" s="32" t="str">
        <f ca="1">IFERROR(VLOOKUP(MB25_VOLUMETRIA[[#This Row],[Reserva]],RES_AB[],14,FALSE),"")</f>
        <v>PLANO DO DIA</v>
      </c>
      <c r="N17" s="32" t="str">
        <f>IF(MB25_VOLUMETRIA[[#This Row],[Cen.]]="","",IFERROR(VLOOKUP(MB25_VOLUMETRIA[[#This Row],[Cen.]],Dados_Empresas[],2,FALSE),"Verificar empresa"))</f>
        <v>EMBRATEL</v>
      </c>
      <c r="O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" spans="1:15" x14ac:dyDescent="0.25">
      <c r="A18" s="32">
        <v>4381187</v>
      </c>
      <c r="B18" s="32" t="s">
        <v>17</v>
      </c>
      <c r="C18" s="33" t="s">
        <v>17</v>
      </c>
      <c r="D18" s="35">
        <v>45448</v>
      </c>
      <c r="E18" s="32">
        <v>201</v>
      </c>
      <c r="F18" s="32">
        <v>253316</v>
      </c>
      <c r="G18" s="32" t="s">
        <v>375</v>
      </c>
      <c r="H18" s="26" t="s">
        <v>38</v>
      </c>
      <c r="I18" s="36">
        <v>1000</v>
      </c>
      <c r="J18" s="32">
        <f>IF(MB25_VOLUMETRIA[[#This Row],[Reserva]]="","",1)</f>
        <v>1</v>
      </c>
      <c r="K18" s="36" t="str">
        <f>IF(MB25_VOLUMETRIA[[#This Row],[Reserva]]="","",IFERROR(VLOOKUP(MB25_VOLUMETRIA[[#This Row],[UMB]],CHAVE[],2,FALSE),"VERIFICAR"))</f>
        <v>Unidade</v>
      </c>
      <c r="L18" s="32" t="str">
        <f>IF(MB25_VOLUMETRIA[[#This Row],[Reserva]]="","",IFERROR(VLOOKUP(MB25_VOLUMETRIA[[#This Row],[Reserva]],Tabela3[[Reserva]:[Condição para Faturamento]],20,FALSE),"IMPORTADO COM SUCESSO"))</f>
        <v>EM CONFERENCIA</v>
      </c>
      <c r="M18" s="32" t="str">
        <f ca="1">IFERROR(VLOOKUP(MB25_VOLUMETRIA[[#This Row],[Reserva]],RES_AB[],14,FALSE),"")</f>
        <v>PLANO DO DIA</v>
      </c>
      <c r="N18" s="32" t="str">
        <f>IF(MB25_VOLUMETRIA[[#This Row],[Cen.]]="","",IFERROR(VLOOKUP(MB25_VOLUMETRIA[[#This Row],[Cen.]],Dados_Empresas[],2,FALSE),"Verificar empresa"))</f>
        <v>EMBRATEL</v>
      </c>
      <c r="O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" spans="1:15" x14ac:dyDescent="0.25">
      <c r="A19" s="32">
        <v>4381187</v>
      </c>
      <c r="B19" s="32" t="s">
        <v>17</v>
      </c>
      <c r="C19" s="33" t="s">
        <v>17</v>
      </c>
      <c r="D19" s="35">
        <v>45448</v>
      </c>
      <c r="E19" s="32">
        <v>201</v>
      </c>
      <c r="F19" s="32">
        <v>252265</v>
      </c>
      <c r="G19" s="32" t="s">
        <v>265</v>
      </c>
      <c r="H19" s="26" t="s">
        <v>38</v>
      </c>
      <c r="I19" s="36">
        <v>20</v>
      </c>
      <c r="J19" s="32">
        <f>IF(MB25_VOLUMETRIA[[#This Row],[Reserva]]="","",1)</f>
        <v>1</v>
      </c>
      <c r="K19" s="36" t="str">
        <f>IF(MB25_VOLUMETRIA[[#This Row],[Reserva]]="","",IFERROR(VLOOKUP(MB25_VOLUMETRIA[[#This Row],[UMB]],CHAVE[],2,FALSE),"VERIFICAR"))</f>
        <v>Unidade</v>
      </c>
      <c r="L19" s="32" t="str">
        <f>IF(MB25_VOLUMETRIA[[#This Row],[Reserva]]="","",IFERROR(VLOOKUP(MB25_VOLUMETRIA[[#This Row],[Reserva]],Tabela3[[Reserva]:[Condição para Faturamento]],20,FALSE),"IMPORTADO COM SUCESSO"))</f>
        <v>EM CONFERENCIA</v>
      </c>
      <c r="M19" s="32" t="str">
        <f ca="1">IFERROR(VLOOKUP(MB25_VOLUMETRIA[[#This Row],[Reserva]],RES_AB[],14,FALSE),"")</f>
        <v>PLANO DO DIA</v>
      </c>
      <c r="N19" s="32" t="str">
        <f>IF(MB25_VOLUMETRIA[[#This Row],[Cen.]]="","",IFERROR(VLOOKUP(MB25_VOLUMETRIA[[#This Row],[Cen.]],Dados_Empresas[],2,FALSE),"Verificar empresa"))</f>
        <v>EMBRATEL</v>
      </c>
      <c r="O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" spans="1:15" x14ac:dyDescent="0.25">
      <c r="A20" s="32">
        <v>4381187</v>
      </c>
      <c r="B20" s="32" t="s">
        <v>17</v>
      </c>
      <c r="C20" s="33" t="s">
        <v>17</v>
      </c>
      <c r="D20" s="35">
        <v>45448</v>
      </c>
      <c r="E20" s="32">
        <v>201</v>
      </c>
      <c r="F20" s="32">
        <v>254487</v>
      </c>
      <c r="G20" s="32" t="s">
        <v>301</v>
      </c>
      <c r="H20" s="26" t="s">
        <v>38</v>
      </c>
      <c r="I20" s="36">
        <v>2</v>
      </c>
      <c r="J20" s="32">
        <f>IF(MB25_VOLUMETRIA[[#This Row],[Reserva]]="","",1)</f>
        <v>1</v>
      </c>
      <c r="K20" s="36" t="str">
        <f>IF(MB25_VOLUMETRIA[[#This Row],[Reserva]]="","",IFERROR(VLOOKUP(MB25_VOLUMETRIA[[#This Row],[UMB]],CHAVE[],2,FALSE),"VERIFICAR"))</f>
        <v>Unidade</v>
      </c>
      <c r="L20" s="32" t="str">
        <f>IF(MB25_VOLUMETRIA[[#This Row],[Reserva]]="","",IFERROR(VLOOKUP(MB25_VOLUMETRIA[[#This Row],[Reserva]],Tabela3[[Reserva]:[Condição para Faturamento]],20,FALSE),"IMPORTADO COM SUCESSO"))</f>
        <v>EM CONFERENCIA</v>
      </c>
      <c r="M20" s="32" t="str">
        <f ca="1">IFERROR(VLOOKUP(MB25_VOLUMETRIA[[#This Row],[Reserva]],RES_AB[],14,FALSE),"")</f>
        <v>PLANO DO DIA</v>
      </c>
      <c r="N20" s="32" t="str">
        <f>IF(MB25_VOLUMETRIA[[#This Row],[Cen.]]="","",IFERROR(VLOOKUP(MB25_VOLUMETRIA[[#This Row],[Cen.]],Dados_Empresas[],2,FALSE),"Verificar empresa"))</f>
        <v>EMBRATEL</v>
      </c>
      <c r="O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" spans="1:15" x14ac:dyDescent="0.25">
      <c r="A21" s="32">
        <v>4381187</v>
      </c>
      <c r="B21" s="32" t="s">
        <v>17</v>
      </c>
      <c r="C21" s="33" t="s">
        <v>17</v>
      </c>
      <c r="D21" s="35">
        <v>45448</v>
      </c>
      <c r="E21" s="32">
        <v>201</v>
      </c>
      <c r="F21" s="32">
        <v>254543</v>
      </c>
      <c r="G21" s="32" t="s">
        <v>376</v>
      </c>
      <c r="H21" s="26" t="s">
        <v>38</v>
      </c>
      <c r="I21" s="36">
        <v>5</v>
      </c>
      <c r="J21" s="32">
        <f>IF(MB25_VOLUMETRIA[[#This Row],[Reserva]]="","",1)</f>
        <v>1</v>
      </c>
      <c r="K21" s="36" t="str">
        <f>IF(MB25_VOLUMETRIA[[#This Row],[Reserva]]="","",IFERROR(VLOOKUP(MB25_VOLUMETRIA[[#This Row],[UMB]],CHAVE[],2,FALSE),"VERIFICAR"))</f>
        <v>Unidade</v>
      </c>
      <c r="L21" s="32" t="str">
        <f>IF(MB25_VOLUMETRIA[[#This Row],[Reserva]]="","",IFERROR(VLOOKUP(MB25_VOLUMETRIA[[#This Row],[Reserva]],Tabela3[[Reserva]:[Condição para Faturamento]],20,FALSE),"IMPORTADO COM SUCESSO"))</f>
        <v>EM CONFERENCIA</v>
      </c>
      <c r="M21" s="32" t="str">
        <f ca="1">IFERROR(VLOOKUP(MB25_VOLUMETRIA[[#This Row],[Reserva]],RES_AB[],14,FALSE),"")</f>
        <v>PLANO DO DIA</v>
      </c>
      <c r="N21" s="32" t="str">
        <f>IF(MB25_VOLUMETRIA[[#This Row],[Cen.]]="","",IFERROR(VLOOKUP(MB25_VOLUMETRIA[[#This Row],[Cen.]],Dados_Empresas[],2,FALSE),"Verificar empresa"))</f>
        <v>EMBRATEL</v>
      </c>
      <c r="O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" spans="1:15" x14ac:dyDescent="0.25">
      <c r="A22" s="32">
        <v>4381187</v>
      </c>
      <c r="B22" s="32" t="s">
        <v>17</v>
      </c>
      <c r="C22" s="33" t="s">
        <v>17</v>
      </c>
      <c r="D22" s="35">
        <v>45448</v>
      </c>
      <c r="E22" s="32">
        <v>201</v>
      </c>
      <c r="F22" s="32">
        <v>254544</v>
      </c>
      <c r="G22" s="32" t="s">
        <v>377</v>
      </c>
      <c r="H22" s="26" t="s">
        <v>38</v>
      </c>
      <c r="I22" s="36">
        <v>3</v>
      </c>
      <c r="J22" s="32">
        <f>IF(MB25_VOLUMETRIA[[#This Row],[Reserva]]="","",1)</f>
        <v>1</v>
      </c>
      <c r="K22" s="36" t="str">
        <f>IF(MB25_VOLUMETRIA[[#This Row],[Reserva]]="","",IFERROR(VLOOKUP(MB25_VOLUMETRIA[[#This Row],[UMB]],CHAVE[],2,FALSE),"VERIFICAR"))</f>
        <v>Unidade</v>
      </c>
      <c r="L22" s="32" t="str">
        <f>IF(MB25_VOLUMETRIA[[#This Row],[Reserva]]="","",IFERROR(VLOOKUP(MB25_VOLUMETRIA[[#This Row],[Reserva]],Tabela3[[Reserva]:[Condição para Faturamento]],20,FALSE),"IMPORTADO COM SUCESSO"))</f>
        <v>EM CONFERENCIA</v>
      </c>
      <c r="M22" s="32" t="str">
        <f ca="1">IFERROR(VLOOKUP(MB25_VOLUMETRIA[[#This Row],[Reserva]],RES_AB[],14,FALSE),"")</f>
        <v>PLANO DO DIA</v>
      </c>
      <c r="N22" s="32" t="str">
        <f>IF(MB25_VOLUMETRIA[[#This Row],[Cen.]]="","",IFERROR(VLOOKUP(MB25_VOLUMETRIA[[#This Row],[Cen.]],Dados_Empresas[],2,FALSE),"Verificar empresa"))</f>
        <v>EMBRATEL</v>
      </c>
      <c r="O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" spans="1:15" x14ac:dyDescent="0.25">
      <c r="A23" s="32">
        <v>4381187</v>
      </c>
      <c r="B23" s="32" t="s">
        <v>17</v>
      </c>
      <c r="C23" s="33" t="s">
        <v>17</v>
      </c>
      <c r="D23" s="35">
        <v>45448</v>
      </c>
      <c r="E23" s="32">
        <v>201</v>
      </c>
      <c r="F23" s="32">
        <v>253552</v>
      </c>
      <c r="G23" s="32" t="s">
        <v>279</v>
      </c>
      <c r="H23" s="26" t="s">
        <v>38</v>
      </c>
      <c r="I23" s="36">
        <v>20</v>
      </c>
      <c r="J23" s="32">
        <f>IF(MB25_VOLUMETRIA[[#This Row],[Reserva]]="","",1)</f>
        <v>1</v>
      </c>
      <c r="K23" s="36" t="str">
        <f>IF(MB25_VOLUMETRIA[[#This Row],[Reserva]]="","",IFERROR(VLOOKUP(MB25_VOLUMETRIA[[#This Row],[UMB]],CHAVE[],2,FALSE),"VERIFICAR"))</f>
        <v>Unidade</v>
      </c>
      <c r="L23" s="32" t="str">
        <f>IF(MB25_VOLUMETRIA[[#This Row],[Reserva]]="","",IFERROR(VLOOKUP(MB25_VOLUMETRIA[[#This Row],[Reserva]],Tabela3[[Reserva]:[Condição para Faturamento]],20,FALSE),"IMPORTADO COM SUCESSO"))</f>
        <v>EM CONFERENCIA</v>
      </c>
      <c r="M23" s="32" t="str">
        <f ca="1">IFERROR(VLOOKUP(MB25_VOLUMETRIA[[#This Row],[Reserva]],RES_AB[],14,FALSE),"")</f>
        <v>PLANO DO DIA</v>
      </c>
      <c r="N23" s="32" t="str">
        <f>IF(MB25_VOLUMETRIA[[#This Row],[Cen.]]="","",IFERROR(VLOOKUP(MB25_VOLUMETRIA[[#This Row],[Cen.]],Dados_Empresas[],2,FALSE),"Verificar empresa"))</f>
        <v>EMBRATEL</v>
      </c>
      <c r="O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" spans="1:15" x14ac:dyDescent="0.25">
      <c r="A24" s="32">
        <v>4381187</v>
      </c>
      <c r="B24" s="32" t="s">
        <v>17</v>
      </c>
      <c r="C24" s="33" t="s">
        <v>17</v>
      </c>
      <c r="D24" s="35">
        <v>45448</v>
      </c>
      <c r="E24" s="32">
        <v>201</v>
      </c>
      <c r="F24" s="32">
        <v>252274</v>
      </c>
      <c r="G24" s="32" t="s">
        <v>266</v>
      </c>
      <c r="H24" s="26" t="s">
        <v>38</v>
      </c>
      <c r="I24" s="36">
        <v>20</v>
      </c>
      <c r="J24" s="32">
        <f>IF(MB25_VOLUMETRIA[[#This Row],[Reserva]]="","",1)</f>
        <v>1</v>
      </c>
      <c r="K24" s="36" t="str">
        <f>IF(MB25_VOLUMETRIA[[#This Row],[Reserva]]="","",IFERROR(VLOOKUP(MB25_VOLUMETRIA[[#This Row],[UMB]],CHAVE[],2,FALSE),"VERIFICAR"))</f>
        <v>Unidade</v>
      </c>
      <c r="L24" s="32" t="str">
        <f>IF(MB25_VOLUMETRIA[[#This Row],[Reserva]]="","",IFERROR(VLOOKUP(MB25_VOLUMETRIA[[#This Row],[Reserva]],Tabela3[[Reserva]:[Condição para Faturamento]],20,FALSE),"IMPORTADO COM SUCESSO"))</f>
        <v>EM CONFERENCIA</v>
      </c>
      <c r="M24" s="32" t="str">
        <f ca="1">IFERROR(VLOOKUP(MB25_VOLUMETRIA[[#This Row],[Reserva]],RES_AB[],14,FALSE),"")</f>
        <v>PLANO DO DIA</v>
      </c>
      <c r="N24" s="32" t="str">
        <f>IF(MB25_VOLUMETRIA[[#This Row],[Cen.]]="","",IFERROR(VLOOKUP(MB25_VOLUMETRIA[[#This Row],[Cen.]],Dados_Empresas[],2,FALSE),"Verificar empresa"))</f>
        <v>EMBRATEL</v>
      </c>
      <c r="O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" spans="1:15" x14ac:dyDescent="0.25">
      <c r="A25" s="32">
        <v>4381187</v>
      </c>
      <c r="B25" s="32" t="s">
        <v>17</v>
      </c>
      <c r="C25" s="33" t="s">
        <v>17</v>
      </c>
      <c r="D25" s="35">
        <v>45448</v>
      </c>
      <c r="E25" s="32">
        <v>201</v>
      </c>
      <c r="F25" s="32">
        <v>254384</v>
      </c>
      <c r="G25" s="32" t="s">
        <v>302</v>
      </c>
      <c r="H25" s="26" t="s">
        <v>38</v>
      </c>
      <c r="I25" s="36">
        <v>15</v>
      </c>
      <c r="J25" s="32">
        <f>IF(MB25_VOLUMETRIA[[#This Row],[Reserva]]="","",1)</f>
        <v>1</v>
      </c>
      <c r="K25" s="36" t="str">
        <f>IF(MB25_VOLUMETRIA[[#This Row],[Reserva]]="","",IFERROR(VLOOKUP(MB25_VOLUMETRIA[[#This Row],[UMB]],CHAVE[],2,FALSE),"VERIFICAR"))</f>
        <v>Unidade</v>
      </c>
      <c r="L25" s="32" t="str">
        <f>IF(MB25_VOLUMETRIA[[#This Row],[Reserva]]="","",IFERROR(VLOOKUP(MB25_VOLUMETRIA[[#This Row],[Reserva]],Tabela3[[Reserva]:[Condição para Faturamento]],20,FALSE),"IMPORTADO COM SUCESSO"))</f>
        <v>EM CONFERENCIA</v>
      </c>
      <c r="M25" s="32" t="str">
        <f ca="1">IFERROR(VLOOKUP(MB25_VOLUMETRIA[[#This Row],[Reserva]],RES_AB[],14,FALSE),"")</f>
        <v>PLANO DO DIA</v>
      </c>
      <c r="N25" s="32" t="str">
        <f>IF(MB25_VOLUMETRIA[[#This Row],[Cen.]]="","",IFERROR(VLOOKUP(MB25_VOLUMETRIA[[#This Row],[Cen.]],Dados_Empresas[],2,FALSE),"Verificar empresa"))</f>
        <v>EMBRATEL</v>
      </c>
      <c r="O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" spans="1:15" x14ac:dyDescent="0.25">
      <c r="A26" s="32">
        <v>4381191</v>
      </c>
      <c r="B26" s="32" t="s">
        <v>17</v>
      </c>
      <c r="C26" s="33" t="s">
        <v>17</v>
      </c>
      <c r="D26" s="35">
        <v>45448</v>
      </c>
      <c r="E26" s="32">
        <v>201</v>
      </c>
      <c r="F26" s="32">
        <v>254499</v>
      </c>
      <c r="G26" s="32" t="s">
        <v>281</v>
      </c>
      <c r="H26" s="26" t="s">
        <v>38</v>
      </c>
      <c r="I26" s="36">
        <v>4000</v>
      </c>
      <c r="J26" s="32">
        <f>IF(MB25_VOLUMETRIA[[#This Row],[Reserva]]="","",1)</f>
        <v>1</v>
      </c>
      <c r="K26" s="36" t="str">
        <f>IF(MB25_VOLUMETRIA[[#This Row],[Reserva]]="","",IFERROR(VLOOKUP(MB25_VOLUMETRIA[[#This Row],[UMB]],CHAVE[],2,FALSE),"VERIFICAR"))</f>
        <v>Unidade</v>
      </c>
      <c r="L2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" s="32" t="str">
        <f ca="1">IFERROR(VLOOKUP(MB25_VOLUMETRIA[[#This Row],[Reserva]],RES_AB[],14,FALSE),"")</f>
        <v>PLANO DO DIA</v>
      </c>
      <c r="N26" s="32" t="str">
        <f>IF(MB25_VOLUMETRIA[[#This Row],[Cen.]]="","",IFERROR(VLOOKUP(MB25_VOLUMETRIA[[#This Row],[Cen.]],Dados_Empresas[],2,FALSE),"Verificar empresa"))</f>
        <v>EMBRATEL</v>
      </c>
      <c r="O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" spans="1:15" x14ac:dyDescent="0.25">
      <c r="A27" s="32">
        <v>4381191</v>
      </c>
      <c r="B27" s="32" t="s">
        <v>17</v>
      </c>
      <c r="C27" s="33" t="s">
        <v>17</v>
      </c>
      <c r="D27" s="35">
        <v>45448</v>
      </c>
      <c r="E27" s="32">
        <v>201</v>
      </c>
      <c r="F27" s="32">
        <v>252815</v>
      </c>
      <c r="G27" s="32" t="s">
        <v>219</v>
      </c>
      <c r="H27" s="26" t="s">
        <v>38</v>
      </c>
      <c r="I27" s="36">
        <v>1000</v>
      </c>
      <c r="J27" s="32">
        <f>IF(MB25_VOLUMETRIA[[#This Row],[Reserva]]="","",1)</f>
        <v>1</v>
      </c>
      <c r="K27" s="36" t="str">
        <f>IF(MB25_VOLUMETRIA[[#This Row],[Reserva]]="","",IFERROR(VLOOKUP(MB25_VOLUMETRIA[[#This Row],[UMB]],CHAVE[],2,FALSE),"VERIFICAR"))</f>
        <v>Unidade</v>
      </c>
      <c r="L2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" s="32" t="str">
        <f ca="1">IFERROR(VLOOKUP(MB25_VOLUMETRIA[[#This Row],[Reserva]],RES_AB[],14,FALSE),"")</f>
        <v>PLANO DO DIA</v>
      </c>
      <c r="N27" s="32" t="str">
        <f>IF(MB25_VOLUMETRIA[[#This Row],[Cen.]]="","",IFERROR(VLOOKUP(MB25_VOLUMETRIA[[#This Row],[Cen.]],Dados_Empresas[],2,FALSE),"Verificar empresa"))</f>
        <v>EMBRATEL</v>
      </c>
      <c r="O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" spans="1:15" x14ac:dyDescent="0.25">
      <c r="A28" s="32">
        <v>4381191</v>
      </c>
      <c r="B28" s="32" t="s">
        <v>17</v>
      </c>
      <c r="C28" s="33" t="s">
        <v>17</v>
      </c>
      <c r="D28" s="35">
        <v>45448</v>
      </c>
      <c r="E28" s="32">
        <v>201</v>
      </c>
      <c r="F28" s="32">
        <v>252900</v>
      </c>
      <c r="G28" s="32" t="s">
        <v>274</v>
      </c>
      <c r="H28" s="26" t="s">
        <v>38</v>
      </c>
      <c r="I28" s="36">
        <v>5</v>
      </c>
      <c r="J28" s="32">
        <f>IF(MB25_VOLUMETRIA[[#This Row],[Reserva]]="","",1)</f>
        <v>1</v>
      </c>
      <c r="K28" s="36" t="str">
        <f>IF(MB25_VOLUMETRIA[[#This Row],[Reserva]]="","",IFERROR(VLOOKUP(MB25_VOLUMETRIA[[#This Row],[UMB]],CHAVE[],2,FALSE),"VERIFICAR"))</f>
        <v>Unidade</v>
      </c>
      <c r="L2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" s="32" t="str">
        <f ca="1">IFERROR(VLOOKUP(MB25_VOLUMETRIA[[#This Row],[Reserva]],RES_AB[],14,FALSE),"")</f>
        <v>PLANO DO DIA</v>
      </c>
      <c r="N28" s="32" t="str">
        <f>IF(MB25_VOLUMETRIA[[#This Row],[Cen.]]="","",IFERROR(VLOOKUP(MB25_VOLUMETRIA[[#This Row],[Cen.]],Dados_Empresas[],2,FALSE),"Verificar empresa"))</f>
        <v>EMBRATEL</v>
      </c>
      <c r="O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" spans="1:15" x14ac:dyDescent="0.25">
      <c r="A29" s="32">
        <v>4381191</v>
      </c>
      <c r="B29" s="32" t="s">
        <v>17</v>
      </c>
      <c r="C29" s="33" t="s">
        <v>17</v>
      </c>
      <c r="D29" s="35">
        <v>45448</v>
      </c>
      <c r="E29" s="32">
        <v>201</v>
      </c>
      <c r="F29" s="32">
        <v>252341</v>
      </c>
      <c r="G29" s="32" t="s">
        <v>273</v>
      </c>
      <c r="H29" s="26" t="s">
        <v>38</v>
      </c>
      <c r="I29" s="36">
        <v>5</v>
      </c>
      <c r="J29" s="32">
        <f>IF(MB25_VOLUMETRIA[[#This Row],[Reserva]]="","",1)</f>
        <v>1</v>
      </c>
      <c r="K29" s="36" t="str">
        <f>IF(MB25_VOLUMETRIA[[#This Row],[Reserva]]="","",IFERROR(VLOOKUP(MB25_VOLUMETRIA[[#This Row],[UMB]],CHAVE[],2,FALSE),"VERIFICAR"))</f>
        <v>Unidade</v>
      </c>
      <c r="L2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9" s="32" t="str">
        <f ca="1">IFERROR(VLOOKUP(MB25_VOLUMETRIA[[#This Row],[Reserva]],RES_AB[],14,FALSE),"")</f>
        <v>PLANO DO DIA</v>
      </c>
      <c r="N29" s="32" t="str">
        <f>IF(MB25_VOLUMETRIA[[#This Row],[Cen.]]="","",IFERROR(VLOOKUP(MB25_VOLUMETRIA[[#This Row],[Cen.]],Dados_Empresas[],2,FALSE),"Verificar empresa"))</f>
        <v>EMBRATEL</v>
      </c>
      <c r="O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" spans="1:15" x14ac:dyDescent="0.25">
      <c r="A30" s="32">
        <v>4381191</v>
      </c>
      <c r="B30" s="32" t="s">
        <v>17</v>
      </c>
      <c r="C30" s="33" t="s">
        <v>17</v>
      </c>
      <c r="D30" s="35">
        <v>45448</v>
      </c>
      <c r="E30" s="32">
        <v>201</v>
      </c>
      <c r="F30" s="32">
        <v>253496</v>
      </c>
      <c r="G30" s="32" t="s">
        <v>207</v>
      </c>
      <c r="H30" s="26" t="s">
        <v>38</v>
      </c>
      <c r="I30" s="36">
        <v>5</v>
      </c>
      <c r="J30" s="32">
        <f>IF(MB25_VOLUMETRIA[[#This Row],[Reserva]]="","",1)</f>
        <v>1</v>
      </c>
      <c r="K30" s="36" t="str">
        <f>IF(MB25_VOLUMETRIA[[#This Row],[Reserva]]="","",IFERROR(VLOOKUP(MB25_VOLUMETRIA[[#This Row],[UMB]],CHAVE[],2,FALSE),"VERIFICAR"))</f>
        <v>Unidade</v>
      </c>
      <c r="L3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0" s="32" t="str">
        <f ca="1">IFERROR(VLOOKUP(MB25_VOLUMETRIA[[#This Row],[Reserva]],RES_AB[],14,FALSE),"")</f>
        <v>PLANO DO DIA</v>
      </c>
      <c r="N30" s="32" t="str">
        <f>IF(MB25_VOLUMETRIA[[#This Row],[Cen.]]="","",IFERROR(VLOOKUP(MB25_VOLUMETRIA[[#This Row],[Cen.]],Dados_Empresas[],2,FALSE),"Verificar empresa"))</f>
        <v>EMBRATEL</v>
      </c>
      <c r="O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" spans="1:15" x14ac:dyDescent="0.25">
      <c r="A31" s="32">
        <v>4381191</v>
      </c>
      <c r="B31" s="32" t="s">
        <v>17</v>
      </c>
      <c r="C31" s="33" t="s">
        <v>17</v>
      </c>
      <c r="D31" s="35">
        <v>45448</v>
      </c>
      <c r="E31" s="32">
        <v>201</v>
      </c>
      <c r="F31" s="32">
        <v>254491</v>
      </c>
      <c r="G31" s="32" t="s">
        <v>300</v>
      </c>
      <c r="H31" s="26" t="s">
        <v>38</v>
      </c>
      <c r="I31" s="36">
        <v>50</v>
      </c>
      <c r="J31" s="32">
        <f>IF(MB25_VOLUMETRIA[[#This Row],[Reserva]]="","",1)</f>
        <v>1</v>
      </c>
      <c r="K31" s="36" t="str">
        <f>IF(MB25_VOLUMETRIA[[#This Row],[Reserva]]="","",IFERROR(VLOOKUP(MB25_VOLUMETRIA[[#This Row],[UMB]],CHAVE[],2,FALSE),"VERIFICAR"))</f>
        <v>Unidade</v>
      </c>
      <c r="L3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1" s="32" t="str">
        <f ca="1">IFERROR(VLOOKUP(MB25_VOLUMETRIA[[#This Row],[Reserva]],RES_AB[],14,FALSE),"")</f>
        <v>PLANO DO DIA</v>
      </c>
      <c r="N31" s="32" t="str">
        <f>IF(MB25_VOLUMETRIA[[#This Row],[Cen.]]="","",IFERROR(VLOOKUP(MB25_VOLUMETRIA[[#This Row],[Cen.]],Dados_Empresas[],2,FALSE),"Verificar empresa"))</f>
        <v>EMBRATEL</v>
      </c>
      <c r="O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" spans="1:15" x14ac:dyDescent="0.25">
      <c r="A32" s="32">
        <v>4381191</v>
      </c>
      <c r="B32" s="32" t="s">
        <v>17</v>
      </c>
      <c r="C32" s="33" t="s">
        <v>17</v>
      </c>
      <c r="D32" s="35">
        <v>45448</v>
      </c>
      <c r="E32" s="32">
        <v>201</v>
      </c>
      <c r="F32" s="32">
        <v>254544</v>
      </c>
      <c r="G32" s="32" t="s">
        <v>377</v>
      </c>
      <c r="H32" s="26" t="s">
        <v>38</v>
      </c>
      <c r="I32" s="36">
        <v>2</v>
      </c>
      <c r="J32" s="32">
        <f>IF(MB25_VOLUMETRIA[[#This Row],[Reserva]]="","",1)</f>
        <v>1</v>
      </c>
      <c r="K32" s="36" t="str">
        <f>IF(MB25_VOLUMETRIA[[#This Row],[Reserva]]="","",IFERROR(VLOOKUP(MB25_VOLUMETRIA[[#This Row],[UMB]],CHAVE[],2,FALSE),"VERIFICAR"))</f>
        <v>Unidade</v>
      </c>
      <c r="L3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2" s="32" t="str">
        <f ca="1">IFERROR(VLOOKUP(MB25_VOLUMETRIA[[#This Row],[Reserva]],RES_AB[],14,FALSE),"")</f>
        <v>PLANO DO DIA</v>
      </c>
      <c r="N32" s="32" t="str">
        <f>IF(MB25_VOLUMETRIA[[#This Row],[Cen.]]="","",IFERROR(VLOOKUP(MB25_VOLUMETRIA[[#This Row],[Cen.]],Dados_Empresas[],2,FALSE),"Verificar empresa"))</f>
        <v>EMBRATEL</v>
      </c>
      <c r="O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" spans="1:15" x14ac:dyDescent="0.25">
      <c r="A33" s="32">
        <v>4381191</v>
      </c>
      <c r="B33" s="32" t="s">
        <v>17</v>
      </c>
      <c r="C33" s="33" t="s">
        <v>17</v>
      </c>
      <c r="D33" s="35">
        <v>45448</v>
      </c>
      <c r="E33" s="32">
        <v>201</v>
      </c>
      <c r="F33" s="32">
        <v>254487</v>
      </c>
      <c r="G33" s="32" t="s">
        <v>301</v>
      </c>
      <c r="H33" s="26" t="s">
        <v>38</v>
      </c>
      <c r="I33" s="36">
        <v>2</v>
      </c>
      <c r="J33" s="32">
        <f>IF(MB25_VOLUMETRIA[[#This Row],[Reserva]]="","",1)</f>
        <v>1</v>
      </c>
      <c r="K33" s="36" t="str">
        <f>IF(MB25_VOLUMETRIA[[#This Row],[Reserva]]="","",IFERROR(VLOOKUP(MB25_VOLUMETRIA[[#This Row],[UMB]],CHAVE[],2,FALSE),"VERIFICAR"))</f>
        <v>Unidade</v>
      </c>
      <c r="L3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3" s="32" t="str">
        <f ca="1">IFERROR(VLOOKUP(MB25_VOLUMETRIA[[#This Row],[Reserva]],RES_AB[],14,FALSE),"")</f>
        <v>PLANO DO DIA</v>
      </c>
      <c r="N33" s="32" t="str">
        <f>IF(MB25_VOLUMETRIA[[#This Row],[Cen.]]="","",IFERROR(VLOOKUP(MB25_VOLUMETRIA[[#This Row],[Cen.]],Dados_Empresas[],2,FALSE),"Verificar empresa"))</f>
        <v>EMBRATEL</v>
      </c>
      <c r="O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" spans="1:15" x14ac:dyDescent="0.25">
      <c r="A34" s="32">
        <v>4381193</v>
      </c>
      <c r="B34" s="32" t="s">
        <v>17</v>
      </c>
      <c r="C34" s="33" t="s">
        <v>17</v>
      </c>
      <c r="D34" s="35">
        <v>45448</v>
      </c>
      <c r="E34" s="32">
        <v>201</v>
      </c>
      <c r="F34" s="32">
        <v>254499</v>
      </c>
      <c r="G34" s="32" t="s">
        <v>281</v>
      </c>
      <c r="H34" s="26" t="s">
        <v>38</v>
      </c>
      <c r="I34" s="36">
        <v>5000</v>
      </c>
      <c r="J34" s="32">
        <f>IF(MB25_VOLUMETRIA[[#This Row],[Reserva]]="","",1)</f>
        <v>1</v>
      </c>
      <c r="K34" s="36" t="str">
        <f>IF(MB25_VOLUMETRIA[[#This Row],[Reserva]]="","",IFERROR(VLOOKUP(MB25_VOLUMETRIA[[#This Row],[UMB]],CHAVE[],2,FALSE),"VERIFICAR"))</f>
        <v>Unidade</v>
      </c>
      <c r="L34" s="32" t="str">
        <f>IF(MB25_VOLUMETRIA[[#This Row],[Reserva]]="","",IFERROR(VLOOKUP(MB25_VOLUMETRIA[[#This Row],[Reserva]],Tabela3[[Reserva]:[Condição para Faturamento]],20,FALSE),"IMPORTADO COM SUCESSO"))</f>
        <v>EM CONFERENCIA</v>
      </c>
      <c r="M34" s="32" t="str">
        <f ca="1">IFERROR(VLOOKUP(MB25_VOLUMETRIA[[#This Row],[Reserva]],RES_AB[],14,FALSE),"")</f>
        <v>PLANO DO DIA</v>
      </c>
      <c r="N34" s="32" t="str">
        <f>IF(MB25_VOLUMETRIA[[#This Row],[Cen.]]="","",IFERROR(VLOOKUP(MB25_VOLUMETRIA[[#This Row],[Cen.]],Dados_Empresas[],2,FALSE),"Verificar empresa"))</f>
        <v>EMBRATEL</v>
      </c>
      <c r="O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5" spans="1:15" x14ac:dyDescent="0.25">
      <c r="A35" s="32">
        <v>4381193</v>
      </c>
      <c r="B35" s="32" t="s">
        <v>17</v>
      </c>
      <c r="C35" s="33" t="s">
        <v>17</v>
      </c>
      <c r="D35" s="35">
        <v>45448</v>
      </c>
      <c r="E35" s="32">
        <v>201</v>
      </c>
      <c r="F35" s="32">
        <v>252815</v>
      </c>
      <c r="G35" s="32" t="s">
        <v>219</v>
      </c>
      <c r="H35" s="26" t="s">
        <v>38</v>
      </c>
      <c r="I35" s="36">
        <v>1000</v>
      </c>
      <c r="J35" s="32">
        <f>IF(MB25_VOLUMETRIA[[#This Row],[Reserva]]="","",1)</f>
        <v>1</v>
      </c>
      <c r="K35" s="36" t="str">
        <f>IF(MB25_VOLUMETRIA[[#This Row],[Reserva]]="","",IFERROR(VLOOKUP(MB25_VOLUMETRIA[[#This Row],[UMB]],CHAVE[],2,FALSE),"VERIFICAR"))</f>
        <v>Unidade</v>
      </c>
      <c r="L35" s="32" t="str">
        <f>IF(MB25_VOLUMETRIA[[#This Row],[Reserva]]="","",IFERROR(VLOOKUP(MB25_VOLUMETRIA[[#This Row],[Reserva]],Tabela3[[Reserva]:[Condição para Faturamento]],20,FALSE),"IMPORTADO COM SUCESSO"))</f>
        <v>EM CONFERENCIA</v>
      </c>
      <c r="M35" s="32" t="str">
        <f ca="1">IFERROR(VLOOKUP(MB25_VOLUMETRIA[[#This Row],[Reserva]],RES_AB[],14,FALSE),"")</f>
        <v>PLANO DO DIA</v>
      </c>
      <c r="N35" s="32" t="str">
        <f>IF(MB25_VOLUMETRIA[[#This Row],[Cen.]]="","",IFERROR(VLOOKUP(MB25_VOLUMETRIA[[#This Row],[Cen.]],Dados_Empresas[],2,FALSE),"Verificar empresa"))</f>
        <v>EMBRATEL</v>
      </c>
      <c r="O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6" spans="1:15" x14ac:dyDescent="0.25">
      <c r="A36" s="32">
        <v>4381193</v>
      </c>
      <c r="B36" s="32" t="s">
        <v>17</v>
      </c>
      <c r="C36" s="33" t="s">
        <v>17</v>
      </c>
      <c r="D36" s="35">
        <v>45448</v>
      </c>
      <c r="E36" s="32">
        <v>201</v>
      </c>
      <c r="F36" s="32">
        <v>252900</v>
      </c>
      <c r="G36" s="32" t="s">
        <v>274</v>
      </c>
      <c r="H36" s="26" t="s">
        <v>38</v>
      </c>
      <c r="I36" s="36">
        <v>5</v>
      </c>
      <c r="J36" s="32">
        <f>IF(MB25_VOLUMETRIA[[#This Row],[Reserva]]="","",1)</f>
        <v>1</v>
      </c>
      <c r="K36" s="36" t="str">
        <f>IF(MB25_VOLUMETRIA[[#This Row],[Reserva]]="","",IFERROR(VLOOKUP(MB25_VOLUMETRIA[[#This Row],[UMB]],CHAVE[],2,FALSE),"VERIFICAR"))</f>
        <v>Unidade</v>
      </c>
      <c r="L36" s="32" t="str">
        <f>IF(MB25_VOLUMETRIA[[#This Row],[Reserva]]="","",IFERROR(VLOOKUP(MB25_VOLUMETRIA[[#This Row],[Reserva]],Tabela3[[Reserva]:[Condição para Faturamento]],20,FALSE),"IMPORTADO COM SUCESSO"))</f>
        <v>EM CONFERENCIA</v>
      </c>
      <c r="M36" s="32" t="str">
        <f ca="1">IFERROR(VLOOKUP(MB25_VOLUMETRIA[[#This Row],[Reserva]],RES_AB[],14,FALSE),"")</f>
        <v>PLANO DO DIA</v>
      </c>
      <c r="N36" s="32" t="str">
        <f>IF(MB25_VOLUMETRIA[[#This Row],[Cen.]]="","",IFERROR(VLOOKUP(MB25_VOLUMETRIA[[#This Row],[Cen.]],Dados_Empresas[],2,FALSE),"Verificar empresa"))</f>
        <v>EMBRATEL</v>
      </c>
      <c r="O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7" spans="1:15" x14ac:dyDescent="0.25">
      <c r="A37" s="32">
        <v>4381193</v>
      </c>
      <c r="B37" s="32" t="s">
        <v>17</v>
      </c>
      <c r="C37" s="33" t="s">
        <v>17</v>
      </c>
      <c r="D37" s="35">
        <v>45448</v>
      </c>
      <c r="E37" s="32">
        <v>201</v>
      </c>
      <c r="F37" s="32">
        <v>254491</v>
      </c>
      <c r="G37" s="32" t="s">
        <v>300</v>
      </c>
      <c r="H37" s="26" t="s">
        <v>38</v>
      </c>
      <c r="I37" s="36">
        <v>50</v>
      </c>
      <c r="J37" s="32">
        <f>IF(MB25_VOLUMETRIA[[#This Row],[Reserva]]="","",1)</f>
        <v>1</v>
      </c>
      <c r="K37" s="36" t="str">
        <f>IF(MB25_VOLUMETRIA[[#This Row],[Reserva]]="","",IFERROR(VLOOKUP(MB25_VOLUMETRIA[[#This Row],[UMB]],CHAVE[],2,FALSE),"VERIFICAR"))</f>
        <v>Unidade</v>
      </c>
      <c r="L37" s="32" t="str">
        <f>IF(MB25_VOLUMETRIA[[#This Row],[Reserva]]="","",IFERROR(VLOOKUP(MB25_VOLUMETRIA[[#This Row],[Reserva]],Tabela3[[Reserva]:[Condição para Faturamento]],20,FALSE),"IMPORTADO COM SUCESSO"))</f>
        <v>EM CONFERENCIA</v>
      </c>
      <c r="M37" s="32" t="str">
        <f ca="1">IFERROR(VLOOKUP(MB25_VOLUMETRIA[[#This Row],[Reserva]],RES_AB[],14,FALSE),"")</f>
        <v>PLANO DO DIA</v>
      </c>
      <c r="N37" s="32" t="str">
        <f>IF(MB25_VOLUMETRIA[[#This Row],[Cen.]]="","",IFERROR(VLOOKUP(MB25_VOLUMETRIA[[#This Row],[Cen.]],Dados_Empresas[],2,FALSE),"Verificar empresa"))</f>
        <v>EMBRATEL</v>
      </c>
      <c r="O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8" spans="1:15" x14ac:dyDescent="0.25">
      <c r="A38" s="32">
        <v>4381193</v>
      </c>
      <c r="B38" s="32" t="s">
        <v>17</v>
      </c>
      <c r="C38" s="33" t="s">
        <v>17</v>
      </c>
      <c r="D38" s="35">
        <v>45448</v>
      </c>
      <c r="E38" s="32">
        <v>201</v>
      </c>
      <c r="F38" s="32">
        <v>254543</v>
      </c>
      <c r="G38" s="32" t="s">
        <v>376</v>
      </c>
      <c r="H38" s="26" t="s">
        <v>38</v>
      </c>
      <c r="I38" s="36">
        <v>10</v>
      </c>
      <c r="J38" s="32">
        <f>IF(MB25_VOLUMETRIA[[#This Row],[Reserva]]="","",1)</f>
        <v>1</v>
      </c>
      <c r="K38" s="36" t="str">
        <f>IF(MB25_VOLUMETRIA[[#This Row],[Reserva]]="","",IFERROR(VLOOKUP(MB25_VOLUMETRIA[[#This Row],[UMB]],CHAVE[],2,FALSE),"VERIFICAR"))</f>
        <v>Unidade</v>
      </c>
      <c r="L38" s="32" t="str">
        <f>IF(MB25_VOLUMETRIA[[#This Row],[Reserva]]="","",IFERROR(VLOOKUP(MB25_VOLUMETRIA[[#This Row],[Reserva]],Tabela3[[Reserva]:[Condição para Faturamento]],20,FALSE),"IMPORTADO COM SUCESSO"))</f>
        <v>EM CONFERENCIA</v>
      </c>
      <c r="M38" s="32" t="str">
        <f ca="1">IFERROR(VLOOKUP(MB25_VOLUMETRIA[[#This Row],[Reserva]],RES_AB[],14,FALSE),"")</f>
        <v>PLANO DO DIA</v>
      </c>
      <c r="N38" s="32" t="str">
        <f>IF(MB25_VOLUMETRIA[[#This Row],[Cen.]]="","",IFERROR(VLOOKUP(MB25_VOLUMETRIA[[#This Row],[Cen.]],Dados_Empresas[],2,FALSE),"Verificar empresa"))</f>
        <v>EMBRATEL</v>
      </c>
      <c r="O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9" spans="1:15" x14ac:dyDescent="0.25">
      <c r="A39" s="32">
        <v>4381193</v>
      </c>
      <c r="B39" s="32" t="s">
        <v>17</v>
      </c>
      <c r="C39" s="33" t="s">
        <v>17</v>
      </c>
      <c r="D39" s="35">
        <v>45448</v>
      </c>
      <c r="E39" s="32">
        <v>201</v>
      </c>
      <c r="F39" s="32">
        <v>254385</v>
      </c>
      <c r="G39" s="32" t="s">
        <v>280</v>
      </c>
      <c r="H39" s="26" t="s">
        <v>38</v>
      </c>
      <c r="I39" s="36">
        <v>20</v>
      </c>
      <c r="J39" s="32">
        <f>IF(MB25_VOLUMETRIA[[#This Row],[Reserva]]="","",1)</f>
        <v>1</v>
      </c>
      <c r="K39" s="36" t="str">
        <f>IF(MB25_VOLUMETRIA[[#This Row],[Reserva]]="","",IFERROR(VLOOKUP(MB25_VOLUMETRIA[[#This Row],[UMB]],CHAVE[],2,FALSE),"VERIFICAR"))</f>
        <v>Unidade</v>
      </c>
      <c r="L39" s="32" t="str">
        <f>IF(MB25_VOLUMETRIA[[#This Row],[Reserva]]="","",IFERROR(VLOOKUP(MB25_VOLUMETRIA[[#This Row],[Reserva]],Tabela3[[Reserva]:[Condição para Faturamento]],20,FALSE),"IMPORTADO COM SUCESSO"))</f>
        <v>EM CONFERENCIA</v>
      </c>
      <c r="M39" s="32" t="str">
        <f ca="1">IFERROR(VLOOKUP(MB25_VOLUMETRIA[[#This Row],[Reserva]],RES_AB[],14,FALSE),"")</f>
        <v>PLANO DO DIA</v>
      </c>
      <c r="N39" s="32" t="str">
        <f>IF(MB25_VOLUMETRIA[[#This Row],[Cen.]]="","",IFERROR(VLOOKUP(MB25_VOLUMETRIA[[#This Row],[Cen.]],Dados_Empresas[],2,FALSE),"Verificar empresa"))</f>
        <v>EMBRATEL</v>
      </c>
      <c r="O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40" spans="1:15" x14ac:dyDescent="0.25">
      <c r="A40" s="32">
        <v>4381193</v>
      </c>
      <c r="B40" s="32" t="s">
        <v>17</v>
      </c>
      <c r="C40" s="33" t="s">
        <v>17</v>
      </c>
      <c r="D40" s="35">
        <v>45448</v>
      </c>
      <c r="E40" s="32">
        <v>201</v>
      </c>
      <c r="F40" s="32">
        <v>253496</v>
      </c>
      <c r="G40" s="32" t="s">
        <v>207</v>
      </c>
      <c r="H40" s="26" t="s">
        <v>38</v>
      </c>
      <c r="I40" s="36">
        <v>5</v>
      </c>
      <c r="J40" s="32">
        <f>IF(MB25_VOLUMETRIA[[#This Row],[Reserva]]="","",1)</f>
        <v>1</v>
      </c>
      <c r="K40" s="36" t="str">
        <f>IF(MB25_VOLUMETRIA[[#This Row],[Reserva]]="","",IFERROR(VLOOKUP(MB25_VOLUMETRIA[[#This Row],[UMB]],CHAVE[],2,FALSE),"VERIFICAR"))</f>
        <v>Unidade</v>
      </c>
      <c r="L40" s="32" t="str">
        <f>IF(MB25_VOLUMETRIA[[#This Row],[Reserva]]="","",IFERROR(VLOOKUP(MB25_VOLUMETRIA[[#This Row],[Reserva]],Tabela3[[Reserva]:[Condição para Faturamento]],20,FALSE),"IMPORTADO COM SUCESSO"))</f>
        <v>EM CONFERENCIA</v>
      </c>
      <c r="M40" s="32" t="str">
        <f ca="1">IFERROR(VLOOKUP(MB25_VOLUMETRIA[[#This Row],[Reserva]],RES_AB[],14,FALSE),"")</f>
        <v>PLANO DO DIA</v>
      </c>
      <c r="N40" s="32" t="str">
        <f>IF(MB25_VOLUMETRIA[[#This Row],[Cen.]]="","",IFERROR(VLOOKUP(MB25_VOLUMETRIA[[#This Row],[Cen.]],Dados_Empresas[],2,FALSE),"Verificar empresa"))</f>
        <v>EMBRATEL</v>
      </c>
      <c r="O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41" spans="1:15" x14ac:dyDescent="0.25">
      <c r="A41" s="32">
        <v>4381193</v>
      </c>
      <c r="B41" s="32" t="s">
        <v>17</v>
      </c>
      <c r="C41" s="33" t="s">
        <v>17</v>
      </c>
      <c r="D41" s="35">
        <v>45448</v>
      </c>
      <c r="E41" s="32">
        <v>201</v>
      </c>
      <c r="F41" s="32">
        <v>254544</v>
      </c>
      <c r="G41" s="32" t="s">
        <v>377</v>
      </c>
      <c r="H41" s="26" t="s">
        <v>38</v>
      </c>
      <c r="I41" s="36">
        <v>2</v>
      </c>
      <c r="J41" s="32">
        <f>IF(MB25_VOLUMETRIA[[#This Row],[Reserva]]="","",1)</f>
        <v>1</v>
      </c>
      <c r="K41" s="36" t="str">
        <f>IF(MB25_VOLUMETRIA[[#This Row],[Reserva]]="","",IFERROR(VLOOKUP(MB25_VOLUMETRIA[[#This Row],[UMB]],CHAVE[],2,FALSE),"VERIFICAR"))</f>
        <v>Unidade</v>
      </c>
      <c r="L41" s="32" t="str">
        <f>IF(MB25_VOLUMETRIA[[#This Row],[Reserva]]="","",IFERROR(VLOOKUP(MB25_VOLUMETRIA[[#This Row],[Reserva]],Tabela3[[Reserva]:[Condição para Faturamento]],20,FALSE),"IMPORTADO COM SUCESSO"))</f>
        <v>EM CONFERENCIA</v>
      </c>
      <c r="M41" s="32" t="str">
        <f ca="1">IFERROR(VLOOKUP(MB25_VOLUMETRIA[[#This Row],[Reserva]],RES_AB[],14,FALSE),"")</f>
        <v>PLANO DO DIA</v>
      </c>
      <c r="N41" s="32" t="str">
        <f>IF(MB25_VOLUMETRIA[[#This Row],[Cen.]]="","",IFERROR(VLOOKUP(MB25_VOLUMETRIA[[#This Row],[Cen.]],Dados_Empresas[],2,FALSE),"Verificar empresa"))</f>
        <v>EMBRATEL</v>
      </c>
      <c r="O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42" spans="1:15" x14ac:dyDescent="0.25">
      <c r="A42" s="32">
        <v>4381193</v>
      </c>
      <c r="B42" s="32" t="s">
        <v>17</v>
      </c>
      <c r="C42" s="33" t="s">
        <v>17</v>
      </c>
      <c r="D42" s="35">
        <v>45448</v>
      </c>
      <c r="E42" s="32">
        <v>201</v>
      </c>
      <c r="F42" s="32">
        <v>254487</v>
      </c>
      <c r="G42" s="32" t="s">
        <v>301</v>
      </c>
      <c r="H42" s="26" t="s">
        <v>38</v>
      </c>
      <c r="I42" s="36">
        <v>10</v>
      </c>
      <c r="J42" s="32">
        <f>IF(MB25_VOLUMETRIA[[#This Row],[Reserva]]="","",1)</f>
        <v>1</v>
      </c>
      <c r="K42" s="36" t="str">
        <f>IF(MB25_VOLUMETRIA[[#This Row],[Reserva]]="","",IFERROR(VLOOKUP(MB25_VOLUMETRIA[[#This Row],[UMB]],CHAVE[],2,FALSE),"VERIFICAR"))</f>
        <v>Unidade</v>
      </c>
      <c r="L42" s="32" t="str">
        <f>IF(MB25_VOLUMETRIA[[#This Row],[Reserva]]="","",IFERROR(VLOOKUP(MB25_VOLUMETRIA[[#This Row],[Reserva]],Tabela3[[Reserva]:[Condição para Faturamento]],20,FALSE),"IMPORTADO COM SUCESSO"))</f>
        <v>EM CONFERENCIA</v>
      </c>
      <c r="M42" s="32" t="str">
        <f ca="1">IFERROR(VLOOKUP(MB25_VOLUMETRIA[[#This Row],[Reserva]],RES_AB[],14,FALSE),"")</f>
        <v>PLANO DO DIA</v>
      </c>
      <c r="N42" s="32" t="str">
        <f>IF(MB25_VOLUMETRIA[[#This Row],[Cen.]]="","",IFERROR(VLOOKUP(MB25_VOLUMETRIA[[#This Row],[Cen.]],Dados_Empresas[],2,FALSE),"Verificar empresa"))</f>
        <v>EMBRATEL</v>
      </c>
      <c r="O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43" spans="1:15" x14ac:dyDescent="0.25">
      <c r="A43" s="32">
        <v>4381194</v>
      </c>
      <c r="B43" s="32" t="s">
        <v>17</v>
      </c>
      <c r="C43" s="33" t="s">
        <v>17</v>
      </c>
      <c r="D43" s="35">
        <v>45448</v>
      </c>
      <c r="E43" s="32">
        <v>201</v>
      </c>
      <c r="F43" s="32">
        <v>254499</v>
      </c>
      <c r="G43" s="32" t="s">
        <v>281</v>
      </c>
      <c r="H43" s="26" t="s">
        <v>38</v>
      </c>
      <c r="I43" s="36">
        <v>4000</v>
      </c>
      <c r="J43" s="32">
        <f>IF(MB25_VOLUMETRIA[[#This Row],[Reserva]]="","",1)</f>
        <v>1</v>
      </c>
      <c r="K43" s="36" t="str">
        <f>IF(MB25_VOLUMETRIA[[#This Row],[Reserva]]="","",IFERROR(VLOOKUP(MB25_VOLUMETRIA[[#This Row],[UMB]],CHAVE[],2,FALSE),"VERIFICAR"))</f>
        <v>Unidade</v>
      </c>
      <c r="L4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3" s="32" t="str">
        <f ca="1">IFERROR(VLOOKUP(MB25_VOLUMETRIA[[#This Row],[Reserva]],RES_AB[],14,FALSE),"")</f>
        <v>PLANO DO DIA</v>
      </c>
      <c r="N43" s="32" t="str">
        <f>IF(MB25_VOLUMETRIA[[#This Row],[Cen.]]="","",IFERROR(VLOOKUP(MB25_VOLUMETRIA[[#This Row],[Cen.]],Dados_Empresas[],2,FALSE),"Verificar empresa"))</f>
        <v>EMBRATEL</v>
      </c>
      <c r="O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44" spans="1:15" x14ac:dyDescent="0.25">
      <c r="A44" s="32">
        <v>4381194</v>
      </c>
      <c r="B44" s="32" t="s">
        <v>17</v>
      </c>
      <c r="C44" s="33" t="s">
        <v>17</v>
      </c>
      <c r="D44" s="35">
        <v>45448</v>
      </c>
      <c r="E44" s="32">
        <v>201</v>
      </c>
      <c r="F44" s="32">
        <v>252815</v>
      </c>
      <c r="G44" s="32" t="s">
        <v>219</v>
      </c>
      <c r="H44" s="26" t="s">
        <v>38</v>
      </c>
      <c r="I44" s="36">
        <v>500</v>
      </c>
      <c r="J44" s="32">
        <f>IF(MB25_VOLUMETRIA[[#This Row],[Reserva]]="","",1)</f>
        <v>1</v>
      </c>
      <c r="K44" s="36" t="str">
        <f>IF(MB25_VOLUMETRIA[[#This Row],[Reserva]]="","",IFERROR(VLOOKUP(MB25_VOLUMETRIA[[#This Row],[UMB]],CHAVE[],2,FALSE),"VERIFICAR"))</f>
        <v>Unidade</v>
      </c>
      <c r="L4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4" s="32" t="str">
        <f ca="1">IFERROR(VLOOKUP(MB25_VOLUMETRIA[[#This Row],[Reserva]],RES_AB[],14,FALSE),"")</f>
        <v>PLANO DO DIA</v>
      </c>
      <c r="N44" s="32" t="str">
        <f>IF(MB25_VOLUMETRIA[[#This Row],[Cen.]]="","",IFERROR(VLOOKUP(MB25_VOLUMETRIA[[#This Row],[Cen.]],Dados_Empresas[],2,FALSE),"Verificar empresa"))</f>
        <v>EMBRATEL</v>
      </c>
      <c r="O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45" spans="1:15" x14ac:dyDescent="0.25">
      <c r="A45" s="32">
        <v>4381194</v>
      </c>
      <c r="B45" s="32" t="s">
        <v>17</v>
      </c>
      <c r="C45" s="33" t="s">
        <v>17</v>
      </c>
      <c r="D45" s="35">
        <v>45448</v>
      </c>
      <c r="E45" s="32">
        <v>201</v>
      </c>
      <c r="F45" s="32">
        <v>254491</v>
      </c>
      <c r="G45" s="32" t="s">
        <v>300</v>
      </c>
      <c r="H45" s="26" t="s">
        <v>38</v>
      </c>
      <c r="I45" s="36">
        <v>80</v>
      </c>
      <c r="J45" s="32">
        <f>IF(MB25_VOLUMETRIA[[#This Row],[Reserva]]="","",1)</f>
        <v>1</v>
      </c>
      <c r="K45" s="36" t="str">
        <f>IF(MB25_VOLUMETRIA[[#This Row],[Reserva]]="","",IFERROR(VLOOKUP(MB25_VOLUMETRIA[[#This Row],[UMB]],CHAVE[],2,FALSE),"VERIFICAR"))</f>
        <v>Unidade</v>
      </c>
      <c r="L4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5" s="32" t="str">
        <f ca="1">IFERROR(VLOOKUP(MB25_VOLUMETRIA[[#This Row],[Reserva]],RES_AB[],14,FALSE),"")</f>
        <v>PLANO DO DIA</v>
      </c>
      <c r="N45" s="32" t="str">
        <f>IF(MB25_VOLUMETRIA[[#This Row],[Cen.]]="","",IFERROR(VLOOKUP(MB25_VOLUMETRIA[[#This Row],[Cen.]],Dados_Empresas[],2,FALSE),"Verificar empresa"))</f>
        <v>EMBRATEL</v>
      </c>
      <c r="O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46" spans="1:15" x14ac:dyDescent="0.25">
      <c r="A46" s="32">
        <v>4381194</v>
      </c>
      <c r="B46" s="32" t="s">
        <v>17</v>
      </c>
      <c r="C46" s="33" t="s">
        <v>17</v>
      </c>
      <c r="D46" s="35">
        <v>45448</v>
      </c>
      <c r="E46" s="32">
        <v>201</v>
      </c>
      <c r="F46" s="32">
        <v>254544</v>
      </c>
      <c r="G46" s="32" t="s">
        <v>377</v>
      </c>
      <c r="H46" s="26" t="s">
        <v>38</v>
      </c>
      <c r="I46" s="36">
        <v>5</v>
      </c>
      <c r="J46" s="32">
        <f>IF(MB25_VOLUMETRIA[[#This Row],[Reserva]]="","",1)</f>
        <v>1</v>
      </c>
      <c r="K46" s="36" t="str">
        <f>IF(MB25_VOLUMETRIA[[#This Row],[Reserva]]="","",IFERROR(VLOOKUP(MB25_VOLUMETRIA[[#This Row],[UMB]],CHAVE[],2,FALSE),"VERIFICAR"))</f>
        <v>Unidade</v>
      </c>
      <c r="L4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6" s="32" t="str">
        <f ca="1">IFERROR(VLOOKUP(MB25_VOLUMETRIA[[#This Row],[Reserva]],RES_AB[],14,FALSE),"")</f>
        <v>PLANO DO DIA</v>
      </c>
      <c r="N46" s="32" t="str">
        <f>IF(MB25_VOLUMETRIA[[#This Row],[Cen.]]="","",IFERROR(VLOOKUP(MB25_VOLUMETRIA[[#This Row],[Cen.]],Dados_Empresas[],2,FALSE),"Verificar empresa"))</f>
        <v>EMBRATEL</v>
      </c>
      <c r="O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47" spans="1:15" x14ac:dyDescent="0.25">
      <c r="A47" s="32">
        <v>4381194</v>
      </c>
      <c r="B47" s="32" t="s">
        <v>17</v>
      </c>
      <c r="C47" s="33" t="s">
        <v>17</v>
      </c>
      <c r="D47" s="35">
        <v>45448</v>
      </c>
      <c r="E47" s="32">
        <v>201</v>
      </c>
      <c r="F47" s="32">
        <v>254487</v>
      </c>
      <c r="G47" s="32" t="s">
        <v>301</v>
      </c>
      <c r="H47" s="26" t="s">
        <v>38</v>
      </c>
      <c r="I47" s="36">
        <v>14</v>
      </c>
      <c r="J47" s="32">
        <f>IF(MB25_VOLUMETRIA[[#This Row],[Reserva]]="","",1)</f>
        <v>1</v>
      </c>
      <c r="K47" s="36" t="str">
        <f>IF(MB25_VOLUMETRIA[[#This Row],[Reserva]]="","",IFERROR(VLOOKUP(MB25_VOLUMETRIA[[#This Row],[UMB]],CHAVE[],2,FALSE),"VERIFICAR"))</f>
        <v>Unidade</v>
      </c>
      <c r="L4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7" s="32" t="str">
        <f ca="1">IFERROR(VLOOKUP(MB25_VOLUMETRIA[[#This Row],[Reserva]],RES_AB[],14,FALSE),"")</f>
        <v>PLANO DO DIA</v>
      </c>
      <c r="N47" s="32" t="str">
        <f>IF(MB25_VOLUMETRIA[[#This Row],[Cen.]]="","",IFERROR(VLOOKUP(MB25_VOLUMETRIA[[#This Row],[Cen.]],Dados_Empresas[],2,FALSE),"Verificar empresa"))</f>
        <v>EMBRATEL</v>
      </c>
      <c r="O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48" spans="1:15" x14ac:dyDescent="0.25">
      <c r="A48" s="32">
        <v>4381304</v>
      </c>
      <c r="B48" s="32" t="s">
        <v>17</v>
      </c>
      <c r="C48" s="33" t="s">
        <v>17</v>
      </c>
      <c r="D48" s="35">
        <v>45448</v>
      </c>
      <c r="E48" s="32">
        <v>201</v>
      </c>
      <c r="F48" s="32">
        <v>254499</v>
      </c>
      <c r="G48" s="32" t="s">
        <v>281</v>
      </c>
      <c r="H48" s="26" t="s">
        <v>38</v>
      </c>
      <c r="I48" s="36">
        <v>3000</v>
      </c>
      <c r="J48" s="32">
        <f>IF(MB25_VOLUMETRIA[[#This Row],[Reserva]]="","",1)</f>
        <v>1</v>
      </c>
      <c r="K48" s="36" t="str">
        <f>IF(MB25_VOLUMETRIA[[#This Row],[Reserva]]="","",IFERROR(VLOOKUP(MB25_VOLUMETRIA[[#This Row],[UMB]],CHAVE[],2,FALSE),"VERIFICAR"))</f>
        <v>Unidade</v>
      </c>
      <c r="L4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8" s="32" t="str">
        <f ca="1">IFERROR(VLOOKUP(MB25_VOLUMETRIA[[#This Row],[Reserva]],RES_AB[],14,FALSE),"")</f>
        <v>PLANO DO DIA</v>
      </c>
      <c r="N48" s="32" t="str">
        <f>IF(MB25_VOLUMETRIA[[#This Row],[Cen.]]="","",IFERROR(VLOOKUP(MB25_VOLUMETRIA[[#This Row],[Cen.]],Dados_Empresas[],2,FALSE),"Verificar empresa"))</f>
        <v>EMBRATEL</v>
      </c>
      <c r="O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49" spans="1:15" x14ac:dyDescent="0.25">
      <c r="A49" s="32">
        <v>4381304</v>
      </c>
      <c r="B49" s="32" t="s">
        <v>17</v>
      </c>
      <c r="C49" s="33" t="s">
        <v>17</v>
      </c>
      <c r="D49" s="35">
        <v>45448</v>
      </c>
      <c r="E49" s="32">
        <v>201</v>
      </c>
      <c r="F49" s="32">
        <v>252900</v>
      </c>
      <c r="G49" s="32" t="s">
        <v>274</v>
      </c>
      <c r="H49" s="26" t="s">
        <v>38</v>
      </c>
      <c r="I49" s="36">
        <v>6</v>
      </c>
      <c r="J49" s="32">
        <f>IF(MB25_VOLUMETRIA[[#This Row],[Reserva]]="","",1)</f>
        <v>1</v>
      </c>
      <c r="K49" s="36" t="str">
        <f>IF(MB25_VOLUMETRIA[[#This Row],[Reserva]]="","",IFERROR(VLOOKUP(MB25_VOLUMETRIA[[#This Row],[UMB]],CHAVE[],2,FALSE),"VERIFICAR"))</f>
        <v>Unidade</v>
      </c>
      <c r="L4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49" s="32" t="str">
        <f ca="1">IFERROR(VLOOKUP(MB25_VOLUMETRIA[[#This Row],[Reserva]],RES_AB[],14,FALSE),"")</f>
        <v>PLANO DO DIA</v>
      </c>
      <c r="N49" s="32" t="str">
        <f>IF(MB25_VOLUMETRIA[[#This Row],[Cen.]]="","",IFERROR(VLOOKUP(MB25_VOLUMETRIA[[#This Row],[Cen.]],Dados_Empresas[],2,FALSE),"Verificar empresa"))</f>
        <v>EMBRATEL</v>
      </c>
      <c r="O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50" spans="1:15" x14ac:dyDescent="0.25">
      <c r="A50" s="32">
        <v>4381304</v>
      </c>
      <c r="B50" s="32" t="s">
        <v>17</v>
      </c>
      <c r="C50" s="33" t="s">
        <v>17</v>
      </c>
      <c r="D50" s="35">
        <v>45448</v>
      </c>
      <c r="E50" s="32">
        <v>201</v>
      </c>
      <c r="F50" s="32">
        <v>253496</v>
      </c>
      <c r="G50" s="32" t="s">
        <v>207</v>
      </c>
      <c r="H50" s="26" t="s">
        <v>38</v>
      </c>
      <c r="I50" s="36">
        <v>6</v>
      </c>
      <c r="J50" s="32">
        <f>IF(MB25_VOLUMETRIA[[#This Row],[Reserva]]="","",1)</f>
        <v>1</v>
      </c>
      <c r="K50" s="36" t="str">
        <f>IF(MB25_VOLUMETRIA[[#This Row],[Reserva]]="","",IFERROR(VLOOKUP(MB25_VOLUMETRIA[[#This Row],[UMB]],CHAVE[],2,FALSE),"VERIFICAR"))</f>
        <v>Unidade</v>
      </c>
      <c r="L5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0" s="32" t="str">
        <f ca="1">IFERROR(VLOOKUP(MB25_VOLUMETRIA[[#This Row],[Reserva]],RES_AB[],14,FALSE),"")</f>
        <v>PLANO DO DIA</v>
      </c>
      <c r="N50" s="32" t="str">
        <f>IF(MB25_VOLUMETRIA[[#This Row],[Cen.]]="","",IFERROR(VLOOKUP(MB25_VOLUMETRIA[[#This Row],[Cen.]],Dados_Empresas[],2,FALSE),"Verificar empresa"))</f>
        <v>EMBRATEL</v>
      </c>
      <c r="O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51" spans="1:15" x14ac:dyDescent="0.25">
      <c r="A51" s="32">
        <v>4381304</v>
      </c>
      <c r="B51" s="32" t="s">
        <v>17</v>
      </c>
      <c r="C51" s="33" t="s">
        <v>17</v>
      </c>
      <c r="D51" s="35">
        <v>45448</v>
      </c>
      <c r="E51" s="32">
        <v>201</v>
      </c>
      <c r="F51" s="32">
        <v>254491</v>
      </c>
      <c r="G51" s="32" t="s">
        <v>300</v>
      </c>
      <c r="H51" s="26" t="s">
        <v>38</v>
      </c>
      <c r="I51" s="36">
        <v>50</v>
      </c>
      <c r="J51" s="32">
        <f>IF(MB25_VOLUMETRIA[[#This Row],[Reserva]]="","",1)</f>
        <v>1</v>
      </c>
      <c r="K51" s="36" t="str">
        <f>IF(MB25_VOLUMETRIA[[#This Row],[Reserva]]="","",IFERROR(VLOOKUP(MB25_VOLUMETRIA[[#This Row],[UMB]],CHAVE[],2,FALSE),"VERIFICAR"))</f>
        <v>Unidade</v>
      </c>
      <c r="L5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1" s="32" t="str">
        <f ca="1">IFERROR(VLOOKUP(MB25_VOLUMETRIA[[#This Row],[Reserva]],RES_AB[],14,FALSE),"")</f>
        <v>PLANO DO DIA</v>
      </c>
      <c r="N51" s="32" t="str">
        <f>IF(MB25_VOLUMETRIA[[#This Row],[Cen.]]="","",IFERROR(VLOOKUP(MB25_VOLUMETRIA[[#This Row],[Cen.]],Dados_Empresas[],2,FALSE),"Verificar empresa"))</f>
        <v>EMBRATEL</v>
      </c>
      <c r="O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52" spans="1:15" x14ac:dyDescent="0.25">
      <c r="A52" s="32">
        <v>4381304</v>
      </c>
      <c r="B52" s="32" t="s">
        <v>17</v>
      </c>
      <c r="C52" s="33" t="s">
        <v>17</v>
      </c>
      <c r="D52" s="35">
        <v>45448</v>
      </c>
      <c r="E52" s="32">
        <v>201</v>
      </c>
      <c r="F52" s="32">
        <v>254487</v>
      </c>
      <c r="G52" s="32" t="s">
        <v>301</v>
      </c>
      <c r="H52" s="26" t="s">
        <v>38</v>
      </c>
      <c r="I52" s="36">
        <v>10</v>
      </c>
      <c r="J52" s="32">
        <f>IF(MB25_VOLUMETRIA[[#This Row],[Reserva]]="","",1)</f>
        <v>1</v>
      </c>
      <c r="K52" s="36" t="str">
        <f>IF(MB25_VOLUMETRIA[[#This Row],[Reserva]]="","",IFERROR(VLOOKUP(MB25_VOLUMETRIA[[#This Row],[UMB]],CHAVE[],2,FALSE),"VERIFICAR"))</f>
        <v>Unidade</v>
      </c>
      <c r="L5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52" s="32" t="str">
        <f ca="1">IFERROR(VLOOKUP(MB25_VOLUMETRIA[[#This Row],[Reserva]],RES_AB[],14,FALSE),"")</f>
        <v>PLANO DO DIA</v>
      </c>
      <c r="N52" s="32" t="str">
        <f>IF(MB25_VOLUMETRIA[[#This Row],[Cen.]]="","",IFERROR(VLOOKUP(MB25_VOLUMETRIA[[#This Row],[Cen.]],Dados_Empresas[],2,FALSE),"Verificar empresa"))</f>
        <v>EMBRATEL</v>
      </c>
      <c r="O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53" spans="1:15" x14ac:dyDescent="0.25">
      <c r="A53" s="32">
        <v>4381383</v>
      </c>
      <c r="B53" s="32" t="s">
        <v>17</v>
      </c>
      <c r="C53" s="33" t="s">
        <v>17</v>
      </c>
      <c r="D53" s="35">
        <v>45448</v>
      </c>
      <c r="E53" s="32">
        <v>221</v>
      </c>
      <c r="F53" s="32">
        <v>30058425</v>
      </c>
      <c r="G53" s="32" t="s">
        <v>312</v>
      </c>
      <c r="H53" s="26" t="s">
        <v>38</v>
      </c>
      <c r="I53" s="36">
        <v>4</v>
      </c>
      <c r="J53" s="32">
        <f>IF(MB25_VOLUMETRIA[[#This Row],[Reserva]]="","",1)</f>
        <v>1</v>
      </c>
      <c r="K53" s="36" t="str">
        <f>IF(MB25_VOLUMETRIA[[#This Row],[Reserva]]="","",IFERROR(VLOOKUP(MB25_VOLUMETRIA[[#This Row],[UMB]],CHAVE[],2,FALSE),"VERIFICAR"))</f>
        <v>Unidade</v>
      </c>
      <c r="L53" s="32" t="str">
        <f>IF(MB25_VOLUMETRIA[[#This Row],[Reserva]]="","",IFERROR(VLOOKUP(MB25_VOLUMETRIA[[#This Row],[Reserva]],Tabela3[[Reserva]:[Condição para Faturamento]],20,FALSE),"IMPORTADO COM SUCESSO"))</f>
        <v>EM FATURAMENTO</v>
      </c>
      <c r="M53" s="32" t="str">
        <f ca="1">IFERROR(VLOOKUP(MB25_VOLUMETRIA[[#This Row],[Reserva]],RES_AB[],14,FALSE),"")</f>
        <v>PLANO DO DIA</v>
      </c>
      <c r="N53" s="32" t="str">
        <f>IF(MB25_VOLUMETRIA[[#This Row],[Cen.]]="","",IFERROR(VLOOKUP(MB25_VOLUMETRIA[[#This Row],[Cen.]],Dados_Empresas[],2,FALSE),"Verificar empresa"))</f>
        <v>EMBRATEL</v>
      </c>
      <c r="O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54" spans="1:15" x14ac:dyDescent="0.25">
      <c r="A54" s="32">
        <v>4381383</v>
      </c>
      <c r="B54" s="32" t="s">
        <v>17</v>
      </c>
      <c r="C54" s="33" t="s">
        <v>17</v>
      </c>
      <c r="D54" s="35">
        <v>45448</v>
      </c>
      <c r="E54" s="32">
        <v>221</v>
      </c>
      <c r="F54" s="32">
        <v>22043918</v>
      </c>
      <c r="G54" s="32" t="s">
        <v>374</v>
      </c>
      <c r="H54" s="26" t="s">
        <v>38</v>
      </c>
      <c r="I54" s="36">
        <v>8</v>
      </c>
      <c r="J54" s="32">
        <f>IF(MB25_VOLUMETRIA[[#This Row],[Reserva]]="","",1)</f>
        <v>1</v>
      </c>
      <c r="K54" s="36" t="str">
        <f>IF(MB25_VOLUMETRIA[[#This Row],[Reserva]]="","",IFERROR(VLOOKUP(MB25_VOLUMETRIA[[#This Row],[UMB]],CHAVE[],2,FALSE),"VERIFICAR"))</f>
        <v>Unidade</v>
      </c>
      <c r="L54" s="32" t="str">
        <f>IF(MB25_VOLUMETRIA[[#This Row],[Reserva]]="","",IFERROR(VLOOKUP(MB25_VOLUMETRIA[[#This Row],[Reserva]],Tabela3[[Reserva]:[Condição para Faturamento]],20,FALSE),"IMPORTADO COM SUCESSO"))</f>
        <v>EM FATURAMENTO</v>
      </c>
      <c r="M54" s="32" t="str">
        <f ca="1">IFERROR(VLOOKUP(MB25_VOLUMETRIA[[#This Row],[Reserva]],RES_AB[],14,FALSE),"")</f>
        <v>PLANO DO DIA</v>
      </c>
      <c r="N54" s="32" t="str">
        <f>IF(MB25_VOLUMETRIA[[#This Row],[Cen.]]="","",IFERROR(VLOOKUP(MB25_VOLUMETRIA[[#This Row],[Cen.]],Dados_Empresas[],2,FALSE),"Verificar empresa"))</f>
        <v>EMBRATEL</v>
      </c>
      <c r="O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55" spans="1:15" x14ac:dyDescent="0.25">
      <c r="A55" s="32">
        <v>4381574</v>
      </c>
      <c r="B55" s="32" t="s">
        <v>17</v>
      </c>
      <c r="C55" s="33" t="s">
        <v>17</v>
      </c>
      <c r="D55" s="35">
        <v>45448</v>
      </c>
      <c r="E55" s="32">
        <v>221</v>
      </c>
      <c r="F55" s="32">
        <v>30065119</v>
      </c>
      <c r="G55" s="32" t="s">
        <v>270</v>
      </c>
      <c r="H55" s="26" t="s">
        <v>38</v>
      </c>
      <c r="I55" s="36">
        <v>30</v>
      </c>
      <c r="J55" s="32">
        <f>IF(MB25_VOLUMETRIA[[#This Row],[Reserva]]="","",1)</f>
        <v>1</v>
      </c>
      <c r="K55" s="36" t="str">
        <f>IF(MB25_VOLUMETRIA[[#This Row],[Reserva]]="","",IFERROR(VLOOKUP(MB25_VOLUMETRIA[[#This Row],[UMB]],CHAVE[],2,FALSE),"VERIFICAR"))</f>
        <v>Unidade</v>
      </c>
      <c r="L55" s="32" t="str">
        <f>IF(MB25_VOLUMETRIA[[#This Row],[Reserva]]="","",IFERROR(VLOOKUP(MB25_VOLUMETRIA[[#This Row],[Reserva]],Tabela3[[Reserva]:[Condição para Faturamento]],20,FALSE),"IMPORTADO COM SUCESSO"))</f>
        <v>EM CONFERENCIA</v>
      </c>
      <c r="M55" s="32" t="str">
        <f ca="1">IFERROR(VLOOKUP(MB25_VOLUMETRIA[[#This Row],[Reserva]],RES_AB[],14,FALSE),"")</f>
        <v>PLANO DO DIA</v>
      </c>
      <c r="N55" s="32" t="str">
        <f>IF(MB25_VOLUMETRIA[[#This Row],[Cen.]]="","",IFERROR(VLOOKUP(MB25_VOLUMETRIA[[#This Row],[Cen.]],Dados_Empresas[],2,FALSE),"Verificar empresa"))</f>
        <v>EMBRATEL</v>
      </c>
      <c r="O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56" spans="1:15" x14ac:dyDescent="0.25">
      <c r="A56" s="32">
        <v>4381575</v>
      </c>
      <c r="B56" s="32" t="s">
        <v>17</v>
      </c>
      <c r="C56" s="33" t="s">
        <v>17</v>
      </c>
      <c r="D56" s="35">
        <v>45448</v>
      </c>
      <c r="E56" s="32">
        <v>221</v>
      </c>
      <c r="F56" s="32">
        <v>30065119</v>
      </c>
      <c r="G56" s="32" t="s">
        <v>270</v>
      </c>
      <c r="H56" s="26" t="s">
        <v>38</v>
      </c>
      <c r="I56" s="36">
        <v>20</v>
      </c>
      <c r="J56" s="32">
        <f>IF(MB25_VOLUMETRIA[[#This Row],[Reserva]]="","",1)</f>
        <v>1</v>
      </c>
      <c r="K56" s="36" t="str">
        <f>IF(MB25_VOLUMETRIA[[#This Row],[Reserva]]="","",IFERROR(VLOOKUP(MB25_VOLUMETRIA[[#This Row],[UMB]],CHAVE[],2,FALSE),"VERIFICAR"))</f>
        <v>Unidade</v>
      </c>
      <c r="L56" s="32" t="str">
        <f>IF(MB25_VOLUMETRIA[[#This Row],[Reserva]]="","",IFERROR(VLOOKUP(MB25_VOLUMETRIA[[#This Row],[Reserva]],Tabela3[[Reserva]:[Condição para Faturamento]],20,FALSE),"IMPORTADO COM SUCESSO"))</f>
        <v>EM SEPARAÇÃO</v>
      </c>
      <c r="M56" s="32" t="str">
        <f ca="1">IFERROR(VLOOKUP(MB25_VOLUMETRIA[[#This Row],[Reserva]],RES_AB[],14,FALSE),"")</f>
        <v>PLANO DO DIA</v>
      </c>
      <c r="N56" s="32" t="str">
        <f>IF(MB25_VOLUMETRIA[[#This Row],[Cen.]]="","",IFERROR(VLOOKUP(MB25_VOLUMETRIA[[#This Row],[Cen.]],Dados_Empresas[],2,FALSE),"Verificar empresa"))</f>
        <v>EMBRATEL</v>
      </c>
      <c r="O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57" spans="1:15" x14ac:dyDescent="0.25">
      <c r="A57" s="32">
        <v>4381704</v>
      </c>
      <c r="B57" s="32" t="s">
        <v>17</v>
      </c>
      <c r="C57" s="33" t="s">
        <v>17</v>
      </c>
      <c r="D57" s="35">
        <v>45448</v>
      </c>
      <c r="E57" s="32">
        <v>221</v>
      </c>
      <c r="F57" s="32">
        <v>16008418</v>
      </c>
      <c r="G57" s="32" t="s">
        <v>385</v>
      </c>
      <c r="H57" s="26" t="s">
        <v>38</v>
      </c>
      <c r="I57" s="36">
        <v>1</v>
      </c>
      <c r="J57" s="32">
        <f>IF(MB25_VOLUMETRIA[[#This Row],[Reserva]]="","",1)</f>
        <v>1</v>
      </c>
      <c r="K57" s="36" t="str">
        <f>IF(MB25_VOLUMETRIA[[#This Row],[Reserva]]="","",IFERROR(VLOOKUP(MB25_VOLUMETRIA[[#This Row],[UMB]],CHAVE[],2,FALSE),"VERIFICAR"))</f>
        <v>Unidade</v>
      </c>
      <c r="L57" s="32" t="str">
        <f>IF(MB25_VOLUMETRIA[[#This Row],[Reserva]]="","",IFERROR(VLOOKUP(MB25_VOLUMETRIA[[#This Row],[Reserva]],Tabela3[[Reserva]:[Condição para Faturamento]],20,FALSE),"IMPORTADO COM SUCESSO"))</f>
        <v>EM FATURAMENTO</v>
      </c>
      <c r="M57" s="32" t="str">
        <f ca="1">IFERROR(VLOOKUP(MB25_VOLUMETRIA[[#This Row],[Reserva]],RES_AB[],14,FALSE),"")</f>
        <v>PLANO DO DIA</v>
      </c>
      <c r="N57" s="32" t="str">
        <f>IF(MB25_VOLUMETRIA[[#This Row],[Cen.]]="","",IFERROR(VLOOKUP(MB25_VOLUMETRIA[[#This Row],[Cen.]],Dados_Empresas[],2,FALSE),"Verificar empresa"))</f>
        <v>EMBRATEL</v>
      </c>
      <c r="O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58" spans="1:15" x14ac:dyDescent="0.25">
      <c r="A58" s="32">
        <v>4381704</v>
      </c>
      <c r="B58" s="32" t="s">
        <v>17</v>
      </c>
      <c r="C58" s="33" t="s">
        <v>17</v>
      </c>
      <c r="D58" s="35">
        <v>45448</v>
      </c>
      <c r="E58" s="32">
        <v>221</v>
      </c>
      <c r="F58" s="32">
        <v>16008418</v>
      </c>
      <c r="G58" s="32" t="s">
        <v>385</v>
      </c>
      <c r="H58" s="26" t="s">
        <v>38</v>
      </c>
      <c r="I58" s="36">
        <v>1</v>
      </c>
      <c r="J58" s="32">
        <f>IF(MB25_VOLUMETRIA[[#This Row],[Reserva]]="","",1)</f>
        <v>1</v>
      </c>
      <c r="K58" s="36" t="str">
        <f>IF(MB25_VOLUMETRIA[[#This Row],[Reserva]]="","",IFERROR(VLOOKUP(MB25_VOLUMETRIA[[#This Row],[UMB]],CHAVE[],2,FALSE),"VERIFICAR"))</f>
        <v>Unidade</v>
      </c>
      <c r="L58" s="32" t="str">
        <f>IF(MB25_VOLUMETRIA[[#This Row],[Reserva]]="","",IFERROR(VLOOKUP(MB25_VOLUMETRIA[[#This Row],[Reserva]],Tabela3[[Reserva]:[Condição para Faturamento]],20,FALSE),"IMPORTADO COM SUCESSO"))</f>
        <v>EM FATURAMENTO</v>
      </c>
      <c r="M58" s="32" t="str">
        <f ca="1">IFERROR(VLOOKUP(MB25_VOLUMETRIA[[#This Row],[Reserva]],RES_AB[],14,FALSE),"")</f>
        <v>PLANO DO DIA</v>
      </c>
      <c r="N58" s="32" t="str">
        <f>IF(MB25_VOLUMETRIA[[#This Row],[Cen.]]="","",IFERROR(VLOOKUP(MB25_VOLUMETRIA[[#This Row],[Cen.]],Dados_Empresas[],2,FALSE),"Verificar empresa"))</f>
        <v>EMBRATEL</v>
      </c>
      <c r="O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59" spans="1:15" x14ac:dyDescent="0.25">
      <c r="A59" s="32">
        <v>4381706</v>
      </c>
      <c r="B59" s="32" t="s">
        <v>17</v>
      </c>
      <c r="C59" s="33" t="s">
        <v>17</v>
      </c>
      <c r="D59" s="35">
        <v>45448</v>
      </c>
      <c r="E59" s="32">
        <v>301</v>
      </c>
      <c r="F59" s="32">
        <v>16008418</v>
      </c>
      <c r="G59" s="32" t="s">
        <v>385</v>
      </c>
      <c r="H59" s="26" t="s">
        <v>38</v>
      </c>
      <c r="I59" s="36">
        <v>1</v>
      </c>
      <c r="J59" s="32">
        <f>IF(MB25_VOLUMETRIA[[#This Row],[Reserva]]="","",1)</f>
        <v>1</v>
      </c>
      <c r="K59" s="36" t="str">
        <f>IF(MB25_VOLUMETRIA[[#This Row],[Reserva]]="","",IFERROR(VLOOKUP(MB25_VOLUMETRIA[[#This Row],[UMB]],CHAVE[],2,FALSE),"VERIFICAR"))</f>
        <v>Unidade</v>
      </c>
      <c r="L59" s="32" t="str">
        <f>IF(MB25_VOLUMETRIA[[#This Row],[Reserva]]="","",IFERROR(VLOOKUP(MB25_VOLUMETRIA[[#This Row],[Reserva]],Tabela3[[Reserva]:[Condição para Faturamento]],20,FALSE),"IMPORTADO COM SUCESSO"))</f>
        <v>EM CONFERENCIA</v>
      </c>
      <c r="M59" s="32" t="str">
        <f ca="1">IFERROR(VLOOKUP(MB25_VOLUMETRIA[[#This Row],[Reserva]],RES_AB[],14,FALSE),"")</f>
        <v>PLANO DO DIA</v>
      </c>
      <c r="N59" s="32" t="str">
        <f>IF(MB25_VOLUMETRIA[[#This Row],[Cen.]]="","",IFERROR(VLOOKUP(MB25_VOLUMETRIA[[#This Row],[Cen.]],Dados_Empresas[],2,FALSE),"Verificar empresa"))</f>
        <v>EMBRATEL</v>
      </c>
      <c r="O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60" spans="1:15" x14ac:dyDescent="0.25">
      <c r="A60" s="32">
        <v>4381707</v>
      </c>
      <c r="B60" s="32" t="s">
        <v>17</v>
      </c>
      <c r="C60" s="33" t="s">
        <v>17</v>
      </c>
      <c r="D60" s="35">
        <v>45448</v>
      </c>
      <c r="E60" s="32">
        <v>221</v>
      </c>
      <c r="F60" s="32">
        <v>40000616</v>
      </c>
      <c r="G60" s="32" t="s">
        <v>386</v>
      </c>
      <c r="H60" s="26" t="s">
        <v>38</v>
      </c>
      <c r="I60" s="36">
        <v>1</v>
      </c>
      <c r="J60" s="32">
        <f>IF(MB25_VOLUMETRIA[[#This Row],[Reserva]]="","",1)</f>
        <v>1</v>
      </c>
      <c r="K60" s="36" t="str">
        <f>IF(MB25_VOLUMETRIA[[#This Row],[Reserva]]="","",IFERROR(VLOOKUP(MB25_VOLUMETRIA[[#This Row],[UMB]],CHAVE[],2,FALSE),"VERIFICAR"))</f>
        <v>Unidade</v>
      </c>
      <c r="L60" s="32" t="str">
        <f>IF(MB25_VOLUMETRIA[[#This Row],[Reserva]]="","",IFERROR(VLOOKUP(MB25_VOLUMETRIA[[#This Row],[Reserva]],Tabela3[[Reserva]:[Condição para Faturamento]],20,FALSE),"IMPORTADO COM SUCESSO"))</f>
        <v>EM CONFERENCIA</v>
      </c>
      <c r="M60" s="32" t="str">
        <f ca="1">IFERROR(VLOOKUP(MB25_VOLUMETRIA[[#This Row],[Reserva]],RES_AB[],14,FALSE),"")</f>
        <v>PLANO DO DIA</v>
      </c>
      <c r="N60" s="32" t="str">
        <f>IF(MB25_VOLUMETRIA[[#This Row],[Cen.]]="","",IFERROR(VLOOKUP(MB25_VOLUMETRIA[[#This Row],[Cen.]],Dados_Empresas[],2,FALSE),"Verificar empresa"))</f>
        <v>EMBRATEL</v>
      </c>
      <c r="O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61" spans="1:15" x14ac:dyDescent="0.25">
      <c r="A61" s="32">
        <v>4381710</v>
      </c>
      <c r="B61" s="32" t="s">
        <v>17</v>
      </c>
      <c r="C61" s="33" t="s">
        <v>17</v>
      </c>
      <c r="D61" s="35">
        <v>45448</v>
      </c>
      <c r="E61" s="32">
        <v>221</v>
      </c>
      <c r="F61" s="32">
        <v>40000616</v>
      </c>
      <c r="G61" s="32" t="s">
        <v>386</v>
      </c>
      <c r="H61" s="26" t="s">
        <v>38</v>
      </c>
      <c r="I61" s="36">
        <v>1</v>
      </c>
      <c r="J61" s="32">
        <f>IF(MB25_VOLUMETRIA[[#This Row],[Reserva]]="","",1)</f>
        <v>1</v>
      </c>
      <c r="K61" s="36" t="str">
        <f>IF(MB25_VOLUMETRIA[[#This Row],[Reserva]]="","",IFERROR(VLOOKUP(MB25_VOLUMETRIA[[#This Row],[UMB]],CHAVE[],2,FALSE),"VERIFICAR"))</f>
        <v>Unidade</v>
      </c>
      <c r="L61" s="32" t="str">
        <f>IF(MB25_VOLUMETRIA[[#This Row],[Reserva]]="","",IFERROR(VLOOKUP(MB25_VOLUMETRIA[[#This Row],[Reserva]],Tabela3[[Reserva]:[Condição para Faturamento]],20,FALSE),"IMPORTADO COM SUCESSO"))</f>
        <v>EM CONFERENCIA</v>
      </c>
      <c r="M61" s="32" t="str">
        <f ca="1">IFERROR(VLOOKUP(MB25_VOLUMETRIA[[#This Row],[Reserva]],RES_AB[],14,FALSE),"")</f>
        <v>PLANO DO DIA</v>
      </c>
      <c r="N61" s="32" t="str">
        <f>IF(MB25_VOLUMETRIA[[#This Row],[Cen.]]="","",IFERROR(VLOOKUP(MB25_VOLUMETRIA[[#This Row],[Cen.]],Dados_Empresas[],2,FALSE),"Verificar empresa"))</f>
        <v>EMBRATEL</v>
      </c>
      <c r="O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62" spans="1:15" x14ac:dyDescent="0.25">
      <c r="A62" s="32">
        <v>4381712</v>
      </c>
      <c r="B62" s="32" t="s">
        <v>17</v>
      </c>
      <c r="C62" s="33" t="s">
        <v>17</v>
      </c>
      <c r="D62" s="35">
        <v>45448</v>
      </c>
      <c r="E62" s="32">
        <v>221</v>
      </c>
      <c r="F62" s="32">
        <v>30060203</v>
      </c>
      <c r="G62" s="32" t="s">
        <v>388</v>
      </c>
      <c r="H62" s="26" t="s">
        <v>38</v>
      </c>
      <c r="I62" s="36">
        <v>1</v>
      </c>
      <c r="J62" s="32">
        <f>IF(MB25_VOLUMETRIA[[#This Row],[Reserva]]="","",1)</f>
        <v>1</v>
      </c>
      <c r="K62" s="36" t="str">
        <f>IF(MB25_VOLUMETRIA[[#This Row],[Reserva]]="","",IFERROR(VLOOKUP(MB25_VOLUMETRIA[[#This Row],[UMB]],CHAVE[],2,FALSE),"VERIFICAR"))</f>
        <v>Unidade</v>
      </c>
      <c r="L62" s="32" t="str">
        <f>IF(MB25_VOLUMETRIA[[#This Row],[Reserva]]="","",IFERROR(VLOOKUP(MB25_VOLUMETRIA[[#This Row],[Reserva]],Tabela3[[Reserva]:[Condição para Faturamento]],20,FALSE),"IMPORTADO COM SUCESSO"))</f>
        <v>EM CONFERENCIA</v>
      </c>
      <c r="M62" s="32" t="str">
        <f ca="1">IFERROR(VLOOKUP(MB25_VOLUMETRIA[[#This Row],[Reserva]],RES_AB[],14,FALSE),"")</f>
        <v>PLANO DO DIA</v>
      </c>
      <c r="N62" s="32" t="str">
        <f>IF(MB25_VOLUMETRIA[[#This Row],[Cen.]]="","",IFERROR(VLOOKUP(MB25_VOLUMETRIA[[#This Row],[Cen.]],Dados_Empresas[],2,FALSE),"Verificar empresa"))</f>
        <v>EMBRATEL</v>
      </c>
      <c r="O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63" spans="1:15" x14ac:dyDescent="0.25">
      <c r="A63" s="32">
        <v>4381717</v>
      </c>
      <c r="B63" s="32" t="s">
        <v>17</v>
      </c>
      <c r="C63" s="33" t="s">
        <v>17</v>
      </c>
      <c r="D63" s="35">
        <v>45448</v>
      </c>
      <c r="E63" s="32">
        <v>221</v>
      </c>
      <c r="F63" s="32">
        <v>16008418</v>
      </c>
      <c r="G63" s="32" t="s">
        <v>385</v>
      </c>
      <c r="H63" s="26" t="s">
        <v>38</v>
      </c>
      <c r="I63" s="36">
        <v>2</v>
      </c>
      <c r="J63" s="32">
        <f>IF(MB25_VOLUMETRIA[[#This Row],[Reserva]]="","",1)</f>
        <v>1</v>
      </c>
      <c r="K63" s="36" t="str">
        <f>IF(MB25_VOLUMETRIA[[#This Row],[Reserva]]="","",IFERROR(VLOOKUP(MB25_VOLUMETRIA[[#This Row],[UMB]],CHAVE[],2,FALSE),"VERIFICAR"))</f>
        <v>Unidade</v>
      </c>
      <c r="L63" s="32" t="str">
        <f>IF(MB25_VOLUMETRIA[[#This Row],[Reserva]]="","",IFERROR(VLOOKUP(MB25_VOLUMETRIA[[#This Row],[Reserva]],Tabela3[[Reserva]:[Condição para Faturamento]],20,FALSE),"IMPORTADO COM SUCESSO"))</f>
        <v>EM FATURAMENTO</v>
      </c>
      <c r="M63" s="32" t="str">
        <f ca="1">IFERROR(VLOOKUP(MB25_VOLUMETRIA[[#This Row],[Reserva]],RES_AB[],14,FALSE),"")</f>
        <v>PLANO DO DIA</v>
      </c>
      <c r="N63" s="32" t="str">
        <f>IF(MB25_VOLUMETRIA[[#This Row],[Cen.]]="","",IFERROR(VLOOKUP(MB25_VOLUMETRIA[[#This Row],[Cen.]],Dados_Empresas[],2,FALSE),"Verificar empresa"))</f>
        <v>EMBRATEL</v>
      </c>
      <c r="O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64" spans="1:15" x14ac:dyDescent="0.25">
      <c r="A64" s="32">
        <v>4381718</v>
      </c>
      <c r="B64" s="32" t="s">
        <v>17</v>
      </c>
      <c r="C64" s="33" t="s">
        <v>17</v>
      </c>
      <c r="D64" s="35">
        <v>45448</v>
      </c>
      <c r="E64" s="32">
        <v>221</v>
      </c>
      <c r="F64" s="32">
        <v>16008418</v>
      </c>
      <c r="G64" s="32" t="s">
        <v>385</v>
      </c>
      <c r="H64" s="26" t="s">
        <v>38</v>
      </c>
      <c r="I64" s="36">
        <v>1</v>
      </c>
      <c r="J64" s="32">
        <f>IF(MB25_VOLUMETRIA[[#This Row],[Reserva]]="","",1)</f>
        <v>1</v>
      </c>
      <c r="K64" s="36" t="str">
        <f>IF(MB25_VOLUMETRIA[[#This Row],[Reserva]]="","",IFERROR(VLOOKUP(MB25_VOLUMETRIA[[#This Row],[UMB]],CHAVE[],2,FALSE),"VERIFICAR"))</f>
        <v>Unidade</v>
      </c>
      <c r="L64" s="32" t="str">
        <f>IF(MB25_VOLUMETRIA[[#This Row],[Reserva]]="","",IFERROR(VLOOKUP(MB25_VOLUMETRIA[[#This Row],[Reserva]],Tabela3[[Reserva]:[Condição para Faturamento]],20,FALSE),"IMPORTADO COM SUCESSO"))</f>
        <v>EM FATURAMENTO</v>
      </c>
      <c r="M64" s="32" t="str">
        <f ca="1">IFERROR(VLOOKUP(MB25_VOLUMETRIA[[#This Row],[Reserva]],RES_AB[],14,FALSE),"")</f>
        <v>PLANO DO DIA</v>
      </c>
      <c r="N64" s="32" t="str">
        <f>IF(MB25_VOLUMETRIA[[#This Row],[Cen.]]="","",IFERROR(VLOOKUP(MB25_VOLUMETRIA[[#This Row],[Cen.]],Dados_Empresas[],2,FALSE),"Verificar empresa"))</f>
        <v>EMBRATEL</v>
      </c>
      <c r="O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65" spans="1:15" x14ac:dyDescent="0.25">
      <c r="A65" s="32">
        <v>4381719</v>
      </c>
      <c r="B65" s="32" t="s">
        <v>17</v>
      </c>
      <c r="C65" s="33" t="s">
        <v>17</v>
      </c>
      <c r="D65" s="35">
        <v>45448</v>
      </c>
      <c r="E65" s="32">
        <v>221</v>
      </c>
      <c r="F65" s="32">
        <v>16008418</v>
      </c>
      <c r="G65" s="32" t="s">
        <v>385</v>
      </c>
      <c r="H65" s="26" t="s">
        <v>38</v>
      </c>
      <c r="I65" s="36">
        <v>2</v>
      </c>
      <c r="J65" s="32">
        <f>IF(MB25_VOLUMETRIA[[#This Row],[Reserva]]="","",1)</f>
        <v>1</v>
      </c>
      <c r="K65" s="36" t="str">
        <f>IF(MB25_VOLUMETRIA[[#This Row],[Reserva]]="","",IFERROR(VLOOKUP(MB25_VOLUMETRIA[[#This Row],[UMB]],CHAVE[],2,FALSE),"VERIFICAR"))</f>
        <v>Unidade</v>
      </c>
      <c r="L65" s="32" t="str">
        <f>IF(MB25_VOLUMETRIA[[#This Row],[Reserva]]="","",IFERROR(VLOOKUP(MB25_VOLUMETRIA[[#This Row],[Reserva]],Tabela3[[Reserva]:[Condição para Faturamento]],20,FALSE),"IMPORTADO COM SUCESSO"))</f>
        <v>EM FATURAMENTO</v>
      </c>
      <c r="M65" s="32" t="str">
        <f ca="1">IFERROR(VLOOKUP(MB25_VOLUMETRIA[[#This Row],[Reserva]],RES_AB[],14,FALSE),"")</f>
        <v>PLANO DO DIA</v>
      </c>
      <c r="N65" s="32" t="str">
        <f>IF(MB25_VOLUMETRIA[[#This Row],[Cen.]]="","",IFERROR(VLOOKUP(MB25_VOLUMETRIA[[#This Row],[Cen.]],Dados_Empresas[],2,FALSE),"Verificar empresa"))</f>
        <v>EMBRATEL</v>
      </c>
      <c r="O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66" spans="1:15" x14ac:dyDescent="0.25">
      <c r="A66" s="32">
        <v>4381724</v>
      </c>
      <c r="B66" s="32" t="s">
        <v>17</v>
      </c>
      <c r="C66" s="33" t="s">
        <v>17</v>
      </c>
      <c r="D66" s="35">
        <v>45448</v>
      </c>
      <c r="E66" s="32">
        <v>221</v>
      </c>
      <c r="F66" s="32">
        <v>16008418</v>
      </c>
      <c r="G66" s="32" t="s">
        <v>385</v>
      </c>
      <c r="H66" s="26" t="s">
        <v>38</v>
      </c>
      <c r="I66" s="36">
        <v>1</v>
      </c>
      <c r="J66" s="32">
        <f>IF(MB25_VOLUMETRIA[[#This Row],[Reserva]]="","",1)</f>
        <v>1</v>
      </c>
      <c r="K66" s="36" t="str">
        <f>IF(MB25_VOLUMETRIA[[#This Row],[Reserva]]="","",IFERROR(VLOOKUP(MB25_VOLUMETRIA[[#This Row],[UMB]],CHAVE[],2,FALSE),"VERIFICAR"))</f>
        <v>Unidade</v>
      </c>
      <c r="L66" s="32" t="str">
        <f>IF(MB25_VOLUMETRIA[[#This Row],[Reserva]]="","",IFERROR(VLOOKUP(MB25_VOLUMETRIA[[#This Row],[Reserva]],Tabela3[[Reserva]:[Condição para Faturamento]],20,FALSE),"IMPORTADO COM SUCESSO"))</f>
        <v>EM FATURAMENTO</v>
      </c>
      <c r="M66" s="32" t="str">
        <f ca="1">IFERROR(VLOOKUP(MB25_VOLUMETRIA[[#This Row],[Reserva]],RES_AB[],14,FALSE),"")</f>
        <v>PLANO DO DIA</v>
      </c>
      <c r="N66" s="32" t="str">
        <f>IF(MB25_VOLUMETRIA[[#This Row],[Cen.]]="","",IFERROR(VLOOKUP(MB25_VOLUMETRIA[[#This Row],[Cen.]],Dados_Empresas[],2,FALSE),"Verificar empresa"))</f>
        <v>EMBRATEL</v>
      </c>
      <c r="O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67" spans="1:15" x14ac:dyDescent="0.25">
      <c r="A67" s="32">
        <v>4381729</v>
      </c>
      <c r="B67" s="32" t="s">
        <v>17</v>
      </c>
      <c r="C67" s="33" t="s">
        <v>17</v>
      </c>
      <c r="D67" s="35">
        <v>45448</v>
      </c>
      <c r="E67" s="32">
        <v>301</v>
      </c>
      <c r="F67" s="32">
        <v>30054372</v>
      </c>
      <c r="G67" s="32" t="s">
        <v>311</v>
      </c>
      <c r="H67" s="26" t="s">
        <v>38</v>
      </c>
      <c r="I67" s="36">
        <v>1</v>
      </c>
      <c r="J67" s="32">
        <f>IF(MB25_VOLUMETRIA[[#This Row],[Reserva]]="","",1)</f>
        <v>1</v>
      </c>
      <c r="K67" s="36" t="str">
        <f>IF(MB25_VOLUMETRIA[[#This Row],[Reserva]]="","",IFERROR(VLOOKUP(MB25_VOLUMETRIA[[#This Row],[UMB]],CHAVE[],2,FALSE),"VERIFICAR"))</f>
        <v>Unidade</v>
      </c>
      <c r="L67" s="32" t="str">
        <f>IF(MB25_VOLUMETRIA[[#This Row],[Reserva]]="","",IFERROR(VLOOKUP(MB25_VOLUMETRIA[[#This Row],[Reserva]],Tabela3[[Reserva]:[Condição para Faturamento]],20,FALSE),"IMPORTADO COM SUCESSO"))</f>
        <v>EM CONFERENCIA</v>
      </c>
      <c r="M67" s="32" t="str">
        <f ca="1">IFERROR(VLOOKUP(MB25_VOLUMETRIA[[#This Row],[Reserva]],RES_AB[],14,FALSE),"")</f>
        <v>PLANO DO DIA</v>
      </c>
      <c r="N67" s="32" t="str">
        <f>IF(MB25_VOLUMETRIA[[#This Row],[Cen.]]="","",IFERROR(VLOOKUP(MB25_VOLUMETRIA[[#This Row],[Cen.]],Dados_Empresas[],2,FALSE),"Verificar empresa"))</f>
        <v>EMBRATEL</v>
      </c>
      <c r="O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68" spans="1:15" x14ac:dyDescent="0.25">
      <c r="A68" s="32">
        <v>4381729</v>
      </c>
      <c r="B68" s="32" t="s">
        <v>17</v>
      </c>
      <c r="C68" s="33" t="s">
        <v>17</v>
      </c>
      <c r="D68" s="35">
        <v>45448</v>
      </c>
      <c r="E68" s="32">
        <v>301</v>
      </c>
      <c r="F68" s="32">
        <v>40000864</v>
      </c>
      <c r="G68" s="32" t="s">
        <v>384</v>
      </c>
      <c r="H68" s="26" t="s">
        <v>38</v>
      </c>
      <c r="I68" s="36">
        <v>1</v>
      </c>
      <c r="J68" s="32">
        <f>IF(MB25_VOLUMETRIA[[#This Row],[Reserva]]="","",1)</f>
        <v>1</v>
      </c>
      <c r="K68" s="36" t="str">
        <f>IF(MB25_VOLUMETRIA[[#This Row],[Reserva]]="","",IFERROR(VLOOKUP(MB25_VOLUMETRIA[[#This Row],[UMB]],CHAVE[],2,FALSE),"VERIFICAR"))</f>
        <v>Unidade</v>
      </c>
      <c r="L68" s="32" t="str">
        <f>IF(MB25_VOLUMETRIA[[#This Row],[Reserva]]="","",IFERROR(VLOOKUP(MB25_VOLUMETRIA[[#This Row],[Reserva]],Tabela3[[Reserva]:[Condição para Faturamento]],20,FALSE),"IMPORTADO COM SUCESSO"))</f>
        <v>EM CONFERENCIA</v>
      </c>
      <c r="M68" s="32" t="str">
        <f ca="1">IFERROR(VLOOKUP(MB25_VOLUMETRIA[[#This Row],[Reserva]],RES_AB[],14,FALSE),"")</f>
        <v>PLANO DO DIA</v>
      </c>
      <c r="N68" s="32" t="str">
        <f>IF(MB25_VOLUMETRIA[[#This Row],[Cen.]]="","",IFERROR(VLOOKUP(MB25_VOLUMETRIA[[#This Row],[Cen.]],Dados_Empresas[],2,FALSE),"Verificar empresa"))</f>
        <v>EMBRATEL</v>
      </c>
      <c r="O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69" spans="1:15" x14ac:dyDescent="0.25">
      <c r="A69" s="32">
        <v>4381733</v>
      </c>
      <c r="B69" s="32" t="s">
        <v>17</v>
      </c>
      <c r="C69" s="33" t="s">
        <v>17</v>
      </c>
      <c r="D69" s="35">
        <v>45448</v>
      </c>
      <c r="E69" s="32">
        <v>221</v>
      </c>
      <c r="F69" s="32">
        <v>16008418</v>
      </c>
      <c r="G69" s="32" t="s">
        <v>385</v>
      </c>
      <c r="H69" s="26" t="s">
        <v>38</v>
      </c>
      <c r="I69" s="36">
        <v>1</v>
      </c>
      <c r="J69" s="32">
        <f>IF(MB25_VOLUMETRIA[[#This Row],[Reserva]]="","",1)</f>
        <v>1</v>
      </c>
      <c r="K69" s="36" t="str">
        <f>IF(MB25_VOLUMETRIA[[#This Row],[Reserva]]="","",IFERROR(VLOOKUP(MB25_VOLUMETRIA[[#This Row],[UMB]],CHAVE[],2,FALSE),"VERIFICAR"))</f>
        <v>Unidade</v>
      </c>
      <c r="L69" s="32" t="str">
        <f>IF(MB25_VOLUMETRIA[[#This Row],[Reserva]]="","",IFERROR(VLOOKUP(MB25_VOLUMETRIA[[#This Row],[Reserva]],Tabela3[[Reserva]:[Condição para Faturamento]],20,FALSE),"IMPORTADO COM SUCESSO"))</f>
        <v>EM FATURAMENTO</v>
      </c>
      <c r="M69" s="32" t="str">
        <f ca="1">IFERROR(VLOOKUP(MB25_VOLUMETRIA[[#This Row],[Reserva]],RES_AB[],14,FALSE),"")</f>
        <v>PLANO DO DIA</v>
      </c>
      <c r="N69" s="32" t="str">
        <f>IF(MB25_VOLUMETRIA[[#This Row],[Cen.]]="","",IFERROR(VLOOKUP(MB25_VOLUMETRIA[[#This Row],[Cen.]],Dados_Empresas[],2,FALSE),"Verificar empresa"))</f>
        <v>EMBRATEL</v>
      </c>
      <c r="O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70" spans="1:15" x14ac:dyDescent="0.25">
      <c r="A70" s="32">
        <v>4381738</v>
      </c>
      <c r="B70" s="32" t="s">
        <v>17</v>
      </c>
      <c r="C70" s="33" t="s">
        <v>17</v>
      </c>
      <c r="D70" s="35">
        <v>45448</v>
      </c>
      <c r="E70" s="32">
        <v>221</v>
      </c>
      <c r="F70" s="32">
        <v>16008418</v>
      </c>
      <c r="G70" s="32" t="s">
        <v>385</v>
      </c>
      <c r="H70" s="26" t="s">
        <v>38</v>
      </c>
      <c r="I70" s="36">
        <v>1</v>
      </c>
      <c r="J70" s="32">
        <f>IF(MB25_VOLUMETRIA[[#This Row],[Reserva]]="","",1)</f>
        <v>1</v>
      </c>
      <c r="K70" s="36" t="str">
        <f>IF(MB25_VOLUMETRIA[[#This Row],[Reserva]]="","",IFERROR(VLOOKUP(MB25_VOLUMETRIA[[#This Row],[UMB]],CHAVE[],2,FALSE),"VERIFICAR"))</f>
        <v>Unidade</v>
      </c>
      <c r="L70" s="32" t="str">
        <f>IF(MB25_VOLUMETRIA[[#This Row],[Reserva]]="","",IFERROR(VLOOKUP(MB25_VOLUMETRIA[[#This Row],[Reserva]],Tabela3[[Reserva]:[Condição para Faturamento]],20,FALSE),"IMPORTADO COM SUCESSO"))</f>
        <v>EM FATURAMENTO</v>
      </c>
      <c r="M70" s="32" t="str">
        <f ca="1">IFERROR(VLOOKUP(MB25_VOLUMETRIA[[#This Row],[Reserva]],RES_AB[],14,FALSE),"")</f>
        <v>PLANO DO DIA</v>
      </c>
      <c r="N70" s="32" t="str">
        <f>IF(MB25_VOLUMETRIA[[#This Row],[Cen.]]="","",IFERROR(VLOOKUP(MB25_VOLUMETRIA[[#This Row],[Cen.]],Dados_Empresas[],2,FALSE),"Verificar empresa"))</f>
        <v>EMBRATEL</v>
      </c>
      <c r="O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71" spans="1:15" x14ac:dyDescent="0.25">
      <c r="A71" s="32">
        <v>4381751</v>
      </c>
      <c r="B71" s="32" t="s">
        <v>17</v>
      </c>
      <c r="C71" s="33" t="s">
        <v>17</v>
      </c>
      <c r="D71" s="35">
        <v>45448</v>
      </c>
      <c r="E71" s="32">
        <v>221</v>
      </c>
      <c r="F71" s="32">
        <v>30060998</v>
      </c>
      <c r="G71" s="32" t="s">
        <v>389</v>
      </c>
      <c r="H71" s="26" t="s">
        <v>38</v>
      </c>
      <c r="I71" s="36">
        <v>1</v>
      </c>
      <c r="J71" s="32">
        <f>IF(MB25_VOLUMETRIA[[#This Row],[Reserva]]="","",1)</f>
        <v>1</v>
      </c>
      <c r="K71" s="36" t="str">
        <f>IF(MB25_VOLUMETRIA[[#This Row],[Reserva]]="","",IFERROR(VLOOKUP(MB25_VOLUMETRIA[[#This Row],[UMB]],CHAVE[],2,FALSE),"VERIFICAR"))</f>
        <v>Unidade</v>
      </c>
      <c r="L71" s="32" t="str">
        <f>IF(MB25_VOLUMETRIA[[#This Row],[Reserva]]="","",IFERROR(VLOOKUP(MB25_VOLUMETRIA[[#This Row],[Reserva]],Tabela3[[Reserva]:[Condição para Faturamento]],20,FALSE),"IMPORTADO COM SUCESSO"))</f>
        <v>EM CONFERENCIA</v>
      </c>
      <c r="M71" s="32" t="str">
        <f ca="1">IFERROR(VLOOKUP(MB25_VOLUMETRIA[[#This Row],[Reserva]],RES_AB[],14,FALSE),"")</f>
        <v>PLANO DO DIA</v>
      </c>
      <c r="N71" s="32" t="str">
        <f>IF(MB25_VOLUMETRIA[[#This Row],[Cen.]]="","",IFERROR(VLOOKUP(MB25_VOLUMETRIA[[#This Row],[Cen.]],Dados_Empresas[],2,FALSE),"Verificar empresa"))</f>
        <v>EMBRATEL</v>
      </c>
      <c r="O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72" spans="1:15" x14ac:dyDescent="0.25">
      <c r="A72" s="32">
        <v>4381752</v>
      </c>
      <c r="B72" s="32" t="s">
        <v>17</v>
      </c>
      <c r="C72" s="33" t="s">
        <v>17</v>
      </c>
      <c r="D72" s="35">
        <v>45448</v>
      </c>
      <c r="E72" s="32">
        <v>221</v>
      </c>
      <c r="F72" s="32">
        <v>40000864</v>
      </c>
      <c r="G72" s="32" t="s">
        <v>384</v>
      </c>
      <c r="H72" s="26" t="s">
        <v>38</v>
      </c>
      <c r="I72" s="36">
        <v>1</v>
      </c>
      <c r="J72" s="32">
        <f>IF(MB25_VOLUMETRIA[[#This Row],[Reserva]]="","",1)</f>
        <v>1</v>
      </c>
      <c r="K72" s="36" t="str">
        <f>IF(MB25_VOLUMETRIA[[#This Row],[Reserva]]="","",IFERROR(VLOOKUP(MB25_VOLUMETRIA[[#This Row],[UMB]],CHAVE[],2,FALSE),"VERIFICAR"))</f>
        <v>Unidade</v>
      </c>
      <c r="L72" s="32" t="str">
        <f>IF(MB25_VOLUMETRIA[[#This Row],[Reserva]]="","",IFERROR(VLOOKUP(MB25_VOLUMETRIA[[#This Row],[Reserva]],Tabela3[[Reserva]:[Condição para Faturamento]],20,FALSE),"IMPORTADO COM SUCESSO"))</f>
        <v>EM FATURAMENTO</v>
      </c>
      <c r="M72" s="32" t="str">
        <f ca="1">IFERROR(VLOOKUP(MB25_VOLUMETRIA[[#This Row],[Reserva]],RES_AB[],14,FALSE),"")</f>
        <v>PLANO DO DIA</v>
      </c>
      <c r="N72" s="32" t="str">
        <f>IF(MB25_VOLUMETRIA[[#This Row],[Cen.]]="","",IFERROR(VLOOKUP(MB25_VOLUMETRIA[[#This Row],[Cen.]],Dados_Empresas[],2,FALSE),"Verificar empresa"))</f>
        <v>EMBRATEL</v>
      </c>
      <c r="O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73" spans="1:15" x14ac:dyDescent="0.25">
      <c r="A73" s="32">
        <v>4381752</v>
      </c>
      <c r="B73" s="32" t="s">
        <v>17</v>
      </c>
      <c r="C73" s="33" t="s">
        <v>17</v>
      </c>
      <c r="D73" s="35">
        <v>45448</v>
      </c>
      <c r="E73" s="32">
        <v>221</v>
      </c>
      <c r="F73" s="32">
        <v>40000864</v>
      </c>
      <c r="G73" s="32" t="s">
        <v>384</v>
      </c>
      <c r="H73" s="26" t="s">
        <v>38</v>
      </c>
      <c r="I73" s="36">
        <v>1</v>
      </c>
      <c r="J73" s="32">
        <f>IF(MB25_VOLUMETRIA[[#This Row],[Reserva]]="","",1)</f>
        <v>1</v>
      </c>
      <c r="K73" s="36" t="str">
        <f>IF(MB25_VOLUMETRIA[[#This Row],[Reserva]]="","",IFERROR(VLOOKUP(MB25_VOLUMETRIA[[#This Row],[UMB]],CHAVE[],2,FALSE),"VERIFICAR"))</f>
        <v>Unidade</v>
      </c>
      <c r="L73" s="32" t="str">
        <f>IF(MB25_VOLUMETRIA[[#This Row],[Reserva]]="","",IFERROR(VLOOKUP(MB25_VOLUMETRIA[[#This Row],[Reserva]],Tabela3[[Reserva]:[Condição para Faturamento]],20,FALSE),"IMPORTADO COM SUCESSO"))</f>
        <v>EM FATURAMENTO</v>
      </c>
      <c r="M73" s="32" t="str">
        <f ca="1">IFERROR(VLOOKUP(MB25_VOLUMETRIA[[#This Row],[Reserva]],RES_AB[],14,FALSE),"")</f>
        <v>PLANO DO DIA</v>
      </c>
      <c r="N73" s="32" t="str">
        <f>IF(MB25_VOLUMETRIA[[#This Row],[Cen.]]="","",IFERROR(VLOOKUP(MB25_VOLUMETRIA[[#This Row],[Cen.]],Dados_Empresas[],2,FALSE),"Verificar empresa"))</f>
        <v>EMBRATEL</v>
      </c>
      <c r="O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74" spans="1:15" x14ac:dyDescent="0.25">
      <c r="A74" s="32">
        <v>4381752</v>
      </c>
      <c r="B74" s="32" t="s">
        <v>17</v>
      </c>
      <c r="C74" s="33" t="s">
        <v>17</v>
      </c>
      <c r="D74" s="35">
        <v>45448</v>
      </c>
      <c r="E74" s="32">
        <v>221</v>
      </c>
      <c r="F74" s="32">
        <v>40000864</v>
      </c>
      <c r="G74" s="32" t="s">
        <v>384</v>
      </c>
      <c r="H74" s="26" t="s">
        <v>38</v>
      </c>
      <c r="I74" s="36">
        <v>1</v>
      </c>
      <c r="J74" s="32">
        <f>IF(MB25_VOLUMETRIA[[#This Row],[Reserva]]="","",1)</f>
        <v>1</v>
      </c>
      <c r="K74" s="36" t="str">
        <f>IF(MB25_VOLUMETRIA[[#This Row],[Reserva]]="","",IFERROR(VLOOKUP(MB25_VOLUMETRIA[[#This Row],[UMB]],CHAVE[],2,FALSE),"VERIFICAR"))</f>
        <v>Unidade</v>
      </c>
      <c r="L74" s="32" t="str">
        <f>IF(MB25_VOLUMETRIA[[#This Row],[Reserva]]="","",IFERROR(VLOOKUP(MB25_VOLUMETRIA[[#This Row],[Reserva]],Tabela3[[Reserva]:[Condição para Faturamento]],20,FALSE),"IMPORTADO COM SUCESSO"))</f>
        <v>EM FATURAMENTO</v>
      </c>
      <c r="M74" s="32" t="str">
        <f ca="1">IFERROR(VLOOKUP(MB25_VOLUMETRIA[[#This Row],[Reserva]],RES_AB[],14,FALSE),"")</f>
        <v>PLANO DO DIA</v>
      </c>
      <c r="N74" s="32" t="str">
        <f>IF(MB25_VOLUMETRIA[[#This Row],[Cen.]]="","",IFERROR(VLOOKUP(MB25_VOLUMETRIA[[#This Row],[Cen.]],Dados_Empresas[],2,FALSE),"Verificar empresa"))</f>
        <v>EMBRATEL</v>
      </c>
      <c r="O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75" spans="1:15" x14ac:dyDescent="0.25">
      <c r="A75" s="32">
        <v>4381752</v>
      </c>
      <c r="B75" s="32" t="s">
        <v>17</v>
      </c>
      <c r="C75" s="33" t="s">
        <v>17</v>
      </c>
      <c r="D75" s="35">
        <v>45448</v>
      </c>
      <c r="E75" s="32">
        <v>221</v>
      </c>
      <c r="F75" s="32">
        <v>40000864</v>
      </c>
      <c r="G75" s="32" t="s">
        <v>384</v>
      </c>
      <c r="H75" s="26" t="s">
        <v>38</v>
      </c>
      <c r="I75" s="36">
        <v>1</v>
      </c>
      <c r="J75" s="32">
        <f>IF(MB25_VOLUMETRIA[[#This Row],[Reserva]]="","",1)</f>
        <v>1</v>
      </c>
      <c r="K75" s="36" t="str">
        <f>IF(MB25_VOLUMETRIA[[#This Row],[Reserva]]="","",IFERROR(VLOOKUP(MB25_VOLUMETRIA[[#This Row],[UMB]],CHAVE[],2,FALSE),"VERIFICAR"))</f>
        <v>Unidade</v>
      </c>
      <c r="L75" s="32" t="str">
        <f>IF(MB25_VOLUMETRIA[[#This Row],[Reserva]]="","",IFERROR(VLOOKUP(MB25_VOLUMETRIA[[#This Row],[Reserva]],Tabela3[[Reserva]:[Condição para Faturamento]],20,FALSE),"IMPORTADO COM SUCESSO"))</f>
        <v>EM FATURAMENTO</v>
      </c>
      <c r="M75" s="32" t="str">
        <f ca="1">IFERROR(VLOOKUP(MB25_VOLUMETRIA[[#This Row],[Reserva]],RES_AB[],14,FALSE),"")</f>
        <v>PLANO DO DIA</v>
      </c>
      <c r="N75" s="32" t="str">
        <f>IF(MB25_VOLUMETRIA[[#This Row],[Cen.]]="","",IFERROR(VLOOKUP(MB25_VOLUMETRIA[[#This Row],[Cen.]],Dados_Empresas[],2,FALSE),"Verificar empresa"))</f>
        <v>EMBRATEL</v>
      </c>
      <c r="O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76" spans="1:15" x14ac:dyDescent="0.25">
      <c r="A76" s="32">
        <v>4381754</v>
      </c>
      <c r="B76" s="32" t="s">
        <v>17</v>
      </c>
      <c r="C76" s="33" t="s">
        <v>17</v>
      </c>
      <c r="D76" s="35">
        <v>45448</v>
      </c>
      <c r="E76" s="32">
        <v>221</v>
      </c>
      <c r="F76" s="32">
        <v>40000864</v>
      </c>
      <c r="G76" s="32" t="s">
        <v>384</v>
      </c>
      <c r="H76" s="26" t="s">
        <v>38</v>
      </c>
      <c r="I76" s="36">
        <v>1</v>
      </c>
      <c r="J76" s="32">
        <f>IF(MB25_VOLUMETRIA[[#This Row],[Reserva]]="","",1)</f>
        <v>1</v>
      </c>
      <c r="K76" s="36" t="str">
        <f>IF(MB25_VOLUMETRIA[[#This Row],[Reserva]]="","",IFERROR(VLOOKUP(MB25_VOLUMETRIA[[#This Row],[UMB]],CHAVE[],2,FALSE),"VERIFICAR"))</f>
        <v>Unidade</v>
      </c>
      <c r="L76" s="32" t="str">
        <f>IF(MB25_VOLUMETRIA[[#This Row],[Reserva]]="","",IFERROR(VLOOKUP(MB25_VOLUMETRIA[[#This Row],[Reserva]],Tabela3[[Reserva]:[Condição para Faturamento]],20,FALSE),"IMPORTADO COM SUCESSO"))</f>
        <v>EM CONFERENCIA</v>
      </c>
      <c r="M76" s="32" t="str">
        <f ca="1">IFERROR(VLOOKUP(MB25_VOLUMETRIA[[#This Row],[Reserva]],RES_AB[],14,FALSE),"")</f>
        <v>PLANO DO DIA</v>
      </c>
      <c r="N76" s="32" t="str">
        <f>IF(MB25_VOLUMETRIA[[#This Row],[Cen.]]="","",IFERROR(VLOOKUP(MB25_VOLUMETRIA[[#This Row],[Cen.]],Dados_Empresas[],2,FALSE),"Verificar empresa"))</f>
        <v>EMBRATEL</v>
      </c>
      <c r="O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77" spans="1:15" x14ac:dyDescent="0.25">
      <c r="A77" s="32">
        <v>4381754</v>
      </c>
      <c r="B77" s="32" t="s">
        <v>17</v>
      </c>
      <c r="C77" s="33" t="s">
        <v>17</v>
      </c>
      <c r="D77" s="35">
        <v>45448</v>
      </c>
      <c r="E77" s="32">
        <v>221</v>
      </c>
      <c r="F77" s="32">
        <v>40000864</v>
      </c>
      <c r="G77" s="32" t="s">
        <v>384</v>
      </c>
      <c r="H77" s="26" t="s">
        <v>38</v>
      </c>
      <c r="I77" s="36">
        <v>1</v>
      </c>
      <c r="J77" s="32">
        <f>IF(MB25_VOLUMETRIA[[#This Row],[Reserva]]="","",1)</f>
        <v>1</v>
      </c>
      <c r="K77" s="36" t="str">
        <f>IF(MB25_VOLUMETRIA[[#This Row],[Reserva]]="","",IFERROR(VLOOKUP(MB25_VOLUMETRIA[[#This Row],[UMB]],CHAVE[],2,FALSE),"VERIFICAR"))</f>
        <v>Unidade</v>
      </c>
      <c r="L77" s="32" t="str">
        <f>IF(MB25_VOLUMETRIA[[#This Row],[Reserva]]="","",IFERROR(VLOOKUP(MB25_VOLUMETRIA[[#This Row],[Reserva]],Tabela3[[Reserva]:[Condição para Faturamento]],20,FALSE),"IMPORTADO COM SUCESSO"))</f>
        <v>EM CONFERENCIA</v>
      </c>
      <c r="M77" s="32" t="str">
        <f ca="1">IFERROR(VLOOKUP(MB25_VOLUMETRIA[[#This Row],[Reserva]],RES_AB[],14,FALSE),"")</f>
        <v>PLANO DO DIA</v>
      </c>
      <c r="N77" s="32" t="str">
        <f>IF(MB25_VOLUMETRIA[[#This Row],[Cen.]]="","",IFERROR(VLOOKUP(MB25_VOLUMETRIA[[#This Row],[Cen.]],Dados_Empresas[],2,FALSE),"Verificar empresa"))</f>
        <v>EMBRATEL</v>
      </c>
      <c r="O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78" spans="1:15" x14ac:dyDescent="0.25">
      <c r="A78" s="32">
        <v>4381754</v>
      </c>
      <c r="B78" s="32" t="s">
        <v>17</v>
      </c>
      <c r="C78" s="33" t="s">
        <v>17</v>
      </c>
      <c r="D78" s="35">
        <v>45448</v>
      </c>
      <c r="E78" s="32">
        <v>221</v>
      </c>
      <c r="F78" s="32">
        <v>30054372</v>
      </c>
      <c r="G78" s="32" t="s">
        <v>311</v>
      </c>
      <c r="H78" s="26" t="s">
        <v>38</v>
      </c>
      <c r="I78" s="36">
        <v>1</v>
      </c>
      <c r="J78" s="32">
        <f>IF(MB25_VOLUMETRIA[[#This Row],[Reserva]]="","",1)</f>
        <v>1</v>
      </c>
      <c r="K78" s="36" t="str">
        <f>IF(MB25_VOLUMETRIA[[#This Row],[Reserva]]="","",IFERROR(VLOOKUP(MB25_VOLUMETRIA[[#This Row],[UMB]],CHAVE[],2,FALSE),"VERIFICAR"))</f>
        <v>Unidade</v>
      </c>
      <c r="L78" s="32" t="str">
        <f>IF(MB25_VOLUMETRIA[[#This Row],[Reserva]]="","",IFERROR(VLOOKUP(MB25_VOLUMETRIA[[#This Row],[Reserva]],Tabela3[[Reserva]:[Condição para Faturamento]],20,FALSE),"IMPORTADO COM SUCESSO"))</f>
        <v>EM CONFERENCIA</v>
      </c>
      <c r="M78" s="32" t="str">
        <f ca="1">IFERROR(VLOOKUP(MB25_VOLUMETRIA[[#This Row],[Reserva]],RES_AB[],14,FALSE),"")</f>
        <v>PLANO DO DIA</v>
      </c>
      <c r="N78" s="32" t="str">
        <f>IF(MB25_VOLUMETRIA[[#This Row],[Cen.]]="","",IFERROR(VLOOKUP(MB25_VOLUMETRIA[[#This Row],[Cen.]],Dados_Empresas[],2,FALSE),"Verificar empresa"))</f>
        <v>EMBRATEL</v>
      </c>
      <c r="O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79" spans="1:15" x14ac:dyDescent="0.25">
      <c r="A79" s="32">
        <v>4381930</v>
      </c>
      <c r="B79" s="32" t="s">
        <v>17</v>
      </c>
      <c r="C79" s="33" t="s">
        <v>17</v>
      </c>
      <c r="D79" s="35">
        <v>45448</v>
      </c>
      <c r="E79" s="32">
        <v>221</v>
      </c>
      <c r="F79" s="32">
        <v>16008418</v>
      </c>
      <c r="G79" s="32" t="s">
        <v>385</v>
      </c>
      <c r="H79" s="26" t="s">
        <v>38</v>
      </c>
      <c r="I79" s="36">
        <v>1</v>
      </c>
      <c r="J79" s="32">
        <f>IF(MB25_VOLUMETRIA[[#This Row],[Reserva]]="","",1)</f>
        <v>1</v>
      </c>
      <c r="K79" s="36" t="str">
        <f>IF(MB25_VOLUMETRIA[[#This Row],[Reserva]]="","",IFERROR(VLOOKUP(MB25_VOLUMETRIA[[#This Row],[UMB]],CHAVE[],2,FALSE),"VERIFICAR"))</f>
        <v>Unidade</v>
      </c>
      <c r="L79" s="32" t="str">
        <f>IF(MB25_VOLUMETRIA[[#This Row],[Reserva]]="","",IFERROR(VLOOKUP(MB25_VOLUMETRIA[[#This Row],[Reserva]],Tabela3[[Reserva]:[Condição para Faturamento]],20,FALSE),"IMPORTADO COM SUCESSO"))</f>
        <v>EM RESSUPRIMENTO</v>
      </c>
      <c r="M79" s="32" t="str">
        <f ca="1">IFERROR(VLOOKUP(MB25_VOLUMETRIA[[#This Row],[Reserva]],RES_AB[],14,FALSE),"")</f>
        <v>PLANO DO DIA</v>
      </c>
      <c r="N79" s="32" t="str">
        <f>IF(MB25_VOLUMETRIA[[#This Row],[Cen.]]="","",IFERROR(VLOOKUP(MB25_VOLUMETRIA[[#This Row],[Cen.]],Dados_Empresas[],2,FALSE),"Verificar empresa"))</f>
        <v>EMBRATEL</v>
      </c>
      <c r="O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80" spans="1:15" x14ac:dyDescent="0.25">
      <c r="A80" s="32">
        <v>4381935</v>
      </c>
      <c r="B80" s="32" t="s">
        <v>17</v>
      </c>
      <c r="C80" s="33" t="s">
        <v>17</v>
      </c>
      <c r="D80" s="35">
        <v>45448</v>
      </c>
      <c r="E80" s="32">
        <v>221</v>
      </c>
      <c r="F80" s="32">
        <v>30034241</v>
      </c>
      <c r="G80" s="32" t="s">
        <v>391</v>
      </c>
      <c r="H80" s="26" t="s">
        <v>38</v>
      </c>
      <c r="I80" s="36">
        <v>30</v>
      </c>
      <c r="J80" s="32">
        <f>IF(MB25_VOLUMETRIA[[#This Row],[Reserva]]="","",1)</f>
        <v>1</v>
      </c>
      <c r="K80" s="36" t="str">
        <f>IF(MB25_VOLUMETRIA[[#This Row],[Reserva]]="","",IFERROR(VLOOKUP(MB25_VOLUMETRIA[[#This Row],[UMB]],CHAVE[],2,FALSE),"VERIFICAR"))</f>
        <v>Unidade</v>
      </c>
      <c r="L80" s="32" t="str">
        <f>IF(MB25_VOLUMETRIA[[#This Row],[Reserva]]="","",IFERROR(VLOOKUP(MB25_VOLUMETRIA[[#This Row],[Reserva]],Tabela3[[Reserva]:[Condição para Faturamento]],20,FALSE),"IMPORTADO COM SUCESSO"))</f>
        <v>EM CONFERENCIA</v>
      </c>
      <c r="M80" s="32" t="str">
        <f ca="1">IFERROR(VLOOKUP(MB25_VOLUMETRIA[[#This Row],[Reserva]],RES_AB[],14,FALSE),"")</f>
        <v>PLANO DO DIA</v>
      </c>
      <c r="N80" s="32" t="str">
        <f>IF(MB25_VOLUMETRIA[[#This Row],[Cen.]]="","",IFERROR(VLOOKUP(MB25_VOLUMETRIA[[#This Row],[Cen.]],Dados_Empresas[],2,FALSE),"Verificar empresa"))</f>
        <v>EMBRATEL</v>
      </c>
      <c r="O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81" spans="1:15" x14ac:dyDescent="0.25">
      <c r="A81" s="32">
        <v>4381935</v>
      </c>
      <c r="B81" s="32" t="s">
        <v>17</v>
      </c>
      <c r="C81" s="33" t="s">
        <v>17</v>
      </c>
      <c r="D81" s="35">
        <v>45448</v>
      </c>
      <c r="E81" s="32">
        <v>221</v>
      </c>
      <c r="F81" s="32">
        <v>30034261</v>
      </c>
      <c r="G81" s="32" t="s">
        <v>392</v>
      </c>
      <c r="H81" s="26" t="s">
        <v>38</v>
      </c>
      <c r="I81" s="36">
        <v>25</v>
      </c>
      <c r="J81" s="32">
        <f>IF(MB25_VOLUMETRIA[[#This Row],[Reserva]]="","",1)</f>
        <v>1</v>
      </c>
      <c r="K81" s="36" t="str">
        <f>IF(MB25_VOLUMETRIA[[#This Row],[Reserva]]="","",IFERROR(VLOOKUP(MB25_VOLUMETRIA[[#This Row],[UMB]],CHAVE[],2,FALSE),"VERIFICAR"))</f>
        <v>Unidade</v>
      </c>
      <c r="L81" s="32" t="str">
        <f>IF(MB25_VOLUMETRIA[[#This Row],[Reserva]]="","",IFERROR(VLOOKUP(MB25_VOLUMETRIA[[#This Row],[Reserva]],Tabela3[[Reserva]:[Condição para Faturamento]],20,FALSE),"IMPORTADO COM SUCESSO"))</f>
        <v>EM CONFERENCIA</v>
      </c>
      <c r="M81" s="32" t="str">
        <f ca="1">IFERROR(VLOOKUP(MB25_VOLUMETRIA[[#This Row],[Reserva]],RES_AB[],14,FALSE),"")</f>
        <v>PLANO DO DIA</v>
      </c>
      <c r="N81" s="32" t="str">
        <f>IF(MB25_VOLUMETRIA[[#This Row],[Cen.]]="","",IFERROR(VLOOKUP(MB25_VOLUMETRIA[[#This Row],[Cen.]],Dados_Empresas[],2,FALSE),"Verificar empresa"))</f>
        <v>EMBRATEL</v>
      </c>
      <c r="O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82" spans="1:15" x14ac:dyDescent="0.25">
      <c r="A82" s="32">
        <v>4381935</v>
      </c>
      <c r="B82" s="32" t="s">
        <v>17</v>
      </c>
      <c r="C82" s="33" t="s">
        <v>17</v>
      </c>
      <c r="D82" s="35">
        <v>45448</v>
      </c>
      <c r="E82" s="32">
        <v>221</v>
      </c>
      <c r="F82" s="32">
        <v>22064686</v>
      </c>
      <c r="G82" s="32" t="s">
        <v>301</v>
      </c>
      <c r="H82" s="26" t="s">
        <v>38</v>
      </c>
      <c r="I82" s="36">
        <v>15</v>
      </c>
      <c r="J82" s="32">
        <f>IF(MB25_VOLUMETRIA[[#This Row],[Reserva]]="","",1)</f>
        <v>1</v>
      </c>
      <c r="K82" s="36" t="str">
        <f>IF(MB25_VOLUMETRIA[[#This Row],[Reserva]]="","",IFERROR(VLOOKUP(MB25_VOLUMETRIA[[#This Row],[UMB]],CHAVE[],2,FALSE),"VERIFICAR"))</f>
        <v>Unidade</v>
      </c>
      <c r="L82" s="32" t="str">
        <f>IF(MB25_VOLUMETRIA[[#This Row],[Reserva]]="","",IFERROR(VLOOKUP(MB25_VOLUMETRIA[[#This Row],[Reserva]],Tabela3[[Reserva]:[Condição para Faturamento]],20,FALSE),"IMPORTADO COM SUCESSO"))</f>
        <v>EM CONFERENCIA</v>
      </c>
      <c r="M82" s="32" t="str">
        <f ca="1">IFERROR(VLOOKUP(MB25_VOLUMETRIA[[#This Row],[Reserva]],RES_AB[],14,FALSE),"")</f>
        <v>PLANO DO DIA</v>
      </c>
      <c r="N82" s="32" t="str">
        <f>IF(MB25_VOLUMETRIA[[#This Row],[Cen.]]="","",IFERROR(VLOOKUP(MB25_VOLUMETRIA[[#This Row],[Cen.]],Dados_Empresas[],2,FALSE),"Verificar empresa"))</f>
        <v>EMBRATEL</v>
      </c>
      <c r="O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83" spans="1:15" x14ac:dyDescent="0.25">
      <c r="A83" s="32">
        <v>4382004</v>
      </c>
      <c r="B83" s="32" t="s">
        <v>17</v>
      </c>
      <c r="C83" s="33" t="s">
        <v>17</v>
      </c>
      <c r="D83" s="35">
        <v>45448</v>
      </c>
      <c r="E83" s="32">
        <v>201</v>
      </c>
      <c r="F83" s="32">
        <v>252210</v>
      </c>
      <c r="G83" s="32" t="s">
        <v>313</v>
      </c>
      <c r="H83" s="26" t="s">
        <v>38</v>
      </c>
      <c r="I83" s="36">
        <v>600</v>
      </c>
      <c r="J83" s="32">
        <f>IF(MB25_VOLUMETRIA[[#This Row],[Reserva]]="","",1)</f>
        <v>1</v>
      </c>
      <c r="K83" s="36" t="str">
        <f>IF(MB25_VOLUMETRIA[[#This Row],[Reserva]]="","",IFERROR(VLOOKUP(MB25_VOLUMETRIA[[#This Row],[UMB]],CHAVE[],2,FALSE),"VERIFICAR"))</f>
        <v>Unidade</v>
      </c>
      <c r="L8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83" s="32" t="str">
        <f ca="1">IFERROR(VLOOKUP(MB25_VOLUMETRIA[[#This Row],[Reserva]],RES_AB[],14,FALSE),"")</f>
        <v>PLANO DO DIA</v>
      </c>
      <c r="N83" s="32" t="str">
        <f>IF(MB25_VOLUMETRIA[[#This Row],[Cen.]]="","",IFERROR(VLOOKUP(MB25_VOLUMETRIA[[#This Row],[Cen.]],Dados_Empresas[],2,FALSE),"Verificar empresa"))</f>
        <v>EMBRATEL</v>
      </c>
      <c r="O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84" spans="1:15" x14ac:dyDescent="0.25">
      <c r="A84" s="32">
        <v>4382004</v>
      </c>
      <c r="B84" s="32" t="s">
        <v>17</v>
      </c>
      <c r="C84" s="33" t="s">
        <v>17</v>
      </c>
      <c r="D84" s="35">
        <v>45448</v>
      </c>
      <c r="E84" s="32">
        <v>201</v>
      </c>
      <c r="F84" s="32">
        <v>251840</v>
      </c>
      <c r="G84" s="32" t="s">
        <v>271</v>
      </c>
      <c r="H84" s="26" t="s">
        <v>38</v>
      </c>
      <c r="I84" s="36">
        <v>1000</v>
      </c>
      <c r="J84" s="32">
        <f>IF(MB25_VOLUMETRIA[[#This Row],[Reserva]]="","",1)</f>
        <v>1</v>
      </c>
      <c r="K84" s="36" t="str">
        <f>IF(MB25_VOLUMETRIA[[#This Row],[Reserva]]="","",IFERROR(VLOOKUP(MB25_VOLUMETRIA[[#This Row],[UMB]],CHAVE[],2,FALSE),"VERIFICAR"))</f>
        <v>Unidade</v>
      </c>
      <c r="L8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84" s="32" t="str">
        <f ca="1">IFERROR(VLOOKUP(MB25_VOLUMETRIA[[#This Row],[Reserva]],RES_AB[],14,FALSE),"")</f>
        <v>PLANO DO DIA</v>
      </c>
      <c r="N84" s="32" t="str">
        <f>IF(MB25_VOLUMETRIA[[#This Row],[Cen.]]="","",IFERROR(VLOOKUP(MB25_VOLUMETRIA[[#This Row],[Cen.]],Dados_Empresas[],2,FALSE),"Verificar empresa"))</f>
        <v>EMBRATEL</v>
      </c>
      <c r="O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85" spans="1:15" x14ac:dyDescent="0.25">
      <c r="A85" s="32">
        <v>4382004</v>
      </c>
      <c r="B85" s="32" t="s">
        <v>17</v>
      </c>
      <c r="C85" s="33" t="s">
        <v>17</v>
      </c>
      <c r="D85" s="35">
        <v>45448</v>
      </c>
      <c r="E85" s="32">
        <v>201</v>
      </c>
      <c r="F85" s="32">
        <v>254384</v>
      </c>
      <c r="G85" s="32" t="s">
        <v>302</v>
      </c>
      <c r="H85" s="26" t="s">
        <v>38</v>
      </c>
      <c r="I85" s="36">
        <v>120</v>
      </c>
      <c r="J85" s="32">
        <f>IF(MB25_VOLUMETRIA[[#This Row],[Reserva]]="","",1)</f>
        <v>1</v>
      </c>
      <c r="K85" s="36" t="str">
        <f>IF(MB25_VOLUMETRIA[[#This Row],[Reserva]]="","",IFERROR(VLOOKUP(MB25_VOLUMETRIA[[#This Row],[UMB]],CHAVE[],2,FALSE),"VERIFICAR"))</f>
        <v>Unidade</v>
      </c>
      <c r="L8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85" s="32" t="str">
        <f ca="1">IFERROR(VLOOKUP(MB25_VOLUMETRIA[[#This Row],[Reserva]],RES_AB[],14,FALSE),"")</f>
        <v>PLANO DO DIA</v>
      </c>
      <c r="N85" s="32" t="str">
        <f>IF(MB25_VOLUMETRIA[[#This Row],[Cen.]]="","",IFERROR(VLOOKUP(MB25_VOLUMETRIA[[#This Row],[Cen.]],Dados_Empresas[],2,FALSE),"Verificar empresa"))</f>
        <v>EMBRATEL</v>
      </c>
      <c r="O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86" spans="1:15" x14ac:dyDescent="0.25">
      <c r="A86" s="32">
        <v>4382004</v>
      </c>
      <c r="B86" s="32" t="s">
        <v>17</v>
      </c>
      <c r="C86" s="33" t="s">
        <v>17</v>
      </c>
      <c r="D86" s="35">
        <v>45448</v>
      </c>
      <c r="E86" s="32">
        <v>201</v>
      </c>
      <c r="F86" s="32">
        <v>254490</v>
      </c>
      <c r="G86" s="32" t="s">
        <v>396</v>
      </c>
      <c r="H86" s="26" t="s">
        <v>38</v>
      </c>
      <c r="I86" s="36">
        <v>60</v>
      </c>
      <c r="J86" s="32">
        <f>IF(MB25_VOLUMETRIA[[#This Row],[Reserva]]="","",1)</f>
        <v>1</v>
      </c>
      <c r="K86" s="36" t="str">
        <f>IF(MB25_VOLUMETRIA[[#This Row],[Reserva]]="","",IFERROR(VLOOKUP(MB25_VOLUMETRIA[[#This Row],[UMB]],CHAVE[],2,FALSE),"VERIFICAR"))</f>
        <v>Unidade</v>
      </c>
      <c r="L8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86" s="32" t="str">
        <f ca="1">IFERROR(VLOOKUP(MB25_VOLUMETRIA[[#This Row],[Reserva]],RES_AB[],14,FALSE),"")</f>
        <v>PLANO DO DIA</v>
      </c>
      <c r="N86" s="32" t="str">
        <f>IF(MB25_VOLUMETRIA[[#This Row],[Cen.]]="","",IFERROR(VLOOKUP(MB25_VOLUMETRIA[[#This Row],[Cen.]],Dados_Empresas[],2,FALSE),"Verificar empresa"))</f>
        <v>EMBRATEL</v>
      </c>
      <c r="O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87" spans="1:15" x14ac:dyDescent="0.25">
      <c r="A87" s="32">
        <v>4382012</v>
      </c>
      <c r="B87" s="32" t="s">
        <v>17</v>
      </c>
      <c r="C87" s="33" t="s">
        <v>17</v>
      </c>
      <c r="D87" s="35">
        <v>45448</v>
      </c>
      <c r="E87" s="32">
        <v>201</v>
      </c>
      <c r="F87" s="32">
        <v>251836</v>
      </c>
      <c r="G87" s="32" t="s">
        <v>282</v>
      </c>
      <c r="H87" s="26" t="s">
        <v>38</v>
      </c>
      <c r="I87" s="36">
        <v>200</v>
      </c>
      <c r="J87" s="32">
        <f>IF(MB25_VOLUMETRIA[[#This Row],[Reserva]]="","",1)</f>
        <v>1</v>
      </c>
      <c r="K87" s="36" t="str">
        <f>IF(MB25_VOLUMETRIA[[#This Row],[Reserva]]="","",IFERROR(VLOOKUP(MB25_VOLUMETRIA[[#This Row],[UMB]],CHAVE[],2,FALSE),"VERIFICAR"))</f>
        <v>Unidade</v>
      </c>
      <c r="L87" s="32" t="str">
        <f>IF(MB25_VOLUMETRIA[[#This Row],[Reserva]]="","",IFERROR(VLOOKUP(MB25_VOLUMETRIA[[#This Row],[Reserva]],Tabela3[[Reserva]:[Condição para Faturamento]],20,FALSE),"IMPORTADO COM SUCESSO"))</f>
        <v>EM CONFERENCIA</v>
      </c>
      <c r="M87" s="32" t="str">
        <f ca="1">IFERROR(VLOOKUP(MB25_VOLUMETRIA[[#This Row],[Reserva]],RES_AB[],14,FALSE),"")</f>
        <v>PLANO DO DIA</v>
      </c>
      <c r="N87" s="32" t="str">
        <f>IF(MB25_VOLUMETRIA[[#This Row],[Cen.]]="","",IFERROR(VLOOKUP(MB25_VOLUMETRIA[[#This Row],[Cen.]],Dados_Empresas[],2,FALSE),"Verificar empresa"))</f>
        <v>EMBRATEL</v>
      </c>
      <c r="O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88" spans="1:15" x14ac:dyDescent="0.25">
      <c r="A88" s="32">
        <v>4382012</v>
      </c>
      <c r="B88" s="32" t="s">
        <v>17</v>
      </c>
      <c r="C88" s="33" t="s">
        <v>17</v>
      </c>
      <c r="D88" s="35">
        <v>45448</v>
      </c>
      <c r="E88" s="32">
        <v>201</v>
      </c>
      <c r="F88" s="32">
        <v>252291</v>
      </c>
      <c r="G88" s="32" t="s">
        <v>267</v>
      </c>
      <c r="H88" s="26" t="s">
        <v>38</v>
      </c>
      <c r="I88" s="36">
        <v>1000</v>
      </c>
      <c r="J88" s="32">
        <f>IF(MB25_VOLUMETRIA[[#This Row],[Reserva]]="","",1)</f>
        <v>1</v>
      </c>
      <c r="K88" s="36" t="str">
        <f>IF(MB25_VOLUMETRIA[[#This Row],[Reserva]]="","",IFERROR(VLOOKUP(MB25_VOLUMETRIA[[#This Row],[UMB]],CHAVE[],2,FALSE),"VERIFICAR"))</f>
        <v>Unidade</v>
      </c>
      <c r="L88" s="32" t="str">
        <f>IF(MB25_VOLUMETRIA[[#This Row],[Reserva]]="","",IFERROR(VLOOKUP(MB25_VOLUMETRIA[[#This Row],[Reserva]],Tabela3[[Reserva]:[Condição para Faturamento]],20,FALSE),"IMPORTADO COM SUCESSO"))</f>
        <v>EM CONFERENCIA</v>
      </c>
      <c r="M88" s="32" t="str">
        <f ca="1">IFERROR(VLOOKUP(MB25_VOLUMETRIA[[#This Row],[Reserva]],RES_AB[],14,FALSE),"")</f>
        <v>PLANO DO DIA</v>
      </c>
      <c r="N88" s="32" t="str">
        <f>IF(MB25_VOLUMETRIA[[#This Row],[Cen.]]="","",IFERROR(VLOOKUP(MB25_VOLUMETRIA[[#This Row],[Cen.]],Dados_Empresas[],2,FALSE),"Verificar empresa"))</f>
        <v>EMBRATEL</v>
      </c>
      <c r="O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89" spans="1:15" x14ac:dyDescent="0.25">
      <c r="A89" s="32">
        <v>4382012</v>
      </c>
      <c r="B89" s="32" t="s">
        <v>17</v>
      </c>
      <c r="C89" s="33" t="s">
        <v>17</v>
      </c>
      <c r="D89" s="35">
        <v>45448</v>
      </c>
      <c r="E89" s="32">
        <v>201</v>
      </c>
      <c r="F89" s="32">
        <v>252307</v>
      </c>
      <c r="G89" s="32" t="s">
        <v>272</v>
      </c>
      <c r="H89" s="26" t="s">
        <v>38</v>
      </c>
      <c r="I89" s="36">
        <v>40</v>
      </c>
      <c r="J89" s="32">
        <f>IF(MB25_VOLUMETRIA[[#This Row],[Reserva]]="","",1)</f>
        <v>1</v>
      </c>
      <c r="K89" s="36" t="str">
        <f>IF(MB25_VOLUMETRIA[[#This Row],[Reserva]]="","",IFERROR(VLOOKUP(MB25_VOLUMETRIA[[#This Row],[UMB]],CHAVE[],2,FALSE),"VERIFICAR"))</f>
        <v>Unidade</v>
      </c>
      <c r="L89" s="32" t="str">
        <f>IF(MB25_VOLUMETRIA[[#This Row],[Reserva]]="","",IFERROR(VLOOKUP(MB25_VOLUMETRIA[[#This Row],[Reserva]],Tabela3[[Reserva]:[Condição para Faturamento]],20,FALSE),"IMPORTADO COM SUCESSO"))</f>
        <v>EM CONFERENCIA</v>
      </c>
      <c r="M89" s="32" t="str">
        <f ca="1">IFERROR(VLOOKUP(MB25_VOLUMETRIA[[#This Row],[Reserva]],RES_AB[],14,FALSE),"")</f>
        <v>PLANO DO DIA</v>
      </c>
      <c r="N89" s="32" t="str">
        <f>IF(MB25_VOLUMETRIA[[#This Row],[Cen.]]="","",IFERROR(VLOOKUP(MB25_VOLUMETRIA[[#This Row],[Cen.]],Dados_Empresas[],2,FALSE),"Verificar empresa"))</f>
        <v>EMBRATEL</v>
      </c>
      <c r="O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90" spans="1:15" x14ac:dyDescent="0.25">
      <c r="A90" s="32">
        <v>4382161</v>
      </c>
      <c r="B90" s="32" t="s">
        <v>17</v>
      </c>
      <c r="C90" s="33" t="s">
        <v>17</v>
      </c>
      <c r="D90" s="35">
        <v>45448</v>
      </c>
      <c r="E90" s="32">
        <v>221</v>
      </c>
      <c r="F90" s="32">
        <v>40000864</v>
      </c>
      <c r="G90" s="32" t="s">
        <v>384</v>
      </c>
      <c r="H90" s="26" t="s">
        <v>38</v>
      </c>
      <c r="I90" s="36">
        <v>1</v>
      </c>
      <c r="J90" s="32">
        <f>IF(MB25_VOLUMETRIA[[#This Row],[Reserva]]="","",1)</f>
        <v>1</v>
      </c>
      <c r="K90" s="36" t="str">
        <f>IF(MB25_VOLUMETRIA[[#This Row],[Reserva]]="","",IFERROR(VLOOKUP(MB25_VOLUMETRIA[[#This Row],[UMB]],CHAVE[],2,FALSE),"VERIFICAR"))</f>
        <v>Unidade</v>
      </c>
      <c r="L9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0" s="32" t="str">
        <f ca="1">IFERROR(VLOOKUP(MB25_VOLUMETRIA[[#This Row],[Reserva]],RES_AB[],14,FALSE),"")</f>
        <v>PLANO DO DIA</v>
      </c>
      <c r="N90" s="32" t="str">
        <f>IF(MB25_VOLUMETRIA[[#This Row],[Cen.]]="","",IFERROR(VLOOKUP(MB25_VOLUMETRIA[[#This Row],[Cen.]],Dados_Empresas[],2,FALSE),"Verificar empresa"))</f>
        <v>EMBRATEL</v>
      </c>
      <c r="O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91" spans="1:15" x14ac:dyDescent="0.25">
      <c r="A91" s="32">
        <v>4382162</v>
      </c>
      <c r="B91" s="32" t="s">
        <v>17</v>
      </c>
      <c r="C91" s="33" t="s">
        <v>17</v>
      </c>
      <c r="D91" s="35">
        <v>45448</v>
      </c>
      <c r="E91" s="32">
        <v>221</v>
      </c>
      <c r="F91" s="32">
        <v>40000864</v>
      </c>
      <c r="G91" s="32" t="s">
        <v>384</v>
      </c>
      <c r="H91" s="26" t="s">
        <v>38</v>
      </c>
      <c r="I91" s="36">
        <v>1</v>
      </c>
      <c r="J91" s="32">
        <f>IF(MB25_VOLUMETRIA[[#This Row],[Reserva]]="","",1)</f>
        <v>1</v>
      </c>
      <c r="K91" s="36" t="str">
        <f>IF(MB25_VOLUMETRIA[[#This Row],[Reserva]]="","",IFERROR(VLOOKUP(MB25_VOLUMETRIA[[#This Row],[UMB]],CHAVE[],2,FALSE),"VERIFICAR"))</f>
        <v>Unidade</v>
      </c>
      <c r="L9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1" s="32" t="str">
        <f ca="1">IFERROR(VLOOKUP(MB25_VOLUMETRIA[[#This Row],[Reserva]],RES_AB[],14,FALSE),"")</f>
        <v>PLANO DO DIA</v>
      </c>
      <c r="N91" s="32" t="str">
        <f>IF(MB25_VOLUMETRIA[[#This Row],[Cen.]]="","",IFERROR(VLOOKUP(MB25_VOLUMETRIA[[#This Row],[Cen.]],Dados_Empresas[],2,FALSE),"Verificar empresa"))</f>
        <v>EMBRATEL</v>
      </c>
      <c r="O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92" spans="1:15" x14ac:dyDescent="0.25">
      <c r="A92" s="32">
        <v>4382162</v>
      </c>
      <c r="B92" s="32" t="s">
        <v>17</v>
      </c>
      <c r="C92" s="33" t="s">
        <v>17</v>
      </c>
      <c r="D92" s="35">
        <v>45448</v>
      </c>
      <c r="E92" s="32">
        <v>221</v>
      </c>
      <c r="F92" s="32">
        <v>40000864</v>
      </c>
      <c r="G92" s="32" t="s">
        <v>384</v>
      </c>
      <c r="H92" s="26" t="s">
        <v>38</v>
      </c>
      <c r="I92" s="36">
        <v>1</v>
      </c>
      <c r="J92" s="32">
        <f>IF(MB25_VOLUMETRIA[[#This Row],[Reserva]]="","",1)</f>
        <v>1</v>
      </c>
      <c r="K92" s="36" t="str">
        <f>IF(MB25_VOLUMETRIA[[#This Row],[Reserva]]="","",IFERROR(VLOOKUP(MB25_VOLUMETRIA[[#This Row],[UMB]],CHAVE[],2,FALSE),"VERIFICAR"))</f>
        <v>Unidade</v>
      </c>
      <c r="L9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2" s="32" t="str">
        <f ca="1">IFERROR(VLOOKUP(MB25_VOLUMETRIA[[#This Row],[Reserva]],RES_AB[],14,FALSE),"")</f>
        <v>PLANO DO DIA</v>
      </c>
      <c r="N92" s="32" t="str">
        <f>IF(MB25_VOLUMETRIA[[#This Row],[Cen.]]="","",IFERROR(VLOOKUP(MB25_VOLUMETRIA[[#This Row],[Cen.]],Dados_Empresas[],2,FALSE),"Verificar empresa"))</f>
        <v>EMBRATEL</v>
      </c>
      <c r="O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93" spans="1:15" x14ac:dyDescent="0.25">
      <c r="A93" s="32">
        <v>4382162</v>
      </c>
      <c r="B93" s="32" t="s">
        <v>17</v>
      </c>
      <c r="C93" s="33" t="s">
        <v>17</v>
      </c>
      <c r="D93" s="35">
        <v>45448</v>
      </c>
      <c r="E93" s="32">
        <v>221</v>
      </c>
      <c r="F93" s="32">
        <v>40000864</v>
      </c>
      <c r="G93" s="32" t="s">
        <v>384</v>
      </c>
      <c r="H93" s="26" t="s">
        <v>38</v>
      </c>
      <c r="I93" s="36">
        <v>1</v>
      </c>
      <c r="J93" s="32">
        <f>IF(MB25_VOLUMETRIA[[#This Row],[Reserva]]="","",1)</f>
        <v>1</v>
      </c>
      <c r="K93" s="36" t="str">
        <f>IF(MB25_VOLUMETRIA[[#This Row],[Reserva]]="","",IFERROR(VLOOKUP(MB25_VOLUMETRIA[[#This Row],[UMB]],CHAVE[],2,FALSE),"VERIFICAR"))</f>
        <v>Unidade</v>
      </c>
      <c r="L9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3" s="32" t="str">
        <f ca="1">IFERROR(VLOOKUP(MB25_VOLUMETRIA[[#This Row],[Reserva]],RES_AB[],14,FALSE),"")</f>
        <v>PLANO DO DIA</v>
      </c>
      <c r="N93" s="32" t="str">
        <f>IF(MB25_VOLUMETRIA[[#This Row],[Cen.]]="","",IFERROR(VLOOKUP(MB25_VOLUMETRIA[[#This Row],[Cen.]],Dados_Empresas[],2,FALSE),"Verificar empresa"))</f>
        <v>EMBRATEL</v>
      </c>
      <c r="O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94" spans="1:15" x14ac:dyDescent="0.25">
      <c r="A94" s="32">
        <v>4382162</v>
      </c>
      <c r="B94" s="32" t="s">
        <v>17</v>
      </c>
      <c r="C94" s="33" t="s">
        <v>17</v>
      </c>
      <c r="D94" s="35">
        <v>45448</v>
      </c>
      <c r="E94" s="32">
        <v>221</v>
      </c>
      <c r="F94" s="32">
        <v>40000864</v>
      </c>
      <c r="G94" s="32" t="s">
        <v>384</v>
      </c>
      <c r="H94" s="26" t="s">
        <v>38</v>
      </c>
      <c r="I94" s="36">
        <v>1</v>
      </c>
      <c r="J94" s="32">
        <f>IF(MB25_VOLUMETRIA[[#This Row],[Reserva]]="","",1)</f>
        <v>1</v>
      </c>
      <c r="K94" s="36" t="str">
        <f>IF(MB25_VOLUMETRIA[[#This Row],[Reserva]]="","",IFERROR(VLOOKUP(MB25_VOLUMETRIA[[#This Row],[UMB]],CHAVE[],2,FALSE),"VERIFICAR"))</f>
        <v>Unidade</v>
      </c>
      <c r="L9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4" s="32" t="str">
        <f ca="1">IFERROR(VLOOKUP(MB25_VOLUMETRIA[[#This Row],[Reserva]],RES_AB[],14,FALSE),"")</f>
        <v>PLANO DO DIA</v>
      </c>
      <c r="N94" s="32" t="str">
        <f>IF(MB25_VOLUMETRIA[[#This Row],[Cen.]]="","",IFERROR(VLOOKUP(MB25_VOLUMETRIA[[#This Row],[Cen.]],Dados_Empresas[],2,FALSE),"Verificar empresa"))</f>
        <v>EMBRATEL</v>
      </c>
      <c r="O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95" spans="1:15" x14ac:dyDescent="0.25">
      <c r="A95" s="32">
        <v>4382162</v>
      </c>
      <c r="B95" s="32" t="s">
        <v>17</v>
      </c>
      <c r="C95" s="33" t="s">
        <v>17</v>
      </c>
      <c r="D95" s="35">
        <v>45448</v>
      </c>
      <c r="E95" s="32">
        <v>221</v>
      </c>
      <c r="F95" s="32">
        <v>40000864</v>
      </c>
      <c r="G95" s="32" t="s">
        <v>384</v>
      </c>
      <c r="H95" s="26" t="s">
        <v>38</v>
      </c>
      <c r="I95" s="36">
        <v>1</v>
      </c>
      <c r="J95" s="32">
        <f>IF(MB25_VOLUMETRIA[[#This Row],[Reserva]]="","",1)</f>
        <v>1</v>
      </c>
      <c r="K95" s="36" t="str">
        <f>IF(MB25_VOLUMETRIA[[#This Row],[Reserva]]="","",IFERROR(VLOOKUP(MB25_VOLUMETRIA[[#This Row],[UMB]],CHAVE[],2,FALSE),"VERIFICAR"))</f>
        <v>Unidade</v>
      </c>
      <c r="L9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5" s="32" t="str">
        <f ca="1">IFERROR(VLOOKUP(MB25_VOLUMETRIA[[#This Row],[Reserva]],RES_AB[],14,FALSE),"")</f>
        <v>PLANO DO DIA</v>
      </c>
      <c r="N95" s="32" t="str">
        <f>IF(MB25_VOLUMETRIA[[#This Row],[Cen.]]="","",IFERROR(VLOOKUP(MB25_VOLUMETRIA[[#This Row],[Cen.]],Dados_Empresas[],2,FALSE),"Verificar empresa"))</f>
        <v>EMBRATEL</v>
      </c>
      <c r="O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96" spans="1:15" x14ac:dyDescent="0.25">
      <c r="A96" s="32">
        <v>4382162</v>
      </c>
      <c r="B96" s="32" t="s">
        <v>17</v>
      </c>
      <c r="C96" s="33" t="s">
        <v>17</v>
      </c>
      <c r="D96" s="35">
        <v>45448</v>
      </c>
      <c r="E96" s="32">
        <v>221</v>
      </c>
      <c r="F96" s="32">
        <v>40000864</v>
      </c>
      <c r="G96" s="32" t="s">
        <v>384</v>
      </c>
      <c r="H96" s="26" t="s">
        <v>38</v>
      </c>
      <c r="I96" s="36">
        <v>1</v>
      </c>
      <c r="J96" s="32">
        <f>IF(MB25_VOLUMETRIA[[#This Row],[Reserva]]="","",1)</f>
        <v>1</v>
      </c>
      <c r="K96" s="36" t="str">
        <f>IF(MB25_VOLUMETRIA[[#This Row],[Reserva]]="","",IFERROR(VLOOKUP(MB25_VOLUMETRIA[[#This Row],[UMB]],CHAVE[],2,FALSE),"VERIFICAR"))</f>
        <v>Unidade</v>
      </c>
      <c r="L9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6" s="32" t="str">
        <f ca="1">IFERROR(VLOOKUP(MB25_VOLUMETRIA[[#This Row],[Reserva]],RES_AB[],14,FALSE),"")</f>
        <v>PLANO DO DIA</v>
      </c>
      <c r="N96" s="32" t="str">
        <f>IF(MB25_VOLUMETRIA[[#This Row],[Cen.]]="","",IFERROR(VLOOKUP(MB25_VOLUMETRIA[[#This Row],[Cen.]],Dados_Empresas[],2,FALSE),"Verificar empresa"))</f>
        <v>EMBRATEL</v>
      </c>
      <c r="O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97" spans="1:15" x14ac:dyDescent="0.25">
      <c r="A97" s="32">
        <v>4382162</v>
      </c>
      <c r="B97" s="32" t="s">
        <v>17</v>
      </c>
      <c r="C97" s="33" t="s">
        <v>17</v>
      </c>
      <c r="D97" s="35">
        <v>45448</v>
      </c>
      <c r="E97" s="32">
        <v>221</v>
      </c>
      <c r="F97" s="32">
        <v>40000864</v>
      </c>
      <c r="G97" s="32" t="s">
        <v>384</v>
      </c>
      <c r="H97" s="26" t="s">
        <v>38</v>
      </c>
      <c r="I97" s="36">
        <v>1</v>
      </c>
      <c r="J97" s="32">
        <f>IF(MB25_VOLUMETRIA[[#This Row],[Reserva]]="","",1)</f>
        <v>1</v>
      </c>
      <c r="K97" s="36" t="str">
        <f>IF(MB25_VOLUMETRIA[[#This Row],[Reserva]]="","",IFERROR(VLOOKUP(MB25_VOLUMETRIA[[#This Row],[UMB]],CHAVE[],2,FALSE),"VERIFICAR"))</f>
        <v>Unidade</v>
      </c>
      <c r="L9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7" s="32" t="str">
        <f ca="1">IFERROR(VLOOKUP(MB25_VOLUMETRIA[[#This Row],[Reserva]],RES_AB[],14,FALSE),"")</f>
        <v>PLANO DO DIA</v>
      </c>
      <c r="N97" s="32" t="str">
        <f>IF(MB25_VOLUMETRIA[[#This Row],[Cen.]]="","",IFERROR(VLOOKUP(MB25_VOLUMETRIA[[#This Row],[Cen.]],Dados_Empresas[],2,FALSE),"Verificar empresa"))</f>
        <v>EMBRATEL</v>
      </c>
      <c r="O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98" spans="1:15" x14ac:dyDescent="0.25">
      <c r="A98" s="32">
        <v>4382162</v>
      </c>
      <c r="B98" s="32" t="s">
        <v>17</v>
      </c>
      <c r="C98" s="33" t="s">
        <v>17</v>
      </c>
      <c r="D98" s="35">
        <v>45448</v>
      </c>
      <c r="E98" s="32">
        <v>221</v>
      </c>
      <c r="F98" s="32">
        <v>40000864</v>
      </c>
      <c r="G98" s="32" t="s">
        <v>384</v>
      </c>
      <c r="H98" s="26" t="s">
        <v>38</v>
      </c>
      <c r="I98" s="36">
        <v>1</v>
      </c>
      <c r="J98" s="32">
        <f>IF(MB25_VOLUMETRIA[[#This Row],[Reserva]]="","",1)</f>
        <v>1</v>
      </c>
      <c r="K98" s="36" t="str">
        <f>IF(MB25_VOLUMETRIA[[#This Row],[Reserva]]="","",IFERROR(VLOOKUP(MB25_VOLUMETRIA[[#This Row],[UMB]],CHAVE[],2,FALSE),"VERIFICAR"))</f>
        <v>Unidade</v>
      </c>
      <c r="L9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8" s="32" t="str">
        <f ca="1">IFERROR(VLOOKUP(MB25_VOLUMETRIA[[#This Row],[Reserva]],RES_AB[],14,FALSE),"")</f>
        <v>PLANO DO DIA</v>
      </c>
      <c r="N98" s="32" t="str">
        <f>IF(MB25_VOLUMETRIA[[#This Row],[Cen.]]="","",IFERROR(VLOOKUP(MB25_VOLUMETRIA[[#This Row],[Cen.]],Dados_Empresas[],2,FALSE),"Verificar empresa"))</f>
        <v>EMBRATEL</v>
      </c>
      <c r="O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99" spans="1:15" x14ac:dyDescent="0.25">
      <c r="A99" s="32">
        <v>4382162</v>
      </c>
      <c r="B99" s="32" t="s">
        <v>17</v>
      </c>
      <c r="C99" s="33" t="s">
        <v>17</v>
      </c>
      <c r="D99" s="35">
        <v>45448</v>
      </c>
      <c r="E99" s="32">
        <v>221</v>
      </c>
      <c r="F99" s="32">
        <v>40000864</v>
      </c>
      <c r="G99" s="32" t="s">
        <v>384</v>
      </c>
      <c r="H99" s="26" t="s">
        <v>38</v>
      </c>
      <c r="I99" s="36">
        <v>1</v>
      </c>
      <c r="J99" s="32">
        <f>IF(MB25_VOLUMETRIA[[#This Row],[Reserva]]="","",1)</f>
        <v>1</v>
      </c>
      <c r="K99" s="36" t="str">
        <f>IF(MB25_VOLUMETRIA[[#This Row],[Reserva]]="","",IFERROR(VLOOKUP(MB25_VOLUMETRIA[[#This Row],[UMB]],CHAVE[],2,FALSE),"VERIFICAR"))</f>
        <v>Unidade</v>
      </c>
      <c r="L9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99" s="32" t="str">
        <f ca="1">IFERROR(VLOOKUP(MB25_VOLUMETRIA[[#This Row],[Reserva]],RES_AB[],14,FALSE),"")</f>
        <v>PLANO DO DIA</v>
      </c>
      <c r="N99" s="32" t="str">
        <f>IF(MB25_VOLUMETRIA[[#This Row],[Cen.]]="","",IFERROR(VLOOKUP(MB25_VOLUMETRIA[[#This Row],[Cen.]],Dados_Empresas[],2,FALSE),"Verificar empresa"))</f>
        <v>EMBRATEL</v>
      </c>
      <c r="O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0" spans="1:15" x14ac:dyDescent="0.25">
      <c r="A100" s="32">
        <v>4382162</v>
      </c>
      <c r="B100" s="32" t="s">
        <v>17</v>
      </c>
      <c r="C100" s="33" t="s">
        <v>17</v>
      </c>
      <c r="D100" s="35">
        <v>45448</v>
      </c>
      <c r="E100" s="32">
        <v>221</v>
      </c>
      <c r="F100" s="32">
        <v>40000864</v>
      </c>
      <c r="G100" s="32" t="s">
        <v>384</v>
      </c>
      <c r="H100" s="26" t="s">
        <v>38</v>
      </c>
      <c r="I100" s="36">
        <v>1</v>
      </c>
      <c r="J100" s="32">
        <f>IF(MB25_VOLUMETRIA[[#This Row],[Reserva]]="","",1)</f>
        <v>1</v>
      </c>
      <c r="K100" s="36" t="str">
        <f>IF(MB25_VOLUMETRIA[[#This Row],[Reserva]]="","",IFERROR(VLOOKUP(MB25_VOLUMETRIA[[#This Row],[UMB]],CHAVE[],2,FALSE),"VERIFICAR"))</f>
        <v>Unidade</v>
      </c>
      <c r="L10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0" s="32" t="str">
        <f ca="1">IFERROR(VLOOKUP(MB25_VOLUMETRIA[[#This Row],[Reserva]],RES_AB[],14,FALSE),"")</f>
        <v>PLANO DO DIA</v>
      </c>
      <c r="N100" s="32" t="str">
        <f>IF(MB25_VOLUMETRIA[[#This Row],[Cen.]]="","",IFERROR(VLOOKUP(MB25_VOLUMETRIA[[#This Row],[Cen.]],Dados_Empresas[],2,FALSE),"Verificar empresa"))</f>
        <v>EMBRATEL</v>
      </c>
      <c r="O1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1" spans="1:15" x14ac:dyDescent="0.25">
      <c r="A101" s="32">
        <v>4382162</v>
      </c>
      <c r="B101" s="32" t="s">
        <v>17</v>
      </c>
      <c r="C101" s="33" t="s">
        <v>17</v>
      </c>
      <c r="D101" s="35">
        <v>45448</v>
      </c>
      <c r="E101" s="32">
        <v>221</v>
      </c>
      <c r="F101" s="32">
        <v>40000864</v>
      </c>
      <c r="G101" s="32" t="s">
        <v>384</v>
      </c>
      <c r="H101" s="26" t="s">
        <v>38</v>
      </c>
      <c r="I101" s="36">
        <v>1</v>
      </c>
      <c r="J101" s="32">
        <f>IF(MB25_VOLUMETRIA[[#This Row],[Reserva]]="","",1)</f>
        <v>1</v>
      </c>
      <c r="K101" s="36" t="str">
        <f>IF(MB25_VOLUMETRIA[[#This Row],[Reserva]]="","",IFERROR(VLOOKUP(MB25_VOLUMETRIA[[#This Row],[UMB]],CHAVE[],2,FALSE),"VERIFICAR"))</f>
        <v>Unidade</v>
      </c>
      <c r="L10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1" s="32" t="str">
        <f ca="1">IFERROR(VLOOKUP(MB25_VOLUMETRIA[[#This Row],[Reserva]],RES_AB[],14,FALSE),"")</f>
        <v>PLANO DO DIA</v>
      </c>
      <c r="N101" s="32" t="str">
        <f>IF(MB25_VOLUMETRIA[[#This Row],[Cen.]]="","",IFERROR(VLOOKUP(MB25_VOLUMETRIA[[#This Row],[Cen.]],Dados_Empresas[],2,FALSE),"Verificar empresa"))</f>
        <v>EMBRATEL</v>
      </c>
      <c r="O1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2" spans="1:15" x14ac:dyDescent="0.25">
      <c r="A102" s="32">
        <v>4382162</v>
      </c>
      <c r="B102" s="32" t="s">
        <v>17</v>
      </c>
      <c r="C102" s="33" t="s">
        <v>17</v>
      </c>
      <c r="D102" s="35">
        <v>45448</v>
      </c>
      <c r="E102" s="32">
        <v>221</v>
      </c>
      <c r="F102" s="32">
        <v>40000864</v>
      </c>
      <c r="G102" s="32" t="s">
        <v>384</v>
      </c>
      <c r="H102" s="26" t="s">
        <v>38</v>
      </c>
      <c r="I102" s="36">
        <v>1</v>
      </c>
      <c r="J102" s="32">
        <f>IF(MB25_VOLUMETRIA[[#This Row],[Reserva]]="","",1)</f>
        <v>1</v>
      </c>
      <c r="K102" s="36" t="str">
        <f>IF(MB25_VOLUMETRIA[[#This Row],[Reserva]]="","",IFERROR(VLOOKUP(MB25_VOLUMETRIA[[#This Row],[UMB]],CHAVE[],2,FALSE),"VERIFICAR"))</f>
        <v>Unidade</v>
      </c>
      <c r="L10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2" s="32" t="str">
        <f ca="1">IFERROR(VLOOKUP(MB25_VOLUMETRIA[[#This Row],[Reserva]],RES_AB[],14,FALSE),"")</f>
        <v>PLANO DO DIA</v>
      </c>
      <c r="N102" s="32" t="str">
        <f>IF(MB25_VOLUMETRIA[[#This Row],[Cen.]]="","",IFERROR(VLOOKUP(MB25_VOLUMETRIA[[#This Row],[Cen.]],Dados_Empresas[],2,FALSE),"Verificar empresa"))</f>
        <v>EMBRATEL</v>
      </c>
      <c r="O1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3" spans="1:15" x14ac:dyDescent="0.25">
      <c r="A103" s="32">
        <v>4382162</v>
      </c>
      <c r="B103" s="32" t="s">
        <v>17</v>
      </c>
      <c r="C103" s="33" t="s">
        <v>17</v>
      </c>
      <c r="D103" s="35">
        <v>45448</v>
      </c>
      <c r="E103" s="32">
        <v>221</v>
      </c>
      <c r="F103" s="32">
        <v>40000864</v>
      </c>
      <c r="G103" s="32" t="s">
        <v>384</v>
      </c>
      <c r="H103" s="26" t="s">
        <v>38</v>
      </c>
      <c r="I103" s="36">
        <v>1</v>
      </c>
      <c r="J103" s="32">
        <f>IF(MB25_VOLUMETRIA[[#This Row],[Reserva]]="","",1)</f>
        <v>1</v>
      </c>
      <c r="K103" s="36" t="str">
        <f>IF(MB25_VOLUMETRIA[[#This Row],[Reserva]]="","",IFERROR(VLOOKUP(MB25_VOLUMETRIA[[#This Row],[UMB]],CHAVE[],2,FALSE),"VERIFICAR"))</f>
        <v>Unidade</v>
      </c>
      <c r="L10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3" s="32" t="str">
        <f ca="1">IFERROR(VLOOKUP(MB25_VOLUMETRIA[[#This Row],[Reserva]],RES_AB[],14,FALSE),"")</f>
        <v>PLANO DO DIA</v>
      </c>
      <c r="N103" s="32" t="str">
        <f>IF(MB25_VOLUMETRIA[[#This Row],[Cen.]]="","",IFERROR(VLOOKUP(MB25_VOLUMETRIA[[#This Row],[Cen.]],Dados_Empresas[],2,FALSE),"Verificar empresa"))</f>
        <v>EMBRATEL</v>
      </c>
      <c r="O1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4" spans="1:15" x14ac:dyDescent="0.25">
      <c r="A104" s="32">
        <v>4382162</v>
      </c>
      <c r="B104" s="32" t="s">
        <v>17</v>
      </c>
      <c r="C104" s="33" t="s">
        <v>17</v>
      </c>
      <c r="D104" s="35">
        <v>45448</v>
      </c>
      <c r="E104" s="32">
        <v>221</v>
      </c>
      <c r="F104" s="32">
        <v>40000864</v>
      </c>
      <c r="G104" s="32" t="s">
        <v>384</v>
      </c>
      <c r="H104" s="26" t="s">
        <v>38</v>
      </c>
      <c r="I104" s="36">
        <v>1</v>
      </c>
      <c r="J104" s="32">
        <f>IF(MB25_VOLUMETRIA[[#This Row],[Reserva]]="","",1)</f>
        <v>1</v>
      </c>
      <c r="K104" s="36" t="str">
        <f>IF(MB25_VOLUMETRIA[[#This Row],[Reserva]]="","",IFERROR(VLOOKUP(MB25_VOLUMETRIA[[#This Row],[UMB]],CHAVE[],2,FALSE),"VERIFICAR"))</f>
        <v>Unidade</v>
      </c>
      <c r="L10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4" s="32" t="str">
        <f ca="1">IFERROR(VLOOKUP(MB25_VOLUMETRIA[[#This Row],[Reserva]],RES_AB[],14,FALSE),"")</f>
        <v>PLANO DO DIA</v>
      </c>
      <c r="N104" s="32" t="str">
        <f>IF(MB25_VOLUMETRIA[[#This Row],[Cen.]]="","",IFERROR(VLOOKUP(MB25_VOLUMETRIA[[#This Row],[Cen.]],Dados_Empresas[],2,FALSE),"Verificar empresa"))</f>
        <v>EMBRATEL</v>
      </c>
      <c r="O1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5" spans="1:15" x14ac:dyDescent="0.25">
      <c r="A105" s="32">
        <v>4382162</v>
      </c>
      <c r="B105" s="32" t="s">
        <v>17</v>
      </c>
      <c r="C105" s="33" t="s">
        <v>17</v>
      </c>
      <c r="D105" s="35">
        <v>45448</v>
      </c>
      <c r="E105" s="32">
        <v>221</v>
      </c>
      <c r="F105" s="32">
        <v>40000864</v>
      </c>
      <c r="G105" s="32" t="s">
        <v>384</v>
      </c>
      <c r="H105" s="26" t="s">
        <v>38</v>
      </c>
      <c r="I105" s="36">
        <v>1</v>
      </c>
      <c r="J105" s="32">
        <f>IF(MB25_VOLUMETRIA[[#This Row],[Reserva]]="","",1)</f>
        <v>1</v>
      </c>
      <c r="K105" s="36" t="str">
        <f>IF(MB25_VOLUMETRIA[[#This Row],[Reserva]]="","",IFERROR(VLOOKUP(MB25_VOLUMETRIA[[#This Row],[UMB]],CHAVE[],2,FALSE),"VERIFICAR"))</f>
        <v>Unidade</v>
      </c>
      <c r="L10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5" s="32" t="str">
        <f ca="1">IFERROR(VLOOKUP(MB25_VOLUMETRIA[[#This Row],[Reserva]],RES_AB[],14,FALSE),"")</f>
        <v>PLANO DO DIA</v>
      </c>
      <c r="N105" s="32" t="str">
        <f>IF(MB25_VOLUMETRIA[[#This Row],[Cen.]]="","",IFERROR(VLOOKUP(MB25_VOLUMETRIA[[#This Row],[Cen.]],Dados_Empresas[],2,FALSE),"Verificar empresa"))</f>
        <v>EMBRATEL</v>
      </c>
      <c r="O1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6" spans="1:15" x14ac:dyDescent="0.25">
      <c r="A106" s="32">
        <v>4382162</v>
      </c>
      <c r="B106" s="32" t="s">
        <v>17</v>
      </c>
      <c r="C106" s="33" t="s">
        <v>17</v>
      </c>
      <c r="D106" s="35">
        <v>45448</v>
      </c>
      <c r="E106" s="32">
        <v>221</v>
      </c>
      <c r="F106" s="32">
        <v>40000864</v>
      </c>
      <c r="G106" s="32" t="s">
        <v>384</v>
      </c>
      <c r="H106" s="26" t="s">
        <v>38</v>
      </c>
      <c r="I106" s="36">
        <v>1</v>
      </c>
      <c r="J106" s="32">
        <f>IF(MB25_VOLUMETRIA[[#This Row],[Reserva]]="","",1)</f>
        <v>1</v>
      </c>
      <c r="K106" s="36" t="str">
        <f>IF(MB25_VOLUMETRIA[[#This Row],[Reserva]]="","",IFERROR(VLOOKUP(MB25_VOLUMETRIA[[#This Row],[UMB]],CHAVE[],2,FALSE),"VERIFICAR"))</f>
        <v>Unidade</v>
      </c>
      <c r="L10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6" s="32" t="str">
        <f ca="1">IFERROR(VLOOKUP(MB25_VOLUMETRIA[[#This Row],[Reserva]],RES_AB[],14,FALSE),"")</f>
        <v>PLANO DO DIA</v>
      </c>
      <c r="N106" s="32" t="str">
        <f>IF(MB25_VOLUMETRIA[[#This Row],[Cen.]]="","",IFERROR(VLOOKUP(MB25_VOLUMETRIA[[#This Row],[Cen.]],Dados_Empresas[],2,FALSE),"Verificar empresa"))</f>
        <v>EMBRATEL</v>
      </c>
      <c r="O1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7" spans="1:15" x14ac:dyDescent="0.25">
      <c r="A107" s="32">
        <v>4382162</v>
      </c>
      <c r="B107" s="32" t="s">
        <v>17</v>
      </c>
      <c r="C107" s="33" t="s">
        <v>17</v>
      </c>
      <c r="D107" s="35">
        <v>45448</v>
      </c>
      <c r="E107" s="32">
        <v>221</v>
      </c>
      <c r="F107" s="32">
        <v>40000864</v>
      </c>
      <c r="G107" s="32" t="s">
        <v>384</v>
      </c>
      <c r="H107" s="26" t="s">
        <v>38</v>
      </c>
      <c r="I107" s="36">
        <v>1</v>
      </c>
      <c r="J107" s="32">
        <f>IF(MB25_VOLUMETRIA[[#This Row],[Reserva]]="","",1)</f>
        <v>1</v>
      </c>
      <c r="K107" s="36" t="str">
        <f>IF(MB25_VOLUMETRIA[[#This Row],[Reserva]]="","",IFERROR(VLOOKUP(MB25_VOLUMETRIA[[#This Row],[UMB]],CHAVE[],2,FALSE),"VERIFICAR"))</f>
        <v>Unidade</v>
      </c>
      <c r="L10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7" s="32" t="str">
        <f ca="1">IFERROR(VLOOKUP(MB25_VOLUMETRIA[[#This Row],[Reserva]],RES_AB[],14,FALSE),"")</f>
        <v>PLANO DO DIA</v>
      </c>
      <c r="N107" s="32" t="str">
        <f>IF(MB25_VOLUMETRIA[[#This Row],[Cen.]]="","",IFERROR(VLOOKUP(MB25_VOLUMETRIA[[#This Row],[Cen.]],Dados_Empresas[],2,FALSE),"Verificar empresa"))</f>
        <v>EMBRATEL</v>
      </c>
      <c r="O1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8" spans="1:15" x14ac:dyDescent="0.25">
      <c r="A108" s="32">
        <v>4382162</v>
      </c>
      <c r="B108" s="32" t="s">
        <v>17</v>
      </c>
      <c r="C108" s="33" t="s">
        <v>17</v>
      </c>
      <c r="D108" s="35">
        <v>45448</v>
      </c>
      <c r="E108" s="32">
        <v>221</v>
      </c>
      <c r="F108" s="32">
        <v>40000864</v>
      </c>
      <c r="G108" s="32" t="s">
        <v>384</v>
      </c>
      <c r="H108" s="26" t="s">
        <v>38</v>
      </c>
      <c r="I108" s="36">
        <v>1</v>
      </c>
      <c r="J108" s="32">
        <f>IF(MB25_VOLUMETRIA[[#This Row],[Reserva]]="","",1)</f>
        <v>1</v>
      </c>
      <c r="K108" s="36" t="str">
        <f>IF(MB25_VOLUMETRIA[[#This Row],[Reserva]]="","",IFERROR(VLOOKUP(MB25_VOLUMETRIA[[#This Row],[UMB]],CHAVE[],2,FALSE),"VERIFICAR"))</f>
        <v>Unidade</v>
      </c>
      <c r="L10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8" s="32" t="str">
        <f ca="1">IFERROR(VLOOKUP(MB25_VOLUMETRIA[[#This Row],[Reserva]],RES_AB[],14,FALSE),"")</f>
        <v>PLANO DO DIA</v>
      </c>
      <c r="N108" s="32" t="str">
        <f>IF(MB25_VOLUMETRIA[[#This Row],[Cen.]]="","",IFERROR(VLOOKUP(MB25_VOLUMETRIA[[#This Row],[Cen.]],Dados_Empresas[],2,FALSE),"Verificar empresa"))</f>
        <v>EMBRATEL</v>
      </c>
      <c r="O1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09" spans="1:15" x14ac:dyDescent="0.25">
      <c r="A109" s="32">
        <v>4382162</v>
      </c>
      <c r="B109" s="32" t="s">
        <v>17</v>
      </c>
      <c r="C109" s="33" t="s">
        <v>17</v>
      </c>
      <c r="D109" s="35">
        <v>45448</v>
      </c>
      <c r="E109" s="32">
        <v>221</v>
      </c>
      <c r="F109" s="32">
        <v>40000864</v>
      </c>
      <c r="G109" s="32" t="s">
        <v>384</v>
      </c>
      <c r="H109" s="26" t="s">
        <v>38</v>
      </c>
      <c r="I109" s="36">
        <v>1</v>
      </c>
      <c r="J109" s="32">
        <f>IF(MB25_VOLUMETRIA[[#This Row],[Reserva]]="","",1)</f>
        <v>1</v>
      </c>
      <c r="K109" s="36" t="str">
        <f>IF(MB25_VOLUMETRIA[[#This Row],[Reserva]]="","",IFERROR(VLOOKUP(MB25_VOLUMETRIA[[#This Row],[UMB]],CHAVE[],2,FALSE),"VERIFICAR"))</f>
        <v>Unidade</v>
      </c>
      <c r="L10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09" s="32" t="str">
        <f ca="1">IFERROR(VLOOKUP(MB25_VOLUMETRIA[[#This Row],[Reserva]],RES_AB[],14,FALSE),"")</f>
        <v>PLANO DO DIA</v>
      </c>
      <c r="N109" s="32" t="str">
        <f>IF(MB25_VOLUMETRIA[[#This Row],[Cen.]]="","",IFERROR(VLOOKUP(MB25_VOLUMETRIA[[#This Row],[Cen.]],Dados_Empresas[],2,FALSE),"Verificar empresa"))</f>
        <v>EMBRATEL</v>
      </c>
      <c r="O1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0" spans="1:15" x14ac:dyDescent="0.25">
      <c r="A110" s="32">
        <v>4382163</v>
      </c>
      <c r="B110" s="32" t="s">
        <v>17</v>
      </c>
      <c r="C110" s="33" t="s">
        <v>17</v>
      </c>
      <c r="D110" s="35">
        <v>45448</v>
      </c>
      <c r="E110" s="32">
        <v>221</v>
      </c>
      <c r="F110" s="32">
        <v>40000864</v>
      </c>
      <c r="G110" s="32" t="s">
        <v>384</v>
      </c>
      <c r="H110" s="26" t="s">
        <v>38</v>
      </c>
      <c r="I110" s="36">
        <v>1</v>
      </c>
      <c r="J110" s="32">
        <f>IF(MB25_VOLUMETRIA[[#This Row],[Reserva]]="","",1)</f>
        <v>1</v>
      </c>
      <c r="K110" s="36" t="str">
        <f>IF(MB25_VOLUMETRIA[[#This Row],[Reserva]]="","",IFERROR(VLOOKUP(MB25_VOLUMETRIA[[#This Row],[UMB]],CHAVE[],2,FALSE),"VERIFICAR"))</f>
        <v>Unidade</v>
      </c>
      <c r="L11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0" s="32" t="str">
        <f ca="1">IFERROR(VLOOKUP(MB25_VOLUMETRIA[[#This Row],[Reserva]],RES_AB[],14,FALSE),"")</f>
        <v>PLANO DO DIA</v>
      </c>
      <c r="N110" s="32" t="str">
        <f>IF(MB25_VOLUMETRIA[[#This Row],[Cen.]]="","",IFERROR(VLOOKUP(MB25_VOLUMETRIA[[#This Row],[Cen.]],Dados_Empresas[],2,FALSE),"Verificar empresa"))</f>
        <v>EMBRATEL</v>
      </c>
      <c r="O1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1" spans="1:15" x14ac:dyDescent="0.25">
      <c r="A111" s="32">
        <v>4382164</v>
      </c>
      <c r="B111" s="32" t="s">
        <v>17</v>
      </c>
      <c r="C111" s="33" t="s">
        <v>17</v>
      </c>
      <c r="D111" s="35">
        <v>45448</v>
      </c>
      <c r="E111" s="32">
        <v>221</v>
      </c>
      <c r="F111" s="32">
        <v>40000864</v>
      </c>
      <c r="G111" s="32" t="s">
        <v>384</v>
      </c>
      <c r="H111" s="26" t="s">
        <v>38</v>
      </c>
      <c r="I111" s="36">
        <v>1</v>
      </c>
      <c r="J111" s="32">
        <f>IF(MB25_VOLUMETRIA[[#This Row],[Reserva]]="","",1)</f>
        <v>1</v>
      </c>
      <c r="K111" s="36" t="str">
        <f>IF(MB25_VOLUMETRIA[[#This Row],[Reserva]]="","",IFERROR(VLOOKUP(MB25_VOLUMETRIA[[#This Row],[UMB]],CHAVE[],2,FALSE),"VERIFICAR"))</f>
        <v>Unidade</v>
      </c>
      <c r="L11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1" s="32" t="str">
        <f ca="1">IFERROR(VLOOKUP(MB25_VOLUMETRIA[[#This Row],[Reserva]],RES_AB[],14,FALSE),"")</f>
        <v>PLANO DO DIA</v>
      </c>
      <c r="N111" s="32" t="str">
        <f>IF(MB25_VOLUMETRIA[[#This Row],[Cen.]]="","",IFERROR(VLOOKUP(MB25_VOLUMETRIA[[#This Row],[Cen.]],Dados_Empresas[],2,FALSE),"Verificar empresa"))</f>
        <v>EMBRATEL</v>
      </c>
      <c r="O1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2" spans="1:15" x14ac:dyDescent="0.25">
      <c r="A112" s="32">
        <v>4382165</v>
      </c>
      <c r="B112" s="32" t="s">
        <v>17</v>
      </c>
      <c r="C112" s="33" t="s">
        <v>17</v>
      </c>
      <c r="D112" s="35">
        <v>45448</v>
      </c>
      <c r="E112" s="32">
        <v>221</v>
      </c>
      <c r="F112" s="32">
        <v>40000864</v>
      </c>
      <c r="G112" s="32" t="s">
        <v>384</v>
      </c>
      <c r="H112" s="26" t="s">
        <v>38</v>
      </c>
      <c r="I112" s="36">
        <v>1</v>
      </c>
      <c r="J112" s="32">
        <f>IF(MB25_VOLUMETRIA[[#This Row],[Reserva]]="","",1)</f>
        <v>1</v>
      </c>
      <c r="K112" s="36" t="str">
        <f>IF(MB25_VOLUMETRIA[[#This Row],[Reserva]]="","",IFERROR(VLOOKUP(MB25_VOLUMETRIA[[#This Row],[UMB]],CHAVE[],2,FALSE),"VERIFICAR"))</f>
        <v>Unidade</v>
      </c>
      <c r="L112" s="32" t="str">
        <f>IF(MB25_VOLUMETRIA[[#This Row],[Reserva]]="","",IFERROR(VLOOKUP(MB25_VOLUMETRIA[[#This Row],[Reserva]],Tabela3[[Reserva]:[Condição para Faturamento]],20,FALSE),"IMPORTADO COM SUCESSO"))</f>
        <v>EM SEPARAÇÃO</v>
      </c>
      <c r="M112" s="32" t="str">
        <f ca="1">IFERROR(VLOOKUP(MB25_VOLUMETRIA[[#This Row],[Reserva]],RES_AB[],14,FALSE),"")</f>
        <v>PLANO DO DIA</v>
      </c>
      <c r="N112" s="32" t="str">
        <f>IF(MB25_VOLUMETRIA[[#This Row],[Cen.]]="","",IFERROR(VLOOKUP(MB25_VOLUMETRIA[[#This Row],[Cen.]],Dados_Empresas[],2,FALSE),"Verificar empresa"))</f>
        <v>EMBRATEL</v>
      </c>
      <c r="O1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3" spans="1:15" x14ac:dyDescent="0.25">
      <c r="A113" s="32">
        <v>4382166</v>
      </c>
      <c r="B113" s="32" t="s">
        <v>17</v>
      </c>
      <c r="C113" s="33" t="s">
        <v>17</v>
      </c>
      <c r="D113" s="35">
        <v>45448</v>
      </c>
      <c r="E113" s="32">
        <v>221</v>
      </c>
      <c r="F113" s="32">
        <v>40000864</v>
      </c>
      <c r="G113" s="32" t="s">
        <v>384</v>
      </c>
      <c r="H113" s="26" t="s">
        <v>38</v>
      </c>
      <c r="I113" s="36">
        <v>1</v>
      </c>
      <c r="J113" s="32">
        <f>IF(MB25_VOLUMETRIA[[#This Row],[Reserva]]="","",1)</f>
        <v>1</v>
      </c>
      <c r="K113" s="36" t="str">
        <f>IF(MB25_VOLUMETRIA[[#This Row],[Reserva]]="","",IFERROR(VLOOKUP(MB25_VOLUMETRIA[[#This Row],[UMB]],CHAVE[],2,FALSE),"VERIFICAR"))</f>
        <v>Unidade</v>
      </c>
      <c r="L11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3" s="32" t="str">
        <f ca="1">IFERROR(VLOOKUP(MB25_VOLUMETRIA[[#This Row],[Reserva]],RES_AB[],14,FALSE),"")</f>
        <v>PLANO DO DIA</v>
      </c>
      <c r="N113" s="32" t="str">
        <f>IF(MB25_VOLUMETRIA[[#This Row],[Cen.]]="","",IFERROR(VLOOKUP(MB25_VOLUMETRIA[[#This Row],[Cen.]],Dados_Empresas[],2,FALSE),"Verificar empresa"))</f>
        <v>EMBRATEL</v>
      </c>
      <c r="O1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4" spans="1:15" x14ac:dyDescent="0.25">
      <c r="A114" s="32">
        <v>4382167</v>
      </c>
      <c r="B114" s="32" t="s">
        <v>17</v>
      </c>
      <c r="C114" s="33" t="s">
        <v>17</v>
      </c>
      <c r="D114" s="35">
        <v>45448</v>
      </c>
      <c r="E114" s="32">
        <v>221</v>
      </c>
      <c r="F114" s="32">
        <v>40000864</v>
      </c>
      <c r="G114" s="32" t="s">
        <v>384</v>
      </c>
      <c r="H114" s="26" t="s">
        <v>38</v>
      </c>
      <c r="I114" s="36">
        <v>1</v>
      </c>
      <c r="J114" s="32">
        <f>IF(MB25_VOLUMETRIA[[#This Row],[Reserva]]="","",1)</f>
        <v>1</v>
      </c>
      <c r="K114" s="36" t="str">
        <f>IF(MB25_VOLUMETRIA[[#This Row],[Reserva]]="","",IFERROR(VLOOKUP(MB25_VOLUMETRIA[[#This Row],[UMB]],CHAVE[],2,FALSE),"VERIFICAR"))</f>
        <v>Unidade</v>
      </c>
      <c r="L11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4" s="32" t="str">
        <f ca="1">IFERROR(VLOOKUP(MB25_VOLUMETRIA[[#This Row],[Reserva]],RES_AB[],14,FALSE),"")</f>
        <v>PLANO DO DIA</v>
      </c>
      <c r="N114" s="32" t="str">
        <f>IF(MB25_VOLUMETRIA[[#This Row],[Cen.]]="","",IFERROR(VLOOKUP(MB25_VOLUMETRIA[[#This Row],[Cen.]],Dados_Empresas[],2,FALSE),"Verificar empresa"))</f>
        <v>EMBRATEL</v>
      </c>
      <c r="O1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5" spans="1:15" x14ac:dyDescent="0.25">
      <c r="A115" s="32">
        <v>4382168</v>
      </c>
      <c r="B115" s="32" t="s">
        <v>17</v>
      </c>
      <c r="C115" s="33" t="s">
        <v>17</v>
      </c>
      <c r="D115" s="35">
        <v>45448</v>
      </c>
      <c r="E115" s="32">
        <v>221</v>
      </c>
      <c r="F115" s="32">
        <v>40000864</v>
      </c>
      <c r="G115" s="32" t="s">
        <v>384</v>
      </c>
      <c r="H115" s="26" t="s">
        <v>38</v>
      </c>
      <c r="I115" s="36">
        <v>1</v>
      </c>
      <c r="J115" s="32">
        <f>IF(MB25_VOLUMETRIA[[#This Row],[Reserva]]="","",1)</f>
        <v>1</v>
      </c>
      <c r="K115" s="36" t="str">
        <f>IF(MB25_VOLUMETRIA[[#This Row],[Reserva]]="","",IFERROR(VLOOKUP(MB25_VOLUMETRIA[[#This Row],[UMB]],CHAVE[],2,FALSE),"VERIFICAR"))</f>
        <v>Unidade</v>
      </c>
      <c r="L11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5" s="32" t="str">
        <f ca="1">IFERROR(VLOOKUP(MB25_VOLUMETRIA[[#This Row],[Reserva]],RES_AB[],14,FALSE),"")</f>
        <v>PLANO DO DIA</v>
      </c>
      <c r="N115" s="32" t="str">
        <f>IF(MB25_VOLUMETRIA[[#This Row],[Cen.]]="","",IFERROR(VLOOKUP(MB25_VOLUMETRIA[[#This Row],[Cen.]],Dados_Empresas[],2,FALSE),"Verificar empresa"))</f>
        <v>EMBRATEL</v>
      </c>
      <c r="O1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6" spans="1:15" x14ac:dyDescent="0.25">
      <c r="A116" s="32">
        <v>4382169</v>
      </c>
      <c r="B116" s="32" t="s">
        <v>17</v>
      </c>
      <c r="C116" s="33" t="s">
        <v>17</v>
      </c>
      <c r="D116" s="35">
        <v>45448</v>
      </c>
      <c r="E116" s="32">
        <v>221</v>
      </c>
      <c r="F116" s="32">
        <v>40000864</v>
      </c>
      <c r="G116" s="32" t="s">
        <v>384</v>
      </c>
      <c r="H116" s="26" t="s">
        <v>38</v>
      </c>
      <c r="I116" s="36">
        <v>1</v>
      </c>
      <c r="J116" s="32">
        <f>IF(MB25_VOLUMETRIA[[#This Row],[Reserva]]="","",1)</f>
        <v>1</v>
      </c>
      <c r="K116" s="36" t="str">
        <f>IF(MB25_VOLUMETRIA[[#This Row],[Reserva]]="","",IFERROR(VLOOKUP(MB25_VOLUMETRIA[[#This Row],[UMB]],CHAVE[],2,FALSE),"VERIFICAR"))</f>
        <v>Unidade</v>
      </c>
      <c r="L11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6" s="32" t="str">
        <f ca="1">IFERROR(VLOOKUP(MB25_VOLUMETRIA[[#This Row],[Reserva]],RES_AB[],14,FALSE),"")</f>
        <v>PLANO DO DIA</v>
      </c>
      <c r="N116" s="32" t="str">
        <f>IF(MB25_VOLUMETRIA[[#This Row],[Cen.]]="","",IFERROR(VLOOKUP(MB25_VOLUMETRIA[[#This Row],[Cen.]],Dados_Empresas[],2,FALSE),"Verificar empresa"))</f>
        <v>EMBRATEL</v>
      </c>
      <c r="O1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7" spans="1:15" x14ac:dyDescent="0.25">
      <c r="A117" s="32">
        <v>4382170</v>
      </c>
      <c r="B117" s="32" t="s">
        <v>17</v>
      </c>
      <c r="C117" s="33" t="s">
        <v>17</v>
      </c>
      <c r="D117" s="35">
        <v>45448</v>
      </c>
      <c r="E117" s="32">
        <v>221</v>
      </c>
      <c r="F117" s="32">
        <v>40000864</v>
      </c>
      <c r="G117" s="32" t="s">
        <v>384</v>
      </c>
      <c r="H117" s="26" t="s">
        <v>38</v>
      </c>
      <c r="I117" s="36">
        <v>1</v>
      </c>
      <c r="J117" s="32">
        <f>IF(MB25_VOLUMETRIA[[#This Row],[Reserva]]="","",1)</f>
        <v>1</v>
      </c>
      <c r="K117" s="36" t="str">
        <f>IF(MB25_VOLUMETRIA[[#This Row],[Reserva]]="","",IFERROR(VLOOKUP(MB25_VOLUMETRIA[[#This Row],[UMB]],CHAVE[],2,FALSE),"VERIFICAR"))</f>
        <v>Unidade</v>
      </c>
      <c r="L11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7" s="32" t="str">
        <f ca="1">IFERROR(VLOOKUP(MB25_VOLUMETRIA[[#This Row],[Reserva]],RES_AB[],14,FALSE),"")</f>
        <v>PLANO DO DIA</v>
      </c>
      <c r="N117" s="32" t="str">
        <f>IF(MB25_VOLUMETRIA[[#This Row],[Cen.]]="","",IFERROR(VLOOKUP(MB25_VOLUMETRIA[[#This Row],[Cen.]],Dados_Empresas[],2,FALSE),"Verificar empresa"))</f>
        <v>EMBRATEL</v>
      </c>
      <c r="O1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8" spans="1:15" x14ac:dyDescent="0.25">
      <c r="A118" s="32">
        <v>4382171</v>
      </c>
      <c r="B118" s="32" t="s">
        <v>17</v>
      </c>
      <c r="C118" s="33" t="s">
        <v>17</v>
      </c>
      <c r="D118" s="35">
        <v>45448</v>
      </c>
      <c r="E118" s="32">
        <v>301</v>
      </c>
      <c r="F118" s="32">
        <v>40000864</v>
      </c>
      <c r="G118" s="32" t="s">
        <v>384</v>
      </c>
      <c r="H118" s="26" t="s">
        <v>38</v>
      </c>
      <c r="I118" s="36">
        <v>1</v>
      </c>
      <c r="J118" s="32">
        <f>IF(MB25_VOLUMETRIA[[#This Row],[Reserva]]="","",1)</f>
        <v>1</v>
      </c>
      <c r="K118" s="36" t="str">
        <f>IF(MB25_VOLUMETRIA[[#This Row],[Reserva]]="","",IFERROR(VLOOKUP(MB25_VOLUMETRIA[[#This Row],[UMB]],CHAVE[],2,FALSE),"VERIFICAR"))</f>
        <v>Unidade</v>
      </c>
      <c r="L11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8" s="32" t="str">
        <f ca="1">IFERROR(VLOOKUP(MB25_VOLUMETRIA[[#This Row],[Reserva]],RES_AB[],14,FALSE),"")</f>
        <v>PLANO DO DIA</v>
      </c>
      <c r="N118" s="32" t="str">
        <f>IF(MB25_VOLUMETRIA[[#This Row],[Cen.]]="","",IFERROR(VLOOKUP(MB25_VOLUMETRIA[[#This Row],[Cen.]],Dados_Empresas[],2,FALSE),"Verificar empresa"))</f>
        <v>EMBRATEL</v>
      </c>
      <c r="O1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19" spans="1:15" x14ac:dyDescent="0.25">
      <c r="A119" s="32">
        <v>4382172</v>
      </c>
      <c r="B119" s="32" t="s">
        <v>17</v>
      </c>
      <c r="C119" s="33" t="s">
        <v>17</v>
      </c>
      <c r="D119" s="35">
        <v>45448</v>
      </c>
      <c r="E119" s="32">
        <v>301</v>
      </c>
      <c r="F119" s="32">
        <v>40000864</v>
      </c>
      <c r="G119" s="32" t="s">
        <v>384</v>
      </c>
      <c r="H119" s="26" t="s">
        <v>38</v>
      </c>
      <c r="I119" s="36">
        <v>1</v>
      </c>
      <c r="J119" s="32">
        <f>IF(MB25_VOLUMETRIA[[#This Row],[Reserva]]="","",1)</f>
        <v>1</v>
      </c>
      <c r="K119" s="36" t="str">
        <f>IF(MB25_VOLUMETRIA[[#This Row],[Reserva]]="","",IFERROR(VLOOKUP(MB25_VOLUMETRIA[[#This Row],[UMB]],CHAVE[],2,FALSE),"VERIFICAR"))</f>
        <v>Unidade</v>
      </c>
      <c r="L11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19" s="32" t="str">
        <f ca="1">IFERROR(VLOOKUP(MB25_VOLUMETRIA[[#This Row],[Reserva]],RES_AB[],14,FALSE),"")</f>
        <v>PLANO DO DIA</v>
      </c>
      <c r="N119" s="32" t="str">
        <f>IF(MB25_VOLUMETRIA[[#This Row],[Cen.]]="","",IFERROR(VLOOKUP(MB25_VOLUMETRIA[[#This Row],[Cen.]],Dados_Empresas[],2,FALSE),"Verificar empresa"))</f>
        <v>EMBRATEL</v>
      </c>
      <c r="O1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0" spans="1:15" x14ac:dyDescent="0.25">
      <c r="A120" s="32">
        <v>4382285</v>
      </c>
      <c r="B120" s="32" t="s">
        <v>17</v>
      </c>
      <c r="C120" s="33" t="s">
        <v>17</v>
      </c>
      <c r="D120" s="35">
        <v>45449</v>
      </c>
      <c r="E120" s="32">
        <v>221</v>
      </c>
      <c r="F120" s="32">
        <v>30062332</v>
      </c>
      <c r="G120" s="32" t="s">
        <v>415</v>
      </c>
      <c r="H120" s="26" t="s">
        <v>38</v>
      </c>
      <c r="I120" s="36">
        <v>1</v>
      </c>
      <c r="J120" s="32">
        <f>IF(MB25_VOLUMETRIA[[#This Row],[Reserva]]="","",1)</f>
        <v>1</v>
      </c>
      <c r="K120" s="36" t="str">
        <f>IF(MB25_VOLUMETRIA[[#This Row],[Reserva]]="","",IFERROR(VLOOKUP(MB25_VOLUMETRIA[[#This Row],[UMB]],CHAVE[],2,FALSE),"VERIFICAR"))</f>
        <v>Unidade</v>
      </c>
      <c r="L1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20" s="32" t="str">
        <f ca="1">IFERROR(VLOOKUP(MB25_VOLUMETRIA[[#This Row],[Reserva]],RES_AB[],14,FALSE),"")</f>
        <v>RESERVAS PENDENTES</v>
      </c>
      <c r="N120" s="32" t="str">
        <f>IF(MB25_VOLUMETRIA[[#This Row],[Cen.]]="","",IFERROR(VLOOKUP(MB25_VOLUMETRIA[[#This Row],[Cen.]],Dados_Empresas[],2,FALSE),"Verificar empresa"))</f>
        <v>EMBRATEL</v>
      </c>
      <c r="O1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1" spans="1:15" x14ac:dyDescent="0.25">
      <c r="A121" s="32">
        <v>4382701</v>
      </c>
      <c r="B121" s="32" t="s">
        <v>17</v>
      </c>
      <c r="C121" s="33" t="s">
        <v>17</v>
      </c>
      <c r="D121" s="35">
        <v>45449</v>
      </c>
      <c r="E121" s="32">
        <v>221</v>
      </c>
      <c r="F121" s="32">
        <v>30062332</v>
      </c>
      <c r="G121" s="32" t="s">
        <v>415</v>
      </c>
      <c r="H121" s="26" t="s">
        <v>38</v>
      </c>
      <c r="I121" s="36">
        <v>3</v>
      </c>
      <c r="J121" s="32">
        <f>IF(MB25_VOLUMETRIA[[#This Row],[Reserva]]="","",1)</f>
        <v>1</v>
      </c>
      <c r="K121" s="36" t="str">
        <f>IF(MB25_VOLUMETRIA[[#This Row],[Reserva]]="","",IFERROR(VLOOKUP(MB25_VOLUMETRIA[[#This Row],[UMB]],CHAVE[],2,FALSE),"VERIFICAR"))</f>
        <v>Unidade</v>
      </c>
      <c r="L1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21" s="32" t="str">
        <f ca="1">IFERROR(VLOOKUP(MB25_VOLUMETRIA[[#This Row],[Reserva]],RES_AB[],14,FALSE),"")</f>
        <v>RESERVAS PENDENTES</v>
      </c>
      <c r="N121" s="32" t="str">
        <f>IF(MB25_VOLUMETRIA[[#This Row],[Cen.]]="","",IFERROR(VLOOKUP(MB25_VOLUMETRIA[[#This Row],[Cen.]],Dados_Empresas[],2,FALSE),"Verificar empresa"))</f>
        <v>EMBRATEL</v>
      </c>
      <c r="O1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2" spans="1:15" x14ac:dyDescent="0.25">
      <c r="A122" s="32">
        <v>4382702</v>
      </c>
      <c r="B122" s="32" t="s">
        <v>17</v>
      </c>
      <c r="C122" s="33" t="s">
        <v>17</v>
      </c>
      <c r="D122" s="35">
        <v>45449</v>
      </c>
      <c r="E122" s="32">
        <v>221</v>
      </c>
      <c r="F122" s="32">
        <v>40000864</v>
      </c>
      <c r="G122" s="32" t="s">
        <v>384</v>
      </c>
      <c r="H122" s="26" t="s">
        <v>38</v>
      </c>
      <c r="I122" s="36">
        <v>1</v>
      </c>
      <c r="J122" s="32">
        <f>IF(MB25_VOLUMETRIA[[#This Row],[Reserva]]="","",1)</f>
        <v>1</v>
      </c>
      <c r="K122" s="36" t="str">
        <f>IF(MB25_VOLUMETRIA[[#This Row],[Reserva]]="","",IFERROR(VLOOKUP(MB25_VOLUMETRIA[[#This Row],[UMB]],CHAVE[],2,FALSE),"VERIFICAR"))</f>
        <v>Unidade</v>
      </c>
      <c r="L122" s="32" t="str">
        <f>IF(MB25_VOLUMETRIA[[#This Row],[Reserva]]="","",IFERROR(VLOOKUP(MB25_VOLUMETRIA[[#This Row],[Reserva]],Tabela3[[Reserva]:[Condição para Faturamento]],20,FALSE),"IMPORTADO COM SUCESSO"))</f>
        <v>EM RESSUPRIMENTO</v>
      </c>
      <c r="M122" s="32" t="str">
        <f ca="1">IFERROR(VLOOKUP(MB25_VOLUMETRIA[[#This Row],[Reserva]],RES_AB[],14,FALSE),"")</f>
        <v>RESERVAS PENDENTES</v>
      </c>
      <c r="N122" s="32" t="str">
        <f>IF(MB25_VOLUMETRIA[[#This Row],[Cen.]]="","",IFERROR(VLOOKUP(MB25_VOLUMETRIA[[#This Row],[Cen.]],Dados_Empresas[],2,FALSE),"Verificar empresa"))</f>
        <v>EMBRATEL</v>
      </c>
      <c r="O1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3" spans="1:15" x14ac:dyDescent="0.25">
      <c r="A123" s="32">
        <v>4382703</v>
      </c>
      <c r="B123" s="32" t="s">
        <v>17</v>
      </c>
      <c r="C123" s="33" t="s">
        <v>17</v>
      </c>
      <c r="D123" s="35">
        <v>45449</v>
      </c>
      <c r="E123" s="32">
        <v>221</v>
      </c>
      <c r="F123" s="32">
        <v>40000864</v>
      </c>
      <c r="G123" s="32" t="s">
        <v>384</v>
      </c>
      <c r="H123" s="26" t="s">
        <v>38</v>
      </c>
      <c r="I123" s="36">
        <v>1</v>
      </c>
      <c r="J123" s="32">
        <f>IF(MB25_VOLUMETRIA[[#This Row],[Reserva]]="","",1)</f>
        <v>1</v>
      </c>
      <c r="K123" s="36" t="str">
        <f>IF(MB25_VOLUMETRIA[[#This Row],[Reserva]]="","",IFERROR(VLOOKUP(MB25_VOLUMETRIA[[#This Row],[UMB]],CHAVE[],2,FALSE),"VERIFICAR"))</f>
        <v>Unidade</v>
      </c>
      <c r="L123" s="32" t="str">
        <f>IF(MB25_VOLUMETRIA[[#This Row],[Reserva]]="","",IFERROR(VLOOKUP(MB25_VOLUMETRIA[[#This Row],[Reserva]],Tabela3[[Reserva]:[Condição para Faturamento]],20,FALSE),"IMPORTADO COM SUCESSO"))</f>
        <v>EM RESSUPRIMENTO</v>
      </c>
      <c r="M123" s="32" t="str">
        <f ca="1">IFERROR(VLOOKUP(MB25_VOLUMETRIA[[#This Row],[Reserva]],RES_AB[],14,FALSE),"")</f>
        <v>RESERVAS PENDENTES</v>
      </c>
      <c r="N123" s="32" t="str">
        <f>IF(MB25_VOLUMETRIA[[#This Row],[Cen.]]="","",IFERROR(VLOOKUP(MB25_VOLUMETRIA[[#This Row],[Cen.]],Dados_Empresas[],2,FALSE),"Verificar empresa"))</f>
        <v>EMBRATEL</v>
      </c>
      <c r="O1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4" spans="1:15" x14ac:dyDescent="0.25">
      <c r="A124" s="32">
        <v>4382704</v>
      </c>
      <c r="B124" s="32" t="s">
        <v>17</v>
      </c>
      <c r="C124" s="33" t="s">
        <v>17</v>
      </c>
      <c r="D124" s="35">
        <v>45449</v>
      </c>
      <c r="E124" s="32">
        <v>221</v>
      </c>
      <c r="F124" s="32">
        <v>40000864</v>
      </c>
      <c r="G124" s="32" t="s">
        <v>384</v>
      </c>
      <c r="H124" s="26" t="s">
        <v>38</v>
      </c>
      <c r="I124" s="36">
        <v>1</v>
      </c>
      <c r="J124" s="32">
        <f>IF(MB25_VOLUMETRIA[[#This Row],[Reserva]]="","",1)</f>
        <v>1</v>
      </c>
      <c r="K124" s="36" t="str">
        <f>IF(MB25_VOLUMETRIA[[#This Row],[Reserva]]="","",IFERROR(VLOOKUP(MB25_VOLUMETRIA[[#This Row],[UMB]],CHAVE[],2,FALSE),"VERIFICAR"))</f>
        <v>Unidade</v>
      </c>
      <c r="L124" s="32" t="str">
        <f>IF(MB25_VOLUMETRIA[[#This Row],[Reserva]]="","",IFERROR(VLOOKUP(MB25_VOLUMETRIA[[#This Row],[Reserva]],Tabela3[[Reserva]:[Condição para Faturamento]],20,FALSE),"IMPORTADO COM SUCESSO"))</f>
        <v>EM RESSUPRIMENTO</v>
      </c>
      <c r="M124" s="32" t="str">
        <f ca="1">IFERROR(VLOOKUP(MB25_VOLUMETRIA[[#This Row],[Reserva]],RES_AB[],14,FALSE),"")</f>
        <v>RESERVAS PENDENTES</v>
      </c>
      <c r="N124" s="32" t="str">
        <f>IF(MB25_VOLUMETRIA[[#This Row],[Cen.]]="","",IFERROR(VLOOKUP(MB25_VOLUMETRIA[[#This Row],[Cen.]],Dados_Empresas[],2,FALSE),"Verificar empresa"))</f>
        <v>EMBRATEL</v>
      </c>
      <c r="O1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5" spans="1:15" x14ac:dyDescent="0.25">
      <c r="A125" s="32">
        <v>4382705</v>
      </c>
      <c r="B125" s="32" t="s">
        <v>17</v>
      </c>
      <c r="C125" s="33" t="s">
        <v>17</v>
      </c>
      <c r="D125" s="35">
        <v>45449</v>
      </c>
      <c r="E125" s="32">
        <v>221</v>
      </c>
      <c r="F125" s="32">
        <v>40000864</v>
      </c>
      <c r="G125" s="32" t="s">
        <v>384</v>
      </c>
      <c r="H125" s="26" t="s">
        <v>38</v>
      </c>
      <c r="I125" s="36">
        <v>1</v>
      </c>
      <c r="J125" s="32">
        <f>IF(MB25_VOLUMETRIA[[#This Row],[Reserva]]="","",1)</f>
        <v>1</v>
      </c>
      <c r="K125" s="36" t="str">
        <f>IF(MB25_VOLUMETRIA[[#This Row],[Reserva]]="","",IFERROR(VLOOKUP(MB25_VOLUMETRIA[[#This Row],[UMB]],CHAVE[],2,FALSE),"VERIFICAR"))</f>
        <v>Unidade</v>
      </c>
      <c r="L125" s="32" t="str">
        <f>IF(MB25_VOLUMETRIA[[#This Row],[Reserva]]="","",IFERROR(VLOOKUP(MB25_VOLUMETRIA[[#This Row],[Reserva]],Tabela3[[Reserva]:[Condição para Faturamento]],20,FALSE),"IMPORTADO COM SUCESSO"))</f>
        <v>EM RESSUPRIMENTO</v>
      </c>
      <c r="M125" s="32" t="str">
        <f ca="1">IFERROR(VLOOKUP(MB25_VOLUMETRIA[[#This Row],[Reserva]],RES_AB[],14,FALSE),"")</f>
        <v>RESERVAS PENDENTES</v>
      </c>
      <c r="N125" s="32" t="str">
        <f>IF(MB25_VOLUMETRIA[[#This Row],[Cen.]]="","",IFERROR(VLOOKUP(MB25_VOLUMETRIA[[#This Row],[Cen.]],Dados_Empresas[],2,FALSE),"Verificar empresa"))</f>
        <v>EMBRATEL</v>
      </c>
      <c r="O1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6" spans="1:15" x14ac:dyDescent="0.25">
      <c r="A126" s="32">
        <v>4382717</v>
      </c>
      <c r="B126" s="32" t="s">
        <v>17</v>
      </c>
      <c r="C126" s="33" t="s">
        <v>17</v>
      </c>
      <c r="D126" s="35">
        <v>45449</v>
      </c>
      <c r="E126" s="32">
        <v>221</v>
      </c>
      <c r="F126" s="32">
        <v>30055396</v>
      </c>
      <c r="G126" s="32" t="s">
        <v>416</v>
      </c>
      <c r="H126" s="26" t="s">
        <v>38</v>
      </c>
      <c r="I126" s="36">
        <v>1</v>
      </c>
      <c r="J126" s="32">
        <f>IF(MB25_VOLUMETRIA[[#This Row],[Reserva]]="","",1)</f>
        <v>1</v>
      </c>
      <c r="K126" s="36" t="str">
        <f>IF(MB25_VOLUMETRIA[[#This Row],[Reserva]]="","",IFERROR(VLOOKUP(MB25_VOLUMETRIA[[#This Row],[UMB]],CHAVE[],2,FALSE),"VERIFICAR"))</f>
        <v>Unidade</v>
      </c>
      <c r="L12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126" s="32" t="str">
        <f ca="1">IFERROR(VLOOKUP(MB25_VOLUMETRIA[[#This Row],[Reserva]],RES_AB[],14,FALSE),"")</f>
        <v>RESERVAS PENDENTES</v>
      </c>
      <c r="N126" s="32" t="str">
        <f>IF(MB25_VOLUMETRIA[[#This Row],[Cen.]]="","",IFERROR(VLOOKUP(MB25_VOLUMETRIA[[#This Row],[Cen.]],Dados_Empresas[],2,FALSE),"Verificar empresa"))</f>
        <v>EMBRATEL</v>
      </c>
      <c r="O1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7" spans="1:15" x14ac:dyDescent="0.25">
      <c r="A127" s="32">
        <v>4382729</v>
      </c>
      <c r="B127" s="32" t="s">
        <v>17</v>
      </c>
      <c r="C127" s="33" t="s">
        <v>17</v>
      </c>
      <c r="D127" s="35">
        <v>45449</v>
      </c>
      <c r="E127" s="32">
        <v>221</v>
      </c>
      <c r="F127" s="32">
        <v>30062332</v>
      </c>
      <c r="G127" s="32" t="s">
        <v>415</v>
      </c>
      <c r="H127" s="26" t="s">
        <v>38</v>
      </c>
      <c r="I127" s="36">
        <v>1</v>
      </c>
      <c r="J127" s="32">
        <f>IF(MB25_VOLUMETRIA[[#This Row],[Reserva]]="","",1)</f>
        <v>1</v>
      </c>
      <c r="K127" s="36" t="str">
        <f>IF(MB25_VOLUMETRIA[[#This Row],[Reserva]]="","",IFERROR(VLOOKUP(MB25_VOLUMETRIA[[#This Row],[UMB]],CHAVE[],2,FALSE),"VERIFICAR"))</f>
        <v>Unidade</v>
      </c>
      <c r="L127" s="32" t="str">
        <f>IF(MB25_VOLUMETRIA[[#This Row],[Reserva]]="","",IFERROR(VLOOKUP(MB25_VOLUMETRIA[[#This Row],[Reserva]],Tabela3[[Reserva]:[Condição para Faturamento]],20,FALSE),"IMPORTADO COM SUCESSO"))</f>
        <v>EM SEPARAÇÃO</v>
      </c>
      <c r="M127" s="32" t="str">
        <f ca="1">IFERROR(VLOOKUP(MB25_VOLUMETRIA[[#This Row],[Reserva]],RES_AB[],14,FALSE),"")</f>
        <v>RESERVAS PENDENTES</v>
      </c>
      <c r="N127" s="32" t="str">
        <f>IF(MB25_VOLUMETRIA[[#This Row],[Cen.]]="","",IFERROR(VLOOKUP(MB25_VOLUMETRIA[[#This Row],[Cen.]],Dados_Empresas[],2,FALSE),"Verificar empresa"))</f>
        <v>EMBRATEL</v>
      </c>
      <c r="O1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8" spans="1:15" x14ac:dyDescent="0.25">
      <c r="A128" s="32">
        <v>4382730</v>
      </c>
      <c r="B128" s="32" t="s">
        <v>17</v>
      </c>
      <c r="C128" s="33" t="s">
        <v>17</v>
      </c>
      <c r="D128" s="35">
        <v>45449</v>
      </c>
      <c r="E128" s="32">
        <v>221</v>
      </c>
      <c r="F128" s="32">
        <v>30062332</v>
      </c>
      <c r="G128" s="32" t="s">
        <v>415</v>
      </c>
      <c r="H128" s="26" t="s">
        <v>38</v>
      </c>
      <c r="I128" s="36">
        <v>2</v>
      </c>
      <c r="J128" s="32">
        <f>IF(MB25_VOLUMETRIA[[#This Row],[Reserva]]="","",1)</f>
        <v>1</v>
      </c>
      <c r="K128" s="36" t="str">
        <f>IF(MB25_VOLUMETRIA[[#This Row],[Reserva]]="","",IFERROR(VLOOKUP(MB25_VOLUMETRIA[[#This Row],[UMB]],CHAVE[],2,FALSE),"VERIFICAR"))</f>
        <v>Unidade</v>
      </c>
      <c r="L1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28" s="32" t="str">
        <f ca="1">IFERROR(VLOOKUP(MB25_VOLUMETRIA[[#This Row],[Reserva]],RES_AB[],14,FALSE),"")</f>
        <v>RESERVAS PENDENTES</v>
      </c>
      <c r="N128" s="32" t="str">
        <f>IF(MB25_VOLUMETRIA[[#This Row],[Cen.]]="","",IFERROR(VLOOKUP(MB25_VOLUMETRIA[[#This Row],[Cen.]],Dados_Empresas[],2,FALSE),"Verificar empresa"))</f>
        <v>EMBRATEL</v>
      </c>
      <c r="O1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29" spans="1:15" x14ac:dyDescent="0.25">
      <c r="A129" s="32">
        <v>4382763</v>
      </c>
      <c r="B129" s="32" t="s">
        <v>17</v>
      </c>
      <c r="C129" s="33" t="s">
        <v>17</v>
      </c>
      <c r="D129" s="35">
        <v>45449</v>
      </c>
      <c r="E129" s="32">
        <v>201</v>
      </c>
      <c r="F129" s="32">
        <v>252815</v>
      </c>
      <c r="G129" s="32" t="s">
        <v>219</v>
      </c>
      <c r="H129" s="26" t="s">
        <v>38</v>
      </c>
      <c r="I129" s="36">
        <v>480</v>
      </c>
      <c r="J129" s="32">
        <f>IF(MB25_VOLUMETRIA[[#This Row],[Reserva]]="","",1)</f>
        <v>1</v>
      </c>
      <c r="K129" s="36" t="str">
        <f>IF(MB25_VOLUMETRIA[[#This Row],[Reserva]]="","",IFERROR(VLOOKUP(MB25_VOLUMETRIA[[#This Row],[UMB]],CHAVE[],2,FALSE),"VERIFICAR"))</f>
        <v>Unidade</v>
      </c>
      <c r="L129" s="32" t="str">
        <f>IF(MB25_VOLUMETRIA[[#This Row],[Reserva]]="","",IFERROR(VLOOKUP(MB25_VOLUMETRIA[[#This Row],[Reserva]],Tabela3[[Reserva]:[Condição para Faturamento]],20,FALSE),"IMPORTADO COM SUCESSO"))</f>
        <v>EM RESSUPRIMENTO</v>
      </c>
      <c r="M129" s="32" t="str">
        <f ca="1">IFERROR(VLOOKUP(MB25_VOLUMETRIA[[#This Row],[Reserva]],RES_AB[],14,FALSE),"")</f>
        <v>RESERVAS PENDENTES</v>
      </c>
      <c r="N129" s="32" t="str">
        <f>IF(MB25_VOLUMETRIA[[#This Row],[Cen.]]="","",IFERROR(VLOOKUP(MB25_VOLUMETRIA[[#This Row],[Cen.]],Dados_Empresas[],2,FALSE),"Verificar empresa"))</f>
        <v>EMBRATEL</v>
      </c>
      <c r="O1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0" spans="1:15" x14ac:dyDescent="0.25">
      <c r="A130" s="32">
        <v>4382763</v>
      </c>
      <c r="B130" s="32" t="s">
        <v>17</v>
      </c>
      <c r="C130" s="33" t="s">
        <v>17</v>
      </c>
      <c r="D130" s="35">
        <v>45449</v>
      </c>
      <c r="E130" s="32">
        <v>201</v>
      </c>
      <c r="F130" s="32">
        <v>252900</v>
      </c>
      <c r="G130" s="32" t="s">
        <v>274</v>
      </c>
      <c r="H130" s="26" t="s">
        <v>38</v>
      </c>
      <c r="I130" s="36">
        <v>5</v>
      </c>
      <c r="J130" s="32">
        <f>IF(MB25_VOLUMETRIA[[#This Row],[Reserva]]="","",1)</f>
        <v>1</v>
      </c>
      <c r="K130" s="36" t="str">
        <f>IF(MB25_VOLUMETRIA[[#This Row],[Reserva]]="","",IFERROR(VLOOKUP(MB25_VOLUMETRIA[[#This Row],[UMB]],CHAVE[],2,FALSE),"VERIFICAR"))</f>
        <v>Unidade</v>
      </c>
      <c r="L130" s="32" t="str">
        <f>IF(MB25_VOLUMETRIA[[#This Row],[Reserva]]="","",IFERROR(VLOOKUP(MB25_VOLUMETRIA[[#This Row],[Reserva]],Tabela3[[Reserva]:[Condição para Faturamento]],20,FALSE),"IMPORTADO COM SUCESSO"))</f>
        <v>EM RESSUPRIMENTO</v>
      </c>
      <c r="M130" s="32" t="str">
        <f ca="1">IFERROR(VLOOKUP(MB25_VOLUMETRIA[[#This Row],[Reserva]],RES_AB[],14,FALSE),"")</f>
        <v>RESERVAS PENDENTES</v>
      </c>
      <c r="N130" s="32" t="str">
        <f>IF(MB25_VOLUMETRIA[[#This Row],[Cen.]]="","",IFERROR(VLOOKUP(MB25_VOLUMETRIA[[#This Row],[Cen.]],Dados_Empresas[],2,FALSE),"Verificar empresa"))</f>
        <v>EMBRATEL</v>
      </c>
      <c r="O1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1" spans="1:15" x14ac:dyDescent="0.25">
      <c r="A131" s="32">
        <v>4382763</v>
      </c>
      <c r="B131" s="32" t="s">
        <v>17</v>
      </c>
      <c r="C131" s="33" t="s">
        <v>17</v>
      </c>
      <c r="D131" s="35">
        <v>45449</v>
      </c>
      <c r="E131" s="32">
        <v>201</v>
      </c>
      <c r="F131" s="32">
        <v>254499</v>
      </c>
      <c r="G131" s="32" t="s">
        <v>281</v>
      </c>
      <c r="H131" s="26" t="s">
        <v>38</v>
      </c>
      <c r="I131" s="36">
        <v>1000</v>
      </c>
      <c r="J131" s="32">
        <f>IF(MB25_VOLUMETRIA[[#This Row],[Reserva]]="","",1)</f>
        <v>1</v>
      </c>
      <c r="K131" s="36" t="str">
        <f>IF(MB25_VOLUMETRIA[[#This Row],[Reserva]]="","",IFERROR(VLOOKUP(MB25_VOLUMETRIA[[#This Row],[UMB]],CHAVE[],2,FALSE),"VERIFICAR"))</f>
        <v>Unidade</v>
      </c>
      <c r="L131" s="32" t="str">
        <f>IF(MB25_VOLUMETRIA[[#This Row],[Reserva]]="","",IFERROR(VLOOKUP(MB25_VOLUMETRIA[[#This Row],[Reserva]],Tabela3[[Reserva]:[Condição para Faturamento]],20,FALSE),"IMPORTADO COM SUCESSO"))</f>
        <v>EM RESSUPRIMENTO</v>
      </c>
      <c r="M131" s="32" t="str">
        <f ca="1">IFERROR(VLOOKUP(MB25_VOLUMETRIA[[#This Row],[Reserva]],RES_AB[],14,FALSE),"")</f>
        <v>RESERVAS PENDENTES</v>
      </c>
      <c r="N131" s="32" t="str">
        <f>IF(MB25_VOLUMETRIA[[#This Row],[Cen.]]="","",IFERROR(VLOOKUP(MB25_VOLUMETRIA[[#This Row],[Cen.]],Dados_Empresas[],2,FALSE),"Verificar empresa"))</f>
        <v>EMBRATEL</v>
      </c>
      <c r="O1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2" spans="1:15" x14ac:dyDescent="0.25">
      <c r="A132" s="32">
        <v>4382763</v>
      </c>
      <c r="B132" s="32" t="s">
        <v>17</v>
      </c>
      <c r="C132" s="33" t="s">
        <v>17</v>
      </c>
      <c r="D132" s="35">
        <v>45449</v>
      </c>
      <c r="E132" s="32">
        <v>201</v>
      </c>
      <c r="F132" s="32">
        <v>254491</v>
      </c>
      <c r="G132" s="32" t="s">
        <v>300</v>
      </c>
      <c r="H132" s="26" t="s">
        <v>38</v>
      </c>
      <c r="I132" s="36">
        <v>30</v>
      </c>
      <c r="J132" s="32">
        <f>IF(MB25_VOLUMETRIA[[#This Row],[Reserva]]="","",1)</f>
        <v>1</v>
      </c>
      <c r="K132" s="36" t="str">
        <f>IF(MB25_VOLUMETRIA[[#This Row],[Reserva]]="","",IFERROR(VLOOKUP(MB25_VOLUMETRIA[[#This Row],[UMB]],CHAVE[],2,FALSE),"VERIFICAR"))</f>
        <v>Unidade</v>
      </c>
      <c r="L132" s="32" t="str">
        <f>IF(MB25_VOLUMETRIA[[#This Row],[Reserva]]="","",IFERROR(VLOOKUP(MB25_VOLUMETRIA[[#This Row],[Reserva]],Tabela3[[Reserva]:[Condição para Faturamento]],20,FALSE),"IMPORTADO COM SUCESSO"))</f>
        <v>EM RESSUPRIMENTO</v>
      </c>
      <c r="M132" s="32" t="str">
        <f ca="1">IFERROR(VLOOKUP(MB25_VOLUMETRIA[[#This Row],[Reserva]],RES_AB[],14,FALSE),"")</f>
        <v>RESERVAS PENDENTES</v>
      </c>
      <c r="N132" s="32" t="str">
        <f>IF(MB25_VOLUMETRIA[[#This Row],[Cen.]]="","",IFERROR(VLOOKUP(MB25_VOLUMETRIA[[#This Row],[Cen.]],Dados_Empresas[],2,FALSE),"Verificar empresa"))</f>
        <v>EMBRATEL</v>
      </c>
      <c r="O1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3" spans="1:15" x14ac:dyDescent="0.25">
      <c r="A133" s="32">
        <v>4382763</v>
      </c>
      <c r="B133" s="32" t="s">
        <v>17</v>
      </c>
      <c r="C133" s="33" t="s">
        <v>17</v>
      </c>
      <c r="D133" s="35">
        <v>45449</v>
      </c>
      <c r="E133" s="32">
        <v>201</v>
      </c>
      <c r="F133" s="32">
        <v>253496</v>
      </c>
      <c r="G133" s="32" t="s">
        <v>207</v>
      </c>
      <c r="H133" s="26" t="s">
        <v>38</v>
      </c>
      <c r="I133" s="36">
        <v>5</v>
      </c>
      <c r="J133" s="32">
        <f>IF(MB25_VOLUMETRIA[[#This Row],[Reserva]]="","",1)</f>
        <v>1</v>
      </c>
      <c r="K133" s="36" t="str">
        <f>IF(MB25_VOLUMETRIA[[#This Row],[Reserva]]="","",IFERROR(VLOOKUP(MB25_VOLUMETRIA[[#This Row],[UMB]],CHAVE[],2,FALSE),"VERIFICAR"))</f>
        <v>Unidade</v>
      </c>
      <c r="L133" s="32" t="str">
        <f>IF(MB25_VOLUMETRIA[[#This Row],[Reserva]]="","",IFERROR(VLOOKUP(MB25_VOLUMETRIA[[#This Row],[Reserva]],Tabela3[[Reserva]:[Condição para Faturamento]],20,FALSE),"IMPORTADO COM SUCESSO"))</f>
        <v>EM RESSUPRIMENTO</v>
      </c>
      <c r="M133" s="32" t="str">
        <f ca="1">IFERROR(VLOOKUP(MB25_VOLUMETRIA[[#This Row],[Reserva]],RES_AB[],14,FALSE),"")</f>
        <v>RESERVAS PENDENTES</v>
      </c>
      <c r="N133" s="32" t="str">
        <f>IF(MB25_VOLUMETRIA[[#This Row],[Cen.]]="","",IFERROR(VLOOKUP(MB25_VOLUMETRIA[[#This Row],[Cen.]],Dados_Empresas[],2,FALSE),"Verificar empresa"))</f>
        <v>EMBRATEL</v>
      </c>
      <c r="O1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4" spans="1:15" x14ac:dyDescent="0.25">
      <c r="A134" s="32">
        <v>4382763</v>
      </c>
      <c r="B134" s="32" t="s">
        <v>17</v>
      </c>
      <c r="C134" s="33" t="s">
        <v>17</v>
      </c>
      <c r="D134" s="35">
        <v>45449</v>
      </c>
      <c r="E134" s="32">
        <v>201</v>
      </c>
      <c r="F134" s="32">
        <v>252341</v>
      </c>
      <c r="G134" s="32" t="s">
        <v>273</v>
      </c>
      <c r="H134" s="26" t="s">
        <v>38</v>
      </c>
      <c r="I134" s="36">
        <v>10</v>
      </c>
      <c r="J134" s="32">
        <f>IF(MB25_VOLUMETRIA[[#This Row],[Reserva]]="","",1)</f>
        <v>1</v>
      </c>
      <c r="K134" s="36" t="str">
        <f>IF(MB25_VOLUMETRIA[[#This Row],[Reserva]]="","",IFERROR(VLOOKUP(MB25_VOLUMETRIA[[#This Row],[UMB]],CHAVE[],2,FALSE),"VERIFICAR"))</f>
        <v>Unidade</v>
      </c>
      <c r="L134" s="32" t="str">
        <f>IF(MB25_VOLUMETRIA[[#This Row],[Reserva]]="","",IFERROR(VLOOKUP(MB25_VOLUMETRIA[[#This Row],[Reserva]],Tabela3[[Reserva]:[Condição para Faturamento]],20,FALSE),"IMPORTADO COM SUCESSO"))</f>
        <v>EM RESSUPRIMENTO</v>
      </c>
      <c r="M134" s="32" t="str">
        <f ca="1">IFERROR(VLOOKUP(MB25_VOLUMETRIA[[#This Row],[Reserva]],RES_AB[],14,FALSE),"")</f>
        <v>RESERVAS PENDENTES</v>
      </c>
      <c r="N134" s="32" t="str">
        <f>IF(MB25_VOLUMETRIA[[#This Row],[Cen.]]="","",IFERROR(VLOOKUP(MB25_VOLUMETRIA[[#This Row],[Cen.]],Dados_Empresas[],2,FALSE),"Verificar empresa"))</f>
        <v>EMBRATEL</v>
      </c>
      <c r="O1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5" spans="1:15" x14ac:dyDescent="0.25">
      <c r="A135" s="32">
        <v>4382763</v>
      </c>
      <c r="B135" s="32" t="s">
        <v>17</v>
      </c>
      <c r="C135" s="33" t="s">
        <v>17</v>
      </c>
      <c r="D135" s="35">
        <v>45449</v>
      </c>
      <c r="E135" s="32">
        <v>201</v>
      </c>
      <c r="F135" s="32">
        <v>253316</v>
      </c>
      <c r="G135" s="32" t="s">
        <v>375</v>
      </c>
      <c r="H135" s="26" t="s">
        <v>38</v>
      </c>
      <c r="I135" s="36">
        <v>500</v>
      </c>
      <c r="J135" s="32">
        <f>IF(MB25_VOLUMETRIA[[#This Row],[Reserva]]="","",1)</f>
        <v>1</v>
      </c>
      <c r="K135" s="36" t="str">
        <f>IF(MB25_VOLUMETRIA[[#This Row],[Reserva]]="","",IFERROR(VLOOKUP(MB25_VOLUMETRIA[[#This Row],[UMB]],CHAVE[],2,FALSE),"VERIFICAR"))</f>
        <v>Unidade</v>
      </c>
      <c r="L135" s="32" t="str">
        <f>IF(MB25_VOLUMETRIA[[#This Row],[Reserva]]="","",IFERROR(VLOOKUP(MB25_VOLUMETRIA[[#This Row],[Reserva]],Tabela3[[Reserva]:[Condição para Faturamento]],20,FALSE),"IMPORTADO COM SUCESSO"))</f>
        <v>EM RESSUPRIMENTO</v>
      </c>
      <c r="M135" s="32" t="str">
        <f ca="1">IFERROR(VLOOKUP(MB25_VOLUMETRIA[[#This Row],[Reserva]],RES_AB[],14,FALSE),"")</f>
        <v>RESERVAS PENDENTES</v>
      </c>
      <c r="N135" s="32" t="str">
        <f>IF(MB25_VOLUMETRIA[[#This Row],[Cen.]]="","",IFERROR(VLOOKUP(MB25_VOLUMETRIA[[#This Row],[Cen.]],Dados_Empresas[],2,FALSE),"Verificar empresa"))</f>
        <v>EMBRATEL</v>
      </c>
      <c r="O1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6" spans="1:15" x14ac:dyDescent="0.25">
      <c r="A136" s="32">
        <v>4382763</v>
      </c>
      <c r="B136" s="32" t="s">
        <v>17</v>
      </c>
      <c r="C136" s="33" t="s">
        <v>17</v>
      </c>
      <c r="D136" s="35">
        <v>45449</v>
      </c>
      <c r="E136" s="32">
        <v>201</v>
      </c>
      <c r="F136" s="32">
        <v>254544</v>
      </c>
      <c r="G136" s="32" t="s">
        <v>377</v>
      </c>
      <c r="H136" s="26" t="s">
        <v>38</v>
      </c>
      <c r="I136" s="36">
        <v>5</v>
      </c>
      <c r="J136" s="32">
        <f>IF(MB25_VOLUMETRIA[[#This Row],[Reserva]]="","",1)</f>
        <v>1</v>
      </c>
      <c r="K136" s="36" t="str">
        <f>IF(MB25_VOLUMETRIA[[#This Row],[Reserva]]="","",IFERROR(VLOOKUP(MB25_VOLUMETRIA[[#This Row],[UMB]],CHAVE[],2,FALSE),"VERIFICAR"))</f>
        <v>Unidade</v>
      </c>
      <c r="L136" s="32" t="str">
        <f>IF(MB25_VOLUMETRIA[[#This Row],[Reserva]]="","",IFERROR(VLOOKUP(MB25_VOLUMETRIA[[#This Row],[Reserva]],Tabela3[[Reserva]:[Condição para Faturamento]],20,FALSE),"IMPORTADO COM SUCESSO"))</f>
        <v>EM RESSUPRIMENTO</v>
      </c>
      <c r="M136" s="32" t="str">
        <f ca="1">IFERROR(VLOOKUP(MB25_VOLUMETRIA[[#This Row],[Reserva]],RES_AB[],14,FALSE),"")</f>
        <v>RESERVAS PENDENTES</v>
      </c>
      <c r="N136" s="32" t="str">
        <f>IF(MB25_VOLUMETRIA[[#This Row],[Cen.]]="","",IFERROR(VLOOKUP(MB25_VOLUMETRIA[[#This Row],[Cen.]],Dados_Empresas[],2,FALSE),"Verificar empresa"))</f>
        <v>EMBRATEL</v>
      </c>
      <c r="O1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7" spans="1:15" x14ac:dyDescent="0.25">
      <c r="A137" s="32">
        <v>4382763</v>
      </c>
      <c r="B137" s="32" t="s">
        <v>17</v>
      </c>
      <c r="C137" s="33" t="s">
        <v>17</v>
      </c>
      <c r="D137" s="35">
        <v>45449</v>
      </c>
      <c r="E137" s="32">
        <v>201</v>
      </c>
      <c r="F137" s="32">
        <v>254543</v>
      </c>
      <c r="G137" s="32" t="s">
        <v>376</v>
      </c>
      <c r="H137" s="26" t="s">
        <v>38</v>
      </c>
      <c r="I137" s="36">
        <v>5</v>
      </c>
      <c r="J137" s="32">
        <f>IF(MB25_VOLUMETRIA[[#This Row],[Reserva]]="","",1)</f>
        <v>1</v>
      </c>
      <c r="K137" s="36" t="str">
        <f>IF(MB25_VOLUMETRIA[[#This Row],[Reserva]]="","",IFERROR(VLOOKUP(MB25_VOLUMETRIA[[#This Row],[UMB]],CHAVE[],2,FALSE),"VERIFICAR"))</f>
        <v>Unidade</v>
      </c>
      <c r="L137" s="32" t="str">
        <f>IF(MB25_VOLUMETRIA[[#This Row],[Reserva]]="","",IFERROR(VLOOKUP(MB25_VOLUMETRIA[[#This Row],[Reserva]],Tabela3[[Reserva]:[Condição para Faturamento]],20,FALSE),"IMPORTADO COM SUCESSO"))</f>
        <v>EM RESSUPRIMENTO</v>
      </c>
      <c r="M137" s="32" t="str">
        <f ca="1">IFERROR(VLOOKUP(MB25_VOLUMETRIA[[#This Row],[Reserva]],RES_AB[],14,FALSE),"")</f>
        <v>RESERVAS PENDENTES</v>
      </c>
      <c r="N137" s="32" t="str">
        <f>IF(MB25_VOLUMETRIA[[#This Row],[Cen.]]="","",IFERROR(VLOOKUP(MB25_VOLUMETRIA[[#This Row],[Cen.]],Dados_Empresas[],2,FALSE),"Verificar empresa"))</f>
        <v>EMBRATEL</v>
      </c>
      <c r="O1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8" spans="1:15" x14ac:dyDescent="0.25">
      <c r="A138" s="32">
        <v>4382763</v>
      </c>
      <c r="B138" s="32" t="s">
        <v>17</v>
      </c>
      <c r="C138" s="33" t="s">
        <v>17</v>
      </c>
      <c r="D138" s="35">
        <v>45449</v>
      </c>
      <c r="E138" s="32">
        <v>201</v>
      </c>
      <c r="F138" s="32">
        <v>254487</v>
      </c>
      <c r="G138" s="32" t="s">
        <v>301</v>
      </c>
      <c r="H138" s="26" t="s">
        <v>38</v>
      </c>
      <c r="I138" s="36">
        <v>10</v>
      </c>
      <c r="J138" s="32">
        <f>IF(MB25_VOLUMETRIA[[#This Row],[Reserva]]="","",1)</f>
        <v>1</v>
      </c>
      <c r="K138" s="36" t="str">
        <f>IF(MB25_VOLUMETRIA[[#This Row],[Reserva]]="","",IFERROR(VLOOKUP(MB25_VOLUMETRIA[[#This Row],[UMB]],CHAVE[],2,FALSE),"VERIFICAR"))</f>
        <v>Unidade</v>
      </c>
      <c r="L138" s="32" t="str">
        <f>IF(MB25_VOLUMETRIA[[#This Row],[Reserva]]="","",IFERROR(VLOOKUP(MB25_VOLUMETRIA[[#This Row],[Reserva]],Tabela3[[Reserva]:[Condição para Faturamento]],20,FALSE),"IMPORTADO COM SUCESSO"))</f>
        <v>EM RESSUPRIMENTO</v>
      </c>
      <c r="M138" s="32" t="str">
        <f ca="1">IFERROR(VLOOKUP(MB25_VOLUMETRIA[[#This Row],[Reserva]],RES_AB[],14,FALSE),"")</f>
        <v>RESERVAS PENDENTES</v>
      </c>
      <c r="N138" s="32" t="str">
        <f>IF(MB25_VOLUMETRIA[[#This Row],[Cen.]]="","",IFERROR(VLOOKUP(MB25_VOLUMETRIA[[#This Row],[Cen.]],Dados_Empresas[],2,FALSE),"Verificar empresa"))</f>
        <v>EMBRATEL</v>
      </c>
      <c r="O1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39" spans="1:15" x14ac:dyDescent="0.25">
      <c r="A139" s="32">
        <v>4382773</v>
      </c>
      <c r="B139" s="32" t="s">
        <v>17</v>
      </c>
      <c r="C139" s="33" t="s">
        <v>17</v>
      </c>
      <c r="D139" s="35">
        <v>45449</v>
      </c>
      <c r="E139" s="32">
        <v>201</v>
      </c>
      <c r="F139" s="32">
        <v>254385</v>
      </c>
      <c r="G139" s="32" t="s">
        <v>280</v>
      </c>
      <c r="H139" s="26" t="s">
        <v>38</v>
      </c>
      <c r="I139" s="36">
        <v>5</v>
      </c>
      <c r="J139" s="32">
        <f>IF(MB25_VOLUMETRIA[[#This Row],[Reserva]]="","",1)</f>
        <v>1</v>
      </c>
      <c r="K139" s="36" t="str">
        <f>IF(MB25_VOLUMETRIA[[#This Row],[Reserva]]="","",IFERROR(VLOOKUP(MB25_VOLUMETRIA[[#This Row],[UMB]],CHAVE[],2,FALSE),"VERIFICAR"))</f>
        <v>Unidade</v>
      </c>
      <c r="L139" s="32" t="str">
        <f>IF(MB25_VOLUMETRIA[[#This Row],[Reserva]]="","",IFERROR(VLOOKUP(MB25_VOLUMETRIA[[#This Row],[Reserva]],Tabela3[[Reserva]:[Condição para Faturamento]],20,FALSE),"IMPORTADO COM SUCESSO"))</f>
        <v>EM RESSUPRIMENTO</v>
      </c>
      <c r="M139" s="32" t="str">
        <f ca="1">IFERROR(VLOOKUP(MB25_VOLUMETRIA[[#This Row],[Reserva]],RES_AB[],14,FALSE),"")</f>
        <v>RESERVAS PENDENTES</v>
      </c>
      <c r="N139" s="32" t="str">
        <f>IF(MB25_VOLUMETRIA[[#This Row],[Cen.]]="","",IFERROR(VLOOKUP(MB25_VOLUMETRIA[[#This Row],[Cen.]],Dados_Empresas[],2,FALSE),"Verificar empresa"))</f>
        <v>EMBRATEL</v>
      </c>
      <c r="O1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0" spans="1:15" x14ac:dyDescent="0.25">
      <c r="A140" s="32">
        <v>4382773</v>
      </c>
      <c r="B140" s="32" t="s">
        <v>17</v>
      </c>
      <c r="C140" s="33" t="s">
        <v>17</v>
      </c>
      <c r="D140" s="35">
        <v>45449</v>
      </c>
      <c r="E140" s="32">
        <v>201</v>
      </c>
      <c r="F140" s="32">
        <v>254499</v>
      </c>
      <c r="G140" s="32" t="s">
        <v>281</v>
      </c>
      <c r="H140" s="26" t="s">
        <v>38</v>
      </c>
      <c r="I140" s="36">
        <v>1000</v>
      </c>
      <c r="J140" s="32">
        <f>IF(MB25_VOLUMETRIA[[#This Row],[Reserva]]="","",1)</f>
        <v>1</v>
      </c>
      <c r="K140" s="36" t="str">
        <f>IF(MB25_VOLUMETRIA[[#This Row],[Reserva]]="","",IFERROR(VLOOKUP(MB25_VOLUMETRIA[[#This Row],[UMB]],CHAVE[],2,FALSE),"VERIFICAR"))</f>
        <v>Unidade</v>
      </c>
      <c r="L140" s="32" t="str">
        <f>IF(MB25_VOLUMETRIA[[#This Row],[Reserva]]="","",IFERROR(VLOOKUP(MB25_VOLUMETRIA[[#This Row],[Reserva]],Tabela3[[Reserva]:[Condição para Faturamento]],20,FALSE),"IMPORTADO COM SUCESSO"))</f>
        <v>EM RESSUPRIMENTO</v>
      </c>
      <c r="M140" s="32" t="str">
        <f ca="1">IFERROR(VLOOKUP(MB25_VOLUMETRIA[[#This Row],[Reserva]],RES_AB[],14,FALSE),"")</f>
        <v>RESERVAS PENDENTES</v>
      </c>
      <c r="N140" s="32" t="str">
        <f>IF(MB25_VOLUMETRIA[[#This Row],[Cen.]]="","",IFERROR(VLOOKUP(MB25_VOLUMETRIA[[#This Row],[Cen.]],Dados_Empresas[],2,FALSE),"Verificar empresa"))</f>
        <v>EMBRATEL</v>
      </c>
      <c r="O1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1" spans="1:15" x14ac:dyDescent="0.25">
      <c r="A141" s="32">
        <v>4382773</v>
      </c>
      <c r="B141" s="32" t="s">
        <v>17</v>
      </c>
      <c r="C141" s="33" t="s">
        <v>17</v>
      </c>
      <c r="D141" s="35">
        <v>45449</v>
      </c>
      <c r="E141" s="32">
        <v>201</v>
      </c>
      <c r="F141" s="32">
        <v>254491</v>
      </c>
      <c r="G141" s="32" t="s">
        <v>300</v>
      </c>
      <c r="H141" s="26" t="s">
        <v>38</v>
      </c>
      <c r="I141" s="36">
        <v>20</v>
      </c>
      <c r="J141" s="32">
        <f>IF(MB25_VOLUMETRIA[[#This Row],[Reserva]]="","",1)</f>
        <v>1</v>
      </c>
      <c r="K141" s="36" t="str">
        <f>IF(MB25_VOLUMETRIA[[#This Row],[Reserva]]="","",IFERROR(VLOOKUP(MB25_VOLUMETRIA[[#This Row],[UMB]],CHAVE[],2,FALSE),"VERIFICAR"))</f>
        <v>Unidade</v>
      </c>
      <c r="L141" s="32" t="str">
        <f>IF(MB25_VOLUMETRIA[[#This Row],[Reserva]]="","",IFERROR(VLOOKUP(MB25_VOLUMETRIA[[#This Row],[Reserva]],Tabela3[[Reserva]:[Condição para Faturamento]],20,FALSE),"IMPORTADO COM SUCESSO"))</f>
        <v>EM RESSUPRIMENTO</v>
      </c>
      <c r="M141" s="32" t="str">
        <f ca="1">IFERROR(VLOOKUP(MB25_VOLUMETRIA[[#This Row],[Reserva]],RES_AB[],14,FALSE),"")</f>
        <v>RESERVAS PENDENTES</v>
      </c>
      <c r="N141" s="32" t="str">
        <f>IF(MB25_VOLUMETRIA[[#This Row],[Cen.]]="","",IFERROR(VLOOKUP(MB25_VOLUMETRIA[[#This Row],[Cen.]],Dados_Empresas[],2,FALSE),"Verificar empresa"))</f>
        <v>EMBRATEL</v>
      </c>
      <c r="O1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2" spans="1:15" x14ac:dyDescent="0.25">
      <c r="A142" s="32">
        <v>4382773</v>
      </c>
      <c r="B142" s="32" t="s">
        <v>17</v>
      </c>
      <c r="C142" s="33" t="s">
        <v>17</v>
      </c>
      <c r="D142" s="35">
        <v>45449</v>
      </c>
      <c r="E142" s="32">
        <v>201</v>
      </c>
      <c r="F142" s="32">
        <v>253496</v>
      </c>
      <c r="G142" s="32" t="s">
        <v>207</v>
      </c>
      <c r="H142" s="26" t="s">
        <v>38</v>
      </c>
      <c r="I142" s="36">
        <v>2</v>
      </c>
      <c r="J142" s="32">
        <f>IF(MB25_VOLUMETRIA[[#This Row],[Reserva]]="","",1)</f>
        <v>1</v>
      </c>
      <c r="K142" s="36" t="str">
        <f>IF(MB25_VOLUMETRIA[[#This Row],[Reserva]]="","",IFERROR(VLOOKUP(MB25_VOLUMETRIA[[#This Row],[UMB]],CHAVE[],2,FALSE),"VERIFICAR"))</f>
        <v>Unidade</v>
      </c>
      <c r="L142" s="32" t="str">
        <f>IF(MB25_VOLUMETRIA[[#This Row],[Reserva]]="","",IFERROR(VLOOKUP(MB25_VOLUMETRIA[[#This Row],[Reserva]],Tabela3[[Reserva]:[Condição para Faturamento]],20,FALSE),"IMPORTADO COM SUCESSO"))</f>
        <v>EM RESSUPRIMENTO</v>
      </c>
      <c r="M142" s="32" t="str">
        <f ca="1">IFERROR(VLOOKUP(MB25_VOLUMETRIA[[#This Row],[Reserva]],RES_AB[],14,FALSE),"")</f>
        <v>RESERVAS PENDENTES</v>
      </c>
      <c r="N142" s="32" t="str">
        <f>IF(MB25_VOLUMETRIA[[#This Row],[Cen.]]="","",IFERROR(VLOOKUP(MB25_VOLUMETRIA[[#This Row],[Cen.]],Dados_Empresas[],2,FALSE),"Verificar empresa"))</f>
        <v>EMBRATEL</v>
      </c>
      <c r="O1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3" spans="1:15" x14ac:dyDescent="0.25">
      <c r="A143" s="32">
        <v>4382773</v>
      </c>
      <c r="B143" s="32" t="s">
        <v>17</v>
      </c>
      <c r="C143" s="33" t="s">
        <v>17</v>
      </c>
      <c r="D143" s="35">
        <v>45449</v>
      </c>
      <c r="E143" s="32">
        <v>201</v>
      </c>
      <c r="F143" s="32">
        <v>252341</v>
      </c>
      <c r="G143" s="32" t="s">
        <v>273</v>
      </c>
      <c r="H143" s="26" t="s">
        <v>38</v>
      </c>
      <c r="I143" s="36">
        <v>2</v>
      </c>
      <c r="J143" s="32">
        <f>IF(MB25_VOLUMETRIA[[#This Row],[Reserva]]="","",1)</f>
        <v>1</v>
      </c>
      <c r="K143" s="36" t="str">
        <f>IF(MB25_VOLUMETRIA[[#This Row],[Reserva]]="","",IFERROR(VLOOKUP(MB25_VOLUMETRIA[[#This Row],[UMB]],CHAVE[],2,FALSE),"VERIFICAR"))</f>
        <v>Unidade</v>
      </c>
      <c r="L143" s="32" t="str">
        <f>IF(MB25_VOLUMETRIA[[#This Row],[Reserva]]="","",IFERROR(VLOOKUP(MB25_VOLUMETRIA[[#This Row],[Reserva]],Tabela3[[Reserva]:[Condição para Faturamento]],20,FALSE),"IMPORTADO COM SUCESSO"))</f>
        <v>EM RESSUPRIMENTO</v>
      </c>
      <c r="M143" s="32" t="str">
        <f ca="1">IFERROR(VLOOKUP(MB25_VOLUMETRIA[[#This Row],[Reserva]],RES_AB[],14,FALSE),"")</f>
        <v>RESERVAS PENDENTES</v>
      </c>
      <c r="N143" s="32" t="str">
        <f>IF(MB25_VOLUMETRIA[[#This Row],[Cen.]]="","",IFERROR(VLOOKUP(MB25_VOLUMETRIA[[#This Row],[Cen.]],Dados_Empresas[],2,FALSE),"Verificar empresa"))</f>
        <v>EMBRATEL</v>
      </c>
      <c r="O1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4" spans="1:15" x14ac:dyDescent="0.25">
      <c r="A144" s="32">
        <v>4382773</v>
      </c>
      <c r="B144" s="32" t="s">
        <v>17</v>
      </c>
      <c r="C144" s="33" t="s">
        <v>17</v>
      </c>
      <c r="D144" s="35">
        <v>45449</v>
      </c>
      <c r="E144" s="32">
        <v>201</v>
      </c>
      <c r="F144" s="32">
        <v>253316</v>
      </c>
      <c r="G144" s="32" t="s">
        <v>375</v>
      </c>
      <c r="H144" s="26" t="s">
        <v>38</v>
      </c>
      <c r="I144" s="36">
        <v>500</v>
      </c>
      <c r="J144" s="32">
        <f>IF(MB25_VOLUMETRIA[[#This Row],[Reserva]]="","",1)</f>
        <v>1</v>
      </c>
      <c r="K144" s="36" t="str">
        <f>IF(MB25_VOLUMETRIA[[#This Row],[Reserva]]="","",IFERROR(VLOOKUP(MB25_VOLUMETRIA[[#This Row],[UMB]],CHAVE[],2,FALSE),"VERIFICAR"))</f>
        <v>Unidade</v>
      </c>
      <c r="L144" s="32" t="str">
        <f>IF(MB25_VOLUMETRIA[[#This Row],[Reserva]]="","",IFERROR(VLOOKUP(MB25_VOLUMETRIA[[#This Row],[Reserva]],Tabela3[[Reserva]:[Condição para Faturamento]],20,FALSE),"IMPORTADO COM SUCESSO"))</f>
        <v>EM RESSUPRIMENTO</v>
      </c>
      <c r="M144" s="32" t="str">
        <f ca="1">IFERROR(VLOOKUP(MB25_VOLUMETRIA[[#This Row],[Reserva]],RES_AB[],14,FALSE),"")</f>
        <v>RESERVAS PENDENTES</v>
      </c>
      <c r="N144" s="32" t="str">
        <f>IF(MB25_VOLUMETRIA[[#This Row],[Cen.]]="","",IFERROR(VLOOKUP(MB25_VOLUMETRIA[[#This Row],[Cen.]],Dados_Empresas[],2,FALSE),"Verificar empresa"))</f>
        <v>EMBRATEL</v>
      </c>
      <c r="O1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5" spans="1:15" x14ac:dyDescent="0.25">
      <c r="A145" s="32">
        <v>4382773</v>
      </c>
      <c r="B145" s="32" t="s">
        <v>17</v>
      </c>
      <c r="C145" s="33" t="s">
        <v>17</v>
      </c>
      <c r="D145" s="35">
        <v>45449</v>
      </c>
      <c r="E145" s="32">
        <v>201</v>
      </c>
      <c r="F145" s="32">
        <v>254543</v>
      </c>
      <c r="G145" s="32" t="s">
        <v>376</v>
      </c>
      <c r="H145" s="26" t="s">
        <v>38</v>
      </c>
      <c r="I145" s="36">
        <v>1</v>
      </c>
      <c r="J145" s="32">
        <f>IF(MB25_VOLUMETRIA[[#This Row],[Reserva]]="","",1)</f>
        <v>1</v>
      </c>
      <c r="K145" s="36" t="str">
        <f>IF(MB25_VOLUMETRIA[[#This Row],[Reserva]]="","",IFERROR(VLOOKUP(MB25_VOLUMETRIA[[#This Row],[UMB]],CHAVE[],2,FALSE),"VERIFICAR"))</f>
        <v>Unidade</v>
      </c>
      <c r="L145" s="32" t="str">
        <f>IF(MB25_VOLUMETRIA[[#This Row],[Reserva]]="","",IFERROR(VLOOKUP(MB25_VOLUMETRIA[[#This Row],[Reserva]],Tabela3[[Reserva]:[Condição para Faturamento]],20,FALSE),"IMPORTADO COM SUCESSO"))</f>
        <v>EM RESSUPRIMENTO</v>
      </c>
      <c r="M145" s="32" t="str">
        <f ca="1">IFERROR(VLOOKUP(MB25_VOLUMETRIA[[#This Row],[Reserva]],RES_AB[],14,FALSE),"")</f>
        <v>RESERVAS PENDENTES</v>
      </c>
      <c r="N145" s="32" t="str">
        <f>IF(MB25_VOLUMETRIA[[#This Row],[Cen.]]="","",IFERROR(VLOOKUP(MB25_VOLUMETRIA[[#This Row],[Cen.]],Dados_Empresas[],2,FALSE),"Verificar empresa"))</f>
        <v>EMBRATEL</v>
      </c>
      <c r="O1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6" spans="1:15" x14ac:dyDescent="0.25">
      <c r="A146" s="32">
        <v>4382773</v>
      </c>
      <c r="B146" s="32" t="s">
        <v>17</v>
      </c>
      <c r="C146" s="33" t="s">
        <v>17</v>
      </c>
      <c r="D146" s="35">
        <v>45449</v>
      </c>
      <c r="E146" s="32">
        <v>201</v>
      </c>
      <c r="F146" s="32">
        <v>254544</v>
      </c>
      <c r="G146" s="32" t="s">
        <v>377</v>
      </c>
      <c r="H146" s="26" t="s">
        <v>38</v>
      </c>
      <c r="I146" s="36">
        <v>1</v>
      </c>
      <c r="J146" s="32">
        <f>IF(MB25_VOLUMETRIA[[#This Row],[Reserva]]="","",1)</f>
        <v>1</v>
      </c>
      <c r="K146" s="36" t="str">
        <f>IF(MB25_VOLUMETRIA[[#This Row],[Reserva]]="","",IFERROR(VLOOKUP(MB25_VOLUMETRIA[[#This Row],[UMB]],CHAVE[],2,FALSE),"VERIFICAR"))</f>
        <v>Unidade</v>
      </c>
      <c r="L146" s="32" t="str">
        <f>IF(MB25_VOLUMETRIA[[#This Row],[Reserva]]="","",IFERROR(VLOOKUP(MB25_VOLUMETRIA[[#This Row],[Reserva]],Tabela3[[Reserva]:[Condição para Faturamento]],20,FALSE),"IMPORTADO COM SUCESSO"))</f>
        <v>EM RESSUPRIMENTO</v>
      </c>
      <c r="M146" s="32" t="str">
        <f ca="1">IFERROR(VLOOKUP(MB25_VOLUMETRIA[[#This Row],[Reserva]],RES_AB[],14,FALSE),"")</f>
        <v>RESERVAS PENDENTES</v>
      </c>
      <c r="N146" s="32" t="str">
        <f>IF(MB25_VOLUMETRIA[[#This Row],[Cen.]]="","",IFERROR(VLOOKUP(MB25_VOLUMETRIA[[#This Row],[Cen.]],Dados_Empresas[],2,FALSE),"Verificar empresa"))</f>
        <v>EMBRATEL</v>
      </c>
      <c r="O1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7" spans="1:15" x14ac:dyDescent="0.25">
      <c r="A147" s="32">
        <v>4382796</v>
      </c>
      <c r="B147" s="32" t="s">
        <v>17</v>
      </c>
      <c r="C147" s="33" t="s">
        <v>17</v>
      </c>
      <c r="D147" s="35">
        <v>45449</v>
      </c>
      <c r="E147" s="32">
        <v>221</v>
      </c>
      <c r="F147" s="32">
        <v>22059203</v>
      </c>
      <c r="G147" s="32" t="s">
        <v>424</v>
      </c>
      <c r="H147" s="26" t="s">
        <v>38</v>
      </c>
      <c r="I147" s="36">
        <v>2</v>
      </c>
      <c r="J147" s="32">
        <f>IF(MB25_VOLUMETRIA[[#This Row],[Reserva]]="","",1)</f>
        <v>1</v>
      </c>
      <c r="K147" s="36" t="str">
        <f>IF(MB25_VOLUMETRIA[[#This Row],[Reserva]]="","",IFERROR(VLOOKUP(MB25_VOLUMETRIA[[#This Row],[UMB]],CHAVE[],2,FALSE),"VERIFICAR"))</f>
        <v>Unidade</v>
      </c>
      <c r="L14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47" s="32" t="str">
        <f ca="1">IFERROR(VLOOKUP(MB25_VOLUMETRIA[[#This Row],[Reserva]],RES_AB[],14,FALSE),"")</f>
        <v>RESERVAS PENDENTES</v>
      </c>
      <c r="N147" s="32" t="str">
        <f>IF(MB25_VOLUMETRIA[[#This Row],[Cen.]]="","",IFERROR(VLOOKUP(MB25_VOLUMETRIA[[#This Row],[Cen.]],Dados_Empresas[],2,FALSE),"Verificar empresa"))</f>
        <v>EMBRATEL</v>
      </c>
      <c r="O1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8" spans="1:15" x14ac:dyDescent="0.25">
      <c r="A148" s="32">
        <v>4382798</v>
      </c>
      <c r="B148" s="32" t="s">
        <v>17</v>
      </c>
      <c r="C148" s="33" t="s">
        <v>17</v>
      </c>
      <c r="D148" s="35">
        <v>45449</v>
      </c>
      <c r="E148" s="32">
        <v>221</v>
      </c>
      <c r="F148" s="32">
        <v>30060996</v>
      </c>
      <c r="G148" s="32" t="s">
        <v>425</v>
      </c>
      <c r="H148" s="26" t="s">
        <v>38</v>
      </c>
      <c r="I148" s="36">
        <v>1</v>
      </c>
      <c r="J148" s="32">
        <f>IF(MB25_VOLUMETRIA[[#This Row],[Reserva]]="","",1)</f>
        <v>1</v>
      </c>
      <c r="K148" s="36" t="str">
        <f>IF(MB25_VOLUMETRIA[[#This Row],[Reserva]]="","",IFERROR(VLOOKUP(MB25_VOLUMETRIA[[#This Row],[UMB]],CHAVE[],2,FALSE),"VERIFICAR"))</f>
        <v>Unidade</v>
      </c>
      <c r="L148" s="32" t="str">
        <f>IF(MB25_VOLUMETRIA[[#This Row],[Reserva]]="","",IFERROR(VLOOKUP(MB25_VOLUMETRIA[[#This Row],[Reserva]],Tabela3[[Reserva]:[Condição para Faturamento]],20,FALSE),"IMPORTADO COM SUCESSO"))</f>
        <v>EM RESSUPRIMENTO</v>
      </c>
      <c r="M148" s="32" t="str">
        <f ca="1">IFERROR(VLOOKUP(MB25_VOLUMETRIA[[#This Row],[Reserva]],RES_AB[],14,FALSE),"")</f>
        <v>RESERVAS PENDENTES</v>
      </c>
      <c r="N148" s="32" t="str">
        <f>IF(MB25_VOLUMETRIA[[#This Row],[Cen.]]="","",IFERROR(VLOOKUP(MB25_VOLUMETRIA[[#This Row],[Cen.]],Dados_Empresas[],2,FALSE),"Verificar empresa"))</f>
        <v>EMBRATEL</v>
      </c>
      <c r="O1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49" spans="1:15" x14ac:dyDescent="0.25">
      <c r="A149" s="32">
        <v>4382799</v>
      </c>
      <c r="B149" s="32" t="s">
        <v>17</v>
      </c>
      <c r="C149" s="33" t="s">
        <v>17</v>
      </c>
      <c r="D149" s="35">
        <v>45449</v>
      </c>
      <c r="E149" s="32">
        <v>221</v>
      </c>
      <c r="F149" s="32">
        <v>30060203</v>
      </c>
      <c r="G149" s="32" t="s">
        <v>388</v>
      </c>
      <c r="H149" s="26" t="s">
        <v>38</v>
      </c>
      <c r="I149" s="36">
        <v>1</v>
      </c>
      <c r="J149" s="32">
        <f>IF(MB25_VOLUMETRIA[[#This Row],[Reserva]]="","",1)</f>
        <v>1</v>
      </c>
      <c r="K149" s="36" t="str">
        <f>IF(MB25_VOLUMETRIA[[#This Row],[Reserva]]="","",IFERROR(VLOOKUP(MB25_VOLUMETRIA[[#This Row],[UMB]],CHAVE[],2,FALSE),"VERIFICAR"))</f>
        <v>Unidade</v>
      </c>
      <c r="L149" s="32" t="str">
        <f>IF(MB25_VOLUMETRIA[[#This Row],[Reserva]]="","",IFERROR(VLOOKUP(MB25_VOLUMETRIA[[#This Row],[Reserva]],Tabela3[[Reserva]:[Condição para Faturamento]],20,FALSE),"IMPORTADO COM SUCESSO"))</f>
        <v>EM RESSUPRIMENTO</v>
      </c>
      <c r="M149" s="32" t="str">
        <f ca="1">IFERROR(VLOOKUP(MB25_VOLUMETRIA[[#This Row],[Reserva]],RES_AB[],14,FALSE),"")</f>
        <v>RESERVAS PENDENTES</v>
      </c>
      <c r="N149" s="32" t="str">
        <f>IF(MB25_VOLUMETRIA[[#This Row],[Cen.]]="","",IFERROR(VLOOKUP(MB25_VOLUMETRIA[[#This Row],[Cen.]],Dados_Empresas[],2,FALSE),"Verificar empresa"))</f>
        <v>EMBRATEL</v>
      </c>
      <c r="O1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0" spans="1:15" x14ac:dyDescent="0.25">
      <c r="A150" s="32">
        <v>4382800</v>
      </c>
      <c r="B150" s="32" t="s">
        <v>17</v>
      </c>
      <c r="C150" s="33" t="s">
        <v>17</v>
      </c>
      <c r="D150" s="35">
        <v>45449</v>
      </c>
      <c r="E150" s="32">
        <v>221</v>
      </c>
      <c r="F150" s="32">
        <v>30054372</v>
      </c>
      <c r="G150" s="32" t="s">
        <v>311</v>
      </c>
      <c r="H150" s="26" t="s">
        <v>38</v>
      </c>
      <c r="I150" s="36">
        <v>1</v>
      </c>
      <c r="J150" s="32">
        <f>IF(MB25_VOLUMETRIA[[#This Row],[Reserva]]="","",1)</f>
        <v>1</v>
      </c>
      <c r="K150" s="36" t="str">
        <f>IF(MB25_VOLUMETRIA[[#This Row],[Reserva]]="","",IFERROR(VLOOKUP(MB25_VOLUMETRIA[[#This Row],[UMB]],CHAVE[],2,FALSE),"VERIFICAR"))</f>
        <v>Unidade</v>
      </c>
      <c r="L15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0" s="32" t="str">
        <f ca="1">IFERROR(VLOOKUP(MB25_VOLUMETRIA[[#This Row],[Reserva]],RES_AB[],14,FALSE),"")</f>
        <v>RESERVAS PENDENTES</v>
      </c>
      <c r="N150" s="32" t="str">
        <f>IF(MB25_VOLUMETRIA[[#This Row],[Cen.]]="","",IFERROR(VLOOKUP(MB25_VOLUMETRIA[[#This Row],[Cen.]],Dados_Empresas[],2,FALSE),"Verificar empresa"))</f>
        <v>EMBRATEL</v>
      </c>
      <c r="O1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1" spans="1:15" x14ac:dyDescent="0.25">
      <c r="A151" s="32">
        <v>4382800</v>
      </c>
      <c r="B151" s="32" t="s">
        <v>17</v>
      </c>
      <c r="C151" s="33" t="s">
        <v>17</v>
      </c>
      <c r="D151" s="35">
        <v>45449</v>
      </c>
      <c r="E151" s="32">
        <v>221</v>
      </c>
      <c r="F151" s="32">
        <v>30054372</v>
      </c>
      <c r="G151" s="32" t="s">
        <v>311</v>
      </c>
      <c r="H151" s="26" t="s">
        <v>38</v>
      </c>
      <c r="I151" s="36">
        <v>1</v>
      </c>
      <c r="J151" s="32">
        <f>IF(MB25_VOLUMETRIA[[#This Row],[Reserva]]="","",1)</f>
        <v>1</v>
      </c>
      <c r="K151" s="36" t="str">
        <f>IF(MB25_VOLUMETRIA[[#This Row],[Reserva]]="","",IFERROR(VLOOKUP(MB25_VOLUMETRIA[[#This Row],[UMB]],CHAVE[],2,FALSE),"VERIFICAR"))</f>
        <v>Unidade</v>
      </c>
      <c r="L15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1" s="32" t="str">
        <f ca="1">IFERROR(VLOOKUP(MB25_VOLUMETRIA[[#This Row],[Reserva]],RES_AB[],14,FALSE),"")</f>
        <v>RESERVAS PENDENTES</v>
      </c>
      <c r="N151" s="32" t="str">
        <f>IF(MB25_VOLUMETRIA[[#This Row],[Cen.]]="","",IFERROR(VLOOKUP(MB25_VOLUMETRIA[[#This Row],[Cen.]],Dados_Empresas[],2,FALSE),"Verificar empresa"))</f>
        <v>EMBRATEL</v>
      </c>
      <c r="O1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2" spans="1:15" x14ac:dyDescent="0.25">
      <c r="A152" s="32">
        <v>4382813</v>
      </c>
      <c r="B152" s="32" t="s">
        <v>17</v>
      </c>
      <c r="C152" s="33" t="s">
        <v>17</v>
      </c>
      <c r="D152" s="35">
        <v>45449</v>
      </c>
      <c r="E152" s="32">
        <v>221</v>
      </c>
      <c r="F152" s="32">
        <v>30055352</v>
      </c>
      <c r="G152" s="32" t="s">
        <v>423</v>
      </c>
      <c r="H152" s="26" t="s">
        <v>38</v>
      </c>
      <c r="I152" s="36">
        <v>1</v>
      </c>
      <c r="J152" s="32">
        <f>IF(MB25_VOLUMETRIA[[#This Row],[Reserva]]="","",1)</f>
        <v>1</v>
      </c>
      <c r="K152" s="36" t="str">
        <f>IF(MB25_VOLUMETRIA[[#This Row],[Reserva]]="","",IFERROR(VLOOKUP(MB25_VOLUMETRIA[[#This Row],[UMB]],CHAVE[],2,FALSE),"VERIFICAR"))</f>
        <v>Unidade</v>
      </c>
      <c r="L15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2" s="32" t="str">
        <f ca="1">IFERROR(VLOOKUP(MB25_VOLUMETRIA[[#This Row],[Reserva]],RES_AB[],14,FALSE),"")</f>
        <v>RESERVAS PENDENTES</v>
      </c>
      <c r="N152" s="32" t="str">
        <f>IF(MB25_VOLUMETRIA[[#This Row],[Cen.]]="","",IFERROR(VLOOKUP(MB25_VOLUMETRIA[[#This Row],[Cen.]],Dados_Empresas[],2,FALSE),"Verificar empresa"))</f>
        <v>EMBRATEL</v>
      </c>
      <c r="O1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3" spans="1:15" x14ac:dyDescent="0.25">
      <c r="A153" s="32">
        <v>4382814</v>
      </c>
      <c r="B153" s="32" t="s">
        <v>17</v>
      </c>
      <c r="C153" s="33" t="s">
        <v>17</v>
      </c>
      <c r="D153" s="35">
        <v>45449</v>
      </c>
      <c r="E153" s="32">
        <v>221</v>
      </c>
      <c r="F153" s="32">
        <v>30055352</v>
      </c>
      <c r="G153" s="32" t="s">
        <v>423</v>
      </c>
      <c r="H153" s="26" t="s">
        <v>38</v>
      </c>
      <c r="I153" s="36">
        <v>1</v>
      </c>
      <c r="J153" s="32">
        <f>IF(MB25_VOLUMETRIA[[#This Row],[Reserva]]="","",1)</f>
        <v>1</v>
      </c>
      <c r="K153" s="36" t="str">
        <f>IF(MB25_VOLUMETRIA[[#This Row],[Reserva]]="","",IFERROR(VLOOKUP(MB25_VOLUMETRIA[[#This Row],[UMB]],CHAVE[],2,FALSE),"VERIFICAR"))</f>
        <v>Unidade</v>
      </c>
      <c r="L1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3" s="32" t="str">
        <f ca="1">IFERROR(VLOOKUP(MB25_VOLUMETRIA[[#This Row],[Reserva]],RES_AB[],14,FALSE),"")</f>
        <v>RESERVAS PENDENTES</v>
      </c>
      <c r="N153" s="32" t="str">
        <f>IF(MB25_VOLUMETRIA[[#This Row],[Cen.]]="","",IFERROR(VLOOKUP(MB25_VOLUMETRIA[[#This Row],[Cen.]],Dados_Empresas[],2,FALSE),"Verificar empresa"))</f>
        <v>EMBRATEL</v>
      </c>
      <c r="O1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4" spans="1:15" x14ac:dyDescent="0.25">
      <c r="A154" s="32">
        <v>4382816</v>
      </c>
      <c r="B154" s="32" t="s">
        <v>17</v>
      </c>
      <c r="C154" s="33" t="s">
        <v>17</v>
      </c>
      <c r="D154" s="35">
        <v>45449</v>
      </c>
      <c r="E154" s="32">
        <v>221</v>
      </c>
      <c r="F154" s="32">
        <v>30055352</v>
      </c>
      <c r="G154" s="32" t="s">
        <v>423</v>
      </c>
      <c r="H154" s="26" t="s">
        <v>38</v>
      </c>
      <c r="I154" s="36">
        <v>1</v>
      </c>
      <c r="J154" s="32">
        <f>IF(MB25_VOLUMETRIA[[#This Row],[Reserva]]="","",1)</f>
        <v>1</v>
      </c>
      <c r="K154" s="36" t="str">
        <f>IF(MB25_VOLUMETRIA[[#This Row],[Reserva]]="","",IFERROR(VLOOKUP(MB25_VOLUMETRIA[[#This Row],[UMB]],CHAVE[],2,FALSE),"VERIFICAR"))</f>
        <v>Unidade</v>
      </c>
      <c r="L1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4" s="32" t="str">
        <f ca="1">IFERROR(VLOOKUP(MB25_VOLUMETRIA[[#This Row],[Reserva]],RES_AB[],14,FALSE),"")</f>
        <v>RESERVAS PENDENTES</v>
      </c>
      <c r="N154" s="32" t="str">
        <f>IF(MB25_VOLUMETRIA[[#This Row],[Cen.]]="","",IFERROR(VLOOKUP(MB25_VOLUMETRIA[[#This Row],[Cen.]],Dados_Empresas[],2,FALSE),"Verificar empresa"))</f>
        <v>EMBRATEL</v>
      </c>
      <c r="O1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5" spans="1:15" x14ac:dyDescent="0.25">
      <c r="A155" s="32">
        <v>4382817</v>
      </c>
      <c r="B155" s="32" t="s">
        <v>17</v>
      </c>
      <c r="C155" s="33" t="s">
        <v>17</v>
      </c>
      <c r="D155" s="35">
        <v>45449</v>
      </c>
      <c r="E155" s="32">
        <v>221</v>
      </c>
      <c r="F155" s="32">
        <v>30055352</v>
      </c>
      <c r="G155" s="32" t="s">
        <v>423</v>
      </c>
      <c r="H155" s="26" t="s">
        <v>38</v>
      </c>
      <c r="I155" s="36">
        <v>1</v>
      </c>
      <c r="J155" s="32">
        <f>IF(MB25_VOLUMETRIA[[#This Row],[Reserva]]="","",1)</f>
        <v>1</v>
      </c>
      <c r="K155" s="36" t="str">
        <f>IF(MB25_VOLUMETRIA[[#This Row],[Reserva]]="","",IFERROR(VLOOKUP(MB25_VOLUMETRIA[[#This Row],[UMB]],CHAVE[],2,FALSE),"VERIFICAR"))</f>
        <v>Unidade</v>
      </c>
      <c r="L15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5" s="32" t="str">
        <f ca="1">IFERROR(VLOOKUP(MB25_VOLUMETRIA[[#This Row],[Reserva]],RES_AB[],14,FALSE),"")</f>
        <v>RESERVAS PENDENTES</v>
      </c>
      <c r="N155" s="32" t="str">
        <f>IF(MB25_VOLUMETRIA[[#This Row],[Cen.]]="","",IFERROR(VLOOKUP(MB25_VOLUMETRIA[[#This Row],[Cen.]],Dados_Empresas[],2,FALSE),"Verificar empresa"))</f>
        <v>EMBRATEL</v>
      </c>
      <c r="O1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6" spans="1:15" x14ac:dyDescent="0.25">
      <c r="A156" s="32">
        <v>4382818</v>
      </c>
      <c r="B156" s="32" t="s">
        <v>17</v>
      </c>
      <c r="C156" s="33" t="s">
        <v>17</v>
      </c>
      <c r="D156" s="35">
        <v>45449</v>
      </c>
      <c r="E156" s="32">
        <v>221</v>
      </c>
      <c r="F156" s="32">
        <v>30055352</v>
      </c>
      <c r="G156" s="32" t="s">
        <v>423</v>
      </c>
      <c r="H156" s="26" t="s">
        <v>38</v>
      </c>
      <c r="I156" s="36">
        <v>1</v>
      </c>
      <c r="J156" s="32">
        <f>IF(MB25_VOLUMETRIA[[#This Row],[Reserva]]="","",1)</f>
        <v>1</v>
      </c>
      <c r="K156" s="36" t="str">
        <f>IF(MB25_VOLUMETRIA[[#This Row],[Reserva]]="","",IFERROR(VLOOKUP(MB25_VOLUMETRIA[[#This Row],[UMB]],CHAVE[],2,FALSE),"VERIFICAR"))</f>
        <v>Unidade</v>
      </c>
      <c r="L15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6" s="32" t="str">
        <f ca="1">IFERROR(VLOOKUP(MB25_VOLUMETRIA[[#This Row],[Reserva]],RES_AB[],14,FALSE),"")</f>
        <v>RESERVAS PENDENTES</v>
      </c>
      <c r="N156" s="32" t="str">
        <f>IF(MB25_VOLUMETRIA[[#This Row],[Cen.]]="","",IFERROR(VLOOKUP(MB25_VOLUMETRIA[[#This Row],[Cen.]],Dados_Empresas[],2,FALSE),"Verificar empresa"))</f>
        <v>EMBRATEL</v>
      </c>
      <c r="O1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7" spans="1:15" x14ac:dyDescent="0.25">
      <c r="A157" s="32">
        <v>4382819</v>
      </c>
      <c r="B157" s="32" t="s">
        <v>17</v>
      </c>
      <c r="C157" s="33" t="s">
        <v>17</v>
      </c>
      <c r="D157" s="35">
        <v>45449</v>
      </c>
      <c r="E157" s="32">
        <v>221</v>
      </c>
      <c r="F157" s="32">
        <v>30055352</v>
      </c>
      <c r="G157" s="32" t="s">
        <v>423</v>
      </c>
      <c r="H157" s="26" t="s">
        <v>38</v>
      </c>
      <c r="I157" s="36">
        <v>1</v>
      </c>
      <c r="J157" s="32">
        <f>IF(MB25_VOLUMETRIA[[#This Row],[Reserva]]="","",1)</f>
        <v>1</v>
      </c>
      <c r="K157" s="36" t="str">
        <f>IF(MB25_VOLUMETRIA[[#This Row],[Reserva]]="","",IFERROR(VLOOKUP(MB25_VOLUMETRIA[[#This Row],[UMB]],CHAVE[],2,FALSE),"VERIFICAR"))</f>
        <v>Unidade</v>
      </c>
      <c r="L1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7" s="32" t="str">
        <f ca="1">IFERROR(VLOOKUP(MB25_VOLUMETRIA[[#This Row],[Reserva]],RES_AB[],14,FALSE),"")</f>
        <v>RESERVAS PENDENTES</v>
      </c>
      <c r="N157" s="32" t="str">
        <f>IF(MB25_VOLUMETRIA[[#This Row],[Cen.]]="","",IFERROR(VLOOKUP(MB25_VOLUMETRIA[[#This Row],[Cen.]],Dados_Empresas[],2,FALSE),"Verificar empresa"))</f>
        <v>EMBRATEL</v>
      </c>
      <c r="O1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8" spans="1:15" x14ac:dyDescent="0.25">
      <c r="A158" s="32">
        <v>4382820</v>
      </c>
      <c r="B158" s="32" t="s">
        <v>17</v>
      </c>
      <c r="C158" s="33" t="s">
        <v>17</v>
      </c>
      <c r="D158" s="35">
        <v>45449</v>
      </c>
      <c r="E158" s="32">
        <v>221</v>
      </c>
      <c r="F158" s="32">
        <v>30055352</v>
      </c>
      <c r="G158" s="32" t="s">
        <v>423</v>
      </c>
      <c r="H158" s="26" t="s">
        <v>38</v>
      </c>
      <c r="I158" s="36">
        <v>1</v>
      </c>
      <c r="J158" s="32">
        <f>IF(MB25_VOLUMETRIA[[#This Row],[Reserva]]="","",1)</f>
        <v>1</v>
      </c>
      <c r="K158" s="36" t="str">
        <f>IF(MB25_VOLUMETRIA[[#This Row],[Reserva]]="","",IFERROR(VLOOKUP(MB25_VOLUMETRIA[[#This Row],[UMB]],CHAVE[],2,FALSE),"VERIFICAR"))</f>
        <v>Unidade</v>
      </c>
      <c r="L15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8" s="32" t="str">
        <f ca="1">IFERROR(VLOOKUP(MB25_VOLUMETRIA[[#This Row],[Reserva]],RES_AB[],14,FALSE),"")</f>
        <v>RESERVAS PENDENTES</v>
      </c>
      <c r="N158" s="32" t="str">
        <f>IF(MB25_VOLUMETRIA[[#This Row],[Cen.]]="","",IFERROR(VLOOKUP(MB25_VOLUMETRIA[[#This Row],[Cen.]],Dados_Empresas[],2,FALSE),"Verificar empresa"))</f>
        <v>EMBRATEL</v>
      </c>
      <c r="O1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59" spans="1:15" x14ac:dyDescent="0.25">
      <c r="A159" s="32">
        <v>4382821</v>
      </c>
      <c r="B159" s="32" t="s">
        <v>17</v>
      </c>
      <c r="C159" s="33" t="s">
        <v>17</v>
      </c>
      <c r="D159" s="35">
        <v>45449</v>
      </c>
      <c r="E159" s="32">
        <v>201</v>
      </c>
      <c r="F159" s="32">
        <v>254384</v>
      </c>
      <c r="G159" s="32" t="s">
        <v>302</v>
      </c>
      <c r="H159" s="26" t="s">
        <v>38</v>
      </c>
      <c r="I159" s="36">
        <v>190</v>
      </c>
      <c r="J159" s="32">
        <f>IF(MB25_VOLUMETRIA[[#This Row],[Reserva]]="","",1)</f>
        <v>1</v>
      </c>
      <c r="K159" s="36" t="str">
        <f>IF(MB25_VOLUMETRIA[[#This Row],[Reserva]]="","",IFERROR(VLOOKUP(MB25_VOLUMETRIA[[#This Row],[UMB]],CHAVE[],2,FALSE),"VERIFICAR"))</f>
        <v>Unidade</v>
      </c>
      <c r="L1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59" s="32" t="str">
        <f ca="1">IFERROR(VLOOKUP(MB25_VOLUMETRIA[[#This Row],[Reserva]],RES_AB[],14,FALSE),"")</f>
        <v>RESERVAS PENDENTES</v>
      </c>
      <c r="N159" s="32" t="str">
        <f>IF(MB25_VOLUMETRIA[[#This Row],[Cen.]]="","",IFERROR(VLOOKUP(MB25_VOLUMETRIA[[#This Row],[Cen.]],Dados_Empresas[],2,FALSE),"Verificar empresa"))</f>
        <v>EMBRATEL</v>
      </c>
      <c r="O1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0" spans="1:15" x14ac:dyDescent="0.25">
      <c r="A160" s="32">
        <v>4382821</v>
      </c>
      <c r="B160" s="32" t="s">
        <v>17</v>
      </c>
      <c r="C160" s="33" t="s">
        <v>17</v>
      </c>
      <c r="D160" s="35">
        <v>45449</v>
      </c>
      <c r="E160" s="32">
        <v>201</v>
      </c>
      <c r="F160" s="32">
        <v>254490</v>
      </c>
      <c r="G160" s="32" t="s">
        <v>396</v>
      </c>
      <c r="H160" s="26" t="s">
        <v>38</v>
      </c>
      <c r="I160" s="36">
        <v>100</v>
      </c>
      <c r="J160" s="32">
        <f>IF(MB25_VOLUMETRIA[[#This Row],[Reserva]]="","",1)</f>
        <v>1</v>
      </c>
      <c r="K160" s="36" t="str">
        <f>IF(MB25_VOLUMETRIA[[#This Row],[Reserva]]="","",IFERROR(VLOOKUP(MB25_VOLUMETRIA[[#This Row],[UMB]],CHAVE[],2,FALSE),"VERIFICAR"))</f>
        <v>Unidade</v>
      </c>
      <c r="L16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0" s="32" t="str">
        <f ca="1">IFERROR(VLOOKUP(MB25_VOLUMETRIA[[#This Row],[Reserva]],RES_AB[],14,FALSE),"")</f>
        <v>RESERVAS PENDENTES</v>
      </c>
      <c r="N160" s="32" t="str">
        <f>IF(MB25_VOLUMETRIA[[#This Row],[Cen.]]="","",IFERROR(VLOOKUP(MB25_VOLUMETRIA[[#This Row],[Cen.]],Dados_Empresas[],2,FALSE),"Verificar empresa"))</f>
        <v>EMBRATEL</v>
      </c>
      <c r="O1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1" spans="1:15" x14ac:dyDescent="0.25">
      <c r="A161" s="32">
        <v>4382869</v>
      </c>
      <c r="B161" s="32" t="s">
        <v>17</v>
      </c>
      <c r="C161" s="33" t="s">
        <v>17</v>
      </c>
      <c r="D161" s="35">
        <v>45449</v>
      </c>
      <c r="E161" s="32">
        <v>201</v>
      </c>
      <c r="F161" s="32">
        <v>251887</v>
      </c>
      <c r="G161" s="32" t="s">
        <v>316</v>
      </c>
      <c r="H161" s="26" t="s">
        <v>38</v>
      </c>
      <c r="I161" s="36">
        <v>20</v>
      </c>
      <c r="J161" s="32">
        <f>IF(MB25_VOLUMETRIA[[#This Row],[Reserva]]="","",1)</f>
        <v>1</v>
      </c>
      <c r="K161" s="36" t="str">
        <f>IF(MB25_VOLUMETRIA[[#This Row],[Reserva]]="","",IFERROR(VLOOKUP(MB25_VOLUMETRIA[[#This Row],[UMB]],CHAVE[],2,FALSE),"VERIFICAR"))</f>
        <v>Unidade</v>
      </c>
      <c r="L1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1" s="32" t="str">
        <f ca="1">IFERROR(VLOOKUP(MB25_VOLUMETRIA[[#This Row],[Reserva]],RES_AB[],14,FALSE),"")</f>
        <v>RESERVAS PENDENTES</v>
      </c>
      <c r="N161" s="32" t="str">
        <f>IF(MB25_VOLUMETRIA[[#This Row],[Cen.]]="","",IFERROR(VLOOKUP(MB25_VOLUMETRIA[[#This Row],[Cen.]],Dados_Empresas[],2,FALSE),"Verificar empresa"))</f>
        <v>EMBRATEL</v>
      </c>
      <c r="O1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2" spans="1:15" x14ac:dyDescent="0.25">
      <c r="A162" s="32">
        <v>4382961</v>
      </c>
      <c r="B162" s="32" t="s">
        <v>17</v>
      </c>
      <c r="C162" s="33" t="s">
        <v>17</v>
      </c>
      <c r="D162" s="35">
        <v>45449</v>
      </c>
      <c r="E162" s="32">
        <v>221</v>
      </c>
      <c r="F162" s="32">
        <v>30054372</v>
      </c>
      <c r="G162" s="32" t="s">
        <v>311</v>
      </c>
      <c r="H162" s="26" t="s">
        <v>38</v>
      </c>
      <c r="I162" s="36">
        <v>1</v>
      </c>
      <c r="J162" s="32">
        <f>IF(MB25_VOLUMETRIA[[#This Row],[Reserva]]="","",1)</f>
        <v>1</v>
      </c>
      <c r="K162" s="36" t="str">
        <f>IF(MB25_VOLUMETRIA[[#This Row],[Reserva]]="","",IFERROR(VLOOKUP(MB25_VOLUMETRIA[[#This Row],[UMB]],CHAVE[],2,FALSE),"VERIFICAR"))</f>
        <v>Unidade</v>
      </c>
      <c r="L16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2" s="32" t="str">
        <f ca="1">IFERROR(VLOOKUP(MB25_VOLUMETRIA[[#This Row],[Reserva]],RES_AB[],14,FALSE),"")</f>
        <v>RESERVAS PENDENTES</v>
      </c>
      <c r="N162" s="32" t="str">
        <f>IF(MB25_VOLUMETRIA[[#This Row],[Cen.]]="","",IFERROR(VLOOKUP(MB25_VOLUMETRIA[[#This Row],[Cen.]],Dados_Empresas[],2,FALSE),"Verificar empresa"))</f>
        <v>EMBRATEL</v>
      </c>
      <c r="O1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3" spans="1:15" x14ac:dyDescent="0.25">
      <c r="A163" s="32">
        <v>4382962</v>
      </c>
      <c r="B163" s="32" t="s">
        <v>17</v>
      </c>
      <c r="C163" s="33" t="s">
        <v>17</v>
      </c>
      <c r="D163" s="35">
        <v>45449</v>
      </c>
      <c r="E163" s="32">
        <v>221</v>
      </c>
      <c r="F163" s="32">
        <v>30054372</v>
      </c>
      <c r="G163" s="32" t="s">
        <v>311</v>
      </c>
      <c r="H163" s="26" t="s">
        <v>38</v>
      </c>
      <c r="I163" s="36">
        <v>1</v>
      </c>
      <c r="J163" s="32">
        <f>IF(MB25_VOLUMETRIA[[#This Row],[Reserva]]="","",1)</f>
        <v>1</v>
      </c>
      <c r="K163" s="36" t="str">
        <f>IF(MB25_VOLUMETRIA[[#This Row],[Reserva]]="","",IFERROR(VLOOKUP(MB25_VOLUMETRIA[[#This Row],[UMB]],CHAVE[],2,FALSE),"VERIFICAR"))</f>
        <v>Unidade</v>
      </c>
      <c r="L16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3" s="32" t="str">
        <f ca="1">IFERROR(VLOOKUP(MB25_VOLUMETRIA[[#This Row],[Reserva]],RES_AB[],14,FALSE),"")</f>
        <v>RESERVAS PENDENTES</v>
      </c>
      <c r="N163" s="32" t="str">
        <f>IF(MB25_VOLUMETRIA[[#This Row],[Cen.]]="","",IFERROR(VLOOKUP(MB25_VOLUMETRIA[[#This Row],[Cen.]],Dados_Empresas[],2,FALSE),"Verificar empresa"))</f>
        <v>EMBRATEL</v>
      </c>
      <c r="O1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4" spans="1:15" x14ac:dyDescent="0.25">
      <c r="A164" s="32">
        <v>4382963</v>
      </c>
      <c r="B164" s="32" t="s">
        <v>17</v>
      </c>
      <c r="C164" s="33" t="s">
        <v>17</v>
      </c>
      <c r="D164" s="35">
        <v>45449</v>
      </c>
      <c r="E164" s="32">
        <v>221</v>
      </c>
      <c r="F164" s="32">
        <v>40000680</v>
      </c>
      <c r="G164" s="32" t="s">
        <v>426</v>
      </c>
      <c r="H164" s="26" t="s">
        <v>38</v>
      </c>
      <c r="I164" s="36">
        <v>1</v>
      </c>
      <c r="J164" s="32">
        <f>IF(MB25_VOLUMETRIA[[#This Row],[Reserva]]="","",1)</f>
        <v>1</v>
      </c>
      <c r="K164" s="36" t="str">
        <f>IF(MB25_VOLUMETRIA[[#This Row],[Reserva]]="","",IFERROR(VLOOKUP(MB25_VOLUMETRIA[[#This Row],[UMB]],CHAVE[],2,FALSE),"VERIFICAR"))</f>
        <v>Unidade</v>
      </c>
      <c r="L164" s="32" t="str">
        <f>IF(MB25_VOLUMETRIA[[#This Row],[Reserva]]="","",IFERROR(VLOOKUP(MB25_VOLUMETRIA[[#This Row],[Reserva]],Tabela3[[Reserva]:[Condição para Faturamento]],20,FALSE),"IMPORTADO COM SUCESSO"))</f>
        <v>EM RESSUPRIMENTO</v>
      </c>
      <c r="M164" s="32" t="str">
        <f ca="1">IFERROR(VLOOKUP(MB25_VOLUMETRIA[[#This Row],[Reserva]],RES_AB[],14,FALSE),"")</f>
        <v>RESERVAS PENDENTES</v>
      </c>
      <c r="N164" s="32" t="str">
        <f>IF(MB25_VOLUMETRIA[[#This Row],[Cen.]]="","",IFERROR(VLOOKUP(MB25_VOLUMETRIA[[#This Row],[Cen.]],Dados_Empresas[],2,FALSE),"Verificar empresa"))</f>
        <v>EMBRATEL</v>
      </c>
      <c r="O1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5" spans="1:15" x14ac:dyDescent="0.25">
      <c r="A165" s="32">
        <v>4382964</v>
      </c>
      <c r="B165" s="32" t="s">
        <v>17</v>
      </c>
      <c r="C165" s="33" t="s">
        <v>17</v>
      </c>
      <c r="D165" s="35">
        <v>45449</v>
      </c>
      <c r="E165" s="32">
        <v>301</v>
      </c>
      <c r="F165" s="32">
        <v>40000864</v>
      </c>
      <c r="G165" s="32" t="s">
        <v>384</v>
      </c>
      <c r="H165" s="26" t="s">
        <v>38</v>
      </c>
      <c r="I165" s="36">
        <v>1</v>
      </c>
      <c r="J165" s="32">
        <f>IF(MB25_VOLUMETRIA[[#This Row],[Reserva]]="","",1)</f>
        <v>1</v>
      </c>
      <c r="K165" s="36" t="str">
        <f>IF(MB25_VOLUMETRIA[[#This Row],[Reserva]]="","",IFERROR(VLOOKUP(MB25_VOLUMETRIA[[#This Row],[UMB]],CHAVE[],2,FALSE),"VERIFICAR"))</f>
        <v>Unidade</v>
      </c>
      <c r="L165" s="32" t="str">
        <f>IF(MB25_VOLUMETRIA[[#This Row],[Reserva]]="","",IFERROR(VLOOKUP(MB25_VOLUMETRIA[[#This Row],[Reserva]],Tabela3[[Reserva]:[Condição para Faturamento]],20,FALSE),"IMPORTADO COM SUCESSO"))</f>
        <v>EM RESSUPRIMENTO</v>
      </c>
      <c r="M165" s="32" t="str">
        <f ca="1">IFERROR(VLOOKUP(MB25_VOLUMETRIA[[#This Row],[Reserva]],RES_AB[],14,FALSE),"")</f>
        <v>RESERVAS PENDENTES</v>
      </c>
      <c r="N165" s="32" t="str">
        <f>IF(MB25_VOLUMETRIA[[#This Row],[Cen.]]="","",IFERROR(VLOOKUP(MB25_VOLUMETRIA[[#This Row],[Cen.]],Dados_Empresas[],2,FALSE),"Verificar empresa"))</f>
        <v>EMBRATEL</v>
      </c>
      <c r="O1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6" spans="1:15" x14ac:dyDescent="0.25">
      <c r="A166" s="32">
        <v>4382965</v>
      </c>
      <c r="B166" s="32" t="s">
        <v>17</v>
      </c>
      <c r="C166" s="33" t="s">
        <v>17</v>
      </c>
      <c r="D166" s="35">
        <v>45449</v>
      </c>
      <c r="E166" s="32">
        <v>221</v>
      </c>
      <c r="F166" s="32">
        <v>40000616</v>
      </c>
      <c r="G166" s="32" t="s">
        <v>386</v>
      </c>
      <c r="H166" s="26" t="s">
        <v>38</v>
      </c>
      <c r="I166" s="36">
        <v>1</v>
      </c>
      <c r="J166" s="32">
        <f>IF(MB25_VOLUMETRIA[[#This Row],[Reserva]]="","",1)</f>
        <v>1</v>
      </c>
      <c r="K166" s="36" t="str">
        <f>IF(MB25_VOLUMETRIA[[#This Row],[Reserva]]="","",IFERROR(VLOOKUP(MB25_VOLUMETRIA[[#This Row],[UMB]],CHAVE[],2,FALSE),"VERIFICAR"))</f>
        <v>Unidade</v>
      </c>
      <c r="L16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6" s="32" t="str">
        <f ca="1">IFERROR(VLOOKUP(MB25_VOLUMETRIA[[#This Row],[Reserva]],RES_AB[],14,FALSE),"")</f>
        <v>RESERVAS PENDENTES</v>
      </c>
      <c r="N166" s="32" t="str">
        <f>IF(MB25_VOLUMETRIA[[#This Row],[Cen.]]="","",IFERROR(VLOOKUP(MB25_VOLUMETRIA[[#This Row],[Cen.]],Dados_Empresas[],2,FALSE),"Verificar empresa"))</f>
        <v>EMBRATEL</v>
      </c>
      <c r="O1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7" spans="1:15" x14ac:dyDescent="0.25">
      <c r="A167" s="32">
        <v>4382966</v>
      </c>
      <c r="B167" s="32" t="s">
        <v>17</v>
      </c>
      <c r="C167" s="33" t="s">
        <v>17</v>
      </c>
      <c r="D167" s="35">
        <v>45449</v>
      </c>
      <c r="E167" s="32">
        <v>221</v>
      </c>
      <c r="F167" s="32">
        <v>30054372</v>
      </c>
      <c r="G167" s="32" t="s">
        <v>311</v>
      </c>
      <c r="H167" s="26" t="s">
        <v>38</v>
      </c>
      <c r="I167" s="36">
        <v>1</v>
      </c>
      <c r="J167" s="32">
        <f>IF(MB25_VOLUMETRIA[[#This Row],[Reserva]]="","",1)</f>
        <v>1</v>
      </c>
      <c r="K167" s="36" t="str">
        <f>IF(MB25_VOLUMETRIA[[#This Row],[Reserva]]="","",IFERROR(VLOOKUP(MB25_VOLUMETRIA[[#This Row],[UMB]],CHAVE[],2,FALSE),"VERIFICAR"))</f>
        <v>Unidade</v>
      </c>
      <c r="L16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7" s="32" t="str">
        <f ca="1">IFERROR(VLOOKUP(MB25_VOLUMETRIA[[#This Row],[Reserva]],RES_AB[],14,FALSE),"")</f>
        <v>RESERVAS PENDENTES</v>
      </c>
      <c r="N167" s="32" t="str">
        <f>IF(MB25_VOLUMETRIA[[#This Row],[Cen.]]="","",IFERROR(VLOOKUP(MB25_VOLUMETRIA[[#This Row],[Cen.]],Dados_Empresas[],2,FALSE),"Verificar empresa"))</f>
        <v>EMBRATEL</v>
      </c>
      <c r="O1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8" spans="1:15" x14ac:dyDescent="0.25">
      <c r="A168" s="32">
        <v>4382967</v>
      </c>
      <c r="B168" s="32" t="s">
        <v>17</v>
      </c>
      <c r="C168" s="33" t="s">
        <v>17</v>
      </c>
      <c r="D168" s="35">
        <v>45449</v>
      </c>
      <c r="E168" s="32">
        <v>221</v>
      </c>
      <c r="F168" s="32">
        <v>16008418</v>
      </c>
      <c r="G168" s="32" t="s">
        <v>385</v>
      </c>
      <c r="H168" s="26" t="s">
        <v>38</v>
      </c>
      <c r="I168" s="36">
        <v>1</v>
      </c>
      <c r="J168" s="32">
        <f>IF(MB25_VOLUMETRIA[[#This Row],[Reserva]]="","",1)</f>
        <v>1</v>
      </c>
      <c r="K168" s="36" t="str">
        <f>IF(MB25_VOLUMETRIA[[#This Row],[Reserva]]="","",IFERROR(VLOOKUP(MB25_VOLUMETRIA[[#This Row],[UMB]],CHAVE[],2,FALSE),"VERIFICAR"))</f>
        <v>Unidade</v>
      </c>
      <c r="L168" s="32" t="str">
        <f>IF(MB25_VOLUMETRIA[[#This Row],[Reserva]]="","",IFERROR(VLOOKUP(MB25_VOLUMETRIA[[#This Row],[Reserva]],Tabela3[[Reserva]:[Condição para Faturamento]],20,FALSE),"IMPORTADO COM SUCESSO"))</f>
        <v>EM RESSUPRIMENTO</v>
      </c>
      <c r="M168" s="32" t="str">
        <f ca="1">IFERROR(VLOOKUP(MB25_VOLUMETRIA[[#This Row],[Reserva]],RES_AB[],14,FALSE),"")</f>
        <v>RESERVAS PENDENTES</v>
      </c>
      <c r="N168" s="32" t="str">
        <f>IF(MB25_VOLUMETRIA[[#This Row],[Cen.]]="","",IFERROR(VLOOKUP(MB25_VOLUMETRIA[[#This Row],[Cen.]],Dados_Empresas[],2,FALSE),"Verificar empresa"))</f>
        <v>EMBRATEL</v>
      </c>
      <c r="O1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69" spans="1:15" x14ac:dyDescent="0.25">
      <c r="A169" s="32">
        <v>4382968</v>
      </c>
      <c r="B169" s="32" t="s">
        <v>17</v>
      </c>
      <c r="C169" s="33" t="s">
        <v>17</v>
      </c>
      <c r="D169" s="35">
        <v>45449</v>
      </c>
      <c r="E169" s="32">
        <v>221</v>
      </c>
      <c r="F169" s="32">
        <v>30054372</v>
      </c>
      <c r="G169" s="32" t="s">
        <v>311</v>
      </c>
      <c r="H169" s="26" t="s">
        <v>38</v>
      </c>
      <c r="I169" s="36">
        <v>1</v>
      </c>
      <c r="J169" s="32">
        <f>IF(MB25_VOLUMETRIA[[#This Row],[Reserva]]="","",1)</f>
        <v>1</v>
      </c>
      <c r="K169" s="36" t="str">
        <f>IF(MB25_VOLUMETRIA[[#This Row],[Reserva]]="","",IFERROR(VLOOKUP(MB25_VOLUMETRIA[[#This Row],[UMB]],CHAVE[],2,FALSE),"VERIFICAR"))</f>
        <v>Unidade</v>
      </c>
      <c r="L16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69" s="32" t="str">
        <f ca="1">IFERROR(VLOOKUP(MB25_VOLUMETRIA[[#This Row],[Reserva]],RES_AB[],14,FALSE),"")</f>
        <v>RESERVAS PENDENTES</v>
      </c>
      <c r="N169" s="32" t="str">
        <f>IF(MB25_VOLUMETRIA[[#This Row],[Cen.]]="","",IFERROR(VLOOKUP(MB25_VOLUMETRIA[[#This Row],[Cen.]],Dados_Empresas[],2,FALSE),"Verificar empresa"))</f>
        <v>EMBRATEL</v>
      </c>
      <c r="O1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0" spans="1:15" x14ac:dyDescent="0.25">
      <c r="A170" s="32">
        <v>4382969</v>
      </c>
      <c r="B170" s="32" t="s">
        <v>17</v>
      </c>
      <c r="C170" s="33" t="s">
        <v>17</v>
      </c>
      <c r="D170" s="35">
        <v>45449</v>
      </c>
      <c r="E170" s="32">
        <v>221</v>
      </c>
      <c r="F170" s="32">
        <v>30054372</v>
      </c>
      <c r="G170" s="32" t="s">
        <v>311</v>
      </c>
      <c r="H170" s="26" t="s">
        <v>38</v>
      </c>
      <c r="I170" s="36">
        <v>1</v>
      </c>
      <c r="J170" s="32">
        <f>IF(MB25_VOLUMETRIA[[#This Row],[Reserva]]="","",1)</f>
        <v>1</v>
      </c>
      <c r="K170" s="36" t="str">
        <f>IF(MB25_VOLUMETRIA[[#This Row],[Reserva]]="","",IFERROR(VLOOKUP(MB25_VOLUMETRIA[[#This Row],[UMB]],CHAVE[],2,FALSE),"VERIFICAR"))</f>
        <v>Unidade</v>
      </c>
      <c r="L17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0" s="32" t="str">
        <f ca="1">IFERROR(VLOOKUP(MB25_VOLUMETRIA[[#This Row],[Reserva]],RES_AB[],14,FALSE),"")</f>
        <v>RESERVAS PENDENTES</v>
      </c>
      <c r="N170" s="32" t="str">
        <f>IF(MB25_VOLUMETRIA[[#This Row],[Cen.]]="","",IFERROR(VLOOKUP(MB25_VOLUMETRIA[[#This Row],[Cen.]],Dados_Empresas[],2,FALSE),"Verificar empresa"))</f>
        <v>EMBRATEL</v>
      </c>
      <c r="O1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1" spans="1:15" x14ac:dyDescent="0.25">
      <c r="A171" s="32">
        <v>4382970</v>
      </c>
      <c r="B171" s="32" t="s">
        <v>17</v>
      </c>
      <c r="C171" s="33" t="s">
        <v>17</v>
      </c>
      <c r="D171" s="35">
        <v>45449</v>
      </c>
      <c r="E171" s="32">
        <v>221</v>
      </c>
      <c r="F171" s="32">
        <v>30054372</v>
      </c>
      <c r="G171" s="32" t="s">
        <v>311</v>
      </c>
      <c r="H171" s="26" t="s">
        <v>38</v>
      </c>
      <c r="I171" s="36">
        <v>1</v>
      </c>
      <c r="J171" s="32">
        <f>IF(MB25_VOLUMETRIA[[#This Row],[Reserva]]="","",1)</f>
        <v>1</v>
      </c>
      <c r="K171" s="36" t="str">
        <f>IF(MB25_VOLUMETRIA[[#This Row],[Reserva]]="","",IFERROR(VLOOKUP(MB25_VOLUMETRIA[[#This Row],[UMB]],CHAVE[],2,FALSE),"VERIFICAR"))</f>
        <v>Unidade</v>
      </c>
      <c r="L17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1" s="32" t="str">
        <f ca="1">IFERROR(VLOOKUP(MB25_VOLUMETRIA[[#This Row],[Reserva]],RES_AB[],14,FALSE),"")</f>
        <v>RESERVAS PENDENTES</v>
      </c>
      <c r="N171" s="32" t="str">
        <f>IF(MB25_VOLUMETRIA[[#This Row],[Cen.]]="","",IFERROR(VLOOKUP(MB25_VOLUMETRIA[[#This Row],[Cen.]],Dados_Empresas[],2,FALSE),"Verificar empresa"))</f>
        <v>EMBRATEL</v>
      </c>
      <c r="O1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2" spans="1:15" x14ac:dyDescent="0.25">
      <c r="A172" s="32">
        <v>4382971</v>
      </c>
      <c r="B172" s="32" t="s">
        <v>17</v>
      </c>
      <c r="C172" s="33" t="s">
        <v>17</v>
      </c>
      <c r="D172" s="35">
        <v>45449</v>
      </c>
      <c r="E172" s="32">
        <v>221</v>
      </c>
      <c r="F172" s="32">
        <v>30055389</v>
      </c>
      <c r="G172" s="32" t="s">
        <v>387</v>
      </c>
      <c r="H172" s="26" t="s">
        <v>38</v>
      </c>
      <c r="I172" s="36">
        <v>1</v>
      </c>
      <c r="J172" s="32">
        <f>IF(MB25_VOLUMETRIA[[#This Row],[Reserva]]="","",1)</f>
        <v>1</v>
      </c>
      <c r="K172" s="36" t="str">
        <f>IF(MB25_VOLUMETRIA[[#This Row],[Reserva]]="","",IFERROR(VLOOKUP(MB25_VOLUMETRIA[[#This Row],[UMB]],CHAVE[],2,FALSE),"VERIFICAR"))</f>
        <v>Unidade</v>
      </c>
      <c r="L17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2" s="32" t="str">
        <f ca="1">IFERROR(VLOOKUP(MB25_VOLUMETRIA[[#This Row],[Reserva]],RES_AB[],14,FALSE),"")</f>
        <v>RESERVAS PENDENTES</v>
      </c>
      <c r="N172" s="32" t="str">
        <f>IF(MB25_VOLUMETRIA[[#This Row],[Cen.]]="","",IFERROR(VLOOKUP(MB25_VOLUMETRIA[[#This Row],[Cen.]],Dados_Empresas[],2,FALSE),"Verificar empresa"))</f>
        <v>EMBRATEL</v>
      </c>
      <c r="O1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3" spans="1:15" x14ac:dyDescent="0.25">
      <c r="A173" s="32">
        <v>4382972</v>
      </c>
      <c r="B173" s="32" t="s">
        <v>17</v>
      </c>
      <c r="C173" s="33" t="s">
        <v>17</v>
      </c>
      <c r="D173" s="35">
        <v>45449</v>
      </c>
      <c r="E173" s="32">
        <v>221</v>
      </c>
      <c r="F173" s="32">
        <v>30054372</v>
      </c>
      <c r="G173" s="32" t="s">
        <v>311</v>
      </c>
      <c r="H173" s="26" t="s">
        <v>38</v>
      </c>
      <c r="I173" s="36">
        <v>1</v>
      </c>
      <c r="J173" s="32">
        <f>IF(MB25_VOLUMETRIA[[#This Row],[Reserva]]="","",1)</f>
        <v>1</v>
      </c>
      <c r="K173" s="36" t="str">
        <f>IF(MB25_VOLUMETRIA[[#This Row],[Reserva]]="","",IFERROR(VLOOKUP(MB25_VOLUMETRIA[[#This Row],[UMB]],CHAVE[],2,FALSE),"VERIFICAR"))</f>
        <v>Unidade</v>
      </c>
      <c r="L17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3" s="32" t="str">
        <f ca="1">IFERROR(VLOOKUP(MB25_VOLUMETRIA[[#This Row],[Reserva]],RES_AB[],14,FALSE),"")</f>
        <v>RESERVAS PENDENTES</v>
      </c>
      <c r="N173" s="32" t="str">
        <f>IF(MB25_VOLUMETRIA[[#This Row],[Cen.]]="","",IFERROR(VLOOKUP(MB25_VOLUMETRIA[[#This Row],[Cen.]],Dados_Empresas[],2,FALSE),"Verificar empresa"))</f>
        <v>EMBRATEL</v>
      </c>
      <c r="O1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4" spans="1:15" x14ac:dyDescent="0.25">
      <c r="A174" s="32">
        <v>4382973</v>
      </c>
      <c r="B174" s="32" t="s">
        <v>17</v>
      </c>
      <c r="C174" s="33" t="s">
        <v>17</v>
      </c>
      <c r="D174" s="35">
        <v>45449</v>
      </c>
      <c r="E174" s="32">
        <v>221</v>
      </c>
      <c r="F174" s="32">
        <v>30054372</v>
      </c>
      <c r="G174" s="32" t="s">
        <v>311</v>
      </c>
      <c r="H174" s="26" t="s">
        <v>38</v>
      </c>
      <c r="I174" s="36">
        <v>1</v>
      </c>
      <c r="J174" s="32">
        <f>IF(MB25_VOLUMETRIA[[#This Row],[Reserva]]="","",1)</f>
        <v>1</v>
      </c>
      <c r="K174" s="36" t="str">
        <f>IF(MB25_VOLUMETRIA[[#This Row],[Reserva]]="","",IFERROR(VLOOKUP(MB25_VOLUMETRIA[[#This Row],[UMB]],CHAVE[],2,FALSE),"VERIFICAR"))</f>
        <v>Unidade</v>
      </c>
      <c r="L17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4" s="32" t="str">
        <f ca="1">IFERROR(VLOOKUP(MB25_VOLUMETRIA[[#This Row],[Reserva]],RES_AB[],14,FALSE),"")</f>
        <v>RESERVAS PENDENTES</v>
      </c>
      <c r="N174" s="32" t="str">
        <f>IF(MB25_VOLUMETRIA[[#This Row],[Cen.]]="","",IFERROR(VLOOKUP(MB25_VOLUMETRIA[[#This Row],[Cen.]],Dados_Empresas[],2,FALSE),"Verificar empresa"))</f>
        <v>EMBRATEL</v>
      </c>
      <c r="O1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5" spans="1:15" x14ac:dyDescent="0.25">
      <c r="A175" s="32">
        <v>4382974</v>
      </c>
      <c r="B175" s="32" t="s">
        <v>17</v>
      </c>
      <c r="C175" s="33" t="s">
        <v>17</v>
      </c>
      <c r="D175" s="35">
        <v>45449</v>
      </c>
      <c r="E175" s="32">
        <v>221</v>
      </c>
      <c r="F175" s="32">
        <v>30054372</v>
      </c>
      <c r="G175" s="32" t="s">
        <v>311</v>
      </c>
      <c r="H175" s="26" t="s">
        <v>38</v>
      </c>
      <c r="I175" s="36">
        <v>2</v>
      </c>
      <c r="J175" s="32">
        <f>IF(MB25_VOLUMETRIA[[#This Row],[Reserva]]="","",1)</f>
        <v>1</v>
      </c>
      <c r="K175" s="36" t="str">
        <f>IF(MB25_VOLUMETRIA[[#This Row],[Reserva]]="","",IFERROR(VLOOKUP(MB25_VOLUMETRIA[[#This Row],[UMB]],CHAVE[],2,FALSE),"VERIFICAR"))</f>
        <v>Unidade</v>
      </c>
      <c r="L175" s="32" t="str">
        <f>IF(MB25_VOLUMETRIA[[#This Row],[Reserva]]="","",IFERROR(VLOOKUP(MB25_VOLUMETRIA[[#This Row],[Reserva]],Tabela3[[Reserva]:[Condição para Faturamento]],20,FALSE),"IMPORTADO COM SUCESSO"))</f>
        <v>EM RESSUPRIMENTO</v>
      </c>
      <c r="M175" s="32" t="str">
        <f ca="1">IFERROR(VLOOKUP(MB25_VOLUMETRIA[[#This Row],[Reserva]],RES_AB[],14,FALSE),"")</f>
        <v>RESERVAS PENDENTES</v>
      </c>
      <c r="N175" s="32" t="str">
        <f>IF(MB25_VOLUMETRIA[[#This Row],[Cen.]]="","",IFERROR(VLOOKUP(MB25_VOLUMETRIA[[#This Row],[Cen.]],Dados_Empresas[],2,FALSE),"Verificar empresa"))</f>
        <v>EMBRATEL</v>
      </c>
      <c r="O1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6" spans="1:15" x14ac:dyDescent="0.25">
      <c r="A176" s="32">
        <v>4382975</v>
      </c>
      <c r="B176" s="32" t="s">
        <v>17</v>
      </c>
      <c r="C176" s="33" t="s">
        <v>17</v>
      </c>
      <c r="D176" s="35">
        <v>45449</v>
      </c>
      <c r="E176" s="32">
        <v>221</v>
      </c>
      <c r="F176" s="32">
        <v>40000864</v>
      </c>
      <c r="G176" s="32" t="s">
        <v>384</v>
      </c>
      <c r="H176" s="26" t="s">
        <v>38</v>
      </c>
      <c r="I176" s="36">
        <v>1</v>
      </c>
      <c r="J176" s="32">
        <f>IF(MB25_VOLUMETRIA[[#This Row],[Reserva]]="","",1)</f>
        <v>1</v>
      </c>
      <c r="K176" s="36" t="str">
        <f>IF(MB25_VOLUMETRIA[[#This Row],[Reserva]]="","",IFERROR(VLOOKUP(MB25_VOLUMETRIA[[#This Row],[UMB]],CHAVE[],2,FALSE),"VERIFICAR"))</f>
        <v>Unidade</v>
      </c>
      <c r="L176" s="32" t="str">
        <f>IF(MB25_VOLUMETRIA[[#This Row],[Reserva]]="","",IFERROR(VLOOKUP(MB25_VOLUMETRIA[[#This Row],[Reserva]],Tabela3[[Reserva]:[Condição para Faturamento]],20,FALSE),"IMPORTADO COM SUCESSO"))</f>
        <v>EM RESSUPRIMENTO</v>
      </c>
      <c r="M176" s="32" t="str">
        <f ca="1">IFERROR(VLOOKUP(MB25_VOLUMETRIA[[#This Row],[Reserva]],RES_AB[],14,FALSE),"")</f>
        <v>RESERVAS PENDENTES</v>
      </c>
      <c r="N176" s="32" t="str">
        <f>IF(MB25_VOLUMETRIA[[#This Row],[Cen.]]="","",IFERROR(VLOOKUP(MB25_VOLUMETRIA[[#This Row],[Cen.]],Dados_Empresas[],2,FALSE),"Verificar empresa"))</f>
        <v>EMBRATEL</v>
      </c>
      <c r="O1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7" spans="1:15" x14ac:dyDescent="0.25">
      <c r="A177" s="32">
        <v>4382976</v>
      </c>
      <c r="B177" s="32" t="s">
        <v>17</v>
      </c>
      <c r="C177" s="33" t="s">
        <v>17</v>
      </c>
      <c r="D177" s="35">
        <v>45449</v>
      </c>
      <c r="E177" s="32">
        <v>221</v>
      </c>
      <c r="F177" s="32">
        <v>30054372</v>
      </c>
      <c r="G177" s="32" t="s">
        <v>311</v>
      </c>
      <c r="H177" s="26" t="s">
        <v>38</v>
      </c>
      <c r="I177" s="36">
        <v>2</v>
      </c>
      <c r="J177" s="32">
        <f>IF(MB25_VOLUMETRIA[[#This Row],[Reserva]]="","",1)</f>
        <v>1</v>
      </c>
      <c r="K177" s="36" t="str">
        <f>IF(MB25_VOLUMETRIA[[#This Row],[Reserva]]="","",IFERROR(VLOOKUP(MB25_VOLUMETRIA[[#This Row],[UMB]],CHAVE[],2,FALSE),"VERIFICAR"))</f>
        <v>Unidade</v>
      </c>
      <c r="L177" s="32" t="str">
        <f>IF(MB25_VOLUMETRIA[[#This Row],[Reserva]]="","",IFERROR(VLOOKUP(MB25_VOLUMETRIA[[#This Row],[Reserva]],Tabela3[[Reserva]:[Condição para Faturamento]],20,FALSE),"IMPORTADO COM SUCESSO"))</f>
        <v>EM RESSUPRIMENTO</v>
      </c>
      <c r="M177" s="32" t="str">
        <f ca="1">IFERROR(VLOOKUP(MB25_VOLUMETRIA[[#This Row],[Reserva]],RES_AB[],14,FALSE),"")</f>
        <v>RESERVAS PENDENTES</v>
      </c>
      <c r="N177" s="32" t="str">
        <f>IF(MB25_VOLUMETRIA[[#This Row],[Cen.]]="","",IFERROR(VLOOKUP(MB25_VOLUMETRIA[[#This Row],[Cen.]],Dados_Empresas[],2,FALSE),"Verificar empresa"))</f>
        <v>EMBRATEL</v>
      </c>
      <c r="O1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8" spans="1:15" x14ac:dyDescent="0.25">
      <c r="A178" s="32">
        <v>4382977</v>
      </c>
      <c r="B178" s="32" t="s">
        <v>17</v>
      </c>
      <c r="C178" s="33" t="s">
        <v>17</v>
      </c>
      <c r="D178" s="35">
        <v>45449</v>
      </c>
      <c r="E178" s="32">
        <v>221</v>
      </c>
      <c r="F178" s="32">
        <v>16008418</v>
      </c>
      <c r="G178" s="32" t="s">
        <v>385</v>
      </c>
      <c r="H178" s="26" t="s">
        <v>38</v>
      </c>
      <c r="I178" s="36">
        <v>1</v>
      </c>
      <c r="J178" s="32">
        <f>IF(MB25_VOLUMETRIA[[#This Row],[Reserva]]="","",1)</f>
        <v>1</v>
      </c>
      <c r="K178" s="36" t="str">
        <f>IF(MB25_VOLUMETRIA[[#This Row],[Reserva]]="","",IFERROR(VLOOKUP(MB25_VOLUMETRIA[[#This Row],[UMB]],CHAVE[],2,FALSE),"VERIFICAR"))</f>
        <v>Unidade</v>
      </c>
      <c r="L17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78" s="32" t="str">
        <f ca="1">IFERROR(VLOOKUP(MB25_VOLUMETRIA[[#This Row],[Reserva]],RES_AB[],14,FALSE),"")</f>
        <v>RESERVAS PENDENTES</v>
      </c>
      <c r="N178" s="32" t="str">
        <f>IF(MB25_VOLUMETRIA[[#This Row],[Cen.]]="","",IFERROR(VLOOKUP(MB25_VOLUMETRIA[[#This Row],[Cen.]],Dados_Empresas[],2,FALSE),"Verificar empresa"))</f>
        <v>EMBRATEL</v>
      </c>
      <c r="O1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79" spans="1:15" x14ac:dyDescent="0.25">
      <c r="A179" s="32">
        <v>4382978</v>
      </c>
      <c r="B179" s="32" t="s">
        <v>17</v>
      </c>
      <c r="C179" s="33" t="s">
        <v>17</v>
      </c>
      <c r="D179" s="35">
        <v>45449</v>
      </c>
      <c r="E179" s="32">
        <v>221</v>
      </c>
      <c r="F179" s="32">
        <v>40000864</v>
      </c>
      <c r="G179" s="32" t="s">
        <v>384</v>
      </c>
      <c r="H179" s="26" t="s">
        <v>38</v>
      </c>
      <c r="I179" s="36">
        <v>1</v>
      </c>
      <c r="J179" s="32">
        <f>IF(MB25_VOLUMETRIA[[#This Row],[Reserva]]="","",1)</f>
        <v>1</v>
      </c>
      <c r="K179" s="36" t="str">
        <f>IF(MB25_VOLUMETRIA[[#This Row],[Reserva]]="","",IFERROR(VLOOKUP(MB25_VOLUMETRIA[[#This Row],[UMB]],CHAVE[],2,FALSE),"VERIFICAR"))</f>
        <v>Unidade</v>
      </c>
      <c r="L179" s="32" t="str">
        <f>IF(MB25_VOLUMETRIA[[#This Row],[Reserva]]="","",IFERROR(VLOOKUP(MB25_VOLUMETRIA[[#This Row],[Reserva]],Tabela3[[Reserva]:[Condição para Faturamento]],20,FALSE),"IMPORTADO COM SUCESSO"))</f>
        <v>EM RESSUPRIMENTO</v>
      </c>
      <c r="M179" s="32" t="str">
        <f ca="1">IFERROR(VLOOKUP(MB25_VOLUMETRIA[[#This Row],[Reserva]],RES_AB[],14,FALSE),"")</f>
        <v>RESERVAS PENDENTES</v>
      </c>
      <c r="N179" s="32" t="str">
        <f>IF(MB25_VOLUMETRIA[[#This Row],[Cen.]]="","",IFERROR(VLOOKUP(MB25_VOLUMETRIA[[#This Row],[Cen.]],Dados_Empresas[],2,FALSE),"Verificar empresa"))</f>
        <v>EMBRATEL</v>
      </c>
      <c r="O1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0" spans="1:15" x14ac:dyDescent="0.25">
      <c r="A180" s="32">
        <v>4382979</v>
      </c>
      <c r="B180" s="32" t="s">
        <v>17</v>
      </c>
      <c r="C180" s="33" t="s">
        <v>17</v>
      </c>
      <c r="D180" s="35">
        <v>45449</v>
      </c>
      <c r="E180" s="32">
        <v>221</v>
      </c>
      <c r="F180" s="32">
        <v>30054372</v>
      </c>
      <c r="G180" s="32" t="s">
        <v>311</v>
      </c>
      <c r="H180" s="26" t="s">
        <v>38</v>
      </c>
      <c r="I180" s="36">
        <v>1</v>
      </c>
      <c r="J180" s="32">
        <f>IF(MB25_VOLUMETRIA[[#This Row],[Reserva]]="","",1)</f>
        <v>1</v>
      </c>
      <c r="K180" s="36" t="str">
        <f>IF(MB25_VOLUMETRIA[[#This Row],[Reserva]]="","",IFERROR(VLOOKUP(MB25_VOLUMETRIA[[#This Row],[UMB]],CHAVE[],2,FALSE),"VERIFICAR"))</f>
        <v>Unidade</v>
      </c>
      <c r="L180" s="32" t="str">
        <f>IF(MB25_VOLUMETRIA[[#This Row],[Reserva]]="","",IFERROR(VLOOKUP(MB25_VOLUMETRIA[[#This Row],[Reserva]],Tabela3[[Reserva]:[Condição para Faturamento]],20,FALSE),"IMPORTADO COM SUCESSO"))</f>
        <v>EM RESSUPRIMENTO</v>
      </c>
      <c r="M180" s="32" t="str">
        <f ca="1">IFERROR(VLOOKUP(MB25_VOLUMETRIA[[#This Row],[Reserva]],RES_AB[],14,FALSE),"")</f>
        <v>RESERVAS PENDENTES</v>
      </c>
      <c r="N180" s="32" t="str">
        <f>IF(MB25_VOLUMETRIA[[#This Row],[Cen.]]="","",IFERROR(VLOOKUP(MB25_VOLUMETRIA[[#This Row],[Cen.]],Dados_Empresas[],2,FALSE),"Verificar empresa"))</f>
        <v>EMBRATEL</v>
      </c>
      <c r="O1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1" spans="1:15" x14ac:dyDescent="0.25">
      <c r="A181" s="32">
        <v>4382980</v>
      </c>
      <c r="B181" s="32" t="s">
        <v>17</v>
      </c>
      <c r="C181" s="33" t="s">
        <v>17</v>
      </c>
      <c r="D181" s="35">
        <v>45449</v>
      </c>
      <c r="E181" s="32">
        <v>221</v>
      </c>
      <c r="F181" s="32">
        <v>30060996</v>
      </c>
      <c r="G181" s="32" t="s">
        <v>425</v>
      </c>
      <c r="H181" s="26" t="s">
        <v>38</v>
      </c>
      <c r="I181" s="36">
        <v>1</v>
      </c>
      <c r="J181" s="32">
        <f>IF(MB25_VOLUMETRIA[[#This Row],[Reserva]]="","",1)</f>
        <v>1</v>
      </c>
      <c r="K181" s="36" t="str">
        <f>IF(MB25_VOLUMETRIA[[#This Row],[Reserva]]="","",IFERROR(VLOOKUP(MB25_VOLUMETRIA[[#This Row],[UMB]],CHAVE[],2,FALSE),"VERIFICAR"))</f>
        <v>Unidade</v>
      </c>
      <c r="L181" s="32" t="str">
        <f>IF(MB25_VOLUMETRIA[[#This Row],[Reserva]]="","",IFERROR(VLOOKUP(MB25_VOLUMETRIA[[#This Row],[Reserva]],Tabela3[[Reserva]:[Condição para Faturamento]],20,FALSE),"IMPORTADO COM SUCESSO"))</f>
        <v>EM RESSUPRIMENTO</v>
      </c>
      <c r="M181" s="32" t="str">
        <f ca="1">IFERROR(VLOOKUP(MB25_VOLUMETRIA[[#This Row],[Reserva]],RES_AB[],14,FALSE),"")</f>
        <v>RESERVAS PENDENTES</v>
      </c>
      <c r="N181" s="32" t="str">
        <f>IF(MB25_VOLUMETRIA[[#This Row],[Cen.]]="","",IFERROR(VLOOKUP(MB25_VOLUMETRIA[[#This Row],[Cen.]],Dados_Empresas[],2,FALSE),"Verificar empresa"))</f>
        <v>EMBRATEL</v>
      </c>
      <c r="O1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2" spans="1:15" x14ac:dyDescent="0.25">
      <c r="A182" s="32">
        <v>4382981</v>
      </c>
      <c r="B182" s="32" t="s">
        <v>17</v>
      </c>
      <c r="C182" s="33" t="s">
        <v>17</v>
      </c>
      <c r="D182" s="35">
        <v>45449</v>
      </c>
      <c r="E182" s="32">
        <v>221</v>
      </c>
      <c r="F182" s="32">
        <v>30054372</v>
      </c>
      <c r="G182" s="32" t="s">
        <v>311</v>
      </c>
      <c r="H182" s="26" t="s">
        <v>38</v>
      </c>
      <c r="I182" s="36">
        <v>1</v>
      </c>
      <c r="J182" s="32">
        <f>IF(MB25_VOLUMETRIA[[#This Row],[Reserva]]="","",1)</f>
        <v>1</v>
      </c>
      <c r="K182" s="36" t="str">
        <f>IF(MB25_VOLUMETRIA[[#This Row],[Reserva]]="","",IFERROR(VLOOKUP(MB25_VOLUMETRIA[[#This Row],[UMB]],CHAVE[],2,FALSE),"VERIFICAR"))</f>
        <v>Unidade</v>
      </c>
      <c r="L182" s="32" t="str">
        <f>IF(MB25_VOLUMETRIA[[#This Row],[Reserva]]="","",IFERROR(VLOOKUP(MB25_VOLUMETRIA[[#This Row],[Reserva]],Tabela3[[Reserva]:[Condição para Faturamento]],20,FALSE),"IMPORTADO COM SUCESSO"))</f>
        <v>EM RESSUPRIMENTO</v>
      </c>
      <c r="M182" s="32" t="str">
        <f ca="1">IFERROR(VLOOKUP(MB25_VOLUMETRIA[[#This Row],[Reserva]],RES_AB[],14,FALSE),"")</f>
        <v>RESERVAS PENDENTES</v>
      </c>
      <c r="N182" s="32" t="str">
        <f>IF(MB25_VOLUMETRIA[[#This Row],[Cen.]]="","",IFERROR(VLOOKUP(MB25_VOLUMETRIA[[#This Row],[Cen.]],Dados_Empresas[],2,FALSE),"Verificar empresa"))</f>
        <v>EMBRATEL</v>
      </c>
      <c r="O1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3" spans="1:15" x14ac:dyDescent="0.25">
      <c r="A183" s="32">
        <v>4382982</v>
      </c>
      <c r="B183" s="32" t="s">
        <v>17</v>
      </c>
      <c r="C183" s="33" t="s">
        <v>17</v>
      </c>
      <c r="D183" s="35">
        <v>45449</v>
      </c>
      <c r="E183" s="32">
        <v>221</v>
      </c>
      <c r="F183" s="32">
        <v>30054372</v>
      </c>
      <c r="G183" s="32" t="s">
        <v>311</v>
      </c>
      <c r="H183" s="26" t="s">
        <v>38</v>
      </c>
      <c r="I183" s="36">
        <v>1</v>
      </c>
      <c r="J183" s="32">
        <f>IF(MB25_VOLUMETRIA[[#This Row],[Reserva]]="","",1)</f>
        <v>1</v>
      </c>
      <c r="K183" s="36" t="str">
        <f>IF(MB25_VOLUMETRIA[[#This Row],[Reserva]]="","",IFERROR(VLOOKUP(MB25_VOLUMETRIA[[#This Row],[UMB]],CHAVE[],2,FALSE),"VERIFICAR"))</f>
        <v>Unidade</v>
      </c>
      <c r="L183" s="32" t="str">
        <f>IF(MB25_VOLUMETRIA[[#This Row],[Reserva]]="","",IFERROR(VLOOKUP(MB25_VOLUMETRIA[[#This Row],[Reserva]],Tabela3[[Reserva]:[Condição para Faturamento]],20,FALSE),"IMPORTADO COM SUCESSO"))</f>
        <v>EM RESSUPRIMENTO</v>
      </c>
      <c r="M183" s="32" t="str">
        <f ca="1">IFERROR(VLOOKUP(MB25_VOLUMETRIA[[#This Row],[Reserva]],RES_AB[],14,FALSE),"")</f>
        <v>RESERVAS PENDENTES</v>
      </c>
      <c r="N183" s="32" t="str">
        <f>IF(MB25_VOLUMETRIA[[#This Row],[Cen.]]="","",IFERROR(VLOOKUP(MB25_VOLUMETRIA[[#This Row],[Cen.]],Dados_Empresas[],2,FALSE),"Verificar empresa"))</f>
        <v>EMBRATEL</v>
      </c>
      <c r="O1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4" spans="1:15" x14ac:dyDescent="0.25">
      <c r="A184" s="32">
        <v>4382983</v>
      </c>
      <c r="B184" s="32" t="s">
        <v>17</v>
      </c>
      <c r="C184" s="33" t="s">
        <v>17</v>
      </c>
      <c r="D184" s="35">
        <v>45449</v>
      </c>
      <c r="E184" s="32">
        <v>221</v>
      </c>
      <c r="F184" s="32">
        <v>40000864</v>
      </c>
      <c r="G184" s="32" t="s">
        <v>384</v>
      </c>
      <c r="H184" s="26" t="s">
        <v>38</v>
      </c>
      <c r="I184" s="36">
        <v>1</v>
      </c>
      <c r="J184" s="32">
        <f>IF(MB25_VOLUMETRIA[[#This Row],[Reserva]]="","",1)</f>
        <v>1</v>
      </c>
      <c r="K184" s="36" t="str">
        <f>IF(MB25_VOLUMETRIA[[#This Row],[Reserva]]="","",IFERROR(VLOOKUP(MB25_VOLUMETRIA[[#This Row],[UMB]],CHAVE[],2,FALSE),"VERIFICAR"))</f>
        <v>Unidade</v>
      </c>
      <c r="L184" s="32" t="str">
        <f>IF(MB25_VOLUMETRIA[[#This Row],[Reserva]]="","",IFERROR(VLOOKUP(MB25_VOLUMETRIA[[#This Row],[Reserva]],Tabela3[[Reserva]:[Condição para Faturamento]],20,FALSE),"IMPORTADO COM SUCESSO"))</f>
        <v>EM RESSUPRIMENTO</v>
      </c>
      <c r="M184" s="32" t="str">
        <f ca="1">IFERROR(VLOOKUP(MB25_VOLUMETRIA[[#This Row],[Reserva]],RES_AB[],14,FALSE),"")</f>
        <v>RESERVAS PENDENTES</v>
      </c>
      <c r="N184" s="32" t="str">
        <f>IF(MB25_VOLUMETRIA[[#This Row],[Cen.]]="","",IFERROR(VLOOKUP(MB25_VOLUMETRIA[[#This Row],[Cen.]],Dados_Empresas[],2,FALSE),"Verificar empresa"))</f>
        <v>EMBRATEL</v>
      </c>
      <c r="O1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5" spans="1:15" x14ac:dyDescent="0.25">
      <c r="A185" s="32">
        <v>4382984</v>
      </c>
      <c r="B185" s="32" t="s">
        <v>17</v>
      </c>
      <c r="C185" s="33" t="s">
        <v>17</v>
      </c>
      <c r="D185" s="35">
        <v>45449</v>
      </c>
      <c r="E185" s="32">
        <v>221</v>
      </c>
      <c r="F185" s="32">
        <v>40000864</v>
      </c>
      <c r="G185" s="32" t="s">
        <v>384</v>
      </c>
      <c r="H185" s="26" t="s">
        <v>38</v>
      </c>
      <c r="I185" s="36">
        <v>1</v>
      </c>
      <c r="J185" s="32">
        <f>IF(MB25_VOLUMETRIA[[#This Row],[Reserva]]="","",1)</f>
        <v>1</v>
      </c>
      <c r="K185" s="36" t="str">
        <f>IF(MB25_VOLUMETRIA[[#This Row],[Reserva]]="","",IFERROR(VLOOKUP(MB25_VOLUMETRIA[[#This Row],[UMB]],CHAVE[],2,FALSE),"VERIFICAR"))</f>
        <v>Unidade</v>
      </c>
      <c r="L185" s="32" t="str">
        <f>IF(MB25_VOLUMETRIA[[#This Row],[Reserva]]="","",IFERROR(VLOOKUP(MB25_VOLUMETRIA[[#This Row],[Reserva]],Tabela3[[Reserva]:[Condição para Faturamento]],20,FALSE),"IMPORTADO COM SUCESSO"))</f>
        <v>EM RESSUPRIMENTO</v>
      </c>
      <c r="M185" s="32" t="str">
        <f ca="1">IFERROR(VLOOKUP(MB25_VOLUMETRIA[[#This Row],[Reserva]],RES_AB[],14,FALSE),"")</f>
        <v>RESERVAS PENDENTES</v>
      </c>
      <c r="N185" s="32" t="str">
        <f>IF(MB25_VOLUMETRIA[[#This Row],[Cen.]]="","",IFERROR(VLOOKUP(MB25_VOLUMETRIA[[#This Row],[Cen.]],Dados_Empresas[],2,FALSE),"Verificar empresa"))</f>
        <v>EMBRATEL</v>
      </c>
      <c r="O1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6" spans="1:15" x14ac:dyDescent="0.25">
      <c r="A186" s="32">
        <v>4382985</v>
      </c>
      <c r="B186" s="32" t="s">
        <v>17</v>
      </c>
      <c r="C186" s="33" t="s">
        <v>17</v>
      </c>
      <c r="D186" s="35">
        <v>45449</v>
      </c>
      <c r="E186" s="32">
        <v>221</v>
      </c>
      <c r="F186" s="32">
        <v>40000864</v>
      </c>
      <c r="G186" s="32" t="s">
        <v>384</v>
      </c>
      <c r="H186" s="26" t="s">
        <v>38</v>
      </c>
      <c r="I186" s="36">
        <v>1</v>
      </c>
      <c r="J186" s="32">
        <f>IF(MB25_VOLUMETRIA[[#This Row],[Reserva]]="","",1)</f>
        <v>1</v>
      </c>
      <c r="K186" s="36" t="str">
        <f>IF(MB25_VOLUMETRIA[[#This Row],[Reserva]]="","",IFERROR(VLOOKUP(MB25_VOLUMETRIA[[#This Row],[UMB]],CHAVE[],2,FALSE),"VERIFICAR"))</f>
        <v>Unidade</v>
      </c>
      <c r="L186" s="32" t="str">
        <f>IF(MB25_VOLUMETRIA[[#This Row],[Reserva]]="","",IFERROR(VLOOKUP(MB25_VOLUMETRIA[[#This Row],[Reserva]],Tabela3[[Reserva]:[Condição para Faturamento]],20,FALSE),"IMPORTADO COM SUCESSO"))</f>
        <v>EM RESSUPRIMENTO</v>
      </c>
      <c r="M186" s="32" t="str">
        <f ca="1">IFERROR(VLOOKUP(MB25_VOLUMETRIA[[#This Row],[Reserva]],RES_AB[],14,FALSE),"")</f>
        <v>RESERVAS PENDENTES</v>
      </c>
      <c r="N186" s="32" t="str">
        <f>IF(MB25_VOLUMETRIA[[#This Row],[Cen.]]="","",IFERROR(VLOOKUP(MB25_VOLUMETRIA[[#This Row],[Cen.]],Dados_Empresas[],2,FALSE),"Verificar empresa"))</f>
        <v>EMBRATEL</v>
      </c>
      <c r="O1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7" spans="1:15" x14ac:dyDescent="0.25">
      <c r="A187" s="32">
        <v>4382986</v>
      </c>
      <c r="B187" s="32" t="s">
        <v>17</v>
      </c>
      <c r="C187" s="33" t="s">
        <v>17</v>
      </c>
      <c r="D187" s="35">
        <v>45449</v>
      </c>
      <c r="E187" s="32">
        <v>221</v>
      </c>
      <c r="F187" s="32">
        <v>40000864</v>
      </c>
      <c r="G187" s="32" t="s">
        <v>384</v>
      </c>
      <c r="H187" s="26" t="s">
        <v>38</v>
      </c>
      <c r="I187" s="36">
        <v>1</v>
      </c>
      <c r="J187" s="32">
        <f>IF(MB25_VOLUMETRIA[[#This Row],[Reserva]]="","",1)</f>
        <v>1</v>
      </c>
      <c r="K187" s="36" t="str">
        <f>IF(MB25_VOLUMETRIA[[#This Row],[Reserva]]="","",IFERROR(VLOOKUP(MB25_VOLUMETRIA[[#This Row],[UMB]],CHAVE[],2,FALSE),"VERIFICAR"))</f>
        <v>Unidade</v>
      </c>
      <c r="L187" s="32" t="str">
        <f>IF(MB25_VOLUMETRIA[[#This Row],[Reserva]]="","",IFERROR(VLOOKUP(MB25_VOLUMETRIA[[#This Row],[Reserva]],Tabela3[[Reserva]:[Condição para Faturamento]],20,FALSE),"IMPORTADO COM SUCESSO"))</f>
        <v>EM RESSUPRIMENTO</v>
      </c>
      <c r="M187" s="32" t="str">
        <f ca="1">IFERROR(VLOOKUP(MB25_VOLUMETRIA[[#This Row],[Reserva]],RES_AB[],14,FALSE),"")</f>
        <v>RESERVAS PENDENTES</v>
      </c>
      <c r="N187" s="32" t="str">
        <f>IF(MB25_VOLUMETRIA[[#This Row],[Cen.]]="","",IFERROR(VLOOKUP(MB25_VOLUMETRIA[[#This Row],[Cen.]],Dados_Empresas[],2,FALSE),"Verificar empresa"))</f>
        <v>EMBRATEL</v>
      </c>
      <c r="O1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8" spans="1:15" x14ac:dyDescent="0.25">
      <c r="A188" s="32">
        <v>4382987</v>
      </c>
      <c r="B188" s="32" t="s">
        <v>17</v>
      </c>
      <c r="C188" s="33" t="s">
        <v>17</v>
      </c>
      <c r="D188" s="35">
        <v>45449</v>
      </c>
      <c r="E188" s="32">
        <v>221</v>
      </c>
      <c r="F188" s="32">
        <v>30054372</v>
      </c>
      <c r="G188" s="32" t="s">
        <v>311</v>
      </c>
      <c r="H188" s="26" t="s">
        <v>38</v>
      </c>
      <c r="I188" s="36">
        <v>1</v>
      </c>
      <c r="J188" s="32">
        <f>IF(MB25_VOLUMETRIA[[#This Row],[Reserva]]="","",1)</f>
        <v>1</v>
      </c>
      <c r="K188" s="36" t="str">
        <f>IF(MB25_VOLUMETRIA[[#This Row],[Reserva]]="","",IFERROR(VLOOKUP(MB25_VOLUMETRIA[[#This Row],[UMB]],CHAVE[],2,FALSE),"VERIFICAR"))</f>
        <v>Unidade</v>
      </c>
      <c r="L188" s="32" t="str">
        <f>IF(MB25_VOLUMETRIA[[#This Row],[Reserva]]="","",IFERROR(VLOOKUP(MB25_VOLUMETRIA[[#This Row],[Reserva]],Tabela3[[Reserva]:[Condição para Faturamento]],20,FALSE),"IMPORTADO COM SUCESSO"))</f>
        <v>EM RESSUPRIMENTO</v>
      </c>
      <c r="M188" s="32" t="str">
        <f ca="1">IFERROR(VLOOKUP(MB25_VOLUMETRIA[[#This Row],[Reserva]],RES_AB[],14,FALSE),"")</f>
        <v>RESERVAS PENDENTES</v>
      </c>
      <c r="N188" s="32" t="str">
        <f>IF(MB25_VOLUMETRIA[[#This Row],[Cen.]]="","",IFERROR(VLOOKUP(MB25_VOLUMETRIA[[#This Row],[Cen.]],Dados_Empresas[],2,FALSE),"Verificar empresa"))</f>
        <v>EMBRATEL</v>
      </c>
      <c r="O1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89" spans="1:15" x14ac:dyDescent="0.25">
      <c r="A189" s="32">
        <v>4382988</v>
      </c>
      <c r="B189" s="32" t="s">
        <v>17</v>
      </c>
      <c r="C189" s="33" t="s">
        <v>17</v>
      </c>
      <c r="D189" s="35">
        <v>45449</v>
      </c>
      <c r="E189" s="32">
        <v>221</v>
      </c>
      <c r="F189" s="32">
        <v>30054372</v>
      </c>
      <c r="G189" s="32" t="s">
        <v>311</v>
      </c>
      <c r="H189" s="26" t="s">
        <v>38</v>
      </c>
      <c r="I189" s="36">
        <v>1</v>
      </c>
      <c r="J189" s="32">
        <f>IF(MB25_VOLUMETRIA[[#This Row],[Reserva]]="","",1)</f>
        <v>1</v>
      </c>
      <c r="K189" s="36" t="str">
        <f>IF(MB25_VOLUMETRIA[[#This Row],[Reserva]]="","",IFERROR(VLOOKUP(MB25_VOLUMETRIA[[#This Row],[UMB]],CHAVE[],2,FALSE),"VERIFICAR"))</f>
        <v>Unidade</v>
      </c>
      <c r="L189" s="32" t="str">
        <f>IF(MB25_VOLUMETRIA[[#This Row],[Reserva]]="","",IFERROR(VLOOKUP(MB25_VOLUMETRIA[[#This Row],[Reserva]],Tabela3[[Reserva]:[Condição para Faturamento]],20,FALSE),"IMPORTADO COM SUCESSO"))</f>
        <v>EM RESSUPRIMENTO</v>
      </c>
      <c r="M189" s="32" t="str">
        <f ca="1">IFERROR(VLOOKUP(MB25_VOLUMETRIA[[#This Row],[Reserva]],RES_AB[],14,FALSE),"")</f>
        <v>RESERVAS PENDENTES</v>
      </c>
      <c r="N189" s="32" t="str">
        <f>IF(MB25_VOLUMETRIA[[#This Row],[Cen.]]="","",IFERROR(VLOOKUP(MB25_VOLUMETRIA[[#This Row],[Cen.]],Dados_Empresas[],2,FALSE),"Verificar empresa"))</f>
        <v>EMBRATEL</v>
      </c>
      <c r="O1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0" spans="1:15" x14ac:dyDescent="0.25">
      <c r="A190" s="32">
        <v>4382988</v>
      </c>
      <c r="B190" s="32" t="s">
        <v>17</v>
      </c>
      <c r="C190" s="33" t="s">
        <v>17</v>
      </c>
      <c r="D190" s="35">
        <v>45449</v>
      </c>
      <c r="E190" s="32">
        <v>221</v>
      </c>
      <c r="F190" s="32">
        <v>30054372</v>
      </c>
      <c r="G190" s="32" t="s">
        <v>311</v>
      </c>
      <c r="H190" s="26" t="s">
        <v>38</v>
      </c>
      <c r="I190" s="36">
        <v>1</v>
      </c>
      <c r="J190" s="32">
        <f>IF(MB25_VOLUMETRIA[[#This Row],[Reserva]]="","",1)</f>
        <v>1</v>
      </c>
      <c r="K190" s="36" t="str">
        <f>IF(MB25_VOLUMETRIA[[#This Row],[Reserva]]="","",IFERROR(VLOOKUP(MB25_VOLUMETRIA[[#This Row],[UMB]],CHAVE[],2,FALSE),"VERIFICAR"))</f>
        <v>Unidade</v>
      </c>
      <c r="L190" s="32" t="str">
        <f>IF(MB25_VOLUMETRIA[[#This Row],[Reserva]]="","",IFERROR(VLOOKUP(MB25_VOLUMETRIA[[#This Row],[Reserva]],Tabela3[[Reserva]:[Condição para Faturamento]],20,FALSE),"IMPORTADO COM SUCESSO"))</f>
        <v>EM RESSUPRIMENTO</v>
      </c>
      <c r="M190" s="32" t="str">
        <f ca="1">IFERROR(VLOOKUP(MB25_VOLUMETRIA[[#This Row],[Reserva]],RES_AB[],14,FALSE),"")</f>
        <v>RESERVAS PENDENTES</v>
      </c>
      <c r="N190" s="32" t="str">
        <f>IF(MB25_VOLUMETRIA[[#This Row],[Cen.]]="","",IFERROR(VLOOKUP(MB25_VOLUMETRIA[[#This Row],[Cen.]],Dados_Empresas[],2,FALSE),"Verificar empresa"))</f>
        <v>EMBRATEL</v>
      </c>
      <c r="O1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1" spans="1:15" x14ac:dyDescent="0.25">
      <c r="A191" s="32">
        <v>4382989</v>
      </c>
      <c r="B191" s="32" t="s">
        <v>17</v>
      </c>
      <c r="C191" s="33" t="s">
        <v>17</v>
      </c>
      <c r="D191" s="35">
        <v>45449</v>
      </c>
      <c r="E191" s="32">
        <v>221</v>
      </c>
      <c r="F191" s="32">
        <v>30054372</v>
      </c>
      <c r="G191" s="32" t="s">
        <v>311</v>
      </c>
      <c r="H191" s="26" t="s">
        <v>38</v>
      </c>
      <c r="I191" s="36">
        <v>1</v>
      </c>
      <c r="J191" s="32">
        <f>IF(MB25_VOLUMETRIA[[#This Row],[Reserva]]="","",1)</f>
        <v>1</v>
      </c>
      <c r="K191" s="36" t="str">
        <f>IF(MB25_VOLUMETRIA[[#This Row],[Reserva]]="","",IFERROR(VLOOKUP(MB25_VOLUMETRIA[[#This Row],[UMB]],CHAVE[],2,FALSE),"VERIFICAR"))</f>
        <v>Unidade</v>
      </c>
      <c r="L191" s="32" t="str">
        <f>IF(MB25_VOLUMETRIA[[#This Row],[Reserva]]="","",IFERROR(VLOOKUP(MB25_VOLUMETRIA[[#This Row],[Reserva]],Tabela3[[Reserva]:[Condição para Faturamento]],20,FALSE),"IMPORTADO COM SUCESSO"))</f>
        <v>EM RESSUPRIMENTO</v>
      </c>
      <c r="M191" s="32" t="str">
        <f ca="1">IFERROR(VLOOKUP(MB25_VOLUMETRIA[[#This Row],[Reserva]],RES_AB[],14,FALSE),"")</f>
        <v>RESERVAS PENDENTES</v>
      </c>
      <c r="N191" s="32" t="str">
        <f>IF(MB25_VOLUMETRIA[[#This Row],[Cen.]]="","",IFERROR(VLOOKUP(MB25_VOLUMETRIA[[#This Row],[Cen.]],Dados_Empresas[],2,FALSE),"Verificar empresa"))</f>
        <v>EMBRATEL</v>
      </c>
      <c r="O1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2" spans="1:15" x14ac:dyDescent="0.25">
      <c r="A192" s="32">
        <v>4382990</v>
      </c>
      <c r="B192" s="32" t="s">
        <v>17</v>
      </c>
      <c r="C192" s="33" t="s">
        <v>17</v>
      </c>
      <c r="D192" s="35">
        <v>45449</v>
      </c>
      <c r="E192" s="32">
        <v>221</v>
      </c>
      <c r="F192" s="32">
        <v>40000864</v>
      </c>
      <c r="G192" s="32" t="s">
        <v>384</v>
      </c>
      <c r="H192" s="26" t="s">
        <v>38</v>
      </c>
      <c r="I192" s="36">
        <v>1</v>
      </c>
      <c r="J192" s="32">
        <f>IF(MB25_VOLUMETRIA[[#This Row],[Reserva]]="","",1)</f>
        <v>1</v>
      </c>
      <c r="K192" s="36" t="str">
        <f>IF(MB25_VOLUMETRIA[[#This Row],[Reserva]]="","",IFERROR(VLOOKUP(MB25_VOLUMETRIA[[#This Row],[UMB]],CHAVE[],2,FALSE),"VERIFICAR"))</f>
        <v>Unidade</v>
      </c>
      <c r="L192" s="32" t="str">
        <f>IF(MB25_VOLUMETRIA[[#This Row],[Reserva]]="","",IFERROR(VLOOKUP(MB25_VOLUMETRIA[[#This Row],[Reserva]],Tabela3[[Reserva]:[Condição para Faturamento]],20,FALSE),"IMPORTADO COM SUCESSO"))</f>
        <v>EM RESSUPRIMENTO</v>
      </c>
      <c r="M192" s="32" t="str">
        <f ca="1">IFERROR(VLOOKUP(MB25_VOLUMETRIA[[#This Row],[Reserva]],RES_AB[],14,FALSE),"")</f>
        <v>RESERVAS PENDENTES</v>
      </c>
      <c r="N192" s="32" t="str">
        <f>IF(MB25_VOLUMETRIA[[#This Row],[Cen.]]="","",IFERROR(VLOOKUP(MB25_VOLUMETRIA[[#This Row],[Cen.]],Dados_Empresas[],2,FALSE),"Verificar empresa"))</f>
        <v>EMBRATEL</v>
      </c>
      <c r="O1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3" spans="1:15" x14ac:dyDescent="0.25">
      <c r="A193" s="32">
        <v>4383065</v>
      </c>
      <c r="B193" s="32" t="s">
        <v>17</v>
      </c>
      <c r="C193" s="33" t="s">
        <v>17</v>
      </c>
      <c r="D193" s="35">
        <v>45449</v>
      </c>
      <c r="E193" s="32">
        <v>221</v>
      </c>
      <c r="F193" s="32">
        <v>22049410</v>
      </c>
      <c r="G193" s="32" t="s">
        <v>390</v>
      </c>
      <c r="H193" s="26" t="s">
        <v>38</v>
      </c>
      <c r="I193" s="36">
        <v>10</v>
      </c>
      <c r="J193" s="32">
        <f>IF(MB25_VOLUMETRIA[[#This Row],[Reserva]]="","",1)</f>
        <v>1</v>
      </c>
      <c r="K193" s="36" t="str">
        <f>IF(MB25_VOLUMETRIA[[#This Row],[Reserva]]="","",IFERROR(VLOOKUP(MB25_VOLUMETRIA[[#This Row],[UMB]],CHAVE[],2,FALSE),"VERIFICAR"))</f>
        <v>Unidade</v>
      </c>
      <c r="L193" s="32" t="str">
        <f>IF(MB25_VOLUMETRIA[[#This Row],[Reserva]]="","",IFERROR(VLOOKUP(MB25_VOLUMETRIA[[#This Row],[Reserva]],Tabela3[[Reserva]:[Condição para Faturamento]],20,FALSE),"IMPORTADO COM SUCESSO"))</f>
        <v>IMPORTADO</v>
      </c>
      <c r="M193" s="32" t="str">
        <f ca="1">IFERROR(VLOOKUP(MB25_VOLUMETRIA[[#This Row],[Reserva]],RES_AB[],14,FALSE),"")</f>
        <v>RESERVAS PENDENTES</v>
      </c>
      <c r="N193" s="32" t="str">
        <f>IF(MB25_VOLUMETRIA[[#This Row],[Cen.]]="","",IFERROR(VLOOKUP(MB25_VOLUMETRIA[[#This Row],[Cen.]],Dados_Empresas[],2,FALSE),"Verificar empresa"))</f>
        <v>EMBRATEL</v>
      </c>
      <c r="O1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4" spans="1:15" x14ac:dyDescent="0.25">
      <c r="A194" s="32">
        <v>4383066</v>
      </c>
      <c r="B194" s="32" t="s">
        <v>17</v>
      </c>
      <c r="C194" s="33" t="s">
        <v>17</v>
      </c>
      <c r="D194" s="35">
        <v>45449</v>
      </c>
      <c r="E194" s="32">
        <v>301</v>
      </c>
      <c r="F194" s="32">
        <v>22049410</v>
      </c>
      <c r="G194" s="32" t="s">
        <v>390</v>
      </c>
      <c r="H194" s="26" t="s">
        <v>38</v>
      </c>
      <c r="I194" s="36">
        <v>14</v>
      </c>
      <c r="J194" s="32">
        <f>IF(MB25_VOLUMETRIA[[#This Row],[Reserva]]="","",1)</f>
        <v>1</v>
      </c>
      <c r="K194" s="36" t="str">
        <f>IF(MB25_VOLUMETRIA[[#This Row],[Reserva]]="","",IFERROR(VLOOKUP(MB25_VOLUMETRIA[[#This Row],[UMB]],CHAVE[],2,FALSE),"VERIFICAR"))</f>
        <v>Unidade</v>
      </c>
      <c r="L194" s="32" t="str">
        <f>IF(MB25_VOLUMETRIA[[#This Row],[Reserva]]="","",IFERROR(VLOOKUP(MB25_VOLUMETRIA[[#This Row],[Reserva]],Tabela3[[Reserva]:[Condição para Faturamento]],20,FALSE),"IMPORTADO COM SUCESSO"))</f>
        <v>IMPORTADO</v>
      </c>
      <c r="M194" s="32" t="str">
        <f ca="1">IFERROR(VLOOKUP(MB25_VOLUMETRIA[[#This Row],[Reserva]],RES_AB[],14,FALSE),"")</f>
        <v>RESERVAS PENDENTES</v>
      </c>
      <c r="N194" s="32" t="str">
        <f>IF(MB25_VOLUMETRIA[[#This Row],[Cen.]]="","",IFERROR(VLOOKUP(MB25_VOLUMETRIA[[#This Row],[Cen.]],Dados_Empresas[],2,FALSE),"Verificar empresa"))</f>
        <v>EMBRATEL</v>
      </c>
      <c r="O1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5" spans="1:15" x14ac:dyDescent="0.25">
      <c r="A195" s="32">
        <v>4383067</v>
      </c>
      <c r="B195" s="32" t="s">
        <v>17</v>
      </c>
      <c r="C195" s="33" t="s">
        <v>17</v>
      </c>
      <c r="D195" s="35">
        <v>45449</v>
      </c>
      <c r="E195" s="32">
        <v>221</v>
      </c>
      <c r="F195" s="32">
        <v>22049410</v>
      </c>
      <c r="G195" s="32" t="s">
        <v>390</v>
      </c>
      <c r="H195" s="26" t="s">
        <v>38</v>
      </c>
      <c r="I195" s="36">
        <v>12</v>
      </c>
      <c r="J195" s="32">
        <f>IF(MB25_VOLUMETRIA[[#This Row],[Reserva]]="","",1)</f>
        <v>1</v>
      </c>
      <c r="K195" s="36" t="str">
        <f>IF(MB25_VOLUMETRIA[[#This Row],[Reserva]]="","",IFERROR(VLOOKUP(MB25_VOLUMETRIA[[#This Row],[UMB]],CHAVE[],2,FALSE),"VERIFICAR"))</f>
        <v>Unidade</v>
      </c>
      <c r="L195" s="32" t="str">
        <f>IF(MB25_VOLUMETRIA[[#This Row],[Reserva]]="","",IFERROR(VLOOKUP(MB25_VOLUMETRIA[[#This Row],[Reserva]],Tabela3[[Reserva]:[Condição para Faturamento]],20,FALSE),"IMPORTADO COM SUCESSO"))</f>
        <v>IMPORTADO</v>
      </c>
      <c r="M195" s="32" t="str">
        <f ca="1">IFERROR(VLOOKUP(MB25_VOLUMETRIA[[#This Row],[Reserva]],RES_AB[],14,FALSE),"")</f>
        <v>RESERVAS PENDENTES</v>
      </c>
      <c r="N195" s="32" t="str">
        <f>IF(MB25_VOLUMETRIA[[#This Row],[Cen.]]="","",IFERROR(VLOOKUP(MB25_VOLUMETRIA[[#This Row],[Cen.]],Dados_Empresas[],2,FALSE),"Verificar empresa"))</f>
        <v>EMBRATEL</v>
      </c>
      <c r="O1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6" spans="1:15" x14ac:dyDescent="0.25">
      <c r="A196" s="32">
        <v>4383068</v>
      </c>
      <c r="B196" s="32" t="s">
        <v>17</v>
      </c>
      <c r="C196" s="33" t="s">
        <v>17</v>
      </c>
      <c r="D196" s="35">
        <v>45449</v>
      </c>
      <c r="E196" s="32">
        <v>301</v>
      </c>
      <c r="F196" s="32">
        <v>22049410</v>
      </c>
      <c r="G196" s="32" t="s">
        <v>390</v>
      </c>
      <c r="H196" s="26" t="s">
        <v>38</v>
      </c>
      <c r="I196" s="36">
        <v>78</v>
      </c>
      <c r="J196" s="32">
        <f>IF(MB25_VOLUMETRIA[[#This Row],[Reserva]]="","",1)</f>
        <v>1</v>
      </c>
      <c r="K196" s="36" t="str">
        <f>IF(MB25_VOLUMETRIA[[#This Row],[Reserva]]="","",IFERROR(VLOOKUP(MB25_VOLUMETRIA[[#This Row],[UMB]],CHAVE[],2,FALSE),"VERIFICAR"))</f>
        <v>Unidade</v>
      </c>
      <c r="L196" s="32" t="str">
        <f>IF(MB25_VOLUMETRIA[[#This Row],[Reserva]]="","",IFERROR(VLOOKUP(MB25_VOLUMETRIA[[#This Row],[Reserva]],Tabela3[[Reserva]:[Condição para Faturamento]],20,FALSE),"IMPORTADO COM SUCESSO"))</f>
        <v>IMPORTADO</v>
      </c>
      <c r="M196" s="32" t="str">
        <f ca="1">IFERROR(VLOOKUP(MB25_VOLUMETRIA[[#This Row],[Reserva]],RES_AB[],14,FALSE),"")</f>
        <v>RESERVAS PENDENTES</v>
      </c>
      <c r="N196" s="32" t="str">
        <f>IF(MB25_VOLUMETRIA[[#This Row],[Cen.]]="","",IFERROR(VLOOKUP(MB25_VOLUMETRIA[[#This Row],[Cen.]],Dados_Empresas[],2,FALSE),"Verificar empresa"))</f>
        <v>EMBRATEL</v>
      </c>
      <c r="O1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7" spans="1:15" x14ac:dyDescent="0.25">
      <c r="A197" s="32">
        <v>4383069</v>
      </c>
      <c r="B197" s="32" t="s">
        <v>17</v>
      </c>
      <c r="C197" s="33" t="s">
        <v>17</v>
      </c>
      <c r="D197" s="35">
        <v>45449</v>
      </c>
      <c r="E197" s="32">
        <v>221</v>
      </c>
      <c r="F197" s="32">
        <v>22049410</v>
      </c>
      <c r="G197" s="32" t="s">
        <v>390</v>
      </c>
      <c r="H197" s="26" t="s">
        <v>38</v>
      </c>
      <c r="I197" s="36">
        <v>3</v>
      </c>
      <c r="J197" s="32">
        <f>IF(MB25_VOLUMETRIA[[#This Row],[Reserva]]="","",1)</f>
        <v>1</v>
      </c>
      <c r="K197" s="36" t="str">
        <f>IF(MB25_VOLUMETRIA[[#This Row],[Reserva]]="","",IFERROR(VLOOKUP(MB25_VOLUMETRIA[[#This Row],[UMB]],CHAVE[],2,FALSE),"VERIFICAR"))</f>
        <v>Unidade</v>
      </c>
      <c r="L1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97" s="32" t="str">
        <f ca="1">IFERROR(VLOOKUP(MB25_VOLUMETRIA[[#This Row],[Reserva]],RES_AB[],14,FALSE),"")</f>
        <v>RESERVAS PENDENTES</v>
      </c>
      <c r="N197" s="32" t="str">
        <f>IF(MB25_VOLUMETRIA[[#This Row],[Cen.]]="","",IFERROR(VLOOKUP(MB25_VOLUMETRIA[[#This Row],[Cen.]],Dados_Empresas[],2,FALSE),"Verificar empresa"))</f>
        <v>EMBRATEL</v>
      </c>
      <c r="O1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8" spans="1:15" x14ac:dyDescent="0.25">
      <c r="A198" s="32">
        <v>4383070</v>
      </c>
      <c r="B198" s="32" t="s">
        <v>17</v>
      </c>
      <c r="C198" s="33" t="s">
        <v>17</v>
      </c>
      <c r="D198" s="35">
        <v>45449</v>
      </c>
      <c r="E198" s="32">
        <v>301</v>
      </c>
      <c r="F198" s="32">
        <v>22049410</v>
      </c>
      <c r="G198" s="32" t="s">
        <v>390</v>
      </c>
      <c r="H198" s="26" t="s">
        <v>38</v>
      </c>
      <c r="I198" s="36">
        <v>148</v>
      </c>
      <c r="J198" s="32">
        <f>IF(MB25_VOLUMETRIA[[#This Row],[Reserva]]="","",1)</f>
        <v>1</v>
      </c>
      <c r="K198" s="36" t="str">
        <f>IF(MB25_VOLUMETRIA[[#This Row],[Reserva]]="","",IFERROR(VLOOKUP(MB25_VOLUMETRIA[[#This Row],[UMB]],CHAVE[],2,FALSE),"VERIFICAR"))</f>
        <v>Unidade</v>
      </c>
      <c r="L198" s="32" t="str">
        <f>IF(MB25_VOLUMETRIA[[#This Row],[Reserva]]="","",IFERROR(VLOOKUP(MB25_VOLUMETRIA[[#This Row],[Reserva]],Tabela3[[Reserva]:[Condição para Faturamento]],20,FALSE),"IMPORTADO COM SUCESSO"))</f>
        <v>IMPORTADO</v>
      </c>
      <c r="M198" s="32" t="str">
        <f ca="1">IFERROR(VLOOKUP(MB25_VOLUMETRIA[[#This Row],[Reserva]],RES_AB[],14,FALSE),"")</f>
        <v>RESERVAS PENDENTES</v>
      </c>
      <c r="N198" s="32" t="str">
        <f>IF(MB25_VOLUMETRIA[[#This Row],[Cen.]]="","",IFERROR(VLOOKUP(MB25_VOLUMETRIA[[#This Row],[Cen.]],Dados_Empresas[],2,FALSE),"Verificar empresa"))</f>
        <v>EMBRATEL</v>
      </c>
      <c r="O1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199" spans="1:15" x14ac:dyDescent="0.25">
      <c r="A199" s="32">
        <v>4383071</v>
      </c>
      <c r="B199" s="32" t="s">
        <v>17</v>
      </c>
      <c r="C199" s="33" t="s">
        <v>17</v>
      </c>
      <c r="D199" s="35">
        <v>45449</v>
      </c>
      <c r="E199" s="32">
        <v>301</v>
      </c>
      <c r="F199" s="32">
        <v>22049410</v>
      </c>
      <c r="G199" s="32" t="s">
        <v>390</v>
      </c>
      <c r="H199" s="26" t="s">
        <v>38</v>
      </c>
      <c r="I199" s="36">
        <v>1</v>
      </c>
      <c r="J199" s="32">
        <f>IF(MB25_VOLUMETRIA[[#This Row],[Reserva]]="","",1)</f>
        <v>1</v>
      </c>
      <c r="K199" s="36" t="str">
        <f>IF(MB25_VOLUMETRIA[[#This Row],[Reserva]]="","",IFERROR(VLOOKUP(MB25_VOLUMETRIA[[#This Row],[UMB]],CHAVE[],2,FALSE),"VERIFICAR"))</f>
        <v>Unidade</v>
      </c>
      <c r="L199" s="32" t="str">
        <f>IF(MB25_VOLUMETRIA[[#This Row],[Reserva]]="","",IFERROR(VLOOKUP(MB25_VOLUMETRIA[[#This Row],[Reserva]],Tabela3[[Reserva]:[Condição para Faturamento]],20,FALSE),"IMPORTADO COM SUCESSO"))</f>
        <v>IMPORTADO</v>
      </c>
      <c r="M199" s="32" t="str">
        <f ca="1">IFERROR(VLOOKUP(MB25_VOLUMETRIA[[#This Row],[Reserva]],RES_AB[],14,FALSE),"")</f>
        <v>RESERVAS PENDENTES</v>
      </c>
      <c r="N199" s="32" t="str">
        <f>IF(MB25_VOLUMETRIA[[#This Row],[Cen.]]="","",IFERROR(VLOOKUP(MB25_VOLUMETRIA[[#This Row],[Cen.]],Dados_Empresas[],2,FALSE),"Verificar empresa"))</f>
        <v>EMBRATEL</v>
      </c>
      <c r="O1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0" spans="1:15" x14ac:dyDescent="0.25">
      <c r="A200" s="32">
        <v>4383072</v>
      </c>
      <c r="B200" s="32" t="s">
        <v>17</v>
      </c>
      <c r="C200" s="33" t="s">
        <v>17</v>
      </c>
      <c r="D200" s="35">
        <v>45449</v>
      </c>
      <c r="E200" s="32">
        <v>221</v>
      </c>
      <c r="F200" s="32">
        <v>22049410</v>
      </c>
      <c r="G200" s="32" t="s">
        <v>390</v>
      </c>
      <c r="H200" s="26" t="s">
        <v>38</v>
      </c>
      <c r="I200" s="36">
        <v>6</v>
      </c>
      <c r="J200" s="32">
        <f>IF(MB25_VOLUMETRIA[[#This Row],[Reserva]]="","",1)</f>
        <v>1</v>
      </c>
      <c r="K200" s="36" t="str">
        <f>IF(MB25_VOLUMETRIA[[#This Row],[Reserva]]="","",IFERROR(VLOOKUP(MB25_VOLUMETRIA[[#This Row],[UMB]],CHAVE[],2,FALSE),"VERIFICAR"))</f>
        <v>Unidade</v>
      </c>
      <c r="L200" s="32" t="str">
        <f>IF(MB25_VOLUMETRIA[[#This Row],[Reserva]]="","",IFERROR(VLOOKUP(MB25_VOLUMETRIA[[#This Row],[Reserva]],Tabela3[[Reserva]:[Condição para Faturamento]],20,FALSE),"IMPORTADO COM SUCESSO"))</f>
        <v>IMPORTADO</v>
      </c>
      <c r="M200" s="32" t="str">
        <f ca="1">IFERROR(VLOOKUP(MB25_VOLUMETRIA[[#This Row],[Reserva]],RES_AB[],14,FALSE),"")</f>
        <v>RESERVAS PENDENTES</v>
      </c>
      <c r="N200" s="32" t="str">
        <f>IF(MB25_VOLUMETRIA[[#This Row],[Cen.]]="","",IFERROR(VLOOKUP(MB25_VOLUMETRIA[[#This Row],[Cen.]],Dados_Empresas[],2,FALSE),"Verificar empresa"))</f>
        <v>EMBRATEL</v>
      </c>
      <c r="O2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1" spans="1:15" x14ac:dyDescent="0.25">
      <c r="A201" s="32">
        <v>4383073</v>
      </c>
      <c r="B201" s="32" t="s">
        <v>17</v>
      </c>
      <c r="C201" s="33" t="s">
        <v>17</v>
      </c>
      <c r="D201" s="35">
        <v>45449</v>
      </c>
      <c r="E201" s="32">
        <v>301</v>
      </c>
      <c r="F201" s="32">
        <v>22049410</v>
      </c>
      <c r="G201" s="32" t="s">
        <v>390</v>
      </c>
      <c r="H201" s="26" t="s">
        <v>38</v>
      </c>
      <c r="I201" s="36">
        <v>14</v>
      </c>
      <c r="J201" s="32">
        <f>IF(MB25_VOLUMETRIA[[#This Row],[Reserva]]="","",1)</f>
        <v>1</v>
      </c>
      <c r="K201" s="36" t="str">
        <f>IF(MB25_VOLUMETRIA[[#This Row],[Reserva]]="","",IFERROR(VLOOKUP(MB25_VOLUMETRIA[[#This Row],[UMB]],CHAVE[],2,FALSE),"VERIFICAR"))</f>
        <v>Unidade</v>
      </c>
      <c r="L201" s="32" t="str">
        <f>IF(MB25_VOLUMETRIA[[#This Row],[Reserva]]="","",IFERROR(VLOOKUP(MB25_VOLUMETRIA[[#This Row],[Reserva]],Tabela3[[Reserva]:[Condição para Faturamento]],20,FALSE),"IMPORTADO COM SUCESSO"))</f>
        <v>IMPORTADO</v>
      </c>
      <c r="M201" s="32" t="str">
        <f ca="1">IFERROR(VLOOKUP(MB25_VOLUMETRIA[[#This Row],[Reserva]],RES_AB[],14,FALSE),"")</f>
        <v>RESERVAS PENDENTES</v>
      </c>
      <c r="N201" s="32" t="str">
        <f>IF(MB25_VOLUMETRIA[[#This Row],[Cen.]]="","",IFERROR(VLOOKUP(MB25_VOLUMETRIA[[#This Row],[Cen.]],Dados_Empresas[],2,FALSE),"Verificar empresa"))</f>
        <v>EMBRATEL</v>
      </c>
      <c r="O2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2" spans="1:15" x14ac:dyDescent="0.25">
      <c r="A202" s="32">
        <v>4383074</v>
      </c>
      <c r="B202" s="32" t="s">
        <v>17</v>
      </c>
      <c r="C202" s="33" t="s">
        <v>17</v>
      </c>
      <c r="D202" s="35">
        <v>45449</v>
      </c>
      <c r="E202" s="32">
        <v>221</v>
      </c>
      <c r="F202" s="32">
        <v>22049410</v>
      </c>
      <c r="G202" s="32" t="s">
        <v>390</v>
      </c>
      <c r="H202" s="26" t="s">
        <v>38</v>
      </c>
      <c r="I202" s="36">
        <v>6</v>
      </c>
      <c r="J202" s="32">
        <f>IF(MB25_VOLUMETRIA[[#This Row],[Reserva]]="","",1)</f>
        <v>1</v>
      </c>
      <c r="K202" s="36" t="str">
        <f>IF(MB25_VOLUMETRIA[[#This Row],[Reserva]]="","",IFERROR(VLOOKUP(MB25_VOLUMETRIA[[#This Row],[UMB]],CHAVE[],2,FALSE),"VERIFICAR"))</f>
        <v>Unidade</v>
      </c>
      <c r="L202" s="32" t="str">
        <f>IF(MB25_VOLUMETRIA[[#This Row],[Reserva]]="","",IFERROR(VLOOKUP(MB25_VOLUMETRIA[[#This Row],[Reserva]],Tabela3[[Reserva]:[Condição para Faturamento]],20,FALSE),"IMPORTADO COM SUCESSO"))</f>
        <v>IMPORTADO</v>
      </c>
      <c r="M202" s="32" t="str">
        <f ca="1">IFERROR(VLOOKUP(MB25_VOLUMETRIA[[#This Row],[Reserva]],RES_AB[],14,FALSE),"")</f>
        <v>RESERVAS PENDENTES</v>
      </c>
      <c r="N202" s="32" t="str">
        <f>IF(MB25_VOLUMETRIA[[#This Row],[Cen.]]="","",IFERROR(VLOOKUP(MB25_VOLUMETRIA[[#This Row],[Cen.]],Dados_Empresas[],2,FALSE),"Verificar empresa"))</f>
        <v>EMBRATEL</v>
      </c>
      <c r="O2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3" spans="1:15" x14ac:dyDescent="0.25">
      <c r="A203" s="32">
        <v>4383075</v>
      </c>
      <c r="B203" s="32" t="s">
        <v>17</v>
      </c>
      <c r="C203" s="33" t="s">
        <v>17</v>
      </c>
      <c r="D203" s="35">
        <v>45449</v>
      </c>
      <c r="E203" s="32">
        <v>221</v>
      </c>
      <c r="F203" s="32">
        <v>22049410</v>
      </c>
      <c r="G203" s="32" t="s">
        <v>390</v>
      </c>
      <c r="H203" s="26" t="s">
        <v>38</v>
      </c>
      <c r="I203" s="36">
        <v>4</v>
      </c>
      <c r="J203" s="32">
        <f>IF(MB25_VOLUMETRIA[[#This Row],[Reserva]]="","",1)</f>
        <v>1</v>
      </c>
      <c r="K203" s="36" t="str">
        <f>IF(MB25_VOLUMETRIA[[#This Row],[Reserva]]="","",IFERROR(VLOOKUP(MB25_VOLUMETRIA[[#This Row],[UMB]],CHAVE[],2,FALSE),"VERIFICAR"))</f>
        <v>Unidade</v>
      </c>
      <c r="L203" s="32" t="str">
        <f>IF(MB25_VOLUMETRIA[[#This Row],[Reserva]]="","",IFERROR(VLOOKUP(MB25_VOLUMETRIA[[#This Row],[Reserva]],Tabela3[[Reserva]:[Condição para Faturamento]],20,FALSE),"IMPORTADO COM SUCESSO"))</f>
        <v>IMPORTADO</v>
      </c>
      <c r="M203" s="32" t="str">
        <f ca="1">IFERROR(VLOOKUP(MB25_VOLUMETRIA[[#This Row],[Reserva]],RES_AB[],14,FALSE),"")</f>
        <v>RESERVAS PENDENTES</v>
      </c>
      <c r="N203" s="32" t="str">
        <f>IF(MB25_VOLUMETRIA[[#This Row],[Cen.]]="","",IFERROR(VLOOKUP(MB25_VOLUMETRIA[[#This Row],[Cen.]],Dados_Empresas[],2,FALSE),"Verificar empresa"))</f>
        <v>EMBRATEL</v>
      </c>
      <c r="O2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4" spans="1:15" x14ac:dyDescent="0.25">
      <c r="A204" s="32">
        <v>4383076</v>
      </c>
      <c r="B204" s="32" t="s">
        <v>17</v>
      </c>
      <c r="C204" s="33" t="s">
        <v>17</v>
      </c>
      <c r="D204" s="35">
        <v>45449</v>
      </c>
      <c r="E204" s="32">
        <v>301</v>
      </c>
      <c r="F204" s="32">
        <v>22049410</v>
      </c>
      <c r="G204" s="32" t="s">
        <v>390</v>
      </c>
      <c r="H204" s="26" t="s">
        <v>38</v>
      </c>
      <c r="I204" s="36">
        <v>251</v>
      </c>
      <c r="J204" s="32">
        <f>IF(MB25_VOLUMETRIA[[#This Row],[Reserva]]="","",1)</f>
        <v>1</v>
      </c>
      <c r="K204" s="36" t="str">
        <f>IF(MB25_VOLUMETRIA[[#This Row],[Reserva]]="","",IFERROR(VLOOKUP(MB25_VOLUMETRIA[[#This Row],[UMB]],CHAVE[],2,FALSE),"VERIFICAR"))</f>
        <v>Unidade</v>
      </c>
      <c r="L204" s="32" t="str">
        <f>IF(MB25_VOLUMETRIA[[#This Row],[Reserva]]="","",IFERROR(VLOOKUP(MB25_VOLUMETRIA[[#This Row],[Reserva]],Tabela3[[Reserva]:[Condição para Faturamento]],20,FALSE),"IMPORTADO COM SUCESSO"))</f>
        <v>IMPORTADO</v>
      </c>
      <c r="M204" s="32" t="str">
        <f ca="1">IFERROR(VLOOKUP(MB25_VOLUMETRIA[[#This Row],[Reserva]],RES_AB[],14,FALSE),"")</f>
        <v>RESERVAS PENDENTES</v>
      </c>
      <c r="N204" s="32" t="str">
        <f>IF(MB25_VOLUMETRIA[[#This Row],[Cen.]]="","",IFERROR(VLOOKUP(MB25_VOLUMETRIA[[#This Row],[Cen.]],Dados_Empresas[],2,FALSE),"Verificar empresa"))</f>
        <v>EMBRATEL</v>
      </c>
      <c r="O2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5" spans="1:15" x14ac:dyDescent="0.25">
      <c r="A205" s="32">
        <v>4383077</v>
      </c>
      <c r="B205" s="32" t="s">
        <v>17</v>
      </c>
      <c r="C205" s="33" t="s">
        <v>17</v>
      </c>
      <c r="D205" s="35">
        <v>45449</v>
      </c>
      <c r="E205" s="32">
        <v>301</v>
      </c>
      <c r="F205" s="32">
        <v>22049410</v>
      </c>
      <c r="G205" s="32" t="s">
        <v>390</v>
      </c>
      <c r="H205" s="26" t="s">
        <v>38</v>
      </c>
      <c r="I205" s="36">
        <v>1</v>
      </c>
      <c r="J205" s="32">
        <f>IF(MB25_VOLUMETRIA[[#This Row],[Reserva]]="","",1)</f>
        <v>1</v>
      </c>
      <c r="K205" s="36" t="str">
        <f>IF(MB25_VOLUMETRIA[[#This Row],[Reserva]]="","",IFERROR(VLOOKUP(MB25_VOLUMETRIA[[#This Row],[UMB]],CHAVE[],2,FALSE),"VERIFICAR"))</f>
        <v>Unidade</v>
      </c>
      <c r="L205" s="32" t="str">
        <f>IF(MB25_VOLUMETRIA[[#This Row],[Reserva]]="","",IFERROR(VLOOKUP(MB25_VOLUMETRIA[[#This Row],[Reserva]],Tabela3[[Reserva]:[Condição para Faturamento]],20,FALSE),"IMPORTADO COM SUCESSO"))</f>
        <v>IMPORTADO</v>
      </c>
      <c r="M205" s="32" t="str">
        <f ca="1">IFERROR(VLOOKUP(MB25_VOLUMETRIA[[#This Row],[Reserva]],RES_AB[],14,FALSE),"")</f>
        <v>RESERVAS PENDENTES</v>
      </c>
      <c r="N205" s="32" t="str">
        <f>IF(MB25_VOLUMETRIA[[#This Row],[Cen.]]="","",IFERROR(VLOOKUP(MB25_VOLUMETRIA[[#This Row],[Cen.]],Dados_Empresas[],2,FALSE),"Verificar empresa"))</f>
        <v>EMBRATEL</v>
      </c>
      <c r="O2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6" spans="1:15" x14ac:dyDescent="0.25">
      <c r="A206" s="32">
        <v>4383081</v>
      </c>
      <c r="B206" s="32" t="s">
        <v>17</v>
      </c>
      <c r="C206" s="33" t="s">
        <v>17</v>
      </c>
      <c r="D206" s="35">
        <v>45449</v>
      </c>
      <c r="E206" s="32">
        <v>301</v>
      </c>
      <c r="F206" s="32">
        <v>22007777</v>
      </c>
      <c r="G206" s="32" t="s">
        <v>433</v>
      </c>
      <c r="H206" s="26" t="s">
        <v>38</v>
      </c>
      <c r="I206" s="36">
        <v>70</v>
      </c>
      <c r="J206" s="32">
        <f>IF(MB25_VOLUMETRIA[[#This Row],[Reserva]]="","",1)</f>
        <v>1</v>
      </c>
      <c r="K206" s="36" t="str">
        <f>IF(MB25_VOLUMETRIA[[#This Row],[Reserva]]="","",IFERROR(VLOOKUP(MB25_VOLUMETRIA[[#This Row],[UMB]],CHAVE[],2,FALSE),"VERIFICAR"))</f>
        <v>Unidade</v>
      </c>
      <c r="L206" s="32" t="str">
        <f>IF(MB25_VOLUMETRIA[[#This Row],[Reserva]]="","",IFERROR(VLOOKUP(MB25_VOLUMETRIA[[#This Row],[Reserva]],Tabela3[[Reserva]:[Condição para Faturamento]],20,FALSE),"IMPORTADO COM SUCESSO"))</f>
        <v>IMPORTADO</v>
      </c>
      <c r="M206" s="32" t="str">
        <f ca="1">IFERROR(VLOOKUP(MB25_VOLUMETRIA[[#This Row],[Reserva]],RES_AB[],14,FALSE),"")</f>
        <v>RESERVAS PENDENTES</v>
      </c>
      <c r="N206" s="32" t="str">
        <f>IF(MB25_VOLUMETRIA[[#This Row],[Cen.]]="","",IFERROR(VLOOKUP(MB25_VOLUMETRIA[[#This Row],[Cen.]],Dados_Empresas[],2,FALSE),"Verificar empresa"))</f>
        <v>EMBRATEL</v>
      </c>
      <c r="O2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7" spans="1:15" x14ac:dyDescent="0.25">
      <c r="A207" s="32">
        <v>4383083</v>
      </c>
      <c r="B207" s="32" t="s">
        <v>17</v>
      </c>
      <c r="C207" s="33" t="s">
        <v>17</v>
      </c>
      <c r="D207" s="35">
        <v>45449</v>
      </c>
      <c r="E207" s="32">
        <v>301</v>
      </c>
      <c r="F207" s="32">
        <v>30062395</v>
      </c>
      <c r="G207" s="32" t="s">
        <v>434</v>
      </c>
      <c r="H207" s="26" t="s">
        <v>38</v>
      </c>
      <c r="I207" s="36">
        <v>10</v>
      </c>
      <c r="J207" s="32">
        <f>IF(MB25_VOLUMETRIA[[#This Row],[Reserva]]="","",1)</f>
        <v>1</v>
      </c>
      <c r="K207" s="36" t="str">
        <f>IF(MB25_VOLUMETRIA[[#This Row],[Reserva]]="","",IFERROR(VLOOKUP(MB25_VOLUMETRIA[[#This Row],[UMB]],CHAVE[],2,FALSE),"VERIFICAR"))</f>
        <v>Unidade</v>
      </c>
      <c r="L2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07" s="32" t="str">
        <f ca="1">IFERROR(VLOOKUP(MB25_VOLUMETRIA[[#This Row],[Reserva]],RES_AB[],14,FALSE),"")</f>
        <v>RESERVAS PENDENTES</v>
      </c>
      <c r="N207" s="32" t="str">
        <f>IF(MB25_VOLUMETRIA[[#This Row],[Cen.]]="","",IFERROR(VLOOKUP(MB25_VOLUMETRIA[[#This Row],[Cen.]],Dados_Empresas[],2,FALSE),"Verificar empresa"))</f>
        <v>EMBRATEL</v>
      </c>
      <c r="O2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8" spans="1:15" x14ac:dyDescent="0.25">
      <c r="A208" s="32">
        <v>4383083</v>
      </c>
      <c r="B208" s="32" t="s">
        <v>17</v>
      </c>
      <c r="C208" s="33" t="s">
        <v>17</v>
      </c>
      <c r="D208" s="35">
        <v>45449</v>
      </c>
      <c r="E208" s="32">
        <v>301</v>
      </c>
      <c r="F208" s="32">
        <v>30062394</v>
      </c>
      <c r="G208" s="32" t="s">
        <v>448</v>
      </c>
      <c r="H208" s="26" t="s">
        <v>38</v>
      </c>
      <c r="I208" s="36">
        <v>10</v>
      </c>
      <c r="J208" s="32">
        <f>IF(MB25_VOLUMETRIA[[#This Row],[Reserva]]="","",1)</f>
        <v>1</v>
      </c>
      <c r="K208" s="36" t="str">
        <f>IF(MB25_VOLUMETRIA[[#This Row],[Reserva]]="","",IFERROR(VLOOKUP(MB25_VOLUMETRIA[[#This Row],[UMB]],CHAVE[],2,FALSE),"VERIFICAR"))</f>
        <v>Unidade</v>
      </c>
      <c r="L2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08" s="32" t="str">
        <f ca="1">IFERROR(VLOOKUP(MB25_VOLUMETRIA[[#This Row],[Reserva]],RES_AB[],14,FALSE),"")</f>
        <v>RESERVAS PENDENTES</v>
      </c>
      <c r="N208" s="32" t="str">
        <f>IF(MB25_VOLUMETRIA[[#This Row],[Cen.]]="","",IFERROR(VLOOKUP(MB25_VOLUMETRIA[[#This Row],[Cen.]],Dados_Empresas[],2,FALSE),"Verificar empresa"))</f>
        <v>EMBRATEL</v>
      </c>
      <c r="O2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09" spans="1:15" x14ac:dyDescent="0.25">
      <c r="A209" s="32">
        <v>4383217</v>
      </c>
      <c r="B209" s="32" t="s">
        <v>17</v>
      </c>
      <c r="C209" s="33" t="s">
        <v>17</v>
      </c>
      <c r="D209" s="35">
        <v>45449</v>
      </c>
      <c r="E209" s="32">
        <v>221</v>
      </c>
      <c r="F209" s="32">
        <v>22057531</v>
      </c>
      <c r="G209" s="32" t="s">
        <v>449</v>
      </c>
      <c r="H209" s="26" t="s">
        <v>38</v>
      </c>
      <c r="I209" s="36">
        <v>6</v>
      </c>
      <c r="J209" s="32">
        <f>IF(MB25_VOLUMETRIA[[#This Row],[Reserva]]="","",1)</f>
        <v>1</v>
      </c>
      <c r="K209" s="36" t="str">
        <f>IF(MB25_VOLUMETRIA[[#This Row],[Reserva]]="","",IFERROR(VLOOKUP(MB25_VOLUMETRIA[[#This Row],[UMB]],CHAVE[],2,FALSE),"VERIFICAR"))</f>
        <v>Unidade</v>
      </c>
      <c r="L2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09" s="32" t="str">
        <f ca="1">IFERROR(VLOOKUP(MB25_VOLUMETRIA[[#This Row],[Reserva]],RES_AB[],14,FALSE),"")</f>
        <v>RESERVAS PENDENTES</v>
      </c>
      <c r="N209" s="32" t="str">
        <f>IF(MB25_VOLUMETRIA[[#This Row],[Cen.]]="","",IFERROR(VLOOKUP(MB25_VOLUMETRIA[[#This Row],[Cen.]],Dados_Empresas[],2,FALSE),"Verificar empresa"))</f>
        <v>EMBRATEL</v>
      </c>
      <c r="O2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0" spans="1:15" x14ac:dyDescent="0.25">
      <c r="A210" s="32">
        <v>4383218</v>
      </c>
      <c r="B210" s="32" t="s">
        <v>17</v>
      </c>
      <c r="C210" s="33" t="s">
        <v>17</v>
      </c>
      <c r="D210" s="35">
        <v>45449</v>
      </c>
      <c r="E210" s="32">
        <v>221</v>
      </c>
      <c r="F210" s="32">
        <v>22057531</v>
      </c>
      <c r="G210" s="32" t="s">
        <v>449</v>
      </c>
      <c r="H210" s="26" t="s">
        <v>38</v>
      </c>
      <c r="I210" s="36">
        <v>6</v>
      </c>
      <c r="J210" s="32">
        <f>IF(MB25_VOLUMETRIA[[#This Row],[Reserva]]="","",1)</f>
        <v>1</v>
      </c>
      <c r="K210" s="36" t="str">
        <f>IF(MB25_VOLUMETRIA[[#This Row],[Reserva]]="","",IFERROR(VLOOKUP(MB25_VOLUMETRIA[[#This Row],[UMB]],CHAVE[],2,FALSE),"VERIFICAR"))</f>
        <v>Unidade</v>
      </c>
      <c r="L2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10" s="32" t="str">
        <f ca="1">IFERROR(VLOOKUP(MB25_VOLUMETRIA[[#This Row],[Reserva]],RES_AB[],14,FALSE),"")</f>
        <v>RESERVAS PENDENTES</v>
      </c>
      <c r="N210" s="32" t="str">
        <f>IF(MB25_VOLUMETRIA[[#This Row],[Cen.]]="","",IFERROR(VLOOKUP(MB25_VOLUMETRIA[[#This Row],[Cen.]],Dados_Empresas[],2,FALSE),"Verificar empresa"))</f>
        <v>EMBRATEL</v>
      </c>
      <c r="O2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1" spans="1:15" x14ac:dyDescent="0.25">
      <c r="A211" s="32">
        <v>4383219</v>
      </c>
      <c r="B211" s="32" t="s">
        <v>17</v>
      </c>
      <c r="C211" s="33" t="s">
        <v>17</v>
      </c>
      <c r="D211" s="35">
        <v>45449</v>
      </c>
      <c r="E211" s="32">
        <v>221</v>
      </c>
      <c r="F211" s="32">
        <v>30055413</v>
      </c>
      <c r="G211" s="32" t="s">
        <v>450</v>
      </c>
      <c r="H211" s="26" t="s">
        <v>38</v>
      </c>
      <c r="I211" s="36">
        <v>12</v>
      </c>
      <c r="J211" s="32">
        <f>IF(MB25_VOLUMETRIA[[#This Row],[Reserva]]="","",1)</f>
        <v>1</v>
      </c>
      <c r="K211" s="36" t="str">
        <f>IF(MB25_VOLUMETRIA[[#This Row],[Reserva]]="","",IFERROR(VLOOKUP(MB25_VOLUMETRIA[[#This Row],[UMB]],CHAVE[],2,FALSE),"VERIFICAR"))</f>
        <v>Unidade</v>
      </c>
      <c r="L211" s="32" t="str">
        <f>IF(MB25_VOLUMETRIA[[#This Row],[Reserva]]="","",IFERROR(VLOOKUP(MB25_VOLUMETRIA[[#This Row],[Reserva]],Tabela3[[Reserva]:[Condição para Faturamento]],20,FALSE),"IMPORTADO COM SUCESSO"))</f>
        <v>IMPORTADO</v>
      </c>
      <c r="M211" s="32" t="str">
        <f ca="1">IFERROR(VLOOKUP(MB25_VOLUMETRIA[[#This Row],[Reserva]],RES_AB[],14,FALSE),"")</f>
        <v>RESERVAS PENDENTES</v>
      </c>
      <c r="N211" s="32" t="str">
        <f>IF(MB25_VOLUMETRIA[[#This Row],[Cen.]]="","",IFERROR(VLOOKUP(MB25_VOLUMETRIA[[#This Row],[Cen.]],Dados_Empresas[],2,FALSE),"Verificar empresa"))</f>
        <v>EMBRATEL</v>
      </c>
      <c r="O2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2" spans="1:15" x14ac:dyDescent="0.25">
      <c r="A212" s="32">
        <v>4383220</v>
      </c>
      <c r="B212" s="32" t="s">
        <v>17</v>
      </c>
      <c r="C212" s="33" t="s">
        <v>17</v>
      </c>
      <c r="D212" s="35">
        <v>45449</v>
      </c>
      <c r="E212" s="32">
        <v>221</v>
      </c>
      <c r="F212" s="32">
        <v>30055410</v>
      </c>
      <c r="G212" s="32" t="s">
        <v>451</v>
      </c>
      <c r="H212" s="26" t="s">
        <v>38</v>
      </c>
      <c r="I212" s="36">
        <v>10</v>
      </c>
      <c r="J212" s="32">
        <f>IF(MB25_VOLUMETRIA[[#This Row],[Reserva]]="","",1)</f>
        <v>1</v>
      </c>
      <c r="K212" s="36" t="str">
        <f>IF(MB25_VOLUMETRIA[[#This Row],[Reserva]]="","",IFERROR(VLOOKUP(MB25_VOLUMETRIA[[#This Row],[UMB]],CHAVE[],2,FALSE),"VERIFICAR"))</f>
        <v>Unidade</v>
      </c>
      <c r="L212" s="32" t="str">
        <f>IF(MB25_VOLUMETRIA[[#This Row],[Reserva]]="","",IFERROR(VLOOKUP(MB25_VOLUMETRIA[[#This Row],[Reserva]],Tabela3[[Reserva]:[Condição para Faturamento]],20,FALSE),"IMPORTADO COM SUCESSO"))</f>
        <v>IMPORTADO</v>
      </c>
      <c r="M212" s="32" t="str">
        <f ca="1">IFERROR(VLOOKUP(MB25_VOLUMETRIA[[#This Row],[Reserva]],RES_AB[],14,FALSE),"")</f>
        <v>RESERVAS PENDENTES</v>
      </c>
      <c r="N212" s="32" t="str">
        <f>IF(MB25_VOLUMETRIA[[#This Row],[Cen.]]="","",IFERROR(VLOOKUP(MB25_VOLUMETRIA[[#This Row],[Cen.]],Dados_Empresas[],2,FALSE),"Verificar empresa"))</f>
        <v>EMBRATEL</v>
      </c>
      <c r="O2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3" spans="1:15" x14ac:dyDescent="0.25">
      <c r="A213" s="32">
        <v>4383248</v>
      </c>
      <c r="B213" s="32" t="s">
        <v>17</v>
      </c>
      <c r="C213" s="33" t="s">
        <v>17</v>
      </c>
      <c r="D213" s="35">
        <v>45449</v>
      </c>
      <c r="E213" s="32">
        <v>221</v>
      </c>
      <c r="F213" s="32">
        <v>22053516</v>
      </c>
      <c r="G213" s="32" t="s">
        <v>452</v>
      </c>
      <c r="H213" s="26" t="s">
        <v>38</v>
      </c>
      <c r="I213" s="36">
        <v>1</v>
      </c>
      <c r="J213" s="32">
        <f>IF(MB25_VOLUMETRIA[[#This Row],[Reserva]]="","",1)</f>
        <v>1</v>
      </c>
      <c r="K213" s="36" t="str">
        <f>IF(MB25_VOLUMETRIA[[#This Row],[Reserva]]="","",IFERROR(VLOOKUP(MB25_VOLUMETRIA[[#This Row],[UMB]],CHAVE[],2,FALSE),"VERIFICAR"))</f>
        <v>Unidade</v>
      </c>
      <c r="L213" s="32" t="str">
        <f>IF(MB25_VOLUMETRIA[[#This Row],[Reserva]]="","",IFERROR(VLOOKUP(MB25_VOLUMETRIA[[#This Row],[Reserva]],Tabela3[[Reserva]:[Condição para Faturamento]],20,FALSE),"IMPORTADO COM SUCESSO"))</f>
        <v>IMPORTADO</v>
      </c>
      <c r="M213" s="32" t="str">
        <f ca="1">IFERROR(VLOOKUP(MB25_VOLUMETRIA[[#This Row],[Reserva]],RES_AB[],14,FALSE),"")</f>
        <v>RESERVAS PENDENTES</v>
      </c>
      <c r="N213" s="32" t="str">
        <f>IF(MB25_VOLUMETRIA[[#This Row],[Cen.]]="","",IFERROR(VLOOKUP(MB25_VOLUMETRIA[[#This Row],[Cen.]],Dados_Empresas[],2,FALSE),"Verificar empresa"))</f>
        <v>EMBRATEL</v>
      </c>
      <c r="O2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4" spans="1:15" x14ac:dyDescent="0.25">
      <c r="A214" s="32">
        <v>4383248</v>
      </c>
      <c r="B214" s="32" t="s">
        <v>17</v>
      </c>
      <c r="C214" s="33" t="s">
        <v>17</v>
      </c>
      <c r="D214" s="35">
        <v>45449</v>
      </c>
      <c r="E214" s="32">
        <v>221</v>
      </c>
      <c r="F214" s="32">
        <v>30054234</v>
      </c>
      <c r="G214" s="32" t="s">
        <v>453</v>
      </c>
      <c r="H214" s="26" t="s">
        <v>38</v>
      </c>
      <c r="I214" s="36">
        <v>1</v>
      </c>
      <c r="J214" s="32">
        <f>IF(MB25_VOLUMETRIA[[#This Row],[Reserva]]="","",1)</f>
        <v>1</v>
      </c>
      <c r="K214" s="36" t="str">
        <f>IF(MB25_VOLUMETRIA[[#This Row],[Reserva]]="","",IFERROR(VLOOKUP(MB25_VOLUMETRIA[[#This Row],[UMB]],CHAVE[],2,FALSE),"VERIFICAR"))</f>
        <v>Unidade</v>
      </c>
      <c r="L214" s="32" t="str">
        <f>IF(MB25_VOLUMETRIA[[#This Row],[Reserva]]="","",IFERROR(VLOOKUP(MB25_VOLUMETRIA[[#This Row],[Reserva]],Tabela3[[Reserva]:[Condição para Faturamento]],20,FALSE),"IMPORTADO COM SUCESSO"))</f>
        <v>IMPORTADO</v>
      </c>
      <c r="M214" s="32" t="str">
        <f ca="1">IFERROR(VLOOKUP(MB25_VOLUMETRIA[[#This Row],[Reserva]],RES_AB[],14,FALSE),"")</f>
        <v>RESERVAS PENDENTES</v>
      </c>
      <c r="N214" s="32" t="str">
        <f>IF(MB25_VOLUMETRIA[[#This Row],[Cen.]]="","",IFERROR(VLOOKUP(MB25_VOLUMETRIA[[#This Row],[Cen.]],Dados_Empresas[],2,FALSE),"Verificar empresa"))</f>
        <v>EMBRATEL</v>
      </c>
      <c r="O2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5" spans="1:15" x14ac:dyDescent="0.25">
      <c r="A215" s="32">
        <v>4383248</v>
      </c>
      <c r="B215" s="32" t="s">
        <v>17</v>
      </c>
      <c r="C215" s="33" t="s">
        <v>17</v>
      </c>
      <c r="D215" s="35">
        <v>45449</v>
      </c>
      <c r="E215" s="32">
        <v>221</v>
      </c>
      <c r="F215" s="32">
        <v>30054337</v>
      </c>
      <c r="G215" s="32" t="s">
        <v>454</v>
      </c>
      <c r="H215" s="26" t="s">
        <v>38</v>
      </c>
      <c r="I215" s="36">
        <v>1</v>
      </c>
      <c r="J215" s="32">
        <f>IF(MB25_VOLUMETRIA[[#This Row],[Reserva]]="","",1)</f>
        <v>1</v>
      </c>
      <c r="K215" s="36" t="str">
        <f>IF(MB25_VOLUMETRIA[[#This Row],[Reserva]]="","",IFERROR(VLOOKUP(MB25_VOLUMETRIA[[#This Row],[UMB]],CHAVE[],2,FALSE),"VERIFICAR"))</f>
        <v>Unidade</v>
      </c>
      <c r="L215" s="32" t="str">
        <f>IF(MB25_VOLUMETRIA[[#This Row],[Reserva]]="","",IFERROR(VLOOKUP(MB25_VOLUMETRIA[[#This Row],[Reserva]],Tabela3[[Reserva]:[Condição para Faturamento]],20,FALSE),"IMPORTADO COM SUCESSO"))</f>
        <v>IMPORTADO</v>
      </c>
      <c r="M215" s="32" t="str">
        <f ca="1">IFERROR(VLOOKUP(MB25_VOLUMETRIA[[#This Row],[Reserva]],RES_AB[],14,FALSE),"")</f>
        <v>RESERVAS PENDENTES</v>
      </c>
      <c r="N215" s="32" t="str">
        <f>IF(MB25_VOLUMETRIA[[#This Row],[Cen.]]="","",IFERROR(VLOOKUP(MB25_VOLUMETRIA[[#This Row],[Cen.]],Dados_Empresas[],2,FALSE),"Verificar empresa"))</f>
        <v>EMBRATEL</v>
      </c>
      <c r="O2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6" spans="1:15" x14ac:dyDescent="0.25">
      <c r="A216" s="32">
        <v>4383282</v>
      </c>
      <c r="B216" s="32" t="s">
        <v>17</v>
      </c>
      <c r="C216" s="33" t="s">
        <v>17</v>
      </c>
      <c r="D216" s="35">
        <v>45449</v>
      </c>
      <c r="E216" s="32">
        <v>201</v>
      </c>
      <c r="F216" s="32">
        <v>254487</v>
      </c>
      <c r="G216" s="32" t="s">
        <v>301</v>
      </c>
      <c r="H216" s="26" t="s">
        <v>38</v>
      </c>
      <c r="I216" s="36">
        <v>26</v>
      </c>
      <c r="J216" s="32">
        <f>IF(MB25_VOLUMETRIA[[#This Row],[Reserva]]="","",1)</f>
        <v>1</v>
      </c>
      <c r="K216" s="36" t="str">
        <f>IF(MB25_VOLUMETRIA[[#This Row],[Reserva]]="","",IFERROR(VLOOKUP(MB25_VOLUMETRIA[[#This Row],[UMB]],CHAVE[],2,FALSE),"VERIFICAR"))</f>
        <v>Unidade</v>
      </c>
      <c r="L216" s="32" t="str">
        <f>IF(MB25_VOLUMETRIA[[#This Row],[Reserva]]="","",IFERROR(VLOOKUP(MB25_VOLUMETRIA[[#This Row],[Reserva]],Tabela3[[Reserva]:[Condição para Faturamento]],20,FALSE),"IMPORTADO COM SUCESSO"))</f>
        <v>IMPORTADO</v>
      </c>
      <c r="M216" s="32" t="str">
        <f ca="1">IFERROR(VLOOKUP(MB25_VOLUMETRIA[[#This Row],[Reserva]],RES_AB[],14,FALSE),"")</f>
        <v>RESERVAS PENDENTES</v>
      </c>
      <c r="N216" s="32" t="str">
        <f>IF(MB25_VOLUMETRIA[[#This Row],[Cen.]]="","",IFERROR(VLOOKUP(MB25_VOLUMETRIA[[#This Row],[Cen.]],Dados_Empresas[],2,FALSE),"Verificar empresa"))</f>
        <v>EMBRATEL</v>
      </c>
      <c r="O2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7" spans="1:15" x14ac:dyDescent="0.25">
      <c r="A217" s="32">
        <v>4383287</v>
      </c>
      <c r="B217" s="32" t="s">
        <v>17</v>
      </c>
      <c r="C217" s="33" t="s">
        <v>17</v>
      </c>
      <c r="D217" s="35">
        <v>45449</v>
      </c>
      <c r="E217" s="32">
        <v>201</v>
      </c>
      <c r="F217" s="32">
        <v>254487</v>
      </c>
      <c r="G217" s="32" t="s">
        <v>301</v>
      </c>
      <c r="H217" s="26" t="s">
        <v>38</v>
      </c>
      <c r="I217" s="36">
        <v>20</v>
      </c>
      <c r="J217" s="32">
        <f>IF(MB25_VOLUMETRIA[[#This Row],[Reserva]]="","",1)</f>
        <v>1</v>
      </c>
      <c r="K217" s="36" t="str">
        <f>IF(MB25_VOLUMETRIA[[#This Row],[Reserva]]="","",IFERROR(VLOOKUP(MB25_VOLUMETRIA[[#This Row],[UMB]],CHAVE[],2,FALSE),"VERIFICAR"))</f>
        <v>Unidade</v>
      </c>
      <c r="L217" s="32" t="str">
        <f>IF(MB25_VOLUMETRIA[[#This Row],[Reserva]]="","",IFERROR(VLOOKUP(MB25_VOLUMETRIA[[#This Row],[Reserva]],Tabela3[[Reserva]:[Condição para Faturamento]],20,FALSE),"IMPORTADO COM SUCESSO"))</f>
        <v>IMPORTADO</v>
      </c>
      <c r="M217" s="32" t="str">
        <f ca="1">IFERROR(VLOOKUP(MB25_VOLUMETRIA[[#This Row],[Reserva]],RES_AB[],14,FALSE),"")</f>
        <v>RESERVAS PENDENTES</v>
      </c>
      <c r="N217" s="32" t="str">
        <f>IF(MB25_VOLUMETRIA[[#This Row],[Cen.]]="","",IFERROR(VLOOKUP(MB25_VOLUMETRIA[[#This Row],[Cen.]],Dados_Empresas[],2,FALSE),"Verificar empresa"))</f>
        <v>EMBRATEL</v>
      </c>
      <c r="O2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8" spans="1:15" x14ac:dyDescent="0.25">
      <c r="A218" s="32">
        <v>4383305</v>
      </c>
      <c r="B218" s="32" t="s">
        <v>17</v>
      </c>
      <c r="C218" s="33" t="s">
        <v>17</v>
      </c>
      <c r="D218" s="35">
        <v>45449</v>
      </c>
      <c r="E218" s="32">
        <v>301</v>
      </c>
      <c r="F218" s="32">
        <v>22049410</v>
      </c>
      <c r="G218" s="32" t="s">
        <v>390</v>
      </c>
      <c r="H218" s="26" t="s">
        <v>38</v>
      </c>
      <c r="I218" s="36">
        <v>10</v>
      </c>
      <c r="J218" s="32">
        <f>IF(MB25_VOLUMETRIA[[#This Row],[Reserva]]="","",1)</f>
        <v>1</v>
      </c>
      <c r="K218" s="36" t="str">
        <f>IF(MB25_VOLUMETRIA[[#This Row],[Reserva]]="","",IFERROR(VLOOKUP(MB25_VOLUMETRIA[[#This Row],[UMB]],CHAVE[],2,FALSE),"VERIFICAR"))</f>
        <v>Unidade</v>
      </c>
      <c r="L218" s="32" t="str">
        <f>IF(MB25_VOLUMETRIA[[#This Row],[Reserva]]="","",IFERROR(VLOOKUP(MB25_VOLUMETRIA[[#This Row],[Reserva]],Tabela3[[Reserva]:[Condição para Faturamento]],20,FALSE),"IMPORTADO COM SUCESSO"))</f>
        <v>IMPORTADO</v>
      </c>
      <c r="M218" s="32" t="str">
        <f ca="1">IFERROR(VLOOKUP(MB25_VOLUMETRIA[[#This Row],[Reserva]],RES_AB[],14,FALSE),"")</f>
        <v>RESERVAS PENDENTES</v>
      </c>
      <c r="N218" s="32" t="str">
        <f>IF(MB25_VOLUMETRIA[[#This Row],[Cen.]]="","",IFERROR(VLOOKUP(MB25_VOLUMETRIA[[#This Row],[Cen.]],Dados_Empresas[],2,FALSE),"Verificar empresa"))</f>
        <v>EMBRATEL</v>
      </c>
      <c r="O2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19" spans="1:15" x14ac:dyDescent="0.25">
      <c r="A219" s="32">
        <v>4383306</v>
      </c>
      <c r="B219" s="32" t="s">
        <v>17</v>
      </c>
      <c r="C219" s="33" t="s">
        <v>17</v>
      </c>
      <c r="D219" s="35">
        <v>45449</v>
      </c>
      <c r="E219" s="32">
        <v>301</v>
      </c>
      <c r="F219" s="32">
        <v>22049410</v>
      </c>
      <c r="G219" s="32" t="s">
        <v>390</v>
      </c>
      <c r="H219" s="26" t="s">
        <v>38</v>
      </c>
      <c r="I219" s="36">
        <v>1</v>
      </c>
      <c r="J219" s="32">
        <f>IF(MB25_VOLUMETRIA[[#This Row],[Reserva]]="","",1)</f>
        <v>1</v>
      </c>
      <c r="K219" s="36" t="str">
        <f>IF(MB25_VOLUMETRIA[[#This Row],[Reserva]]="","",IFERROR(VLOOKUP(MB25_VOLUMETRIA[[#This Row],[UMB]],CHAVE[],2,FALSE),"VERIFICAR"))</f>
        <v>Unidade</v>
      </c>
      <c r="L219" s="32" t="str">
        <f>IF(MB25_VOLUMETRIA[[#This Row],[Reserva]]="","",IFERROR(VLOOKUP(MB25_VOLUMETRIA[[#This Row],[Reserva]],Tabela3[[Reserva]:[Condição para Faturamento]],20,FALSE),"IMPORTADO COM SUCESSO"))</f>
        <v>IMPORTADO</v>
      </c>
      <c r="M219" s="32" t="str">
        <f ca="1">IFERROR(VLOOKUP(MB25_VOLUMETRIA[[#This Row],[Reserva]],RES_AB[],14,FALSE),"")</f>
        <v>RESERVAS PENDENTES</v>
      </c>
      <c r="N219" s="32" t="str">
        <f>IF(MB25_VOLUMETRIA[[#This Row],[Cen.]]="","",IFERROR(VLOOKUP(MB25_VOLUMETRIA[[#This Row],[Cen.]],Dados_Empresas[],2,FALSE),"Verificar empresa"))</f>
        <v>EMBRATEL</v>
      </c>
      <c r="O2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0" spans="1:15" x14ac:dyDescent="0.25">
      <c r="A220" s="32">
        <v>4383307</v>
      </c>
      <c r="B220" s="32" t="s">
        <v>17</v>
      </c>
      <c r="C220" s="33" t="s">
        <v>17</v>
      </c>
      <c r="D220" s="35">
        <v>45449</v>
      </c>
      <c r="E220" s="32">
        <v>301</v>
      </c>
      <c r="F220" s="32">
        <v>22049410</v>
      </c>
      <c r="G220" s="32" t="s">
        <v>390</v>
      </c>
      <c r="H220" s="26" t="s">
        <v>38</v>
      </c>
      <c r="I220" s="36">
        <v>42</v>
      </c>
      <c r="J220" s="32">
        <f>IF(MB25_VOLUMETRIA[[#This Row],[Reserva]]="","",1)</f>
        <v>1</v>
      </c>
      <c r="K220" s="36" t="str">
        <f>IF(MB25_VOLUMETRIA[[#This Row],[Reserva]]="","",IFERROR(VLOOKUP(MB25_VOLUMETRIA[[#This Row],[UMB]],CHAVE[],2,FALSE),"VERIFICAR"))</f>
        <v>Unidade</v>
      </c>
      <c r="L220" s="32" t="str">
        <f>IF(MB25_VOLUMETRIA[[#This Row],[Reserva]]="","",IFERROR(VLOOKUP(MB25_VOLUMETRIA[[#This Row],[Reserva]],Tabela3[[Reserva]:[Condição para Faturamento]],20,FALSE),"IMPORTADO COM SUCESSO"))</f>
        <v>IMPORTADO</v>
      </c>
      <c r="M220" s="32" t="str">
        <f ca="1">IFERROR(VLOOKUP(MB25_VOLUMETRIA[[#This Row],[Reserva]],RES_AB[],14,FALSE),"")</f>
        <v>RESERVAS PENDENTES</v>
      </c>
      <c r="N220" s="32" t="str">
        <f>IF(MB25_VOLUMETRIA[[#This Row],[Cen.]]="","",IFERROR(VLOOKUP(MB25_VOLUMETRIA[[#This Row],[Cen.]],Dados_Empresas[],2,FALSE),"Verificar empresa"))</f>
        <v>EMBRATEL</v>
      </c>
      <c r="O2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1" spans="1:15" x14ac:dyDescent="0.25">
      <c r="A221" s="32">
        <v>4383324</v>
      </c>
      <c r="B221" s="32" t="s">
        <v>17</v>
      </c>
      <c r="C221" s="33" t="s">
        <v>17</v>
      </c>
      <c r="D221" s="35">
        <v>45449</v>
      </c>
      <c r="E221" s="32">
        <v>221</v>
      </c>
      <c r="F221" s="32">
        <v>16008418</v>
      </c>
      <c r="G221" s="32" t="s">
        <v>385</v>
      </c>
      <c r="H221" s="26" t="s">
        <v>38</v>
      </c>
      <c r="I221" s="36">
        <v>18</v>
      </c>
      <c r="J221" s="32">
        <f>IF(MB25_VOLUMETRIA[[#This Row],[Reserva]]="","",1)</f>
        <v>1</v>
      </c>
      <c r="K221" s="36" t="str">
        <f>IF(MB25_VOLUMETRIA[[#This Row],[Reserva]]="","",IFERROR(VLOOKUP(MB25_VOLUMETRIA[[#This Row],[UMB]],CHAVE[],2,FALSE),"VERIFICAR"))</f>
        <v>Unidade</v>
      </c>
      <c r="L221" s="32" t="str">
        <f>IF(MB25_VOLUMETRIA[[#This Row],[Reserva]]="","",IFERROR(VLOOKUP(MB25_VOLUMETRIA[[#This Row],[Reserva]],Tabela3[[Reserva]:[Condição para Faturamento]],20,FALSE),"IMPORTADO COM SUCESSO"))</f>
        <v>IMPORTADO</v>
      </c>
      <c r="M221" s="32" t="str">
        <f ca="1">IFERROR(VLOOKUP(MB25_VOLUMETRIA[[#This Row],[Reserva]],RES_AB[],14,FALSE),"")</f>
        <v>RESERVAS PENDENTES</v>
      </c>
      <c r="N221" s="32" t="str">
        <f>IF(MB25_VOLUMETRIA[[#This Row],[Cen.]]="","",IFERROR(VLOOKUP(MB25_VOLUMETRIA[[#This Row],[Cen.]],Dados_Empresas[],2,FALSE),"Verificar empresa"))</f>
        <v>EMBRATEL</v>
      </c>
      <c r="O2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2" spans="1:15" x14ac:dyDescent="0.25">
      <c r="A222" s="32">
        <v>4383570</v>
      </c>
      <c r="B222" s="32" t="s">
        <v>17</v>
      </c>
      <c r="C222" s="33" t="s">
        <v>17</v>
      </c>
      <c r="D222" s="35">
        <v>45449</v>
      </c>
      <c r="E222" s="32">
        <v>221</v>
      </c>
      <c r="F222" s="32">
        <v>30034266</v>
      </c>
      <c r="G222" s="32" t="s">
        <v>455</v>
      </c>
      <c r="H222" s="26" t="s">
        <v>38</v>
      </c>
      <c r="I222" s="36">
        <v>5000</v>
      </c>
      <c r="J222" s="32">
        <f>IF(MB25_VOLUMETRIA[[#This Row],[Reserva]]="","",1)</f>
        <v>1</v>
      </c>
      <c r="K222" s="36" t="str">
        <f>IF(MB25_VOLUMETRIA[[#This Row],[Reserva]]="","",IFERROR(VLOOKUP(MB25_VOLUMETRIA[[#This Row],[UMB]],CHAVE[],2,FALSE),"VERIFICAR"))</f>
        <v>Unidade</v>
      </c>
      <c r="L2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22" s="32" t="str">
        <f ca="1">IFERROR(VLOOKUP(MB25_VOLUMETRIA[[#This Row],[Reserva]],RES_AB[],14,FALSE),"")</f>
        <v>RESERVAS PENDENTES</v>
      </c>
      <c r="N222" s="32" t="str">
        <f>IF(MB25_VOLUMETRIA[[#This Row],[Cen.]]="","",IFERROR(VLOOKUP(MB25_VOLUMETRIA[[#This Row],[Cen.]],Dados_Empresas[],2,FALSE),"Verificar empresa"))</f>
        <v>EMBRATEL</v>
      </c>
      <c r="O2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3" spans="1:15" x14ac:dyDescent="0.25">
      <c r="A223" s="32">
        <v>4383571</v>
      </c>
      <c r="B223" s="32" t="s">
        <v>17</v>
      </c>
      <c r="C223" s="33" t="s">
        <v>17</v>
      </c>
      <c r="D223" s="35">
        <v>45449</v>
      </c>
      <c r="E223" s="32">
        <v>221</v>
      </c>
      <c r="F223" s="32">
        <v>22025957</v>
      </c>
      <c r="G223" s="32" t="s">
        <v>456</v>
      </c>
      <c r="H223" s="26" t="s">
        <v>38</v>
      </c>
      <c r="I223" s="36">
        <v>3500</v>
      </c>
      <c r="J223" s="32">
        <f>IF(MB25_VOLUMETRIA[[#This Row],[Reserva]]="","",1)</f>
        <v>1</v>
      </c>
      <c r="K223" s="36" t="str">
        <f>IF(MB25_VOLUMETRIA[[#This Row],[Reserva]]="","",IFERROR(VLOOKUP(MB25_VOLUMETRIA[[#This Row],[UMB]],CHAVE[],2,FALSE),"VERIFICAR"))</f>
        <v>Unidade</v>
      </c>
      <c r="L223" s="32" t="str">
        <f>IF(MB25_VOLUMETRIA[[#This Row],[Reserva]]="","",IFERROR(VLOOKUP(MB25_VOLUMETRIA[[#This Row],[Reserva]],Tabela3[[Reserva]:[Condição para Faturamento]],20,FALSE),"IMPORTADO COM SUCESSO"))</f>
        <v>IMPORTADO</v>
      </c>
      <c r="M223" s="32" t="str">
        <f ca="1">IFERROR(VLOOKUP(MB25_VOLUMETRIA[[#This Row],[Reserva]],RES_AB[],14,FALSE),"")</f>
        <v>RESERVAS PENDENTES</v>
      </c>
      <c r="N223" s="32" t="str">
        <f>IF(MB25_VOLUMETRIA[[#This Row],[Cen.]]="","",IFERROR(VLOOKUP(MB25_VOLUMETRIA[[#This Row],[Cen.]],Dados_Empresas[],2,FALSE),"Verificar empresa"))</f>
        <v>EMBRATEL</v>
      </c>
      <c r="O2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4" spans="1:15" x14ac:dyDescent="0.25">
      <c r="A224" s="32">
        <v>4383572</v>
      </c>
      <c r="B224" s="32" t="s">
        <v>17</v>
      </c>
      <c r="C224" s="33" t="s">
        <v>17</v>
      </c>
      <c r="D224" s="35">
        <v>45449</v>
      </c>
      <c r="E224" s="32">
        <v>221</v>
      </c>
      <c r="F224" s="32">
        <v>30034241</v>
      </c>
      <c r="G224" s="32" t="s">
        <v>391</v>
      </c>
      <c r="H224" s="26" t="s">
        <v>38</v>
      </c>
      <c r="I224" s="36">
        <v>400</v>
      </c>
      <c r="J224" s="32">
        <f>IF(MB25_VOLUMETRIA[[#This Row],[Reserva]]="","",1)</f>
        <v>1</v>
      </c>
      <c r="K224" s="36" t="str">
        <f>IF(MB25_VOLUMETRIA[[#This Row],[Reserva]]="","",IFERROR(VLOOKUP(MB25_VOLUMETRIA[[#This Row],[UMB]],CHAVE[],2,FALSE),"VERIFICAR"))</f>
        <v>Unidade</v>
      </c>
      <c r="L2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24" s="32" t="str">
        <f ca="1">IFERROR(VLOOKUP(MB25_VOLUMETRIA[[#This Row],[Reserva]],RES_AB[],14,FALSE),"")</f>
        <v>RESERVAS PENDENTES</v>
      </c>
      <c r="N224" s="32" t="str">
        <f>IF(MB25_VOLUMETRIA[[#This Row],[Cen.]]="","",IFERROR(VLOOKUP(MB25_VOLUMETRIA[[#This Row],[Cen.]],Dados_Empresas[],2,FALSE),"Verificar empresa"))</f>
        <v>EMBRATEL</v>
      </c>
      <c r="O2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5" spans="1:15" x14ac:dyDescent="0.25">
      <c r="A225" s="32">
        <v>4383573</v>
      </c>
      <c r="B225" s="32" t="s">
        <v>17</v>
      </c>
      <c r="C225" s="33" t="s">
        <v>17</v>
      </c>
      <c r="D225" s="35">
        <v>45449</v>
      </c>
      <c r="E225" s="32">
        <v>221</v>
      </c>
      <c r="F225" s="32">
        <v>22025957</v>
      </c>
      <c r="G225" s="32" t="s">
        <v>456</v>
      </c>
      <c r="H225" s="26" t="s">
        <v>38</v>
      </c>
      <c r="I225" s="36">
        <v>1300</v>
      </c>
      <c r="J225" s="32">
        <f>IF(MB25_VOLUMETRIA[[#This Row],[Reserva]]="","",1)</f>
        <v>1</v>
      </c>
      <c r="K225" s="36" t="str">
        <f>IF(MB25_VOLUMETRIA[[#This Row],[Reserva]]="","",IFERROR(VLOOKUP(MB25_VOLUMETRIA[[#This Row],[UMB]],CHAVE[],2,FALSE),"VERIFICAR"))</f>
        <v>Unidade</v>
      </c>
      <c r="L225" s="32" t="str">
        <f>IF(MB25_VOLUMETRIA[[#This Row],[Reserva]]="","",IFERROR(VLOOKUP(MB25_VOLUMETRIA[[#This Row],[Reserva]],Tabela3[[Reserva]:[Condição para Faturamento]],20,FALSE),"IMPORTADO COM SUCESSO"))</f>
        <v>IMPORTADO</v>
      </c>
      <c r="M225" s="32" t="str">
        <f ca="1">IFERROR(VLOOKUP(MB25_VOLUMETRIA[[#This Row],[Reserva]],RES_AB[],14,FALSE),"")</f>
        <v>RESERVAS PENDENTES</v>
      </c>
      <c r="N225" s="32" t="str">
        <f>IF(MB25_VOLUMETRIA[[#This Row],[Cen.]]="","",IFERROR(VLOOKUP(MB25_VOLUMETRIA[[#This Row],[Cen.]],Dados_Empresas[],2,FALSE),"Verificar empresa"))</f>
        <v>EMBRATEL</v>
      </c>
      <c r="O2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6" spans="1:15" x14ac:dyDescent="0.25">
      <c r="A226" s="32">
        <v>4384157</v>
      </c>
      <c r="B226" s="32" t="s">
        <v>17</v>
      </c>
      <c r="C226" s="33" t="s">
        <v>397</v>
      </c>
      <c r="D226" s="35">
        <v>45450</v>
      </c>
      <c r="E226" s="32">
        <v>221</v>
      </c>
      <c r="F226" s="32">
        <v>30052797</v>
      </c>
      <c r="G226" s="32" t="s">
        <v>539</v>
      </c>
      <c r="H226" s="26" t="s">
        <v>38</v>
      </c>
      <c r="I226" s="36">
        <v>1</v>
      </c>
      <c r="J226" s="32">
        <f>IF(MB25_VOLUMETRIA[[#This Row],[Reserva]]="","",1)</f>
        <v>1</v>
      </c>
      <c r="K226" s="36" t="str">
        <f>IF(MB25_VOLUMETRIA[[#This Row],[Reserva]]="","",IFERROR(VLOOKUP(MB25_VOLUMETRIA[[#This Row],[UMB]],CHAVE[],2,FALSE),"VERIFICAR"))</f>
        <v>Unidade</v>
      </c>
      <c r="L2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26" s="32" t="str">
        <f ca="1">IFERROR(VLOOKUP(MB25_VOLUMETRIA[[#This Row],[Reserva]],RES_AB[],14,FALSE),"")</f>
        <v>RESERVAS PENDENTES</v>
      </c>
      <c r="N226" s="32" t="str">
        <f>IF(MB25_VOLUMETRIA[[#This Row],[Cen.]]="","",IFERROR(VLOOKUP(MB25_VOLUMETRIA[[#This Row],[Cen.]],Dados_Empresas[],2,FALSE),"Verificar empresa"))</f>
        <v>EMBRATEL</v>
      </c>
      <c r="O2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27" spans="1:15" x14ac:dyDescent="0.25">
      <c r="A227" s="32">
        <v>4378021</v>
      </c>
      <c r="B227" s="32" t="s">
        <v>18</v>
      </c>
      <c r="C227" s="33" t="s">
        <v>18</v>
      </c>
      <c r="D227" s="35">
        <v>45446</v>
      </c>
      <c r="E227" s="32">
        <v>221</v>
      </c>
      <c r="F227" s="32">
        <v>22062622</v>
      </c>
      <c r="G227" s="32" t="s">
        <v>304</v>
      </c>
      <c r="H227" s="26" t="s">
        <v>38</v>
      </c>
      <c r="I227" s="36">
        <v>20</v>
      </c>
      <c r="J227" s="32">
        <f>IF(MB25_VOLUMETRIA[[#This Row],[Reserva]]="","",1)</f>
        <v>1</v>
      </c>
      <c r="K227" s="36" t="str">
        <f>IF(MB25_VOLUMETRIA[[#This Row],[Reserva]]="","",IFERROR(VLOOKUP(MB25_VOLUMETRIA[[#This Row],[UMB]],CHAVE[],2,FALSE),"VERIFICAR"))</f>
        <v>Unidade</v>
      </c>
      <c r="L227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27" s="32" t="str">
        <f ca="1">IFERROR(VLOOKUP(MB25_VOLUMETRIA[[#This Row],[Reserva]],RES_AB[],14,FALSE),"")</f>
        <v>RESERVAS EM ATRASO</v>
      </c>
      <c r="N227" s="32" t="str">
        <f>IF(MB25_VOLUMETRIA[[#This Row],[Cen.]]="","",IFERROR(VLOOKUP(MB25_VOLUMETRIA[[#This Row],[Cen.]],Dados_Empresas[],2,FALSE),"Verificar empresa"))</f>
        <v>NET PROJETOS</v>
      </c>
      <c r="O227" s="32" t="str">
        <f>IF(MB25_VOLUMETRIA[[#This Row],[EMPRESA]]="","",IF(OR(MB25_VOLUMETRIA[[#This Row],[EMPRESA]]="NET MASSIVO",MB25_VOLUMETRIA[[#This Row],[EMPRESA]]="NET PROJETOS"),"NET","EMPRESARIAL"))</f>
        <v>NET</v>
      </c>
    </row>
    <row r="228" spans="1:15" x14ac:dyDescent="0.25">
      <c r="A228" s="32">
        <v>4378021</v>
      </c>
      <c r="B228" s="32" t="s">
        <v>18</v>
      </c>
      <c r="C228" s="33" t="s">
        <v>18</v>
      </c>
      <c r="D228" s="35">
        <v>45446</v>
      </c>
      <c r="E228" s="32">
        <v>221</v>
      </c>
      <c r="F228" s="32">
        <v>22062559</v>
      </c>
      <c r="G228" s="32" t="s">
        <v>438</v>
      </c>
      <c r="H228" s="26" t="s">
        <v>38</v>
      </c>
      <c r="I228" s="36">
        <v>6</v>
      </c>
      <c r="J228" s="32">
        <f>IF(MB25_VOLUMETRIA[[#This Row],[Reserva]]="","",1)</f>
        <v>1</v>
      </c>
      <c r="K228" s="36" t="str">
        <f>IF(MB25_VOLUMETRIA[[#This Row],[Reserva]]="","",IFERROR(VLOOKUP(MB25_VOLUMETRIA[[#This Row],[UMB]],CHAVE[],2,FALSE),"VERIFICAR"))</f>
        <v>Unidade</v>
      </c>
      <c r="L228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28" s="32" t="str">
        <f ca="1">IFERROR(VLOOKUP(MB25_VOLUMETRIA[[#This Row],[Reserva]],RES_AB[],14,FALSE),"")</f>
        <v>RESERVAS EM ATRASO</v>
      </c>
      <c r="N228" s="32" t="str">
        <f>IF(MB25_VOLUMETRIA[[#This Row],[Cen.]]="","",IFERROR(VLOOKUP(MB25_VOLUMETRIA[[#This Row],[Cen.]],Dados_Empresas[],2,FALSE),"Verificar empresa"))</f>
        <v>NET PROJETOS</v>
      </c>
      <c r="O228" s="32" t="str">
        <f>IF(MB25_VOLUMETRIA[[#This Row],[EMPRESA]]="","",IF(OR(MB25_VOLUMETRIA[[#This Row],[EMPRESA]]="NET MASSIVO",MB25_VOLUMETRIA[[#This Row],[EMPRESA]]="NET PROJETOS"),"NET","EMPRESARIAL"))</f>
        <v>NET</v>
      </c>
    </row>
    <row r="229" spans="1:15" x14ac:dyDescent="0.25">
      <c r="A229" s="32">
        <v>4379569</v>
      </c>
      <c r="B229" s="32" t="s">
        <v>18</v>
      </c>
      <c r="C229" s="33" t="s">
        <v>18</v>
      </c>
      <c r="D229" s="35">
        <v>45447</v>
      </c>
      <c r="E229" s="32">
        <v>221</v>
      </c>
      <c r="F229" s="32">
        <v>22059140</v>
      </c>
      <c r="G229" s="32" t="s">
        <v>310</v>
      </c>
      <c r="H229" s="26" t="s">
        <v>38</v>
      </c>
      <c r="I229" s="36">
        <v>2</v>
      </c>
      <c r="J229" s="32">
        <f>IF(MB25_VOLUMETRIA[[#This Row],[Reserva]]="","",1)</f>
        <v>1</v>
      </c>
      <c r="K229" s="36" t="str">
        <f>IF(MB25_VOLUMETRIA[[#This Row],[Reserva]]="","",IFERROR(VLOOKUP(MB25_VOLUMETRIA[[#This Row],[UMB]],CHAVE[],2,FALSE),"VERIFICAR"))</f>
        <v>Unidade</v>
      </c>
      <c r="L229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29" s="32" t="str">
        <f ca="1">IFERROR(VLOOKUP(MB25_VOLUMETRIA[[#This Row],[Reserva]],RES_AB[],14,FALSE),"")</f>
        <v>RESERVAS EM ATRASO</v>
      </c>
      <c r="N229" s="32" t="str">
        <f>IF(MB25_VOLUMETRIA[[#This Row],[Cen.]]="","",IFERROR(VLOOKUP(MB25_VOLUMETRIA[[#This Row],[Cen.]],Dados_Empresas[],2,FALSE),"Verificar empresa"))</f>
        <v>NET PROJETOS</v>
      </c>
      <c r="O229" s="32" t="str">
        <f>IF(MB25_VOLUMETRIA[[#This Row],[EMPRESA]]="","",IF(OR(MB25_VOLUMETRIA[[#This Row],[EMPRESA]]="NET MASSIVO",MB25_VOLUMETRIA[[#This Row],[EMPRESA]]="NET PROJETOS"),"NET","EMPRESARIAL"))</f>
        <v>NET</v>
      </c>
    </row>
    <row r="230" spans="1:15" x14ac:dyDescent="0.25">
      <c r="A230" s="32">
        <v>4382809</v>
      </c>
      <c r="B230" s="32" t="s">
        <v>18</v>
      </c>
      <c r="C230" s="33" t="s">
        <v>18</v>
      </c>
      <c r="D230" s="35">
        <v>45449</v>
      </c>
      <c r="E230" s="32">
        <v>301</v>
      </c>
      <c r="F230" s="32">
        <v>30034557</v>
      </c>
      <c r="G230" s="32" t="s">
        <v>435</v>
      </c>
      <c r="H230" s="26" t="s">
        <v>38</v>
      </c>
      <c r="I230" s="36">
        <v>1</v>
      </c>
      <c r="J230" s="32">
        <f>IF(MB25_VOLUMETRIA[[#This Row],[Reserva]]="","",1)</f>
        <v>1</v>
      </c>
      <c r="K230" s="36" t="str">
        <f>IF(MB25_VOLUMETRIA[[#This Row],[Reserva]]="","",IFERROR(VLOOKUP(MB25_VOLUMETRIA[[#This Row],[UMB]],CHAVE[],2,FALSE),"VERIFICAR"))</f>
        <v>Unidade</v>
      </c>
      <c r="L230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30" s="32" t="str">
        <f ca="1">IFERROR(VLOOKUP(MB25_VOLUMETRIA[[#This Row],[Reserva]],RES_AB[],14,FALSE),"")</f>
        <v>RESERVAS PENDENTES</v>
      </c>
      <c r="N230" s="32" t="str">
        <f>IF(MB25_VOLUMETRIA[[#This Row],[Cen.]]="","",IFERROR(VLOOKUP(MB25_VOLUMETRIA[[#This Row],[Cen.]],Dados_Empresas[],2,FALSE),"Verificar empresa"))</f>
        <v>NET PROJETOS</v>
      </c>
      <c r="O230" s="32" t="str">
        <f>IF(MB25_VOLUMETRIA[[#This Row],[EMPRESA]]="","",IF(OR(MB25_VOLUMETRIA[[#This Row],[EMPRESA]]="NET MASSIVO",MB25_VOLUMETRIA[[#This Row],[EMPRESA]]="NET PROJETOS"),"NET","EMPRESARIAL"))</f>
        <v>NET</v>
      </c>
    </row>
    <row r="231" spans="1:15" x14ac:dyDescent="0.25">
      <c r="A231" s="32">
        <v>4382895</v>
      </c>
      <c r="B231" s="32" t="s">
        <v>18</v>
      </c>
      <c r="C231" s="33" t="s">
        <v>18</v>
      </c>
      <c r="D231" s="35">
        <v>45449</v>
      </c>
      <c r="E231" s="32">
        <v>301</v>
      </c>
      <c r="F231" s="32">
        <v>30035040</v>
      </c>
      <c r="G231" s="32" t="s">
        <v>476</v>
      </c>
      <c r="H231" s="26" t="s">
        <v>38</v>
      </c>
      <c r="I231" s="36">
        <v>1</v>
      </c>
      <c r="J231" s="32">
        <f>IF(MB25_VOLUMETRIA[[#This Row],[Reserva]]="","",1)</f>
        <v>1</v>
      </c>
      <c r="K231" s="36" t="str">
        <f>IF(MB25_VOLUMETRIA[[#This Row],[Reserva]]="","",IFERROR(VLOOKUP(MB25_VOLUMETRIA[[#This Row],[UMB]],CHAVE[],2,FALSE),"VERIFICAR"))</f>
        <v>Unidade</v>
      </c>
      <c r="L231" s="32" t="str">
        <f>IF(MB25_VOLUMETRIA[[#This Row],[Reserva]]="","",IFERROR(VLOOKUP(MB25_VOLUMETRIA[[#This Row],[Reserva]],Tabela3[[Reserva]:[Condição para Faturamento]],20,FALSE),"IMPORTADO COM SUCESSO"))</f>
        <v>CANCELAMENTO DE PEDIDO</v>
      </c>
      <c r="M231" s="32" t="str">
        <f ca="1">IFERROR(VLOOKUP(MB25_VOLUMETRIA[[#This Row],[Reserva]],RES_AB[],14,FALSE),"")</f>
        <v>RESERVAS PENDENTES</v>
      </c>
      <c r="N231" s="32" t="str">
        <f>IF(MB25_VOLUMETRIA[[#This Row],[Cen.]]="","",IFERROR(VLOOKUP(MB25_VOLUMETRIA[[#This Row],[Cen.]],Dados_Empresas[],2,FALSE),"Verificar empresa"))</f>
        <v>NET PROJETOS</v>
      </c>
      <c r="O231" s="32" t="str">
        <f>IF(MB25_VOLUMETRIA[[#This Row],[EMPRESA]]="","",IF(OR(MB25_VOLUMETRIA[[#This Row],[EMPRESA]]="NET MASSIVO",MB25_VOLUMETRIA[[#This Row],[EMPRESA]]="NET PROJETOS"),"NET","EMPRESARIAL"))</f>
        <v>NET</v>
      </c>
    </row>
    <row r="232" spans="1:15" x14ac:dyDescent="0.25">
      <c r="A232" s="32">
        <v>4383240</v>
      </c>
      <c r="B232" s="32" t="s">
        <v>18</v>
      </c>
      <c r="C232" s="33" t="s">
        <v>496</v>
      </c>
      <c r="D232" s="35">
        <v>45450</v>
      </c>
      <c r="E232" s="32">
        <v>221</v>
      </c>
      <c r="F232" s="32">
        <v>30033468</v>
      </c>
      <c r="G232" s="32" t="s">
        <v>497</v>
      </c>
      <c r="H232" s="26" t="s">
        <v>38</v>
      </c>
      <c r="I232" s="36">
        <v>4</v>
      </c>
      <c r="J232" s="32">
        <f>IF(MB25_VOLUMETRIA[[#This Row],[Reserva]]="","",1)</f>
        <v>1</v>
      </c>
      <c r="K232" s="36" t="str">
        <f>IF(MB25_VOLUMETRIA[[#This Row],[Reserva]]="","",IFERROR(VLOOKUP(MB25_VOLUMETRIA[[#This Row],[UMB]],CHAVE[],2,FALSE),"VERIFICAR"))</f>
        <v>Unidade</v>
      </c>
      <c r="L2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232" s="32" t="str">
        <f ca="1">IFERROR(VLOOKUP(MB25_VOLUMETRIA[[#This Row],[Reserva]],RES_AB[],14,FALSE),"")</f>
        <v>RESERVAS PENDENTES</v>
      </c>
      <c r="N232" s="32" t="str">
        <f>IF(MB25_VOLUMETRIA[[#This Row],[Cen.]]="","",IFERROR(VLOOKUP(MB25_VOLUMETRIA[[#This Row],[Cen.]],Dados_Empresas[],2,FALSE),"Verificar empresa"))</f>
        <v>NET PROJETOS</v>
      </c>
      <c r="O232" s="32" t="str">
        <f>IF(MB25_VOLUMETRIA[[#This Row],[EMPRESA]]="","",IF(OR(MB25_VOLUMETRIA[[#This Row],[EMPRESA]]="NET MASSIVO",MB25_VOLUMETRIA[[#This Row],[EMPRESA]]="NET PROJETOS"),"NET","EMPRESARIAL"))</f>
        <v>NET</v>
      </c>
    </row>
    <row r="233" spans="1:15" x14ac:dyDescent="0.25">
      <c r="A233" s="32">
        <v>4379075</v>
      </c>
      <c r="B233" s="32" t="s">
        <v>20</v>
      </c>
      <c r="C233" s="33" t="s">
        <v>20</v>
      </c>
      <c r="D233" s="35">
        <v>45448</v>
      </c>
      <c r="E233" s="32">
        <v>221</v>
      </c>
      <c r="F233" s="32">
        <v>22053068</v>
      </c>
      <c r="G233" s="32" t="s">
        <v>383</v>
      </c>
      <c r="H233" s="26" t="s">
        <v>38</v>
      </c>
      <c r="I233" s="36">
        <v>18</v>
      </c>
      <c r="J233" s="32">
        <f>IF(MB25_VOLUMETRIA[[#This Row],[Reserva]]="","",1)</f>
        <v>1</v>
      </c>
      <c r="K233" s="36" t="str">
        <f>IF(MB25_VOLUMETRIA[[#This Row],[Reserva]]="","",IFERROR(VLOOKUP(MB25_VOLUMETRIA[[#This Row],[UMB]],CHAVE[],2,FALSE),"VERIFICAR"))</f>
        <v>Unidade</v>
      </c>
      <c r="L233" s="32" t="str">
        <f>IF(MB25_VOLUMETRIA[[#This Row],[Reserva]]="","",IFERROR(VLOOKUP(MB25_VOLUMETRIA[[#This Row],[Reserva]],Tabela3[[Reserva]:[Condição para Faturamento]],20,FALSE),"IMPORTADO COM SUCESSO"))</f>
        <v>EM CONFERENCIA</v>
      </c>
      <c r="M233" s="32" t="str">
        <f ca="1">IFERROR(VLOOKUP(MB25_VOLUMETRIA[[#This Row],[Reserva]],RES_AB[],14,FALSE),"")</f>
        <v>PLANO DO DIA</v>
      </c>
      <c r="N233" s="32" t="str">
        <f>IF(MB25_VOLUMETRIA[[#This Row],[Cen.]]="","",IFERROR(VLOOKUP(MB25_VOLUMETRIA[[#This Row],[Cen.]],Dados_Empresas[],2,FALSE),"Verificar empresa"))</f>
        <v>TELMEX</v>
      </c>
      <c r="O2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4" spans="1:15" x14ac:dyDescent="0.25">
      <c r="A234" s="32">
        <v>4379076</v>
      </c>
      <c r="B234" s="32" t="s">
        <v>20</v>
      </c>
      <c r="C234" s="33" t="s">
        <v>20</v>
      </c>
      <c r="D234" s="35">
        <v>45448</v>
      </c>
      <c r="E234" s="32">
        <v>221</v>
      </c>
      <c r="F234" s="32">
        <v>20008882</v>
      </c>
      <c r="G234" s="32" t="s">
        <v>348</v>
      </c>
      <c r="H234" s="26" t="s">
        <v>38</v>
      </c>
      <c r="I234" s="36">
        <v>1</v>
      </c>
      <c r="J234" s="32">
        <f>IF(MB25_VOLUMETRIA[[#This Row],[Reserva]]="","",1)</f>
        <v>1</v>
      </c>
      <c r="K234" s="36" t="str">
        <f>IF(MB25_VOLUMETRIA[[#This Row],[Reserva]]="","",IFERROR(VLOOKUP(MB25_VOLUMETRIA[[#This Row],[UMB]],CHAVE[],2,FALSE),"VERIFICAR"))</f>
        <v>Unidade</v>
      </c>
      <c r="L234" s="32" t="str">
        <f>IF(MB25_VOLUMETRIA[[#This Row],[Reserva]]="","",IFERROR(VLOOKUP(MB25_VOLUMETRIA[[#This Row],[Reserva]],Tabela3[[Reserva]:[Condição para Faturamento]],20,FALSE),"IMPORTADO COM SUCESSO"))</f>
        <v>EM CONFERENCIA</v>
      </c>
      <c r="M234" s="32" t="str">
        <f ca="1">IFERROR(VLOOKUP(MB25_VOLUMETRIA[[#This Row],[Reserva]],RES_AB[],14,FALSE),"")</f>
        <v>PLANO DO DIA</v>
      </c>
      <c r="N234" s="32" t="str">
        <f>IF(MB25_VOLUMETRIA[[#This Row],[Cen.]]="","",IFERROR(VLOOKUP(MB25_VOLUMETRIA[[#This Row],[Cen.]],Dados_Empresas[],2,FALSE),"Verificar empresa"))</f>
        <v>TELMEX</v>
      </c>
      <c r="O2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5" spans="1:15" x14ac:dyDescent="0.25">
      <c r="A235" s="32">
        <v>4381634</v>
      </c>
      <c r="B235" s="32" t="s">
        <v>20</v>
      </c>
      <c r="C235" s="33" t="s">
        <v>20</v>
      </c>
      <c r="D235" s="35">
        <v>45448</v>
      </c>
      <c r="E235" s="32">
        <v>221</v>
      </c>
      <c r="F235" s="32">
        <v>16008581</v>
      </c>
      <c r="G235" s="32" t="s">
        <v>393</v>
      </c>
      <c r="H235" s="26" t="s">
        <v>38</v>
      </c>
      <c r="I235" s="36">
        <v>1</v>
      </c>
      <c r="J235" s="32">
        <f>IF(MB25_VOLUMETRIA[[#This Row],[Reserva]]="","",1)</f>
        <v>1</v>
      </c>
      <c r="K235" s="36" t="str">
        <f>IF(MB25_VOLUMETRIA[[#This Row],[Reserva]]="","",IFERROR(VLOOKUP(MB25_VOLUMETRIA[[#This Row],[UMB]],CHAVE[],2,FALSE),"VERIFICAR"))</f>
        <v>Unidade</v>
      </c>
      <c r="L23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35" s="32" t="str">
        <f ca="1">IFERROR(VLOOKUP(MB25_VOLUMETRIA[[#This Row],[Reserva]],RES_AB[],14,FALSE),"")</f>
        <v>PLANO DO DIA</v>
      </c>
      <c r="N235" s="32" t="str">
        <f>IF(MB25_VOLUMETRIA[[#This Row],[Cen.]]="","",IFERROR(VLOOKUP(MB25_VOLUMETRIA[[#This Row],[Cen.]],Dados_Empresas[],2,FALSE),"Verificar empresa"))</f>
        <v>TELMEX</v>
      </c>
      <c r="O2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6" spans="1:15" x14ac:dyDescent="0.25">
      <c r="A236" s="32">
        <v>4381634</v>
      </c>
      <c r="B236" s="32" t="s">
        <v>20</v>
      </c>
      <c r="C236" s="33" t="s">
        <v>20</v>
      </c>
      <c r="D236" s="35">
        <v>45448</v>
      </c>
      <c r="E236" s="32">
        <v>221</v>
      </c>
      <c r="F236" s="32">
        <v>22064510</v>
      </c>
      <c r="G236" s="32" t="s">
        <v>394</v>
      </c>
      <c r="H236" s="26" t="s">
        <v>38</v>
      </c>
      <c r="I236" s="36">
        <v>1</v>
      </c>
      <c r="J236" s="32">
        <f>IF(MB25_VOLUMETRIA[[#This Row],[Reserva]]="","",1)</f>
        <v>1</v>
      </c>
      <c r="K236" s="36" t="str">
        <f>IF(MB25_VOLUMETRIA[[#This Row],[Reserva]]="","",IFERROR(VLOOKUP(MB25_VOLUMETRIA[[#This Row],[UMB]],CHAVE[],2,FALSE),"VERIFICAR"))</f>
        <v>Unidade</v>
      </c>
      <c r="L23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36" s="32" t="str">
        <f ca="1">IFERROR(VLOOKUP(MB25_VOLUMETRIA[[#This Row],[Reserva]],RES_AB[],14,FALSE),"")</f>
        <v>PLANO DO DIA</v>
      </c>
      <c r="N236" s="32" t="str">
        <f>IF(MB25_VOLUMETRIA[[#This Row],[Cen.]]="","",IFERROR(VLOOKUP(MB25_VOLUMETRIA[[#This Row],[Cen.]],Dados_Empresas[],2,FALSE),"Verificar empresa"))</f>
        <v>TELMEX</v>
      </c>
      <c r="O2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7" spans="1:15" x14ac:dyDescent="0.25">
      <c r="A237" s="32">
        <v>4381635</v>
      </c>
      <c r="B237" s="32" t="s">
        <v>20</v>
      </c>
      <c r="C237" s="33" t="s">
        <v>20</v>
      </c>
      <c r="D237" s="35">
        <v>45448</v>
      </c>
      <c r="E237" s="32">
        <v>221</v>
      </c>
      <c r="F237" s="32">
        <v>22024935</v>
      </c>
      <c r="G237" s="32" t="s">
        <v>395</v>
      </c>
      <c r="H237" s="26" t="s">
        <v>38</v>
      </c>
      <c r="I237" s="36">
        <v>1</v>
      </c>
      <c r="J237" s="32">
        <f>IF(MB25_VOLUMETRIA[[#This Row],[Reserva]]="","",1)</f>
        <v>1</v>
      </c>
      <c r="K237" s="36" t="str">
        <f>IF(MB25_VOLUMETRIA[[#This Row],[Reserva]]="","",IFERROR(VLOOKUP(MB25_VOLUMETRIA[[#This Row],[UMB]],CHAVE[],2,FALSE),"VERIFICAR"))</f>
        <v>Unidade</v>
      </c>
      <c r="L23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37" s="32" t="str">
        <f ca="1">IFERROR(VLOOKUP(MB25_VOLUMETRIA[[#This Row],[Reserva]],RES_AB[],14,FALSE),"")</f>
        <v>PLANO DO DIA</v>
      </c>
      <c r="N237" s="32" t="str">
        <f>IF(MB25_VOLUMETRIA[[#This Row],[Cen.]]="","",IFERROR(VLOOKUP(MB25_VOLUMETRIA[[#This Row],[Cen.]],Dados_Empresas[],2,FALSE),"Verificar empresa"))</f>
        <v>TELMEX</v>
      </c>
      <c r="O2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8" spans="1:15" x14ac:dyDescent="0.25">
      <c r="A238" s="32">
        <v>4381636</v>
      </c>
      <c r="B238" s="32" t="s">
        <v>20</v>
      </c>
      <c r="C238" s="33" t="s">
        <v>20</v>
      </c>
      <c r="D238" s="35">
        <v>45448</v>
      </c>
      <c r="E238" s="32">
        <v>221</v>
      </c>
      <c r="F238" s="32">
        <v>16008581</v>
      </c>
      <c r="G238" s="32" t="s">
        <v>393</v>
      </c>
      <c r="H238" s="26" t="s">
        <v>38</v>
      </c>
      <c r="I238" s="36">
        <v>1</v>
      </c>
      <c r="J238" s="32">
        <f>IF(MB25_VOLUMETRIA[[#This Row],[Reserva]]="","",1)</f>
        <v>1</v>
      </c>
      <c r="K238" s="36" t="str">
        <f>IF(MB25_VOLUMETRIA[[#This Row],[Reserva]]="","",IFERROR(VLOOKUP(MB25_VOLUMETRIA[[#This Row],[UMB]],CHAVE[],2,FALSE),"VERIFICAR"))</f>
        <v>Unidade</v>
      </c>
      <c r="L238" s="32" t="str">
        <f>IF(MB25_VOLUMETRIA[[#This Row],[Reserva]]="","",IFERROR(VLOOKUP(MB25_VOLUMETRIA[[#This Row],[Reserva]],Tabela3[[Reserva]:[Condição para Faturamento]],20,FALSE),"IMPORTADO COM SUCESSO"))</f>
        <v>EM CONFERENCIA</v>
      </c>
      <c r="M238" s="32" t="str">
        <f ca="1">IFERROR(VLOOKUP(MB25_VOLUMETRIA[[#This Row],[Reserva]],RES_AB[],14,FALSE),"")</f>
        <v>PLANO DO DIA</v>
      </c>
      <c r="N238" s="32" t="str">
        <f>IF(MB25_VOLUMETRIA[[#This Row],[Cen.]]="","",IFERROR(VLOOKUP(MB25_VOLUMETRIA[[#This Row],[Cen.]],Dados_Empresas[],2,FALSE),"Verificar empresa"))</f>
        <v>TELMEX</v>
      </c>
      <c r="O2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39" spans="1:15" x14ac:dyDescent="0.25">
      <c r="A239" s="32">
        <v>4381636</v>
      </c>
      <c r="B239" s="32" t="s">
        <v>20</v>
      </c>
      <c r="C239" s="33" t="s">
        <v>20</v>
      </c>
      <c r="D239" s="35">
        <v>45448</v>
      </c>
      <c r="E239" s="32">
        <v>221</v>
      </c>
      <c r="F239" s="32">
        <v>22064510</v>
      </c>
      <c r="G239" s="32" t="s">
        <v>394</v>
      </c>
      <c r="H239" s="26" t="s">
        <v>38</v>
      </c>
      <c r="I239" s="36">
        <v>1</v>
      </c>
      <c r="J239" s="32">
        <f>IF(MB25_VOLUMETRIA[[#This Row],[Reserva]]="","",1)</f>
        <v>1</v>
      </c>
      <c r="K239" s="36" t="str">
        <f>IF(MB25_VOLUMETRIA[[#This Row],[Reserva]]="","",IFERROR(VLOOKUP(MB25_VOLUMETRIA[[#This Row],[UMB]],CHAVE[],2,FALSE),"VERIFICAR"))</f>
        <v>Unidade</v>
      </c>
      <c r="L239" s="32" t="str">
        <f>IF(MB25_VOLUMETRIA[[#This Row],[Reserva]]="","",IFERROR(VLOOKUP(MB25_VOLUMETRIA[[#This Row],[Reserva]],Tabela3[[Reserva]:[Condição para Faturamento]],20,FALSE),"IMPORTADO COM SUCESSO"))</f>
        <v>EM CONFERENCIA</v>
      </c>
      <c r="M239" s="32" t="str">
        <f ca="1">IFERROR(VLOOKUP(MB25_VOLUMETRIA[[#This Row],[Reserva]],RES_AB[],14,FALSE),"")</f>
        <v>PLANO DO DIA</v>
      </c>
      <c r="N239" s="32" t="str">
        <f>IF(MB25_VOLUMETRIA[[#This Row],[Cen.]]="","",IFERROR(VLOOKUP(MB25_VOLUMETRIA[[#This Row],[Cen.]],Dados_Empresas[],2,FALSE),"Verificar empresa"))</f>
        <v>TELMEX</v>
      </c>
      <c r="O2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0" spans="1:15" x14ac:dyDescent="0.25">
      <c r="A240" s="32">
        <v>4381637</v>
      </c>
      <c r="B240" s="32" t="s">
        <v>20</v>
      </c>
      <c r="C240" s="33" t="s">
        <v>20</v>
      </c>
      <c r="D240" s="35">
        <v>45448</v>
      </c>
      <c r="E240" s="32">
        <v>221</v>
      </c>
      <c r="F240" s="32">
        <v>22024935</v>
      </c>
      <c r="G240" s="32" t="s">
        <v>395</v>
      </c>
      <c r="H240" s="26" t="s">
        <v>38</v>
      </c>
      <c r="I240" s="36">
        <v>1</v>
      </c>
      <c r="J240" s="32">
        <f>IF(MB25_VOLUMETRIA[[#This Row],[Reserva]]="","",1)</f>
        <v>1</v>
      </c>
      <c r="K240" s="36" t="str">
        <f>IF(MB25_VOLUMETRIA[[#This Row],[Reserva]]="","",IFERROR(VLOOKUP(MB25_VOLUMETRIA[[#This Row],[UMB]],CHAVE[],2,FALSE),"VERIFICAR"))</f>
        <v>Unidade</v>
      </c>
      <c r="L240" s="32" t="str">
        <f>IF(MB25_VOLUMETRIA[[#This Row],[Reserva]]="","",IFERROR(VLOOKUP(MB25_VOLUMETRIA[[#This Row],[Reserva]],Tabela3[[Reserva]:[Condição para Faturamento]],20,FALSE),"IMPORTADO COM SUCESSO"))</f>
        <v>EM CONFERENCIA</v>
      </c>
      <c r="M240" s="32" t="str">
        <f ca="1">IFERROR(VLOOKUP(MB25_VOLUMETRIA[[#This Row],[Reserva]],RES_AB[],14,FALSE),"")</f>
        <v>PLANO DO DIA</v>
      </c>
      <c r="N240" s="32" t="str">
        <f>IF(MB25_VOLUMETRIA[[#This Row],[Cen.]]="","",IFERROR(VLOOKUP(MB25_VOLUMETRIA[[#This Row],[Cen.]],Dados_Empresas[],2,FALSE),"Verificar empresa"))</f>
        <v>TELMEX</v>
      </c>
      <c r="O2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1" spans="1:15" x14ac:dyDescent="0.25">
      <c r="A241" s="32">
        <v>4381638</v>
      </c>
      <c r="B241" s="32" t="s">
        <v>20</v>
      </c>
      <c r="C241" s="33" t="s">
        <v>20</v>
      </c>
      <c r="D241" s="35">
        <v>45448</v>
      </c>
      <c r="E241" s="32">
        <v>221</v>
      </c>
      <c r="F241" s="32">
        <v>16008581</v>
      </c>
      <c r="G241" s="32" t="s">
        <v>393</v>
      </c>
      <c r="H241" s="26" t="s">
        <v>38</v>
      </c>
      <c r="I241" s="36">
        <v>1</v>
      </c>
      <c r="J241" s="32">
        <f>IF(MB25_VOLUMETRIA[[#This Row],[Reserva]]="","",1)</f>
        <v>1</v>
      </c>
      <c r="K241" s="36" t="str">
        <f>IF(MB25_VOLUMETRIA[[#This Row],[Reserva]]="","",IFERROR(VLOOKUP(MB25_VOLUMETRIA[[#This Row],[UMB]],CHAVE[],2,FALSE),"VERIFICAR"))</f>
        <v>Unidade</v>
      </c>
      <c r="L241" s="32" t="str">
        <f>IF(MB25_VOLUMETRIA[[#This Row],[Reserva]]="","",IFERROR(VLOOKUP(MB25_VOLUMETRIA[[#This Row],[Reserva]],Tabela3[[Reserva]:[Condição para Faturamento]],20,FALSE),"IMPORTADO COM SUCESSO"))</f>
        <v>EM CONFERENCIA</v>
      </c>
      <c r="M241" s="32" t="str">
        <f ca="1">IFERROR(VLOOKUP(MB25_VOLUMETRIA[[#This Row],[Reserva]],RES_AB[],14,FALSE),"")</f>
        <v>PLANO DO DIA</v>
      </c>
      <c r="N241" s="32" t="str">
        <f>IF(MB25_VOLUMETRIA[[#This Row],[Cen.]]="","",IFERROR(VLOOKUP(MB25_VOLUMETRIA[[#This Row],[Cen.]],Dados_Empresas[],2,FALSE),"Verificar empresa"))</f>
        <v>TELMEX</v>
      </c>
      <c r="O2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2" spans="1:15" x14ac:dyDescent="0.25">
      <c r="A242" s="32">
        <v>4381638</v>
      </c>
      <c r="B242" s="32" t="s">
        <v>20</v>
      </c>
      <c r="C242" s="33" t="s">
        <v>20</v>
      </c>
      <c r="D242" s="35">
        <v>45448</v>
      </c>
      <c r="E242" s="32">
        <v>221</v>
      </c>
      <c r="F242" s="32">
        <v>22064510</v>
      </c>
      <c r="G242" s="32" t="s">
        <v>394</v>
      </c>
      <c r="H242" s="26" t="s">
        <v>38</v>
      </c>
      <c r="I242" s="36">
        <v>1</v>
      </c>
      <c r="J242" s="32">
        <f>IF(MB25_VOLUMETRIA[[#This Row],[Reserva]]="","",1)</f>
        <v>1</v>
      </c>
      <c r="K242" s="36" t="str">
        <f>IF(MB25_VOLUMETRIA[[#This Row],[Reserva]]="","",IFERROR(VLOOKUP(MB25_VOLUMETRIA[[#This Row],[UMB]],CHAVE[],2,FALSE),"VERIFICAR"))</f>
        <v>Unidade</v>
      </c>
      <c r="L242" s="32" t="str">
        <f>IF(MB25_VOLUMETRIA[[#This Row],[Reserva]]="","",IFERROR(VLOOKUP(MB25_VOLUMETRIA[[#This Row],[Reserva]],Tabela3[[Reserva]:[Condição para Faturamento]],20,FALSE),"IMPORTADO COM SUCESSO"))</f>
        <v>EM CONFERENCIA</v>
      </c>
      <c r="M242" s="32" t="str">
        <f ca="1">IFERROR(VLOOKUP(MB25_VOLUMETRIA[[#This Row],[Reserva]],RES_AB[],14,FALSE),"")</f>
        <v>PLANO DO DIA</v>
      </c>
      <c r="N242" s="32" t="str">
        <f>IF(MB25_VOLUMETRIA[[#This Row],[Cen.]]="","",IFERROR(VLOOKUP(MB25_VOLUMETRIA[[#This Row],[Cen.]],Dados_Empresas[],2,FALSE),"Verificar empresa"))</f>
        <v>TELMEX</v>
      </c>
      <c r="O2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3" spans="1:15" x14ac:dyDescent="0.25">
      <c r="A243" s="32">
        <v>4381639</v>
      </c>
      <c r="B243" s="32" t="s">
        <v>20</v>
      </c>
      <c r="C243" s="33" t="s">
        <v>20</v>
      </c>
      <c r="D243" s="35">
        <v>45448</v>
      </c>
      <c r="E243" s="32">
        <v>221</v>
      </c>
      <c r="F243" s="32">
        <v>22024935</v>
      </c>
      <c r="G243" s="32" t="s">
        <v>395</v>
      </c>
      <c r="H243" s="26" t="s">
        <v>38</v>
      </c>
      <c r="I243" s="36">
        <v>1</v>
      </c>
      <c r="J243" s="32">
        <f>IF(MB25_VOLUMETRIA[[#This Row],[Reserva]]="","",1)</f>
        <v>1</v>
      </c>
      <c r="K243" s="36" t="str">
        <f>IF(MB25_VOLUMETRIA[[#This Row],[Reserva]]="","",IFERROR(VLOOKUP(MB25_VOLUMETRIA[[#This Row],[UMB]],CHAVE[],2,FALSE),"VERIFICAR"))</f>
        <v>Unidade</v>
      </c>
      <c r="L243" s="32" t="str">
        <f>IF(MB25_VOLUMETRIA[[#This Row],[Reserva]]="","",IFERROR(VLOOKUP(MB25_VOLUMETRIA[[#This Row],[Reserva]],Tabela3[[Reserva]:[Condição para Faturamento]],20,FALSE),"IMPORTADO COM SUCESSO"))</f>
        <v>EM CONFERENCIA</v>
      </c>
      <c r="M243" s="32" t="str">
        <f ca="1">IFERROR(VLOOKUP(MB25_VOLUMETRIA[[#This Row],[Reserva]],RES_AB[],14,FALSE),"")</f>
        <v>PLANO DO DIA</v>
      </c>
      <c r="N243" s="32" t="str">
        <f>IF(MB25_VOLUMETRIA[[#This Row],[Cen.]]="","",IFERROR(VLOOKUP(MB25_VOLUMETRIA[[#This Row],[Cen.]],Dados_Empresas[],2,FALSE),"Verificar empresa"))</f>
        <v>TELMEX</v>
      </c>
      <c r="O2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4" spans="1:15" x14ac:dyDescent="0.25">
      <c r="A244" s="32">
        <v>4381912</v>
      </c>
      <c r="B244" s="32" t="s">
        <v>20</v>
      </c>
      <c r="C244" s="33" t="s">
        <v>314</v>
      </c>
      <c r="D244" s="35">
        <v>45448</v>
      </c>
      <c r="E244" s="32">
        <v>221</v>
      </c>
      <c r="F244" s="32">
        <v>30058493</v>
      </c>
      <c r="G244" s="32" t="s">
        <v>315</v>
      </c>
      <c r="H244" s="26" t="s">
        <v>38</v>
      </c>
      <c r="I244" s="36">
        <v>11</v>
      </c>
      <c r="J244" s="32">
        <f>IF(MB25_VOLUMETRIA[[#This Row],[Reserva]]="","",1)</f>
        <v>1</v>
      </c>
      <c r="K244" s="36" t="str">
        <f>IF(MB25_VOLUMETRIA[[#This Row],[Reserva]]="","",IFERROR(VLOOKUP(MB25_VOLUMETRIA[[#This Row],[UMB]],CHAVE[],2,FALSE),"VERIFICAR"))</f>
        <v>Unidade</v>
      </c>
      <c r="L244" s="32" t="str">
        <f>IF(MB25_VOLUMETRIA[[#This Row],[Reserva]]="","",IFERROR(VLOOKUP(MB25_VOLUMETRIA[[#This Row],[Reserva]],Tabela3[[Reserva]:[Condição para Faturamento]],20,FALSE),"IMPORTADO COM SUCESSO"))</f>
        <v>EM FATURAMENTO</v>
      </c>
      <c r="M244" s="32" t="str">
        <f ca="1">IFERROR(VLOOKUP(MB25_VOLUMETRIA[[#This Row],[Reserva]],RES_AB[],14,FALSE),"")</f>
        <v>PLANO DO DIA</v>
      </c>
      <c r="N244" s="32" t="str">
        <f>IF(MB25_VOLUMETRIA[[#This Row],[Cen.]]="","",IFERROR(VLOOKUP(MB25_VOLUMETRIA[[#This Row],[Cen.]],Dados_Empresas[],2,FALSE),"Verificar empresa"))</f>
        <v>TELMEX</v>
      </c>
      <c r="O2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5" spans="1:15" x14ac:dyDescent="0.25">
      <c r="A245" s="32">
        <v>4381913</v>
      </c>
      <c r="B245" s="32" t="s">
        <v>20</v>
      </c>
      <c r="C245" s="33" t="s">
        <v>314</v>
      </c>
      <c r="D245" s="35">
        <v>45448</v>
      </c>
      <c r="E245" s="32">
        <v>221</v>
      </c>
      <c r="F245" s="32">
        <v>30061626</v>
      </c>
      <c r="G245" s="32" t="s">
        <v>417</v>
      </c>
      <c r="H245" s="26" t="s">
        <v>38</v>
      </c>
      <c r="I245" s="36">
        <v>3</v>
      </c>
      <c r="J245" s="32">
        <f>IF(MB25_VOLUMETRIA[[#This Row],[Reserva]]="","",1)</f>
        <v>1</v>
      </c>
      <c r="K245" s="36" t="str">
        <f>IF(MB25_VOLUMETRIA[[#This Row],[Reserva]]="","",IFERROR(VLOOKUP(MB25_VOLUMETRIA[[#This Row],[UMB]],CHAVE[],2,FALSE),"VERIFICAR"))</f>
        <v>Unidade</v>
      </c>
      <c r="L245" s="32" t="str">
        <f>IF(MB25_VOLUMETRIA[[#This Row],[Reserva]]="","",IFERROR(VLOOKUP(MB25_VOLUMETRIA[[#This Row],[Reserva]],Tabela3[[Reserva]:[Condição para Faturamento]],20,FALSE),"IMPORTADO COM SUCESSO"))</f>
        <v>EM FATURAMENTO</v>
      </c>
      <c r="M245" s="32" t="str">
        <f ca="1">IFERROR(VLOOKUP(MB25_VOLUMETRIA[[#This Row],[Reserva]],RES_AB[],14,FALSE),"")</f>
        <v>PLANO DO DIA</v>
      </c>
      <c r="N245" s="32" t="str">
        <f>IF(MB25_VOLUMETRIA[[#This Row],[Cen.]]="","",IFERROR(VLOOKUP(MB25_VOLUMETRIA[[#This Row],[Cen.]],Dados_Empresas[],2,FALSE),"Verificar empresa"))</f>
        <v>TELMEX</v>
      </c>
      <c r="O2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6" spans="1:15" x14ac:dyDescent="0.25">
      <c r="A246" s="32">
        <v>4382286</v>
      </c>
      <c r="B246" s="32" t="s">
        <v>20</v>
      </c>
      <c r="C246" s="33" t="s">
        <v>314</v>
      </c>
      <c r="D246" s="35">
        <v>45449</v>
      </c>
      <c r="E246" s="32">
        <v>221</v>
      </c>
      <c r="F246" s="32">
        <v>10019937</v>
      </c>
      <c r="G246" s="32" t="s">
        <v>418</v>
      </c>
      <c r="H246" s="26" t="s">
        <v>38</v>
      </c>
      <c r="I246" s="36">
        <v>1</v>
      </c>
      <c r="J246" s="32">
        <f>IF(MB25_VOLUMETRIA[[#This Row],[Reserva]]="","",1)</f>
        <v>1</v>
      </c>
      <c r="K246" s="36" t="str">
        <f>IF(MB25_VOLUMETRIA[[#This Row],[Reserva]]="","",IFERROR(VLOOKUP(MB25_VOLUMETRIA[[#This Row],[UMB]],CHAVE[],2,FALSE),"VERIFICAR"))</f>
        <v>Unidade</v>
      </c>
      <c r="L24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46" s="32" t="str">
        <f ca="1">IFERROR(VLOOKUP(MB25_VOLUMETRIA[[#This Row],[Reserva]],RES_AB[],14,FALSE),"")</f>
        <v>RESERVAS PENDENTES</v>
      </c>
      <c r="N246" s="32" t="str">
        <f>IF(MB25_VOLUMETRIA[[#This Row],[Cen.]]="","",IFERROR(VLOOKUP(MB25_VOLUMETRIA[[#This Row],[Cen.]],Dados_Empresas[],2,FALSE),"Verificar empresa"))</f>
        <v>TELMEX</v>
      </c>
      <c r="O2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7" spans="1:15" x14ac:dyDescent="0.25">
      <c r="A247" s="32">
        <v>4382287</v>
      </c>
      <c r="B247" s="32" t="s">
        <v>20</v>
      </c>
      <c r="C247" s="33" t="s">
        <v>419</v>
      </c>
      <c r="D247" s="35">
        <v>45449</v>
      </c>
      <c r="E247" s="32">
        <v>221</v>
      </c>
      <c r="F247" s="32">
        <v>16007966</v>
      </c>
      <c r="G247" s="32" t="s">
        <v>420</v>
      </c>
      <c r="H247" s="26" t="s">
        <v>38</v>
      </c>
      <c r="I247" s="36">
        <v>1</v>
      </c>
      <c r="J247" s="32">
        <f>IF(MB25_VOLUMETRIA[[#This Row],[Reserva]]="","",1)</f>
        <v>1</v>
      </c>
      <c r="K247" s="36" t="str">
        <f>IF(MB25_VOLUMETRIA[[#This Row],[Reserva]]="","",IFERROR(VLOOKUP(MB25_VOLUMETRIA[[#This Row],[UMB]],CHAVE[],2,FALSE),"VERIFICAR"))</f>
        <v>Unidade</v>
      </c>
      <c r="L247" s="32" t="str">
        <f>IF(MB25_VOLUMETRIA[[#This Row],[Reserva]]="","",IFERROR(VLOOKUP(MB25_VOLUMETRIA[[#This Row],[Reserva]],Tabela3[[Reserva]:[Condição para Faturamento]],20,FALSE),"IMPORTADO COM SUCESSO"))</f>
        <v>IMPORTADO</v>
      </c>
      <c r="M247" s="32" t="str">
        <f ca="1">IFERROR(VLOOKUP(MB25_VOLUMETRIA[[#This Row],[Reserva]],RES_AB[],14,FALSE),"")</f>
        <v>RESERVAS PENDENTES</v>
      </c>
      <c r="N247" s="32" t="str">
        <f>IF(MB25_VOLUMETRIA[[#This Row],[Cen.]]="","",IFERROR(VLOOKUP(MB25_VOLUMETRIA[[#This Row],[Cen.]],Dados_Empresas[],2,FALSE),"Verificar empresa"))</f>
        <v>TELMEX</v>
      </c>
      <c r="O2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8" spans="1:15" x14ac:dyDescent="0.25">
      <c r="A248" s="32">
        <v>4382288</v>
      </c>
      <c r="B248" s="32" t="s">
        <v>20</v>
      </c>
      <c r="C248" s="33" t="s">
        <v>314</v>
      </c>
      <c r="D248" s="35">
        <v>45449</v>
      </c>
      <c r="E248" s="32">
        <v>221</v>
      </c>
      <c r="F248" s="32">
        <v>10019937</v>
      </c>
      <c r="G248" s="32" t="s">
        <v>418</v>
      </c>
      <c r="H248" s="26" t="s">
        <v>38</v>
      </c>
      <c r="I248" s="36">
        <v>1</v>
      </c>
      <c r="J248" s="32">
        <f>IF(MB25_VOLUMETRIA[[#This Row],[Reserva]]="","",1)</f>
        <v>1</v>
      </c>
      <c r="K248" s="36" t="str">
        <f>IF(MB25_VOLUMETRIA[[#This Row],[Reserva]]="","",IFERROR(VLOOKUP(MB25_VOLUMETRIA[[#This Row],[UMB]],CHAVE[],2,FALSE),"VERIFICAR"))</f>
        <v>Unidade</v>
      </c>
      <c r="L24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48" s="32" t="str">
        <f ca="1">IFERROR(VLOOKUP(MB25_VOLUMETRIA[[#This Row],[Reserva]],RES_AB[],14,FALSE),"")</f>
        <v>RESERVAS PENDENTES</v>
      </c>
      <c r="N248" s="32" t="str">
        <f>IF(MB25_VOLUMETRIA[[#This Row],[Cen.]]="","",IFERROR(VLOOKUP(MB25_VOLUMETRIA[[#This Row],[Cen.]],Dados_Empresas[],2,FALSE),"Verificar empresa"))</f>
        <v>TELMEX</v>
      </c>
      <c r="O2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49" spans="1:15" x14ac:dyDescent="0.25">
      <c r="A249" s="32">
        <v>4382289</v>
      </c>
      <c r="B249" s="32" t="s">
        <v>20</v>
      </c>
      <c r="C249" s="33" t="s">
        <v>314</v>
      </c>
      <c r="D249" s="35">
        <v>45449</v>
      </c>
      <c r="E249" s="32">
        <v>221</v>
      </c>
      <c r="F249" s="32">
        <v>40000292</v>
      </c>
      <c r="G249" s="32" t="s">
        <v>421</v>
      </c>
      <c r="H249" s="26" t="s">
        <v>38</v>
      </c>
      <c r="I249" s="36">
        <v>1</v>
      </c>
      <c r="J249" s="32">
        <f>IF(MB25_VOLUMETRIA[[#This Row],[Reserva]]="","",1)</f>
        <v>1</v>
      </c>
      <c r="K249" s="36" t="str">
        <f>IF(MB25_VOLUMETRIA[[#This Row],[Reserva]]="","",IFERROR(VLOOKUP(MB25_VOLUMETRIA[[#This Row],[UMB]],CHAVE[],2,FALSE),"VERIFICAR"))</f>
        <v>Unidade</v>
      </c>
      <c r="L24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49" s="32" t="str">
        <f ca="1">IFERROR(VLOOKUP(MB25_VOLUMETRIA[[#This Row],[Reserva]],RES_AB[],14,FALSE),"")</f>
        <v>RESERVAS PENDENTES</v>
      </c>
      <c r="N249" s="32" t="str">
        <f>IF(MB25_VOLUMETRIA[[#This Row],[Cen.]]="","",IFERROR(VLOOKUP(MB25_VOLUMETRIA[[#This Row],[Cen.]],Dados_Empresas[],2,FALSE),"Verificar empresa"))</f>
        <v>TELMEX</v>
      </c>
      <c r="O24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0" spans="1:15" x14ac:dyDescent="0.25">
      <c r="A250" s="32">
        <v>4382290</v>
      </c>
      <c r="B250" s="32" t="s">
        <v>20</v>
      </c>
      <c r="C250" s="33" t="s">
        <v>314</v>
      </c>
      <c r="D250" s="35">
        <v>45449</v>
      </c>
      <c r="E250" s="32">
        <v>221</v>
      </c>
      <c r="F250" s="32">
        <v>40000292</v>
      </c>
      <c r="G250" s="32" t="s">
        <v>421</v>
      </c>
      <c r="H250" s="26" t="s">
        <v>38</v>
      </c>
      <c r="I250" s="36">
        <v>1</v>
      </c>
      <c r="J250" s="32">
        <f>IF(MB25_VOLUMETRIA[[#This Row],[Reserva]]="","",1)</f>
        <v>1</v>
      </c>
      <c r="K250" s="36" t="str">
        <f>IF(MB25_VOLUMETRIA[[#This Row],[Reserva]]="","",IFERROR(VLOOKUP(MB25_VOLUMETRIA[[#This Row],[UMB]],CHAVE[],2,FALSE),"VERIFICAR"))</f>
        <v>Unidade</v>
      </c>
      <c r="L25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0" s="32" t="str">
        <f ca="1">IFERROR(VLOOKUP(MB25_VOLUMETRIA[[#This Row],[Reserva]],RES_AB[],14,FALSE),"")</f>
        <v>RESERVAS PENDENTES</v>
      </c>
      <c r="N250" s="32" t="str">
        <f>IF(MB25_VOLUMETRIA[[#This Row],[Cen.]]="","",IFERROR(VLOOKUP(MB25_VOLUMETRIA[[#This Row],[Cen.]],Dados_Empresas[],2,FALSE),"Verificar empresa"))</f>
        <v>TELMEX</v>
      </c>
      <c r="O25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1" spans="1:15" x14ac:dyDescent="0.25">
      <c r="A251" s="32">
        <v>4382291</v>
      </c>
      <c r="B251" s="32" t="s">
        <v>20</v>
      </c>
      <c r="C251" s="33" t="s">
        <v>314</v>
      </c>
      <c r="D251" s="35">
        <v>45449</v>
      </c>
      <c r="E251" s="32">
        <v>221</v>
      </c>
      <c r="F251" s="32">
        <v>10019937</v>
      </c>
      <c r="G251" s="32" t="s">
        <v>418</v>
      </c>
      <c r="H251" s="26" t="s">
        <v>38</v>
      </c>
      <c r="I251" s="36">
        <v>1</v>
      </c>
      <c r="J251" s="32">
        <f>IF(MB25_VOLUMETRIA[[#This Row],[Reserva]]="","",1)</f>
        <v>1</v>
      </c>
      <c r="K251" s="36" t="str">
        <f>IF(MB25_VOLUMETRIA[[#This Row],[Reserva]]="","",IFERROR(VLOOKUP(MB25_VOLUMETRIA[[#This Row],[UMB]],CHAVE[],2,FALSE),"VERIFICAR"))</f>
        <v>Unidade</v>
      </c>
      <c r="L25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1" s="32" t="str">
        <f ca="1">IFERROR(VLOOKUP(MB25_VOLUMETRIA[[#This Row],[Reserva]],RES_AB[],14,FALSE),"")</f>
        <v>RESERVAS PENDENTES</v>
      </c>
      <c r="N251" s="32" t="str">
        <f>IF(MB25_VOLUMETRIA[[#This Row],[Cen.]]="","",IFERROR(VLOOKUP(MB25_VOLUMETRIA[[#This Row],[Cen.]],Dados_Empresas[],2,FALSE),"Verificar empresa"))</f>
        <v>TELMEX</v>
      </c>
      <c r="O25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2" spans="1:15" x14ac:dyDescent="0.25">
      <c r="A252" s="32">
        <v>4382292</v>
      </c>
      <c r="B252" s="32" t="s">
        <v>20</v>
      </c>
      <c r="C252" s="33" t="s">
        <v>314</v>
      </c>
      <c r="D252" s="35">
        <v>45449</v>
      </c>
      <c r="E252" s="32">
        <v>221</v>
      </c>
      <c r="F252" s="32">
        <v>10019937</v>
      </c>
      <c r="G252" s="32" t="s">
        <v>418</v>
      </c>
      <c r="H252" s="26" t="s">
        <v>38</v>
      </c>
      <c r="I252" s="36">
        <v>1</v>
      </c>
      <c r="J252" s="32">
        <f>IF(MB25_VOLUMETRIA[[#This Row],[Reserva]]="","",1)</f>
        <v>1</v>
      </c>
      <c r="K252" s="36" t="str">
        <f>IF(MB25_VOLUMETRIA[[#This Row],[Reserva]]="","",IFERROR(VLOOKUP(MB25_VOLUMETRIA[[#This Row],[UMB]],CHAVE[],2,FALSE),"VERIFICAR"))</f>
        <v>Unidade</v>
      </c>
      <c r="L25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2" s="32" t="str">
        <f ca="1">IFERROR(VLOOKUP(MB25_VOLUMETRIA[[#This Row],[Reserva]],RES_AB[],14,FALSE),"")</f>
        <v>RESERVAS PENDENTES</v>
      </c>
      <c r="N252" s="32" t="str">
        <f>IF(MB25_VOLUMETRIA[[#This Row],[Cen.]]="","",IFERROR(VLOOKUP(MB25_VOLUMETRIA[[#This Row],[Cen.]],Dados_Empresas[],2,FALSE),"Verificar empresa"))</f>
        <v>TELMEX</v>
      </c>
      <c r="O25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3" spans="1:15" x14ac:dyDescent="0.25">
      <c r="A253" s="32">
        <v>4382293</v>
      </c>
      <c r="B253" s="32" t="s">
        <v>20</v>
      </c>
      <c r="C253" s="33" t="s">
        <v>314</v>
      </c>
      <c r="D253" s="35">
        <v>45449</v>
      </c>
      <c r="E253" s="32">
        <v>221</v>
      </c>
      <c r="F253" s="32">
        <v>10019937</v>
      </c>
      <c r="G253" s="32" t="s">
        <v>418</v>
      </c>
      <c r="H253" s="26" t="s">
        <v>38</v>
      </c>
      <c r="I253" s="36">
        <v>1</v>
      </c>
      <c r="J253" s="32">
        <f>IF(MB25_VOLUMETRIA[[#This Row],[Reserva]]="","",1)</f>
        <v>1</v>
      </c>
      <c r="K253" s="36" t="str">
        <f>IF(MB25_VOLUMETRIA[[#This Row],[Reserva]]="","",IFERROR(VLOOKUP(MB25_VOLUMETRIA[[#This Row],[UMB]],CHAVE[],2,FALSE),"VERIFICAR"))</f>
        <v>Unidade</v>
      </c>
      <c r="L25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3" s="32" t="str">
        <f ca="1">IFERROR(VLOOKUP(MB25_VOLUMETRIA[[#This Row],[Reserva]],RES_AB[],14,FALSE),"")</f>
        <v>RESERVAS PENDENTES</v>
      </c>
      <c r="N253" s="32" t="str">
        <f>IF(MB25_VOLUMETRIA[[#This Row],[Cen.]]="","",IFERROR(VLOOKUP(MB25_VOLUMETRIA[[#This Row],[Cen.]],Dados_Empresas[],2,FALSE),"Verificar empresa"))</f>
        <v>TELMEX</v>
      </c>
      <c r="O25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4" spans="1:15" x14ac:dyDescent="0.25">
      <c r="A254" s="32">
        <v>4382294</v>
      </c>
      <c r="B254" s="32" t="s">
        <v>20</v>
      </c>
      <c r="C254" s="33" t="s">
        <v>314</v>
      </c>
      <c r="D254" s="35">
        <v>45449</v>
      </c>
      <c r="E254" s="32">
        <v>221</v>
      </c>
      <c r="F254" s="32">
        <v>10019937</v>
      </c>
      <c r="G254" s="32" t="s">
        <v>418</v>
      </c>
      <c r="H254" s="26" t="s">
        <v>38</v>
      </c>
      <c r="I254" s="36">
        <v>1</v>
      </c>
      <c r="J254" s="32">
        <f>IF(MB25_VOLUMETRIA[[#This Row],[Reserva]]="","",1)</f>
        <v>1</v>
      </c>
      <c r="K254" s="36" t="str">
        <f>IF(MB25_VOLUMETRIA[[#This Row],[Reserva]]="","",IFERROR(VLOOKUP(MB25_VOLUMETRIA[[#This Row],[UMB]],CHAVE[],2,FALSE),"VERIFICAR"))</f>
        <v>Unidade</v>
      </c>
      <c r="L25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4" s="32" t="str">
        <f ca="1">IFERROR(VLOOKUP(MB25_VOLUMETRIA[[#This Row],[Reserva]],RES_AB[],14,FALSE),"")</f>
        <v>RESERVAS PENDENTES</v>
      </c>
      <c r="N254" s="32" t="str">
        <f>IF(MB25_VOLUMETRIA[[#This Row],[Cen.]]="","",IFERROR(VLOOKUP(MB25_VOLUMETRIA[[#This Row],[Cen.]],Dados_Empresas[],2,FALSE),"Verificar empresa"))</f>
        <v>TELMEX</v>
      </c>
      <c r="O25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5" spans="1:15" x14ac:dyDescent="0.25">
      <c r="A255" s="32">
        <v>4382295</v>
      </c>
      <c r="B255" s="32" t="s">
        <v>20</v>
      </c>
      <c r="C255" s="33" t="s">
        <v>314</v>
      </c>
      <c r="D255" s="35">
        <v>45449</v>
      </c>
      <c r="E255" s="32">
        <v>221</v>
      </c>
      <c r="F255" s="32">
        <v>10019937</v>
      </c>
      <c r="G255" s="32" t="s">
        <v>418</v>
      </c>
      <c r="H255" s="26" t="s">
        <v>38</v>
      </c>
      <c r="I255" s="36">
        <v>1</v>
      </c>
      <c r="J255" s="32">
        <f>IF(MB25_VOLUMETRIA[[#This Row],[Reserva]]="","",1)</f>
        <v>1</v>
      </c>
      <c r="K255" s="36" t="str">
        <f>IF(MB25_VOLUMETRIA[[#This Row],[Reserva]]="","",IFERROR(VLOOKUP(MB25_VOLUMETRIA[[#This Row],[UMB]],CHAVE[],2,FALSE),"VERIFICAR"))</f>
        <v>Unidade</v>
      </c>
      <c r="L25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5" s="32" t="str">
        <f ca="1">IFERROR(VLOOKUP(MB25_VOLUMETRIA[[#This Row],[Reserva]],RES_AB[],14,FALSE),"")</f>
        <v>RESERVAS PENDENTES</v>
      </c>
      <c r="N255" s="32" t="str">
        <f>IF(MB25_VOLUMETRIA[[#This Row],[Cen.]]="","",IFERROR(VLOOKUP(MB25_VOLUMETRIA[[#This Row],[Cen.]],Dados_Empresas[],2,FALSE),"Verificar empresa"))</f>
        <v>TELMEX</v>
      </c>
      <c r="O25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6" spans="1:15" x14ac:dyDescent="0.25">
      <c r="A256" s="32">
        <v>4382296</v>
      </c>
      <c r="B256" s="32" t="s">
        <v>20</v>
      </c>
      <c r="C256" s="33" t="s">
        <v>419</v>
      </c>
      <c r="D256" s="35">
        <v>45449</v>
      </c>
      <c r="E256" s="32">
        <v>221</v>
      </c>
      <c r="F256" s="32">
        <v>16007966</v>
      </c>
      <c r="G256" s="32" t="s">
        <v>420</v>
      </c>
      <c r="H256" s="26" t="s">
        <v>38</v>
      </c>
      <c r="I256" s="36">
        <v>1</v>
      </c>
      <c r="J256" s="32">
        <f>IF(MB25_VOLUMETRIA[[#This Row],[Reserva]]="","",1)</f>
        <v>1</v>
      </c>
      <c r="K256" s="36" t="str">
        <f>IF(MB25_VOLUMETRIA[[#This Row],[Reserva]]="","",IFERROR(VLOOKUP(MB25_VOLUMETRIA[[#This Row],[UMB]],CHAVE[],2,FALSE),"VERIFICAR"))</f>
        <v>Unidade</v>
      </c>
      <c r="L256" s="32" t="str">
        <f>IF(MB25_VOLUMETRIA[[#This Row],[Reserva]]="","",IFERROR(VLOOKUP(MB25_VOLUMETRIA[[#This Row],[Reserva]],Tabela3[[Reserva]:[Condição para Faturamento]],20,FALSE),"IMPORTADO COM SUCESSO"))</f>
        <v>IMPORTADO</v>
      </c>
      <c r="M256" s="32" t="str">
        <f ca="1">IFERROR(VLOOKUP(MB25_VOLUMETRIA[[#This Row],[Reserva]],RES_AB[],14,FALSE),"")</f>
        <v>RESERVAS PENDENTES</v>
      </c>
      <c r="N256" s="32" t="str">
        <f>IF(MB25_VOLUMETRIA[[#This Row],[Cen.]]="","",IFERROR(VLOOKUP(MB25_VOLUMETRIA[[#This Row],[Cen.]],Dados_Empresas[],2,FALSE),"Verificar empresa"))</f>
        <v>TELMEX</v>
      </c>
      <c r="O25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7" spans="1:15" x14ac:dyDescent="0.25">
      <c r="A257" s="32">
        <v>4382297</v>
      </c>
      <c r="B257" s="32" t="s">
        <v>20</v>
      </c>
      <c r="C257" s="33" t="s">
        <v>314</v>
      </c>
      <c r="D257" s="35">
        <v>45449</v>
      </c>
      <c r="E257" s="32">
        <v>221</v>
      </c>
      <c r="F257" s="32">
        <v>30061626</v>
      </c>
      <c r="G257" s="32" t="s">
        <v>417</v>
      </c>
      <c r="H257" s="26" t="s">
        <v>38</v>
      </c>
      <c r="I257" s="36">
        <v>2</v>
      </c>
      <c r="J257" s="32">
        <f>IF(MB25_VOLUMETRIA[[#This Row],[Reserva]]="","",1)</f>
        <v>1</v>
      </c>
      <c r="K257" s="36" t="str">
        <f>IF(MB25_VOLUMETRIA[[#This Row],[Reserva]]="","",IFERROR(VLOOKUP(MB25_VOLUMETRIA[[#This Row],[UMB]],CHAVE[],2,FALSE),"VERIFICAR"))</f>
        <v>Unidade</v>
      </c>
      <c r="L2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57" s="32" t="str">
        <f ca="1">IFERROR(VLOOKUP(MB25_VOLUMETRIA[[#This Row],[Reserva]],RES_AB[],14,FALSE),"")</f>
        <v>RESERVAS PENDENTES</v>
      </c>
      <c r="N257" s="32" t="str">
        <f>IF(MB25_VOLUMETRIA[[#This Row],[Cen.]]="","",IFERROR(VLOOKUP(MB25_VOLUMETRIA[[#This Row],[Cen.]],Dados_Empresas[],2,FALSE),"Verificar empresa"))</f>
        <v>TELMEX</v>
      </c>
      <c r="O25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8" spans="1:15" x14ac:dyDescent="0.25">
      <c r="A258" s="32">
        <v>4382298</v>
      </c>
      <c r="B258" s="32" t="s">
        <v>20</v>
      </c>
      <c r="C258" s="33" t="s">
        <v>314</v>
      </c>
      <c r="D258" s="35">
        <v>45449</v>
      </c>
      <c r="E258" s="32">
        <v>221</v>
      </c>
      <c r="F258" s="32">
        <v>10019937</v>
      </c>
      <c r="G258" s="32" t="s">
        <v>418</v>
      </c>
      <c r="H258" s="26" t="s">
        <v>38</v>
      </c>
      <c r="I258" s="36">
        <v>1</v>
      </c>
      <c r="J258" s="32">
        <f>IF(MB25_VOLUMETRIA[[#This Row],[Reserva]]="","",1)</f>
        <v>1</v>
      </c>
      <c r="K258" s="36" t="str">
        <f>IF(MB25_VOLUMETRIA[[#This Row],[Reserva]]="","",IFERROR(VLOOKUP(MB25_VOLUMETRIA[[#This Row],[UMB]],CHAVE[],2,FALSE),"VERIFICAR"))</f>
        <v>Unidade</v>
      </c>
      <c r="L25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8" s="32" t="str">
        <f ca="1">IFERROR(VLOOKUP(MB25_VOLUMETRIA[[#This Row],[Reserva]],RES_AB[],14,FALSE),"")</f>
        <v>RESERVAS PENDENTES</v>
      </c>
      <c r="N258" s="32" t="str">
        <f>IF(MB25_VOLUMETRIA[[#This Row],[Cen.]]="","",IFERROR(VLOOKUP(MB25_VOLUMETRIA[[#This Row],[Cen.]],Dados_Empresas[],2,FALSE),"Verificar empresa"))</f>
        <v>TELMEX</v>
      </c>
      <c r="O25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59" spans="1:15" x14ac:dyDescent="0.25">
      <c r="A259" s="32">
        <v>4382299</v>
      </c>
      <c r="B259" s="32" t="s">
        <v>20</v>
      </c>
      <c r="C259" s="33" t="s">
        <v>314</v>
      </c>
      <c r="D259" s="35">
        <v>45449</v>
      </c>
      <c r="E259" s="32">
        <v>221</v>
      </c>
      <c r="F259" s="32">
        <v>10019937</v>
      </c>
      <c r="G259" s="32" t="s">
        <v>418</v>
      </c>
      <c r="H259" s="26" t="s">
        <v>38</v>
      </c>
      <c r="I259" s="36">
        <v>1</v>
      </c>
      <c r="J259" s="32">
        <f>IF(MB25_VOLUMETRIA[[#This Row],[Reserva]]="","",1)</f>
        <v>1</v>
      </c>
      <c r="K259" s="36" t="str">
        <f>IF(MB25_VOLUMETRIA[[#This Row],[Reserva]]="","",IFERROR(VLOOKUP(MB25_VOLUMETRIA[[#This Row],[UMB]],CHAVE[],2,FALSE),"VERIFICAR"))</f>
        <v>Unidade</v>
      </c>
      <c r="L25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59" s="32" t="str">
        <f ca="1">IFERROR(VLOOKUP(MB25_VOLUMETRIA[[#This Row],[Reserva]],RES_AB[],14,FALSE),"")</f>
        <v>RESERVAS PENDENTES</v>
      </c>
      <c r="N259" s="32" t="str">
        <f>IF(MB25_VOLUMETRIA[[#This Row],[Cen.]]="","",IFERROR(VLOOKUP(MB25_VOLUMETRIA[[#This Row],[Cen.]],Dados_Empresas[],2,FALSE),"Verificar empresa"))</f>
        <v>TELMEX</v>
      </c>
      <c r="O25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0" spans="1:15" x14ac:dyDescent="0.25">
      <c r="A260" s="32">
        <v>4382300</v>
      </c>
      <c r="B260" s="32" t="s">
        <v>20</v>
      </c>
      <c r="C260" s="33" t="s">
        <v>314</v>
      </c>
      <c r="D260" s="35">
        <v>45449</v>
      </c>
      <c r="E260" s="32">
        <v>221</v>
      </c>
      <c r="F260" s="32">
        <v>30058493</v>
      </c>
      <c r="G260" s="32" t="s">
        <v>315</v>
      </c>
      <c r="H260" s="26" t="s">
        <v>38</v>
      </c>
      <c r="I260" s="36">
        <v>1</v>
      </c>
      <c r="J260" s="32">
        <f>IF(MB25_VOLUMETRIA[[#This Row],[Reserva]]="","",1)</f>
        <v>1</v>
      </c>
      <c r="K260" s="36" t="str">
        <f>IF(MB25_VOLUMETRIA[[#This Row],[Reserva]]="","",IFERROR(VLOOKUP(MB25_VOLUMETRIA[[#This Row],[UMB]],CHAVE[],2,FALSE),"VERIFICAR"))</f>
        <v>Unidade</v>
      </c>
      <c r="L260" s="32" t="str">
        <f>IF(MB25_VOLUMETRIA[[#This Row],[Reserva]]="","",IFERROR(VLOOKUP(MB25_VOLUMETRIA[[#This Row],[Reserva]],Tabela3[[Reserva]:[Condição para Faturamento]],20,FALSE),"IMPORTADO COM SUCESSO"))</f>
        <v>EM RESSUPRIMENTO</v>
      </c>
      <c r="M260" s="32" t="str">
        <f ca="1">IFERROR(VLOOKUP(MB25_VOLUMETRIA[[#This Row],[Reserva]],RES_AB[],14,FALSE),"")</f>
        <v>RESERVAS PENDENTES</v>
      </c>
      <c r="N260" s="32" t="str">
        <f>IF(MB25_VOLUMETRIA[[#This Row],[Cen.]]="","",IFERROR(VLOOKUP(MB25_VOLUMETRIA[[#This Row],[Cen.]],Dados_Empresas[],2,FALSE),"Verificar empresa"))</f>
        <v>TELMEX</v>
      </c>
      <c r="O26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1" spans="1:15" x14ac:dyDescent="0.25">
      <c r="A261" s="32">
        <v>4382706</v>
      </c>
      <c r="B261" s="32" t="s">
        <v>20</v>
      </c>
      <c r="C261" s="33" t="s">
        <v>314</v>
      </c>
      <c r="D261" s="35">
        <v>45449</v>
      </c>
      <c r="E261" s="32">
        <v>221</v>
      </c>
      <c r="F261" s="32">
        <v>30058493</v>
      </c>
      <c r="G261" s="32" t="s">
        <v>315</v>
      </c>
      <c r="H261" s="26" t="s">
        <v>38</v>
      </c>
      <c r="I261" s="36">
        <v>1</v>
      </c>
      <c r="J261" s="32">
        <f>IF(MB25_VOLUMETRIA[[#This Row],[Reserva]]="","",1)</f>
        <v>1</v>
      </c>
      <c r="K261" s="36" t="str">
        <f>IF(MB25_VOLUMETRIA[[#This Row],[Reserva]]="","",IFERROR(VLOOKUP(MB25_VOLUMETRIA[[#This Row],[UMB]],CHAVE[],2,FALSE),"VERIFICAR"))</f>
        <v>Unidade</v>
      </c>
      <c r="L2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61" s="32" t="str">
        <f ca="1">IFERROR(VLOOKUP(MB25_VOLUMETRIA[[#This Row],[Reserva]],RES_AB[],14,FALSE),"")</f>
        <v>RESERVAS PENDENTES</v>
      </c>
      <c r="N261" s="32" t="str">
        <f>IF(MB25_VOLUMETRIA[[#This Row],[Cen.]]="","",IFERROR(VLOOKUP(MB25_VOLUMETRIA[[#This Row],[Cen.]],Dados_Empresas[],2,FALSE),"Verificar empresa"))</f>
        <v>TELMEX</v>
      </c>
      <c r="O26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2" spans="1:15" x14ac:dyDescent="0.25">
      <c r="A262" s="32">
        <v>4382707</v>
      </c>
      <c r="B262" s="32" t="s">
        <v>20</v>
      </c>
      <c r="C262" s="33" t="s">
        <v>314</v>
      </c>
      <c r="D262" s="35">
        <v>45449</v>
      </c>
      <c r="E262" s="32">
        <v>221</v>
      </c>
      <c r="F262" s="32">
        <v>30058493</v>
      </c>
      <c r="G262" s="32" t="s">
        <v>315</v>
      </c>
      <c r="H262" s="26" t="s">
        <v>38</v>
      </c>
      <c r="I262" s="36">
        <v>1</v>
      </c>
      <c r="J262" s="32">
        <f>IF(MB25_VOLUMETRIA[[#This Row],[Reserva]]="","",1)</f>
        <v>1</v>
      </c>
      <c r="K262" s="36" t="str">
        <f>IF(MB25_VOLUMETRIA[[#This Row],[Reserva]]="","",IFERROR(VLOOKUP(MB25_VOLUMETRIA[[#This Row],[UMB]],CHAVE[],2,FALSE),"VERIFICAR"))</f>
        <v>Unidade</v>
      </c>
      <c r="L26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2" s="32" t="str">
        <f ca="1">IFERROR(VLOOKUP(MB25_VOLUMETRIA[[#This Row],[Reserva]],RES_AB[],14,FALSE),"")</f>
        <v>RESERVAS PENDENTES</v>
      </c>
      <c r="N262" s="32" t="str">
        <f>IF(MB25_VOLUMETRIA[[#This Row],[Cen.]]="","",IFERROR(VLOOKUP(MB25_VOLUMETRIA[[#This Row],[Cen.]],Dados_Empresas[],2,FALSE),"Verificar empresa"))</f>
        <v>TELMEX</v>
      </c>
      <c r="O26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3" spans="1:15" x14ac:dyDescent="0.25">
      <c r="A263" s="32">
        <v>4382708</v>
      </c>
      <c r="B263" s="32" t="s">
        <v>20</v>
      </c>
      <c r="C263" s="33" t="s">
        <v>314</v>
      </c>
      <c r="D263" s="35">
        <v>45449</v>
      </c>
      <c r="E263" s="32">
        <v>221</v>
      </c>
      <c r="F263" s="32">
        <v>30061626</v>
      </c>
      <c r="G263" s="32" t="s">
        <v>417</v>
      </c>
      <c r="H263" s="26" t="s">
        <v>38</v>
      </c>
      <c r="I263" s="36">
        <v>2</v>
      </c>
      <c r="J263" s="32">
        <f>IF(MB25_VOLUMETRIA[[#This Row],[Reserva]]="","",1)</f>
        <v>1</v>
      </c>
      <c r="K263" s="36" t="str">
        <f>IF(MB25_VOLUMETRIA[[#This Row],[Reserva]]="","",IFERROR(VLOOKUP(MB25_VOLUMETRIA[[#This Row],[UMB]],CHAVE[],2,FALSE),"VERIFICAR"))</f>
        <v>Unidade</v>
      </c>
      <c r="L26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63" s="32" t="str">
        <f ca="1">IFERROR(VLOOKUP(MB25_VOLUMETRIA[[#This Row],[Reserva]],RES_AB[],14,FALSE),"")</f>
        <v>RESERVAS PENDENTES</v>
      </c>
      <c r="N263" s="32" t="str">
        <f>IF(MB25_VOLUMETRIA[[#This Row],[Cen.]]="","",IFERROR(VLOOKUP(MB25_VOLUMETRIA[[#This Row],[Cen.]],Dados_Empresas[],2,FALSE),"Verificar empresa"))</f>
        <v>TELMEX</v>
      </c>
      <c r="O26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4" spans="1:15" x14ac:dyDescent="0.25">
      <c r="A264" s="32">
        <v>4382709</v>
      </c>
      <c r="B264" s="32" t="s">
        <v>20</v>
      </c>
      <c r="C264" s="33" t="s">
        <v>314</v>
      </c>
      <c r="D264" s="35">
        <v>45449</v>
      </c>
      <c r="E264" s="32">
        <v>221</v>
      </c>
      <c r="F264" s="32">
        <v>40000292</v>
      </c>
      <c r="G264" s="32" t="s">
        <v>421</v>
      </c>
      <c r="H264" s="26" t="s">
        <v>38</v>
      </c>
      <c r="I264" s="36">
        <v>1</v>
      </c>
      <c r="J264" s="32">
        <f>IF(MB25_VOLUMETRIA[[#This Row],[Reserva]]="","",1)</f>
        <v>1</v>
      </c>
      <c r="K264" s="36" t="str">
        <f>IF(MB25_VOLUMETRIA[[#This Row],[Reserva]]="","",IFERROR(VLOOKUP(MB25_VOLUMETRIA[[#This Row],[UMB]],CHAVE[],2,FALSE),"VERIFICAR"))</f>
        <v>Unidade</v>
      </c>
      <c r="L26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4" s="32" t="str">
        <f ca="1">IFERROR(VLOOKUP(MB25_VOLUMETRIA[[#This Row],[Reserva]],RES_AB[],14,FALSE),"")</f>
        <v>RESERVAS PENDENTES</v>
      </c>
      <c r="N264" s="32" t="str">
        <f>IF(MB25_VOLUMETRIA[[#This Row],[Cen.]]="","",IFERROR(VLOOKUP(MB25_VOLUMETRIA[[#This Row],[Cen.]],Dados_Empresas[],2,FALSE),"Verificar empresa"))</f>
        <v>TELMEX</v>
      </c>
      <c r="O26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5" spans="1:15" x14ac:dyDescent="0.25">
      <c r="A265" s="32">
        <v>4382710</v>
      </c>
      <c r="B265" s="32" t="s">
        <v>20</v>
      </c>
      <c r="C265" s="33" t="s">
        <v>314</v>
      </c>
      <c r="D265" s="35">
        <v>45449</v>
      </c>
      <c r="E265" s="32">
        <v>221</v>
      </c>
      <c r="F265" s="32">
        <v>40000292</v>
      </c>
      <c r="G265" s="32" t="s">
        <v>421</v>
      </c>
      <c r="H265" s="26" t="s">
        <v>38</v>
      </c>
      <c r="I265" s="36">
        <v>1</v>
      </c>
      <c r="J265" s="32">
        <f>IF(MB25_VOLUMETRIA[[#This Row],[Reserva]]="","",1)</f>
        <v>1</v>
      </c>
      <c r="K265" s="36" t="str">
        <f>IF(MB25_VOLUMETRIA[[#This Row],[Reserva]]="","",IFERROR(VLOOKUP(MB25_VOLUMETRIA[[#This Row],[UMB]],CHAVE[],2,FALSE),"VERIFICAR"))</f>
        <v>Unidade</v>
      </c>
      <c r="L26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5" s="32" t="str">
        <f ca="1">IFERROR(VLOOKUP(MB25_VOLUMETRIA[[#This Row],[Reserva]],RES_AB[],14,FALSE),"")</f>
        <v>RESERVAS PENDENTES</v>
      </c>
      <c r="N265" s="32" t="str">
        <f>IF(MB25_VOLUMETRIA[[#This Row],[Cen.]]="","",IFERROR(VLOOKUP(MB25_VOLUMETRIA[[#This Row],[Cen.]],Dados_Empresas[],2,FALSE),"Verificar empresa"))</f>
        <v>TELMEX</v>
      </c>
      <c r="O26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6" spans="1:15" x14ac:dyDescent="0.25">
      <c r="A266" s="32">
        <v>4382711</v>
      </c>
      <c r="B266" s="32" t="s">
        <v>20</v>
      </c>
      <c r="C266" s="33" t="s">
        <v>314</v>
      </c>
      <c r="D266" s="35">
        <v>45449</v>
      </c>
      <c r="E266" s="32">
        <v>221</v>
      </c>
      <c r="F266" s="32">
        <v>10019937</v>
      </c>
      <c r="G266" s="32" t="s">
        <v>418</v>
      </c>
      <c r="H266" s="26" t="s">
        <v>38</v>
      </c>
      <c r="I266" s="36">
        <v>1</v>
      </c>
      <c r="J266" s="32">
        <f>IF(MB25_VOLUMETRIA[[#This Row],[Reserva]]="","",1)</f>
        <v>1</v>
      </c>
      <c r="K266" s="36" t="str">
        <f>IF(MB25_VOLUMETRIA[[#This Row],[Reserva]]="","",IFERROR(VLOOKUP(MB25_VOLUMETRIA[[#This Row],[UMB]],CHAVE[],2,FALSE),"VERIFICAR"))</f>
        <v>Unidade</v>
      </c>
      <c r="L26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6" s="32" t="str">
        <f ca="1">IFERROR(VLOOKUP(MB25_VOLUMETRIA[[#This Row],[Reserva]],RES_AB[],14,FALSE),"")</f>
        <v>RESERVAS PENDENTES</v>
      </c>
      <c r="N266" s="32" t="str">
        <f>IF(MB25_VOLUMETRIA[[#This Row],[Cen.]]="","",IFERROR(VLOOKUP(MB25_VOLUMETRIA[[#This Row],[Cen.]],Dados_Empresas[],2,FALSE),"Verificar empresa"))</f>
        <v>TELMEX</v>
      </c>
      <c r="O26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7" spans="1:15" x14ac:dyDescent="0.25">
      <c r="A267" s="32">
        <v>4382712</v>
      </c>
      <c r="B267" s="32" t="s">
        <v>20</v>
      </c>
      <c r="C267" s="33" t="s">
        <v>314</v>
      </c>
      <c r="D267" s="35">
        <v>45449</v>
      </c>
      <c r="E267" s="32">
        <v>221</v>
      </c>
      <c r="F267" s="32">
        <v>10019937</v>
      </c>
      <c r="G267" s="32" t="s">
        <v>418</v>
      </c>
      <c r="H267" s="26" t="s">
        <v>38</v>
      </c>
      <c r="I267" s="36">
        <v>1</v>
      </c>
      <c r="J267" s="32">
        <f>IF(MB25_VOLUMETRIA[[#This Row],[Reserva]]="","",1)</f>
        <v>1</v>
      </c>
      <c r="K267" s="36" t="str">
        <f>IF(MB25_VOLUMETRIA[[#This Row],[Reserva]]="","",IFERROR(VLOOKUP(MB25_VOLUMETRIA[[#This Row],[UMB]],CHAVE[],2,FALSE),"VERIFICAR"))</f>
        <v>Unidade</v>
      </c>
      <c r="L26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7" s="32" t="str">
        <f ca="1">IFERROR(VLOOKUP(MB25_VOLUMETRIA[[#This Row],[Reserva]],RES_AB[],14,FALSE),"")</f>
        <v>RESERVAS PENDENTES</v>
      </c>
      <c r="N267" s="32" t="str">
        <f>IF(MB25_VOLUMETRIA[[#This Row],[Cen.]]="","",IFERROR(VLOOKUP(MB25_VOLUMETRIA[[#This Row],[Cen.]],Dados_Empresas[],2,FALSE),"Verificar empresa"))</f>
        <v>TELMEX</v>
      </c>
      <c r="O26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8" spans="1:15" x14ac:dyDescent="0.25">
      <c r="A268" s="32">
        <v>4382713</v>
      </c>
      <c r="B268" s="32" t="s">
        <v>20</v>
      </c>
      <c r="C268" s="33" t="s">
        <v>419</v>
      </c>
      <c r="D268" s="35">
        <v>45449</v>
      </c>
      <c r="E268" s="32">
        <v>221</v>
      </c>
      <c r="F268" s="32">
        <v>16007966</v>
      </c>
      <c r="G268" s="32" t="s">
        <v>420</v>
      </c>
      <c r="H268" s="26" t="s">
        <v>38</v>
      </c>
      <c r="I268" s="36">
        <v>1</v>
      </c>
      <c r="J268" s="32">
        <f>IF(MB25_VOLUMETRIA[[#This Row],[Reserva]]="","",1)</f>
        <v>1</v>
      </c>
      <c r="K268" s="36" t="str">
        <f>IF(MB25_VOLUMETRIA[[#This Row],[Reserva]]="","",IFERROR(VLOOKUP(MB25_VOLUMETRIA[[#This Row],[UMB]],CHAVE[],2,FALSE),"VERIFICAR"))</f>
        <v>Unidade</v>
      </c>
      <c r="L268" s="32" t="str">
        <f>IF(MB25_VOLUMETRIA[[#This Row],[Reserva]]="","",IFERROR(VLOOKUP(MB25_VOLUMETRIA[[#This Row],[Reserva]],Tabela3[[Reserva]:[Condição para Faturamento]],20,FALSE),"IMPORTADO COM SUCESSO"))</f>
        <v>IMPORTADO</v>
      </c>
      <c r="M268" s="32" t="str">
        <f ca="1">IFERROR(VLOOKUP(MB25_VOLUMETRIA[[#This Row],[Reserva]],RES_AB[],14,FALSE),"")</f>
        <v>RESERVAS PENDENTES</v>
      </c>
      <c r="N268" s="32" t="str">
        <f>IF(MB25_VOLUMETRIA[[#This Row],[Cen.]]="","",IFERROR(VLOOKUP(MB25_VOLUMETRIA[[#This Row],[Cen.]],Dados_Empresas[],2,FALSE),"Verificar empresa"))</f>
        <v>TELMEX</v>
      </c>
      <c r="O26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69" spans="1:15" x14ac:dyDescent="0.25">
      <c r="A269" s="32">
        <v>4382714</v>
      </c>
      <c r="B269" s="32" t="s">
        <v>20</v>
      </c>
      <c r="C269" s="33" t="s">
        <v>314</v>
      </c>
      <c r="D269" s="35">
        <v>45449</v>
      </c>
      <c r="E269" s="32">
        <v>221</v>
      </c>
      <c r="F269" s="32">
        <v>30058493</v>
      </c>
      <c r="G269" s="32" t="s">
        <v>315</v>
      </c>
      <c r="H269" s="26" t="s">
        <v>38</v>
      </c>
      <c r="I269" s="36">
        <v>1</v>
      </c>
      <c r="J269" s="32">
        <f>IF(MB25_VOLUMETRIA[[#This Row],[Reserva]]="","",1)</f>
        <v>1</v>
      </c>
      <c r="K269" s="36" t="str">
        <f>IF(MB25_VOLUMETRIA[[#This Row],[Reserva]]="","",IFERROR(VLOOKUP(MB25_VOLUMETRIA[[#This Row],[UMB]],CHAVE[],2,FALSE),"VERIFICAR"))</f>
        <v>Unidade</v>
      </c>
      <c r="L26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69" s="32" t="str">
        <f ca="1">IFERROR(VLOOKUP(MB25_VOLUMETRIA[[#This Row],[Reserva]],RES_AB[],14,FALSE),"")</f>
        <v>RESERVAS PENDENTES</v>
      </c>
      <c r="N269" s="32" t="str">
        <f>IF(MB25_VOLUMETRIA[[#This Row],[Cen.]]="","",IFERROR(VLOOKUP(MB25_VOLUMETRIA[[#This Row],[Cen.]],Dados_Empresas[],2,FALSE),"Verificar empresa"))</f>
        <v>TELMEX</v>
      </c>
      <c r="O26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0" spans="1:15" x14ac:dyDescent="0.25">
      <c r="A270" s="32">
        <v>4382715</v>
      </c>
      <c r="B270" s="32" t="s">
        <v>20</v>
      </c>
      <c r="C270" s="33" t="s">
        <v>314</v>
      </c>
      <c r="D270" s="35">
        <v>45449</v>
      </c>
      <c r="E270" s="32">
        <v>221</v>
      </c>
      <c r="F270" s="32">
        <v>30058493</v>
      </c>
      <c r="G270" s="32" t="s">
        <v>315</v>
      </c>
      <c r="H270" s="26" t="s">
        <v>38</v>
      </c>
      <c r="I270" s="36">
        <v>1</v>
      </c>
      <c r="J270" s="32">
        <f>IF(MB25_VOLUMETRIA[[#This Row],[Reserva]]="","",1)</f>
        <v>1</v>
      </c>
      <c r="K270" s="36" t="str">
        <f>IF(MB25_VOLUMETRIA[[#This Row],[Reserva]]="","",IFERROR(VLOOKUP(MB25_VOLUMETRIA[[#This Row],[UMB]],CHAVE[],2,FALSE),"VERIFICAR"))</f>
        <v>Unidade</v>
      </c>
      <c r="L27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0" s="32" t="str">
        <f ca="1">IFERROR(VLOOKUP(MB25_VOLUMETRIA[[#This Row],[Reserva]],RES_AB[],14,FALSE),"")</f>
        <v>RESERVAS PENDENTES</v>
      </c>
      <c r="N270" s="32" t="str">
        <f>IF(MB25_VOLUMETRIA[[#This Row],[Cen.]]="","",IFERROR(VLOOKUP(MB25_VOLUMETRIA[[#This Row],[Cen.]],Dados_Empresas[],2,FALSE),"Verificar empresa"))</f>
        <v>TELMEX</v>
      </c>
      <c r="O27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1" spans="1:15" x14ac:dyDescent="0.25">
      <c r="A271" s="32">
        <v>4382716</v>
      </c>
      <c r="B271" s="32" t="s">
        <v>20</v>
      </c>
      <c r="C271" s="33" t="s">
        <v>314</v>
      </c>
      <c r="D271" s="35">
        <v>45449</v>
      </c>
      <c r="E271" s="32">
        <v>221</v>
      </c>
      <c r="F271" s="32">
        <v>10019937</v>
      </c>
      <c r="G271" s="32" t="s">
        <v>418</v>
      </c>
      <c r="H271" s="26" t="s">
        <v>38</v>
      </c>
      <c r="I271" s="36">
        <v>1</v>
      </c>
      <c r="J271" s="32">
        <f>IF(MB25_VOLUMETRIA[[#This Row],[Reserva]]="","",1)</f>
        <v>1</v>
      </c>
      <c r="K271" s="36" t="str">
        <f>IF(MB25_VOLUMETRIA[[#This Row],[Reserva]]="","",IFERROR(VLOOKUP(MB25_VOLUMETRIA[[#This Row],[UMB]],CHAVE[],2,FALSE),"VERIFICAR"))</f>
        <v>Unidade</v>
      </c>
      <c r="L27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1" s="32" t="str">
        <f ca="1">IFERROR(VLOOKUP(MB25_VOLUMETRIA[[#This Row],[Reserva]],RES_AB[],14,FALSE),"")</f>
        <v>RESERVAS PENDENTES</v>
      </c>
      <c r="N271" s="32" t="str">
        <f>IF(MB25_VOLUMETRIA[[#This Row],[Cen.]]="","",IFERROR(VLOOKUP(MB25_VOLUMETRIA[[#This Row],[Cen.]],Dados_Empresas[],2,FALSE),"Verificar empresa"))</f>
        <v>TELMEX</v>
      </c>
      <c r="O27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2" spans="1:15" x14ac:dyDescent="0.25">
      <c r="A272" s="32">
        <v>4382718</v>
      </c>
      <c r="B272" s="32" t="s">
        <v>20</v>
      </c>
      <c r="C272" s="33" t="s">
        <v>314</v>
      </c>
      <c r="D272" s="35">
        <v>45449</v>
      </c>
      <c r="E272" s="32">
        <v>221</v>
      </c>
      <c r="F272" s="32">
        <v>10019937</v>
      </c>
      <c r="G272" s="32" t="s">
        <v>418</v>
      </c>
      <c r="H272" s="26" t="s">
        <v>38</v>
      </c>
      <c r="I272" s="36">
        <v>1</v>
      </c>
      <c r="J272" s="32">
        <f>IF(MB25_VOLUMETRIA[[#This Row],[Reserva]]="","",1)</f>
        <v>1</v>
      </c>
      <c r="K272" s="36" t="str">
        <f>IF(MB25_VOLUMETRIA[[#This Row],[Reserva]]="","",IFERROR(VLOOKUP(MB25_VOLUMETRIA[[#This Row],[UMB]],CHAVE[],2,FALSE),"VERIFICAR"))</f>
        <v>Unidade</v>
      </c>
      <c r="L27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2" s="32" t="str">
        <f ca="1">IFERROR(VLOOKUP(MB25_VOLUMETRIA[[#This Row],[Reserva]],RES_AB[],14,FALSE),"")</f>
        <v>RESERVAS PENDENTES</v>
      </c>
      <c r="N272" s="32" t="str">
        <f>IF(MB25_VOLUMETRIA[[#This Row],[Cen.]]="","",IFERROR(VLOOKUP(MB25_VOLUMETRIA[[#This Row],[Cen.]],Dados_Empresas[],2,FALSE),"Verificar empresa"))</f>
        <v>TELMEX</v>
      </c>
      <c r="O27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3" spans="1:15" x14ac:dyDescent="0.25">
      <c r="A273" s="32">
        <v>4382719</v>
      </c>
      <c r="B273" s="32" t="s">
        <v>20</v>
      </c>
      <c r="C273" s="33" t="s">
        <v>314</v>
      </c>
      <c r="D273" s="35">
        <v>45449</v>
      </c>
      <c r="E273" s="32">
        <v>221</v>
      </c>
      <c r="F273" s="32">
        <v>16008418</v>
      </c>
      <c r="G273" s="32" t="s">
        <v>385</v>
      </c>
      <c r="H273" s="26" t="s">
        <v>38</v>
      </c>
      <c r="I273" s="36">
        <v>3</v>
      </c>
      <c r="J273" s="32">
        <f>IF(MB25_VOLUMETRIA[[#This Row],[Reserva]]="","",1)</f>
        <v>1</v>
      </c>
      <c r="K273" s="36" t="str">
        <f>IF(MB25_VOLUMETRIA[[#This Row],[Reserva]]="","",IFERROR(VLOOKUP(MB25_VOLUMETRIA[[#This Row],[UMB]],CHAVE[],2,FALSE),"VERIFICAR"))</f>
        <v>Unidade</v>
      </c>
      <c r="L27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3" s="32" t="str">
        <f ca="1">IFERROR(VLOOKUP(MB25_VOLUMETRIA[[#This Row],[Reserva]],RES_AB[],14,FALSE),"")</f>
        <v>RESERVAS PENDENTES</v>
      </c>
      <c r="N273" s="32" t="str">
        <f>IF(MB25_VOLUMETRIA[[#This Row],[Cen.]]="","",IFERROR(VLOOKUP(MB25_VOLUMETRIA[[#This Row],[Cen.]],Dados_Empresas[],2,FALSE),"Verificar empresa"))</f>
        <v>TELMEX</v>
      </c>
      <c r="O27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4" spans="1:15" x14ac:dyDescent="0.25">
      <c r="A274" s="32">
        <v>4382720</v>
      </c>
      <c r="B274" s="32" t="s">
        <v>20</v>
      </c>
      <c r="C274" s="33" t="s">
        <v>314</v>
      </c>
      <c r="D274" s="35">
        <v>45449</v>
      </c>
      <c r="E274" s="32">
        <v>221</v>
      </c>
      <c r="F274" s="32">
        <v>16008418</v>
      </c>
      <c r="G274" s="32" t="s">
        <v>385</v>
      </c>
      <c r="H274" s="26" t="s">
        <v>38</v>
      </c>
      <c r="I274" s="36">
        <v>1</v>
      </c>
      <c r="J274" s="32">
        <f>IF(MB25_VOLUMETRIA[[#This Row],[Reserva]]="","",1)</f>
        <v>1</v>
      </c>
      <c r="K274" s="36" t="str">
        <f>IF(MB25_VOLUMETRIA[[#This Row],[Reserva]]="","",IFERROR(VLOOKUP(MB25_VOLUMETRIA[[#This Row],[UMB]],CHAVE[],2,FALSE),"VERIFICAR"))</f>
        <v>Unidade</v>
      </c>
      <c r="L27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4" s="32" t="str">
        <f ca="1">IFERROR(VLOOKUP(MB25_VOLUMETRIA[[#This Row],[Reserva]],RES_AB[],14,FALSE),"")</f>
        <v>RESERVAS PENDENTES</v>
      </c>
      <c r="N274" s="32" t="str">
        <f>IF(MB25_VOLUMETRIA[[#This Row],[Cen.]]="","",IFERROR(VLOOKUP(MB25_VOLUMETRIA[[#This Row],[Cen.]],Dados_Empresas[],2,FALSE),"Verificar empresa"))</f>
        <v>TELMEX</v>
      </c>
      <c r="O27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5" spans="1:15" x14ac:dyDescent="0.25">
      <c r="A275" s="32">
        <v>4382721</v>
      </c>
      <c r="B275" s="32" t="s">
        <v>20</v>
      </c>
      <c r="C275" s="33" t="s">
        <v>314</v>
      </c>
      <c r="D275" s="35">
        <v>45449</v>
      </c>
      <c r="E275" s="32">
        <v>221</v>
      </c>
      <c r="F275" s="32">
        <v>16008418</v>
      </c>
      <c r="G275" s="32" t="s">
        <v>385</v>
      </c>
      <c r="H275" s="26" t="s">
        <v>38</v>
      </c>
      <c r="I275" s="36">
        <v>1</v>
      </c>
      <c r="J275" s="32">
        <f>IF(MB25_VOLUMETRIA[[#This Row],[Reserva]]="","",1)</f>
        <v>1</v>
      </c>
      <c r="K275" s="36" t="str">
        <f>IF(MB25_VOLUMETRIA[[#This Row],[Reserva]]="","",IFERROR(VLOOKUP(MB25_VOLUMETRIA[[#This Row],[UMB]],CHAVE[],2,FALSE),"VERIFICAR"))</f>
        <v>Unidade</v>
      </c>
      <c r="L27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5" s="32" t="str">
        <f ca="1">IFERROR(VLOOKUP(MB25_VOLUMETRIA[[#This Row],[Reserva]],RES_AB[],14,FALSE),"")</f>
        <v>RESERVAS PENDENTES</v>
      </c>
      <c r="N275" s="32" t="str">
        <f>IF(MB25_VOLUMETRIA[[#This Row],[Cen.]]="","",IFERROR(VLOOKUP(MB25_VOLUMETRIA[[#This Row],[Cen.]],Dados_Empresas[],2,FALSE),"Verificar empresa"))</f>
        <v>TELMEX</v>
      </c>
      <c r="O27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6" spans="1:15" x14ac:dyDescent="0.25">
      <c r="A276" s="32">
        <v>4382722</v>
      </c>
      <c r="B276" s="32" t="s">
        <v>20</v>
      </c>
      <c r="C276" s="33" t="s">
        <v>314</v>
      </c>
      <c r="D276" s="35">
        <v>45449</v>
      </c>
      <c r="E276" s="32">
        <v>221</v>
      </c>
      <c r="F276" s="32">
        <v>16008418</v>
      </c>
      <c r="G276" s="32" t="s">
        <v>385</v>
      </c>
      <c r="H276" s="26" t="s">
        <v>38</v>
      </c>
      <c r="I276" s="36">
        <v>8</v>
      </c>
      <c r="J276" s="32">
        <f>IF(MB25_VOLUMETRIA[[#This Row],[Reserva]]="","",1)</f>
        <v>1</v>
      </c>
      <c r="K276" s="36" t="str">
        <f>IF(MB25_VOLUMETRIA[[#This Row],[Reserva]]="","",IFERROR(VLOOKUP(MB25_VOLUMETRIA[[#This Row],[UMB]],CHAVE[],2,FALSE),"VERIFICAR"))</f>
        <v>Unidade</v>
      </c>
      <c r="L27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6" s="32" t="str">
        <f ca="1">IFERROR(VLOOKUP(MB25_VOLUMETRIA[[#This Row],[Reserva]],RES_AB[],14,FALSE),"")</f>
        <v>RESERVAS PENDENTES</v>
      </c>
      <c r="N276" s="32" t="str">
        <f>IF(MB25_VOLUMETRIA[[#This Row],[Cen.]]="","",IFERROR(VLOOKUP(MB25_VOLUMETRIA[[#This Row],[Cen.]],Dados_Empresas[],2,FALSE),"Verificar empresa"))</f>
        <v>TELMEX</v>
      </c>
      <c r="O27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7" spans="1:15" x14ac:dyDescent="0.25">
      <c r="A277" s="32">
        <v>4382723</v>
      </c>
      <c r="B277" s="32" t="s">
        <v>20</v>
      </c>
      <c r="C277" s="33" t="s">
        <v>314</v>
      </c>
      <c r="D277" s="35">
        <v>45449</v>
      </c>
      <c r="E277" s="32">
        <v>221</v>
      </c>
      <c r="F277" s="32">
        <v>16008418</v>
      </c>
      <c r="G277" s="32" t="s">
        <v>385</v>
      </c>
      <c r="H277" s="26" t="s">
        <v>38</v>
      </c>
      <c r="I277" s="36">
        <v>2</v>
      </c>
      <c r="J277" s="32">
        <f>IF(MB25_VOLUMETRIA[[#This Row],[Reserva]]="","",1)</f>
        <v>1</v>
      </c>
      <c r="K277" s="36" t="str">
        <f>IF(MB25_VOLUMETRIA[[#This Row],[Reserva]]="","",IFERROR(VLOOKUP(MB25_VOLUMETRIA[[#This Row],[UMB]],CHAVE[],2,FALSE),"VERIFICAR"))</f>
        <v>Unidade</v>
      </c>
      <c r="L27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7" s="32" t="str">
        <f ca="1">IFERROR(VLOOKUP(MB25_VOLUMETRIA[[#This Row],[Reserva]],RES_AB[],14,FALSE),"")</f>
        <v>RESERVAS PENDENTES</v>
      </c>
      <c r="N277" s="32" t="str">
        <f>IF(MB25_VOLUMETRIA[[#This Row],[Cen.]]="","",IFERROR(VLOOKUP(MB25_VOLUMETRIA[[#This Row],[Cen.]],Dados_Empresas[],2,FALSE),"Verificar empresa"))</f>
        <v>TELMEX</v>
      </c>
      <c r="O27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8" spans="1:15" x14ac:dyDescent="0.25">
      <c r="A278" s="32">
        <v>4382724</v>
      </c>
      <c r="B278" s="32" t="s">
        <v>20</v>
      </c>
      <c r="C278" s="33" t="s">
        <v>314</v>
      </c>
      <c r="D278" s="35">
        <v>45449</v>
      </c>
      <c r="E278" s="32">
        <v>221</v>
      </c>
      <c r="F278" s="32">
        <v>16008418</v>
      </c>
      <c r="G278" s="32" t="s">
        <v>385</v>
      </c>
      <c r="H278" s="26" t="s">
        <v>38</v>
      </c>
      <c r="I278" s="36">
        <v>1</v>
      </c>
      <c r="J278" s="32">
        <f>IF(MB25_VOLUMETRIA[[#This Row],[Reserva]]="","",1)</f>
        <v>1</v>
      </c>
      <c r="K278" s="36" t="str">
        <f>IF(MB25_VOLUMETRIA[[#This Row],[Reserva]]="","",IFERROR(VLOOKUP(MB25_VOLUMETRIA[[#This Row],[UMB]],CHAVE[],2,FALSE),"VERIFICAR"))</f>
        <v>Unidade</v>
      </c>
      <c r="L27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78" s="32" t="str">
        <f ca="1">IFERROR(VLOOKUP(MB25_VOLUMETRIA[[#This Row],[Reserva]],RES_AB[],14,FALSE),"")</f>
        <v>RESERVAS PENDENTES</v>
      </c>
      <c r="N278" s="32" t="str">
        <f>IF(MB25_VOLUMETRIA[[#This Row],[Cen.]]="","",IFERROR(VLOOKUP(MB25_VOLUMETRIA[[#This Row],[Cen.]],Dados_Empresas[],2,FALSE),"Verificar empresa"))</f>
        <v>TELMEX</v>
      </c>
      <c r="O27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79" spans="1:15" x14ac:dyDescent="0.25">
      <c r="A279" s="32">
        <v>4382725</v>
      </c>
      <c r="B279" s="32" t="s">
        <v>20</v>
      </c>
      <c r="C279" s="33" t="s">
        <v>314</v>
      </c>
      <c r="D279" s="35">
        <v>45449</v>
      </c>
      <c r="E279" s="32">
        <v>221</v>
      </c>
      <c r="F279" s="32">
        <v>16008418</v>
      </c>
      <c r="G279" s="32" t="s">
        <v>385</v>
      </c>
      <c r="H279" s="26" t="s">
        <v>38</v>
      </c>
      <c r="I279" s="36">
        <v>3</v>
      </c>
      <c r="J279" s="32">
        <f>IF(MB25_VOLUMETRIA[[#This Row],[Reserva]]="","",1)</f>
        <v>1</v>
      </c>
      <c r="K279" s="36" t="str">
        <f>IF(MB25_VOLUMETRIA[[#This Row],[Reserva]]="","",IFERROR(VLOOKUP(MB25_VOLUMETRIA[[#This Row],[UMB]],CHAVE[],2,FALSE),"VERIFICAR"))</f>
        <v>Unidade</v>
      </c>
      <c r="L279" s="32" t="str">
        <f>IF(MB25_VOLUMETRIA[[#This Row],[Reserva]]="","",IFERROR(VLOOKUP(MB25_VOLUMETRIA[[#This Row],[Reserva]],Tabela3[[Reserva]:[Condição para Faturamento]],20,FALSE),"IMPORTADO COM SUCESSO"))</f>
        <v>EM SEPARAÇÃO</v>
      </c>
      <c r="M279" s="32" t="str">
        <f ca="1">IFERROR(VLOOKUP(MB25_VOLUMETRIA[[#This Row],[Reserva]],RES_AB[],14,FALSE),"")</f>
        <v>RESERVAS PENDENTES</v>
      </c>
      <c r="N279" s="32" t="str">
        <f>IF(MB25_VOLUMETRIA[[#This Row],[Cen.]]="","",IFERROR(VLOOKUP(MB25_VOLUMETRIA[[#This Row],[Cen.]],Dados_Empresas[],2,FALSE),"Verificar empresa"))</f>
        <v>TELMEX</v>
      </c>
      <c r="O27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0" spans="1:15" x14ac:dyDescent="0.25">
      <c r="A280" s="32">
        <v>4382726</v>
      </c>
      <c r="B280" s="32" t="s">
        <v>20</v>
      </c>
      <c r="C280" s="33" t="s">
        <v>314</v>
      </c>
      <c r="D280" s="35">
        <v>45449</v>
      </c>
      <c r="E280" s="32">
        <v>221</v>
      </c>
      <c r="F280" s="32">
        <v>16008418</v>
      </c>
      <c r="G280" s="32" t="s">
        <v>385</v>
      </c>
      <c r="H280" s="26" t="s">
        <v>38</v>
      </c>
      <c r="I280" s="36">
        <v>1</v>
      </c>
      <c r="J280" s="32">
        <f>IF(MB25_VOLUMETRIA[[#This Row],[Reserva]]="","",1)</f>
        <v>1</v>
      </c>
      <c r="K280" s="36" t="str">
        <f>IF(MB25_VOLUMETRIA[[#This Row],[Reserva]]="","",IFERROR(VLOOKUP(MB25_VOLUMETRIA[[#This Row],[UMB]],CHAVE[],2,FALSE),"VERIFICAR"))</f>
        <v>Unidade</v>
      </c>
      <c r="L280" s="32" t="str">
        <f>IF(MB25_VOLUMETRIA[[#This Row],[Reserva]]="","",IFERROR(VLOOKUP(MB25_VOLUMETRIA[[#This Row],[Reserva]],Tabela3[[Reserva]:[Condição para Faturamento]],20,FALSE),"IMPORTADO COM SUCESSO"))</f>
        <v>EM SEPARAÇÃO</v>
      </c>
      <c r="M280" s="32" t="str">
        <f ca="1">IFERROR(VLOOKUP(MB25_VOLUMETRIA[[#This Row],[Reserva]],RES_AB[],14,FALSE),"")</f>
        <v>RESERVAS PENDENTES</v>
      </c>
      <c r="N280" s="32" t="str">
        <f>IF(MB25_VOLUMETRIA[[#This Row],[Cen.]]="","",IFERROR(VLOOKUP(MB25_VOLUMETRIA[[#This Row],[Cen.]],Dados_Empresas[],2,FALSE),"Verificar empresa"))</f>
        <v>TELMEX</v>
      </c>
      <c r="O28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1" spans="1:15" x14ac:dyDescent="0.25">
      <c r="A281" s="32">
        <v>4382727</v>
      </c>
      <c r="B281" s="32" t="s">
        <v>20</v>
      </c>
      <c r="C281" s="33" t="s">
        <v>314</v>
      </c>
      <c r="D281" s="35">
        <v>45449</v>
      </c>
      <c r="E281" s="32">
        <v>221</v>
      </c>
      <c r="F281" s="32">
        <v>16008418</v>
      </c>
      <c r="G281" s="32" t="s">
        <v>385</v>
      </c>
      <c r="H281" s="26" t="s">
        <v>38</v>
      </c>
      <c r="I281" s="36">
        <v>1</v>
      </c>
      <c r="J281" s="32">
        <f>IF(MB25_VOLUMETRIA[[#This Row],[Reserva]]="","",1)</f>
        <v>1</v>
      </c>
      <c r="K281" s="36" t="str">
        <f>IF(MB25_VOLUMETRIA[[#This Row],[Reserva]]="","",IFERROR(VLOOKUP(MB25_VOLUMETRIA[[#This Row],[UMB]],CHAVE[],2,FALSE),"VERIFICAR"))</f>
        <v>Unidade</v>
      </c>
      <c r="L28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1" s="32" t="str">
        <f ca="1">IFERROR(VLOOKUP(MB25_VOLUMETRIA[[#This Row],[Reserva]],RES_AB[],14,FALSE),"")</f>
        <v>RESERVAS PENDENTES</v>
      </c>
      <c r="N281" s="32" t="str">
        <f>IF(MB25_VOLUMETRIA[[#This Row],[Cen.]]="","",IFERROR(VLOOKUP(MB25_VOLUMETRIA[[#This Row],[Cen.]],Dados_Empresas[],2,FALSE),"Verificar empresa"))</f>
        <v>TELMEX</v>
      </c>
      <c r="O28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2" spans="1:15" x14ac:dyDescent="0.25">
      <c r="A282" s="32">
        <v>4382728</v>
      </c>
      <c r="B282" s="32" t="s">
        <v>20</v>
      </c>
      <c r="C282" s="33" t="s">
        <v>314</v>
      </c>
      <c r="D282" s="35">
        <v>45449</v>
      </c>
      <c r="E282" s="32">
        <v>221</v>
      </c>
      <c r="F282" s="32">
        <v>16008418</v>
      </c>
      <c r="G282" s="32" t="s">
        <v>385</v>
      </c>
      <c r="H282" s="26" t="s">
        <v>38</v>
      </c>
      <c r="I282" s="36">
        <v>18</v>
      </c>
      <c r="J282" s="32">
        <f>IF(MB25_VOLUMETRIA[[#This Row],[Reserva]]="","",1)</f>
        <v>1</v>
      </c>
      <c r="K282" s="36" t="str">
        <f>IF(MB25_VOLUMETRIA[[#This Row],[Reserva]]="","",IFERROR(VLOOKUP(MB25_VOLUMETRIA[[#This Row],[UMB]],CHAVE[],2,FALSE),"VERIFICAR"))</f>
        <v>Unidade</v>
      </c>
      <c r="L282" s="32" t="str">
        <f>IF(MB25_VOLUMETRIA[[#This Row],[Reserva]]="","",IFERROR(VLOOKUP(MB25_VOLUMETRIA[[#This Row],[Reserva]],Tabela3[[Reserva]:[Condição para Faturamento]],20,FALSE),"IMPORTADO COM SUCESSO"))</f>
        <v>EM SEPARAÇÃO</v>
      </c>
      <c r="M282" s="32" t="str">
        <f ca="1">IFERROR(VLOOKUP(MB25_VOLUMETRIA[[#This Row],[Reserva]],RES_AB[],14,FALSE),"")</f>
        <v>RESERVAS PENDENTES</v>
      </c>
      <c r="N282" s="32" t="str">
        <f>IF(MB25_VOLUMETRIA[[#This Row],[Cen.]]="","",IFERROR(VLOOKUP(MB25_VOLUMETRIA[[#This Row],[Cen.]],Dados_Empresas[],2,FALSE),"Verificar empresa"))</f>
        <v>TELMEX</v>
      </c>
      <c r="O28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3" spans="1:15" x14ac:dyDescent="0.25">
      <c r="A283" s="32">
        <v>4382731</v>
      </c>
      <c r="B283" s="32" t="s">
        <v>20</v>
      </c>
      <c r="C283" s="33" t="s">
        <v>19</v>
      </c>
      <c r="D283" s="35">
        <v>45449</v>
      </c>
      <c r="E283" s="32">
        <v>221</v>
      </c>
      <c r="F283" s="32">
        <v>16007966</v>
      </c>
      <c r="G283" s="32" t="s">
        <v>420</v>
      </c>
      <c r="H283" s="26" t="s">
        <v>38</v>
      </c>
      <c r="I283" s="36">
        <v>1</v>
      </c>
      <c r="J283" s="32">
        <f>IF(MB25_VOLUMETRIA[[#This Row],[Reserva]]="","",1)</f>
        <v>1</v>
      </c>
      <c r="K283" s="36" t="str">
        <f>IF(MB25_VOLUMETRIA[[#This Row],[Reserva]]="","",IFERROR(VLOOKUP(MB25_VOLUMETRIA[[#This Row],[UMB]],CHAVE[],2,FALSE),"VERIFICAR"))</f>
        <v>Unidade</v>
      </c>
      <c r="L283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3" s="32" t="str">
        <f ca="1">IFERROR(VLOOKUP(MB25_VOLUMETRIA[[#This Row],[Reserva]],RES_AB[],14,FALSE),"")</f>
        <v>RESERVAS PENDENTES</v>
      </c>
      <c r="N283" s="32" t="str">
        <f>IF(MB25_VOLUMETRIA[[#This Row],[Cen.]]="","",IFERROR(VLOOKUP(MB25_VOLUMETRIA[[#This Row],[Cen.]],Dados_Empresas[],2,FALSE),"Verificar empresa"))</f>
        <v>TELMEX</v>
      </c>
      <c r="O28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4" spans="1:15" x14ac:dyDescent="0.25">
      <c r="A284" s="32">
        <v>4382732</v>
      </c>
      <c r="B284" s="32" t="s">
        <v>20</v>
      </c>
      <c r="C284" s="33" t="s">
        <v>19</v>
      </c>
      <c r="D284" s="35">
        <v>45449</v>
      </c>
      <c r="E284" s="32">
        <v>221</v>
      </c>
      <c r="F284" s="32">
        <v>16007966</v>
      </c>
      <c r="G284" s="32" t="s">
        <v>420</v>
      </c>
      <c r="H284" s="26" t="s">
        <v>38</v>
      </c>
      <c r="I284" s="36">
        <v>1</v>
      </c>
      <c r="J284" s="32">
        <f>IF(MB25_VOLUMETRIA[[#This Row],[Reserva]]="","",1)</f>
        <v>1</v>
      </c>
      <c r="K284" s="36" t="str">
        <f>IF(MB25_VOLUMETRIA[[#This Row],[Reserva]]="","",IFERROR(VLOOKUP(MB25_VOLUMETRIA[[#This Row],[UMB]],CHAVE[],2,FALSE),"VERIFICAR"))</f>
        <v>Unidade</v>
      </c>
      <c r="L284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4" s="32" t="str">
        <f ca="1">IFERROR(VLOOKUP(MB25_VOLUMETRIA[[#This Row],[Reserva]],RES_AB[],14,FALSE),"")</f>
        <v>RESERVAS PENDENTES</v>
      </c>
      <c r="N284" s="32" t="str">
        <f>IF(MB25_VOLUMETRIA[[#This Row],[Cen.]]="","",IFERROR(VLOOKUP(MB25_VOLUMETRIA[[#This Row],[Cen.]],Dados_Empresas[],2,FALSE),"Verificar empresa"))</f>
        <v>TELMEX</v>
      </c>
      <c r="O28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5" spans="1:15" x14ac:dyDescent="0.25">
      <c r="A285" s="32">
        <v>4382733</v>
      </c>
      <c r="B285" s="32" t="s">
        <v>20</v>
      </c>
      <c r="C285" s="33" t="s">
        <v>19</v>
      </c>
      <c r="D285" s="35">
        <v>45449</v>
      </c>
      <c r="E285" s="32">
        <v>221</v>
      </c>
      <c r="F285" s="32">
        <v>16007966</v>
      </c>
      <c r="G285" s="32" t="s">
        <v>420</v>
      </c>
      <c r="H285" s="26" t="s">
        <v>38</v>
      </c>
      <c r="I285" s="36">
        <v>1</v>
      </c>
      <c r="J285" s="32">
        <f>IF(MB25_VOLUMETRIA[[#This Row],[Reserva]]="","",1)</f>
        <v>1</v>
      </c>
      <c r="K285" s="36" t="str">
        <f>IF(MB25_VOLUMETRIA[[#This Row],[Reserva]]="","",IFERROR(VLOOKUP(MB25_VOLUMETRIA[[#This Row],[UMB]],CHAVE[],2,FALSE),"VERIFICAR"))</f>
        <v>Unidade</v>
      </c>
      <c r="L285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5" s="32" t="str">
        <f ca="1">IFERROR(VLOOKUP(MB25_VOLUMETRIA[[#This Row],[Reserva]],RES_AB[],14,FALSE),"")</f>
        <v>RESERVAS PENDENTES</v>
      </c>
      <c r="N285" s="32" t="str">
        <f>IF(MB25_VOLUMETRIA[[#This Row],[Cen.]]="","",IFERROR(VLOOKUP(MB25_VOLUMETRIA[[#This Row],[Cen.]],Dados_Empresas[],2,FALSE),"Verificar empresa"))</f>
        <v>TELMEX</v>
      </c>
      <c r="O28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6" spans="1:15" x14ac:dyDescent="0.25">
      <c r="A286" s="32">
        <v>4382734</v>
      </c>
      <c r="B286" s="32" t="s">
        <v>20</v>
      </c>
      <c r="C286" s="33" t="s">
        <v>19</v>
      </c>
      <c r="D286" s="35">
        <v>45449</v>
      </c>
      <c r="E286" s="32">
        <v>221</v>
      </c>
      <c r="F286" s="32">
        <v>16007966</v>
      </c>
      <c r="G286" s="32" t="s">
        <v>420</v>
      </c>
      <c r="H286" s="26" t="s">
        <v>38</v>
      </c>
      <c r="I286" s="36">
        <v>1</v>
      </c>
      <c r="J286" s="32">
        <f>IF(MB25_VOLUMETRIA[[#This Row],[Reserva]]="","",1)</f>
        <v>1</v>
      </c>
      <c r="K286" s="36" t="str">
        <f>IF(MB25_VOLUMETRIA[[#This Row],[Reserva]]="","",IFERROR(VLOOKUP(MB25_VOLUMETRIA[[#This Row],[UMB]],CHAVE[],2,FALSE),"VERIFICAR"))</f>
        <v>Unidade</v>
      </c>
      <c r="L286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6" s="32" t="str">
        <f ca="1">IFERROR(VLOOKUP(MB25_VOLUMETRIA[[#This Row],[Reserva]],RES_AB[],14,FALSE),"")</f>
        <v>RESERVAS PENDENTES</v>
      </c>
      <c r="N286" s="32" t="str">
        <f>IF(MB25_VOLUMETRIA[[#This Row],[Cen.]]="","",IFERROR(VLOOKUP(MB25_VOLUMETRIA[[#This Row],[Cen.]],Dados_Empresas[],2,FALSE),"Verificar empresa"))</f>
        <v>TELMEX</v>
      </c>
      <c r="O28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7" spans="1:15" x14ac:dyDescent="0.25">
      <c r="A287" s="32">
        <v>4382735</v>
      </c>
      <c r="B287" s="32" t="s">
        <v>20</v>
      </c>
      <c r="C287" s="33" t="s">
        <v>19</v>
      </c>
      <c r="D287" s="35">
        <v>45449</v>
      </c>
      <c r="E287" s="32">
        <v>221</v>
      </c>
      <c r="F287" s="32">
        <v>16007966</v>
      </c>
      <c r="G287" s="32" t="s">
        <v>420</v>
      </c>
      <c r="H287" s="26" t="s">
        <v>38</v>
      </c>
      <c r="I287" s="36">
        <v>1</v>
      </c>
      <c r="J287" s="32">
        <f>IF(MB25_VOLUMETRIA[[#This Row],[Reserva]]="","",1)</f>
        <v>1</v>
      </c>
      <c r="K287" s="36" t="str">
        <f>IF(MB25_VOLUMETRIA[[#This Row],[Reserva]]="","",IFERROR(VLOOKUP(MB25_VOLUMETRIA[[#This Row],[UMB]],CHAVE[],2,FALSE),"VERIFICAR"))</f>
        <v>Unidade</v>
      </c>
      <c r="L287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7" s="32" t="str">
        <f ca="1">IFERROR(VLOOKUP(MB25_VOLUMETRIA[[#This Row],[Reserva]],RES_AB[],14,FALSE),"")</f>
        <v>RESERVAS PENDENTES</v>
      </c>
      <c r="N287" s="32" t="str">
        <f>IF(MB25_VOLUMETRIA[[#This Row],[Cen.]]="","",IFERROR(VLOOKUP(MB25_VOLUMETRIA[[#This Row],[Cen.]],Dados_Empresas[],2,FALSE),"Verificar empresa"))</f>
        <v>TELMEX</v>
      </c>
      <c r="O28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8" spans="1:15" x14ac:dyDescent="0.25">
      <c r="A288" s="32">
        <v>4382736</v>
      </c>
      <c r="B288" s="32" t="s">
        <v>20</v>
      </c>
      <c r="C288" s="33" t="s">
        <v>19</v>
      </c>
      <c r="D288" s="35">
        <v>45449</v>
      </c>
      <c r="E288" s="32">
        <v>221</v>
      </c>
      <c r="F288" s="32">
        <v>16007966</v>
      </c>
      <c r="G288" s="32" t="s">
        <v>420</v>
      </c>
      <c r="H288" s="26" t="s">
        <v>38</v>
      </c>
      <c r="I288" s="36">
        <v>1</v>
      </c>
      <c r="J288" s="32">
        <f>IF(MB25_VOLUMETRIA[[#This Row],[Reserva]]="","",1)</f>
        <v>1</v>
      </c>
      <c r="K288" s="36" t="str">
        <f>IF(MB25_VOLUMETRIA[[#This Row],[Reserva]]="","",IFERROR(VLOOKUP(MB25_VOLUMETRIA[[#This Row],[UMB]],CHAVE[],2,FALSE),"VERIFICAR"))</f>
        <v>Unidade</v>
      </c>
      <c r="L288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8" s="32" t="str">
        <f ca="1">IFERROR(VLOOKUP(MB25_VOLUMETRIA[[#This Row],[Reserva]],RES_AB[],14,FALSE),"")</f>
        <v>RESERVAS PENDENTES</v>
      </c>
      <c r="N288" s="32" t="str">
        <f>IF(MB25_VOLUMETRIA[[#This Row],[Cen.]]="","",IFERROR(VLOOKUP(MB25_VOLUMETRIA[[#This Row],[Cen.]],Dados_Empresas[],2,FALSE),"Verificar empresa"))</f>
        <v>TELMEX</v>
      </c>
      <c r="O28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89" spans="1:15" x14ac:dyDescent="0.25">
      <c r="A289" s="32">
        <v>4382737</v>
      </c>
      <c r="B289" s="32" t="s">
        <v>20</v>
      </c>
      <c r="C289" s="33" t="s">
        <v>19</v>
      </c>
      <c r="D289" s="35">
        <v>45449</v>
      </c>
      <c r="E289" s="32">
        <v>221</v>
      </c>
      <c r="F289" s="32">
        <v>16007966</v>
      </c>
      <c r="G289" s="32" t="s">
        <v>420</v>
      </c>
      <c r="H289" s="26" t="s">
        <v>38</v>
      </c>
      <c r="I289" s="36">
        <v>1</v>
      </c>
      <c r="J289" s="32">
        <f>IF(MB25_VOLUMETRIA[[#This Row],[Reserva]]="","",1)</f>
        <v>1</v>
      </c>
      <c r="K289" s="36" t="str">
        <f>IF(MB25_VOLUMETRIA[[#This Row],[Reserva]]="","",IFERROR(VLOOKUP(MB25_VOLUMETRIA[[#This Row],[UMB]],CHAVE[],2,FALSE),"VERIFICAR"))</f>
        <v>Unidade</v>
      </c>
      <c r="L289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89" s="32" t="str">
        <f ca="1">IFERROR(VLOOKUP(MB25_VOLUMETRIA[[#This Row],[Reserva]],RES_AB[],14,FALSE),"")</f>
        <v>RESERVAS PENDENTES</v>
      </c>
      <c r="N289" s="32" t="str">
        <f>IF(MB25_VOLUMETRIA[[#This Row],[Cen.]]="","",IFERROR(VLOOKUP(MB25_VOLUMETRIA[[#This Row],[Cen.]],Dados_Empresas[],2,FALSE),"Verificar empresa"))</f>
        <v>TELMEX</v>
      </c>
      <c r="O289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0" spans="1:15" x14ac:dyDescent="0.25">
      <c r="A290" s="32">
        <v>4382738</v>
      </c>
      <c r="B290" s="32" t="s">
        <v>20</v>
      </c>
      <c r="C290" s="33" t="s">
        <v>19</v>
      </c>
      <c r="D290" s="35">
        <v>45449</v>
      </c>
      <c r="E290" s="32">
        <v>221</v>
      </c>
      <c r="F290" s="32">
        <v>16007966</v>
      </c>
      <c r="G290" s="32" t="s">
        <v>420</v>
      </c>
      <c r="H290" s="26" t="s">
        <v>38</v>
      </c>
      <c r="I290" s="36">
        <v>1</v>
      </c>
      <c r="J290" s="32">
        <f>IF(MB25_VOLUMETRIA[[#This Row],[Reserva]]="","",1)</f>
        <v>1</v>
      </c>
      <c r="K290" s="36" t="str">
        <f>IF(MB25_VOLUMETRIA[[#This Row],[Reserva]]="","",IFERROR(VLOOKUP(MB25_VOLUMETRIA[[#This Row],[UMB]],CHAVE[],2,FALSE),"VERIFICAR"))</f>
        <v>Unidade</v>
      </c>
      <c r="L290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90" s="32" t="str">
        <f ca="1">IFERROR(VLOOKUP(MB25_VOLUMETRIA[[#This Row],[Reserva]],RES_AB[],14,FALSE),"")</f>
        <v>RESERVAS PENDENTES</v>
      </c>
      <c r="N290" s="32" t="str">
        <f>IF(MB25_VOLUMETRIA[[#This Row],[Cen.]]="","",IFERROR(VLOOKUP(MB25_VOLUMETRIA[[#This Row],[Cen.]],Dados_Empresas[],2,FALSE),"Verificar empresa"))</f>
        <v>TELMEX</v>
      </c>
      <c r="O290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1" spans="1:15" x14ac:dyDescent="0.25">
      <c r="A291" s="32">
        <v>4382739</v>
      </c>
      <c r="B291" s="32" t="s">
        <v>20</v>
      </c>
      <c r="C291" s="33" t="s">
        <v>19</v>
      </c>
      <c r="D291" s="35">
        <v>45449</v>
      </c>
      <c r="E291" s="32">
        <v>221</v>
      </c>
      <c r="F291" s="32">
        <v>16007966</v>
      </c>
      <c r="G291" s="32" t="s">
        <v>420</v>
      </c>
      <c r="H291" s="26" t="s">
        <v>38</v>
      </c>
      <c r="I291" s="36">
        <v>1</v>
      </c>
      <c r="J291" s="32">
        <f>IF(MB25_VOLUMETRIA[[#This Row],[Reserva]]="","",1)</f>
        <v>1</v>
      </c>
      <c r="K291" s="36" t="str">
        <f>IF(MB25_VOLUMETRIA[[#This Row],[Reserva]]="","",IFERROR(VLOOKUP(MB25_VOLUMETRIA[[#This Row],[UMB]],CHAVE[],2,FALSE),"VERIFICAR"))</f>
        <v>Unidade</v>
      </c>
      <c r="L291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91" s="32" t="str">
        <f ca="1">IFERROR(VLOOKUP(MB25_VOLUMETRIA[[#This Row],[Reserva]],RES_AB[],14,FALSE),"")</f>
        <v>RESERVAS PENDENTES</v>
      </c>
      <c r="N291" s="32" t="str">
        <f>IF(MB25_VOLUMETRIA[[#This Row],[Cen.]]="","",IFERROR(VLOOKUP(MB25_VOLUMETRIA[[#This Row],[Cen.]],Dados_Empresas[],2,FALSE),"Verificar empresa"))</f>
        <v>TELMEX</v>
      </c>
      <c r="O291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2" spans="1:15" x14ac:dyDescent="0.25">
      <c r="A292" s="32">
        <v>4382812</v>
      </c>
      <c r="B292" s="32" t="s">
        <v>20</v>
      </c>
      <c r="C292" s="33" t="s">
        <v>314</v>
      </c>
      <c r="D292" s="35">
        <v>45449</v>
      </c>
      <c r="E292" s="32">
        <v>221</v>
      </c>
      <c r="F292" s="32">
        <v>16008416</v>
      </c>
      <c r="G292" s="32" t="s">
        <v>427</v>
      </c>
      <c r="H292" s="26" t="s">
        <v>38</v>
      </c>
      <c r="I292" s="36">
        <v>2</v>
      </c>
      <c r="J292" s="32">
        <f>IF(MB25_VOLUMETRIA[[#This Row],[Reserva]]="","",1)</f>
        <v>1</v>
      </c>
      <c r="K292" s="36" t="str">
        <f>IF(MB25_VOLUMETRIA[[#This Row],[Reserva]]="","",IFERROR(VLOOKUP(MB25_VOLUMETRIA[[#This Row],[UMB]],CHAVE[],2,FALSE),"VERIFICAR"))</f>
        <v>Unidade</v>
      </c>
      <c r="L29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292" s="32" t="str">
        <f ca="1">IFERROR(VLOOKUP(MB25_VOLUMETRIA[[#This Row],[Reserva]],RES_AB[],14,FALSE),"")</f>
        <v>RESERVAS PENDENTES</v>
      </c>
      <c r="N292" s="32" t="str">
        <f>IF(MB25_VOLUMETRIA[[#This Row],[Cen.]]="","",IFERROR(VLOOKUP(MB25_VOLUMETRIA[[#This Row],[Cen.]],Dados_Empresas[],2,FALSE),"Verificar empresa"))</f>
        <v>TELMEX</v>
      </c>
      <c r="O292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3" spans="1:15" x14ac:dyDescent="0.25">
      <c r="A293" s="32">
        <v>4382865</v>
      </c>
      <c r="B293" s="32" t="s">
        <v>20</v>
      </c>
      <c r="C293" s="33" t="s">
        <v>419</v>
      </c>
      <c r="D293" s="35">
        <v>45449</v>
      </c>
      <c r="E293" s="32">
        <v>221</v>
      </c>
      <c r="F293" s="32">
        <v>22060460</v>
      </c>
      <c r="G293" s="32" t="s">
        <v>428</v>
      </c>
      <c r="H293" s="26" t="s">
        <v>38</v>
      </c>
      <c r="I293" s="36">
        <v>12</v>
      </c>
      <c r="J293" s="32">
        <f>IF(MB25_VOLUMETRIA[[#This Row],[Reserva]]="","",1)</f>
        <v>1</v>
      </c>
      <c r="K293" s="36" t="str">
        <f>IF(MB25_VOLUMETRIA[[#This Row],[Reserva]]="","",IFERROR(VLOOKUP(MB25_VOLUMETRIA[[#This Row],[UMB]],CHAVE[],2,FALSE),"VERIFICAR"))</f>
        <v>Unidade</v>
      </c>
      <c r="L293" s="32" t="str">
        <f>IF(MB25_VOLUMETRIA[[#This Row],[Reserva]]="","",IFERROR(VLOOKUP(MB25_VOLUMETRIA[[#This Row],[Reserva]],Tabela3[[Reserva]:[Condição para Faturamento]],20,FALSE),"IMPORTADO COM SUCESSO"))</f>
        <v>EM SEPARAÇÃO</v>
      </c>
      <c r="M293" s="32" t="str">
        <f ca="1">IFERROR(VLOOKUP(MB25_VOLUMETRIA[[#This Row],[Reserva]],RES_AB[],14,FALSE),"")</f>
        <v>RESERVAS PENDENTES</v>
      </c>
      <c r="N293" s="32" t="str">
        <f>IF(MB25_VOLUMETRIA[[#This Row],[Cen.]]="","",IFERROR(VLOOKUP(MB25_VOLUMETRIA[[#This Row],[Cen.]],Dados_Empresas[],2,FALSE),"Verificar empresa"))</f>
        <v>TELMEX</v>
      </c>
      <c r="O293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4" spans="1:15" x14ac:dyDescent="0.25">
      <c r="A294" s="32">
        <v>4382865</v>
      </c>
      <c r="B294" s="32" t="s">
        <v>20</v>
      </c>
      <c r="C294" s="33" t="s">
        <v>419</v>
      </c>
      <c r="D294" s="35">
        <v>45449</v>
      </c>
      <c r="E294" s="32">
        <v>221</v>
      </c>
      <c r="F294" s="32">
        <v>30039628</v>
      </c>
      <c r="G294" s="32" t="s">
        <v>431</v>
      </c>
      <c r="H294" s="26" t="s">
        <v>38</v>
      </c>
      <c r="I294" s="36">
        <v>20</v>
      </c>
      <c r="J294" s="32">
        <f>IF(MB25_VOLUMETRIA[[#This Row],[Reserva]]="","",1)</f>
        <v>1</v>
      </c>
      <c r="K294" s="36" t="str">
        <f>IF(MB25_VOLUMETRIA[[#This Row],[Reserva]]="","",IFERROR(VLOOKUP(MB25_VOLUMETRIA[[#This Row],[UMB]],CHAVE[],2,FALSE),"VERIFICAR"))</f>
        <v>Unidade</v>
      </c>
      <c r="L294" s="32" t="str">
        <f>IF(MB25_VOLUMETRIA[[#This Row],[Reserva]]="","",IFERROR(VLOOKUP(MB25_VOLUMETRIA[[#This Row],[Reserva]],Tabela3[[Reserva]:[Condição para Faturamento]],20,FALSE),"IMPORTADO COM SUCESSO"))</f>
        <v>EM SEPARAÇÃO</v>
      </c>
      <c r="M294" s="32" t="str">
        <f ca="1">IFERROR(VLOOKUP(MB25_VOLUMETRIA[[#This Row],[Reserva]],RES_AB[],14,FALSE),"")</f>
        <v>RESERVAS PENDENTES</v>
      </c>
      <c r="N294" s="32" t="str">
        <f>IF(MB25_VOLUMETRIA[[#This Row],[Cen.]]="","",IFERROR(VLOOKUP(MB25_VOLUMETRIA[[#This Row],[Cen.]],Dados_Empresas[],2,FALSE),"Verificar empresa"))</f>
        <v>TELMEX</v>
      </c>
      <c r="O294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5" spans="1:15" x14ac:dyDescent="0.25">
      <c r="A295" s="32">
        <v>4383021</v>
      </c>
      <c r="B295" s="32" t="s">
        <v>20</v>
      </c>
      <c r="C295" s="33" t="s">
        <v>20</v>
      </c>
      <c r="D295" s="35">
        <v>45449</v>
      </c>
      <c r="E295" s="32">
        <v>221</v>
      </c>
      <c r="F295" s="32">
        <v>30064968</v>
      </c>
      <c r="G295" s="32" t="s">
        <v>432</v>
      </c>
      <c r="H295" s="26" t="s">
        <v>38</v>
      </c>
      <c r="I295" s="36">
        <v>3</v>
      </c>
      <c r="J295" s="32">
        <f>IF(MB25_VOLUMETRIA[[#This Row],[Reserva]]="","",1)</f>
        <v>1</v>
      </c>
      <c r="K295" s="36" t="str">
        <f>IF(MB25_VOLUMETRIA[[#This Row],[Reserva]]="","",IFERROR(VLOOKUP(MB25_VOLUMETRIA[[#This Row],[UMB]],CHAVE[],2,FALSE),"VERIFICAR"))</f>
        <v>Unidade</v>
      </c>
      <c r="L2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5" s="32" t="str">
        <f ca="1">IFERROR(VLOOKUP(MB25_VOLUMETRIA[[#This Row],[Reserva]],RES_AB[],14,FALSE),"")</f>
        <v>RESERVAS PENDENTES</v>
      </c>
      <c r="N295" s="32" t="str">
        <f>IF(MB25_VOLUMETRIA[[#This Row],[Cen.]]="","",IFERROR(VLOOKUP(MB25_VOLUMETRIA[[#This Row],[Cen.]],Dados_Empresas[],2,FALSE),"Verificar empresa"))</f>
        <v>TELMEX</v>
      </c>
      <c r="O295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6" spans="1:15" x14ac:dyDescent="0.25">
      <c r="A296" s="32">
        <v>4383022</v>
      </c>
      <c r="B296" s="32" t="s">
        <v>20</v>
      </c>
      <c r="C296" s="33" t="s">
        <v>20</v>
      </c>
      <c r="D296" s="35">
        <v>45449</v>
      </c>
      <c r="E296" s="32">
        <v>221</v>
      </c>
      <c r="F296" s="32">
        <v>30064968</v>
      </c>
      <c r="G296" s="32" t="s">
        <v>432</v>
      </c>
      <c r="H296" s="26" t="s">
        <v>38</v>
      </c>
      <c r="I296" s="36">
        <v>3</v>
      </c>
      <c r="J296" s="32">
        <f>IF(MB25_VOLUMETRIA[[#This Row],[Reserva]]="","",1)</f>
        <v>1</v>
      </c>
      <c r="K296" s="36" t="str">
        <f>IF(MB25_VOLUMETRIA[[#This Row],[Reserva]]="","",IFERROR(VLOOKUP(MB25_VOLUMETRIA[[#This Row],[UMB]],CHAVE[],2,FALSE),"VERIFICAR"))</f>
        <v>Unidade</v>
      </c>
      <c r="L2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6" s="32" t="str">
        <f ca="1">IFERROR(VLOOKUP(MB25_VOLUMETRIA[[#This Row],[Reserva]],RES_AB[],14,FALSE),"")</f>
        <v>RESERVAS PENDENTES</v>
      </c>
      <c r="N296" s="32" t="str">
        <f>IF(MB25_VOLUMETRIA[[#This Row],[Cen.]]="","",IFERROR(VLOOKUP(MB25_VOLUMETRIA[[#This Row],[Cen.]],Dados_Empresas[],2,FALSE),"Verificar empresa"))</f>
        <v>TELMEX</v>
      </c>
      <c r="O296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7" spans="1:15" x14ac:dyDescent="0.25">
      <c r="A297" s="32">
        <v>4383023</v>
      </c>
      <c r="B297" s="32" t="s">
        <v>20</v>
      </c>
      <c r="C297" s="33" t="s">
        <v>20</v>
      </c>
      <c r="D297" s="35">
        <v>45449</v>
      </c>
      <c r="E297" s="32">
        <v>221</v>
      </c>
      <c r="F297" s="32">
        <v>30064968</v>
      </c>
      <c r="G297" s="32" t="s">
        <v>432</v>
      </c>
      <c r="H297" s="26" t="s">
        <v>38</v>
      </c>
      <c r="I297" s="36">
        <v>4</v>
      </c>
      <c r="J297" s="32">
        <f>IF(MB25_VOLUMETRIA[[#This Row],[Reserva]]="","",1)</f>
        <v>1</v>
      </c>
      <c r="K297" s="36" t="str">
        <f>IF(MB25_VOLUMETRIA[[#This Row],[Reserva]]="","",IFERROR(VLOOKUP(MB25_VOLUMETRIA[[#This Row],[UMB]],CHAVE[],2,FALSE),"VERIFICAR"))</f>
        <v>Unidade</v>
      </c>
      <c r="L2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7" s="32" t="str">
        <f ca="1">IFERROR(VLOOKUP(MB25_VOLUMETRIA[[#This Row],[Reserva]],RES_AB[],14,FALSE),"")</f>
        <v>RESERVAS PENDENTES</v>
      </c>
      <c r="N297" s="32" t="str">
        <f>IF(MB25_VOLUMETRIA[[#This Row],[Cen.]]="","",IFERROR(VLOOKUP(MB25_VOLUMETRIA[[#This Row],[Cen.]],Dados_Empresas[],2,FALSE),"Verificar empresa"))</f>
        <v>TELMEX</v>
      </c>
      <c r="O297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8" spans="1:15" x14ac:dyDescent="0.25">
      <c r="A298" s="32">
        <v>4383024</v>
      </c>
      <c r="B298" s="32" t="s">
        <v>20</v>
      </c>
      <c r="C298" s="33" t="s">
        <v>20</v>
      </c>
      <c r="D298" s="35">
        <v>45449</v>
      </c>
      <c r="E298" s="32">
        <v>221</v>
      </c>
      <c r="F298" s="32">
        <v>22061906</v>
      </c>
      <c r="G298" s="32" t="s">
        <v>444</v>
      </c>
      <c r="H298" s="26" t="s">
        <v>38</v>
      </c>
      <c r="I298" s="36">
        <v>10</v>
      </c>
      <c r="J298" s="32">
        <f>IF(MB25_VOLUMETRIA[[#This Row],[Reserva]]="","",1)</f>
        <v>1</v>
      </c>
      <c r="K298" s="36" t="str">
        <f>IF(MB25_VOLUMETRIA[[#This Row],[Reserva]]="","",IFERROR(VLOOKUP(MB25_VOLUMETRIA[[#This Row],[UMB]],CHAVE[],2,FALSE),"VERIFICAR"))</f>
        <v>Unidade</v>
      </c>
      <c r="L2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298" s="32" t="str">
        <f ca="1">IFERROR(VLOOKUP(MB25_VOLUMETRIA[[#This Row],[Reserva]],RES_AB[],14,FALSE),"")</f>
        <v>RESERVAS PENDENTES</v>
      </c>
      <c r="N298" s="32" t="str">
        <f>IF(MB25_VOLUMETRIA[[#This Row],[Cen.]]="","",IFERROR(VLOOKUP(MB25_VOLUMETRIA[[#This Row],[Cen.]],Dados_Empresas[],2,FALSE),"Verificar empresa"))</f>
        <v>TELMEX</v>
      </c>
      <c r="O298" s="32" t="str">
        <f>IF(MB25_VOLUMETRIA[[#This Row],[EMPRESA]]="","",IF(OR(MB25_VOLUMETRIA[[#This Row],[EMPRESA]]="NET MASSIVO",MB25_VOLUMETRIA[[#This Row],[EMPRESA]]="NET PROJETOS"),"NET","EMPRESARIAL"))</f>
        <v>EMPRESARIAL</v>
      </c>
    </row>
    <row r="299" spans="1:15" x14ac:dyDescent="0.25">
      <c r="A299" s="32">
        <v>4383025</v>
      </c>
      <c r="B299" s="32" t="s">
        <v>20</v>
      </c>
      <c r="C299" s="33" t="s">
        <v>20</v>
      </c>
      <c r="D299" s="35">
        <v>45449</v>
      </c>
      <c r="E299" s="32">
        <v>221</v>
      </c>
      <c r="F299" s="32">
        <v>30060212</v>
      </c>
      <c r="G299" s="32" t="s">
        <v>445</v>
      </c>
      <c r="H299" s="26" t="s">
        <v>38</v>
      </c>
      <c r="I299" s="36">
        <v>1</v>
      </c>
      <c r="J299" s="32">
        <f>IF(MB25_VOLUMETRIA[[#This Row],[Reserva]]="","",1)</f>
        <v>1</v>
      </c>
      <c r="K299" s="36" t="str">
        <f>IF(MB25_VOLUMETRIA[[#This Row],[Reserva]]="","",IFERROR(VLOOKUP(MB25_VOLUMETRIA[[#This Row],[UMB]],CHAVE[],2,FALSE),"VERIFICAR"))</f>
        <v>Unidade</v>
      </c>
      <c r="L299" s="32" t="str">
        <f>IF(MB25_VOLUMETRIA[[#This Row],[Reserva]]="","",IFERROR(VLOOKUP(MB25_VOLUMETRIA[[#This Row],[Reserva]],Tabela3[[Reserva]:[Condição para Faturamento]],20,FALSE),"IMPORTADO COM SUCESSO"))</f>
        <v>IMPORTADO</v>
      </c>
      <c r="M299" s="32" t="str">
        <f ca="1">IFERROR(VLOOKUP(MB25_VOLUMETRIA[[#This Row],[Reserva]],RES_AB[],14,FALSE),"")</f>
        <v>RESERVAS PENDENTES</v>
      </c>
      <c r="N299" s="32" t="str">
        <f>IF(MB25_VOLUMETRIA[[#This Row],[Cen.]]="","",IFERROR(VLOOKUP(MB25_VOLUMETRIA[[#This Row],[Cen.]],Dados_Empresas[],2,FALSE),"Verificar empresa"))</f>
        <v>TELMEX</v>
      </c>
      <c r="O29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0" spans="1:15" x14ac:dyDescent="0.25">
      <c r="A300" s="32">
        <v>4383026</v>
      </c>
      <c r="B300" s="32" t="s">
        <v>20</v>
      </c>
      <c r="C300" s="33" t="s">
        <v>20</v>
      </c>
      <c r="D300" s="35">
        <v>45449</v>
      </c>
      <c r="E300" s="32">
        <v>221</v>
      </c>
      <c r="F300" s="32">
        <v>22062160</v>
      </c>
      <c r="G300" s="32" t="s">
        <v>446</v>
      </c>
      <c r="H300" s="26" t="s">
        <v>38</v>
      </c>
      <c r="I300" s="36">
        <v>1</v>
      </c>
      <c r="J300" s="32">
        <f>IF(MB25_VOLUMETRIA[[#This Row],[Reserva]]="","",1)</f>
        <v>1</v>
      </c>
      <c r="K300" s="36" t="str">
        <f>IF(MB25_VOLUMETRIA[[#This Row],[Reserva]]="","",IFERROR(VLOOKUP(MB25_VOLUMETRIA[[#This Row],[UMB]],CHAVE[],2,FALSE),"VERIFICAR"))</f>
        <v>Unidade</v>
      </c>
      <c r="L300" s="32" t="str">
        <f>IF(MB25_VOLUMETRIA[[#This Row],[Reserva]]="","",IFERROR(VLOOKUP(MB25_VOLUMETRIA[[#This Row],[Reserva]],Tabela3[[Reserva]:[Condição para Faturamento]],20,FALSE),"IMPORTADO COM SUCESSO"))</f>
        <v>IMPORTADO</v>
      </c>
      <c r="M300" s="32" t="str">
        <f ca="1">IFERROR(VLOOKUP(MB25_VOLUMETRIA[[#This Row],[Reserva]],RES_AB[],14,FALSE),"")</f>
        <v>RESERVAS PENDENTES</v>
      </c>
      <c r="N300" s="32" t="str">
        <f>IF(MB25_VOLUMETRIA[[#This Row],[Cen.]]="","",IFERROR(VLOOKUP(MB25_VOLUMETRIA[[#This Row],[Cen.]],Dados_Empresas[],2,FALSE),"Verificar empresa"))</f>
        <v>TELMEX</v>
      </c>
      <c r="O30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1" spans="1:15" x14ac:dyDescent="0.25">
      <c r="A301" s="32">
        <v>4383027</v>
      </c>
      <c r="B301" s="32" t="s">
        <v>20</v>
      </c>
      <c r="C301" s="33" t="s">
        <v>20</v>
      </c>
      <c r="D301" s="35">
        <v>45449</v>
      </c>
      <c r="E301" s="32">
        <v>221</v>
      </c>
      <c r="F301" s="32">
        <v>22060458</v>
      </c>
      <c r="G301" s="32" t="s">
        <v>447</v>
      </c>
      <c r="H301" s="26" t="s">
        <v>38</v>
      </c>
      <c r="I301" s="36">
        <v>1</v>
      </c>
      <c r="J301" s="32">
        <f>IF(MB25_VOLUMETRIA[[#This Row],[Reserva]]="","",1)</f>
        <v>1</v>
      </c>
      <c r="K301" s="36" t="str">
        <f>IF(MB25_VOLUMETRIA[[#This Row],[Reserva]]="","",IFERROR(VLOOKUP(MB25_VOLUMETRIA[[#This Row],[UMB]],CHAVE[],2,FALSE),"VERIFICAR"))</f>
        <v>Unidade</v>
      </c>
      <c r="L301" s="32" t="str">
        <f>IF(MB25_VOLUMETRIA[[#This Row],[Reserva]]="","",IFERROR(VLOOKUP(MB25_VOLUMETRIA[[#This Row],[Reserva]],Tabela3[[Reserva]:[Condição para Faturamento]],20,FALSE),"IMPORTADO COM SUCESSO"))</f>
        <v>IMPORTADO</v>
      </c>
      <c r="M301" s="32" t="str">
        <f ca="1">IFERROR(VLOOKUP(MB25_VOLUMETRIA[[#This Row],[Reserva]],RES_AB[],14,FALSE),"")</f>
        <v>RESERVAS PENDENTES</v>
      </c>
      <c r="N301" s="32" t="str">
        <f>IF(MB25_VOLUMETRIA[[#This Row],[Cen.]]="","",IFERROR(VLOOKUP(MB25_VOLUMETRIA[[#This Row],[Cen.]],Dados_Empresas[],2,FALSE),"Verificar empresa"))</f>
        <v>TELMEX</v>
      </c>
      <c r="O30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2" spans="1:15" x14ac:dyDescent="0.25">
      <c r="A302" s="32">
        <v>4383027</v>
      </c>
      <c r="B302" s="32" t="s">
        <v>20</v>
      </c>
      <c r="C302" s="33" t="s">
        <v>20</v>
      </c>
      <c r="D302" s="35">
        <v>45449</v>
      </c>
      <c r="E302" s="32">
        <v>221</v>
      </c>
      <c r="F302" s="32">
        <v>33003931</v>
      </c>
      <c r="G302" s="32" t="s">
        <v>457</v>
      </c>
      <c r="H302" s="26" t="s">
        <v>38</v>
      </c>
      <c r="I302" s="36">
        <v>1</v>
      </c>
      <c r="J302" s="32">
        <f>IF(MB25_VOLUMETRIA[[#This Row],[Reserva]]="","",1)</f>
        <v>1</v>
      </c>
      <c r="K302" s="36" t="str">
        <f>IF(MB25_VOLUMETRIA[[#This Row],[Reserva]]="","",IFERROR(VLOOKUP(MB25_VOLUMETRIA[[#This Row],[UMB]],CHAVE[],2,FALSE),"VERIFICAR"))</f>
        <v>Unidade</v>
      </c>
      <c r="L302" s="32" t="str">
        <f>IF(MB25_VOLUMETRIA[[#This Row],[Reserva]]="","",IFERROR(VLOOKUP(MB25_VOLUMETRIA[[#This Row],[Reserva]],Tabela3[[Reserva]:[Condição para Faturamento]],20,FALSE),"IMPORTADO COM SUCESSO"))</f>
        <v>IMPORTADO</v>
      </c>
      <c r="M302" s="32" t="str">
        <f ca="1">IFERROR(VLOOKUP(MB25_VOLUMETRIA[[#This Row],[Reserva]],RES_AB[],14,FALSE),"")</f>
        <v>RESERVAS PENDENTES</v>
      </c>
      <c r="N302" s="32" t="str">
        <f>IF(MB25_VOLUMETRIA[[#This Row],[Cen.]]="","",IFERROR(VLOOKUP(MB25_VOLUMETRIA[[#This Row],[Cen.]],Dados_Empresas[],2,FALSE),"Verificar empresa"))</f>
        <v>TELMEX</v>
      </c>
      <c r="O30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3" spans="1:15" x14ac:dyDescent="0.25">
      <c r="A303" s="32">
        <v>4383028</v>
      </c>
      <c r="B303" s="32" t="s">
        <v>20</v>
      </c>
      <c r="C303" s="33" t="s">
        <v>20</v>
      </c>
      <c r="D303" s="35">
        <v>45449</v>
      </c>
      <c r="E303" s="32">
        <v>221</v>
      </c>
      <c r="F303" s="32">
        <v>22053068</v>
      </c>
      <c r="G303" s="32" t="s">
        <v>383</v>
      </c>
      <c r="H303" s="26" t="s">
        <v>38</v>
      </c>
      <c r="I303" s="36">
        <v>6</v>
      </c>
      <c r="J303" s="32">
        <f>IF(MB25_VOLUMETRIA[[#This Row],[Reserva]]="","",1)</f>
        <v>1</v>
      </c>
      <c r="K303" s="36" t="str">
        <f>IF(MB25_VOLUMETRIA[[#This Row],[Reserva]]="","",IFERROR(VLOOKUP(MB25_VOLUMETRIA[[#This Row],[UMB]],CHAVE[],2,FALSE),"VERIFICAR"))</f>
        <v>Unidade</v>
      </c>
      <c r="L303" s="32" t="str">
        <f>IF(MB25_VOLUMETRIA[[#This Row],[Reserva]]="","",IFERROR(VLOOKUP(MB25_VOLUMETRIA[[#This Row],[Reserva]],Tabela3[[Reserva]:[Condição para Faturamento]],20,FALSE),"IMPORTADO COM SUCESSO"))</f>
        <v>IMPORTADO</v>
      </c>
      <c r="M303" s="32" t="str">
        <f ca="1">IFERROR(VLOOKUP(MB25_VOLUMETRIA[[#This Row],[Reserva]],RES_AB[],14,FALSE),"")</f>
        <v>RESERVAS PENDENTES</v>
      </c>
      <c r="N303" s="32" t="str">
        <f>IF(MB25_VOLUMETRIA[[#This Row],[Cen.]]="","",IFERROR(VLOOKUP(MB25_VOLUMETRIA[[#This Row],[Cen.]],Dados_Empresas[],2,FALSE),"Verificar empresa"))</f>
        <v>TELMEX</v>
      </c>
      <c r="O30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4" spans="1:15" x14ac:dyDescent="0.25">
      <c r="A304" s="32">
        <v>4383029</v>
      </c>
      <c r="B304" s="32" t="s">
        <v>20</v>
      </c>
      <c r="C304" s="33" t="s">
        <v>20</v>
      </c>
      <c r="D304" s="35">
        <v>45449</v>
      </c>
      <c r="E304" s="32">
        <v>221</v>
      </c>
      <c r="F304" s="32">
        <v>20008882</v>
      </c>
      <c r="G304" s="32" t="s">
        <v>348</v>
      </c>
      <c r="H304" s="26" t="s">
        <v>38</v>
      </c>
      <c r="I304" s="36">
        <v>1</v>
      </c>
      <c r="J304" s="32">
        <f>IF(MB25_VOLUMETRIA[[#This Row],[Reserva]]="","",1)</f>
        <v>1</v>
      </c>
      <c r="K304" s="36" t="str">
        <f>IF(MB25_VOLUMETRIA[[#This Row],[Reserva]]="","",IFERROR(VLOOKUP(MB25_VOLUMETRIA[[#This Row],[UMB]],CHAVE[],2,FALSE),"VERIFICAR"))</f>
        <v>Unidade</v>
      </c>
      <c r="L304" s="32" t="str">
        <f>IF(MB25_VOLUMETRIA[[#This Row],[Reserva]]="","",IFERROR(VLOOKUP(MB25_VOLUMETRIA[[#This Row],[Reserva]],Tabela3[[Reserva]:[Condição para Faturamento]],20,FALSE),"IMPORTADO COM SUCESSO"))</f>
        <v>IMPORTADO</v>
      </c>
      <c r="M304" s="32" t="str">
        <f ca="1">IFERROR(VLOOKUP(MB25_VOLUMETRIA[[#This Row],[Reserva]],RES_AB[],14,FALSE),"")</f>
        <v>RESERVAS PENDENTES</v>
      </c>
      <c r="N304" s="32" t="str">
        <f>IF(MB25_VOLUMETRIA[[#This Row],[Cen.]]="","",IFERROR(VLOOKUP(MB25_VOLUMETRIA[[#This Row],[Cen.]],Dados_Empresas[],2,FALSE),"Verificar empresa"))</f>
        <v>TELMEX</v>
      </c>
      <c r="O30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5" spans="1:15" x14ac:dyDescent="0.25">
      <c r="A305" s="32">
        <v>4383030</v>
      </c>
      <c r="B305" s="32" t="s">
        <v>20</v>
      </c>
      <c r="C305" s="33" t="s">
        <v>20</v>
      </c>
      <c r="D305" s="35">
        <v>45449</v>
      </c>
      <c r="E305" s="32">
        <v>221</v>
      </c>
      <c r="F305" s="32">
        <v>22064977</v>
      </c>
      <c r="G305" s="32" t="s">
        <v>458</v>
      </c>
      <c r="H305" s="26" t="s">
        <v>38</v>
      </c>
      <c r="I305" s="36">
        <v>19</v>
      </c>
      <c r="J305" s="32">
        <f>IF(MB25_VOLUMETRIA[[#This Row],[Reserva]]="","",1)</f>
        <v>1</v>
      </c>
      <c r="K305" s="36" t="str">
        <f>IF(MB25_VOLUMETRIA[[#This Row],[Reserva]]="","",IFERROR(VLOOKUP(MB25_VOLUMETRIA[[#This Row],[UMB]],CHAVE[],2,FALSE),"VERIFICAR"))</f>
        <v>Unidade</v>
      </c>
      <c r="L305" s="32" t="str">
        <f>IF(MB25_VOLUMETRIA[[#This Row],[Reserva]]="","",IFERROR(VLOOKUP(MB25_VOLUMETRIA[[#This Row],[Reserva]],Tabela3[[Reserva]:[Condição para Faturamento]],20,FALSE),"IMPORTADO COM SUCESSO"))</f>
        <v>IMPORTADO</v>
      </c>
      <c r="M305" s="32" t="str">
        <f ca="1">IFERROR(VLOOKUP(MB25_VOLUMETRIA[[#This Row],[Reserva]],RES_AB[],14,FALSE),"")</f>
        <v>RESERVAS PENDENTES</v>
      </c>
      <c r="N305" s="32" t="str">
        <f>IF(MB25_VOLUMETRIA[[#This Row],[Cen.]]="","",IFERROR(VLOOKUP(MB25_VOLUMETRIA[[#This Row],[Cen.]],Dados_Empresas[],2,FALSE),"Verificar empresa"))</f>
        <v>TELMEX</v>
      </c>
      <c r="O30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6" spans="1:15" x14ac:dyDescent="0.25">
      <c r="A306" s="32">
        <v>4383030</v>
      </c>
      <c r="B306" s="32" t="s">
        <v>20</v>
      </c>
      <c r="C306" s="33" t="s">
        <v>20</v>
      </c>
      <c r="D306" s="35">
        <v>45449</v>
      </c>
      <c r="E306" s="32">
        <v>221</v>
      </c>
      <c r="F306" s="32">
        <v>22064978</v>
      </c>
      <c r="G306" s="32" t="s">
        <v>459</v>
      </c>
      <c r="H306" s="26" t="s">
        <v>38</v>
      </c>
      <c r="I306" s="36">
        <v>23</v>
      </c>
      <c r="J306" s="32">
        <f>IF(MB25_VOLUMETRIA[[#This Row],[Reserva]]="","",1)</f>
        <v>1</v>
      </c>
      <c r="K306" s="36" t="str">
        <f>IF(MB25_VOLUMETRIA[[#This Row],[Reserva]]="","",IFERROR(VLOOKUP(MB25_VOLUMETRIA[[#This Row],[UMB]],CHAVE[],2,FALSE),"VERIFICAR"))</f>
        <v>Unidade</v>
      </c>
      <c r="L306" s="32" t="str">
        <f>IF(MB25_VOLUMETRIA[[#This Row],[Reserva]]="","",IFERROR(VLOOKUP(MB25_VOLUMETRIA[[#This Row],[Reserva]],Tabela3[[Reserva]:[Condição para Faturamento]],20,FALSE),"IMPORTADO COM SUCESSO"))</f>
        <v>IMPORTADO</v>
      </c>
      <c r="M306" s="32" t="str">
        <f ca="1">IFERROR(VLOOKUP(MB25_VOLUMETRIA[[#This Row],[Reserva]],RES_AB[],14,FALSE),"")</f>
        <v>RESERVAS PENDENTES</v>
      </c>
      <c r="N306" s="32" t="str">
        <f>IF(MB25_VOLUMETRIA[[#This Row],[Cen.]]="","",IFERROR(VLOOKUP(MB25_VOLUMETRIA[[#This Row],[Cen.]],Dados_Empresas[],2,FALSE),"Verificar empresa"))</f>
        <v>TELMEX</v>
      </c>
      <c r="O30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7" spans="1:15" x14ac:dyDescent="0.25">
      <c r="A307" s="32">
        <v>4383031</v>
      </c>
      <c r="B307" s="32" t="s">
        <v>20</v>
      </c>
      <c r="C307" s="33" t="s">
        <v>20</v>
      </c>
      <c r="D307" s="35">
        <v>45449</v>
      </c>
      <c r="E307" s="32">
        <v>221</v>
      </c>
      <c r="F307" s="32">
        <v>22064979</v>
      </c>
      <c r="G307" s="32" t="s">
        <v>460</v>
      </c>
      <c r="H307" s="26" t="s">
        <v>38</v>
      </c>
      <c r="I307" s="36">
        <v>5</v>
      </c>
      <c r="J307" s="32">
        <f>IF(MB25_VOLUMETRIA[[#This Row],[Reserva]]="","",1)</f>
        <v>1</v>
      </c>
      <c r="K307" s="36" t="str">
        <f>IF(MB25_VOLUMETRIA[[#This Row],[Reserva]]="","",IFERROR(VLOOKUP(MB25_VOLUMETRIA[[#This Row],[UMB]],CHAVE[],2,FALSE),"VERIFICAR"))</f>
        <v>Unidade</v>
      </c>
      <c r="L307" s="32" t="str">
        <f>IF(MB25_VOLUMETRIA[[#This Row],[Reserva]]="","",IFERROR(VLOOKUP(MB25_VOLUMETRIA[[#This Row],[Reserva]],Tabela3[[Reserva]:[Condição para Faturamento]],20,FALSE),"IMPORTADO COM SUCESSO"))</f>
        <v>IMPORTADO</v>
      </c>
      <c r="M307" s="32" t="str">
        <f ca="1">IFERROR(VLOOKUP(MB25_VOLUMETRIA[[#This Row],[Reserva]],RES_AB[],14,FALSE),"")</f>
        <v>RESERVAS PENDENTES</v>
      </c>
      <c r="N307" s="32" t="str">
        <f>IF(MB25_VOLUMETRIA[[#This Row],[Cen.]]="","",IFERROR(VLOOKUP(MB25_VOLUMETRIA[[#This Row],[Cen.]],Dados_Empresas[],2,FALSE),"Verificar empresa"))</f>
        <v>TELMEX</v>
      </c>
      <c r="O30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8" spans="1:15" x14ac:dyDescent="0.25">
      <c r="A308" s="32">
        <v>4383032</v>
      </c>
      <c r="B308" s="32" t="s">
        <v>20</v>
      </c>
      <c r="C308" s="33" t="s">
        <v>20</v>
      </c>
      <c r="D308" s="35">
        <v>45449</v>
      </c>
      <c r="E308" s="32">
        <v>221</v>
      </c>
      <c r="F308" s="32">
        <v>22059129</v>
      </c>
      <c r="G308" s="32" t="s">
        <v>461</v>
      </c>
      <c r="H308" s="26" t="s">
        <v>38</v>
      </c>
      <c r="I308" s="36">
        <v>36</v>
      </c>
      <c r="J308" s="32">
        <f>IF(MB25_VOLUMETRIA[[#This Row],[Reserva]]="","",1)</f>
        <v>1</v>
      </c>
      <c r="K308" s="36" t="str">
        <f>IF(MB25_VOLUMETRIA[[#This Row],[Reserva]]="","",IFERROR(VLOOKUP(MB25_VOLUMETRIA[[#This Row],[UMB]],CHAVE[],2,FALSE),"VERIFICAR"))</f>
        <v>Unidade</v>
      </c>
      <c r="L308" s="32" t="str">
        <f>IF(MB25_VOLUMETRIA[[#This Row],[Reserva]]="","",IFERROR(VLOOKUP(MB25_VOLUMETRIA[[#This Row],[Reserva]],Tabela3[[Reserva]:[Condição para Faturamento]],20,FALSE),"IMPORTADO COM SUCESSO"))</f>
        <v>IMPORTADO</v>
      </c>
      <c r="M308" s="32" t="str">
        <f ca="1">IFERROR(VLOOKUP(MB25_VOLUMETRIA[[#This Row],[Reserva]],RES_AB[],14,FALSE),"")</f>
        <v>RESERVAS PENDENTES</v>
      </c>
      <c r="N308" s="32" t="str">
        <f>IF(MB25_VOLUMETRIA[[#This Row],[Cen.]]="","",IFERROR(VLOOKUP(MB25_VOLUMETRIA[[#This Row],[Cen.]],Dados_Empresas[],2,FALSE),"Verificar empresa"))</f>
        <v>TELMEX</v>
      </c>
      <c r="O30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09" spans="1:15" x14ac:dyDescent="0.25">
      <c r="A309" s="32">
        <v>4383033</v>
      </c>
      <c r="B309" s="32" t="s">
        <v>20</v>
      </c>
      <c r="C309" s="33" t="s">
        <v>20</v>
      </c>
      <c r="D309" s="35">
        <v>45449</v>
      </c>
      <c r="E309" s="32">
        <v>221</v>
      </c>
      <c r="F309" s="32">
        <v>22059129</v>
      </c>
      <c r="G309" s="32" t="s">
        <v>461</v>
      </c>
      <c r="H309" s="26" t="s">
        <v>38</v>
      </c>
      <c r="I309" s="36">
        <v>43</v>
      </c>
      <c r="J309" s="32">
        <f>IF(MB25_VOLUMETRIA[[#This Row],[Reserva]]="","",1)</f>
        <v>1</v>
      </c>
      <c r="K309" s="36" t="str">
        <f>IF(MB25_VOLUMETRIA[[#This Row],[Reserva]]="","",IFERROR(VLOOKUP(MB25_VOLUMETRIA[[#This Row],[UMB]],CHAVE[],2,FALSE),"VERIFICAR"))</f>
        <v>Unidade</v>
      </c>
      <c r="L309" s="32" t="str">
        <f>IF(MB25_VOLUMETRIA[[#This Row],[Reserva]]="","",IFERROR(VLOOKUP(MB25_VOLUMETRIA[[#This Row],[Reserva]],Tabela3[[Reserva]:[Condição para Faturamento]],20,FALSE),"IMPORTADO COM SUCESSO"))</f>
        <v>IMPORTADO</v>
      </c>
      <c r="M309" s="32" t="str">
        <f ca="1">IFERROR(VLOOKUP(MB25_VOLUMETRIA[[#This Row],[Reserva]],RES_AB[],14,FALSE),"")</f>
        <v>RESERVAS PENDENTES</v>
      </c>
      <c r="N309" s="32" t="str">
        <f>IF(MB25_VOLUMETRIA[[#This Row],[Cen.]]="","",IFERROR(VLOOKUP(MB25_VOLUMETRIA[[#This Row],[Cen.]],Dados_Empresas[],2,FALSE),"Verificar empresa"))</f>
        <v>TELMEX</v>
      </c>
      <c r="O30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0" spans="1:15" x14ac:dyDescent="0.25">
      <c r="A310" s="32">
        <v>4383034</v>
      </c>
      <c r="B310" s="32" t="s">
        <v>20</v>
      </c>
      <c r="C310" s="33" t="s">
        <v>20</v>
      </c>
      <c r="D310" s="35">
        <v>45449</v>
      </c>
      <c r="E310" s="32">
        <v>221</v>
      </c>
      <c r="F310" s="32">
        <v>22059129</v>
      </c>
      <c r="G310" s="32" t="s">
        <v>461</v>
      </c>
      <c r="H310" s="26" t="s">
        <v>38</v>
      </c>
      <c r="I310" s="36">
        <v>66</v>
      </c>
      <c r="J310" s="32">
        <f>IF(MB25_VOLUMETRIA[[#This Row],[Reserva]]="","",1)</f>
        <v>1</v>
      </c>
      <c r="K310" s="36" t="str">
        <f>IF(MB25_VOLUMETRIA[[#This Row],[Reserva]]="","",IFERROR(VLOOKUP(MB25_VOLUMETRIA[[#This Row],[UMB]],CHAVE[],2,FALSE),"VERIFICAR"))</f>
        <v>Unidade</v>
      </c>
      <c r="L310" s="32" t="str">
        <f>IF(MB25_VOLUMETRIA[[#This Row],[Reserva]]="","",IFERROR(VLOOKUP(MB25_VOLUMETRIA[[#This Row],[Reserva]],Tabela3[[Reserva]:[Condição para Faturamento]],20,FALSE),"IMPORTADO COM SUCESSO"))</f>
        <v>IMPORTADO</v>
      </c>
      <c r="M310" s="32" t="str">
        <f ca="1">IFERROR(VLOOKUP(MB25_VOLUMETRIA[[#This Row],[Reserva]],RES_AB[],14,FALSE),"")</f>
        <v>RESERVAS PENDENTES</v>
      </c>
      <c r="N310" s="32" t="str">
        <f>IF(MB25_VOLUMETRIA[[#This Row],[Cen.]]="","",IFERROR(VLOOKUP(MB25_VOLUMETRIA[[#This Row],[Cen.]],Dados_Empresas[],2,FALSE),"Verificar empresa"))</f>
        <v>TELMEX</v>
      </c>
      <c r="O31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1" spans="1:15" x14ac:dyDescent="0.25">
      <c r="A311" s="32">
        <v>4383040</v>
      </c>
      <c r="B311" s="32" t="s">
        <v>20</v>
      </c>
      <c r="C311" s="33" t="s">
        <v>20</v>
      </c>
      <c r="D311" s="35">
        <v>45450</v>
      </c>
      <c r="E311" s="32">
        <v>221</v>
      </c>
      <c r="F311" s="32">
        <v>16008418</v>
      </c>
      <c r="G311" s="32" t="s">
        <v>385</v>
      </c>
      <c r="H311" s="26" t="s">
        <v>38</v>
      </c>
      <c r="I311" s="36">
        <v>1</v>
      </c>
      <c r="J311" s="32">
        <f>IF(MB25_VOLUMETRIA[[#This Row],[Reserva]]="","",1)</f>
        <v>1</v>
      </c>
      <c r="K311" s="36" t="str">
        <f>IF(MB25_VOLUMETRIA[[#This Row],[Reserva]]="","",IFERROR(VLOOKUP(MB25_VOLUMETRIA[[#This Row],[UMB]],CHAVE[],2,FALSE),"VERIFICAR"))</f>
        <v>Unidade</v>
      </c>
      <c r="L3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1" s="32" t="str">
        <f ca="1">IFERROR(VLOOKUP(MB25_VOLUMETRIA[[#This Row],[Reserva]],RES_AB[],14,FALSE),"")</f>
        <v>RESERVAS PENDENTES</v>
      </c>
      <c r="N311" s="32" t="str">
        <f>IF(MB25_VOLUMETRIA[[#This Row],[Cen.]]="","",IFERROR(VLOOKUP(MB25_VOLUMETRIA[[#This Row],[Cen.]],Dados_Empresas[],2,FALSE),"Verificar empresa"))</f>
        <v>TELMEX</v>
      </c>
      <c r="O31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2" spans="1:15" x14ac:dyDescent="0.25">
      <c r="A312" s="32">
        <v>4384161</v>
      </c>
      <c r="B312" s="32" t="s">
        <v>20</v>
      </c>
      <c r="C312" s="33" t="s">
        <v>20</v>
      </c>
      <c r="D312" s="35">
        <v>45450</v>
      </c>
      <c r="E312" s="32">
        <v>221</v>
      </c>
      <c r="F312" s="32">
        <v>16008418</v>
      </c>
      <c r="G312" s="32" t="s">
        <v>385</v>
      </c>
      <c r="H312" s="26" t="s">
        <v>38</v>
      </c>
      <c r="I312" s="36">
        <v>1</v>
      </c>
      <c r="J312" s="32">
        <f>IF(MB25_VOLUMETRIA[[#This Row],[Reserva]]="","",1)</f>
        <v>1</v>
      </c>
      <c r="K312" s="36" t="str">
        <f>IF(MB25_VOLUMETRIA[[#This Row],[Reserva]]="","",IFERROR(VLOOKUP(MB25_VOLUMETRIA[[#This Row],[UMB]],CHAVE[],2,FALSE),"VERIFICAR"))</f>
        <v>Unidade</v>
      </c>
      <c r="L3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2" s="32" t="str">
        <f ca="1">IFERROR(VLOOKUP(MB25_VOLUMETRIA[[#This Row],[Reserva]],RES_AB[],14,FALSE),"")</f>
        <v>RESERVAS PENDENTES</v>
      </c>
      <c r="N312" s="32" t="str">
        <f>IF(MB25_VOLUMETRIA[[#This Row],[Cen.]]="","",IFERROR(VLOOKUP(MB25_VOLUMETRIA[[#This Row],[Cen.]],Dados_Empresas[],2,FALSE),"Verificar empresa"))</f>
        <v>TELMEX</v>
      </c>
      <c r="O31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3" spans="1:15" x14ac:dyDescent="0.25">
      <c r="A313" s="32">
        <v>4384162</v>
      </c>
      <c r="B313" s="32" t="s">
        <v>20</v>
      </c>
      <c r="C313" s="33" t="s">
        <v>20</v>
      </c>
      <c r="D313" s="35">
        <v>45450</v>
      </c>
      <c r="E313" s="32">
        <v>221</v>
      </c>
      <c r="F313" s="32">
        <v>16008418</v>
      </c>
      <c r="G313" s="32" t="s">
        <v>385</v>
      </c>
      <c r="H313" s="26" t="s">
        <v>38</v>
      </c>
      <c r="I313" s="36">
        <v>1</v>
      </c>
      <c r="J313" s="32">
        <f>IF(MB25_VOLUMETRIA[[#This Row],[Reserva]]="","",1)</f>
        <v>1</v>
      </c>
      <c r="K313" s="36" t="str">
        <f>IF(MB25_VOLUMETRIA[[#This Row],[Reserva]]="","",IFERROR(VLOOKUP(MB25_VOLUMETRIA[[#This Row],[UMB]],CHAVE[],2,FALSE),"VERIFICAR"))</f>
        <v>Unidade</v>
      </c>
      <c r="L3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3" s="32" t="str">
        <f ca="1">IFERROR(VLOOKUP(MB25_VOLUMETRIA[[#This Row],[Reserva]],RES_AB[],14,FALSE),"")</f>
        <v>RESERVAS PENDENTES</v>
      </c>
      <c r="N313" s="32" t="str">
        <f>IF(MB25_VOLUMETRIA[[#This Row],[Cen.]]="","",IFERROR(VLOOKUP(MB25_VOLUMETRIA[[#This Row],[Cen.]],Dados_Empresas[],2,FALSE),"Verificar empresa"))</f>
        <v>TELMEX</v>
      </c>
      <c r="O31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4" spans="1:15" x14ac:dyDescent="0.25">
      <c r="A314" s="32">
        <v>4384163</v>
      </c>
      <c r="B314" s="32" t="s">
        <v>20</v>
      </c>
      <c r="C314" s="33" t="s">
        <v>20</v>
      </c>
      <c r="D314" s="35">
        <v>45450</v>
      </c>
      <c r="E314" s="32">
        <v>221</v>
      </c>
      <c r="F314" s="32">
        <v>16008418</v>
      </c>
      <c r="G314" s="32" t="s">
        <v>385</v>
      </c>
      <c r="H314" s="26" t="s">
        <v>38</v>
      </c>
      <c r="I314" s="36">
        <v>1</v>
      </c>
      <c r="J314" s="32">
        <f>IF(MB25_VOLUMETRIA[[#This Row],[Reserva]]="","",1)</f>
        <v>1</v>
      </c>
      <c r="K314" s="36" t="str">
        <f>IF(MB25_VOLUMETRIA[[#This Row],[Reserva]]="","",IFERROR(VLOOKUP(MB25_VOLUMETRIA[[#This Row],[UMB]],CHAVE[],2,FALSE),"VERIFICAR"))</f>
        <v>Unidade</v>
      </c>
      <c r="L3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4" s="32" t="str">
        <f ca="1">IFERROR(VLOOKUP(MB25_VOLUMETRIA[[#This Row],[Reserva]],RES_AB[],14,FALSE),"")</f>
        <v>RESERVAS PENDENTES</v>
      </c>
      <c r="N314" s="32" t="str">
        <f>IF(MB25_VOLUMETRIA[[#This Row],[Cen.]]="","",IFERROR(VLOOKUP(MB25_VOLUMETRIA[[#This Row],[Cen.]],Dados_Empresas[],2,FALSE),"Verificar empresa"))</f>
        <v>TELMEX</v>
      </c>
      <c r="O31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5" spans="1:15" x14ac:dyDescent="0.25">
      <c r="A315" s="32">
        <v>4384164</v>
      </c>
      <c r="B315" s="32" t="s">
        <v>20</v>
      </c>
      <c r="C315" s="33" t="s">
        <v>20</v>
      </c>
      <c r="D315" s="35">
        <v>45450</v>
      </c>
      <c r="E315" s="32">
        <v>221</v>
      </c>
      <c r="F315" s="32">
        <v>16008418</v>
      </c>
      <c r="G315" s="32" t="s">
        <v>385</v>
      </c>
      <c r="H315" s="26" t="s">
        <v>38</v>
      </c>
      <c r="I315" s="36">
        <v>1</v>
      </c>
      <c r="J315" s="32">
        <f>IF(MB25_VOLUMETRIA[[#This Row],[Reserva]]="","",1)</f>
        <v>1</v>
      </c>
      <c r="K315" s="36" t="str">
        <f>IF(MB25_VOLUMETRIA[[#This Row],[Reserva]]="","",IFERROR(VLOOKUP(MB25_VOLUMETRIA[[#This Row],[UMB]],CHAVE[],2,FALSE),"VERIFICAR"))</f>
        <v>Unidade</v>
      </c>
      <c r="L3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5" s="32" t="str">
        <f ca="1">IFERROR(VLOOKUP(MB25_VOLUMETRIA[[#This Row],[Reserva]],RES_AB[],14,FALSE),"")</f>
        <v>RESERVAS PENDENTES</v>
      </c>
      <c r="N315" s="32" t="str">
        <f>IF(MB25_VOLUMETRIA[[#This Row],[Cen.]]="","",IFERROR(VLOOKUP(MB25_VOLUMETRIA[[#This Row],[Cen.]],Dados_Empresas[],2,FALSE),"Verificar empresa"))</f>
        <v>TELMEX</v>
      </c>
      <c r="O31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6" spans="1:15" x14ac:dyDescent="0.25">
      <c r="A316" s="32">
        <v>4384165</v>
      </c>
      <c r="B316" s="32" t="s">
        <v>20</v>
      </c>
      <c r="C316" s="33" t="s">
        <v>20</v>
      </c>
      <c r="D316" s="35">
        <v>45450</v>
      </c>
      <c r="E316" s="32">
        <v>221</v>
      </c>
      <c r="F316" s="32">
        <v>16008418</v>
      </c>
      <c r="G316" s="32" t="s">
        <v>385</v>
      </c>
      <c r="H316" s="26" t="s">
        <v>38</v>
      </c>
      <c r="I316" s="36">
        <v>1</v>
      </c>
      <c r="J316" s="32">
        <f>IF(MB25_VOLUMETRIA[[#This Row],[Reserva]]="","",1)</f>
        <v>1</v>
      </c>
      <c r="K316" s="36" t="str">
        <f>IF(MB25_VOLUMETRIA[[#This Row],[Reserva]]="","",IFERROR(VLOOKUP(MB25_VOLUMETRIA[[#This Row],[UMB]],CHAVE[],2,FALSE),"VERIFICAR"))</f>
        <v>Unidade</v>
      </c>
      <c r="L3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6" s="32" t="str">
        <f ca="1">IFERROR(VLOOKUP(MB25_VOLUMETRIA[[#This Row],[Reserva]],RES_AB[],14,FALSE),"")</f>
        <v>RESERVAS PENDENTES</v>
      </c>
      <c r="N316" s="32" t="str">
        <f>IF(MB25_VOLUMETRIA[[#This Row],[Cen.]]="","",IFERROR(VLOOKUP(MB25_VOLUMETRIA[[#This Row],[Cen.]],Dados_Empresas[],2,FALSE),"Verificar empresa"))</f>
        <v>TELMEX</v>
      </c>
      <c r="O31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7" spans="1:15" x14ac:dyDescent="0.25">
      <c r="A317" s="32">
        <v>4384166</v>
      </c>
      <c r="B317" s="32" t="s">
        <v>20</v>
      </c>
      <c r="C317" s="33" t="s">
        <v>20</v>
      </c>
      <c r="D317" s="35">
        <v>45450</v>
      </c>
      <c r="E317" s="32">
        <v>221</v>
      </c>
      <c r="F317" s="32">
        <v>16008418</v>
      </c>
      <c r="G317" s="32" t="s">
        <v>385</v>
      </c>
      <c r="H317" s="26" t="s">
        <v>38</v>
      </c>
      <c r="I317" s="36">
        <v>1</v>
      </c>
      <c r="J317" s="32">
        <f>IF(MB25_VOLUMETRIA[[#This Row],[Reserva]]="","",1)</f>
        <v>1</v>
      </c>
      <c r="K317" s="36" t="str">
        <f>IF(MB25_VOLUMETRIA[[#This Row],[Reserva]]="","",IFERROR(VLOOKUP(MB25_VOLUMETRIA[[#This Row],[UMB]],CHAVE[],2,FALSE),"VERIFICAR"))</f>
        <v>Unidade</v>
      </c>
      <c r="L3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317" s="32" t="str">
        <f ca="1">IFERROR(VLOOKUP(MB25_VOLUMETRIA[[#This Row],[Reserva]],RES_AB[],14,FALSE),"")</f>
        <v>RESERVAS PENDENTES</v>
      </c>
      <c r="N317" s="32" t="str">
        <f>IF(MB25_VOLUMETRIA[[#This Row],[Cen.]]="","",IFERROR(VLOOKUP(MB25_VOLUMETRIA[[#This Row],[Cen.]],Dados_Empresas[],2,FALSE),"Verificar empresa"))</f>
        <v>TELMEX</v>
      </c>
      <c r="O31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8" spans="1:15" x14ac:dyDescent="0.25">
      <c r="A318" s="32">
        <v>4382495</v>
      </c>
      <c r="B318" s="32">
        <v>1196</v>
      </c>
      <c r="C318" s="33" t="s">
        <v>309</v>
      </c>
      <c r="D318" s="35">
        <v>45448</v>
      </c>
      <c r="E318" s="32">
        <v>301</v>
      </c>
      <c r="F318" s="32">
        <v>30012894</v>
      </c>
      <c r="G318" s="32" t="s">
        <v>406</v>
      </c>
      <c r="H318" s="26" t="s">
        <v>38</v>
      </c>
      <c r="I318" s="36">
        <v>1</v>
      </c>
      <c r="J318" s="32">
        <f>IF(MB25_VOLUMETRIA[[#This Row],[Reserva]]="","",1)</f>
        <v>1</v>
      </c>
      <c r="K318" s="36" t="str">
        <f>IF(MB25_VOLUMETRIA[[#This Row],[Reserva]]="","",IFERROR(VLOOKUP(MB25_VOLUMETRIA[[#This Row],[UMB]],CHAVE[],2,FALSE),"VERIFICAR"))</f>
        <v>Unidade</v>
      </c>
      <c r="L318" s="32" t="str">
        <f>IF(MB25_VOLUMETRIA[[#This Row],[Reserva]]="","",IFERROR(VLOOKUP(MB25_VOLUMETRIA[[#This Row],[Reserva]],Tabela3[[Reserva]:[Condição para Faturamento]],20,FALSE),"IMPORTADO COM SUCESSO"))</f>
        <v>EM CONFERENCIA</v>
      </c>
      <c r="M318" s="32" t="str">
        <f ca="1">IFERROR(VLOOKUP(MB25_VOLUMETRIA[[#This Row],[Reserva]],RES_AB[],14,FALSE),"")</f>
        <v>PLANO DO DIA</v>
      </c>
      <c r="N318" s="32" t="str">
        <f>IF(MB25_VOLUMETRIA[[#This Row],[Cen.]]="","",IFERROR(VLOOKUP(MB25_VOLUMETRIA[[#This Row],[Cen.]],Dados_Empresas[],2,FALSE),"Verificar empresa"))</f>
        <v>OMR</v>
      </c>
      <c r="O31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19" spans="1:15" x14ac:dyDescent="0.25">
      <c r="A319" s="32">
        <v>4382519</v>
      </c>
      <c r="B319" s="32">
        <v>1196</v>
      </c>
      <c r="C319" s="33" t="s">
        <v>314</v>
      </c>
      <c r="D319" s="35">
        <v>45448</v>
      </c>
      <c r="E319" s="32">
        <v>301</v>
      </c>
      <c r="F319" s="32">
        <v>30014065</v>
      </c>
      <c r="G319" s="32" t="s">
        <v>407</v>
      </c>
      <c r="H319" s="26" t="s">
        <v>38</v>
      </c>
      <c r="I319" s="36">
        <v>1</v>
      </c>
      <c r="J319" s="32">
        <f>IF(MB25_VOLUMETRIA[[#This Row],[Reserva]]="","",1)</f>
        <v>1</v>
      </c>
      <c r="K319" s="36" t="str">
        <f>IF(MB25_VOLUMETRIA[[#This Row],[Reserva]]="","",IFERROR(VLOOKUP(MB25_VOLUMETRIA[[#This Row],[UMB]],CHAVE[],2,FALSE),"VERIFICAR"))</f>
        <v>Unidade</v>
      </c>
      <c r="L319" s="32" t="str">
        <f>IF(MB25_VOLUMETRIA[[#This Row],[Reserva]]="","",IFERROR(VLOOKUP(MB25_VOLUMETRIA[[#This Row],[Reserva]],Tabela3[[Reserva]:[Condição para Faturamento]],20,FALSE),"IMPORTADO COM SUCESSO"))</f>
        <v>EM CONFERENCIA</v>
      </c>
      <c r="M319" s="32" t="str">
        <f ca="1">IFERROR(VLOOKUP(MB25_VOLUMETRIA[[#This Row],[Reserva]],RES_AB[],14,FALSE),"")</f>
        <v>PLANO DO DIA</v>
      </c>
      <c r="N319" s="32" t="str">
        <f>IF(MB25_VOLUMETRIA[[#This Row],[Cen.]]="","",IFERROR(VLOOKUP(MB25_VOLUMETRIA[[#This Row],[Cen.]],Dados_Empresas[],2,FALSE),"Verificar empresa"))</f>
        <v>OMR</v>
      </c>
      <c r="O31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0" spans="1:15" x14ac:dyDescent="0.25">
      <c r="A320" s="32">
        <v>4382520</v>
      </c>
      <c r="B320" s="32">
        <v>1196</v>
      </c>
      <c r="C320" s="33" t="s">
        <v>314</v>
      </c>
      <c r="D320" s="35">
        <v>45448</v>
      </c>
      <c r="E320" s="32">
        <v>301</v>
      </c>
      <c r="F320" s="32">
        <v>30014591</v>
      </c>
      <c r="G320" s="32" t="s">
        <v>408</v>
      </c>
      <c r="H320" s="26" t="s">
        <v>38</v>
      </c>
      <c r="I320" s="36">
        <v>1</v>
      </c>
      <c r="J320" s="32">
        <f>IF(MB25_VOLUMETRIA[[#This Row],[Reserva]]="","",1)</f>
        <v>1</v>
      </c>
      <c r="K320" s="36" t="str">
        <f>IF(MB25_VOLUMETRIA[[#This Row],[Reserva]]="","",IFERROR(VLOOKUP(MB25_VOLUMETRIA[[#This Row],[UMB]],CHAVE[],2,FALSE),"VERIFICAR"))</f>
        <v>Unidade</v>
      </c>
      <c r="L320" s="32" t="str">
        <f>IF(MB25_VOLUMETRIA[[#This Row],[Reserva]]="","",IFERROR(VLOOKUP(MB25_VOLUMETRIA[[#This Row],[Reserva]],Tabela3[[Reserva]:[Condição para Faturamento]],20,FALSE),"IMPORTADO COM SUCESSO"))</f>
        <v>EM CONFERENCIA</v>
      </c>
      <c r="M320" s="32" t="str">
        <f ca="1">IFERROR(VLOOKUP(MB25_VOLUMETRIA[[#This Row],[Reserva]],RES_AB[],14,FALSE),"")</f>
        <v>PLANO DO DIA</v>
      </c>
      <c r="N320" s="32" t="str">
        <f>IF(MB25_VOLUMETRIA[[#This Row],[Cen.]]="","",IFERROR(VLOOKUP(MB25_VOLUMETRIA[[#This Row],[Cen.]],Dados_Empresas[],2,FALSE),"Verificar empresa"))</f>
        <v>OMR</v>
      </c>
      <c r="O32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1" spans="1:15" x14ac:dyDescent="0.25">
      <c r="A321" s="32">
        <v>4382528</v>
      </c>
      <c r="B321" s="32">
        <v>1196</v>
      </c>
      <c r="C321" s="33" t="s">
        <v>309</v>
      </c>
      <c r="D321" s="35">
        <v>45448</v>
      </c>
      <c r="E321" s="32">
        <v>301</v>
      </c>
      <c r="F321" s="32">
        <v>20000111</v>
      </c>
      <c r="G321" s="32" t="s">
        <v>409</v>
      </c>
      <c r="H321" s="26" t="s">
        <v>38</v>
      </c>
      <c r="I321" s="36">
        <v>1</v>
      </c>
      <c r="J321" s="32">
        <f>IF(MB25_VOLUMETRIA[[#This Row],[Reserva]]="","",1)</f>
        <v>1</v>
      </c>
      <c r="K321" s="36" t="str">
        <f>IF(MB25_VOLUMETRIA[[#This Row],[Reserva]]="","",IFERROR(VLOOKUP(MB25_VOLUMETRIA[[#This Row],[UMB]],CHAVE[],2,FALSE),"VERIFICAR"))</f>
        <v>Unidade</v>
      </c>
      <c r="L321" s="32" t="str">
        <f>IF(MB25_VOLUMETRIA[[#This Row],[Reserva]]="","",IFERROR(VLOOKUP(MB25_VOLUMETRIA[[#This Row],[Reserva]],Tabela3[[Reserva]:[Condição para Faturamento]],20,FALSE),"IMPORTADO COM SUCESSO"))</f>
        <v>EM CONFERENCIA</v>
      </c>
      <c r="M321" s="32" t="str">
        <f ca="1">IFERROR(VLOOKUP(MB25_VOLUMETRIA[[#This Row],[Reserva]],RES_AB[],14,FALSE),"")</f>
        <v>PLANO DO DIA</v>
      </c>
      <c r="N321" s="32" t="str">
        <f>IF(MB25_VOLUMETRIA[[#This Row],[Cen.]]="","",IFERROR(VLOOKUP(MB25_VOLUMETRIA[[#This Row],[Cen.]],Dados_Empresas[],2,FALSE),"Verificar empresa"))</f>
        <v>OMR</v>
      </c>
      <c r="O32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2" spans="1:15" x14ac:dyDescent="0.25">
      <c r="A322" s="32">
        <v>4382530</v>
      </c>
      <c r="B322" s="32">
        <v>1196</v>
      </c>
      <c r="C322" s="33" t="s">
        <v>309</v>
      </c>
      <c r="D322" s="35">
        <v>45448</v>
      </c>
      <c r="E322" s="32">
        <v>301</v>
      </c>
      <c r="F322" s="32">
        <v>30013591</v>
      </c>
      <c r="G322" s="32" t="s">
        <v>410</v>
      </c>
      <c r="H322" s="26" t="s">
        <v>38</v>
      </c>
      <c r="I322" s="36">
        <v>3</v>
      </c>
      <c r="J322" s="32">
        <f>IF(MB25_VOLUMETRIA[[#This Row],[Reserva]]="","",1)</f>
        <v>1</v>
      </c>
      <c r="K322" s="36" t="str">
        <f>IF(MB25_VOLUMETRIA[[#This Row],[Reserva]]="","",IFERROR(VLOOKUP(MB25_VOLUMETRIA[[#This Row],[UMB]],CHAVE[],2,FALSE),"VERIFICAR"))</f>
        <v>Unidade</v>
      </c>
      <c r="L322" s="32" t="str">
        <f>IF(MB25_VOLUMETRIA[[#This Row],[Reserva]]="","",IFERROR(VLOOKUP(MB25_VOLUMETRIA[[#This Row],[Reserva]],Tabela3[[Reserva]:[Condição para Faturamento]],20,FALSE),"IMPORTADO COM SUCESSO"))</f>
        <v>EM CONFERENCIA</v>
      </c>
      <c r="M322" s="32" t="str">
        <f ca="1">IFERROR(VLOOKUP(MB25_VOLUMETRIA[[#This Row],[Reserva]],RES_AB[],14,FALSE),"")</f>
        <v>PLANO DO DIA</v>
      </c>
      <c r="N322" s="32" t="str">
        <f>IF(MB25_VOLUMETRIA[[#This Row],[Cen.]]="","",IFERROR(VLOOKUP(MB25_VOLUMETRIA[[#This Row],[Cen.]],Dados_Empresas[],2,FALSE),"Verificar empresa"))</f>
        <v>OMR</v>
      </c>
      <c r="O32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3" spans="1:15" x14ac:dyDescent="0.25">
      <c r="A323" s="32">
        <v>4382531</v>
      </c>
      <c r="B323" s="32">
        <v>1196</v>
      </c>
      <c r="C323" s="33" t="s">
        <v>309</v>
      </c>
      <c r="D323" s="35">
        <v>45448</v>
      </c>
      <c r="E323" s="32">
        <v>301</v>
      </c>
      <c r="F323" s="32">
        <v>30013591</v>
      </c>
      <c r="G323" s="32" t="s">
        <v>410</v>
      </c>
      <c r="H323" s="26" t="s">
        <v>38</v>
      </c>
      <c r="I323" s="36">
        <v>5</v>
      </c>
      <c r="J323" s="32">
        <f>IF(MB25_VOLUMETRIA[[#This Row],[Reserva]]="","",1)</f>
        <v>1</v>
      </c>
      <c r="K323" s="36" t="str">
        <f>IF(MB25_VOLUMETRIA[[#This Row],[Reserva]]="","",IFERROR(VLOOKUP(MB25_VOLUMETRIA[[#This Row],[UMB]],CHAVE[],2,FALSE),"VERIFICAR"))</f>
        <v>Unidade</v>
      </c>
      <c r="L323" s="32" t="str">
        <f>IF(MB25_VOLUMETRIA[[#This Row],[Reserva]]="","",IFERROR(VLOOKUP(MB25_VOLUMETRIA[[#This Row],[Reserva]],Tabela3[[Reserva]:[Condição para Faturamento]],20,FALSE),"IMPORTADO COM SUCESSO"))</f>
        <v>EM FATURAMENTO</v>
      </c>
      <c r="M323" s="32" t="str">
        <f ca="1">IFERROR(VLOOKUP(MB25_VOLUMETRIA[[#This Row],[Reserva]],RES_AB[],14,FALSE),"")</f>
        <v>PLANO DO DIA</v>
      </c>
      <c r="N323" s="32" t="str">
        <f>IF(MB25_VOLUMETRIA[[#This Row],[Cen.]]="","",IFERROR(VLOOKUP(MB25_VOLUMETRIA[[#This Row],[Cen.]],Dados_Empresas[],2,FALSE),"Verificar empresa"))</f>
        <v>OMR</v>
      </c>
      <c r="O32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4" spans="1:15" x14ac:dyDescent="0.25">
      <c r="A324" s="32">
        <v>4382544</v>
      </c>
      <c r="B324" s="32">
        <v>1196</v>
      </c>
      <c r="C324" s="33" t="s">
        <v>309</v>
      </c>
      <c r="D324" s="35">
        <v>45448</v>
      </c>
      <c r="E324" s="32">
        <v>301</v>
      </c>
      <c r="F324" s="32">
        <v>50000136</v>
      </c>
      <c r="G324" s="32" t="s">
        <v>347</v>
      </c>
      <c r="H324" s="26" t="s">
        <v>38</v>
      </c>
      <c r="I324" s="36">
        <v>1</v>
      </c>
      <c r="J324" s="32">
        <f>IF(MB25_VOLUMETRIA[[#This Row],[Reserva]]="","",1)</f>
        <v>1</v>
      </c>
      <c r="K324" s="36" t="str">
        <f>IF(MB25_VOLUMETRIA[[#This Row],[Reserva]]="","",IFERROR(VLOOKUP(MB25_VOLUMETRIA[[#This Row],[UMB]],CHAVE[],2,FALSE),"VERIFICAR"))</f>
        <v>Unidade</v>
      </c>
      <c r="L324" s="32" t="str">
        <f>IF(MB25_VOLUMETRIA[[#This Row],[Reserva]]="","",IFERROR(VLOOKUP(MB25_VOLUMETRIA[[#This Row],[Reserva]],Tabela3[[Reserva]:[Condição para Faturamento]],20,FALSE),"IMPORTADO COM SUCESSO"))</f>
        <v>EM CONFERENCIA</v>
      </c>
      <c r="M324" s="32" t="str">
        <f ca="1">IFERROR(VLOOKUP(MB25_VOLUMETRIA[[#This Row],[Reserva]],RES_AB[],14,FALSE),"")</f>
        <v>PLANO DO DIA</v>
      </c>
      <c r="N324" s="32" t="str">
        <f>IF(MB25_VOLUMETRIA[[#This Row],[Cen.]]="","",IFERROR(VLOOKUP(MB25_VOLUMETRIA[[#This Row],[Cen.]],Dados_Empresas[],2,FALSE),"Verificar empresa"))</f>
        <v>OMR</v>
      </c>
      <c r="O32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5" spans="1:15" x14ac:dyDescent="0.25">
      <c r="A325" s="32">
        <v>4382557</v>
      </c>
      <c r="B325" s="32">
        <v>1196</v>
      </c>
      <c r="C325" s="33" t="s">
        <v>314</v>
      </c>
      <c r="D325" s="35">
        <v>45448</v>
      </c>
      <c r="E325" s="32">
        <v>301</v>
      </c>
      <c r="F325" s="32">
        <v>30014066</v>
      </c>
      <c r="G325" s="32" t="s">
        <v>411</v>
      </c>
      <c r="H325" s="26" t="s">
        <v>38</v>
      </c>
      <c r="I325" s="36">
        <v>1</v>
      </c>
      <c r="J325" s="32">
        <f>IF(MB25_VOLUMETRIA[[#This Row],[Reserva]]="","",1)</f>
        <v>1</v>
      </c>
      <c r="K325" s="36" t="str">
        <f>IF(MB25_VOLUMETRIA[[#This Row],[Reserva]]="","",IFERROR(VLOOKUP(MB25_VOLUMETRIA[[#This Row],[UMB]],CHAVE[],2,FALSE),"VERIFICAR"))</f>
        <v>Unidade</v>
      </c>
      <c r="L325" s="32" t="str">
        <f>IF(MB25_VOLUMETRIA[[#This Row],[Reserva]]="","",IFERROR(VLOOKUP(MB25_VOLUMETRIA[[#This Row],[Reserva]],Tabela3[[Reserva]:[Condição para Faturamento]],20,FALSE),"IMPORTADO COM SUCESSO"))</f>
        <v>EM CONFERENCIA</v>
      </c>
      <c r="M325" s="32" t="str">
        <f ca="1">IFERROR(VLOOKUP(MB25_VOLUMETRIA[[#This Row],[Reserva]],RES_AB[],14,FALSE),"")</f>
        <v>PLANO DO DIA</v>
      </c>
      <c r="N325" s="32" t="str">
        <f>IF(MB25_VOLUMETRIA[[#This Row],[Cen.]]="","",IFERROR(VLOOKUP(MB25_VOLUMETRIA[[#This Row],[Cen.]],Dados_Empresas[],2,FALSE),"Verificar empresa"))</f>
        <v>OMR</v>
      </c>
      <c r="O32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6" spans="1:15" x14ac:dyDescent="0.25">
      <c r="A326" s="32">
        <v>4382565</v>
      </c>
      <c r="B326" s="32">
        <v>1196</v>
      </c>
      <c r="C326" s="33" t="s">
        <v>412</v>
      </c>
      <c r="D326" s="35">
        <v>45448</v>
      </c>
      <c r="E326" s="32">
        <v>301</v>
      </c>
      <c r="F326" s="32">
        <v>30012204</v>
      </c>
      <c r="G326" s="32" t="s">
        <v>413</v>
      </c>
      <c r="H326" s="26" t="s">
        <v>38</v>
      </c>
      <c r="I326" s="36">
        <v>2</v>
      </c>
      <c r="J326" s="32">
        <f>IF(MB25_VOLUMETRIA[[#This Row],[Reserva]]="","",1)</f>
        <v>1</v>
      </c>
      <c r="K326" s="36" t="str">
        <f>IF(MB25_VOLUMETRIA[[#This Row],[Reserva]]="","",IFERROR(VLOOKUP(MB25_VOLUMETRIA[[#This Row],[UMB]],CHAVE[],2,FALSE),"VERIFICAR"))</f>
        <v>Unidade</v>
      </c>
      <c r="L326" s="32" t="str">
        <f>IF(MB25_VOLUMETRIA[[#This Row],[Reserva]]="","",IFERROR(VLOOKUP(MB25_VOLUMETRIA[[#This Row],[Reserva]],Tabela3[[Reserva]:[Condição para Faturamento]],20,FALSE),"IMPORTADO COM SUCESSO"))</f>
        <v>EM CONFERENCIA</v>
      </c>
      <c r="M326" s="32" t="str">
        <f ca="1">IFERROR(VLOOKUP(MB25_VOLUMETRIA[[#This Row],[Reserva]],RES_AB[],14,FALSE),"")</f>
        <v>PLANO DO DIA</v>
      </c>
      <c r="N326" s="32" t="str">
        <f>IF(MB25_VOLUMETRIA[[#This Row],[Cen.]]="","",IFERROR(VLOOKUP(MB25_VOLUMETRIA[[#This Row],[Cen.]],Dados_Empresas[],2,FALSE),"Verificar empresa"))</f>
        <v>OMR</v>
      </c>
      <c r="O32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7" spans="1:15" x14ac:dyDescent="0.25">
      <c r="A327" s="32">
        <v>4382566</v>
      </c>
      <c r="B327" s="32">
        <v>1196</v>
      </c>
      <c r="C327" s="33" t="s">
        <v>314</v>
      </c>
      <c r="D327" s="35">
        <v>45448</v>
      </c>
      <c r="E327" s="32">
        <v>301</v>
      </c>
      <c r="F327" s="32">
        <v>30014591</v>
      </c>
      <c r="G327" s="32" t="s">
        <v>408</v>
      </c>
      <c r="H327" s="26" t="s">
        <v>38</v>
      </c>
      <c r="I327" s="36">
        <v>1</v>
      </c>
      <c r="J327" s="32">
        <f>IF(MB25_VOLUMETRIA[[#This Row],[Reserva]]="","",1)</f>
        <v>1</v>
      </c>
      <c r="K327" s="36" t="str">
        <f>IF(MB25_VOLUMETRIA[[#This Row],[Reserva]]="","",IFERROR(VLOOKUP(MB25_VOLUMETRIA[[#This Row],[UMB]],CHAVE[],2,FALSE),"VERIFICAR"))</f>
        <v>Unidade</v>
      </c>
      <c r="L327" s="32" t="str">
        <f>IF(MB25_VOLUMETRIA[[#This Row],[Reserva]]="","",IFERROR(VLOOKUP(MB25_VOLUMETRIA[[#This Row],[Reserva]],Tabela3[[Reserva]:[Condição para Faturamento]],20,FALSE),"IMPORTADO COM SUCESSO"))</f>
        <v>EM CONFERENCIA</v>
      </c>
      <c r="M327" s="32" t="str">
        <f ca="1">IFERROR(VLOOKUP(MB25_VOLUMETRIA[[#This Row],[Reserva]],RES_AB[],14,FALSE),"")</f>
        <v>PLANO DO DIA</v>
      </c>
      <c r="N327" s="32" t="str">
        <f>IF(MB25_VOLUMETRIA[[#This Row],[Cen.]]="","",IFERROR(VLOOKUP(MB25_VOLUMETRIA[[#This Row],[Cen.]],Dados_Empresas[],2,FALSE),"Verificar empresa"))</f>
        <v>OMR</v>
      </c>
      <c r="O32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8" spans="1:15" x14ac:dyDescent="0.25">
      <c r="A328" s="32">
        <v>4382020</v>
      </c>
      <c r="B328" s="32">
        <v>1196</v>
      </c>
      <c r="C328" s="33" t="s">
        <v>309</v>
      </c>
      <c r="D328" s="35">
        <v>45449</v>
      </c>
      <c r="E328" s="32">
        <v>301</v>
      </c>
      <c r="F328" s="32">
        <v>50000136</v>
      </c>
      <c r="G328" s="32" t="s">
        <v>347</v>
      </c>
      <c r="H328" s="26" t="s">
        <v>38</v>
      </c>
      <c r="I328" s="36">
        <v>2</v>
      </c>
      <c r="J328" s="32">
        <f>IF(MB25_VOLUMETRIA[[#This Row],[Reserva]]="","",1)</f>
        <v>1</v>
      </c>
      <c r="K328" s="36" t="str">
        <f>IF(MB25_VOLUMETRIA[[#This Row],[Reserva]]="","",IFERROR(VLOOKUP(MB25_VOLUMETRIA[[#This Row],[UMB]],CHAVE[],2,FALSE),"VERIFICAR"))</f>
        <v>Unidade</v>
      </c>
      <c r="L328" s="32" t="str">
        <f>IF(MB25_VOLUMETRIA[[#This Row],[Reserva]]="","",IFERROR(VLOOKUP(MB25_VOLUMETRIA[[#This Row],[Reserva]],Tabela3[[Reserva]:[Condição para Faturamento]],20,FALSE),"IMPORTADO COM SUCESSO"))</f>
        <v>EM CONFERENCIA</v>
      </c>
      <c r="M328" s="32" t="str">
        <f ca="1">IFERROR(VLOOKUP(MB25_VOLUMETRIA[[#This Row],[Reserva]],RES_AB[],14,FALSE),"")</f>
        <v>RESERVAS PENDENTES</v>
      </c>
      <c r="N328" s="32" t="str">
        <f>IF(MB25_VOLUMETRIA[[#This Row],[Cen.]]="","",IFERROR(VLOOKUP(MB25_VOLUMETRIA[[#This Row],[Cen.]],Dados_Empresas[],2,FALSE),"Verificar empresa"))</f>
        <v>OMR</v>
      </c>
      <c r="O32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29" spans="1:15" x14ac:dyDescent="0.25">
      <c r="A329" s="32">
        <v>4382314</v>
      </c>
      <c r="B329" s="32">
        <v>1196</v>
      </c>
      <c r="C329" s="33" t="s">
        <v>309</v>
      </c>
      <c r="D329" s="35">
        <v>45449</v>
      </c>
      <c r="E329" s="32">
        <v>301</v>
      </c>
      <c r="F329" s="32">
        <v>24000554</v>
      </c>
      <c r="G329" s="32" t="s">
        <v>429</v>
      </c>
      <c r="H329" s="26" t="s">
        <v>38</v>
      </c>
      <c r="I329" s="36">
        <v>6</v>
      </c>
      <c r="J329" s="32">
        <f>IF(MB25_VOLUMETRIA[[#This Row],[Reserva]]="","",1)</f>
        <v>1</v>
      </c>
      <c r="K329" s="36" t="str">
        <f>IF(MB25_VOLUMETRIA[[#This Row],[Reserva]]="","",IFERROR(VLOOKUP(MB25_VOLUMETRIA[[#This Row],[UMB]],CHAVE[],2,FALSE),"VERIFICAR"))</f>
        <v>Unidade</v>
      </c>
      <c r="L329" s="32" t="str">
        <f>IF(MB25_VOLUMETRIA[[#This Row],[Reserva]]="","",IFERROR(VLOOKUP(MB25_VOLUMETRIA[[#This Row],[Reserva]],Tabela3[[Reserva]:[Condição para Faturamento]],20,FALSE),"IMPORTADO COM SUCESSO"))</f>
        <v>EM CONFERENCIA</v>
      </c>
      <c r="M329" s="32" t="str">
        <f ca="1">IFERROR(VLOOKUP(MB25_VOLUMETRIA[[#This Row],[Reserva]],RES_AB[],14,FALSE),"")</f>
        <v>RESERVAS PENDENTES</v>
      </c>
      <c r="N329" s="32" t="str">
        <f>IF(MB25_VOLUMETRIA[[#This Row],[Cen.]]="","",IFERROR(VLOOKUP(MB25_VOLUMETRIA[[#This Row],[Cen.]],Dados_Empresas[],2,FALSE),"Verificar empresa"))</f>
        <v>OMR</v>
      </c>
      <c r="O32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0" spans="1:15" x14ac:dyDescent="0.25">
      <c r="A330" s="32">
        <v>4382315</v>
      </c>
      <c r="B330" s="32">
        <v>1196</v>
      </c>
      <c r="C330" s="33" t="s">
        <v>309</v>
      </c>
      <c r="D330" s="35">
        <v>45449</v>
      </c>
      <c r="E330" s="32">
        <v>301</v>
      </c>
      <c r="F330" s="32">
        <v>10000463</v>
      </c>
      <c r="G330" s="32" t="s">
        <v>430</v>
      </c>
      <c r="H330" s="26" t="s">
        <v>38</v>
      </c>
      <c r="I330" s="36">
        <v>2</v>
      </c>
      <c r="J330" s="32">
        <f>IF(MB25_VOLUMETRIA[[#This Row],[Reserva]]="","",1)</f>
        <v>1</v>
      </c>
      <c r="K330" s="36" t="str">
        <f>IF(MB25_VOLUMETRIA[[#This Row],[Reserva]]="","",IFERROR(VLOOKUP(MB25_VOLUMETRIA[[#This Row],[UMB]],CHAVE[],2,FALSE),"VERIFICAR"))</f>
        <v>Unidade</v>
      </c>
      <c r="L330" s="32" t="str">
        <f>IF(MB25_VOLUMETRIA[[#This Row],[Reserva]]="","",IFERROR(VLOOKUP(MB25_VOLUMETRIA[[#This Row],[Reserva]],Tabela3[[Reserva]:[Condição para Faturamento]],20,FALSE),"IMPORTADO COM SUCESSO"))</f>
        <v>EM CONFERENCIA</v>
      </c>
      <c r="M330" s="32" t="str">
        <f ca="1">IFERROR(VLOOKUP(MB25_VOLUMETRIA[[#This Row],[Reserva]],RES_AB[],14,FALSE),"")</f>
        <v>RESERVAS PENDENTES</v>
      </c>
      <c r="N330" s="32" t="str">
        <f>IF(MB25_VOLUMETRIA[[#This Row],[Cen.]]="","",IFERROR(VLOOKUP(MB25_VOLUMETRIA[[#This Row],[Cen.]],Dados_Empresas[],2,FALSE),"Verificar empresa"))</f>
        <v>OMR</v>
      </c>
      <c r="O33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1" spans="1:15" x14ac:dyDescent="0.25">
      <c r="A331" s="32">
        <v>4382316</v>
      </c>
      <c r="B331" s="32">
        <v>1196</v>
      </c>
      <c r="C331" s="33" t="s">
        <v>309</v>
      </c>
      <c r="D331" s="35">
        <v>45449</v>
      </c>
      <c r="E331" s="32">
        <v>301</v>
      </c>
      <c r="F331" s="32">
        <v>24000554</v>
      </c>
      <c r="G331" s="32" t="s">
        <v>429</v>
      </c>
      <c r="H331" s="26" t="s">
        <v>38</v>
      </c>
      <c r="I331" s="36">
        <v>4</v>
      </c>
      <c r="J331" s="32">
        <f>IF(MB25_VOLUMETRIA[[#This Row],[Reserva]]="","",1)</f>
        <v>1</v>
      </c>
      <c r="K331" s="36" t="str">
        <f>IF(MB25_VOLUMETRIA[[#This Row],[Reserva]]="","",IFERROR(VLOOKUP(MB25_VOLUMETRIA[[#This Row],[UMB]],CHAVE[],2,FALSE),"VERIFICAR"))</f>
        <v>Unidade</v>
      </c>
      <c r="L331" s="32" t="str">
        <f>IF(MB25_VOLUMETRIA[[#This Row],[Reserva]]="","",IFERROR(VLOOKUP(MB25_VOLUMETRIA[[#This Row],[Reserva]],Tabela3[[Reserva]:[Condição para Faturamento]],20,FALSE),"IMPORTADO COM SUCESSO"))</f>
        <v>EM CONFERENCIA</v>
      </c>
      <c r="M331" s="32" t="str">
        <f ca="1">IFERROR(VLOOKUP(MB25_VOLUMETRIA[[#This Row],[Reserva]],RES_AB[],14,FALSE),"")</f>
        <v>RESERVAS PENDENTES</v>
      </c>
      <c r="N331" s="32" t="str">
        <f>IF(MB25_VOLUMETRIA[[#This Row],[Cen.]]="","",IFERROR(VLOOKUP(MB25_VOLUMETRIA[[#This Row],[Cen.]],Dados_Empresas[],2,FALSE),"Verificar empresa"))</f>
        <v>OMR</v>
      </c>
      <c r="O33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2" spans="1:15" x14ac:dyDescent="0.25">
      <c r="A332" s="32">
        <v>4382761</v>
      </c>
      <c r="B332" s="32">
        <v>1196</v>
      </c>
      <c r="C332" s="33" t="s">
        <v>309</v>
      </c>
      <c r="D332" s="35">
        <v>45449</v>
      </c>
      <c r="E332" s="32">
        <v>301</v>
      </c>
      <c r="F332" s="32">
        <v>50000136</v>
      </c>
      <c r="G332" s="32" t="s">
        <v>347</v>
      </c>
      <c r="H332" s="26" t="s">
        <v>38</v>
      </c>
      <c r="I332" s="36">
        <v>3</v>
      </c>
      <c r="J332" s="32">
        <f>IF(MB25_VOLUMETRIA[[#This Row],[Reserva]]="","",1)</f>
        <v>1</v>
      </c>
      <c r="K332" s="36" t="str">
        <f>IF(MB25_VOLUMETRIA[[#This Row],[Reserva]]="","",IFERROR(VLOOKUP(MB25_VOLUMETRIA[[#This Row],[UMB]],CHAVE[],2,FALSE),"VERIFICAR"))</f>
        <v>Unidade</v>
      </c>
      <c r="L332" s="32" t="str">
        <f>IF(MB25_VOLUMETRIA[[#This Row],[Reserva]]="","",IFERROR(VLOOKUP(MB25_VOLUMETRIA[[#This Row],[Reserva]],Tabela3[[Reserva]:[Condição para Faturamento]],20,FALSE),"IMPORTADO COM SUCESSO"))</f>
        <v>PEDIDO EM LABORATORIO</v>
      </c>
      <c r="M332" s="32" t="str">
        <f ca="1">IFERROR(VLOOKUP(MB25_VOLUMETRIA[[#This Row],[Reserva]],RES_AB[],14,FALSE),"")</f>
        <v>RESERVAS PENDENTES</v>
      </c>
      <c r="N332" s="32" t="str">
        <f>IF(MB25_VOLUMETRIA[[#This Row],[Cen.]]="","",IFERROR(VLOOKUP(MB25_VOLUMETRIA[[#This Row],[Cen.]],Dados_Empresas[],2,FALSE),"Verificar empresa"))</f>
        <v>OMR</v>
      </c>
      <c r="O33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3" spans="1:15" x14ac:dyDescent="0.25">
      <c r="A333" s="32">
        <v>4382762</v>
      </c>
      <c r="B333" s="32">
        <v>1196</v>
      </c>
      <c r="C333" s="33" t="s">
        <v>309</v>
      </c>
      <c r="D333" s="35">
        <v>45449</v>
      </c>
      <c r="E333" s="32">
        <v>301</v>
      </c>
      <c r="F333" s="32">
        <v>50000210</v>
      </c>
      <c r="G333" s="32" t="s">
        <v>422</v>
      </c>
      <c r="H333" s="26" t="s">
        <v>38</v>
      </c>
      <c r="I333" s="36">
        <v>1</v>
      </c>
      <c r="J333" s="32">
        <f>IF(MB25_VOLUMETRIA[[#This Row],[Reserva]]="","",1)</f>
        <v>1</v>
      </c>
      <c r="K333" s="36" t="str">
        <f>IF(MB25_VOLUMETRIA[[#This Row],[Reserva]]="","",IFERROR(VLOOKUP(MB25_VOLUMETRIA[[#This Row],[UMB]],CHAVE[],2,FALSE),"VERIFICAR"))</f>
        <v>Unidade</v>
      </c>
      <c r="L333" s="32" t="str">
        <f>IF(MB25_VOLUMETRIA[[#This Row],[Reserva]]="","",IFERROR(VLOOKUP(MB25_VOLUMETRIA[[#This Row],[Reserva]],Tabela3[[Reserva]:[Condição para Faturamento]],20,FALSE),"IMPORTADO COM SUCESSO"))</f>
        <v>EM CONFERENCIA</v>
      </c>
      <c r="M333" s="32" t="str">
        <f ca="1">IFERROR(VLOOKUP(MB25_VOLUMETRIA[[#This Row],[Reserva]],RES_AB[],14,FALSE),"")</f>
        <v>RESERVAS PENDENTES</v>
      </c>
      <c r="N333" s="32" t="str">
        <f>IF(MB25_VOLUMETRIA[[#This Row],[Cen.]]="","",IFERROR(VLOOKUP(MB25_VOLUMETRIA[[#This Row],[Cen.]],Dados_Empresas[],2,FALSE),"Verificar empresa"))</f>
        <v>OMR</v>
      </c>
      <c r="O33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4" spans="1:15" x14ac:dyDescent="0.25">
      <c r="A334" s="32">
        <v>4382762</v>
      </c>
      <c r="B334" s="32">
        <v>1196</v>
      </c>
      <c r="C334" s="33" t="s">
        <v>309</v>
      </c>
      <c r="D334" s="35">
        <v>45449</v>
      </c>
      <c r="E334" s="32">
        <v>301</v>
      </c>
      <c r="F334" s="32">
        <v>50000136</v>
      </c>
      <c r="G334" s="32" t="s">
        <v>347</v>
      </c>
      <c r="H334" s="26" t="s">
        <v>38</v>
      </c>
      <c r="I334" s="36">
        <v>1</v>
      </c>
      <c r="J334" s="32">
        <f>IF(MB25_VOLUMETRIA[[#This Row],[Reserva]]="","",1)</f>
        <v>1</v>
      </c>
      <c r="K334" s="36" t="str">
        <f>IF(MB25_VOLUMETRIA[[#This Row],[Reserva]]="","",IFERROR(VLOOKUP(MB25_VOLUMETRIA[[#This Row],[UMB]],CHAVE[],2,FALSE),"VERIFICAR"))</f>
        <v>Unidade</v>
      </c>
      <c r="L334" s="32" t="str">
        <f>IF(MB25_VOLUMETRIA[[#This Row],[Reserva]]="","",IFERROR(VLOOKUP(MB25_VOLUMETRIA[[#This Row],[Reserva]],Tabela3[[Reserva]:[Condição para Faturamento]],20,FALSE),"IMPORTADO COM SUCESSO"))</f>
        <v>EM CONFERENCIA</v>
      </c>
      <c r="M334" s="32" t="str">
        <f ca="1">IFERROR(VLOOKUP(MB25_VOLUMETRIA[[#This Row],[Reserva]],RES_AB[],14,FALSE),"")</f>
        <v>RESERVAS PENDENTES</v>
      </c>
      <c r="N334" s="32" t="str">
        <f>IF(MB25_VOLUMETRIA[[#This Row],[Cen.]]="","",IFERROR(VLOOKUP(MB25_VOLUMETRIA[[#This Row],[Cen.]],Dados_Empresas[],2,FALSE),"Verificar empresa"))</f>
        <v>OMR</v>
      </c>
      <c r="O33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5" spans="1:15" x14ac:dyDescent="0.25">
      <c r="A335" s="32">
        <v>4382764</v>
      </c>
      <c r="B335" s="32">
        <v>1196</v>
      </c>
      <c r="C335" s="33" t="s">
        <v>309</v>
      </c>
      <c r="D335" s="35">
        <v>45449</v>
      </c>
      <c r="E335" s="32">
        <v>301</v>
      </c>
      <c r="F335" s="32">
        <v>50000136</v>
      </c>
      <c r="G335" s="32" t="s">
        <v>347</v>
      </c>
      <c r="H335" s="26" t="s">
        <v>38</v>
      </c>
      <c r="I335" s="36">
        <v>1</v>
      </c>
      <c r="J335" s="32">
        <f>IF(MB25_VOLUMETRIA[[#This Row],[Reserva]]="","",1)</f>
        <v>1</v>
      </c>
      <c r="K335" s="36" t="str">
        <f>IF(MB25_VOLUMETRIA[[#This Row],[Reserva]]="","",IFERROR(VLOOKUP(MB25_VOLUMETRIA[[#This Row],[UMB]],CHAVE[],2,FALSE),"VERIFICAR"))</f>
        <v>Unidade</v>
      </c>
      <c r="L335" s="32" t="str">
        <f>IF(MB25_VOLUMETRIA[[#This Row],[Reserva]]="","",IFERROR(VLOOKUP(MB25_VOLUMETRIA[[#This Row],[Reserva]],Tabela3[[Reserva]:[Condição para Faturamento]],20,FALSE),"IMPORTADO COM SUCESSO"))</f>
        <v>EM CONFERENCIA</v>
      </c>
      <c r="M335" s="32" t="str">
        <f ca="1">IFERROR(VLOOKUP(MB25_VOLUMETRIA[[#This Row],[Reserva]],RES_AB[],14,FALSE),"")</f>
        <v>RESERVAS PENDENTES</v>
      </c>
      <c r="N335" s="32" t="str">
        <f>IF(MB25_VOLUMETRIA[[#This Row],[Cen.]]="","",IFERROR(VLOOKUP(MB25_VOLUMETRIA[[#This Row],[Cen.]],Dados_Empresas[],2,FALSE),"Verificar empresa"))</f>
        <v>OMR</v>
      </c>
      <c r="O33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6" spans="1:15" x14ac:dyDescent="0.25">
      <c r="A336" s="32">
        <v>4382765</v>
      </c>
      <c r="B336" s="32">
        <v>1196</v>
      </c>
      <c r="C336" s="33" t="s">
        <v>309</v>
      </c>
      <c r="D336" s="35">
        <v>45449</v>
      </c>
      <c r="E336" s="32">
        <v>301</v>
      </c>
      <c r="F336" s="32">
        <v>50000136</v>
      </c>
      <c r="G336" s="32" t="s">
        <v>347</v>
      </c>
      <c r="H336" s="26" t="s">
        <v>38</v>
      </c>
      <c r="I336" s="36">
        <v>2</v>
      </c>
      <c r="J336" s="32">
        <f>IF(MB25_VOLUMETRIA[[#This Row],[Reserva]]="","",1)</f>
        <v>1</v>
      </c>
      <c r="K336" s="36" t="str">
        <f>IF(MB25_VOLUMETRIA[[#This Row],[Reserva]]="","",IFERROR(VLOOKUP(MB25_VOLUMETRIA[[#This Row],[UMB]],CHAVE[],2,FALSE),"VERIFICAR"))</f>
        <v>Unidade</v>
      </c>
      <c r="L336" s="32" t="str">
        <f>IF(MB25_VOLUMETRIA[[#This Row],[Reserva]]="","",IFERROR(VLOOKUP(MB25_VOLUMETRIA[[#This Row],[Reserva]],Tabela3[[Reserva]:[Condição para Faturamento]],20,FALSE),"IMPORTADO COM SUCESSO"))</f>
        <v>EM CONFERENCIA</v>
      </c>
      <c r="M336" s="32" t="str">
        <f ca="1">IFERROR(VLOOKUP(MB25_VOLUMETRIA[[#This Row],[Reserva]],RES_AB[],14,FALSE),"")</f>
        <v>RESERVAS PENDENTES</v>
      </c>
      <c r="N336" s="32" t="str">
        <f>IF(MB25_VOLUMETRIA[[#This Row],[Cen.]]="","",IFERROR(VLOOKUP(MB25_VOLUMETRIA[[#This Row],[Cen.]],Dados_Empresas[],2,FALSE),"Verificar empresa"))</f>
        <v>OMR</v>
      </c>
      <c r="O33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7" spans="1:15" x14ac:dyDescent="0.25">
      <c r="A337" s="32">
        <v>4382771</v>
      </c>
      <c r="B337" s="32">
        <v>1196</v>
      </c>
      <c r="C337" s="33" t="s">
        <v>314</v>
      </c>
      <c r="D337" s="35">
        <v>45449</v>
      </c>
      <c r="E337" s="32">
        <v>301</v>
      </c>
      <c r="F337" s="32">
        <v>22001090</v>
      </c>
      <c r="G337" s="32" t="s">
        <v>436</v>
      </c>
      <c r="H337" s="26" t="s">
        <v>38</v>
      </c>
      <c r="I337" s="36">
        <v>1</v>
      </c>
      <c r="J337" s="32">
        <f>IF(MB25_VOLUMETRIA[[#This Row],[Reserva]]="","",1)</f>
        <v>1</v>
      </c>
      <c r="K337" s="36" t="str">
        <f>IF(MB25_VOLUMETRIA[[#This Row],[Reserva]]="","",IFERROR(VLOOKUP(MB25_VOLUMETRIA[[#This Row],[UMB]],CHAVE[],2,FALSE),"VERIFICAR"))</f>
        <v>Unidade</v>
      </c>
      <c r="L337" s="32" t="str">
        <f>IF(MB25_VOLUMETRIA[[#This Row],[Reserva]]="","",IFERROR(VLOOKUP(MB25_VOLUMETRIA[[#This Row],[Reserva]],Tabela3[[Reserva]:[Condição para Faturamento]],20,FALSE),"IMPORTADO COM SUCESSO"))</f>
        <v>EM CONFERENCIA</v>
      </c>
      <c r="M337" s="32" t="str">
        <f ca="1">IFERROR(VLOOKUP(MB25_VOLUMETRIA[[#This Row],[Reserva]],RES_AB[],14,FALSE),"")</f>
        <v>RESERVAS PENDENTES</v>
      </c>
      <c r="N337" s="32" t="str">
        <f>IF(MB25_VOLUMETRIA[[#This Row],[Cen.]]="","",IFERROR(VLOOKUP(MB25_VOLUMETRIA[[#This Row],[Cen.]],Dados_Empresas[],2,FALSE),"Verificar empresa"))</f>
        <v>OMR</v>
      </c>
      <c r="O33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8" spans="1:15" x14ac:dyDescent="0.25">
      <c r="A338" s="32">
        <v>4383049</v>
      </c>
      <c r="B338" s="32">
        <v>1196</v>
      </c>
      <c r="C338" s="33" t="s">
        <v>309</v>
      </c>
      <c r="D338" s="35">
        <v>45449</v>
      </c>
      <c r="E338" s="32">
        <v>301</v>
      </c>
      <c r="F338" s="32">
        <v>30014577</v>
      </c>
      <c r="G338" s="32" t="s">
        <v>437</v>
      </c>
      <c r="H338" s="26" t="s">
        <v>38</v>
      </c>
      <c r="I338" s="36">
        <v>1</v>
      </c>
      <c r="J338" s="32">
        <f>IF(MB25_VOLUMETRIA[[#This Row],[Reserva]]="","",1)</f>
        <v>1</v>
      </c>
      <c r="K338" s="36" t="str">
        <f>IF(MB25_VOLUMETRIA[[#This Row],[Reserva]]="","",IFERROR(VLOOKUP(MB25_VOLUMETRIA[[#This Row],[UMB]],CHAVE[],2,FALSE),"VERIFICAR"))</f>
        <v>Unidade</v>
      </c>
      <c r="L338" s="32" t="str">
        <f>IF(MB25_VOLUMETRIA[[#This Row],[Reserva]]="","",IFERROR(VLOOKUP(MB25_VOLUMETRIA[[#This Row],[Reserva]],Tabela3[[Reserva]:[Condição para Faturamento]],20,FALSE),"IMPORTADO COM SUCESSO"))</f>
        <v>EM CONFERENCIA</v>
      </c>
      <c r="M338" s="32" t="str">
        <f ca="1">IFERROR(VLOOKUP(MB25_VOLUMETRIA[[#This Row],[Reserva]],RES_AB[],14,FALSE),"")</f>
        <v>RESERVAS PENDENTES</v>
      </c>
      <c r="N338" s="32" t="str">
        <f>IF(MB25_VOLUMETRIA[[#This Row],[Cen.]]="","",IFERROR(VLOOKUP(MB25_VOLUMETRIA[[#This Row],[Cen.]],Dados_Empresas[],2,FALSE),"Verificar empresa"))</f>
        <v>OMR</v>
      </c>
      <c r="O33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39" spans="1:15" x14ac:dyDescent="0.25">
      <c r="A339" s="32">
        <v>4383049</v>
      </c>
      <c r="B339" s="32">
        <v>1196</v>
      </c>
      <c r="C339" s="33" t="s">
        <v>309</v>
      </c>
      <c r="D339" s="35">
        <v>45449</v>
      </c>
      <c r="E339" s="32">
        <v>301</v>
      </c>
      <c r="F339" s="32">
        <v>10000463</v>
      </c>
      <c r="G339" s="32" t="s">
        <v>430</v>
      </c>
      <c r="H339" s="26" t="s">
        <v>38</v>
      </c>
      <c r="I339" s="36">
        <v>1</v>
      </c>
      <c r="J339" s="32">
        <f>IF(MB25_VOLUMETRIA[[#This Row],[Reserva]]="","",1)</f>
        <v>1</v>
      </c>
      <c r="K339" s="36" t="str">
        <f>IF(MB25_VOLUMETRIA[[#This Row],[Reserva]]="","",IFERROR(VLOOKUP(MB25_VOLUMETRIA[[#This Row],[UMB]],CHAVE[],2,FALSE),"VERIFICAR"))</f>
        <v>Unidade</v>
      </c>
      <c r="L339" s="32" t="str">
        <f>IF(MB25_VOLUMETRIA[[#This Row],[Reserva]]="","",IFERROR(VLOOKUP(MB25_VOLUMETRIA[[#This Row],[Reserva]],Tabela3[[Reserva]:[Condição para Faturamento]],20,FALSE),"IMPORTADO COM SUCESSO"))</f>
        <v>EM CONFERENCIA</v>
      </c>
      <c r="M339" s="32" t="str">
        <f ca="1">IFERROR(VLOOKUP(MB25_VOLUMETRIA[[#This Row],[Reserva]],RES_AB[],14,FALSE),"")</f>
        <v>RESERVAS PENDENTES</v>
      </c>
      <c r="N339" s="32" t="str">
        <f>IF(MB25_VOLUMETRIA[[#This Row],[Cen.]]="","",IFERROR(VLOOKUP(MB25_VOLUMETRIA[[#This Row],[Cen.]],Dados_Empresas[],2,FALSE),"Verificar empresa"))</f>
        <v>OMR</v>
      </c>
      <c r="O339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0" spans="1:15" x14ac:dyDescent="0.25">
      <c r="A340" s="32">
        <v>4383049</v>
      </c>
      <c r="B340" s="32">
        <v>1196</v>
      </c>
      <c r="C340" s="33" t="s">
        <v>309</v>
      </c>
      <c r="D340" s="35">
        <v>45449</v>
      </c>
      <c r="E340" s="32">
        <v>301</v>
      </c>
      <c r="F340" s="32">
        <v>24000554</v>
      </c>
      <c r="G340" s="32" t="s">
        <v>429</v>
      </c>
      <c r="H340" s="26" t="s">
        <v>38</v>
      </c>
      <c r="I340" s="36">
        <v>1</v>
      </c>
      <c r="J340" s="32">
        <f>IF(MB25_VOLUMETRIA[[#This Row],[Reserva]]="","",1)</f>
        <v>1</v>
      </c>
      <c r="K340" s="36" t="str">
        <f>IF(MB25_VOLUMETRIA[[#This Row],[Reserva]]="","",IFERROR(VLOOKUP(MB25_VOLUMETRIA[[#This Row],[UMB]],CHAVE[],2,FALSE),"VERIFICAR"))</f>
        <v>Unidade</v>
      </c>
      <c r="L340" s="32" t="str">
        <f>IF(MB25_VOLUMETRIA[[#This Row],[Reserva]]="","",IFERROR(VLOOKUP(MB25_VOLUMETRIA[[#This Row],[Reserva]],Tabela3[[Reserva]:[Condição para Faturamento]],20,FALSE),"IMPORTADO COM SUCESSO"))</f>
        <v>EM CONFERENCIA</v>
      </c>
      <c r="M340" s="32" t="str">
        <f ca="1">IFERROR(VLOOKUP(MB25_VOLUMETRIA[[#This Row],[Reserva]],RES_AB[],14,FALSE),"")</f>
        <v>RESERVAS PENDENTES</v>
      </c>
      <c r="N340" s="32" t="str">
        <f>IF(MB25_VOLUMETRIA[[#This Row],[Cen.]]="","",IFERROR(VLOOKUP(MB25_VOLUMETRIA[[#This Row],[Cen.]],Dados_Empresas[],2,FALSE),"Verificar empresa"))</f>
        <v>OMR</v>
      </c>
      <c r="O340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1" spans="1:15" x14ac:dyDescent="0.25">
      <c r="A341" s="32">
        <v>4383113</v>
      </c>
      <c r="B341" s="32">
        <v>1196</v>
      </c>
      <c r="C341" s="33" t="s">
        <v>309</v>
      </c>
      <c r="D341" s="35">
        <v>45449</v>
      </c>
      <c r="E341" s="32">
        <v>301</v>
      </c>
      <c r="F341" s="32">
        <v>30062410</v>
      </c>
      <c r="G341" s="32" t="s">
        <v>439</v>
      </c>
      <c r="H341" s="26" t="s">
        <v>38</v>
      </c>
      <c r="I341" s="36">
        <v>1</v>
      </c>
      <c r="J341" s="32">
        <f>IF(MB25_VOLUMETRIA[[#This Row],[Reserva]]="","",1)</f>
        <v>1</v>
      </c>
      <c r="K341" s="36" t="str">
        <f>IF(MB25_VOLUMETRIA[[#This Row],[Reserva]]="","",IFERROR(VLOOKUP(MB25_VOLUMETRIA[[#This Row],[UMB]],CHAVE[],2,FALSE),"VERIFICAR"))</f>
        <v>Unidade</v>
      </c>
      <c r="L341" s="32" t="str">
        <f>IF(MB25_VOLUMETRIA[[#This Row],[Reserva]]="","",IFERROR(VLOOKUP(MB25_VOLUMETRIA[[#This Row],[Reserva]],Tabela3[[Reserva]:[Condição para Faturamento]],20,FALSE),"IMPORTADO COM SUCESSO"))</f>
        <v>EM CONFERENCIA</v>
      </c>
      <c r="M341" s="32" t="str">
        <f ca="1">IFERROR(VLOOKUP(MB25_VOLUMETRIA[[#This Row],[Reserva]],RES_AB[],14,FALSE),"")</f>
        <v>RESERVAS PENDENTES</v>
      </c>
      <c r="N341" s="32" t="str">
        <f>IF(MB25_VOLUMETRIA[[#This Row],[Cen.]]="","",IFERROR(VLOOKUP(MB25_VOLUMETRIA[[#This Row],[Cen.]],Dados_Empresas[],2,FALSE),"Verificar empresa"))</f>
        <v>OMR</v>
      </c>
      <c r="O341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2" spans="1:15" x14ac:dyDescent="0.25">
      <c r="A342" s="32">
        <v>4383120</v>
      </c>
      <c r="B342" s="32">
        <v>1196</v>
      </c>
      <c r="C342" s="33" t="s">
        <v>309</v>
      </c>
      <c r="D342" s="35">
        <v>45449</v>
      </c>
      <c r="E342" s="32">
        <v>301</v>
      </c>
      <c r="F342" s="32">
        <v>30014087</v>
      </c>
      <c r="G342" s="32" t="s">
        <v>440</v>
      </c>
      <c r="H342" s="26" t="s">
        <v>38</v>
      </c>
      <c r="I342" s="36">
        <v>1</v>
      </c>
      <c r="J342" s="32">
        <f>IF(MB25_VOLUMETRIA[[#This Row],[Reserva]]="","",1)</f>
        <v>1</v>
      </c>
      <c r="K342" s="36" t="str">
        <f>IF(MB25_VOLUMETRIA[[#This Row],[Reserva]]="","",IFERROR(VLOOKUP(MB25_VOLUMETRIA[[#This Row],[UMB]],CHAVE[],2,FALSE),"VERIFICAR"))</f>
        <v>Unidade</v>
      </c>
      <c r="L342" s="32" t="str">
        <f>IF(MB25_VOLUMETRIA[[#This Row],[Reserva]]="","",IFERROR(VLOOKUP(MB25_VOLUMETRIA[[#This Row],[Reserva]],Tabela3[[Reserva]:[Condição para Faturamento]],20,FALSE),"IMPORTADO COM SUCESSO"))</f>
        <v>EM CONFERENCIA</v>
      </c>
      <c r="M342" s="32" t="str">
        <f ca="1">IFERROR(VLOOKUP(MB25_VOLUMETRIA[[#This Row],[Reserva]],RES_AB[],14,FALSE),"")</f>
        <v>RESERVAS PENDENTES</v>
      </c>
      <c r="N342" s="32" t="str">
        <f>IF(MB25_VOLUMETRIA[[#This Row],[Cen.]]="","",IFERROR(VLOOKUP(MB25_VOLUMETRIA[[#This Row],[Cen.]],Dados_Empresas[],2,FALSE),"Verificar empresa"))</f>
        <v>OMR</v>
      </c>
      <c r="O342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3" spans="1:15" x14ac:dyDescent="0.25">
      <c r="A343" s="32">
        <v>4383120</v>
      </c>
      <c r="B343" s="32">
        <v>1196</v>
      </c>
      <c r="C343" s="33" t="s">
        <v>309</v>
      </c>
      <c r="D343" s="35">
        <v>45449</v>
      </c>
      <c r="E343" s="32">
        <v>301</v>
      </c>
      <c r="F343" s="32">
        <v>30062404</v>
      </c>
      <c r="G343" s="32" t="s">
        <v>441</v>
      </c>
      <c r="H343" s="26" t="s">
        <v>38</v>
      </c>
      <c r="I343" s="36">
        <v>1</v>
      </c>
      <c r="J343" s="32">
        <f>IF(MB25_VOLUMETRIA[[#This Row],[Reserva]]="","",1)</f>
        <v>1</v>
      </c>
      <c r="K343" s="36" t="str">
        <f>IF(MB25_VOLUMETRIA[[#This Row],[Reserva]]="","",IFERROR(VLOOKUP(MB25_VOLUMETRIA[[#This Row],[UMB]],CHAVE[],2,FALSE),"VERIFICAR"))</f>
        <v>Unidade</v>
      </c>
      <c r="L343" s="32" t="str">
        <f>IF(MB25_VOLUMETRIA[[#This Row],[Reserva]]="","",IFERROR(VLOOKUP(MB25_VOLUMETRIA[[#This Row],[Reserva]],Tabela3[[Reserva]:[Condição para Faturamento]],20,FALSE),"IMPORTADO COM SUCESSO"))</f>
        <v>EM CONFERENCIA</v>
      </c>
      <c r="M343" s="32" t="str">
        <f ca="1">IFERROR(VLOOKUP(MB25_VOLUMETRIA[[#This Row],[Reserva]],RES_AB[],14,FALSE),"")</f>
        <v>RESERVAS PENDENTES</v>
      </c>
      <c r="N343" s="32" t="str">
        <f>IF(MB25_VOLUMETRIA[[#This Row],[Cen.]]="","",IFERROR(VLOOKUP(MB25_VOLUMETRIA[[#This Row],[Cen.]],Dados_Empresas[],2,FALSE),"Verificar empresa"))</f>
        <v>OMR</v>
      </c>
      <c r="O343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4" spans="1:15" x14ac:dyDescent="0.25">
      <c r="A344" s="32">
        <v>4383136</v>
      </c>
      <c r="B344" s="32">
        <v>1196</v>
      </c>
      <c r="C344" s="33" t="s">
        <v>309</v>
      </c>
      <c r="D344" s="35">
        <v>45449</v>
      </c>
      <c r="E344" s="32">
        <v>301</v>
      </c>
      <c r="F344" s="32">
        <v>30061416</v>
      </c>
      <c r="G344" s="32" t="s">
        <v>462</v>
      </c>
      <c r="H344" s="26" t="s">
        <v>38</v>
      </c>
      <c r="I344" s="36">
        <v>1</v>
      </c>
      <c r="J344" s="32">
        <f>IF(MB25_VOLUMETRIA[[#This Row],[Reserva]]="","",1)</f>
        <v>1</v>
      </c>
      <c r="K344" s="36" t="str">
        <f>IF(MB25_VOLUMETRIA[[#This Row],[Reserva]]="","",IFERROR(VLOOKUP(MB25_VOLUMETRIA[[#This Row],[UMB]],CHAVE[],2,FALSE),"VERIFICAR"))</f>
        <v>Unidade</v>
      </c>
      <c r="L344" s="32" t="str">
        <f>IF(MB25_VOLUMETRIA[[#This Row],[Reserva]]="","",IFERROR(VLOOKUP(MB25_VOLUMETRIA[[#This Row],[Reserva]],Tabela3[[Reserva]:[Condição para Faturamento]],20,FALSE),"IMPORTADO COM SUCESSO"))</f>
        <v>EM CONFERENCIA</v>
      </c>
      <c r="M344" s="32" t="str">
        <f ca="1">IFERROR(VLOOKUP(MB25_VOLUMETRIA[[#This Row],[Reserva]],RES_AB[],14,FALSE),"")</f>
        <v>RESERVAS PENDENTES</v>
      </c>
      <c r="N344" s="32" t="str">
        <f>IF(MB25_VOLUMETRIA[[#This Row],[Cen.]]="","",IFERROR(VLOOKUP(MB25_VOLUMETRIA[[#This Row],[Cen.]],Dados_Empresas[],2,FALSE),"Verificar empresa"))</f>
        <v>OMR</v>
      </c>
      <c r="O344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5" spans="1:15" x14ac:dyDescent="0.25">
      <c r="A345" s="32">
        <v>4383162</v>
      </c>
      <c r="B345" s="32">
        <v>1196</v>
      </c>
      <c r="C345" s="33" t="s">
        <v>309</v>
      </c>
      <c r="D345" s="35">
        <v>45449</v>
      </c>
      <c r="E345" s="32">
        <v>301</v>
      </c>
      <c r="F345" s="32">
        <v>30014293</v>
      </c>
      <c r="G345" s="32" t="s">
        <v>442</v>
      </c>
      <c r="H345" s="26" t="s">
        <v>38</v>
      </c>
      <c r="I345" s="36">
        <v>1</v>
      </c>
      <c r="J345" s="32">
        <f>IF(MB25_VOLUMETRIA[[#This Row],[Reserva]]="","",1)</f>
        <v>1</v>
      </c>
      <c r="K345" s="36" t="str">
        <f>IF(MB25_VOLUMETRIA[[#This Row],[Reserva]]="","",IFERROR(VLOOKUP(MB25_VOLUMETRIA[[#This Row],[UMB]],CHAVE[],2,FALSE),"VERIFICAR"))</f>
        <v>Unidade</v>
      </c>
      <c r="L345" s="32" t="str">
        <f>IF(MB25_VOLUMETRIA[[#This Row],[Reserva]]="","",IFERROR(VLOOKUP(MB25_VOLUMETRIA[[#This Row],[Reserva]],Tabela3[[Reserva]:[Condição para Faturamento]],20,FALSE),"IMPORTADO COM SUCESSO"))</f>
        <v>EM CONFERENCIA</v>
      </c>
      <c r="M345" s="32" t="str">
        <f ca="1">IFERROR(VLOOKUP(MB25_VOLUMETRIA[[#This Row],[Reserva]],RES_AB[],14,FALSE),"")</f>
        <v>RESERVAS PENDENTES</v>
      </c>
      <c r="N345" s="32" t="str">
        <f>IF(MB25_VOLUMETRIA[[#This Row],[Cen.]]="","",IFERROR(VLOOKUP(MB25_VOLUMETRIA[[#This Row],[Cen.]],Dados_Empresas[],2,FALSE),"Verificar empresa"))</f>
        <v>OMR</v>
      </c>
      <c r="O345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6" spans="1:15" x14ac:dyDescent="0.25">
      <c r="A346" s="32">
        <v>4383164</v>
      </c>
      <c r="B346" s="32">
        <v>1196</v>
      </c>
      <c r="C346" s="33" t="s">
        <v>309</v>
      </c>
      <c r="D346" s="35">
        <v>45449</v>
      </c>
      <c r="E346" s="32">
        <v>301</v>
      </c>
      <c r="F346" s="32">
        <v>30014293</v>
      </c>
      <c r="G346" s="32" t="s">
        <v>442</v>
      </c>
      <c r="H346" s="26" t="s">
        <v>38</v>
      </c>
      <c r="I346" s="36">
        <v>1</v>
      </c>
      <c r="J346" s="32">
        <f>IF(MB25_VOLUMETRIA[[#This Row],[Reserva]]="","",1)</f>
        <v>1</v>
      </c>
      <c r="K346" s="36" t="str">
        <f>IF(MB25_VOLUMETRIA[[#This Row],[Reserva]]="","",IFERROR(VLOOKUP(MB25_VOLUMETRIA[[#This Row],[UMB]],CHAVE[],2,FALSE),"VERIFICAR"))</f>
        <v>Unidade</v>
      </c>
      <c r="L346" s="32" t="str">
        <f>IF(MB25_VOLUMETRIA[[#This Row],[Reserva]]="","",IFERROR(VLOOKUP(MB25_VOLUMETRIA[[#This Row],[Reserva]],Tabela3[[Reserva]:[Condição para Faturamento]],20,FALSE),"IMPORTADO COM SUCESSO"))</f>
        <v>EM CONFERENCIA</v>
      </c>
      <c r="M346" s="32" t="str">
        <f ca="1">IFERROR(VLOOKUP(MB25_VOLUMETRIA[[#This Row],[Reserva]],RES_AB[],14,FALSE),"")</f>
        <v>RESERVAS PENDENTES</v>
      </c>
      <c r="N346" s="32" t="str">
        <f>IF(MB25_VOLUMETRIA[[#This Row],[Cen.]]="","",IFERROR(VLOOKUP(MB25_VOLUMETRIA[[#This Row],[Cen.]],Dados_Empresas[],2,FALSE),"Verificar empresa"))</f>
        <v>OMR</v>
      </c>
      <c r="O346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7" spans="1:15" x14ac:dyDescent="0.25">
      <c r="A347" s="32">
        <v>4383567</v>
      </c>
      <c r="B347" s="32">
        <v>1196</v>
      </c>
      <c r="C347" s="33" t="s">
        <v>309</v>
      </c>
      <c r="D347" s="35">
        <v>45449</v>
      </c>
      <c r="E347" s="32">
        <v>301</v>
      </c>
      <c r="F347" s="32">
        <v>30014067</v>
      </c>
      <c r="G347" s="32" t="s">
        <v>463</v>
      </c>
      <c r="H347" s="26" t="s">
        <v>38</v>
      </c>
      <c r="I347" s="36">
        <v>1</v>
      </c>
      <c r="J347" s="32">
        <f>IF(MB25_VOLUMETRIA[[#This Row],[Reserva]]="","",1)</f>
        <v>1</v>
      </c>
      <c r="K347" s="36" t="str">
        <f>IF(MB25_VOLUMETRIA[[#This Row],[Reserva]]="","",IFERROR(VLOOKUP(MB25_VOLUMETRIA[[#This Row],[UMB]],CHAVE[],2,FALSE),"VERIFICAR"))</f>
        <v>Unidade</v>
      </c>
      <c r="L347" s="32" t="str">
        <f>IF(MB25_VOLUMETRIA[[#This Row],[Reserva]]="","",IFERROR(VLOOKUP(MB25_VOLUMETRIA[[#This Row],[Reserva]],Tabela3[[Reserva]:[Condição para Faturamento]],20,FALSE),"IMPORTADO COM SUCESSO"))</f>
        <v>EM CONFERENCIA</v>
      </c>
      <c r="M347" s="32" t="str">
        <f ca="1">IFERROR(VLOOKUP(MB25_VOLUMETRIA[[#This Row],[Reserva]],RES_AB[],14,FALSE),"")</f>
        <v>RESERVAS PENDENTES</v>
      </c>
      <c r="N347" s="32" t="str">
        <f>IF(MB25_VOLUMETRIA[[#This Row],[Cen.]]="","",IFERROR(VLOOKUP(MB25_VOLUMETRIA[[#This Row],[Cen.]],Dados_Empresas[],2,FALSE),"Verificar empresa"))</f>
        <v>OMR</v>
      </c>
      <c r="O347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8" spans="1:15" x14ac:dyDescent="0.25">
      <c r="A348" s="32">
        <v>4383568</v>
      </c>
      <c r="B348" s="32">
        <v>1196</v>
      </c>
      <c r="C348" s="33" t="s">
        <v>309</v>
      </c>
      <c r="D348" s="35">
        <v>45449</v>
      </c>
      <c r="E348" s="32">
        <v>301</v>
      </c>
      <c r="F348" s="32">
        <v>30014093</v>
      </c>
      <c r="G348" s="32" t="s">
        <v>498</v>
      </c>
      <c r="H348" s="26" t="s">
        <v>38</v>
      </c>
      <c r="I348" s="36">
        <v>1</v>
      </c>
      <c r="J348" s="32">
        <f>IF(MB25_VOLUMETRIA[[#This Row],[Reserva]]="","",1)</f>
        <v>1</v>
      </c>
      <c r="K348" s="36" t="str">
        <f>IF(MB25_VOLUMETRIA[[#This Row],[Reserva]]="","",IFERROR(VLOOKUP(MB25_VOLUMETRIA[[#This Row],[UMB]],CHAVE[],2,FALSE),"VERIFICAR"))</f>
        <v>Unidade</v>
      </c>
      <c r="L348" s="32" t="str">
        <f>IF(MB25_VOLUMETRIA[[#This Row],[Reserva]]="","",IFERROR(VLOOKUP(MB25_VOLUMETRIA[[#This Row],[Reserva]],Tabela3[[Reserva]:[Condição para Faturamento]],20,FALSE),"IMPORTADO COM SUCESSO"))</f>
        <v>EM CONFERENCIA</v>
      </c>
      <c r="M348" s="32" t="str">
        <f ca="1">IFERROR(VLOOKUP(MB25_VOLUMETRIA[[#This Row],[Reserva]],RES_AB[],14,FALSE),"")</f>
        <v>RESERVAS PENDENTES</v>
      </c>
      <c r="N348" s="32" t="str">
        <f>IF(MB25_VOLUMETRIA[[#This Row],[Cen.]]="","",IFERROR(VLOOKUP(MB25_VOLUMETRIA[[#This Row],[Cen.]],Dados_Empresas[],2,FALSE),"Verificar empresa"))</f>
        <v>OMR</v>
      </c>
      <c r="O348" s="32" t="str">
        <f>IF(MB25_VOLUMETRIA[[#This Row],[EMPRESA]]="","",IF(OR(MB25_VOLUMETRIA[[#This Row],[EMPRESA]]="NET MASSIVO",MB25_VOLUMETRIA[[#This Row],[EMPRESA]]="NET PROJETOS"),"NET","EMPRESARIAL"))</f>
        <v>EMPRESARIAL</v>
      </c>
    </row>
    <row r="349" spans="1:15" x14ac:dyDescent="0.25">
      <c r="A349" s="32">
        <v>4378638</v>
      </c>
      <c r="B349" s="32" t="s">
        <v>21</v>
      </c>
      <c r="C349" s="33" t="s">
        <v>19</v>
      </c>
      <c r="D349" s="35">
        <v>45446</v>
      </c>
      <c r="E349" s="32" t="s">
        <v>185</v>
      </c>
      <c r="F349" s="32">
        <v>22026249</v>
      </c>
      <c r="G349" s="32" t="s">
        <v>186</v>
      </c>
      <c r="H349" s="26" t="s">
        <v>38</v>
      </c>
      <c r="I349" s="36">
        <v>40</v>
      </c>
      <c r="J349" s="32">
        <f>IF(MB25_VOLUMETRIA[[#This Row],[Reserva]]="","",1)</f>
        <v>1</v>
      </c>
      <c r="K349" s="36" t="str">
        <f>IF(MB25_VOLUMETRIA[[#This Row],[Reserva]]="","",IFERROR(VLOOKUP(MB25_VOLUMETRIA[[#This Row],[UMB]],CHAVE[],2,FALSE),"VERIFICAR"))</f>
        <v>Unidade</v>
      </c>
      <c r="L349" s="32" t="str">
        <f>IF(MB25_VOLUMETRIA[[#This Row],[Reserva]]="","",IFERROR(VLOOKUP(MB25_VOLUMETRIA[[#This Row],[Reserva]],Tabela3[[Reserva]:[Condição para Faturamento]],20,FALSE),"IMPORTADO COM SUCESSO"))</f>
        <v>EM CONFERENCIA</v>
      </c>
      <c r="M349" s="32" t="str">
        <f ca="1">IFERROR(VLOOKUP(MB25_VOLUMETRIA[[#This Row],[Reserva]],RES_AB[],14,FALSE),"")</f>
        <v>RESERVAS EM ATRASO</v>
      </c>
      <c r="N349" s="32" t="str">
        <f>IF(MB25_VOLUMETRIA[[#This Row],[Cen.]]="","",IFERROR(VLOOKUP(MB25_VOLUMETRIA[[#This Row],[Cen.]],Dados_Empresas[],2,FALSE),"Verificar empresa"))</f>
        <v>NET MASSIVO</v>
      </c>
      <c r="O349" s="32" t="str">
        <f>IF(MB25_VOLUMETRIA[[#This Row],[EMPRESA]]="","",IF(OR(MB25_VOLUMETRIA[[#This Row],[EMPRESA]]="NET MASSIVO",MB25_VOLUMETRIA[[#This Row],[EMPRESA]]="NET PROJETOS"),"NET","EMPRESARIAL"))</f>
        <v>NET</v>
      </c>
    </row>
    <row r="350" spans="1:15" x14ac:dyDescent="0.25">
      <c r="A350" s="32">
        <v>4378638</v>
      </c>
      <c r="B350" s="32" t="s">
        <v>21</v>
      </c>
      <c r="C350" s="33" t="s">
        <v>19</v>
      </c>
      <c r="D350" s="35">
        <v>45446</v>
      </c>
      <c r="E350" s="32" t="s">
        <v>185</v>
      </c>
      <c r="F350" s="32">
        <v>22057705</v>
      </c>
      <c r="G350" s="32" t="s">
        <v>241</v>
      </c>
      <c r="H350" s="26" t="s">
        <v>38</v>
      </c>
      <c r="I350" s="36">
        <v>100</v>
      </c>
      <c r="J350" s="32">
        <f>IF(MB25_VOLUMETRIA[[#This Row],[Reserva]]="","",1)</f>
        <v>1</v>
      </c>
      <c r="K350" s="36" t="str">
        <f>IF(MB25_VOLUMETRIA[[#This Row],[Reserva]]="","",IFERROR(VLOOKUP(MB25_VOLUMETRIA[[#This Row],[UMB]],CHAVE[],2,FALSE),"VERIFICAR"))</f>
        <v>Unidade</v>
      </c>
      <c r="L350" s="32" t="str">
        <f>IF(MB25_VOLUMETRIA[[#This Row],[Reserva]]="","",IFERROR(VLOOKUP(MB25_VOLUMETRIA[[#This Row],[Reserva]],Tabela3[[Reserva]:[Condição para Faturamento]],20,FALSE),"IMPORTADO COM SUCESSO"))</f>
        <v>EM CONFERENCIA</v>
      </c>
      <c r="M350" s="32" t="str">
        <f ca="1">IFERROR(VLOOKUP(MB25_VOLUMETRIA[[#This Row],[Reserva]],RES_AB[],14,FALSE),"")</f>
        <v>RESERVAS EM ATRASO</v>
      </c>
      <c r="N350" s="32" t="str">
        <f>IF(MB25_VOLUMETRIA[[#This Row],[Cen.]]="","",IFERROR(VLOOKUP(MB25_VOLUMETRIA[[#This Row],[Cen.]],Dados_Empresas[],2,FALSE),"Verificar empresa"))</f>
        <v>NET MASSIVO</v>
      </c>
      <c r="O350" s="32" t="str">
        <f>IF(MB25_VOLUMETRIA[[#This Row],[EMPRESA]]="","",IF(OR(MB25_VOLUMETRIA[[#This Row],[EMPRESA]]="NET MASSIVO",MB25_VOLUMETRIA[[#This Row],[EMPRESA]]="NET PROJETOS"),"NET","EMPRESARIAL"))</f>
        <v>NET</v>
      </c>
    </row>
    <row r="351" spans="1:15" x14ac:dyDescent="0.25">
      <c r="A351" s="32">
        <v>4378638</v>
      </c>
      <c r="B351" s="32" t="s">
        <v>21</v>
      </c>
      <c r="C351" s="33" t="s">
        <v>19</v>
      </c>
      <c r="D351" s="35">
        <v>45446</v>
      </c>
      <c r="E351" s="32" t="s">
        <v>185</v>
      </c>
      <c r="F351" s="32">
        <v>22058239</v>
      </c>
      <c r="G351" s="32" t="s">
        <v>317</v>
      </c>
      <c r="H351" s="26" t="s">
        <v>38</v>
      </c>
      <c r="I351" s="36">
        <v>40</v>
      </c>
      <c r="J351" s="32">
        <f>IF(MB25_VOLUMETRIA[[#This Row],[Reserva]]="","",1)</f>
        <v>1</v>
      </c>
      <c r="K351" s="36" t="str">
        <f>IF(MB25_VOLUMETRIA[[#This Row],[Reserva]]="","",IFERROR(VLOOKUP(MB25_VOLUMETRIA[[#This Row],[UMB]],CHAVE[],2,FALSE),"VERIFICAR"))</f>
        <v>Unidade</v>
      </c>
      <c r="L351" s="32" t="str">
        <f>IF(MB25_VOLUMETRIA[[#This Row],[Reserva]]="","",IFERROR(VLOOKUP(MB25_VOLUMETRIA[[#This Row],[Reserva]],Tabela3[[Reserva]:[Condição para Faturamento]],20,FALSE),"IMPORTADO COM SUCESSO"))</f>
        <v>EM CONFERENCIA</v>
      </c>
      <c r="M351" s="32" t="str">
        <f ca="1">IFERROR(VLOOKUP(MB25_VOLUMETRIA[[#This Row],[Reserva]],RES_AB[],14,FALSE),"")</f>
        <v>RESERVAS EM ATRASO</v>
      </c>
      <c r="N351" s="32" t="str">
        <f>IF(MB25_VOLUMETRIA[[#This Row],[Cen.]]="","",IFERROR(VLOOKUP(MB25_VOLUMETRIA[[#This Row],[Cen.]],Dados_Empresas[],2,FALSE),"Verificar empresa"))</f>
        <v>NET MASSIVO</v>
      </c>
      <c r="O351" s="32" t="str">
        <f>IF(MB25_VOLUMETRIA[[#This Row],[EMPRESA]]="","",IF(OR(MB25_VOLUMETRIA[[#This Row],[EMPRESA]]="NET MASSIVO",MB25_VOLUMETRIA[[#This Row],[EMPRESA]]="NET PROJETOS"),"NET","EMPRESARIAL"))</f>
        <v>NET</v>
      </c>
    </row>
    <row r="352" spans="1:15" x14ac:dyDescent="0.25">
      <c r="A352" s="32">
        <v>4378638</v>
      </c>
      <c r="B352" s="32" t="s">
        <v>21</v>
      </c>
      <c r="C352" s="33" t="s">
        <v>21</v>
      </c>
      <c r="D352" s="35">
        <v>45446</v>
      </c>
      <c r="E352" s="32" t="s">
        <v>185</v>
      </c>
      <c r="F352" s="32">
        <v>22058258</v>
      </c>
      <c r="G352" s="32" t="s">
        <v>187</v>
      </c>
      <c r="H352" s="26" t="s">
        <v>38</v>
      </c>
      <c r="I352" s="36">
        <v>80</v>
      </c>
      <c r="J352" s="32">
        <f>IF(MB25_VOLUMETRIA[[#This Row],[Reserva]]="","",1)</f>
        <v>1</v>
      </c>
      <c r="K352" s="36" t="str">
        <f>IF(MB25_VOLUMETRIA[[#This Row],[Reserva]]="","",IFERROR(VLOOKUP(MB25_VOLUMETRIA[[#This Row],[UMB]],CHAVE[],2,FALSE),"VERIFICAR"))</f>
        <v>Unidade</v>
      </c>
      <c r="L352" s="32" t="str">
        <f>IF(MB25_VOLUMETRIA[[#This Row],[Reserva]]="","",IFERROR(VLOOKUP(MB25_VOLUMETRIA[[#This Row],[Reserva]],Tabela3[[Reserva]:[Condição para Faturamento]],20,FALSE),"IMPORTADO COM SUCESSO"))</f>
        <v>EM CONFERENCIA</v>
      </c>
      <c r="M352" s="32" t="str">
        <f ca="1">IFERROR(VLOOKUP(MB25_VOLUMETRIA[[#This Row],[Reserva]],RES_AB[],14,FALSE),"")</f>
        <v>RESERVAS EM ATRASO</v>
      </c>
      <c r="N352" s="32" t="str">
        <f>IF(MB25_VOLUMETRIA[[#This Row],[Cen.]]="","",IFERROR(VLOOKUP(MB25_VOLUMETRIA[[#This Row],[Cen.]],Dados_Empresas[],2,FALSE),"Verificar empresa"))</f>
        <v>NET MASSIVO</v>
      </c>
      <c r="O352" s="32" t="str">
        <f>IF(MB25_VOLUMETRIA[[#This Row],[EMPRESA]]="","",IF(OR(MB25_VOLUMETRIA[[#This Row],[EMPRESA]]="NET MASSIVO",MB25_VOLUMETRIA[[#This Row],[EMPRESA]]="NET PROJETOS"),"NET","EMPRESARIAL"))</f>
        <v>NET</v>
      </c>
    </row>
    <row r="353" spans="1:15" x14ac:dyDescent="0.25">
      <c r="A353" s="32">
        <v>4379585</v>
      </c>
      <c r="B353" s="32" t="s">
        <v>21</v>
      </c>
      <c r="C353" s="33" t="s">
        <v>19</v>
      </c>
      <c r="D353" s="35">
        <v>45446</v>
      </c>
      <c r="E353" s="32" t="s">
        <v>184</v>
      </c>
      <c r="F353" s="32">
        <v>41000805</v>
      </c>
      <c r="G353" s="32" t="s">
        <v>188</v>
      </c>
      <c r="H353" s="26" t="s">
        <v>38</v>
      </c>
      <c r="I353" s="36">
        <v>200</v>
      </c>
      <c r="J353" s="32">
        <f>IF(MB25_VOLUMETRIA[[#This Row],[Reserva]]="","",1)</f>
        <v>1</v>
      </c>
      <c r="K353" s="36" t="str">
        <f>IF(MB25_VOLUMETRIA[[#This Row],[Reserva]]="","",IFERROR(VLOOKUP(MB25_VOLUMETRIA[[#This Row],[UMB]],CHAVE[],2,FALSE),"VERIFICAR"))</f>
        <v>Unidade</v>
      </c>
      <c r="L353" s="32" t="str">
        <f>IF(MB25_VOLUMETRIA[[#This Row],[Reserva]]="","",IFERROR(VLOOKUP(MB25_VOLUMETRIA[[#This Row],[Reserva]],Tabela3[[Reserva]:[Condição para Faturamento]],20,FALSE),"IMPORTADO COM SUCESSO"))</f>
        <v>EM CONFERENCIA</v>
      </c>
      <c r="M353" s="32" t="str">
        <f ca="1">IFERROR(VLOOKUP(MB25_VOLUMETRIA[[#This Row],[Reserva]],RES_AB[],14,FALSE),"")</f>
        <v>RESERVAS EM ATRASO</v>
      </c>
      <c r="N353" s="32" t="str">
        <f>IF(MB25_VOLUMETRIA[[#This Row],[Cen.]]="","",IFERROR(VLOOKUP(MB25_VOLUMETRIA[[#This Row],[Cen.]],Dados_Empresas[],2,FALSE),"Verificar empresa"))</f>
        <v>NET MASSIVO</v>
      </c>
      <c r="O353" s="32" t="str">
        <f>IF(MB25_VOLUMETRIA[[#This Row],[EMPRESA]]="","",IF(OR(MB25_VOLUMETRIA[[#This Row],[EMPRESA]]="NET MASSIVO",MB25_VOLUMETRIA[[#This Row],[EMPRESA]]="NET PROJETOS"),"NET","EMPRESARIAL"))</f>
        <v>NET</v>
      </c>
    </row>
    <row r="354" spans="1:15" x14ac:dyDescent="0.25">
      <c r="A354" s="32">
        <v>4379585</v>
      </c>
      <c r="B354" s="32" t="s">
        <v>21</v>
      </c>
      <c r="C354" s="33" t="s">
        <v>19</v>
      </c>
      <c r="D354" s="35">
        <v>45446</v>
      </c>
      <c r="E354" s="32" t="s">
        <v>184</v>
      </c>
      <c r="F354" s="32">
        <v>41001048</v>
      </c>
      <c r="G354" s="32" t="s">
        <v>318</v>
      </c>
      <c r="H354" s="26" t="s">
        <v>38</v>
      </c>
      <c r="I354" s="36">
        <v>200</v>
      </c>
      <c r="J354" s="32">
        <f>IF(MB25_VOLUMETRIA[[#This Row],[Reserva]]="","",1)</f>
        <v>1</v>
      </c>
      <c r="K354" s="36" t="str">
        <f>IF(MB25_VOLUMETRIA[[#This Row],[Reserva]]="","",IFERROR(VLOOKUP(MB25_VOLUMETRIA[[#This Row],[UMB]],CHAVE[],2,FALSE),"VERIFICAR"))</f>
        <v>Unidade</v>
      </c>
      <c r="L354" s="32" t="str">
        <f>IF(MB25_VOLUMETRIA[[#This Row],[Reserva]]="","",IFERROR(VLOOKUP(MB25_VOLUMETRIA[[#This Row],[Reserva]],Tabela3[[Reserva]:[Condição para Faturamento]],20,FALSE),"IMPORTADO COM SUCESSO"))</f>
        <v>EM CONFERENCIA</v>
      </c>
      <c r="M354" s="32" t="str">
        <f ca="1">IFERROR(VLOOKUP(MB25_VOLUMETRIA[[#This Row],[Reserva]],RES_AB[],14,FALSE),"")</f>
        <v>RESERVAS EM ATRASO</v>
      </c>
      <c r="N354" s="32" t="str">
        <f>IF(MB25_VOLUMETRIA[[#This Row],[Cen.]]="","",IFERROR(VLOOKUP(MB25_VOLUMETRIA[[#This Row],[Cen.]],Dados_Empresas[],2,FALSE),"Verificar empresa"))</f>
        <v>NET MASSIVO</v>
      </c>
      <c r="O354" s="32" t="str">
        <f>IF(MB25_VOLUMETRIA[[#This Row],[EMPRESA]]="","",IF(OR(MB25_VOLUMETRIA[[#This Row],[EMPRESA]]="NET MASSIVO",MB25_VOLUMETRIA[[#This Row],[EMPRESA]]="NET PROJETOS"),"NET","EMPRESARIAL"))</f>
        <v>NET</v>
      </c>
    </row>
    <row r="355" spans="1:15" x14ac:dyDescent="0.25">
      <c r="A355" s="32">
        <v>4379585</v>
      </c>
      <c r="B355" s="32" t="s">
        <v>21</v>
      </c>
      <c r="C355" s="33" t="s">
        <v>19</v>
      </c>
      <c r="D355" s="35">
        <v>45446</v>
      </c>
      <c r="E355" s="32" t="s">
        <v>184</v>
      </c>
      <c r="F355" s="32">
        <v>41001294</v>
      </c>
      <c r="G355" s="32" t="s">
        <v>248</v>
      </c>
      <c r="H355" s="26" t="s">
        <v>38</v>
      </c>
      <c r="I355" s="36">
        <v>270</v>
      </c>
      <c r="J355" s="32">
        <f>IF(MB25_VOLUMETRIA[[#This Row],[Reserva]]="","",1)</f>
        <v>1</v>
      </c>
      <c r="K355" s="36" t="str">
        <f>IF(MB25_VOLUMETRIA[[#This Row],[Reserva]]="","",IFERROR(VLOOKUP(MB25_VOLUMETRIA[[#This Row],[UMB]],CHAVE[],2,FALSE),"VERIFICAR"))</f>
        <v>Unidade</v>
      </c>
      <c r="L355" s="32" t="str">
        <f>IF(MB25_VOLUMETRIA[[#This Row],[Reserva]]="","",IFERROR(VLOOKUP(MB25_VOLUMETRIA[[#This Row],[Reserva]],Tabela3[[Reserva]:[Condição para Faturamento]],20,FALSE),"IMPORTADO COM SUCESSO"))</f>
        <v>EM CONFERENCIA</v>
      </c>
      <c r="M355" s="32" t="str">
        <f ca="1">IFERROR(VLOOKUP(MB25_VOLUMETRIA[[#This Row],[Reserva]],RES_AB[],14,FALSE),"")</f>
        <v>RESERVAS EM ATRASO</v>
      </c>
      <c r="N355" s="32" t="str">
        <f>IF(MB25_VOLUMETRIA[[#This Row],[Cen.]]="","",IFERROR(VLOOKUP(MB25_VOLUMETRIA[[#This Row],[Cen.]],Dados_Empresas[],2,FALSE),"Verificar empresa"))</f>
        <v>NET MASSIVO</v>
      </c>
      <c r="O355" s="32" t="str">
        <f>IF(MB25_VOLUMETRIA[[#This Row],[EMPRESA]]="","",IF(OR(MB25_VOLUMETRIA[[#This Row],[EMPRESA]]="NET MASSIVO",MB25_VOLUMETRIA[[#This Row],[EMPRESA]]="NET PROJETOS"),"NET","EMPRESARIAL"))</f>
        <v>NET</v>
      </c>
    </row>
    <row r="356" spans="1:15" x14ac:dyDescent="0.25">
      <c r="A356" s="32">
        <v>4379590</v>
      </c>
      <c r="B356" s="32" t="s">
        <v>21</v>
      </c>
      <c r="C356" s="33" t="s">
        <v>19</v>
      </c>
      <c r="D356" s="35">
        <v>45446</v>
      </c>
      <c r="E356" s="32" t="s">
        <v>184</v>
      </c>
      <c r="F356" s="32">
        <v>41001294</v>
      </c>
      <c r="G356" s="32" t="s">
        <v>248</v>
      </c>
      <c r="H356" s="26" t="s">
        <v>38</v>
      </c>
      <c r="I356" s="36">
        <v>750</v>
      </c>
      <c r="J356" s="32">
        <f>IF(MB25_VOLUMETRIA[[#This Row],[Reserva]]="","",1)</f>
        <v>1</v>
      </c>
      <c r="K356" s="36" t="str">
        <f>IF(MB25_VOLUMETRIA[[#This Row],[Reserva]]="","",IFERROR(VLOOKUP(MB25_VOLUMETRIA[[#This Row],[UMB]],CHAVE[],2,FALSE),"VERIFICAR"))</f>
        <v>Unidade</v>
      </c>
      <c r="L35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56" s="32" t="str">
        <f ca="1">IFERROR(VLOOKUP(MB25_VOLUMETRIA[[#This Row],[Reserva]],RES_AB[],14,FALSE),"")</f>
        <v>RESERVAS EM ATRASO</v>
      </c>
      <c r="N356" s="32" t="str">
        <f>IF(MB25_VOLUMETRIA[[#This Row],[Cen.]]="","",IFERROR(VLOOKUP(MB25_VOLUMETRIA[[#This Row],[Cen.]],Dados_Empresas[],2,FALSE),"Verificar empresa"))</f>
        <v>NET MASSIVO</v>
      </c>
      <c r="O356" s="32" t="str">
        <f>IF(MB25_VOLUMETRIA[[#This Row],[EMPRESA]]="","",IF(OR(MB25_VOLUMETRIA[[#This Row],[EMPRESA]]="NET MASSIVO",MB25_VOLUMETRIA[[#This Row],[EMPRESA]]="NET PROJETOS"),"NET","EMPRESARIAL"))</f>
        <v>NET</v>
      </c>
    </row>
    <row r="357" spans="1:15" x14ac:dyDescent="0.25">
      <c r="A357" s="32">
        <v>4379590</v>
      </c>
      <c r="B357" s="32" t="s">
        <v>21</v>
      </c>
      <c r="C357" s="33" t="s">
        <v>19</v>
      </c>
      <c r="D357" s="35">
        <v>45446</v>
      </c>
      <c r="E357" s="32" t="s">
        <v>184</v>
      </c>
      <c r="F357" s="32">
        <v>41001518</v>
      </c>
      <c r="G357" s="32" t="s">
        <v>320</v>
      </c>
      <c r="H357" s="26" t="s">
        <v>38</v>
      </c>
      <c r="I357" s="36">
        <v>130</v>
      </c>
      <c r="J357" s="32">
        <f>IF(MB25_VOLUMETRIA[[#This Row],[Reserva]]="","",1)</f>
        <v>1</v>
      </c>
      <c r="K357" s="36" t="str">
        <f>IF(MB25_VOLUMETRIA[[#This Row],[Reserva]]="","",IFERROR(VLOOKUP(MB25_VOLUMETRIA[[#This Row],[UMB]],CHAVE[],2,FALSE),"VERIFICAR"))</f>
        <v>Unidade</v>
      </c>
      <c r="L3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57" s="32" t="str">
        <f ca="1">IFERROR(VLOOKUP(MB25_VOLUMETRIA[[#This Row],[Reserva]],RES_AB[],14,FALSE),"")</f>
        <v>RESERVAS EM ATRASO</v>
      </c>
      <c r="N357" s="32" t="str">
        <f>IF(MB25_VOLUMETRIA[[#This Row],[Cen.]]="","",IFERROR(VLOOKUP(MB25_VOLUMETRIA[[#This Row],[Cen.]],Dados_Empresas[],2,FALSE),"Verificar empresa"))</f>
        <v>NET MASSIVO</v>
      </c>
      <c r="O357" s="32" t="str">
        <f>IF(MB25_VOLUMETRIA[[#This Row],[EMPRESA]]="","",IF(OR(MB25_VOLUMETRIA[[#This Row],[EMPRESA]]="NET MASSIVO",MB25_VOLUMETRIA[[#This Row],[EMPRESA]]="NET PROJETOS"),"NET","EMPRESARIAL"))</f>
        <v>NET</v>
      </c>
    </row>
    <row r="358" spans="1:15" x14ac:dyDescent="0.25">
      <c r="A358" s="32">
        <v>4379594</v>
      </c>
      <c r="B358" s="32" t="s">
        <v>21</v>
      </c>
      <c r="C358" s="33" t="s">
        <v>21</v>
      </c>
      <c r="D358" s="35">
        <v>45446</v>
      </c>
      <c r="E358" s="32" t="s">
        <v>185</v>
      </c>
      <c r="F358" s="32">
        <v>22025072</v>
      </c>
      <c r="G358" s="32" t="s">
        <v>204</v>
      </c>
      <c r="H358" s="26" t="s">
        <v>38</v>
      </c>
      <c r="I358" s="36">
        <v>21</v>
      </c>
      <c r="J358" s="32">
        <f>IF(MB25_VOLUMETRIA[[#This Row],[Reserva]]="","",1)</f>
        <v>1</v>
      </c>
      <c r="K358" s="36" t="str">
        <f>IF(MB25_VOLUMETRIA[[#This Row],[Reserva]]="","",IFERROR(VLOOKUP(MB25_VOLUMETRIA[[#This Row],[UMB]],CHAVE[],2,FALSE),"VERIFICAR"))</f>
        <v>Unidade</v>
      </c>
      <c r="L358" s="32" t="str">
        <f>IF(MB25_VOLUMETRIA[[#This Row],[Reserva]]="","",IFERROR(VLOOKUP(MB25_VOLUMETRIA[[#This Row],[Reserva]],Tabela3[[Reserva]:[Condição para Faturamento]],20,FALSE),"IMPORTADO COM SUCESSO"))</f>
        <v>EM SEPARAÇÃO</v>
      </c>
      <c r="M358" s="32" t="str">
        <f ca="1">IFERROR(VLOOKUP(MB25_VOLUMETRIA[[#This Row],[Reserva]],RES_AB[],14,FALSE),"")</f>
        <v>RESERVAS EM ATRASO</v>
      </c>
      <c r="N358" s="32" t="str">
        <f>IF(MB25_VOLUMETRIA[[#This Row],[Cen.]]="","",IFERROR(VLOOKUP(MB25_VOLUMETRIA[[#This Row],[Cen.]],Dados_Empresas[],2,FALSE),"Verificar empresa"))</f>
        <v>NET MASSIVO</v>
      </c>
      <c r="O358" s="32" t="str">
        <f>IF(MB25_VOLUMETRIA[[#This Row],[EMPRESA]]="","",IF(OR(MB25_VOLUMETRIA[[#This Row],[EMPRESA]]="NET MASSIVO",MB25_VOLUMETRIA[[#This Row],[EMPRESA]]="NET PROJETOS"),"NET","EMPRESARIAL"))</f>
        <v>NET</v>
      </c>
    </row>
    <row r="359" spans="1:15" x14ac:dyDescent="0.25">
      <c r="A359" s="32">
        <v>4379594</v>
      </c>
      <c r="B359" s="32" t="s">
        <v>21</v>
      </c>
      <c r="C359" s="33" t="s">
        <v>21</v>
      </c>
      <c r="D359" s="35">
        <v>45446</v>
      </c>
      <c r="E359" s="32" t="s">
        <v>185</v>
      </c>
      <c r="F359" s="32">
        <v>22025139</v>
      </c>
      <c r="G359" s="32" t="s">
        <v>199</v>
      </c>
      <c r="H359" s="26" t="s">
        <v>38</v>
      </c>
      <c r="I359" s="36">
        <v>1100</v>
      </c>
      <c r="J359" s="32">
        <f>IF(MB25_VOLUMETRIA[[#This Row],[Reserva]]="","",1)</f>
        <v>1</v>
      </c>
      <c r="K359" s="36" t="str">
        <f>IF(MB25_VOLUMETRIA[[#This Row],[Reserva]]="","",IFERROR(VLOOKUP(MB25_VOLUMETRIA[[#This Row],[UMB]],CHAVE[],2,FALSE),"VERIFICAR"))</f>
        <v>Unidade</v>
      </c>
      <c r="L359" s="32" t="str">
        <f>IF(MB25_VOLUMETRIA[[#This Row],[Reserva]]="","",IFERROR(VLOOKUP(MB25_VOLUMETRIA[[#This Row],[Reserva]],Tabela3[[Reserva]:[Condição para Faturamento]],20,FALSE),"IMPORTADO COM SUCESSO"))</f>
        <v>EM SEPARAÇÃO</v>
      </c>
      <c r="M359" s="32" t="str">
        <f ca="1">IFERROR(VLOOKUP(MB25_VOLUMETRIA[[#This Row],[Reserva]],RES_AB[],14,FALSE),"")</f>
        <v>RESERVAS EM ATRASO</v>
      </c>
      <c r="N359" s="32" t="str">
        <f>IF(MB25_VOLUMETRIA[[#This Row],[Cen.]]="","",IFERROR(VLOOKUP(MB25_VOLUMETRIA[[#This Row],[Cen.]],Dados_Empresas[],2,FALSE),"Verificar empresa"))</f>
        <v>NET MASSIVO</v>
      </c>
      <c r="O359" s="32" t="str">
        <f>IF(MB25_VOLUMETRIA[[#This Row],[EMPRESA]]="","",IF(OR(MB25_VOLUMETRIA[[#This Row],[EMPRESA]]="NET MASSIVO",MB25_VOLUMETRIA[[#This Row],[EMPRESA]]="NET PROJETOS"),"NET","EMPRESARIAL"))</f>
        <v>NET</v>
      </c>
    </row>
    <row r="360" spans="1:15" x14ac:dyDescent="0.25">
      <c r="A360" s="32">
        <v>4379594</v>
      </c>
      <c r="B360" s="32" t="s">
        <v>21</v>
      </c>
      <c r="C360" s="33" t="s">
        <v>19</v>
      </c>
      <c r="D360" s="35">
        <v>45446</v>
      </c>
      <c r="E360" s="32" t="s">
        <v>185</v>
      </c>
      <c r="F360" s="32">
        <v>22025250</v>
      </c>
      <c r="G360" s="32" t="s">
        <v>213</v>
      </c>
      <c r="H360" s="26" t="s">
        <v>38</v>
      </c>
      <c r="I360" s="36">
        <v>100</v>
      </c>
      <c r="J360" s="32">
        <f>IF(MB25_VOLUMETRIA[[#This Row],[Reserva]]="","",1)</f>
        <v>1</v>
      </c>
      <c r="K360" s="36" t="str">
        <f>IF(MB25_VOLUMETRIA[[#This Row],[Reserva]]="","",IFERROR(VLOOKUP(MB25_VOLUMETRIA[[#This Row],[UMB]],CHAVE[],2,FALSE),"VERIFICAR"))</f>
        <v>Unidade</v>
      </c>
      <c r="L360" s="32" t="str">
        <f>IF(MB25_VOLUMETRIA[[#This Row],[Reserva]]="","",IFERROR(VLOOKUP(MB25_VOLUMETRIA[[#This Row],[Reserva]],Tabela3[[Reserva]:[Condição para Faturamento]],20,FALSE),"IMPORTADO COM SUCESSO"))</f>
        <v>EM SEPARAÇÃO</v>
      </c>
      <c r="M360" s="32" t="str">
        <f ca="1">IFERROR(VLOOKUP(MB25_VOLUMETRIA[[#This Row],[Reserva]],RES_AB[],14,FALSE),"")</f>
        <v>RESERVAS EM ATRASO</v>
      </c>
      <c r="N360" s="32" t="str">
        <f>IF(MB25_VOLUMETRIA[[#This Row],[Cen.]]="","",IFERROR(VLOOKUP(MB25_VOLUMETRIA[[#This Row],[Cen.]],Dados_Empresas[],2,FALSE),"Verificar empresa"))</f>
        <v>NET MASSIVO</v>
      </c>
      <c r="O360" s="32" t="str">
        <f>IF(MB25_VOLUMETRIA[[#This Row],[EMPRESA]]="","",IF(OR(MB25_VOLUMETRIA[[#This Row],[EMPRESA]]="NET MASSIVO",MB25_VOLUMETRIA[[#This Row],[EMPRESA]]="NET PROJETOS"),"NET","EMPRESARIAL"))</f>
        <v>NET</v>
      </c>
    </row>
    <row r="361" spans="1:15" x14ac:dyDescent="0.25">
      <c r="A361" s="32">
        <v>4379594</v>
      </c>
      <c r="B361" s="32" t="s">
        <v>21</v>
      </c>
      <c r="C361" s="33" t="s">
        <v>21</v>
      </c>
      <c r="D361" s="35">
        <v>45446</v>
      </c>
      <c r="E361" s="32" t="s">
        <v>185</v>
      </c>
      <c r="F361" s="32">
        <v>22026199</v>
      </c>
      <c r="G361" s="32" t="s">
        <v>233</v>
      </c>
      <c r="H361" s="26" t="s">
        <v>38</v>
      </c>
      <c r="I361" s="36">
        <v>100</v>
      </c>
      <c r="J361" s="32">
        <f>IF(MB25_VOLUMETRIA[[#This Row],[Reserva]]="","",1)</f>
        <v>1</v>
      </c>
      <c r="K361" s="36" t="str">
        <f>IF(MB25_VOLUMETRIA[[#This Row],[Reserva]]="","",IFERROR(VLOOKUP(MB25_VOLUMETRIA[[#This Row],[UMB]],CHAVE[],2,FALSE),"VERIFICAR"))</f>
        <v>Unidade</v>
      </c>
      <c r="L361" s="32" t="str">
        <f>IF(MB25_VOLUMETRIA[[#This Row],[Reserva]]="","",IFERROR(VLOOKUP(MB25_VOLUMETRIA[[#This Row],[Reserva]],Tabela3[[Reserva]:[Condição para Faturamento]],20,FALSE),"IMPORTADO COM SUCESSO"))</f>
        <v>EM SEPARAÇÃO</v>
      </c>
      <c r="M361" s="32" t="str">
        <f ca="1">IFERROR(VLOOKUP(MB25_VOLUMETRIA[[#This Row],[Reserva]],RES_AB[],14,FALSE),"")</f>
        <v>RESERVAS EM ATRASO</v>
      </c>
      <c r="N361" s="32" t="str">
        <f>IF(MB25_VOLUMETRIA[[#This Row],[Cen.]]="","",IFERROR(VLOOKUP(MB25_VOLUMETRIA[[#This Row],[Cen.]],Dados_Empresas[],2,FALSE),"Verificar empresa"))</f>
        <v>NET MASSIVO</v>
      </c>
      <c r="O361" s="32" t="str">
        <f>IF(MB25_VOLUMETRIA[[#This Row],[EMPRESA]]="","",IF(OR(MB25_VOLUMETRIA[[#This Row],[EMPRESA]]="NET MASSIVO",MB25_VOLUMETRIA[[#This Row],[EMPRESA]]="NET PROJETOS"),"NET","EMPRESARIAL"))</f>
        <v>NET</v>
      </c>
    </row>
    <row r="362" spans="1:15" x14ac:dyDescent="0.25">
      <c r="A362" s="32">
        <v>4379594</v>
      </c>
      <c r="B362" s="32" t="s">
        <v>21</v>
      </c>
      <c r="C362" s="33" t="s">
        <v>21</v>
      </c>
      <c r="D362" s="35">
        <v>45446</v>
      </c>
      <c r="E362" s="32" t="s">
        <v>185</v>
      </c>
      <c r="F362" s="32">
        <v>22026223</v>
      </c>
      <c r="G362" s="32" t="s">
        <v>195</v>
      </c>
      <c r="H362" s="26" t="s">
        <v>38</v>
      </c>
      <c r="I362" s="36">
        <v>9455</v>
      </c>
      <c r="J362" s="32">
        <f>IF(MB25_VOLUMETRIA[[#This Row],[Reserva]]="","",1)</f>
        <v>1</v>
      </c>
      <c r="K362" s="36" t="str">
        <f>IF(MB25_VOLUMETRIA[[#This Row],[Reserva]]="","",IFERROR(VLOOKUP(MB25_VOLUMETRIA[[#This Row],[UMB]],CHAVE[],2,FALSE),"VERIFICAR"))</f>
        <v>Unidade</v>
      </c>
      <c r="L362" s="32" t="str">
        <f>IF(MB25_VOLUMETRIA[[#This Row],[Reserva]]="","",IFERROR(VLOOKUP(MB25_VOLUMETRIA[[#This Row],[Reserva]],Tabela3[[Reserva]:[Condição para Faturamento]],20,FALSE),"IMPORTADO COM SUCESSO"))</f>
        <v>EM SEPARAÇÃO</v>
      </c>
      <c r="M362" s="32" t="str">
        <f ca="1">IFERROR(VLOOKUP(MB25_VOLUMETRIA[[#This Row],[Reserva]],RES_AB[],14,FALSE),"")</f>
        <v>RESERVAS EM ATRASO</v>
      </c>
      <c r="N362" s="32" t="str">
        <f>IF(MB25_VOLUMETRIA[[#This Row],[Cen.]]="","",IFERROR(VLOOKUP(MB25_VOLUMETRIA[[#This Row],[Cen.]],Dados_Empresas[],2,FALSE),"Verificar empresa"))</f>
        <v>NET MASSIVO</v>
      </c>
      <c r="O362" s="32" t="str">
        <f>IF(MB25_VOLUMETRIA[[#This Row],[EMPRESA]]="","",IF(OR(MB25_VOLUMETRIA[[#This Row],[EMPRESA]]="NET MASSIVO",MB25_VOLUMETRIA[[#This Row],[EMPRESA]]="NET PROJETOS"),"NET","EMPRESARIAL"))</f>
        <v>NET</v>
      </c>
    </row>
    <row r="363" spans="1:15" x14ac:dyDescent="0.25">
      <c r="A363" s="32">
        <v>4379594</v>
      </c>
      <c r="B363" s="32" t="s">
        <v>21</v>
      </c>
      <c r="C363" s="33" t="s">
        <v>21</v>
      </c>
      <c r="D363" s="35">
        <v>45446</v>
      </c>
      <c r="E363" s="32" t="s">
        <v>185</v>
      </c>
      <c r="F363" s="32">
        <v>22026544</v>
      </c>
      <c r="G363" s="32" t="s">
        <v>206</v>
      </c>
      <c r="H363" s="26" t="s">
        <v>38</v>
      </c>
      <c r="I363" s="36">
        <v>50</v>
      </c>
      <c r="J363" s="32">
        <f>IF(MB25_VOLUMETRIA[[#This Row],[Reserva]]="","",1)</f>
        <v>1</v>
      </c>
      <c r="K363" s="36" t="str">
        <f>IF(MB25_VOLUMETRIA[[#This Row],[Reserva]]="","",IFERROR(VLOOKUP(MB25_VOLUMETRIA[[#This Row],[UMB]],CHAVE[],2,FALSE),"VERIFICAR"))</f>
        <v>Unidade</v>
      </c>
      <c r="L363" s="32" t="str">
        <f>IF(MB25_VOLUMETRIA[[#This Row],[Reserva]]="","",IFERROR(VLOOKUP(MB25_VOLUMETRIA[[#This Row],[Reserva]],Tabela3[[Reserva]:[Condição para Faturamento]],20,FALSE),"IMPORTADO COM SUCESSO"))</f>
        <v>EM SEPARAÇÃO</v>
      </c>
      <c r="M363" s="32" t="str">
        <f ca="1">IFERROR(VLOOKUP(MB25_VOLUMETRIA[[#This Row],[Reserva]],RES_AB[],14,FALSE),"")</f>
        <v>RESERVAS EM ATRASO</v>
      </c>
      <c r="N363" s="32" t="str">
        <f>IF(MB25_VOLUMETRIA[[#This Row],[Cen.]]="","",IFERROR(VLOOKUP(MB25_VOLUMETRIA[[#This Row],[Cen.]],Dados_Empresas[],2,FALSE),"Verificar empresa"))</f>
        <v>NET MASSIVO</v>
      </c>
      <c r="O363" s="32" t="str">
        <f>IF(MB25_VOLUMETRIA[[#This Row],[EMPRESA]]="","",IF(OR(MB25_VOLUMETRIA[[#This Row],[EMPRESA]]="NET MASSIVO",MB25_VOLUMETRIA[[#This Row],[EMPRESA]]="NET PROJETOS"),"NET","EMPRESARIAL"))</f>
        <v>NET</v>
      </c>
    </row>
    <row r="364" spans="1:15" x14ac:dyDescent="0.25">
      <c r="A364" s="32">
        <v>4379594</v>
      </c>
      <c r="B364" s="32" t="s">
        <v>21</v>
      </c>
      <c r="C364" s="33" t="s">
        <v>21</v>
      </c>
      <c r="D364" s="35">
        <v>45446</v>
      </c>
      <c r="E364" s="32" t="s">
        <v>185</v>
      </c>
      <c r="F364" s="32">
        <v>22026746</v>
      </c>
      <c r="G364" s="32" t="s">
        <v>205</v>
      </c>
      <c r="H364" s="26" t="s">
        <v>38</v>
      </c>
      <c r="I364" s="36">
        <v>50</v>
      </c>
      <c r="J364" s="32">
        <f>IF(MB25_VOLUMETRIA[[#This Row],[Reserva]]="","",1)</f>
        <v>1</v>
      </c>
      <c r="K364" s="36" t="str">
        <f>IF(MB25_VOLUMETRIA[[#This Row],[Reserva]]="","",IFERROR(VLOOKUP(MB25_VOLUMETRIA[[#This Row],[UMB]],CHAVE[],2,FALSE),"VERIFICAR"))</f>
        <v>Unidade</v>
      </c>
      <c r="L364" s="32" t="str">
        <f>IF(MB25_VOLUMETRIA[[#This Row],[Reserva]]="","",IFERROR(VLOOKUP(MB25_VOLUMETRIA[[#This Row],[Reserva]],Tabela3[[Reserva]:[Condição para Faturamento]],20,FALSE),"IMPORTADO COM SUCESSO"))</f>
        <v>EM SEPARAÇÃO</v>
      </c>
      <c r="M364" s="32" t="str">
        <f ca="1">IFERROR(VLOOKUP(MB25_VOLUMETRIA[[#This Row],[Reserva]],RES_AB[],14,FALSE),"")</f>
        <v>RESERVAS EM ATRASO</v>
      </c>
      <c r="N364" s="32" t="str">
        <f>IF(MB25_VOLUMETRIA[[#This Row],[Cen.]]="","",IFERROR(VLOOKUP(MB25_VOLUMETRIA[[#This Row],[Cen.]],Dados_Empresas[],2,FALSE),"Verificar empresa"))</f>
        <v>NET MASSIVO</v>
      </c>
      <c r="O364" s="32" t="str">
        <f>IF(MB25_VOLUMETRIA[[#This Row],[EMPRESA]]="","",IF(OR(MB25_VOLUMETRIA[[#This Row],[EMPRESA]]="NET MASSIVO",MB25_VOLUMETRIA[[#This Row],[EMPRESA]]="NET PROJETOS"),"NET","EMPRESARIAL"))</f>
        <v>NET</v>
      </c>
    </row>
    <row r="365" spans="1:15" x14ac:dyDescent="0.25">
      <c r="A365" s="32">
        <v>4379594</v>
      </c>
      <c r="B365" s="32" t="s">
        <v>21</v>
      </c>
      <c r="C365" s="33" t="s">
        <v>21</v>
      </c>
      <c r="D365" s="35">
        <v>45446</v>
      </c>
      <c r="E365" s="32" t="s">
        <v>185</v>
      </c>
      <c r="F365" s="32">
        <v>22056332</v>
      </c>
      <c r="G365" s="32" t="s">
        <v>207</v>
      </c>
      <c r="H365" s="26" t="s">
        <v>38</v>
      </c>
      <c r="I365" s="36">
        <v>18</v>
      </c>
      <c r="J365" s="32">
        <f>IF(MB25_VOLUMETRIA[[#This Row],[Reserva]]="","",1)</f>
        <v>1</v>
      </c>
      <c r="K365" s="36" t="str">
        <f>IF(MB25_VOLUMETRIA[[#This Row],[Reserva]]="","",IFERROR(VLOOKUP(MB25_VOLUMETRIA[[#This Row],[UMB]],CHAVE[],2,FALSE),"VERIFICAR"))</f>
        <v>Unidade</v>
      </c>
      <c r="L365" s="32" t="str">
        <f>IF(MB25_VOLUMETRIA[[#This Row],[Reserva]]="","",IFERROR(VLOOKUP(MB25_VOLUMETRIA[[#This Row],[Reserva]],Tabela3[[Reserva]:[Condição para Faturamento]],20,FALSE),"IMPORTADO COM SUCESSO"))</f>
        <v>EM SEPARAÇÃO</v>
      </c>
      <c r="M365" s="32" t="str">
        <f ca="1">IFERROR(VLOOKUP(MB25_VOLUMETRIA[[#This Row],[Reserva]],RES_AB[],14,FALSE),"")</f>
        <v>RESERVAS EM ATRASO</v>
      </c>
      <c r="N365" s="32" t="str">
        <f>IF(MB25_VOLUMETRIA[[#This Row],[Cen.]]="","",IFERROR(VLOOKUP(MB25_VOLUMETRIA[[#This Row],[Cen.]],Dados_Empresas[],2,FALSE),"Verificar empresa"))</f>
        <v>NET MASSIVO</v>
      </c>
      <c r="O365" s="32" t="str">
        <f>IF(MB25_VOLUMETRIA[[#This Row],[EMPRESA]]="","",IF(OR(MB25_VOLUMETRIA[[#This Row],[EMPRESA]]="NET MASSIVO",MB25_VOLUMETRIA[[#This Row],[EMPRESA]]="NET PROJETOS"),"NET","EMPRESARIAL"))</f>
        <v>NET</v>
      </c>
    </row>
    <row r="366" spans="1:15" x14ac:dyDescent="0.25">
      <c r="A366" s="32">
        <v>4379594</v>
      </c>
      <c r="B366" s="32" t="s">
        <v>21</v>
      </c>
      <c r="C366" s="33" t="s">
        <v>21</v>
      </c>
      <c r="D366" s="35">
        <v>45446</v>
      </c>
      <c r="E366" s="32" t="s">
        <v>185</v>
      </c>
      <c r="F366" s="32">
        <v>22056334</v>
      </c>
      <c r="G366" s="32" t="s">
        <v>321</v>
      </c>
      <c r="H366" s="26" t="s">
        <v>38</v>
      </c>
      <c r="I366" s="36">
        <v>300</v>
      </c>
      <c r="J366" s="32">
        <f>IF(MB25_VOLUMETRIA[[#This Row],[Reserva]]="","",1)</f>
        <v>1</v>
      </c>
      <c r="K366" s="36" t="str">
        <f>IF(MB25_VOLUMETRIA[[#This Row],[Reserva]]="","",IFERROR(VLOOKUP(MB25_VOLUMETRIA[[#This Row],[UMB]],CHAVE[],2,FALSE),"VERIFICAR"))</f>
        <v>Unidade</v>
      </c>
      <c r="L366" s="32" t="str">
        <f>IF(MB25_VOLUMETRIA[[#This Row],[Reserva]]="","",IFERROR(VLOOKUP(MB25_VOLUMETRIA[[#This Row],[Reserva]],Tabela3[[Reserva]:[Condição para Faturamento]],20,FALSE),"IMPORTADO COM SUCESSO"))</f>
        <v>EM SEPARAÇÃO</v>
      </c>
      <c r="M366" s="32" t="str">
        <f ca="1">IFERROR(VLOOKUP(MB25_VOLUMETRIA[[#This Row],[Reserva]],RES_AB[],14,FALSE),"")</f>
        <v>RESERVAS EM ATRASO</v>
      </c>
      <c r="N366" s="32" t="str">
        <f>IF(MB25_VOLUMETRIA[[#This Row],[Cen.]]="","",IFERROR(VLOOKUP(MB25_VOLUMETRIA[[#This Row],[Cen.]],Dados_Empresas[],2,FALSE),"Verificar empresa"))</f>
        <v>NET MASSIVO</v>
      </c>
      <c r="O366" s="32" t="str">
        <f>IF(MB25_VOLUMETRIA[[#This Row],[EMPRESA]]="","",IF(OR(MB25_VOLUMETRIA[[#This Row],[EMPRESA]]="NET MASSIVO",MB25_VOLUMETRIA[[#This Row],[EMPRESA]]="NET PROJETOS"),"NET","EMPRESARIAL"))</f>
        <v>NET</v>
      </c>
    </row>
    <row r="367" spans="1:15" x14ac:dyDescent="0.25">
      <c r="A367" s="32">
        <v>4379594</v>
      </c>
      <c r="B367" s="32" t="s">
        <v>21</v>
      </c>
      <c r="C367" s="33" t="s">
        <v>21</v>
      </c>
      <c r="D367" s="35">
        <v>45446</v>
      </c>
      <c r="E367" s="32" t="s">
        <v>185</v>
      </c>
      <c r="F367" s="32">
        <v>22056344</v>
      </c>
      <c r="G367" s="32" t="s">
        <v>235</v>
      </c>
      <c r="H367" s="26" t="s">
        <v>38</v>
      </c>
      <c r="I367" s="36">
        <v>100</v>
      </c>
      <c r="J367" s="32">
        <f>IF(MB25_VOLUMETRIA[[#This Row],[Reserva]]="","",1)</f>
        <v>1</v>
      </c>
      <c r="K367" s="36" t="str">
        <f>IF(MB25_VOLUMETRIA[[#This Row],[Reserva]]="","",IFERROR(VLOOKUP(MB25_VOLUMETRIA[[#This Row],[UMB]],CHAVE[],2,FALSE),"VERIFICAR"))</f>
        <v>Unidade</v>
      </c>
      <c r="L367" s="32" t="str">
        <f>IF(MB25_VOLUMETRIA[[#This Row],[Reserva]]="","",IFERROR(VLOOKUP(MB25_VOLUMETRIA[[#This Row],[Reserva]],Tabela3[[Reserva]:[Condição para Faturamento]],20,FALSE),"IMPORTADO COM SUCESSO"))</f>
        <v>EM SEPARAÇÃO</v>
      </c>
      <c r="M367" s="32" t="str">
        <f ca="1">IFERROR(VLOOKUP(MB25_VOLUMETRIA[[#This Row],[Reserva]],RES_AB[],14,FALSE),"")</f>
        <v>RESERVAS EM ATRASO</v>
      </c>
      <c r="N367" s="32" t="str">
        <f>IF(MB25_VOLUMETRIA[[#This Row],[Cen.]]="","",IFERROR(VLOOKUP(MB25_VOLUMETRIA[[#This Row],[Cen.]],Dados_Empresas[],2,FALSE),"Verificar empresa"))</f>
        <v>NET MASSIVO</v>
      </c>
      <c r="O367" s="32" t="str">
        <f>IF(MB25_VOLUMETRIA[[#This Row],[EMPRESA]]="","",IF(OR(MB25_VOLUMETRIA[[#This Row],[EMPRESA]]="NET MASSIVO",MB25_VOLUMETRIA[[#This Row],[EMPRESA]]="NET PROJETOS"),"NET","EMPRESARIAL"))</f>
        <v>NET</v>
      </c>
    </row>
    <row r="368" spans="1:15" x14ac:dyDescent="0.25">
      <c r="A368" s="32">
        <v>4379594</v>
      </c>
      <c r="B368" s="32" t="s">
        <v>21</v>
      </c>
      <c r="C368" s="33" t="s">
        <v>21</v>
      </c>
      <c r="D368" s="35">
        <v>45446</v>
      </c>
      <c r="E368" s="32" t="s">
        <v>185</v>
      </c>
      <c r="F368" s="32">
        <v>22056359</v>
      </c>
      <c r="G368" s="32" t="s">
        <v>203</v>
      </c>
      <c r="H368" s="26" t="s">
        <v>38</v>
      </c>
      <c r="I368" s="36">
        <v>10</v>
      </c>
      <c r="J368" s="32">
        <f>IF(MB25_VOLUMETRIA[[#This Row],[Reserva]]="","",1)</f>
        <v>1</v>
      </c>
      <c r="K368" s="36" t="str">
        <f>IF(MB25_VOLUMETRIA[[#This Row],[Reserva]]="","",IFERROR(VLOOKUP(MB25_VOLUMETRIA[[#This Row],[UMB]],CHAVE[],2,FALSE),"VERIFICAR"))</f>
        <v>Unidade</v>
      </c>
      <c r="L368" s="32" t="str">
        <f>IF(MB25_VOLUMETRIA[[#This Row],[Reserva]]="","",IFERROR(VLOOKUP(MB25_VOLUMETRIA[[#This Row],[Reserva]],Tabela3[[Reserva]:[Condição para Faturamento]],20,FALSE),"IMPORTADO COM SUCESSO"))</f>
        <v>EM SEPARAÇÃO</v>
      </c>
      <c r="M368" s="32" t="str">
        <f ca="1">IFERROR(VLOOKUP(MB25_VOLUMETRIA[[#This Row],[Reserva]],RES_AB[],14,FALSE),"")</f>
        <v>RESERVAS EM ATRASO</v>
      </c>
      <c r="N368" s="32" t="str">
        <f>IF(MB25_VOLUMETRIA[[#This Row],[Cen.]]="","",IFERROR(VLOOKUP(MB25_VOLUMETRIA[[#This Row],[Cen.]],Dados_Empresas[],2,FALSE),"Verificar empresa"))</f>
        <v>NET MASSIVO</v>
      </c>
      <c r="O368" s="32" t="str">
        <f>IF(MB25_VOLUMETRIA[[#This Row],[EMPRESA]]="","",IF(OR(MB25_VOLUMETRIA[[#This Row],[EMPRESA]]="NET MASSIVO",MB25_VOLUMETRIA[[#This Row],[EMPRESA]]="NET PROJETOS"),"NET","EMPRESARIAL"))</f>
        <v>NET</v>
      </c>
    </row>
    <row r="369" spans="1:15" x14ac:dyDescent="0.25">
      <c r="A369" s="32">
        <v>4379594</v>
      </c>
      <c r="B369" s="32" t="s">
        <v>21</v>
      </c>
      <c r="C369" s="33" t="s">
        <v>21</v>
      </c>
      <c r="D369" s="35">
        <v>45446</v>
      </c>
      <c r="E369" s="32" t="s">
        <v>185</v>
      </c>
      <c r="F369" s="32">
        <v>22057635</v>
      </c>
      <c r="G369" s="32" t="s">
        <v>223</v>
      </c>
      <c r="H369" s="26" t="s">
        <v>38</v>
      </c>
      <c r="I369" s="36">
        <v>200</v>
      </c>
      <c r="J369" s="32">
        <f>IF(MB25_VOLUMETRIA[[#This Row],[Reserva]]="","",1)</f>
        <v>1</v>
      </c>
      <c r="K369" s="36" t="str">
        <f>IF(MB25_VOLUMETRIA[[#This Row],[Reserva]]="","",IFERROR(VLOOKUP(MB25_VOLUMETRIA[[#This Row],[UMB]],CHAVE[],2,FALSE),"VERIFICAR"))</f>
        <v>Unidade</v>
      </c>
      <c r="L369" s="32" t="str">
        <f>IF(MB25_VOLUMETRIA[[#This Row],[Reserva]]="","",IFERROR(VLOOKUP(MB25_VOLUMETRIA[[#This Row],[Reserva]],Tabela3[[Reserva]:[Condição para Faturamento]],20,FALSE),"IMPORTADO COM SUCESSO"))</f>
        <v>EM SEPARAÇÃO</v>
      </c>
      <c r="M369" s="32" t="str">
        <f ca="1">IFERROR(VLOOKUP(MB25_VOLUMETRIA[[#This Row],[Reserva]],RES_AB[],14,FALSE),"")</f>
        <v>RESERVAS EM ATRASO</v>
      </c>
      <c r="N369" s="32" t="str">
        <f>IF(MB25_VOLUMETRIA[[#This Row],[Cen.]]="","",IFERROR(VLOOKUP(MB25_VOLUMETRIA[[#This Row],[Cen.]],Dados_Empresas[],2,FALSE),"Verificar empresa"))</f>
        <v>NET MASSIVO</v>
      </c>
      <c r="O369" s="32" t="str">
        <f>IF(MB25_VOLUMETRIA[[#This Row],[EMPRESA]]="","",IF(OR(MB25_VOLUMETRIA[[#This Row],[EMPRESA]]="NET MASSIVO",MB25_VOLUMETRIA[[#This Row],[EMPRESA]]="NET PROJETOS"),"NET","EMPRESARIAL"))</f>
        <v>NET</v>
      </c>
    </row>
    <row r="370" spans="1:15" x14ac:dyDescent="0.25">
      <c r="A370" s="32">
        <v>4379594</v>
      </c>
      <c r="B370" s="32" t="s">
        <v>21</v>
      </c>
      <c r="C370" s="33" t="s">
        <v>21</v>
      </c>
      <c r="D370" s="35">
        <v>45446</v>
      </c>
      <c r="E370" s="32" t="s">
        <v>185</v>
      </c>
      <c r="F370" s="32">
        <v>22057658</v>
      </c>
      <c r="G370" s="32" t="s">
        <v>229</v>
      </c>
      <c r="H370" s="26" t="s">
        <v>38</v>
      </c>
      <c r="I370" s="36">
        <v>180</v>
      </c>
      <c r="J370" s="32">
        <f>IF(MB25_VOLUMETRIA[[#This Row],[Reserva]]="","",1)</f>
        <v>1</v>
      </c>
      <c r="K370" s="36" t="str">
        <f>IF(MB25_VOLUMETRIA[[#This Row],[Reserva]]="","",IFERROR(VLOOKUP(MB25_VOLUMETRIA[[#This Row],[UMB]],CHAVE[],2,FALSE),"VERIFICAR"))</f>
        <v>Unidade</v>
      </c>
      <c r="L370" s="32" t="str">
        <f>IF(MB25_VOLUMETRIA[[#This Row],[Reserva]]="","",IFERROR(VLOOKUP(MB25_VOLUMETRIA[[#This Row],[Reserva]],Tabela3[[Reserva]:[Condição para Faturamento]],20,FALSE),"IMPORTADO COM SUCESSO"))</f>
        <v>EM SEPARAÇÃO</v>
      </c>
      <c r="M370" s="32" t="str">
        <f ca="1">IFERROR(VLOOKUP(MB25_VOLUMETRIA[[#This Row],[Reserva]],RES_AB[],14,FALSE),"")</f>
        <v>RESERVAS EM ATRASO</v>
      </c>
      <c r="N370" s="32" t="str">
        <f>IF(MB25_VOLUMETRIA[[#This Row],[Cen.]]="","",IFERROR(VLOOKUP(MB25_VOLUMETRIA[[#This Row],[Cen.]],Dados_Empresas[],2,FALSE),"Verificar empresa"))</f>
        <v>NET MASSIVO</v>
      </c>
      <c r="O370" s="32" t="str">
        <f>IF(MB25_VOLUMETRIA[[#This Row],[EMPRESA]]="","",IF(OR(MB25_VOLUMETRIA[[#This Row],[EMPRESA]]="NET MASSIVO",MB25_VOLUMETRIA[[#This Row],[EMPRESA]]="NET PROJETOS"),"NET","EMPRESARIAL"))</f>
        <v>NET</v>
      </c>
    </row>
    <row r="371" spans="1:15" x14ac:dyDescent="0.25">
      <c r="A371" s="32">
        <v>4379594</v>
      </c>
      <c r="B371" s="32" t="s">
        <v>21</v>
      </c>
      <c r="C371" s="33" t="s">
        <v>21</v>
      </c>
      <c r="D371" s="35">
        <v>45446</v>
      </c>
      <c r="E371" s="32" t="s">
        <v>185</v>
      </c>
      <c r="F371" s="32">
        <v>22057659</v>
      </c>
      <c r="G371" s="32" t="s">
        <v>224</v>
      </c>
      <c r="H371" s="26" t="s">
        <v>38</v>
      </c>
      <c r="I371" s="36">
        <v>830</v>
      </c>
      <c r="J371" s="32">
        <f>IF(MB25_VOLUMETRIA[[#This Row],[Reserva]]="","",1)</f>
        <v>1</v>
      </c>
      <c r="K371" s="36" t="str">
        <f>IF(MB25_VOLUMETRIA[[#This Row],[Reserva]]="","",IFERROR(VLOOKUP(MB25_VOLUMETRIA[[#This Row],[UMB]],CHAVE[],2,FALSE),"VERIFICAR"))</f>
        <v>Unidade</v>
      </c>
      <c r="L371" s="32" t="str">
        <f>IF(MB25_VOLUMETRIA[[#This Row],[Reserva]]="","",IFERROR(VLOOKUP(MB25_VOLUMETRIA[[#This Row],[Reserva]],Tabela3[[Reserva]:[Condição para Faturamento]],20,FALSE),"IMPORTADO COM SUCESSO"))</f>
        <v>EM SEPARAÇÃO</v>
      </c>
      <c r="M371" s="32" t="str">
        <f ca="1">IFERROR(VLOOKUP(MB25_VOLUMETRIA[[#This Row],[Reserva]],RES_AB[],14,FALSE),"")</f>
        <v>RESERVAS EM ATRASO</v>
      </c>
      <c r="N371" s="32" t="str">
        <f>IF(MB25_VOLUMETRIA[[#This Row],[Cen.]]="","",IFERROR(VLOOKUP(MB25_VOLUMETRIA[[#This Row],[Cen.]],Dados_Empresas[],2,FALSE),"Verificar empresa"))</f>
        <v>NET MASSIVO</v>
      </c>
      <c r="O371" s="32" t="str">
        <f>IF(MB25_VOLUMETRIA[[#This Row],[EMPRESA]]="","",IF(OR(MB25_VOLUMETRIA[[#This Row],[EMPRESA]]="NET MASSIVO",MB25_VOLUMETRIA[[#This Row],[EMPRESA]]="NET PROJETOS"),"NET","EMPRESARIAL"))</f>
        <v>NET</v>
      </c>
    </row>
    <row r="372" spans="1:15" x14ac:dyDescent="0.25">
      <c r="A372" s="32">
        <v>4379594</v>
      </c>
      <c r="B372" s="32" t="s">
        <v>21</v>
      </c>
      <c r="C372" s="33" t="s">
        <v>19</v>
      </c>
      <c r="D372" s="35">
        <v>45446</v>
      </c>
      <c r="E372" s="32" t="s">
        <v>185</v>
      </c>
      <c r="F372" s="32">
        <v>22057705</v>
      </c>
      <c r="G372" s="32" t="s">
        <v>241</v>
      </c>
      <c r="H372" s="26" t="s">
        <v>38</v>
      </c>
      <c r="I372" s="36">
        <v>300</v>
      </c>
      <c r="J372" s="32">
        <f>IF(MB25_VOLUMETRIA[[#This Row],[Reserva]]="","",1)</f>
        <v>1</v>
      </c>
      <c r="K372" s="36" t="str">
        <f>IF(MB25_VOLUMETRIA[[#This Row],[Reserva]]="","",IFERROR(VLOOKUP(MB25_VOLUMETRIA[[#This Row],[UMB]],CHAVE[],2,FALSE),"VERIFICAR"))</f>
        <v>Unidade</v>
      </c>
      <c r="L372" s="32" t="str">
        <f>IF(MB25_VOLUMETRIA[[#This Row],[Reserva]]="","",IFERROR(VLOOKUP(MB25_VOLUMETRIA[[#This Row],[Reserva]],Tabela3[[Reserva]:[Condição para Faturamento]],20,FALSE),"IMPORTADO COM SUCESSO"))</f>
        <v>EM SEPARAÇÃO</v>
      </c>
      <c r="M372" s="32" t="str">
        <f ca="1">IFERROR(VLOOKUP(MB25_VOLUMETRIA[[#This Row],[Reserva]],RES_AB[],14,FALSE),"")</f>
        <v>RESERVAS EM ATRASO</v>
      </c>
      <c r="N372" s="32" t="str">
        <f>IF(MB25_VOLUMETRIA[[#This Row],[Cen.]]="","",IFERROR(VLOOKUP(MB25_VOLUMETRIA[[#This Row],[Cen.]],Dados_Empresas[],2,FALSE),"Verificar empresa"))</f>
        <v>NET MASSIVO</v>
      </c>
      <c r="O372" s="32" t="str">
        <f>IF(MB25_VOLUMETRIA[[#This Row],[EMPRESA]]="","",IF(OR(MB25_VOLUMETRIA[[#This Row],[EMPRESA]]="NET MASSIVO",MB25_VOLUMETRIA[[#This Row],[EMPRESA]]="NET PROJETOS"),"NET","EMPRESARIAL"))</f>
        <v>NET</v>
      </c>
    </row>
    <row r="373" spans="1:15" x14ac:dyDescent="0.25">
      <c r="A373" s="32">
        <v>4379594</v>
      </c>
      <c r="B373" s="32" t="s">
        <v>21</v>
      </c>
      <c r="C373" s="33" t="s">
        <v>19</v>
      </c>
      <c r="D373" s="35">
        <v>45446</v>
      </c>
      <c r="E373" s="32" t="s">
        <v>185</v>
      </c>
      <c r="F373" s="32">
        <v>22061434</v>
      </c>
      <c r="G373" s="32" t="s">
        <v>208</v>
      </c>
      <c r="H373" s="26" t="s">
        <v>38</v>
      </c>
      <c r="I373" s="36">
        <v>59</v>
      </c>
      <c r="J373" s="32">
        <f>IF(MB25_VOLUMETRIA[[#This Row],[Reserva]]="","",1)</f>
        <v>1</v>
      </c>
      <c r="K373" s="36" t="str">
        <f>IF(MB25_VOLUMETRIA[[#This Row],[Reserva]]="","",IFERROR(VLOOKUP(MB25_VOLUMETRIA[[#This Row],[UMB]],CHAVE[],2,FALSE),"VERIFICAR"))</f>
        <v>Unidade</v>
      </c>
      <c r="L373" s="32" t="str">
        <f>IF(MB25_VOLUMETRIA[[#This Row],[Reserva]]="","",IFERROR(VLOOKUP(MB25_VOLUMETRIA[[#This Row],[Reserva]],Tabela3[[Reserva]:[Condição para Faturamento]],20,FALSE),"IMPORTADO COM SUCESSO"))</f>
        <v>EM SEPARAÇÃO</v>
      </c>
      <c r="M373" s="32" t="str">
        <f ca="1">IFERROR(VLOOKUP(MB25_VOLUMETRIA[[#This Row],[Reserva]],RES_AB[],14,FALSE),"")</f>
        <v>RESERVAS EM ATRASO</v>
      </c>
      <c r="N373" s="32" t="str">
        <f>IF(MB25_VOLUMETRIA[[#This Row],[Cen.]]="","",IFERROR(VLOOKUP(MB25_VOLUMETRIA[[#This Row],[Cen.]],Dados_Empresas[],2,FALSE),"Verificar empresa"))</f>
        <v>NET MASSIVO</v>
      </c>
      <c r="O373" s="32" t="str">
        <f>IF(MB25_VOLUMETRIA[[#This Row],[EMPRESA]]="","",IF(OR(MB25_VOLUMETRIA[[#This Row],[EMPRESA]]="NET MASSIVO",MB25_VOLUMETRIA[[#This Row],[EMPRESA]]="NET PROJETOS"),"NET","EMPRESARIAL"))</f>
        <v>NET</v>
      </c>
    </row>
    <row r="374" spans="1:15" x14ac:dyDescent="0.25">
      <c r="A374" s="32">
        <v>4379594</v>
      </c>
      <c r="B374" s="32" t="s">
        <v>21</v>
      </c>
      <c r="C374" s="33" t="s">
        <v>21</v>
      </c>
      <c r="D374" s="35">
        <v>45446</v>
      </c>
      <c r="E374" s="32" t="s">
        <v>185</v>
      </c>
      <c r="F374" s="32">
        <v>22061434</v>
      </c>
      <c r="G374" s="32" t="s">
        <v>208</v>
      </c>
      <c r="H374" s="26" t="s">
        <v>38</v>
      </c>
      <c r="I374" s="36">
        <v>41</v>
      </c>
      <c r="J374" s="32">
        <f>IF(MB25_VOLUMETRIA[[#This Row],[Reserva]]="","",1)</f>
        <v>1</v>
      </c>
      <c r="K374" s="36" t="str">
        <f>IF(MB25_VOLUMETRIA[[#This Row],[Reserva]]="","",IFERROR(VLOOKUP(MB25_VOLUMETRIA[[#This Row],[UMB]],CHAVE[],2,FALSE),"VERIFICAR"))</f>
        <v>Unidade</v>
      </c>
      <c r="L374" s="32" t="str">
        <f>IF(MB25_VOLUMETRIA[[#This Row],[Reserva]]="","",IFERROR(VLOOKUP(MB25_VOLUMETRIA[[#This Row],[Reserva]],Tabela3[[Reserva]:[Condição para Faturamento]],20,FALSE),"IMPORTADO COM SUCESSO"))</f>
        <v>EM SEPARAÇÃO</v>
      </c>
      <c r="M374" s="32" t="str">
        <f ca="1">IFERROR(VLOOKUP(MB25_VOLUMETRIA[[#This Row],[Reserva]],RES_AB[],14,FALSE),"")</f>
        <v>RESERVAS EM ATRASO</v>
      </c>
      <c r="N374" s="32" t="str">
        <f>IF(MB25_VOLUMETRIA[[#This Row],[Cen.]]="","",IFERROR(VLOOKUP(MB25_VOLUMETRIA[[#This Row],[Cen.]],Dados_Empresas[],2,FALSE),"Verificar empresa"))</f>
        <v>NET MASSIVO</v>
      </c>
      <c r="O374" s="32" t="str">
        <f>IF(MB25_VOLUMETRIA[[#This Row],[EMPRESA]]="","",IF(OR(MB25_VOLUMETRIA[[#This Row],[EMPRESA]]="NET MASSIVO",MB25_VOLUMETRIA[[#This Row],[EMPRESA]]="NET PROJETOS"),"NET","EMPRESARIAL"))</f>
        <v>NET</v>
      </c>
    </row>
    <row r="375" spans="1:15" x14ac:dyDescent="0.25">
      <c r="A375" s="32">
        <v>4379594</v>
      </c>
      <c r="B375" s="32" t="s">
        <v>21</v>
      </c>
      <c r="C375" s="33" t="s">
        <v>21</v>
      </c>
      <c r="D375" s="35">
        <v>45446</v>
      </c>
      <c r="E375" s="32" t="s">
        <v>185</v>
      </c>
      <c r="F375" s="32">
        <v>22061736</v>
      </c>
      <c r="G375" s="32" t="s">
        <v>216</v>
      </c>
      <c r="H375" s="26" t="s">
        <v>38</v>
      </c>
      <c r="I375" s="36">
        <v>13000</v>
      </c>
      <c r="J375" s="32">
        <f>IF(MB25_VOLUMETRIA[[#This Row],[Reserva]]="","",1)</f>
        <v>1</v>
      </c>
      <c r="K375" s="36" t="str">
        <f>IF(MB25_VOLUMETRIA[[#This Row],[Reserva]]="","",IFERROR(VLOOKUP(MB25_VOLUMETRIA[[#This Row],[UMB]],CHAVE[],2,FALSE),"VERIFICAR"))</f>
        <v>Unidade</v>
      </c>
      <c r="L375" s="32" t="str">
        <f>IF(MB25_VOLUMETRIA[[#This Row],[Reserva]]="","",IFERROR(VLOOKUP(MB25_VOLUMETRIA[[#This Row],[Reserva]],Tabela3[[Reserva]:[Condição para Faturamento]],20,FALSE),"IMPORTADO COM SUCESSO"))</f>
        <v>EM SEPARAÇÃO</v>
      </c>
      <c r="M375" s="32" t="str">
        <f ca="1">IFERROR(VLOOKUP(MB25_VOLUMETRIA[[#This Row],[Reserva]],RES_AB[],14,FALSE),"")</f>
        <v>RESERVAS EM ATRASO</v>
      </c>
      <c r="N375" s="32" t="str">
        <f>IF(MB25_VOLUMETRIA[[#This Row],[Cen.]]="","",IFERROR(VLOOKUP(MB25_VOLUMETRIA[[#This Row],[Cen.]],Dados_Empresas[],2,FALSE),"Verificar empresa"))</f>
        <v>NET MASSIVO</v>
      </c>
      <c r="O375" s="32" t="str">
        <f>IF(MB25_VOLUMETRIA[[#This Row],[EMPRESA]]="","",IF(OR(MB25_VOLUMETRIA[[#This Row],[EMPRESA]]="NET MASSIVO",MB25_VOLUMETRIA[[#This Row],[EMPRESA]]="NET PROJETOS"),"NET","EMPRESARIAL"))</f>
        <v>NET</v>
      </c>
    </row>
    <row r="376" spans="1:15" x14ac:dyDescent="0.25">
      <c r="A376" s="32">
        <v>4379594</v>
      </c>
      <c r="B376" s="32" t="s">
        <v>21</v>
      </c>
      <c r="C376" s="33" t="s">
        <v>21</v>
      </c>
      <c r="D376" s="35">
        <v>45446</v>
      </c>
      <c r="E376" s="32" t="s">
        <v>185</v>
      </c>
      <c r="F376" s="32">
        <v>22065513</v>
      </c>
      <c r="G376" s="32" t="s">
        <v>227</v>
      </c>
      <c r="H376" s="26" t="s">
        <v>38</v>
      </c>
      <c r="I376" s="36">
        <v>500</v>
      </c>
      <c r="J376" s="32">
        <f>IF(MB25_VOLUMETRIA[[#This Row],[Reserva]]="","",1)</f>
        <v>1</v>
      </c>
      <c r="K376" s="36" t="str">
        <f>IF(MB25_VOLUMETRIA[[#This Row],[Reserva]]="","",IFERROR(VLOOKUP(MB25_VOLUMETRIA[[#This Row],[UMB]],CHAVE[],2,FALSE),"VERIFICAR"))</f>
        <v>Unidade</v>
      </c>
      <c r="L376" s="32" t="str">
        <f>IF(MB25_VOLUMETRIA[[#This Row],[Reserva]]="","",IFERROR(VLOOKUP(MB25_VOLUMETRIA[[#This Row],[Reserva]],Tabela3[[Reserva]:[Condição para Faturamento]],20,FALSE),"IMPORTADO COM SUCESSO"))</f>
        <v>EM SEPARAÇÃO</v>
      </c>
      <c r="M376" s="32" t="str">
        <f ca="1">IFERROR(VLOOKUP(MB25_VOLUMETRIA[[#This Row],[Reserva]],RES_AB[],14,FALSE),"")</f>
        <v>RESERVAS EM ATRASO</v>
      </c>
      <c r="N376" s="32" t="str">
        <f>IF(MB25_VOLUMETRIA[[#This Row],[Cen.]]="","",IFERROR(VLOOKUP(MB25_VOLUMETRIA[[#This Row],[Cen.]],Dados_Empresas[],2,FALSE),"Verificar empresa"))</f>
        <v>NET MASSIVO</v>
      </c>
      <c r="O376" s="32" t="str">
        <f>IF(MB25_VOLUMETRIA[[#This Row],[EMPRESA]]="","",IF(OR(MB25_VOLUMETRIA[[#This Row],[EMPRESA]]="NET MASSIVO",MB25_VOLUMETRIA[[#This Row],[EMPRESA]]="NET PROJETOS"),"NET","EMPRESARIAL"))</f>
        <v>NET</v>
      </c>
    </row>
    <row r="377" spans="1:15" x14ac:dyDescent="0.25">
      <c r="A377" s="32">
        <v>4379594</v>
      </c>
      <c r="B377" s="32" t="s">
        <v>21</v>
      </c>
      <c r="C377" s="33" t="s">
        <v>21</v>
      </c>
      <c r="D377" s="35">
        <v>45446</v>
      </c>
      <c r="E377" s="32" t="s">
        <v>185</v>
      </c>
      <c r="F377" s="32">
        <v>22065719</v>
      </c>
      <c r="G377" s="32" t="s">
        <v>228</v>
      </c>
      <c r="H377" s="26" t="s">
        <v>38</v>
      </c>
      <c r="I377" s="36">
        <v>100</v>
      </c>
      <c r="J377" s="32">
        <f>IF(MB25_VOLUMETRIA[[#This Row],[Reserva]]="","",1)</f>
        <v>1</v>
      </c>
      <c r="K377" s="36" t="str">
        <f>IF(MB25_VOLUMETRIA[[#This Row],[Reserva]]="","",IFERROR(VLOOKUP(MB25_VOLUMETRIA[[#This Row],[UMB]],CHAVE[],2,FALSE),"VERIFICAR"))</f>
        <v>Unidade</v>
      </c>
      <c r="L377" s="32" t="str">
        <f>IF(MB25_VOLUMETRIA[[#This Row],[Reserva]]="","",IFERROR(VLOOKUP(MB25_VOLUMETRIA[[#This Row],[Reserva]],Tabela3[[Reserva]:[Condição para Faturamento]],20,FALSE),"IMPORTADO COM SUCESSO"))</f>
        <v>EM SEPARAÇÃO</v>
      </c>
      <c r="M377" s="32" t="str">
        <f ca="1">IFERROR(VLOOKUP(MB25_VOLUMETRIA[[#This Row],[Reserva]],RES_AB[],14,FALSE),"")</f>
        <v>RESERVAS EM ATRASO</v>
      </c>
      <c r="N377" s="32" t="str">
        <f>IF(MB25_VOLUMETRIA[[#This Row],[Cen.]]="","",IFERROR(VLOOKUP(MB25_VOLUMETRIA[[#This Row],[Cen.]],Dados_Empresas[],2,FALSE),"Verificar empresa"))</f>
        <v>NET MASSIVO</v>
      </c>
      <c r="O377" s="32" t="str">
        <f>IF(MB25_VOLUMETRIA[[#This Row],[EMPRESA]]="","",IF(OR(MB25_VOLUMETRIA[[#This Row],[EMPRESA]]="NET MASSIVO",MB25_VOLUMETRIA[[#This Row],[EMPRESA]]="NET PROJETOS"),"NET","EMPRESARIAL"))</f>
        <v>NET</v>
      </c>
    </row>
    <row r="378" spans="1:15" x14ac:dyDescent="0.25">
      <c r="A378" s="32">
        <v>4379594</v>
      </c>
      <c r="B378" s="32" t="s">
        <v>21</v>
      </c>
      <c r="C378" s="33" t="s">
        <v>21</v>
      </c>
      <c r="D378" s="35">
        <v>45446</v>
      </c>
      <c r="E378" s="32" t="s">
        <v>185</v>
      </c>
      <c r="F378" s="32">
        <v>22065722</v>
      </c>
      <c r="G378" s="32" t="s">
        <v>196</v>
      </c>
      <c r="H378" s="26" t="s">
        <v>38</v>
      </c>
      <c r="I378" s="36">
        <v>100</v>
      </c>
      <c r="J378" s="32">
        <f>IF(MB25_VOLUMETRIA[[#This Row],[Reserva]]="","",1)</f>
        <v>1</v>
      </c>
      <c r="K378" s="36" t="str">
        <f>IF(MB25_VOLUMETRIA[[#This Row],[Reserva]]="","",IFERROR(VLOOKUP(MB25_VOLUMETRIA[[#This Row],[UMB]],CHAVE[],2,FALSE),"VERIFICAR"))</f>
        <v>Unidade</v>
      </c>
      <c r="L378" s="32" t="str">
        <f>IF(MB25_VOLUMETRIA[[#This Row],[Reserva]]="","",IFERROR(VLOOKUP(MB25_VOLUMETRIA[[#This Row],[Reserva]],Tabela3[[Reserva]:[Condição para Faturamento]],20,FALSE),"IMPORTADO COM SUCESSO"))</f>
        <v>EM SEPARAÇÃO</v>
      </c>
      <c r="M378" s="32" t="str">
        <f ca="1">IFERROR(VLOOKUP(MB25_VOLUMETRIA[[#This Row],[Reserva]],RES_AB[],14,FALSE),"")</f>
        <v>RESERVAS EM ATRASO</v>
      </c>
      <c r="N378" s="32" t="str">
        <f>IF(MB25_VOLUMETRIA[[#This Row],[Cen.]]="","",IFERROR(VLOOKUP(MB25_VOLUMETRIA[[#This Row],[Cen.]],Dados_Empresas[],2,FALSE),"Verificar empresa"))</f>
        <v>NET MASSIVO</v>
      </c>
      <c r="O378" s="32" t="str">
        <f>IF(MB25_VOLUMETRIA[[#This Row],[EMPRESA]]="","",IF(OR(MB25_VOLUMETRIA[[#This Row],[EMPRESA]]="NET MASSIVO",MB25_VOLUMETRIA[[#This Row],[EMPRESA]]="NET PROJETOS"),"NET","EMPRESARIAL"))</f>
        <v>NET</v>
      </c>
    </row>
    <row r="379" spans="1:15" x14ac:dyDescent="0.25">
      <c r="A379" s="32">
        <v>4379594</v>
      </c>
      <c r="B379" s="32" t="s">
        <v>21</v>
      </c>
      <c r="C379" s="33" t="s">
        <v>21</v>
      </c>
      <c r="D379" s="35">
        <v>45446</v>
      </c>
      <c r="E379" s="32" t="s">
        <v>185</v>
      </c>
      <c r="F379" s="32">
        <v>22065725</v>
      </c>
      <c r="G379" s="32" t="s">
        <v>197</v>
      </c>
      <c r="H379" s="26" t="s">
        <v>38</v>
      </c>
      <c r="I379" s="36">
        <v>100</v>
      </c>
      <c r="J379" s="32">
        <f>IF(MB25_VOLUMETRIA[[#This Row],[Reserva]]="","",1)</f>
        <v>1</v>
      </c>
      <c r="K379" s="36" t="str">
        <f>IF(MB25_VOLUMETRIA[[#This Row],[Reserva]]="","",IFERROR(VLOOKUP(MB25_VOLUMETRIA[[#This Row],[UMB]],CHAVE[],2,FALSE),"VERIFICAR"))</f>
        <v>Unidade</v>
      </c>
      <c r="L379" s="32" t="str">
        <f>IF(MB25_VOLUMETRIA[[#This Row],[Reserva]]="","",IFERROR(VLOOKUP(MB25_VOLUMETRIA[[#This Row],[Reserva]],Tabela3[[Reserva]:[Condição para Faturamento]],20,FALSE),"IMPORTADO COM SUCESSO"))</f>
        <v>EM SEPARAÇÃO</v>
      </c>
      <c r="M379" s="32" t="str">
        <f ca="1">IFERROR(VLOOKUP(MB25_VOLUMETRIA[[#This Row],[Reserva]],RES_AB[],14,FALSE),"")</f>
        <v>RESERVAS EM ATRASO</v>
      </c>
      <c r="N379" s="32" t="str">
        <f>IF(MB25_VOLUMETRIA[[#This Row],[Cen.]]="","",IFERROR(VLOOKUP(MB25_VOLUMETRIA[[#This Row],[Cen.]],Dados_Empresas[],2,FALSE),"Verificar empresa"))</f>
        <v>NET MASSIVO</v>
      </c>
      <c r="O379" s="32" t="str">
        <f>IF(MB25_VOLUMETRIA[[#This Row],[EMPRESA]]="","",IF(OR(MB25_VOLUMETRIA[[#This Row],[EMPRESA]]="NET MASSIVO",MB25_VOLUMETRIA[[#This Row],[EMPRESA]]="NET PROJETOS"),"NET","EMPRESARIAL"))</f>
        <v>NET</v>
      </c>
    </row>
    <row r="380" spans="1:15" x14ac:dyDescent="0.25">
      <c r="A380" s="32">
        <v>4379595</v>
      </c>
      <c r="B380" s="32" t="s">
        <v>21</v>
      </c>
      <c r="C380" s="33" t="s">
        <v>19</v>
      </c>
      <c r="D380" s="35">
        <v>45446</v>
      </c>
      <c r="E380" s="32" t="s">
        <v>184</v>
      </c>
      <c r="F380" s="32">
        <v>41001294</v>
      </c>
      <c r="G380" s="32" t="s">
        <v>248</v>
      </c>
      <c r="H380" s="26" t="s">
        <v>38</v>
      </c>
      <c r="I380" s="36">
        <v>300</v>
      </c>
      <c r="J380" s="32">
        <f>IF(MB25_VOLUMETRIA[[#This Row],[Reserva]]="","",1)</f>
        <v>1</v>
      </c>
      <c r="K380" s="36" t="str">
        <f>IF(MB25_VOLUMETRIA[[#This Row],[Reserva]]="","",IFERROR(VLOOKUP(MB25_VOLUMETRIA[[#This Row],[UMB]],CHAVE[],2,FALSE),"VERIFICAR"))</f>
        <v>Unidade</v>
      </c>
      <c r="L380" s="32" t="str">
        <f>IF(MB25_VOLUMETRIA[[#This Row],[Reserva]]="","",IFERROR(VLOOKUP(MB25_VOLUMETRIA[[#This Row],[Reserva]],Tabela3[[Reserva]:[Condição para Faturamento]],20,FALSE),"IMPORTADO COM SUCESSO"))</f>
        <v>EM CONFERENCIA</v>
      </c>
      <c r="M380" s="32" t="str">
        <f ca="1">IFERROR(VLOOKUP(MB25_VOLUMETRIA[[#This Row],[Reserva]],RES_AB[],14,FALSE),"")</f>
        <v>RESERVAS EM ATRASO</v>
      </c>
      <c r="N380" s="32" t="str">
        <f>IF(MB25_VOLUMETRIA[[#This Row],[Cen.]]="","",IFERROR(VLOOKUP(MB25_VOLUMETRIA[[#This Row],[Cen.]],Dados_Empresas[],2,FALSE),"Verificar empresa"))</f>
        <v>NET MASSIVO</v>
      </c>
      <c r="O380" s="32" t="str">
        <f>IF(MB25_VOLUMETRIA[[#This Row],[EMPRESA]]="","",IF(OR(MB25_VOLUMETRIA[[#This Row],[EMPRESA]]="NET MASSIVO",MB25_VOLUMETRIA[[#This Row],[EMPRESA]]="NET PROJETOS"),"NET","EMPRESARIAL"))</f>
        <v>NET</v>
      </c>
    </row>
    <row r="381" spans="1:15" x14ac:dyDescent="0.25">
      <c r="A381" s="32">
        <v>4379595</v>
      </c>
      <c r="B381" s="32" t="s">
        <v>21</v>
      </c>
      <c r="C381" s="33" t="s">
        <v>21</v>
      </c>
      <c r="D381" s="35">
        <v>45446</v>
      </c>
      <c r="E381" s="32" t="s">
        <v>184</v>
      </c>
      <c r="F381" s="32">
        <v>41001590</v>
      </c>
      <c r="G381" s="32" t="s">
        <v>239</v>
      </c>
      <c r="H381" s="26" t="s">
        <v>38</v>
      </c>
      <c r="I381" s="36">
        <v>100</v>
      </c>
      <c r="J381" s="32">
        <f>IF(MB25_VOLUMETRIA[[#This Row],[Reserva]]="","",1)</f>
        <v>1</v>
      </c>
      <c r="K381" s="36" t="str">
        <f>IF(MB25_VOLUMETRIA[[#This Row],[Reserva]]="","",IFERROR(VLOOKUP(MB25_VOLUMETRIA[[#This Row],[UMB]],CHAVE[],2,FALSE),"VERIFICAR"))</f>
        <v>Unidade</v>
      </c>
      <c r="L381" s="32" t="str">
        <f>IF(MB25_VOLUMETRIA[[#This Row],[Reserva]]="","",IFERROR(VLOOKUP(MB25_VOLUMETRIA[[#This Row],[Reserva]],Tabela3[[Reserva]:[Condição para Faturamento]],20,FALSE),"IMPORTADO COM SUCESSO"))</f>
        <v>EM CONFERENCIA</v>
      </c>
      <c r="M381" s="32" t="str">
        <f ca="1">IFERROR(VLOOKUP(MB25_VOLUMETRIA[[#This Row],[Reserva]],RES_AB[],14,FALSE),"")</f>
        <v>RESERVAS EM ATRASO</v>
      </c>
      <c r="N381" s="32" t="str">
        <f>IF(MB25_VOLUMETRIA[[#This Row],[Cen.]]="","",IFERROR(VLOOKUP(MB25_VOLUMETRIA[[#This Row],[Cen.]],Dados_Empresas[],2,FALSE),"Verificar empresa"))</f>
        <v>NET MASSIVO</v>
      </c>
      <c r="O381" s="32" t="str">
        <f>IF(MB25_VOLUMETRIA[[#This Row],[EMPRESA]]="","",IF(OR(MB25_VOLUMETRIA[[#This Row],[EMPRESA]]="NET MASSIVO",MB25_VOLUMETRIA[[#This Row],[EMPRESA]]="NET PROJETOS"),"NET","EMPRESARIAL"))</f>
        <v>NET</v>
      </c>
    </row>
    <row r="382" spans="1:15" x14ac:dyDescent="0.25">
      <c r="A382" s="32">
        <v>4379599</v>
      </c>
      <c r="B382" s="32" t="s">
        <v>21</v>
      </c>
      <c r="C382" s="33" t="s">
        <v>19</v>
      </c>
      <c r="D382" s="35">
        <v>45446</v>
      </c>
      <c r="E382" s="32" t="s">
        <v>185</v>
      </c>
      <c r="F382" s="32">
        <v>22026249</v>
      </c>
      <c r="G382" s="32" t="s">
        <v>186</v>
      </c>
      <c r="H382" s="26" t="s">
        <v>38</v>
      </c>
      <c r="I382" s="36">
        <v>30</v>
      </c>
      <c r="J382" s="32">
        <f>IF(MB25_VOLUMETRIA[[#This Row],[Reserva]]="","",1)</f>
        <v>1</v>
      </c>
      <c r="K382" s="36" t="str">
        <f>IF(MB25_VOLUMETRIA[[#This Row],[Reserva]]="","",IFERROR(VLOOKUP(MB25_VOLUMETRIA[[#This Row],[UMB]],CHAVE[],2,FALSE),"VERIFICAR"))</f>
        <v>Unidade</v>
      </c>
      <c r="L382" s="32" t="str">
        <f>IF(MB25_VOLUMETRIA[[#This Row],[Reserva]]="","",IFERROR(VLOOKUP(MB25_VOLUMETRIA[[#This Row],[Reserva]],Tabela3[[Reserva]:[Condição para Faturamento]],20,FALSE),"IMPORTADO COM SUCESSO"))</f>
        <v>EM CONFERENCIA</v>
      </c>
      <c r="M382" s="32" t="str">
        <f ca="1">IFERROR(VLOOKUP(MB25_VOLUMETRIA[[#This Row],[Reserva]],RES_AB[],14,FALSE),"")</f>
        <v>RESERVAS EM ATRASO</v>
      </c>
      <c r="N382" s="32" t="str">
        <f>IF(MB25_VOLUMETRIA[[#This Row],[Cen.]]="","",IFERROR(VLOOKUP(MB25_VOLUMETRIA[[#This Row],[Cen.]],Dados_Empresas[],2,FALSE),"Verificar empresa"))</f>
        <v>NET MASSIVO</v>
      </c>
      <c r="O382" s="32" t="str">
        <f>IF(MB25_VOLUMETRIA[[#This Row],[EMPRESA]]="","",IF(OR(MB25_VOLUMETRIA[[#This Row],[EMPRESA]]="NET MASSIVO",MB25_VOLUMETRIA[[#This Row],[EMPRESA]]="NET PROJETOS"),"NET","EMPRESARIAL"))</f>
        <v>NET</v>
      </c>
    </row>
    <row r="383" spans="1:15" x14ac:dyDescent="0.25">
      <c r="A383" s="32">
        <v>4379599</v>
      </c>
      <c r="B383" s="32" t="s">
        <v>21</v>
      </c>
      <c r="C383" s="33" t="s">
        <v>19</v>
      </c>
      <c r="D383" s="35">
        <v>45446</v>
      </c>
      <c r="E383" s="32" t="s">
        <v>185</v>
      </c>
      <c r="F383" s="32">
        <v>22057705</v>
      </c>
      <c r="G383" s="32" t="s">
        <v>241</v>
      </c>
      <c r="H383" s="26" t="s">
        <v>38</v>
      </c>
      <c r="I383" s="36">
        <v>420</v>
      </c>
      <c r="J383" s="32">
        <f>IF(MB25_VOLUMETRIA[[#This Row],[Reserva]]="","",1)</f>
        <v>1</v>
      </c>
      <c r="K383" s="36" t="str">
        <f>IF(MB25_VOLUMETRIA[[#This Row],[Reserva]]="","",IFERROR(VLOOKUP(MB25_VOLUMETRIA[[#This Row],[UMB]],CHAVE[],2,FALSE),"VERIFICAR"))</f>
        <v>Unidade</v>
      </c>
      <c r="L383" s="32" t="str">
        <f>IF(MB25_VOLUMETRIA[[#This Row],[Reserva]]="","",IFERROR(VLOOKUP(MB25_VOLUMETRIA[[#This Row],[Reserva]],Tabela3[[Reserva]:[Condição para Faturamento]],20,FALSE),"IMPORTADO COM SUCESSO"))</f>
        <v>EM CONFERENCIA</v>
      </c>
      <c r="M383" s="32" t="str">
        <f ca="1">IFERROR(VLOOKUP(MB25_VOLUMETRIA[[#This Row],[Reserva]],RES_AB[],14,FALSE),"")</f>
        <v>RESERVAS EM ATRASO</v>
      </c>
      <c r="N383" s="32" t="str">
        <f>IF(MB25_VOLUMETRIA[[#This Row],[Cen.]]="","",IFERROR(VLOOKUP(MB25_VOLUMETRIA[[#This Row],[Cen.]],Dados_Empresas[],2,FALSE),"Verificar empresa"))</f>
        <v>NET MASSIVO</v>
      </c>
      <c r="O383" s="32" t="str">
        <f>IF(MB25_VOLUMETRIA[[#This Row],[EMPRESA]]="","",IF(OR(MB25_VOLUMETRIA[[#This Row],[EMPRESA]]="NET MASSIVO",MB25_VOLUMETRIA[[#This Row],[EMPRESA]]="NET PROJETOS"),"NET","EMPRESARIAL"))</f>
        <v>NET</v>
      </c>
    </row>
    <row r="384" spans="1:15" x14ac:dyDescent="0.25">
      <c r="A384" s="32">
        <v>4379599</v>
      </c>
      <c r="B384" s="32" t="s">
        <v>21</v>
      </c>
      <c r="C384" s="33" t="s">
        <v>19</v>
      </c>
      <c r="D384" s="35">
        <v>45446</v>
      </c>
      <c r="E384" s="32" t="s">
        <v>185</v>
      </c>
      <c r="F384" s="32">
        <v>22058239</v>
      </c>
      <c r="G384" s="32" t="s">
        <v>317</v>
      </c>
      <c r="H384" s="26" t="s">
        <v>38</v>
      </c>
      <c r="I384" s="36">
        <v>30</v>
      </c>
      <c r="J384" s="32">
        <f>IF(MB25_VOLUMETRIA[[#This Row],[Reserva]]="","",1)</f>
        <v>1</v>
      </c>
      <c r="K384" s="36" t="str">
        <f>IF(MB25_VOLUMETRIA[[#This Row],[Reserva]]="","",IFERROR(VLOOKUP(MB25_VOLUMETRIA[[#This Row],[UMB]],CHAVE[],2,FALSE),"VERIFICAR"))</f>
        <v>Unidade</v>
      </c>
      <c r="L384" s="32" t="str">
        <f>IF(MB25_VOLUMETRIA[[#This Row],[Reserva]]="","",IFERROR(VLOOKUP(MB25_VOLUMETRIA[[#This Row],[Reserva]],Tabela3[[Reserva]:[Condição para Faturamento]],20,FALSE),"IMPORTADO COM SUCESSO"))</f>
        <v>EM CONFERENCIA</v>
      </c>
      <c r="M384" s="32" t="str">
        <f ca="1">IFERROR(VLOOKUP(MB25_VOLUMETRIA[[#This Row],[Reserva]],RES_AB[],14,FALSE),"")</f>
        <v>RESERVAS EM ATRASO</v>
      </c>
      <c r="N384" s="32" t="str">
        <f>IF(MB25_VOLUMETRIA[[#This Row],[Cen.]]="","",IFERROR(VLOOKUP(MB25_VOLUMETRIA[[#This Row],[Cen.]],Dados_Empresas[],2,FALSE),"Verificar empresa"))</f>
        <v>NET MASSIVO</v>
      </c>
      <c r="O384" s="32" t="str">
        <f>IF(MB25_VOLUMETRIA[[#This Row],[EMPRESA]]="","",IF(OR(MB25_VOLUMETRIA[[#This Row],[EMPRESA]]="NET MASSIVO",MB25_VOLUMETRIA[[#This Row],[EMPRESA]]="NET PROJETOS"),"NET","EMPRESARIAL"))</f>
        <v>NET</v>
      </c>
    </row>
    <row r="385" spans="1:15" x14ac:dyDescent="0.25">
      <c r="A385" s="32">
        <v>4379599</v>
      </c>
      <c r="B385" s="32" t="s">
        <v>21</v>
      </c>
      <c r="C385" s="33" t="s">
        <v>21</v>
      </c>
      <c r="D385" s="35">
        <v>45446</v>
      </c>
      <c r="E385" s="32" t="s">
        <v>185</v>
      </c>
      <c r="F385" s="32">
        <v>22058258</v>
      </c>
      <c r="G385" s="32" t="s">
        <v>187</v>
      </c>
      <c r="H385" s="26" t="s">
        <v>38</v>
      </c>
      <c r="I385" s="36">
        <v>60</v>
      </c>
      <c r="J385" s="32">
        <f>IF(MB25_VOLUMETRIA[[#This Row],[Reserva]]="","",1)</f>
        <v>1</v>
      </c>
      <c r="K385" s="36" t="str">
        <f>IF(MB25_VOLUMETRIA[[#This Row],[Reserva]]="","",IFERROR(VLOOKUP(MB25_VOLUMETRIA[[#This Row],[UMB]],CHAVE[],2,FALSE),"VERIFICAR"))</f>
        <v>Unidade</v>
      </c>
      <c r="L385" s="32" t="str">
        <f>IF(MB25_VOLUMETRIA[[#This Row],[Reserva]]="","",IFERROR(VLOOKUP(MB25_VOLUMETRIA[[#This Row],[Reserva]],Tabela3[[Reserva]:[Condição para Faturamento]],20,FALSE),"IMPORTADO COM SUCESSO"))</f>
        <v>EM CONFERENCIA</v>
      </c>
      <c r="M385" s="32" t="str">
        <f ca="1">IFERROR(VLOOKUP(MB25_VOLUMETRIA[[#This Row],[Reserva]],RES_AB[],14,FALSE),"")</f>
        <v>RESERVAS EM ATRASO</v>
      </c>
      <c r="N385" s="32" t="str">
        <f>IF(MB25_VOLUMETRIA[[#This Row],[Cen.]]="","",IFERROR(VLOOKUP(MB25_VOLUMETRIA[[#This Row],[Cen.]],Dados_Empresas[],2,FALSE),"Verificar empresa"))</f>
        <v>NET MASSIVO</v>
      </c>
      <c r="O385" s="32" t="str">
        <f>IF(MB25_VOLUMETRIA[[#This Row],[EMPRESA]]="","",IF(OR(MB25_VOLUMETRIA[[#This Row],[EMPRESA]]="NET MASSIVO",MB25_VOLUMETRIA[[#This Row],[EMPRESA]]="NET PROJETOS"),"NET","EMPRESARIAL"))</f>
        <v>NET</v>
      </c>
    </row>
    <row r="386" spans="1:15" x14ac:dyDescent="0.25">
      <c r="A386" s="32">
        <v>4379600</v>
      </c>
      <c r="B386" s="32" t="s">
        <v>21</v>
      </c>
      <c r="C386" s="33" t="s">
        <v>19</v>
      </c>
      <c r="D386" s="35">
        <v>45446</v>
      </c>
      <c r="E386" s="32" t="s">
        <v>184</v>
      </c>
      <c r="F386" s="32">
        <v>41000805</v>
      </c>
      <c r="G386" s="32" t="s">
        <v>188</v>
      </c>
      <c r="H386" s="26" t="s">
        <v>38</v>
      </c>
      <c r="I386" s="36">
        <v>30</v>
      </c>
      <c r="J386" s="32">
        <f>IF(MB25_VOLUMETRIA[[#This Row],[Reserva]]="","",1)</f>
        <v>1</v>
      </c>
      <c r="K386" s="36" t="str">
        <f>IF(MB25_VOLUMETRIA[[#This Row],[Reserva]]="","",IFERROR(VLOOKUP(MB25_VOLUMETRIA[[#This Row],[UMB]],CHAVE[],2,FALSE),"VERIFICAR"))</f>
        <v>Unidade</v>
      </c>
      <c r="L38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6" s="32" t="str">
        <f ca="1">IFERROR(VLOOKUP(MB25_VOLUMETRIA[[#This Row],[Reserva]],RES_AB[],14,FALSE),"")</f>
        <v>RESERVAS EM ATRASO</v>
      </c>
      <c r="N386" s="32" t="str">
        <f>IF(MB25_VOLUMETRIA[[#This Row],[Cen.]]="","",IFERROR(VLOOKUP(MB25_VOLUMETRIA[[#This Row],[Cen.]],Dados_Empresas[],2,FALSE),"Verificar empresa"))</f>
        <v>NET MASSIVO</v>
      </c>
      <c r="O386" s="32" t="str">
        <f>IF(MB25_VOLUMETRIA[[#This Row],[EMPRESA]]="","",IF(OR(MB25_VOLUMETRIA[[#This Row],[EMPRESA]]="NET MASSIVO",MB25_VOLUMETRIA[[#This Row],[EMPRESA]]="NET PROJETOS"),"NET","EMPRESARIAL"))</f>
        <v>NET</v>
      </c>
    </row>
    <row r="387" spans="1:15" x14ac:dyDescent="0.25">
      <c r="A387" s="32">
        <v>4379600</v>
      </c>
      <c r="B387" s="32" t="s">
        <v>21</v>
      </c>
      <c r="C387" s="33" t="s">
        <v>19</v>
      </c>
      <c r="D387" s="35">
        <v>45446</v>
      </c>
      <c r="E387" s="32" t="s">
        <v>184</v>
      </c>
      <c r="F387" s="32">
        <v>41001048</v>
      </c>
      <c r="G387" s="32" t="s">
        <v>318</v>
      </c>
      <c r="H387" s="26" t="s">
        <v>38</v>
      </c>
      <c r="I387" s="36">
        <v>30</v>
      </c>
      <c r="J387" s="32">
        <f>IF(MB25_VOLUMETRIA[[#This Row],[Reserva]]="","",1)</f>
        <v>1</v>
      </c>
      <c r="K387" s="36" t="str">
        <f>IF(MB25_VOLUMETRIA[[#This Row],[Reserva]]="","",IFERROR(VLOOKUP(MB25_VOLUMETRIA[[#This Row],[UMB]],CHAVE[],2,FALSE),"VERIFICAR"))</f>
        <v>Unidade</v>
      </c>
      <c r="L38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7" s="32" t="str">
        <f ca="1">IFERROR(VLOOKUP(MB25_VOLUMETRIA[[#This Row],[Reserva]],RES_AB[],14,FALSE),"")</f>
        <v>RESERVAS EM ATRASO</v>
      </c>
      <c r="N387" s="32" t="str">
        <f>IF(MB25_VOLUMETRIA[[#This Row],[Cen.]]="","",IFERROR(VLOOKUP(MB25_VOLUMETRIA[[#This Row],[Cen.]],Dados_Empresas[],2,FALSE),"Verificar empresa"))</f>
        <v>NET MASSIVO</v>
      </c>
      <c r="O387" s="32" t="str">
        <f>IF(MB25_VOLUMETRIA[[#This Row],[EMPRESA]]="","",IF(OR(MB25_VOLUMETRIA[[#This Row],[EMPRESA]]="NET MASSIVO",MB25_VOLUMETRIA[[#This Row],[EMPRESA]]="NET PROJETOS"),"NET","EMPRESARIAL"))</f>
        <v>NET</v>
      </c>
    </row>
    <row r="388" spans="1:15" x14ac:dyDescent="0.25">
      <c r="A388" s="32">
        <v>4379600</v>
      </c>
      <c r="B388" s="32" t="s">
        <v>21</v>
      </c>
      <c r="C388" s="33" t="s">
        <v>19</v>
      </c>
      <c r="D388" s="35">
        <v>45446</v>
      </c>
      <c r="E388" s="32" t="s">
        <v>184</v>
      </c>
      <c r="F388" s="32">
        <v>41001294</v>
      </c>
      <c r="G388" s="32" t="s">
        <v>248</v>
      </c>
      <c r="H388" s="26" t="s">
        <v>38</v>
      </c>
      <c r="I388" s="36">
        <v>420</v>
      </c>
      <c r="J388" s="32">
        <f>IF(MB25_VOLUMETRIA[[#This Row],[Reserva]]="","",1)</f>
        <v>1</v>
      </c>
      <c r="K388" s="36" t="str">
        <f>IF(MB25_VOLUMETRIA[[#This Row],[Reserva]]="","",IFERROR(VLOOKUP(MB25_VOLUMETRIA[[#This Row],[UMB]],CHAVE[],2,FALSE),"VERIFICAR"))</f>
        <v>Unidade</v>
      </c>
      <c r="L38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8" s="32" t="str">
        <f ca="1">IFERROR(VLOOKUP(MB25_VOLUMETRIA[[#This Row],[Reserva]],RES_AB[],14,FALSE),"")</f>
        <v>RESERVAS EM ATRASO</v>
      </c>
      <c r="N388" s="32" t="str">
        <f>IF(MB25_VOLUMETRIA[[#This Row],[Cen.]]="","",IFERROR(VLOOKUP(MB25_VOLUMETRIA[[#This Row],[Cen.]],Dados_Empresas[],2,FALSE),"Verificar empresa"))</f>
        <v>NET MASSIVO</v>
      </c>
      <c r="O388" s="32" t="str">
        <f>IF(MB25_VOLUMETRIA[[#This Row],[EMPRESA]]="","",IF(OR(MB25_VOLUMETRIA[[#This Row],[EMPRESA]]="NET MASSIVO",MB25_VOLUMETRIA[[#This Row],[EMPRESA]]="NET PROJETOS"),"NET","EMPRESARIAL"))</f>
        <v>NET</v>
      </c>
    </row>
    <row r="389" spans="1:15" x14ac:dyDescent="0.25">
      <c r="A389" s="32">
        <v>4379609</v>
      </c>
      <c r="B389" s="32" t="s">
        <v>21</v>
      </c>
      <c r="C389" s="33" t="s">
        <v>21</v>
      </c>
      <c r="D389" s="35">
        <v>45446</v>
      </c>
      <c r="E389" s="32" t="s">
        <v>185</v>
      </c>
      <c r="F389" s="32">
        <v>22025049</v>
      </c>
      <c r="G389" s="32" t="s">
        <v>198</v>
      </c>
      <c r="H389" s="26" t="s">
        <v>38</v>
      </c>
      <c r="I389" s="36">
        <v>6</v>
      </c>
      <c r="J389" s="32">
        <f>IF(MB25_VOLUMETRIA[[#This Row],[Reserva]]="","",1)</f>
        <v>1</v>
      </c>
      <c r="K389" s="36" t="str">
        <f>IF(MB25_VOLUMETRIA[[#This Row],[Reserva]]="","",IFERROR(VLOOKUP(MB25_VOLUMETRIA[[#This Row],[UMB]],CHAVE[],2,FALSE),"VERIFICAR"))</f>
        <v>Unidade</v>
      </c>
      <c r="L3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89" s="32" t="str">
        <f ca="1">IFERROR(VLOOKUP(MB25_VOLUMETRIA[[#This Row],[Reserva]],RES_AB[],14,FALSE),"")</f>
        <v>RESERVAS EM ATRASO</v>
      </c>
      <c r="N389" s="32" t="str">
        <f>IF(MB25_VOLUMETRIA[[#This Row],[Cen.]]="","",IFERROR(VLOOKUP(MB25_VOLUMETRIA[[#This Row],[Cen.]],Dados_Empresas[],2,FALSE),"Verificar empresa"))</f>
        <v>NET MASSIVO</v>
      </c>
      <c r="O389" s="32" t="str">
        <f>IF(MB25_VOLUMETRIA[[#This Row],[EMPRESA]]="","",IF(OR(MB25_VOLUMETRIA[[#This Row],[EMPRESA]]="NET MASSIVO",MB25_VOLUMETRIA[[#This Row],[EMPRESA]]="NET PROJETOS"),"NET","EMPRESARIAL"))</f>
        <v>NET</v>
      </c>
    </row>
    <row r="390" spans="1:15" x14ac:dyDescent="0.25">
      <c r="A390" s="32">
        <v>4379609</v>
      </c>
      <c r="B390" s="32" t="s">
        <v>21</v>
      </c>
      <c r="C390" s="33" t="s">
        <v>21</v>
      </c>
      <c r="D390" s="35">
        <v>45446</v>
      </c>
      <c r="E390" s="32" t="s">
        <v>185</v>
      </c>
      <c r="F390" s="32">
        <v>22025072</v>
      </c>
      <c r="G390" s="32" t="s">
        <v>204</v>
      </c>
      <c r="H390" s="26" t="s">
        <v>38</v>
      </c>
      <c r="I390" s="36">
        <v>69</v>
      </c>
      <c r="J390" s="32">
        <f>IF(MB25_VOLUMETRIA[[#This Row],[Reserva]]="","",1)</f>
        <v>1</v>
      </c>
      <c r="K390" s="36" t="str">
        <f>IF(MB25_VOLUMETRIA[[#This Row],[Reserva]]="","",IFERROR(VLOOKUP(MB25_VOLUMETRIA[[#This Row],[UMB]],CHAVE[],2,FALSE),"VERIFICAR"))</f>
        <v>Unidade</v>
      </c>
      <c r="L3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0" s="32" t="str">
        <f ca="1">IFERROR(VLOOKUP(MB25_VOLUMETRIA[[#This Row],[Reserva]],RES_AB[],14,FALSE),"")</f>
        <v>RESERVAS EM ATRASO</v>
      </c>
      <c r="N390" s="32" t="str">
        <f>IF(MB25_VOLUMETRIA[[#This Row],[Cen.]]="","",IFERROR(VLOOKUP(MB25_VOLUMETRIA[[#This Row],[Cen.]],Dados_Empresas[],2,FALSE),"Verificar empresa"))</f>
        <v>NET MASSIVO</v>
      </c>
      <c r="O390" s="32" t="str">
        <f>IF(MB25_VOLUMETRIA[[#This Row],[EMPRESA]]="","",IF(OR(MB25_VOLUMETRIA[[#This Row],[EMPRESA]]="NET MASSIVO",MB25_VOLUMETRIA[[#This Row],[EMPRESA]]="NET PROJETOS"),"NET","EMPRESARIAL"))</f>
        <v>NET</v>
      </c>
    </row>
    <row r="391" spans="1:15" x14ac:dyDescent="0.25">
      <c r="A391" s="32">
        <v>4379609</v>
      </c>
      <c r="B391" s="32" t="s">
        <v>21</v>
      </c>
      <c r="C391" s="33" t="s">
        <v>21</v>
      </c>
      <c r="D391" s="35">
        <v>45446</v>
      </c>
      <c r="E391" s="32" t="s">
        <v>185</v>
      </c>
      <c r="F391" s="32">
        <v>22025321</v>
      </c>
      <c r="G391" s="32" t="s">
        <v>220</v>
      </c>
      <c r="H391" s="26" t="s">
        <v>38</v>
      </c>
      <c r="I391" s="36">
        <v>400</v>
      </c>
      <c r="J391" s="32">
        <f>IF(MB25_VOLUMETRIA[[#This Row],[Reserva]]="","",1)</f>
        <v>1</v>
      </c>
      <c r="K391" s="36" t="str">
        <f>IF(MB25_VOLUMETRIA[[#This Row],[Reserva]]="","",IFERROR(VLOOKUP(MB25_VOLUMETRIA[[#This Row],[UMB]],CHAVE[],2,FALSE),"VERIFICAR"))</f>
        <v>Unidade</v>
      </c>
      <c r="L3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1" s="32" t="str">
        <f ca="1">IFERROR(VLOOKUP(MB25_VOLUMETRIA[[#This Row],[Reserva]],RES_AB[],14,FALSE),"")</f>
        <v>RESERVAS EM ATRASO</v>
      </c>
      <c r="N391" s="32" t="str">
        <f>IF(MB25_VOLUMETRIA[[#This Row],[Cen.]]="","",IFERROR(VLOOKUP(MB25_VOLUMETRIA[[#This Row],[Cen.]],Dados_Empresas[],2,FALSE),"Verificar empresa"))</f>
        <v>NET MASSIVO</v>
      </c>
      <c r="O391" s="32" t="str">
        <f>IF(MB25_VOLUMETRIA[[#This Row],[EMPRESA]]="","",IF(OR(MB25_VOLUMETRIA[[#This Row],[EMPRESA]]="NET MASSIVO",MB25_VOLUMETRIA[[#This Row],[EMPRESA]]="NET PROJETOS"),"NET","EMPRESARIAL"))</f>
        <v>NET</v>
      </c>
    </row>
    <row r="392" spans="1:15" x14ac:dyDescent="0.25">
      <c r="A392" s="32">
        <v>4379609</v>
      </c>
      <c r="B392" s="32" t="s">
        <v>21</v>
      </c>
      <c r="C392" s="33" t="s">
        <v>21</v>
      </c>
      <c r="D392" s="35">
        <v>45446</v>
      </c>
      <c r="E392" s="32" t="s">
        <v>185</v>
      </c>
      <c r="F392" s="32">
        <v>22025349</v>
      </c>
      <c r="G392" s="32" t="s">
        <v>217</v>
      </c>
      <c r="H392" s="26" t="s">
        <v>38</v>
      </c>
      <c r="I392" s="36">
        <v>1000</v>
      </c>
      <c r="J392" s="32">
        <f>IF(MB25_VOLUMETRIA[[#This Row],[Reserva]]="","",1)</f>
        <v>1</v>
      </c>
      <c r="K392" s="36" t="str">
        <f>IF(MB25_VOLUMETRIA[[#This Row],[Reserva]]="","",IFERROR(VLOOKUP(MB25_VOLUMETRIA[[#This Row],[UMB]],CHAVE[],2,FALSE),"VERIFICAR"))</f>
        <v>Unidade</v>
      </c>
      <c r="L3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2" s="32" t="str">
        <f ca="1">IFERROR(VLOOKUP(MB25_VOLUMETRIA[[#This Row],[Reserva]],RES_AB[],14,FALSE),"")</f>
        <v>RESERVAS EM ATRASO</v>
      </c>
      <c r="N392" s="32" t="str">
        <f>IF(MB25_VOLUMETRIA[[#This Row],[Cen.]]="","",IFERROR(VLOOKUP(MB25_VOLUMETRIA[[#This Row],[Cen.]],Dados_Empresas[],2,FALSE),"Verificar empresa"))</f>
        <v>NET MASSIVO</v>
      </c>
      <c r="O392" s="32" t="str">
        <f>IF(MB25_VOLUMETRIA[[#This Row],[EMPRESA]]="","",IF(OR(MB25_VOLUMETRIA[[#This Row],[EMPRESA]]="NET MASSIVO",MB25_VOLUMETRIA[[#This Row],[EMPRESA]]="NET PROJETOS"),"NET","EMPRESARIAL"))</f>
        <v>NET</v>
      </c>
    </row>
    <row r="393" spans="1:15" x14ac:dyDescent="0.25">
      <c r="A393" s="32">
        <v>4379609</v>
      </c>
      <c r="B393" s="32" t="s">
        <v>21</v>
      </c>
      <c r="C393" s="33" t="s">
        <v>21</v>
      </c>
      <c r="D393" s="35">
        <v>45446</v>
      </c>
      <c r="E393" s="32" t="s">
        <v>185</v>
      </c>
      <c r="F393" s="32">
        <v>22026189</v>
      </c>
      <c r="G393" s="32" t="s">
        <v>200</v>
      </c>
      <c r="H393" s="26" t="s">
        <v>38</v>
      </c>
      <c r="I393" s="36">
        <v>3100</v>
      </c>
      <c r="J393" s="32">
        <f>IF(MB25_VOLUMETRIA[[#This Row],[Reserva]]="","",1)</f>
        <v>1</v>
      </c>
      <c r="K393" s="36" t="str">
        <f>IF(MB25_VOLUMETRIA[[#This Row],[Reserva]]="","",IFERROR(VLOOKUP(MB25_VOLUMETRIA[[#This Row],[UMB]],CHAVE[],2,FALSE),"VERIFICAR"))</f>
        <v>Unidade</v>
      </c>
      <c r="L3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3" s="32" t="str">
        <f ca="1">IFERROR(VLOOKUP(MB25_VOLUMETRIA[[#This Row],[Reserva]],RES_AB[],14,FALSE),"")</f>
        <v>RESERVAS EM ATRASO</v>
      </c>
      <c r="N393" s="32" t="str">
        <f>IF(MB25_VOLUMETRIA[[#This Row],[Cen.]]="","",IFERROR(VLOOKUP(MB25_VOLUMETRIA[[#This Row],[Cen.]],Dados_Empresas[],2,FALSE),"Verificar empresa"))</f>
        <v>NET MASSIVO</v>
      </c>
      <c r="O393" s="32" t="str">
        <f>IF(MB25_VOLUMETRIA[[#This Row],[EMPRESA]]="","",IF(OR(MB25_VOLUMETRIA[[#This Row],[EMPRESA]]="NET MASSIVO",MB25_VOLUMETRIA[[#This Row],[EMPRESA]]="NET PROJETOS"),"NET","EMPRESARIAL"))</f>
        <v>NET</v>
      </c>
    </row>
    <row r="394" spans="1:15" x14ac:dyDescent="0.25">
      <c r="A394" s="32">
        <v>4379609</v>
      </c>
      <c r="B394" s="32" t="s">
        <v>21</v>
      </c>
      <c r="C394" s="33" t="s">
        <v>21</v>
      </c>
      <c r="D394" s="35">
        <v>45446</v>
      </c>
      <c r="E394" s="32" t="s">
        <v>185</v>
      </c>
      <c r="F394" s="32">
        <v>22026199</v>
      </c>
      <c r="G394" s="32" t="s">
        <v>233</v>
      </c>
      <c r="H394" s="26" t="s">
        <v>38</v>
      </c>
      <c r="I394" s="36">
        <v>100</v>
      </c>
      <c r="J394" s="32">
        <f>IF(MB25_VOLUMETRIA[[#This Row],[Reserva]]="","",1)</f>
        <v>1</v>
      </c>
      <c r="K394" s="36" t="str">
        <f>IF(MB25_VOLUMETRIA[[#This Row],[Reserva]]="","",IFERROR(VLOOKUP(MB25_VOLUMETRIA[[#This Row],[UMB]],CHAVE[],2,FALSE),"VERIFICAR"))</f>
        <v>Unidade</v>
      </c>
      <c r="L3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4" s="32" t="str">
        <f ca="1">IFERROR(VLOOKUP(MB25_VOLUMETRIA[[#This Row],[Reserva]],RES_AB[],14,FALSE),"")</f>
        <v>RESERVAS EM ATRASO</v>
      </c>
      <c r="N394" s="32" t="str">
        <f>IF(MB25_VOLUMETRIA[[#This Row],[Cen.]]="","",IFERROR(VLOOKUP(MB25_VOLUMETRIA[[#This Row],[Cen.]],Dados_Empresas[],2,FALSE),"Verificar empresa"))</f>
        <v>NET MASSIVO</v>
      </c>
      <c r="O394" s="32" t="str">
        <f>IF(MB25_VOLUMETRIA[[#This Row],[EMPRESA]]="","",IF(OR(MB25_VOLUMETRIA[[#This Row],[EMPRESA]]="NET MASSIVO",MB25_VOLUMETRIA[[#This Row],[EMPRESA]]="NET PROJETOS"),"NET","EMPRESARIAL"))</f>
        <v>NET</v>
      </c>
    </row>
    <row r="395" spans="1:15" x14ac:dyDescent="0.25">
      <c r="A395" s="32">
        <v>4379609</v>
      </c>
      <c r="B395" s="32" t="s">
        <v>21</v>
      </c>
      <c r="C395" s="33" t="s">
        <v>21</v>
      </c>
      <c r="D395" s="35">
        <v>45446</v>
      </c>
      <c r="E395" s="32" t="s">
        <v>185</v>
      </c>
      <c r="F395" s="32">
        <v>22026219</v>
      </c>
      <c r="G395" s="32" t="s">
        <v>221</v>
      </c>
      <c r="H395" s="26" t="s">
        <v>38</v>
      </c>
      <c r="I395" s="36">
        <v>12300</v>
      </c>
      <c r="J395" s="32">
        <f>IF(MB25_VOLUMETRIA[[#This Row],[Reserva]]="","",1)</f>
        <v>1</v>
      </c>
      <c r="K395" s="36" t="str">
        <f>IF(MB25_VOLUMETRIA[[#This Row],[Reserva]]="","",IFERROR(VLOOKUP(MB25_VOLUMETRIA[[#This Row],[UMB]],CHAVE[],2,FALSE),"VERIFICAR"))</f>
        <v>Unidade</v>
      </c>
      <c r="L3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5" s="32" t="str">
        <f ca="1">IFERROR(VLOOKUP(MB25_VOLUMETRIA[[#This Row],[Reserva]],RES_AB[],14,FALSE),"")</f>
        <v>RESERVAS EM ATRASO</v>
      </c>
      <c r="N395" s="32" t="str">
        <f>IF(MB25_VOLUMETRIA[[#This Row],[Cen.]]="","",IFERROR(VLOOKUP(MB25_VOLUMETRIA[[#This Row],[Cen.]],Dados_Empresas[],2,FALSE),"Verificar empresa"))</f>
        <v>NET MASSIVO</v>
      </c>
      <c r="O395" s="32" t="str">
        <f>IF(MB25_VOLUMETRIA[[#This Row],[EMPRESA]]="","",IF(OR(MB25_VOLUMETRIA[[#This Row],[EMPRESA]]="NET MASSIVO",MB25_VOLUMETRIA[[#This Row],[EMPRESA]]="NET PROJETOS"),"NET","EMPRESARIAL"))</f>
        <v>NET</v>
      </c>
    </row>
    <row r="396" spans="1:15" x14ac:dyDescent="0.25">
      <c r="A396" s="32">
        <v>4379609</v>
      </c>
      <c r="B396" s="32" t="s">
        <v>21</v>
      </c>
      <c r="C396" s="33" t="s">
        <v>21</v>
      </c>
      <c r="D396" s="35">
        <v>45446</v>
      </c>
      <c r="E396" s="32" t="s">
        <v>185</v>
      </c>
      <c r="F396" s="32">
        <v>22026223</v>
      </c>
      <c r="G396" s="32" t="s">
        <v>195</v>
      </c>
      <c r="H396" s="26" t="s">
        <v>38</v>
      </c>
      <c r="I396" s="36">
        <v>7015</v>
      </c>
      <c r="J396" s="32">
        <f>IF(MB25_VOLUMETRIA[[#This Row],[Reserva]]="","",1)</f>
        <v>1</v>
      </c>
      <c r="K396" s="36" t="str">
        <f>IF(MB25_VOLUMETRIA[[#This Row],[Reserva]]="","",IFERROR(VLOOKUP(MB25_VOLUMETRIA[[#This Row],[UMB]],CHAVE[],2,FALSE),"VERIFICAR"))</f>
        <v>Unidade</v>
      </c>
      <c r="L3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6" s="32" t="str">
        <f ca="1">IFERROR(VLOOKUP(MB25_VOLUMETRIA[[#This Row],[Reserva]],RES_AB[],14,FALSE),"")</f>
        <v>RESERVAS EM ATRASO</v>
      </c>
      <c r="N396" s="32" t="str">
        <f>IF(MB25_VOLUMETRIA[[#This Row],[Cen.]]="","",IFERROR(VLOOKUP(MB25_VOLUMETRIA[[#This Row],[Cen.]],Dados_Empresas[],2,FALSE),"Verificar empresa"))</f>
        <v>NET MASSIVO</v>
      </c>
      <c r="O396" s="32" t="str">
        <f>IF(MB25_VOLUMETRIA[[#This Row],[EMPRESA]]="","",IF(OR(MB25_VOLUMETRIA[[#This Row],[EMPRESA]]="NET MASSIVO",MB25_VOLUMETRIA[[#This Row],[EMPRESA]]="NET PROJETOS"),"NET","EMPRESARIAL"))</f>
        <v>NET</v>
      </c>
    </row>
    <row r="397" spans="1:15" x14ac:dyDescent="0.25">
      <c r="A397" s="32">
        <v>4379609</v>
      </c>
      <c r="B397" s="32" t="s">
        <v>21</v>
      </c>
      <c r="C397" s="33" t="s">
        <v>21</v>
      </c>
      <c r="D397" s="35">
        <v>45446</v>
      </c>
      <c r="E397" s="32" t="s">
        <v>185</v>
      </c>
      <c r="F397" s="32">
        <v>22026772</v>
      </c>
      <c r="G397" s="32" t="s">
        <v>201</v>
      </c>
      <c r="H397" s="26" t="s">
        <v>38</v>
      </c>
      <c r="I397" s="36">
        <v>100</v>
      </c>
      <c r="J397" s="32">
        <f>IF(MB25_VOLUMETRIA[[#This Row],[Reserva]]="","",1)</f>
        <v>1</v>
      </c>
      <c r="K397" s="36" t="str">
        <f>IF(MB25_VOLUMETRIA[[#This Row],[Reserva]]="","",IFERROR(VLOOKUP(MB25_VOLUMETRIA[[#This Row],[UMB]],CHAVE[],2,FALSE),"VERIFICAR"))</f>
        <v>Unidade</v>
      </c>
      <c r="L3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7" s="32" t="str">
        <f ca="1">IFERROR(VLOOKUP(MB25_VOLUMETRIA[[#This Row],[Reserva]],RES_AB[],14,FALSE),"")</f>
        <v>RESERVAS EM ATRASO</v>
      </c>
      <c r="N397" s="32" t="str">
        <f>IF(MB25_VOLUMETRIA[[#This Row],[Cen.]]="","",IFERROR(VLOOKUP(MB25_VOLUMETRIA[[#This Row],[Cen.]],Dados_Empresas[],2,FALSE),"Verificar empresa"))</f>
        <v>NET MASSIVO</v>
      </c>
      <c r="O397" s="32" t="str">
        <f>IF(MB25_VOLUMETRIA[[#This Row],[EMPRESA]]="","",IF(OR(MB25_VOLUMETRIA[[#This Row],[EMPRESA]]="NET MASSIVO",MB25_VOLUMETRIA[[#This Row],[EMPRESA]]="NET PROJETOS"),"NET","EMPRESARIAL"))</f>
        <v>NET</v>
      </c>
    </row>
    <row r="398" spans="1:15" x14ac:dyDescent="0.25">
      <c r="A398" s="32">
        <v>4379609</v>
      </c>
      <c r="B398" s="32" t="s">
        <v>21</v>
      </c>
      <c r="C398" s="33" t="s">
        <v>21</v>
      </c>
      <c r="D398" s="35">
        <v>45446</v>
      </c>
      <c r="E398" s="32" t="s">
        <v>185</v>
      </c>
      <c r="F398" s="32">
        <v>22026809</v>
      </c>
      <c r="G398" s="32" t="s">
        <v>231</v>
      </c>
      <c r="H398" s="26" t="s">
        <v>38</v>
      </c>
      <c r="I398" s="36">
        <v>150</v>
      </c>
      <c r="J398" s="32">
        <f>IF(MB25_VOLUMETRIA[[#This Row],[Reserva]]="","",1)</f>
        <v>1</v>
      </c>
      <c r="K398" s="36" t="str">
        <f>IF(MB25_VOLUMETRIA[[#This Row],[Reserva]]="","",IFERROR(VLOOKUP(MB25_VOLUMETRIA[[#This Row],[UMB]],CHAVE[],2,FALSE),"VERIFICAR"))</f>
        <v>Unidade</v>
      </c>
      <c r="L3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8" s="32" t="str">
        <f ca="1">IFERROR(VLOOKUP(MB25_VOLUMETRIA[[#This Row],[Reserva]],RES_AB[],14,FALSE),"")</f>
        <v>RESERVAS EM ATRASO</v>
      </c>
      <c r="N398" s="32" t="str">
        <f>IF(MB25_VOLUMETRIA[[#This Row],[Cen.]]="","",IFERROR(VLOOKUP(MB25_VOLUMETRIA[[#This Row],[Cen.]],Dados_Empresas[],2,FALSE),"Verificar empresa"))</f>
        <v>NET MASSIVO</v>
      </c>
      <c r="O398" s="32" t="str">
        <f>IF(MB25_VOLUMETRIA[[#This Row],[EMPRESA]]="","",IF(OR(MB25_VOLUMETRIA[[#This Row],[EMPRESA]]="NET MASSIVO",MB25_VOLUMETRIA[[#This Row],[EMPRESA]]="NET PROJETOS"),"NET","EMPRESARIAL"))</f>
        <v>NET</v>
      </c>
    </row>
    <row r="399" spans="1:15" x14ac:dyDescent="0.25">
      <c r="A399" s="32">
        <v>4379609</v>
      </c>
      <c r="B399" s="32" t="s">
        <v>21</v>
      </c>
      <c r="C399" s="33" t="s">
        <v>21</v>
      </c>
      <c r="D399" s="35">
        <v>45446</v>
      </c>
      <c r="E399" s="32" t="s">
        <v>185</v>
      </c>
      <c r="F399" s="32">
        <v>22056331</v>
      </c>
      <c r="G399" s="32" t="s">
        <v>209</v>
      </c>
      <c r="H399" s="26" t="s">
        <v>38</v>
      </c>
      <c r="I399" s="36">
        <v>100</v>
      </c>
      <c r="J399" s="32">
        <f>IF(MB25_VOLUMETRIA[[#This Row],[Reserva]]="","",1)</f>
        <v>1</v>
      </c>
      <c r="K399" s="36" t="str">
        <f>IF(MB25_VOLUMETRIA[[#This Row],[Reserva]]="","",IFERROR(VLOOKUP(MB25_VOLUMETRIA[[#This Row],[UMB]],CHAVE[],2,FALSE),"VERIFICAR"))</f>
        <v>Unidade</v>
      </c>
      <c r="L3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399" s="32" t="str">
        <f ca="1">IFERROR(VLOOKUP(MB25_VOLUMETRIA[[#This Row],[Reserva]],RES_AB[],14,FALSE),"")</f>
        <v>RESERVAS EM ATRASO</v>
      </c>
      <c r="N399" s="32" t="str">
        <f>IF(MB25_VOLUMETRIA[[#This Row],[Cen.]]="","",IFERROR(VLOOKUP(MB25_VOLUMETRIA[[#This Row],[Cen.]],Dados_Empresas[],2,FALSE),"Verificar empresa"))</f>
        <v>NET MASSIVO</v>
      </c>
      <c r="O399" s="32" t="str">
        <f>IF(MB25_VOLUMETRIA[[#This Row],[EMPRESA]]="","",IF(OR(MB25_VOLUMETRIA[[#This Row],[EMPRESA]]="NET MASSIVO",MB25_VOLUMETRIA[[#This Row],[EMPRESA]]="NET PROJETOS"),"NET","EMPRESARIAL"))</f>
        <v>NET</v>
      </c>
    </row>
    <row r="400" spans="1:15" x14ac:dyDescent="0.25">
      <c r="A400" s="32">
        <v>4379609</v>
      </c>
      <c r="B400" s="32" t="s">
        <v>21</v>
      </c>
      <c r="C400" s="33" t="s">
        <v>21</v>
      </c>
      <c r="D400" s="35">
        <v>45446</v>
      </c>
      <c r="E400" s="32" t="s">
        <v>185</v>
      </c>
      <c r="F400" s="32">
        <v>22056332</v>
      </c>
      <c r="G400" s="32" t="s">
        <v>207</v>
      </c>
      <c r="H400" s="26" t="s">
        <v>38</v>
      </c>
      <c r="I400" s="36">
        <v>48</v>
      </c>
      <c r="J400" s="32">
        <f>IF(MB25_VOLUMETRIA[[#This Row],[Reserva]]="","",1)</f>
        <v>1</v>
      </c>
      <c r="K400" s="36" t="str">
        <f>IF(MB25_VOLUMETRIA[[#This Row],[Reserva]]="","",IFERROR(VLOOKUP(MB25_VOLUMETRIA[[#This Row],[UMB]],CHAVE[],2,FALSE),"VERIFICAR"))</f>
        <v>Unidade</v>
      </c>
      <c r="L4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0" s="32" t="str">
        <f ca="1">IFERROR(VLOOKUP(MB25_VOLUMETRIA[[#This Row],[Reserva]],RES_AB[],14,FALSE),"")</f>
        <v>RESERVAS EM ATRASO</v>
      </c>
      <c r="N400" s="32" t="str">
        <f>IF(MB25_VOLUMETRIA[[#This Row],[Cen.]]="","",IFERROR(VLOOKUP(MB25_VOLUMETRIA[[#This Row],[Cen.]],Dados_Empresas[],2,FALSE),"Verificar empresa"))</f>
        <v>NET MASSIVO</v>
      </c>
      <c r="O400" s="32" t="str">
        <f>IF(MB25_VOLUMETRIA[[#This Row],[EMPRESA]]="","",IF(OR(MB25_VOLUMETRIA[[#This Row],[EMPRESA]]="NET MASSIVO",MB25_VOLUMETRIA[[#This Row],[EMPRESA]]="NET PROJETOS"),"NET","EMPRESARIAL"))</f>
        <v>NET</v>
      </c>
    </row>
    <row r="401" spans="1:15" x14ac:dyDescent="0.25">
      <c r="A401" s="32">
        <v>4379609</v>
      </c>
      <c r="B401" s="32" t="s">
        <v>21</v>
      </c>
      <c r="C401" s="33" t="s">
        <v>21</v>
      </c>
      <c r="D401" s="35">
        <v>45446</v>
      </c>
      <c r="E401" s="32" t="s">
        <v>185</v>
      </c>
      <c r="F401" s="32">
        <v>22056334</v>
      </c>
      <c r="G401" s="32" t="s">
        <v>321</v>
      </c>
      <c r="H401" s="26" t="s">
        <v>38</v>
      </c>
      <c r="I401" s="36">
        <v>300</v>
      </c>
      <c r="J401" s="32">
        <f>IF(MB25_VOLUMETRIA[[#This Row],[Reserva]]="","",1)</f>
        <v>1</v>
      </c>
      <c r="K401" s="36" t="str">
        <f>IF(MB25_VOLUMETRIA[[#This Row],[Reserva]]="","",IFERROR(VLOOKUP(MB25_VOLUMETRIA[[#This Row],[UMB]],CHAVE[],2,FALSE),"VERIFICAR"))</f>
        <v>Unidade</v>
      </c>
      <c r="L4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1" s="32" t="str">
        <f ca="1">IFERROR(VLOOKUP(MB25_VOLUMETRIA[[#This Row],[Reserva]],RES_AB[],14,FALSE),"")</f>
        <v>RESERVAS EM ATRASO</v>
      </c>
      <c r="N401" s="32" t="str">
        <f>IF(MB25_VOLUMETRIA[[#This Row],[Cen.]]="","",IFERROR(VLOOKUP(MB25_VOLUMETRIA[[#This Row],[Cen.]],Dados_Empresas[],2,FALSE),"Verificar empresa"))</f>
        <v>NET MASSIVO</v>
      </c>
      <c r="O401" s="32" t="str">
        <f>IF(MB25_VOLUMETRIA[[#This Row],[EMPRESA]]="","",IF(OR(MB25_VOLUMETRIA[[#This Row],[EMPRESA]]="NET MASSIVO",MB25_VOLUMETRIA[[#This Row],[EMPRESA]]="NET PROJETOS"),"NET","EMPRESARIAL"))</f>
        <v>NET</v>
      </c>
    </row>
    <row r="402" spans="1:15" x14ac:dyDescent="0.25">
      <c r="A402" s="32">
        <v>4379609</v>
      </c>
      <c r="B402" s="32" t="s">
        <v>21</v>
      </c>
      <c r="C402" s="33" t="s">
        <v>19</v>
      </c>
      <c r="D402" s="35">
        <v>45446</v>
      </c>
      <c r="E402" s="32" t="s">
        <v>185</v>
      </c>
      <c r="F402" s="32">
        <v>22056339</v>
      </c>
      <c r="G402" s="32" t="s">
        <v>243</v>
      </c>
      <c r="H402" s="26" t="s">
        <v>38</v>
      </c>
      <c r="I402" s="36">
        <v>100</v>
      </c>
      <c r="J402" s="32">
        <f>IF(MB25_VOLUMETRIA[[#This Row],[Reserva]]="","",1)</f>
        <v>1</v>
      </c>
      <c r="K402" s="36" t="str">
        <f>IF(MB25_VOLUMETRIA[[#This Row],[Reserva]]="","",IFERROR(VLOOKUP(MB25_VOLUMETRIA[[#This Row],[UMB]],CHAVE[],2,FALSE),"VERIFICAR"))</f>
        <v>Unidade</v>
      </c>
      <c r="L4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2" s="32" t="str">
        <f ca="1">IFERROR(VLOOKUP(MB25_VOLUMETRIA[[#This Row],[Reserva]],RES_AB[],14,FALSE),"")</f>
        <v>RESERVAS EM ATRASO</v>
      </c>
      <c r="N402" s="32" t="str">
        <f>IF(MB25_VOLUMETRIA[[#This Row],[Cen.]]="","",IFERROR(VLOOKUP(MB25_VOLUMETRIA[[#This Row],[Cen.]],Dados_Empresas[],2,FALSE),"Verificar empresa"))</f>
        <v>NET MASSIVO</v>
      </c>
      <c r="O402" s="32" t="str">
        <f>IF(MB25_VOLUMETRIA[[#This Row],[EMPRESA]]="","",IF(OR(MB25_VOLUMETRIA[[#This Row],[EMPRESA]]="NET MASSIVO",MB25_VOLUMETRIA[[#This Row],[EMPRESA]]="NET PROJETOS"),"NET","EMPRESARIAL"))</f>
        <v>NET</v>
      </c>
    </row>
    <row r="403" spans="1:15" x14ac:dyDescent="0.25">
      <c r="A403" s="32">
        <v>4379609</v>
      </c>
      <c r="B403" s="32" t="s">
        <v>21</v>
      </c>
      <c r="C403" s="33" t="s">
        <v>21</v>
      </c>
      <c r="D403" s="35">
        <v>45446</v>
      </c>
      <c r="E403" s="32" t="s">
        <v>185</v>
      </c>
      <c r="F403" s="32">
        <v>22056345</v>
      </c>
      <c r="G403" s="32" t="s">
        <v>255</v>
      </c>
      <c r="H403" s="26" t="s">
        <v>38</v>
      </c>
      <c r="I403" s="36">
        <v>100</v>
      </c>
      <c r="J403" s="32">
        <f>IF(MB25_VOLUMETRIA[[#This Row],[Reserva]]="","",1)</f>
        <v>1</v>
      </c>
      <c r="K403" s="36" t="str">
        <f>IF(MB25_VOLUMETRIA[[#This Row],[Reserva]]="","",IFERROR(VLOOKUP(MB25_VOLUMETRIA[[#This Row],[UMB]],CHAVE[],2,FALSE),"VERIFICAR"))</f>
        <v>Unidade</v>
      </c>
      <c r="L4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3" s="32" t="str">
        <f ca="1">IFERROR(VLOOKUP(MB25_VOLUMETRIA[[#This Row],[Reserva]],RES_AB[],14,FALSE),"")</f>
        <v>RESERVAS EM ATRASO</v>
      </c>
      <c r="N403" s="32" t="str">
        <f>IF(MB25_VOLUMETRIA[[#This Row],[Cen.]]="","",IFERROR(VLOOKUP(MB25_VOLUMETRIA[[#This Row],[Cen.]],Dados_Empresas[],2,FALSE),"Verificar empresa"))</f>
        <v>NET MASSIVO</v>
      </c>
      <c r="O403" s="32" t="str">
        <f>IF(MB25_VOLUMETRIA[[#This Row],[EMPRESA]]="","",IF(OR(MB25_VOLUMETRIA[[#This Row],[EMPRESA]]="NET MASSIVO",MB25_VOLUMETRIA[[#This Row],[EMPRESA]]="NET PROJETOS"),"NET","EMPRESARIAL"))</f>
        <v>NET</v>
      </c>
    </row>
    <row r="404" spans="1:15" x14ac:dyDescent="0.25">
      <c r="A404" s="32">
        <v>4379609</v>
      </c>
      <c r="B404" s="32" t="s">
        <v>21</v>
      </c>
      <c r="C404" s="33" t="s">
        <v>21</v>
      </c>
      <c r="D404" s="35">
        <v>45446</v>
      </c>
      <c r="E404" s="32" t="s">
        <v>185</v>
      </c>
      <c r="F404" s="32">
        <v>22056359</v>
      </c>
      <c r="G404" s="32" t="s">
        <v>203</v>
      </c>
      <c r="H404" s="26" t="s">
        <v>38</v>
      </c>
      <c r="I404" s="36">
        <v>19</v>
      </c>
      <c r="J404" s="32">
        <f>IF(MB25_VOLUMETRIA[[#This Row],[Reserva]]="","",1)</f>
        <v>1</v>
      </c>
      <c r="K404" s="36" t="str">
        <f>IF(MB25_VOLUMETRIA[[#This Row],[Reserva]]="","",IFERROR(VLOOKUP(MB25_VOLUMETRIA[[#This Row],[UMB]],CHAVE[],2,FALSE),"VERIFICAR"))</f>
        <v>Unidade</v>
      </c>
      <c r="L4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4" s="32" t="str">
        <f ca="1">IFERROR(VLOOKUP(MB25_VOLUMETRIA[[#This Row],[Reserva]],RES_AB[],14,FALSE),"")</f>
        <v>RESERVAS EM ATRASO</v>
      </c>
      <c r="N404" s="32" t="str">
        <f>IF(MB25_VOLUMETRIA[[#This Row],[Cen.]]="","",IFERROR(VLOOKUP(MB25_VOLUMETRIA[[#This Row],[Cen.]],Dados_Empresas[],2,FALSE),"Verificar empresa"))</f>
        <v>NET MASSIVO</v>
      </c>
      <c r="O404" s="32" t="str">
        <f>IF(MB25_VOLUMETRIA[[#This Row],[EMPRESA]]="","",IF(OR(MB25_VOLUMETRIA[[#This Row],[EMPRESA]]="NET MASSIVO",MB25_VOLUMETRIA[[#This Row],[EMPRESA]]="NET PROJETOS"),"NET","EMPRESARIAL"))</f>
        <v>NET</v>
      </c>
    </row>
    <row r="405" spans="1:15" x14ac:dyDescent="0.25">
      <c r="A405" s="32">
        <v>4379609</v>
      </c>
      <c r="B405" s="32" t="s">
        <v>21</v>
      </c>
      <c r="C405" s="33" t="s">
        <v>21</v>
      </c>
      <c r="D405" s="35">
        <v>45446</v>
      </c>
      <c r="E405" s="32" t="s">
        <v>185</v>
      </c>
      <c r="F405" s="32">
        <v>22056360</v>
      </c>
      <c r="G405" s="32" t="s">
        <v>285</v>
      </c>
      <c r="H405" s="26" t="s">
        <v>38</v>
      </c>
      <c r="I405" s="36">
        <v>20</v>
      </c>
      <c r="J405" s="32">
        <f>IF(MB25_VOLUMETRIA[[#This Row],[Reserva]]="","",1)</f>
        <v>1</v>
      </c>
      <c r="K405" s="36" t="str">
        <f>IF(MB25_VOLUMETRIA[[#This Row],[Reserva]]="","",IFERROR(VLOOKUP(MB25_VOLUMETRIA[[#This Row],[UMB]],CHAVE[],2,FALSE),"VERIFICAR"))</f>
        <v>Unidade</v>
      </c>
      <c r="L4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5" s="32" t="str">
        <f ca="1">IFERROR(VLOOKUP(MB25_VOLUMETRIA[[#This Row],[Reserva]],RES_AB[],14,FALSE),"")</f>
        <v>RESERVAS EM ATRASO</v>
      </c>
      <c r="N405" s="32" t="str">
        <f>IF(MB25_VOLUMETRIA[[#This Row],[Cen.]]="","",IFERROR(VLOOKUP(MB25_VOLUMETRIA[[#This Row],[Cen.]],Dados_Empresas[],2,FALSE),"Verificar empresa"))</f>
        <v>NET MASSIVO</v>
      </c>
      <c r="O405" s="32" t="str">
        <f>IF(MB25_VOLUMETRIA[[#This Row],[EMPRESA]]="","",IF(OR(MB25_VOLUMETRIA[[#This Row],[EMPRESA]]="NET MASSIVO",MB25_VOLUMETRIA[[#This Row],[EMPRESA]]="NET PROJETOS"),"NET","EMPRESARIAL"))</f>
        <v>NET</v>
      </c>
    </row>
    <row r="406" spans="1:15" x14ac:dyDescent="0.25">
      <c r="A406" s="32">
        <v>4379609</v>
      </c>
      <c r="B406" s="32" t="s">
        <v>21</v>
      </c>
      <c r="C406" s="33" t="s">
        <v>21</v>
      </c>
      <c r="D406" s="35">
        <v>45446</v>
      </c>
      <c r="E406" s="32" t="s">
        <v>185</v>
      </c>
      <c r="F406" s="32">
        <v>22056365</v>
      </c>
      <c r="G406" s="32" t="s">
        <v>244</v>
      </c>
      <c r="H406" s="26" t="s">
        <v>38</v>
      </c>
      <c r="I406" s="36">
        <v>150</v>
      </c>
      <c r="J406" s="32">
        <f>IF(MB25_VOLUMETRIA[[#This Row],[Reserva]]="","",1)</f>
        <v>1</v>
      </c>
      <c r="K406" s="36" t="str">
        <f>IF(MB25_VOLUMETRIA[[#This Row],[Reserva]]="","",IFERROR(VLOOKUP(MB25_VOLUMETRIA[[#This Row],[UMB]],CHAVE[],2,FALSE),"VERIFICAR"))</f>
        <v>Unidade</v>
      </c>
      <c r="L4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6" s="32" t="str">
        <f ca="1">IFERROR(VLOOKUP(MB25_VOLUMETRIA[[#This Row],[Reserva]],RES_AB[],14,FALSE),"")</f>
        <v>RESERVAS EM ATRASO</v>
      </c>
      <c r="N406" s="32" t="str">
        <f>IF(MB25_VOLUMETRIA[[#This Row],[Cen.]]="","",IFERROR(VLOOKUP(MB25_VOLUMETRIA[[#This Row],[Cen.]],Dados_Empresas[],2,FALSE),"Verificar empresa"))</f>
        <v>NET MASSIVO</v>
      </c>
      <c r="O406" s="32" t="str">
        <f>IF(MB25_VOLUMETRIA[[#This Row],[EMPRESA]]="","",IF(OR(MB25_VOLUMETRIA[[#This Row],[EMPRESA]]="NET MASSIVO",MB25_VOLUMETRIA[[#This Row],[EMPRESA]]="NET PROJETOS"),"NET","EMPRESARIAL"))</f>
        <v>NET</v>
      </c>
    </row>
    <row r="407" spans="1:15" x14ac:dyDescent="0.25">
      <c r="A407" s="32">
        <v>4379609</v>
      </c>
      <c r="B407" s="32" t="s">
        <v>21</v>
      </c>
      <c r="C407" s="33" t="s">
        <v>21</v>
      </c>
      <c r="D407" s="35">
        <v>45446</v>
      </c>
      <c r="E407" s="32" t="s">
        <v>185</v>
      </c>
      <c r="F407" s="32">
        <v>22056369</v>
      </c>
      <c r="G407" s="32" t="s">
        <v>194</v>
      </c>
      <c r="H407" s="26" t="s">
        <v>38</v>
      </c>
      <c r="I407" s="36">
        <v>1200</v>
      </c>
      <c r="J407" s="32">
        <f>IF(MB25_VOLUMETRIA[[#This Row],[Reserva]]="","",1)</f>
        <v>1</v>
      </c>
      <c r="K407" s="36" t="str">
        <f>IF(MB25_VOLUMETRIA[[#This Row],[Reserva]]="","",IFERROR(VLOOKUP(MB25_VOLUMETRIA[[#This Row],[UMB]],CHAVE[],2,FALSE),"VERIFICAR"))</f>
        <v>Unidade</v>
      </c>
      <c r="L4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7" s="32" t="str">
        <f ca="1">IFERROR(VLOOKUP(MB25_VOLUMETRIA[[#This Row],[Reserva]],RES_AB[],14,FALSE),"")</f>
        <v>RESERVAS EM ATRASO</v>
      </c>
      <c r="N407" s="32" t="str">
        <f>IF(MB25_VOLUMETRIA[[#This Row],[Cen.]]="","",IFERROR(VLOOKUP(MB25_VOLUMETRIA[[#This Row],[Cen.]],Dados_Empresas[],2,FALSE),"Verificar empresa"))</f>
        <v>NET MASSIVO</v>
      </c>
      <c r="O407" s="32" t="str">
        <f>IF(MB25_VOLUMETRIA[[#This Row],[EMPRESA]]="","",IF(OR(MB25_VOLUMETRIA[[#This Row],[EMPRESA]]="NET MASSIVO",MB25_VOLUMETRIA[[#This Row],[EMPRESA]]="NET PROJETOS"),"NET","EMPRESARIAL"))</f>
        <v>NET</v>
      </c>
    </row>
    <row r="408" spans="1:15" x14ac:dyDescent="0.25">
      <c r="A408" s="32">
        <v>4379609</v>
      </c>
      <c r="B408" s="32" t="s">
        <v>21</v>
      </c>
      <c r="C408" s="33" t="s">
        <v>21</v>
      </c>
      <c r="D408" s="35">
        <v>45446</v>
      </c>
      <c r="E408" s="32" t="s">
        <v>185</v>
      </c>
      <c r="F408" s="32">
        <v>22057658</v>
      </c>
      <c r="G408" s="32" t="s">
        <v>229</v>
      </c>
      <c r="H408" s="26" t="s">
        <v>38</v>
      </c>
      <c r="I408" s="36">
        <v>160</v>
      </c>
      <c r="J408" s="32">
        <f>IF(MB25_VOLUMETRIA[[#This Row],[Reserva]]="","",1)</f>
        <v>1</v>
      </c>
      <c r="K408" s="36" t="str">
        <f>IF(MB25_VOLUMETRIA[[#This Row],[Reserva]]="","",IFERROR(VLOOKUP(MB25_VOLUMETRIA[[#This Row],[UMB]],CHAVE[],2,FALSE),"VERIFICAR"))</f>
        <v>Unidade</v>
      </c>
      <c r="L4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8" s="32" t="str">
        <f ca="1">IFERROR(VLOOKUP(MB25_VOLUMETRIA[[#This Row],[Reserva]],RES_AB[],14,FALSE),"")</f>
        <v>RESERVAS EM ATRASO</v>
      </c>
      <c r="N408" s="32" t="str">
        <f>IF(MB25_VOLUMETRIA[[#This Row],[Cen.]]="","",IFERROR(VLOOKUP(MB25_VOLUMETRIA[[#This Row],[Cen.]],Dados_Empresas[],2,FALSE),"Verificar empresa"))</f>
        <v>NET MASSIVO</v>
      </c>
      <c r="O408" s="32" t="str">
        <f>IF(MB25_VOLUMETRIA[[#This Row],[EMPRESA]]="","",IF(OR(MB25_VOLUMETRIA[[#This Row],[EMPRESA]]="NET MASSIVO",MB25_VOLUMETRIA[[#This Row],[EMPRESA]]="NET PROJETOS"),"NET","EMPRESARIAL"))</f>
        <v>NET</v>
      </c>
    </row>
    <row r="409" spans="1:15" x14ac:dyDescent="0.25">
      <c r="A409" s="32">
        <v>4379609</v>
      </c>
      <c r="B409" s="32" t="s">
        <v>21</v>
      </c>
      <c r="C409" s="33" t="s">
        <v>21</v>
      </c>
      <c r="D409" s="35">
        <v>45446</v>
      </c>
      <c r="E409" s="32" t="s">
        <v>185</v>
      </c>
      <c r="F409" s="32">
        <v>22057660</v>
      </c>
      <c r="G409" s="32" t="s">
        <v>326</v>
      </c>
      <c r="H409" s="26" t="s">
        <v>38</v>
      </c>
      <c r="I409" s="36">
        <v>100</v>
      </c>
      <c r="J409" s="32">
        <f>IF(MB25_VOLUMETRIA[[#This Row],[Reserva]]="","",1)</f>
        <v>1</v>
      </c>
      <c r="K409" s="36" t="str">
        <f>IF(MB25_VOLUMETRIA[[#This Row],[Reserva]]="","",IFERROR(VLOOKUP(MB25_VOLUMETRIA[[#This Row],[UMB]],CHAVE[],2,FALSE),"VERIFICAR"))</f>
        <v>Unidade</v>
      </c>
      <c r="L4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09" s="32" t="str">
        <f ca="1">IFERROR(VLOOKUP(MB25_VOLUMETRIA[[#This Row],[Reserva]],RES_AB[],14,FALSE),"")</f>
        <v>RESERVAS EM ATRASO</v>
      </c>
      <c r="N409" s="32" t="str">
        <f>IF(MB25_VOLUMETRIA[[#This Row],[Cen.]]="","",IFERROR(VLOOKUP(MB25_VOLUMETRIA[[#This Row],[Cen.]],Dados_Empresas[],2,FALSE),"Verificar empresa"))</f>
        <v>NET MASSIVO</v>
      </c>
      <c r="O409" s="32" t="str">
        <f>IF(MB25_VOLUMETRIA[[#This Row],[EMPRESA]]="","",IF(OR(MB25_VOLUMETRIA[[#This Row],[EMPRESA]]="NET MASSIVO",MB25_VOLUMETRIA[[#This Row],[EMPRESA]]="NET PROJETOS"),"NET","EMPRESARIAL"))</f>
        <v>NET</v>
      </c>
    </row>
    <row r="410" spans="1:15" x14ac:dyDescent="0.25">
      <c r="A410" s="32">
        <v>4379609</v>
      </c>
      <c r="B410" s="32" t="s">
        <v>21</v>
      </c>
      <c r="C410" s="33" t="s">
        <v>19</v>
      </c>
      <c r="D410" s="35">
        <v>45446</v>
      </c>
      <c r="E410" s="32" t="s">
        <v>185</v>
      </c>
      <c r="F410" s="32">
        <v>22057705</v>
      </c>
      <c r="G410" s="32" t="s">
        <v>241</v>
      </c>
      <c r="H410" s="26" t="s">
        <v>38</v>
      </c>
      <c r="I410" s="36">
        <v>140</v>
      </c>
      <c r="J410" s="32">
        <f>IF(MB25_VOLUMETRIA[[#This Row],[Reserva]]="","",1)</f>
        <v>1</v>
      </c>
      <c r="K410" s="36" t="str">
        <f>IF(MB25_VOLUMETRIA[[#This Row],[Reserva]]="","",IFERROR(VLOOKUP(MB25_VOLUMETRIA[[#This Row],[UMB]],CHAVE[],2,FALSE),"VERIFICAR"))</f>
        <v>Unidade</v>
      </c>
      <c r="L4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0" s="32" t="str">
        <f ca="1">IFERROR(VLOOKUP(MB25_VOLUMETRIA[[#This Row],[Reserva]],RES_AB[],14,FALSE),"")</f>
        <v>RESERVAS EM ATRASO</v>
      </c>
      <c r="N410" s="32" t="str">
        <f>IF(MB25_VOLUMETRIA[[#This Row],[Cen.]]="","",IFERROR(VLOOKUP(MB25_VOLUMETRIA[[#This Row],[Cen.]],Dados_Empresas[],2,FALSE),"Verificar empresa"))</f>
        <v>NET MASSIVO</v>
      </c>
      <c r="O410" s="32" t="str">
        <f>IF(MB25_VOLUMETRIA[[#This Row],[EMPRESA]]="","",IF(OR(MB25_VOLUMETRIA[[#This Row],[EMPRESA]]="NET MASSIVO",MB25_VOLUMETRIA[[#This Row],[EMPRESA]]="NET PROJETOS"),"NET","EMPRESARIAL"))</f>
        <v>NET</v>
      </c>
    </row>
    <row r="411" spans="1:15" x14ac:dyDescent="0.25">
      <c r="A411" s="32">
        <v>4379609</v>
      </c>
      <c r="B411" s="32" t="s">
        <v>21</v>
      </c>
      <c r="C411" s="33" t="s">
        <v>19</v>
      </c>
      <c r="D411" s="35">
        <v>45446</v>
      </c>
      <c r="E411" s="32" t="s">
        <v>185</v>
      </c>
      <c r="F411" s="32">
        <v>22060290</v>
      </c>
      <c r="G411" s="32" t="s">
        <v>238</v>
      </c>
      <c r="H411" s="26" t="s">
        <v>38</v>
      </c>
      <c r="I411" s="36">
        <v>50</v>
      </c>
      <c r="J411" s="32">
        <f>IF(MB25_VOLUMETRIA[[#This Row],[Reserva]]="","",1)</f>
        <v>1</v>
      </c>
      <c r="K411" s="36" t="str">
        <f>IF(MB25_VOLUMETRIA[[#This Row],[Reserva]]="","",IFERROR(VLOOKUP(MB25_VOLUMETRIA[[#This Row],[UMB]],CHAVE[],2,FALSE),"VERIFICAR"))</f>
        <v>Unidade</v>
      </c>
      <c r="L4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1" s="32" t="str">
        <f ca="1">IFERROR(VLOOKUP(MB25_VOLUMETRIA[[#This Row],[Reserva]],RES_AB[],14,FALSE),"")</f>
        <v>RESERVAS EM ATRASO</v>
      </c>
      <c r="N411" s="32" t="str">
        <f>IF(MB25_VOLUMETRIA[[#This Row],[Cen.]]="","",IFERROR(VLOOKUP(MB25_VOLUMETRIA[[#This Row],[Cen.]],Dados_Empresas[],2,FALSE),"Verificar empresa"))</f>
        <v>NET MASSIVO</v>
      </c>
      <c r="O411" s="32" t="str">
        <f>IF(MB25_VOLUMETRIA[[#This Row],[EMPRESA]]="","",IF(OR(MB25_VOLUMETRIA[[#This Row],[EMPRESA]]="NET MASSIVO",MB25_VOLUMETRIA[[#This Row],[EMPRESA]]="NET PROJETOS"),"NET","EMPRESARIAL"))</f>
        <v>NET</v>
      </c>
    </row>
    <row r="412" spans="1:15" x14ac:dyDescent="0.25">
      <c r="A412" s="32">
        <v>4379609</v>
      </c>
      <c r="B412" s="32" t="s">
        <v>21</v>
      </c>
      <c r="C412" s="33" t="s">
        <v>21</v>
      </c>
      <c r="D412" s="35">
        <v>45446</v>
      </c>
      <c r="E412" s="32" t="s">
        <v>185</v>
      </c>
      <c r="F412" s="32">
        <v>22060738</v>
      </c>
      <c r="G412" s="32" t="s">
        <v>199</v>
      </c>
      <c r="H412" s="26" t="s">
        <v>38</v>
      </c>
      <c r="I412" s="36">
        <v>2100</v>
      </c>
      <c r="J412" s="32">
        <f>IF(MB25_VOLUMETRIA[[#This Row],[Reserva]]="","",1)</f>
        <v>1</v>
      </c>
      <c r="K412" s="36" t="str">
        <f>IF(MB25_VOLUMETRIA[[#This Row],[Reserva]]="","",IFERROR(VLOOKUP(MB25_VOLUMETRIA[[#This Row],[UMB]],CHAVE[],2,FALSE),"VERIFICAR"))</f>
        <v>Unidade</v>
      </c>
      <c r="L41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2" s="32" t="str">
        <f ca="1">IFERROR(VLOOKUP(MB25_VOLUMETRIA[[#This Row],[Reserva]],RES_AB[],14,FALSE),"")</f>
        <v>RESERVAS EM ATRASO</v>
      </c>
      <c r="N412" s="32" t="str">
        <f>IF(MB25_VOLUMETRIA[[#This Row],[Cen.]]="","",IFERROR(VLOOKUP(MB25_VOLUMETRIA[[#This Row],[Cen.]],Dados_Empresas[],2,FALSE),"Verificar empresa"))</f>
        <v>NET MASSIVO</v>
      </c>
      <c r="O412" s="32" t="str">
        <f>IF(MB25_VOLUMETRIA[[#This Row],[EMPRESA]]="","",IF(OR(MB25_VOLUMETRIA[[#This Row],[EMPRESA]]="NET MASSIVO",MB25_VOLUMETRIA[[#This Row],[EMPRESA]]="NET PROJETOS"),"NET","EMPRESARIAL"))</f>
        <v>NET</v>
      </c>
    </row>
    <row r="413" spans="1:15" x14ac:dyDescent="0.25">
      <c r="A413" s="32">
        <v>4379609</v>
      </c>
      <c r="B413" s="32" t="s">
        <v>21</v>
      </c>
      <c r="C413" s="33" t="s">
        <v>21</v>
      </c>
      <c r="D413" s="35">
        <v>45446</v>
      </c>
      <c r="E413" s="32" t="s">
        <v>185</v>
      </c>
      <c r="F413" s="32">
        <v>22061811</v>
      </c>
      <c r="G413" s="32" t="s">
        <v>226</v>
      </c>
      <c r="H413" s="26" t="s">
        <v>38</v>
      </c>
      <c r="I413" s="36">
        <v>200</v>
      </c>
      <c r="J413" s="32">
        <f>IF(MB25_VOLUMETRIA[[#This Row],[Reserva]]="","",1)</f>
        <v>1</v>
      </c>
      <c r="K413" s="36" t="str">
        <f>IF(MB25_VOLUMETRIA[[#This Row],[Reserva]]="","",IFERROR(VLOOKUP(MB25_VOLUMETRIA[[#This Row],[UMB]],CHAVE[],2,FALSE),"VERIFICAR"))</f>
        <v>Unidade</v>
      </c>
      <c r="L41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3" s="32" t="str">
        <f ca="1">IFERROR(VLOOKUP(MB25_VOLUMETRIA[[#This Row],[Reserva]],RES_AB[],14,FALSE),"")</f>
        <v>RESERVAS EM ATRASO</v>
      </c>
      <c r="N413" s="32" t="str">
        <f>IF(MB25_VOLUMETRIA[[#This Row],[Cen.]]="","",IFERROR(VLOOKUP(MB25_VOLUMETRIA[[#This Row],[Cen.]],Dados_Empresas[],2,FALSE),"Verificar empresa"))</f>
        <v>NET MASSIVO</v>
      </c>
      <c r="O413" s="32" t="str">
        <f>IF(MB25_VOLUMETRIA[[#This Row],[EMPRESA]]="","",IF(OR(MB25_VOLUMETRIA[[#This Row],[EMPRESA]]="NET MASSIVO",MB25_VOLUMETRIA[[#This Row],[EMPRESA]]="NET PROJETOS"),"NET","EMPRESARIAL"))</f>
        <v>NET</v>
      </c>
    </row>
    <row r="414" spans="1:15" x14ac:dyDescent="0.25">
      <c r="A414" s="32">
        <v>4379609</v>
      </c>
      <c r="B414" s="32" t="s">
        <v>21</v>
      </c>
      <c r="C414" s="33" t="s">
        <v>21</v>
      </c>
      <c r="D414" s="35">
        <v>45446</v>
      </c>
      <c r="E414" s="32" t="s">
        <v>185</v>
      </c>
      <c r="F414" s="32">
        <v>22065513</v>
      </c>
      <c r="G414" s="32" t="s">
        <v>227</v>
      </c>
      <c r="H414" s="26" t="s">
        <v>38</v>
      </c>
      <c r="I414" s="36">
        <v>1200</v>
      </c>
      <c r="J414" s="32">
        <f>IF(MB25_VOLUMETRIA[[#This Row],[Reserva]]="","",1)</f>
        <v>1</v>
      </c>
      <c r="K414" s="36" t="str">
        <f>IF(MB25_VOLUMETRIA[[#This Row],[Reserva]]="","",IFERROR(VLOOKUP(MB25_VOLUMETRIA[[#This Row],[UMB]],CHAVE[],2,FALSE),"VERIFICAR"))</f>
        <v>Unidade</v>
      </c>
      <c r="L41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4" s="32" t="str">
        <f ca="1">IFERROR(VLOOKUP(MB25_VOLUMETRIA[[#This Row],[Reserva]],RES_AB[],14,FALSE),"")</f>
        <v>RESERVAS EM ATRASO</v>
      </c>
      <c r="N414" s="32" t="str">
        <f>IF(MB25_VOLUMETRIA[[#This Row],[Cen.]]="","",IFERROR(VLOOKUP(MB25_VOLUMETRIA[[#This Row],[Cen.]],Dados_Empresas[],2,FALSE),"Verificar empresa"))</f>
        <v>NET MASSIVO</v>
      </c>
      <c r="O414" s="32" t="str">
        <f>IF(MB25_VOLUMETRIA[[#This Row],[EMPRESA]]="","",IF(OR(MB25_VOLUMETRIA[[#This Row],[EMPRESA]]="NET MASSIVO",MB25_VOLUMETRIA[[#This Row],[EMPRESA]]="NET PROJETOS"),"NET","EMPRESARIAL"))</f>
        <v>NET</v>
      </c>
    </row>
    <row r="415" spans="1:15" x14ac:dyDescent="0.25">
      <c r="A415" s="32">
        <v>4379609</v>
      </c>
      <c r="B415" s="32" t="s">
        <v>21</v>
      </c>
      <c r="C415" s="33" t="s">
        <v>21</v>
      </c>
      <c r="D415" s="35">
        <v>45446</v>
      </c>
      <c r="E415" s="32" t="s">
        <v>185</v>
      </c>
      <c r="F415" s="32">
        <v>22065718</v>
      </c>
      <c r="G415" s="32" t="s">
        <v>210</v>
      </c>
      <c r="H415" s="26" t="s">
        <v>38</v>
      </c>
      <c r="I415" s="36">
        <v>100</v>
      </c>
      <c r="J415" s="32">
        <f>IF(MB25_VOLUMETRIA[[#This Row],[Reserva]]="","",1)</f>
        <v>1</v>
      </c>
      <c r="K415" s="36" t="str">
        <f>IF(MB25_VOLUMETRIA[[#This Row],[Reserva]]="","",IFERROR(VLOOKUP(MB25_VOLUMETRIA[[#This Row],[UMB]],CHAVE[],2,FALSE),"VERIFICAR"))</f>
        <v>Unidade</v>
      </c>
      <c r="L41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5" s="32" t="str">
        <f ca="1">IFERROR(VLOOKUP(MB25_VOLUMETRIA[[#This Row],[Reserva]],RES_AB[],14,FALSE),"")</f>
        <v>RESERVAS EM ATRASO</v>
      </c>
      <c r="N415" s="32" t="str">
        <f>IF(MB25_VOLUMETRIA[[#This Row],[Cen.]]="","",IFERROR(VLOOKUP(MB25_VOLUMETRIA[[#This Row],[Cen.]],Dados_Empresas[],2,FALSE),"Verificar empresa"))</f>
        <v>NET MASSIVO</v>
      </c>
      <c r="O415" s="32" t="str">
        <f>IF(MB25_VOLUMETRIA[[#This Row],[EMPRESA]]="","",IF(OR(MB25_VOLUMETRIA[[#This Row],[EMPRESA]]="NET MASSIVO",MB25_VOLUMETRIA[[#This Row],[EMPRESA]]="NET PROJETOS"),"NET","EMPRESARIAL"))</f>
        <v>NET</v>
      </c>
    </row>
    <row r="416" spans="1:15" x14ac:dyDescent="0.25">
      <c r="A416" s="32">
        <v>4379609</v>
      </c>
      <c r="B416" s="32" t="s">
        <v>21</v>
      </c>
      <c r="C416" s="33" t="s">
        <v>21</v>
      </c>
      <c r="D416" s="35">
        <v>45446</v>
      </c>
      <c r="E416" s="32" t="s">
        <v>185</v>
      </c>
      <c r="F416" s="32">
        <v>22065720</v>
      </c>
      <c r="G416" s="32" t="s">
        <v>245</v>
      </c>
      <c r="H416" s="26" t="s">
        <v>38</v>
      </c>
      <c r="I416" s="36">
        <v>100</v>
      </c>
      <c r="J416" s="32">
        <f>IF(MB25_VOLUMETRIA[[#This Row],[Reserva]]="","",1)</f>
        <v>1</v>
      </c>
      <c r="K416" s="36" t="str">
        <f>IF(MB25_VOLUMETRIA[[#This Row],[Reserva]]="","",IFERROR(VLOOKUP(MB25_VOLUMETRIA[[#This Row],[UMB]],CHAVE[],2,FALSE),"VERIFICAR"))</f>
        <v>Unidade</v>
      </c>
      <c r="L41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6" s="32" t="str">
        <f ca="1">IFERROR(VLOOKUP(MB25_VOLUMETRIA[[#This Row],[Reserva]],RES_AB[],14,FALSE),"")</f>
        <v>RESERVAS EM ATRASO</v>
      </c>
      <c r="N416" s="32" t="str">
        <f>IF(MB25_VOLUMETRIA[[#This Row],[Cen.]]="","",IFERROR(VLOOKUP(MB25_VOLUMETRIA[[#This Row],[Cen.]],Dados_Empresas[],2,FALSE),"Verificar empresa"))</f>
        <v>NET MASSIVO</v>
      </c>
      <c r="O416" s="32" t="str">
        <f>IF(MB25_VOLUMETRIA[[#This Row],[EMPRESA]]="","",IF(OR(MB25_VOLUMETRIA[[#This Row],[EMPRESA]]="NET MASSIVO",MB25_VOLUMETRIA[[#This Row],[EMPRESA]]="NET PROJETOS"),"NET","EMPRESARIAL"))</f>
        <v>NET</v>
      </c>
    </row>
    <row r="417" spans="1:15" x14ac:dyDescent="0.25">
      <c r="A417" s="32">
        <v>4379609</v>
      </c>
      <c r="B417" s="32" t="s">
        <v>21</v>
      </c>
      <c r="C417" s="33" t="s">
        <v>21</v>
      </c>
      <c r="D417" s="35">
        <v>45446</v>
      </c>
      <c r="E417" s="32" t="s">
        <v>185</v>
      </c>
      <c r="F417" s="32">
        <v>22065722</v>
      </c>
      <c r="G417" s="32" t="s">
        <v>196</v>
      </c>
      <c r="H417" s="26" t="s">
        <v>38</v>
      </c>
      <c r="I417" s="36">
        <v>100</v>
      </c>
      <c r="J417" s="32">
        <f>IF(MB25_VOLUMETRIA[[#This Row],[Reserva]]="","",1)</f>
        <v>1</v>
      </c>
      <c r="K417" s="36" t="str">
        <f>IF(MB25_VOLUMETRIA[[#This Row],[Reserva]]="","",IFERROR(VLOOKUP(MB25_VOLUMETRIA[[#This Row],[UMB]],CHAVE[],2,FALSE),"VERIFICAR"))</f>
        <v>Unidade</v>
      </c>
      <c r="L41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7" s="32" t="str">
        <f ca="1">IFERROR(VLOOKUP(MB25_VOLUMETRIA[[#This Row],[Reserva]],RES_AB[],14,FALSE),"")</f>
        <v>RESERVAS EM ATRASO</v>
      </c>
      <c r="N417" s="32" t="str">
        <f>IF(MB25_VOLUMETRIA[[#This Row],[Cen.]]="","",IFERROR(VLOOKUP(MB25_VOLUMETRIA[[#This Row],[Cen.]],Dados_Empresas[],2,FALSE),"Verificar empresa"))</f>
        <v>NET MASSIVO</v>
      </c>
      <c r="O417" s="32" t="str">
        <f>IF(MB25_VOLUMETRIA[[#This Row],[EMPRESA]]="","",IF(OR(MB25_VOLUMETRIA[[#This Row],[EMPRESA]]="NET MASSIVO",MB25_VOLUMETRIA[[#This Row],[EMPRESA]]="NET PROJETOS"),"NET","EMPRESARIAL"))</f>
        <v>NET</v>
      </c>
    </row>
    <row r="418" spans="1:15" x14ac:dyDescent="0.25">
      <c r="A418" s="32">
        <v>4379609</v>
      </c>
      <c r="B418" s="32" t="s">
        <v>21</v>
      </c>
      <c r="C418" s="33" t="s">
        <v>21</v>
      </c>
      <c r="D418" s="35">
        <v>45446</v>
      </c>
      <c r="E418" s="32" t="s">
        <v>185</v>
      </c>
      <c r="F418" s="32">
        <v>22065725</v>
      </c>
      <c r="G418" s="32" t="s">
        <v>197</v>
      </c>
      <c r="H418" s="26" t="s">
        <v>38</v>
      </c>
      <c r="I418" s="36">
        <v>100</v>
      </c>
      <c r="J418" s="32">
        <f>IF(MB25_VOLUMETRIA[[#This Row],[Reserva]]="","",1)</f>
        <v>1</v>
      </c>
      <c r="K418" s="36" t="str">
        <f>IF(MB25_VOLUMETRIA[[#This Row],[Reserva]]="","",IFERROR(VLOOKUP(MB25_VOLUMETRIA[[#This Row],[UMB]],CHAVE[],2,FALSE),"VERIFICAR"))</f>
        <v>Unidade</v>
      </c>
      <c r="L41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8" s="32" t="str">
        <f ca="1">IFERROR(VLOOKUP(MB25_VOLUMETRIA[[#This Row],[Reserva]],RES_AB[],14,FALSE),"")</f>
        <v>RESERVAS EM ATRASO</v>
      </c>
      <c r="N418" s="32" t="str">
        <f>IF(MB25_VOLUMETRIA[[#This Row],[Cen.]]="","",IFERROR(VLOOKUP(MB25_VOLUMETRIA[[#This Row],[Cen.]],Dados_Empresas[],2,FALSE),"Verificar empresa"))</f>
        <v>NET MASSIVO</v>
      </c>
      <c r="O418" s="32" t="str">
        <f>IF(MB25_VOLUMETRIA[[#This Row],[EMPRESA]]="","",IF(OR(MB25_VOLUMETRIA[[#This Row],[EMPRESA]]="NET MASSIVO",MB25_VOLUMETRIA[[#This Row],[EMPRESA]]="NET PROJETOS"),"NET","EMPRESARIAL"))</f>
        <v>NET</v>
      </c>
    </row>
    <row r="419" spans="1:15" x14ac:dyDescent="0.25">
      <c r="A419" s="32">
        <v>4379609</v>
      </c>
      <c r="B419" s="32" t="s">
        <v>21</v>
      </c>
      <c r="C419" s="33" t="s">
        <v>21</v>
      </c>
      <c r="D419" s="35">
        <v>45446</v>
      </c>
      <c r="E419" s="32" t="s">
        <v>185</v>
      </c>
      <c r="F419" s="32">
        <v>22066517</v>
      </c>
      <c r="G419" s="32" t="s">
        <v>325</v>
      </c>
      <c r="H419" s="26" t="s">
        <v>38</v>
      </c>
      <c r="I419" s="36">
        <v>300</v>
      </c>
      <c r="J419" s="32">
        <f>IF(MB25_VOLUMETRIA[[#This Row],[Reserva]]="","",1)</f>
        <v>1</v>
      </c>
      <c r="K419" s="36" t="str">
        <f>IF(MB25_VOLUMETRIA[[#This Row],[Reserva]]="","",IFERROR(VLOOKUP(MB25_VOLUMETRIA[[#This Row],[UMB]],CHAVE[],2,FALSE),"VERIFICAR"))</f>
        <v>Unidade</v>
      </c>
      <c r="L41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19" s="32" t="str">
        <f ca="1">IFERROR(VLOOKUP(MB25_VOLUMETRIA[[#This Row],[Reserva]],RES_AB[],14,FALSE),"")</f>
        <v>RESERVAS EM ATRASO</v>
      </c>
      <c r="N419" s="32" t="str">
        <f>IF(MB25_VOLUMETRIA[[#This Row],[Cen.]]="","",IFERROR(VLOOKUP(MB25_VOLUMETRIA[[#This Row],[Cen.]],Dados_Empresas[],2,FALSE),"Verificar empresa"))</f>
        <v>NET MASSIVO</v>
      </c>
      <c r="O419" s="32" t="str">
        <f>IF(MB25_VOLUMETRIA[[#This Row],[EMPRESA]]="","",IF(OR(MB25_VOLUMETRIA[[#This Row],[EMPRESA]]="NET MASSIVO",MB25_VOLUMETRIA[[#This Row],[EMPRESA]]="NET PROJETOS"),"NET","EMPRESARIAL"))</f>
        <v>NET</v>
      </c>
    </row>
    <row r="420" spans="1:15" x14ac:dyDescent="0.25">
      <c r="A420" s="32">
        <v>4379610</v>
      </c>
      <c r="B420" s="32" t="s">
        <v>21</v>
      </c>
      <c r="C420" s="33" t="s">
        <v>19</v>
      </c>
      <c r="D420" s="35">
        <v>45446</v>
      </c>
      <c r="E420" s="32" t="s">
        <v>184</v>
      </c>
      <c r="F420" s="32">
        <v>41001294</v>
      </c>
      <c r="G420" s="32" t="s">
        <v>248</v>
      </c>
      <c r="H420" s="26" t="s">
        <v>38</v>
      </c>
      <c r="I420" s="36">
        <v>140</v>
      </c>
      <c r="J420" s="32">
        <f>IF(MB25_VOLUMETRIA[[#This Row],[Reserva]]="","",1)</f>
        <v>1</v>
      </c>
      <c r="K420" s="36" t="str">
        <f>IF(MB25_VOLUMETRIA[[#This Row],[Reserva]]="","",IFERROR(VLOOKUP(MB25_VOLUMETRIA[[#This Row],[UMB]],CHAVE[],2,FALSE),"VERIFICAR"))</f>
        <v>Unidade</v>
      </c>
      <c r="L4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0" s="32" t="str">
        <f ca="1">IFERROR(VLOOKUP(MB25_VOLUMETRIA[[#This Row],[Reserva]],RES_AB[],14,FALSE),"")</f>
        <v>RESERVAS EM ATRASO</v>
      </c>
      <c r="N420" s="32" t="str">
        <f>IF(MB25_VOLUMETRIA[[#This Row],[Cen.]]="","",IFERROR(VLOOKUP(MB25_VOLUMETRIA[[#This Row],[Cen.]],Dados_Empresas[],2,FALSE),"Verificar empresa"))</f>
        <v>NET MASSIVO</v>
      </c>
      <c r="O420" s="32" t="str">
        <f>IF(MB25_VOLUMETRIA[[#This Row],[EMPRESA]]="","",IF(OR(MB25_VOLUMETRIA[[#This Row],[EMPRESA]]="NET MASSIVO",MB25_VOLUMETRIA[[#This Row],[EMPRESA]]="NET PROJETOS"),"NET","EMPRESARIAL"))</f>
        <v>NET</v>
      </c>
    </row>
    <row r="421" spans="1:15" x14ac:dyDescent="0.25">
      <c r="A421" s="32">
        <v>4379610</v>
      </c>
      <c r="B421" s="32" t="s">
        <v>21</v>
      </c>
      <c r="C421" s="33" t="s">
        <v>19</v>
      </c>
      <c r="D421" s="35">
        <v>45446</v>
      </c>
      <c r="E421" s="32" t="s">
        <v>184</v>
      </c>
      <c r="F421" s="32">
        <v>41001486</v>
      </c>
      <c r="G421" s="32" t="s">
        <v>240</v>
      </c>
      <c r="H421" s="26" t="s">
        <v>38</v>
      </c>
      <c r="I421" s="36">
        <v>50</v>
      </c>
      <c r="J421" s="32">
        <f>IF(MB25_VOLUMETRIA[[#This Row],[Reserva]]="","",1)</f>
        <v>1</v>
      </c>
      <c r="K421" s="36" t="str">
        <f>IF(MB25_VOLUMETRIA[[#This Row],[Reserva]]="","",IFERROR(VLOOKUP(MB25_VOLUMETRIA[[#This Row],[UMB]],CHAVE[],2,FALSE),"VERIFICAR"))</f>
        <v>Unidade</v>
      </c>
      <c r="L4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1" s="32" t="str">
        <f ca="1">IFERROR(VLOOKUP(MB25_VOLUMETRIA[[#This Row],[Reserva]],RES_AB[],14,FALSE),"")</f>
        <v>RESERVAS EM ATRASO</v>
      </c>
      <c r="N421" s="32" t="str">
        <f>IF(MB25_VOLUMETRIA[[#This Row],[Cen.]]="","",IFERROR(VLOOKUP(MB25_VOLUMETRIA[[#This Row],[Cen.]],Dados_Empresas[],2,FALSE),"Verificar empresa"))</f>
        <v>NET MASSIVO</v>
      </c>
      <c r="O421" s="32" t="str">
        <f>IF(MB25_VOLUMETRIA[[#This Row],[EMPRESA]]="","",IF(OR(MB25_VOLUMETRIA[[#This Row],[EMPRESA]]="NET MASSIVO",MB25_VOLUMETRIA[[#This Row],[EMPRESA]]="NET PROJETOS"),"NET","EMPRESARIAL"))</f>
        <v>NET</v>
      </c>
    </row>
    <row r="422" spans="1:15" x14ac:dyDescent="0.25">
      <c r="A422" s="32">
        <v>4379610</v>
      </c>
      <c r="B422" s="32" t="s">
        <v>21</v>
      </c>
      <c r="C422" s="33" t="s">
        <v>21</v>
      </c>
      <c r="D422" s="35">
        <v>45446</v>
      </c>
      <c r="E422" s="32" t="s">
        <v>184</v>
      </c>
      <c r="F422" s="32">
        <v>41001573</v>
      </c>
      <c r="G422" s="32" t="s">
        <v>259</v>
      </c>
      <c r="H422" s="26" t="s">
        <v>38</v>
      </c>
      <c r="I422" s="36">
        <v>20</v>
      </c>
      <c r="J422" s="32">
        <f>IF(MB25_VOLUMETRIA[[#This Row],[Reserva]]="","",1)</f>
        <v>1</v>
      </c>
      <c r="K422" s="36" t="str">
        <f>IF(MB25_VOLUMETRIA[[#This Row],[Reserva]]="","",IFERROR(VLOOKUP(MB25_VOLUMETRIA[[#This Row],[UMB]],CHAVE[],2,FALSE),"VERIFICAR"))</f>
        <v>Unidade</v>
      </c>
      <c r="L4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22" s="32" t="str">
        <f ca="1">IFERROR(VLOOKUP(MB25_VOLUMETRIA[[#This Row],[Reserva]],RES_AB[],14,FALSE),"")</f>
        <v>RESERVAS EM ATRASO</v>
      </c>
      <c r="N422" s="32" t="str">
        <f>IF(MB25_VOLUMETRIA[[#This Row],[Cen.]]="","",IFERROR(VLOOKUP(MB25_VOLUMETRIA[[#This Row],[Cen.]],Dados_Empresas[],2,FALSE),"Verificar empresa"))</f>
        <v>NET MASSIVO</v>
      </c>
      <c r="O422" s="32" t="str">
        <f>IF(MB25_VOLUMETRIA[[#This Row],[EMPRESA]]="","",IF(OR(MB25_VOLUMETRIA[[#This Row],[EMPRESA]]="NET MASSIVO",MB25_VOLUMETRIA[[#This Row],[EMPRESA]]="NET PROJETOS"),"NET","EMPRESARIAL"))</f>
        <v>NET</v>
      </c>
    </row>
    <row r="423" spans="1:15" x14ac:dyDescent="0.25">
      <c r="A423" s="32">
        <v>4379613</v>
      </c>
      <c r="B423" s="32" t="s">
        <v>21</v>
      </c>
      <c r="C423" s="33" t="s">
        <v>19</v>
      </c>
      <c r="D423" s="35">
        <v>45446</v>
      </c>
      <c r="E423" s="32" t="s">
        <v>185</v>
      </c>
      <c r="F423" s="32">
        <v>22026249</v>
      </c>
      <c r="G423" s="32" t="s">
        <v>186</v>
      </c>
      <c r="H423" s="26" t="s">
        <v>38</v>
      </c>
      <c r="I423" s="36">
        <v>100</v>
      </c>
      <c r="J423" s="32">
        <f>IF(MB25_VOLUMETRIA[[#This Row],[Reserva]]="","",1)</f>
        <v>1</v>
      </c>
      <c r="K423" s="36" t="str">
        <f>IF(MB25_VOLUMETRIA[[#This Row],[Reserva]]="","",IFERROR(VLOOKUP(MB25_VOLUMETRIA[[#This Row],[UMB]],CHAVE[],2,FALSE),"VERIFICAR"))</f>
        <v>Unidade</v>
      </c>
      <c r="L423" s="32" t="str">
        <f>IF(MB25_VOLUMETRIA[[#This Row],[Reserva]]="","",IFERROR(VLOOKUP(MB25_VOLUMETRIA[[#This Row],[Reserva]],Tabela3[[Reserva]:[Condição para Faturamento]],20,FALSE),"IMPORTADO COM SUCESSO"))</f>
        <v>EM CONFERENCIA</v>
      </c>
      <c r="M423" s="32" t="str">
        <f ca="1">IFERROR(VLOOKUP(MB25_VOLUMETRIA[[#This Row],[Reserva]],RES_AB[],14,FALSE),"")</f>
        <v>RESERVAS EM ATRASO</v>
      </c>
      <c r="N423" s="32" t="str">
        <f>IF(MB25_VOLUMETRIA[[#This Row],[Cen.]]="","",IFERROR(VLOOKUP(MB25_VOLUMETRIA[[#This Row],[Cen.]],Dados_Empresas[],2,FALSE),"Verificar empresa"))</f>
        <v>NET MASSIVO</v>
      </c>
      <c r="O423" s="32" t="str">
        <f>IF(MB25_VOLUMETRIA[[#This Row],[EMPRESA]]="","",IF(OR(MB25_VOLUMETRIA[[#This Row],[EMPRESA]]="NET MASSIVO",MB25_VOLUMETRIA[[#This Row],[EMPRESA]]="NET PROJETOS"),"NET","EMPRESARIAL"))</f>
        <v>NET</v>
      </c>
    </row>
    <row r="424" spans="1:15" x14ac:dyDescent="0.25">
      <c r="A424" s="32">
        <v>4379613</v>
      </c>
      <c r="B424" s="32" t="s">
        <v>21</v>
      </c>
      <c r="C424" s="33" t="s">
        <v>19</v>
      </c>
      <c r="D424" s="35">
        <v>45446</v>
      </c>
      <c r="E424" s="32" t="s">
        <v>185</v>
      </c>
      <c r="F424" s="32">
        <v>22058239</v>
      </c>
      <c r="G424" s="32" t="s">
        <v>317</v>
      </c>
      <c r="H424" s="26" t="s">
        <v>38</v>
      </c>
      <c r="I424" s="36">
        <v>100</v>
      </c>
      <c r="J424" s="32">
        <f>IF(MB25_VOLUMETRIA[[#This Row],[Reserva]]="","",1)</f>
        <v>1</v>
      </c>
      <c r="K424" s="36" t="str">
        <f>IF(MB25_VOLUMETRIA[[#This Row],[Reserva]]="","",IFERROR(VLOOKUP(MB25_VOLUMETRIA[[#This Row],[UMB]],CHAVE[],2,FALSE),"VERIFICAR"))</f>
        <v>Unidade</v>
      </c>
      <c r="L424" s="32" t="str">
        <f>IF(MB25_VOLUMETRIA[[#This Row],[Reserva]]="","",IFERROR(VLOOKUP(MB25_VOLUMETRIA[[#This Row],[Reserva]],Tabela3[[Reserva]:[Condição para Faturamento]],20,FALSE),"IMPORTADO COM SUCESSO"))</f>
        <v>EM CONFERENCIA</v>
      </c>
      <c r="M424" s="32" t="str">
        <f ca="1">IFERROR(VLOOKUP(MB25_VOLUMETRIA[[#This Row],[Reserva]],RES_AB[],14,FALSE),"")</f>
        <v>RESERVAS EM ATRASO</v>
      </c>
      <c r="N424" s="32" t="str">
        <f>IF(MB25_VOLUMETRIA[[#This Row],[Cen.]]="","",IFERROR(VLOOKUP(MB25_VOLUMETRIA[[#This Row],[Cen.]],Dados_Empresas[],2,FALSE),"Verificar empresa"))</f>
        <v>NET MASSIVO</v>
      </c>
      <c r="O424" s="32" t="str">
        <f>IF(MB25_VOLUMETRIA[[#This Row],[EMPRESA]]="","",IF(OR(MB25_VOLUMETRIA[[#This Row],[EMPRESA]]="NET MASSIVO",MB25_VOLUMETRIA[[#This Row],[EMPRESA]]="NET PROJETOS"),"NET","EMPRESARIAL"))</f>
        <v>NET</v>
      </c>
    </row>
    <row r="425" spans="1:15" x14ac:dyDescent="0.25">
      <c r="A425" s="32">
        <v>4379613</v>
      </c>
      <c r="B425" s="32" t="s">
        <v>21</v>
      </c>
      <c r="C425" s="33" t="s">
        <v>21</v>
      </c>
      <c r="D425" s="35">
        <v>45446</v>
      </c>
      <c r="E425" s="32" t="s">
        <v>185</v>
      </c>
      <c r="F425" s="32">
        <v>22058258</v>
      </c>
      <c r="G425" s="32" t="s">
        <v>187</v>
      </c>
      <c r="H425" s="26" t="s">
        <v>38</v>
      </c>
      <c r="I425" s="36">
        <v>200</v>
      </c>
      <c r="J425" s="32">
        <f>IF(MB25_VOLUMETRIA[[#This Row],[Reserva]]="","",1)</f>
        <v>1</v>
      </c>
      <c r="K425" s="36" t="str">
        <f>IF(MB25_VOLUMETRIA[[#This Row],[Reserva]]="","",IFERROR(VLOOKUP(MB25_VOLUMETRIA[[#This Row],[UMB]],CHAVE[],2,FALSE),"VERIFICAR"))</f>
        <v>Unidade</v>
      </c>
      <c r="L425" s="32" t="str">
        <f>IF(MB25_VOLUMETRIA[[#This Row],[Reserva]]="","",IFERROR(VLOOKUP(MB25_VOLUMETRIA[[#This Row],[Reserva]],Tabela3[[Reserva]:[Condição para Faturamento]],20,FALSE),"IMPORTADO COM SUCESSO"))</f>
        <v>EM CONFERENCIA</v>
      </c>
      <c r="M425" s="32" t="str">
        <f ca="1">IFERROR(VLOOKUP(MB25_VOLUMETRIA[[#This Row],[Reserva]],RES_AB[],14,FALSE),"")</f>
        <v>RESERVAS EM ATRASO</v>
      </c>
      <c r="N425" s="32" t="str">
        <f>IF(MB25_VOLUMETRIA[[#This Row],[Cen.]]="","",IFERROR(VLOOKUP(MB25_VOLUMETRIA[[#This Row],[Cen.]],Dados_Empresas[],2,FALSE),"Verificar empresa"))</f>
        <v>NET MASSIVO</v>
      </c>
      <c r="O425" s="32" t="str">
        <f>IF(MB25_VOLUMETRIA[[#This Row],[EMPRESA]]="","",IF(OR(MB25_VOLUMETRIA[[#This Row],[EMPRESA]]="NET MASSIVO",MB25_VOLUMETRIA[[#This Row],[EMPRESA]]="NET PROJETOS"),"NET","EMPRESARIAL"))</f>
        <v>NET</v>
      </c>
    </row>
    <row r="426" spans="1:15" x14ac:dyDescent="0.25">
      <c r="A426" s="32">
        <v>4379613</v>
      </c>
      <c r="B426" s="32" t="s">
        <v>21</v>
      </c>
      <c r="C426" s="33" t="s">
        <v>19</v>
      </c>
      <c r="D426" s="35">
        <v>45446</v>
      </c>
      <c r="E426" s="32" t="s">
        <v>185</v>
      </c>
      <c r="F426" s="32">
        <v>22058639</v>
      </c>
      <c r="G426" s="32" t="s">
        <v>290</v>
      </c>
      <c r="H426" s="26" t="s">
        <v>38</v>
      </c>
      <c r="I426" s="36">
        <v>550</v>
      </c>
      <c r="J426" s="32">
        <f>IF(MB25_VOLUMETRIA[[#This Row],[Reserva]]="","",1)</f>
        <v>1</v>
      </c>
      <c r="K426" s="36" t="str">
        <f>IF(MB25_VOLUMETRIA[[#This Row],[Reserva]]="","",IFERROR(VLOOKUP(MB25_VOLUMETRIA[[#This Row],[UMB]],CHAVE[],2,FALSE),"VERIFICAR"))</f>
        <v>Unidade</v>
      </c>
      <c r="L426" s="32" t="str">
        <f>IF(MB25_VOLUMETRIA[[#This Row],[Reserva]]="","",IFERROR(VLOOKUP(MB25_VOLUMETRIA[[#This Row],[Reserva]],Tabela3[[Reserva]:[Condição para Faturamento]],20,FALSE),"IMPORTADO COM SUCESSO"))</f>
        <v>EM CONFERENCIA</v>
      </c>
      <c r="M426" s="32" t="str">
        <f ca="1">IFERROR(VLOOKUP(MB25_VOLUMETRIA[[#This Row],[Reserva]],RES_AB[],14,FALSE),"")</f>
        <v>RESERVAS EM ATRASO</v>
      </c>
      <c r="N426" s="32" t="str">
        <f>IF(MB25_VOLUMETRIA[[#This Row],[Cen.]]="","",IFERROR(VLOOKUP(MB25_VOLUMETRIA[[#This Row],[Cen.]],Dados_Empresas[],2,FALSE),"Verificar empresa"))</f>
        <v>NET MASSIVO</v>
      </c>
      <c r="O426" s="32" t="str">
        <f>IF(MB25_VOLUMETRIA[[#This Row],[EMPRESA]]="","",IF(OR(MB25_VOLUMETRIA[[#This Row],[EMPRESA]]="NET MASSIVO",MB25_VOLUMETRIA[[#This Row],[EMPRESA]]="NET PROJETOS"),"NET","EMPRESARIAL"))</f>
        <v>NET</v>
      </c>
    </row>
    <row r="427" spans="1:15" x14ac:dyDescent="0.25">
      <c r="A427" s="32">
        <v>4379614</v>
      </c>
      <c r="B427" s="32" t="s">
        <v>21</v>
      </c>
      <c r="C427" s="33" t="s">
        <v>19</v>
      </c>
      <c r="D427" s="35">
        <v>45446</v>
      </c>
      <c r="E427" s="32" t="s">
        <v>184</v>
      </c>
      <c r="F427" s="32">
        <v>41000805</v>
      </c>
      <c r="G427" s="32" t="s">
        <v>188</v>
      </c>
      <c r="H427" s="26" t="s">
        <v>38</v>
      </c>
      <c r="I427" s="36">
        <v>100</v>
      </c>
      <c r="J427" s="32">
        <f>IF(MB25_VOLUMETRIA[[#This Row],[Reserva]]="","",1)</f>
        <v>1</v>
      </c>
      <c r="K427" s="36" t="str">
        <f>IF(MB25_VOLUMETRIA[[#This Row],[Reserva]]="","",IFERROR(VLOOKUP(MB25_VOLUMETRIA[[#This Row],[UMB]],CHAVE[],2,FALSE),"VERIFICAR"))</f>
        <v>Unidade</v>
      </c>
      <c r="L427" s="32" t="str">
        <f>IF(MB25_VOLUMETRIA[[#This Row],[Reserva]]="","",IFERROR(VLOOKUP(MB25_VOLUMETRIA[[#This Row],[Reserva]],Tabela3[[Reserva]:[Condição para Faturamento]],20,FALSE),"IMPORTADO COM SUCESSO"))</f>
        <v>EM SEPARAÇÃO</v>
      </c>
      <c r="M427" s="32" t="str">
        <f ca="1">IFERROR(VLOOKUP(MB25_VOLUMETRIA[[#This Row],[Reserva]],RES_AB[],14,FALSE),"")</f>
        <v>RESERVAS EM ATRASO</v>
      </c>
      <c r="N427" s="32" t="str">
        <f>IF(MB25_VOLUMETRIA[[#This Row],[Cen.]]="","",IFERROR(VLOOKUP(MB25_VOLUMETRIA[[#This Row],[Cen.]],Dados_Empresas[],2,FALSE),"Verificar empresa"))</f>
        <v>NET MASSIVO</v>
      </c>
      <c r="O427" s="32" t="str">
        <f>IF(MB25_VOLUMETRIA[[#This Row],[EMPRESA]]="","",IF(OR(MB25_VOLUMETRIA[[#This Row],[EMPRESA]]="NET MASSIVO",MB25_VOLUMETRIA[[#This Row],[EMPRESA]]="NET PROJETOS"),"NET","EMPRESARIAL"))</f>
        <v>NET</v>
      </c>
    </row>
    <row r="428" spans="1:15" x14ac:dyDescent="0.25">
      <c r="A428" s="32">
        <v>4379614</v>
      </c>
      <c r="B428" s="32" t="s">
        <v>21</v>
      </c>
      <c r="C428" s="33" t="s">
        <v>19</v>
      </c>
      <c r="D428" s="35">
        <v>45446</v>
      </c>
      <c r="E428" s="32" t="s">
        <v>184</v>
      </c>
      <c r="F428" s="32">
        <v>41001048</v>
      </c>
      <c r="G428" s="32" t="s">
        <v>318</v>
      </c>
      <c r="H428" s="26" t="s">
        <v>38</v>
      </c>
      <c r="I428" s="36">
        <v>100</v>
      </c>
      <c r="J428" s="32">
        <f>IF(MB25_VOLUMETRIA[[#This Row],[Reserva]]="","",1)</f>
        <v>1</v>
      </c>
      <c r="K428" s="36" t="str">
        <f>IF(MB25_VOLUMETRIA[[#This Row],[Reserva]]="","",IFERROR(VLOOKUP(MB25_VOLUMETRIA[[#This Row],[UMB]],CHAVE[],2,FALSE),"VERIFICAR"))</f>
        <v>Unidade</v>
      </c>
      <c r="L428" s="32" t="str">
        <f>IF(MB25_VOLUMETRIA[[#This Row],[Reserva]]="","",IFERROR(VLOOKUP(MB25_VOLUMETRIA[[#This Row],[Reserva]],Tabela3[[Reserva]:[Condição para Faturamento]],20,FALSE),"IMPORTADO COM SUCESSO"))</f>
        <v>EM SEPARAÇÃO</v>
      </c>
      <c r="M428" s="32" t="str">
        <f ca="1">IFERROR(VLOOKUP(MB25_VOLUMETRIA[[#This Row],[Reserva]],RES_AB[],14,FALSE),"")</f>
        <v>RESERVAS EM ATRASO</v>
      </c>
      <c r="N428" s="32" t="str">
        <f>IF(MB25_VOLUMETRIA[[#This Row],[Cen.]]="","",IFERROR(VLOOKUP(MB25_VOLUMETRIA[[#This Row],[Cen.]],Dados_Empresas[],2,FALSE),"Verificar empresa"))</f>
        <v>NET MASSIVO</v>
      </c>
      <c r="O428" s="32" t="str">
        <f>IF(MB25_VOLUMETRIA[[#This Row],[EMPRESA]]="","",IF(OR(MB25_VOLUMETRIA[[#This Row],[EMPRESA]]="NET MASSIVO",MB25_VOLUMETRIA[[#This Row],[EMPRESA]]="NET PROJETOS"),"NET","EMPRESARIAL"))</f>
        <v>NET</v>
      </c>
    </row>
    <row r="429" spans="1:15" x14ac:dyDescent="0.25">
      <c r="A429" s="32">
        <v>4379614</v>
      </c>
      <c r="B429" s="32" t="s">
        <v>21</v>
      </c>
      <c r="C429" s="33" t="s">
        <v>19</v>
      </c>
      <c r="D429" s="35">
        <v>45446</v>
      </c>
      <c r="E429" s="32" t="s">
        <v>184</v>
      </c>
      <c r="F429" s="32">
        <v>41001095</v>
      </c>
      <c r="G429" s="32" t="s">
        <v>246</v>
      </c>
      <c r="H429" s="26" t="s">
        <v>38</v>
      </c>
      <c r="I429" s="36">
        <v>550</v>
      </c>
      <c r="J429" s="32">
        <f>IF(MB25_VOLUMETRIA[[#This Row],[Reserva]]="","",1)</f>
        <v>1</v>
      </c>
      <c r="K429" s="36" t="str">
        <f>IF(MB25_VOLUMETRIA[[#This Row],[Reserva]]="","",IFERROR(VLOOKUP(MB25_VOLUMETRIA[[#This Row],[UMB]],CHAVE[],2,FALSE),"VERIFICAR"))</f>
        <v>Unidade</v>
      </c>
      <c r="L429" s="32" t="str">
        <f>IF(MB25_VOLUMETRIA[[#This Row],[Reserva]]="","",IFERROR(VLOOKUP(MB25_VOLUMETRIA[[#This Row],[Reserva]],Tabela3[[Reserva]:[Condição para Faturamento]],20,FALSE),"IMPORTADO COM SUCESSO"))</f>
        <v>EM SEPARAÇÃO</v>
      </c>
      <c r="M429" s="32" t="str">
        <f ca="1">IFERROR(VLOOKUP(MB25_VOLUMETRIA[[#This Row],[Reserva]],RES_AB[],14,FALSE),"")</f>
        <v>RESERVAS EM ATRASO</v>
      </c>
      <c r="N429" s="32" t="str">
        <f>IF(MB25_VOLUMETRIA[[#This Row],[Cen.]]="","",IFERROR(VLOOKUP(MB25_VOLUMETRIA[[#This Row],[Cen.]],Dados_Empresas[],2,FALSE),"Verificar empresa"))</f>
        <v>NET MASSIVO</v>
      </c>
      <c r="O429" s="32" t="str">
        <f>IF(MB25_VOLUMETRIA[[#This Row],[EMPRESA]]="","",IF(OR(MB25_VOLUMETRIA[[#This Row],[EMPRESA]]="NET MASSIVO",MB25_VOLUMETRIA[[#This Row],[EMPRESA]]="NET PROJETOS"),"NET","EMPRESARIAL"))</f>
        <v>NET</v>
      </c>
    </row>
    <row r="430" spans="1:15" x14ac:dyDescent="0.25">
      <c r="A430" s="32">
        <v>4379617</v>
      </c>
      <c r="B430" s="32" t="s">
        <v>21</v>
      </c>
      <c r="C430" s="33" t="s">
        <v>21</v>
      </c>
      <c r="D430" s="35">
        <v>45446</v>
      </c>
      <c r="E430" s="32" t="s">
        <v>185</v>
      </c>
      <c r="F430" s="32">
        <v>22025072</v>
      </c>
      <c r="G430" s="32" t="s">
        <v>204</v>
      </c>
      <c r="H430" s="26" t="s">
        <v>38</v>
      </c>
      <c r="I430" s="36">
        <v>10</v>
      </c>
      <c r="J430" s="32">
        <f>IF(MB25_VOLUMETRIA[[#This Row],[Reserva]]="","",1)</f>
        <v>1</v>
      </c>
      <c r="K430" s="36" t="str">
        <f>IF(MB25_VOLUMETRIA[[#This Row],[Reserva]]="","",IFERROR(VLOOKUP(MB25_VOLUMETRIA[[#This Row],[UMB]],CHAVE[],2,FALSE),"VERIFICAR"))</f>
        <v>Unidade</v>
      </c>
      <c r="L430" s="32" t="str">
        <f>IF(MB25_VOLUMETRIA[[#This Row],[Reserva]]="","",IFERROR(VLOOKUP(MB25_VOLUMETRIA[[#This Row],[Reserva]],Tabela3[[Reserva]:[Condição para Faturamento]],20,FALSE),"IMPORTADO COM SUCESSO"))</f>
        <v>EM CONFERENCIA</v>
      </c>
      <c r="M430" s="32" t="str">
        <f ca="1">IFERROR(VLOOKUP(MB25_VOLUMETRIA[[#This Row],[Reserva]],RES_AB[],14,FALSE),"")</f>
        <v>RESERVAS EM ATRASO</v>
      </c>
      <c r="N430" s="32" t="str">
        <f>IF(MB25_VOLUMETRIA[[#This Row],[Cen.]]="","",IFERROR(VLOOKUP(MB25_VOLUMETRIA[[#This Row],[Cen.]],Dados_Empresas[],2,FALSE),"Verificar empresa"))</f>
        <v>NET MASSIVO</v>
      </c>
      <c r="O430" s="32" t="str">
        <f>IF(MB25_VOLUMETRIA[[#This Row],[EMPRESA]]="","",IF(OR(MB25_VOLUMETRIA[[#This Row],[EMPRESA]]="NET MASSIVO",MB25_VOLUMETRIA[[#This Row],[EMPRESA]]="NET PROJETOS"),"NET","EMPRESARIAL"))</f>
        <v>NET</v>
      </c>
    </row>
    <row r="431" spans="1:15" x14ac:dyDescent="0.25">
      <c r="A431" s="32">
        <v>4379617</v>
      </c>
      <c r="B431" s="32" t="s">
        <v>21</v>
      </c>
      <c r="C431" s="33" t="s">
        <v>21</v>
      </c>
      <c r="D431" s="35">
        <v>45446</v>
      </c>
      <c r="E431" s="32" t="s">
        <v>185</v>
      </c>
      <c r="F431" s="32">
        <v>22025136</v>
      </c>
      <c r="G431" s="32" t="s">
        <v>215</v>
      </c>
      <c r="H431" s="26" t="s">
        <v>38</v>
      </c>
      <c r="I431" s="36">
        <v>250</v>
      </c>
      <c r="J431" s="32">
        <f>IF(MB25_VOLUMETRIA[[#This Row],[Reserva]]="","",1)</f>
        <v>1</v>
      </c>
      <c r="K431" s="36" t="str">
        <f>IF(MB25_VOLUMETRIA[[#This Row],[Reserva]]="","",IFERROR(VLOOKUP(MB25_VOLUMETRIA[[#This Row],[UMB]],CHAVE[],2,FALSE),"VERIFICAR"))</f>
        <v>Unidade</v>
      </c>
      <c r="L431" s="32" t="str">
        <f>IF(MB25_VOLUMETRIA[[#This Row],[Reserva]]="","",IFERROR(VLOOKUP(MB25_VOLUMETRIA[[#This Row],[Reserva]],Tabela3[[Reserva]:[Condição para Faturamento]],20,FALSE),"IMPORTADO COM SUCESSO"))</f>
        <v>EM CONFERENCIA</v>
      </c>
      <c r="M431" s="32" t="str">
        <f ca="1">IFERROR(VLOOKUP(MB25_VOLUMETRIA[[#This Row],[Reserva]],RES_AB[],14,FALSE),"")</f>
        <v>RESERVAS EM ATRASO</v>
      </c>
      <c r="N431" s="32" t="str">
        <f>IF(MB25_VOLUMETRIA[[#This Row],[Cen.]]="","",IFERROR(VLOOKUP(MB25_VOLUMETRIA[[#This Row],[Cen.]],Dados_Empresas[],2,FALSE),"Verificar empresa"))</f>
        <v>NET MASSIVO</v>
      </c>
      <c r="O431" s="32" t="str">
        <f>IF(MB25_VOLUMETRIA[[#This Row],[EMPRESA]]="","",IF(OR(MB25_VOLUMETRIA[[#This Row],[EMPRESA]]="NET MASSIVO",MB25_VOLUMETRIA[[#This Row],[EMPRESA]]="NET PROJETOS"),"NET","EMPRESARIAL"))</f>
        <v>NET</v>
      </c>
    </row>
    <row r="432" spans="1:15" x14ac:dyDescent="0.25">
      <c r="A432" s="32">
        <v>4379617</v>
      </c>
      <c r="B432" s="32" t="s">
        <v>21</v>
      </c>
      <c r="C432" s="33" t="s">
        <v>21</v>
      </c>
      <c r="D432" s="35">
        <v>45446</v>
      </c>
      <c r="E432" s="32" t="s">
        <v>185</v>
      </c>
      <c r="F432" s="32">
        <v>22025244</v>
      </c>
      <c r="G432" s="32" t="s">
        <v>230</v>
      </c>
      <c r="H432" s="26" t="s">
        <v>38</v>
      </c>
      <c r="I432" s="36">
        <v>100</v>
      </c>
      <c r="J432" s="32">
        <f>IF(MB25_VOLUMETRIA[[#This Row],[Reserva]]="","",1)</f>
        <v>1</v>
      </c>
      <c r="K432" s="36" t="str">
        <f>IF(MB25_VOLUMETRIA[[#This Row],[Reserva]]="","",IFERROR(VLOOKUP(MB25_VOLUMETRIA[[#This Row],[UMB]],CHAVE[],2,FALSE),"VERIFICAR"))</f>
        <v>Unidade</v>
      </c>
      <c r="L432" s="32" t="str">
        <f>IF(MB25_VOLUMETRIA[[#This Row],[Reserva]]="","",IFERROR(VLOOKUP(MB25_VOLUMETRIA[[#This Row],[Reserva]],Tabela3[[Reserva]:[Condição para Faturamento]],20,FALSE),"IMPORTADO COM SUCESSO"))</f>
        <v>EM CONFERENCIA</v>
      </c>
      <c r="M432" s="32" t="str">
        <f ca="1">IFERROR(VLOOKUP(MB25_VOLUMETRIA[[#This Row],[Reserva]],RES_AB[],14,FALSE),"")</f>
        <v>RESERVAS EM ATRASO</v>
      </c>
      <c r="N432" s="32" t="str">
        <f>IF(MB25_VOLUMETRIA[[#This Row],[Cen.]]="","",IFERROR(VLOOKUP(MB25_VOLUMETRIA[[#This Row],[Cen.]],Dados_Empresas[],2,FALSE),"Verificar empresa"))</f>
        <v>NET MASSIVO</v>
      </c>
      <c r="O432" s="32" t="str">
        <f>IF(MB25_VOLUMETRIA[[#This Row],[EMPRESA]]="","",IF(OR(MB25_VOLUMETRIA[[#This Row],[EMPRESA]]="NET MASSIVO",MB25_VOLUMETRIA[[#This Row],[EMPRESA]]="NET PROJETOS"),"NET","EMPRESARIAL"))</f>
        <v>NET</v>
      </c>
    </row>
    <row r="433" spans="1:15" x14ac:dyDescent="0.25">
      <c r="A433" s="32">
        <v>4379617</v>
      </c>
      <c r="B433" s="32" t="s">
        <v>21</v>
      </c>
      <c r="C433" s="33" t="s">
        <v>19</v>
      </c>
      <c r="D433" s="35">
        <v>45446</v>
      </c>
      <c r="E433" s="32" t="s">
        <v>185</v>
      </c>
      <c r="F433" s="32">
        <v>22025245</v>
      </c>
      <c r="G433" s="32" t="s">
        <v>260</v>
      </c>
      <c r="H433" s="26" t="s">
        <v>38</v>
      </c>
      <c r="I433" s="36">
        <v>100</v>
      </c>
      <c r="J433" s="32">
        <f>IF(MB25_VOLUMETRIA[[#This Row],[Reserva]]="","",1)</f>
        <v>1</v>
      </c>
      <c r="K433" s="36" t="str">
        <f>IF(MB25_VOLUMETRIA[[#This Row],[Reserva]]="","",IFERROR(VLOOKUP(MB25_VOLUMETRIA[[#This Row],[UMB]],CHAVE[],2,FALSE),"VERIFICAR"))</f>
        <v>Unidade</v>
      </c>
      <c r="L433" s="32" t="str">
        <f>IF(MB25_VOLUMETRIA[[#This Row],[Reserva]]="","",IFERROR(VLOOKUP(MB25_VOLUMETRIA[[#This Row],[Reserva]],Tabela3[[Reserva]:[Condição para Faturamento]],20,FALSE),"IMPORTADO COM SUCESSO"))</f>
        <v>EM CONFERENCIA</v>
      </c>
      <c r="M433" s="32" t="str">
        <f ca="1">IFERROR(VLOOKUP(MB25_VOLUMETRIA[[#This Row],[Reserva]],RES_AB[],14,FALSE),"")</f>
        <v>RESERVAS EM ATRASO</v>
      </c>
      <c r="N433" s="32" t="str">
        <f>IF(MB25_VOLUMETRIA[[#This Row],[Cen.]]="","",IFERROR(VLOOKUP(MB25_VOLUMETRIA[[#This Row],[Cen.]],Dados_Empresas[],2,FALSE),"Verificar empresa"))</f>
        <v>NET MASSIVO</v>
      </c>
      <c r="O433" s="32" t="str">
        <f>IF(MB25_VOLUMETRIA[[#This Row],[EMPRESA]]="","",IF(OR(MB25_VOLUMETRIA[[#This Row],[EMPRESA]]="NET MASSIVO",MB25_VOLUMETRIA[[#This Row],[EMPRESA]]="NET PROJETOS"),"NET","EMPRESARIAL"))</f>
        <v>NET</v>
      </c>
    </row>
    <row r="434" spans="1:15" x14ac:dyDescent="0.25">
      <c r="A434" s="32">
        <v>4379617</v>
      </c>
      <c r="B434" s="32" t="s">
        <v>21</v>
      </c>
      <c r="C434" s="33" t="s">
        <v>21</v>
      </c>
      <c r="D434" s="35">
        <v>45446</v>
      </c>
      <c r="E434" s="32" t="s">
        <v>185</v>
      </c>
      <c r="F434" s="32">
        <v>22026219</v>
      </c>
      <c r="G434" s="32" t="s">
        <v>221</v>
      </c>
      <c r="H434" s="26" t="s">
        <v>38</v>
      </c>
      <c r="I434" s="36">
        <v>3300</v>
      </c>
      <c r="J434" s="32">
        <f>IF(MB25_VOLUMETRIA[[#This Row],[Reserva]]="","",1)</f>
        <v>1</v>
      </c>
      <c r="K434" s="36" t="str">
        <f>IF(MB25_VOLUMETRIA[[#This Row],[Reserva]]="","",IFERROR(VLOOKUP(MB25_VOLUMETRIA[[#This Row],[UMB]],CHAVE[],2,FALSE),"VERIFICAR"))</f>
        <v>Unidade</v>
      </c>
      <c r="L434" s="32" t="str">
        <f>IF(MB25_VOLUMETRIA[[#This Row],[Reserva]]="","",IFERROR(VLOOKUP(MB25_VOLUMETRIA[[#This Row],[Reserva]],Tabela3[[Reserva]:[Condição para Faturamento]],20,FALSE),"IMPORTADO COM SUCESSO"))</f>
        <v>EM CONFERENCIA</v>
      </c>
      <c r="M434" s="32" t="str">
        <f ca="1">IFERROR(VLOOKUP(MB25_VOLUMETRIA[[#This Row],[Reserva]],RES_AB[],14,FALSE),"")</f>
        <v>RESERVAS EM ATRASO</v>
      </c>
      <c r="N434" s="32" t="str">
        <f>IF(MB25_VOLUMETRIA[[#This Row],[Cen.]]="","",IFERROR(VLOOKUP(MB25_VOLUMETRIA[[#This Row],[Cen.]],Dados_Empresas[],2,FALSE),"Verificar empresa"))</f>
        <v>NET MASSIVO</v>
      </c>
      <c r="O434" s="32" t="str">
        <f>IF(MB25_VOLUMETRIA[[#This Row],[EMPRESA]]="","",IF(OR(MB25_VOLUMETRIA[[#This Row],[EMPRESA]]="NET MASSIVO",MB25_VOLUMETRIA[[#This Row],[EMPRESA]]="NET PROJETOS"),"NET","EMPRESARIAL"))</f>
        <v>NET</v>
      </c>
    </row>
    <row r="435" spans="1:15" x14ac:dyDescent="0.25">
      <c r="A435" s="32">
        <v>4379617</v>
      </c>
      <c r="B435" s="32" t="s">
        <v>21</v>
      </c>
      <c r="C435" s="33" t="s">
        <v>21</v>
      </c>
      <c r="D435" s="35">
        <v>45446</v>
      </c>
      <c r="E435" s="32" t="s">
        <v>185</v>
      </c>
      <c r="F435" s="32">
        <v>22026223</v>
      </c>
      <c r="G435" s="32" t="s">
        <v>195</v>
      </c>
      <c r="H435" s="26" t="s">
        <v>38</v>
      </c>
      <c r="I435" s="36">
        <v>3355</v>
      </c>
      <c r="J435" s="32">
        <f>IF(MB25_VOLUMETRIA[[#This Row],[Reserva]]="","",1)</f>
        <v>1</v>
      </c>
      <c r="K435" s="36" t="str">
        <f>IF(MB25_VOLUMETRIA[[#This Row],[Reserva]]="","",IFERROR(VLOOKUP(MB25_VOLUMETRIA[[#This Row],[UMB]],CHAVE[],2,FALSE),"VERIFICAR"))</f>
        <v>Unidade</v>
      </c>
      <c r="L435" s="32" t="str">
        <f>IF(MB25_VOLUMETRIA[[#This Row],[Reserva]]="","",IFERROR(VLOOKUP(MB25_VOLUMETRIA[[#This Row],[Reserva]],Tabela3[[Reserva]:[Condição para Faturamento]],20,FALSE),"IMPORTADO COM SUCESSO"))</f>
        <v>EM CONFERENCIA</v>
      </c>
      <c r="M435" s="32" t="str">
        <f ca="1">IFERROR(VLOOKUP(MB25_VOLUMETRIA[[#This Row],[Reserva]],RES_AB[],14,FALSE),"")</f>
        <v>RESERVAS EM ATRASO</v>
      </c>
      <c r="N435" s="32" t="str">
        <f>IF(MB25_VOLUMETRIA[[#This Row],[Cen.]]="","",IFERROR(VLOOKUP(MB25_VOLUMETRIA[[#This Row],[Cen.]],Dados_Empresas[],2,FALSE),"Verificar empresa"))</f>
        <v>NET MASSIVO</v>
      </c>
      <c r="O435" s="32" t="str">
        <f>IF(MB25_VOLUMETRIA[[#This Row],[EMPRESA]]="","",IF(OR(MB25_VOLUMETRIA[[#This Row],[EMPRESA]]="NET MASSIVO",MB25_VOLUMETRIA[[#This Row],[EMPRESA]]="NET PROJETOS"),"NET","EMPRESARIAL"))</f>
        <v>NET</v>
      </c>
    </row>
    <row r="436" spans="1:15" x14ac:dyDescent="0.25">
      <c r="A436" s="32">
        <v>4379617</v>
      </c>
      <c r="B436" s="32" t="s">
        <v>21</v>
      </c>
      <c r="C436" s="33" t="s">
        <v>19</v>
      </c>
      <c r="D436" s="35">
        <v>45446</v>
      </c>
      <c r="E436" s="32" t="s">
        <v>185</v>
      </c>
      <c r="F436" s="32">
        <v>22026249</v>
      </c>
      <c r="G436" s="32" t="s">
        <v>186</v>
      </c>
      <c r="H436" s="26" t="s">
        <v>38</v>
      </c>
      <c r="I436" s="36">
        <v>220</v>
      </c>
      <c r="J436" s="32">
        <f>IF(MB25_VOLUMETRIA[[#This Row],[Reserva]]="","",1)</f>
        <v>1</v>
      </c>
      <c r="K436" s="36" t="str">
        <f>IF(MB25_VOLUMETRIA[[#This Row],[Reserva]]="","",IFERROR(VLOOKUP(MB25_VOLUMETRIA[[#This Row],[UMB]],CHAVE[],2,FALSE),"VERIFICAR"))</f>
        <v>Unidade</v>
      </c>
      <c r="L436" s="32" t="str">
        <f>IF(MB25_VOLUMETRIA[[#This Row],[Reserva]]="","",IFERROR(VLOOKUP(MB25_VOLUMETRIA[[#This Row],[Reserva]],Tabela3[[Reserva]:[Condição para Faturamento]],20,FALSE),"IMPORTADO COM SUCESSO"))</f>
        <v>EM CONFERENCIA</v>
      </c>
      <c r="M436" s="32" t="str">
        <f ca="1">IFERROR(VLOOKUP(MB25_VOLUMETRIA[[#This Row],[Reserva]],RES_AB[],14,FALSE),"")</f>
        <v>RESERVAS EM ATRASO</v>
      </c>
      <c r="N436" s="32" t="str">
        <f>IF(MB25_VOLUMETRIA[[#This Row],[Cen.]]="","",IFERROR(VLOOKUP(MB25_VOLUMETRIA[[#This Row],[Cen.]],Dados_Empresas[],2,FALSE),"Verificar empresa"))</f>
        <v>NET MASSIVO</v>
      </c>
      <c r="O436" s="32" t="str">
        <f>IF(MB25_VOLUMETRIA[[#This Row],[EMPRESA]]="","",IF(OR(MB25_VOLUMETRIA[[#This Row],[EMPRESA]]="NET MASSIVO",MB25_VOLUMETRIA[[#This Row],[EMPRESA]]="NET PROJETOS"),"NET","EMPRESARIAL"))</f>
        <v>NET</v>
      </c>
    </row>
    <row r="437" spans="1:15" x14ac:dyDescent="0.25">
      <c r="A437" s="32">
        <v>4379617</v>
      </c>
      <c r="B437" s="32" t="s">
        <v>21</v>
      </c>
      <c r="C437" s="33" t="s">
        <v>21</v>
      </c>
      <c r="D437" s="35">
        <v>45446</v>
      </c>
      <c r="E437" s="32" t="s">
        <v>185</v>
      </c>
      <c r="F437" s="32">
        <v>22056332</v>
      </c>
      <c r="G437" s="32" t="s">
        <v>207</v>
      </c>
      <c r="H437" s="26" t="s">
        <v>38</v>
      </c>
      <c r="I437" s="36">
        <v>4</v>
      </c>
      <c r="J437" s="32">
        <f>IF(MB25_VOLUMETRIA[[#This Row],[Reserva]]="","",1)</f>
        <v>1</v>
      </c>
      <c r="K437" s="36" t="str">
        <f>IF(MB25_VOLUMETRIA[[#This Row],[Reserva]]="","",IFERROR(VLOOKUP(MB25_VOLUMETRIA[[#This Row],[UMB]],CHAVE[],2,FALSE),"VERIFICAR"))</f>
        <v>Unidade</v>
      </c>
      <c r="L437" s="32" t="str">
        <f>IF(MB25_VOLUMETRIA[[#This Row],[Reserva]]="","",IFERROR(VLOOKUP(MB25_VOLUMETRIA[[#This Row],[Reserva]],Tabela3[[Reserva]:[Condição para Faturamento]],20,FALSE),"IMPORTADO COM SUCESSO"))</f>
        <v>EM CONFERENCIA</v>
      </c>
      <c r="M437" s="32" t="str">
        <f ca="1">IFERROR(VLOOKUP(MB25_VOLUMETRIA[[#This Row],[Reserva]],RES_AB[],14,FALSE),"")</f>
        <v>RESERVAS EM ATRASO</v>
      </c>
      <c r="N437" s="32" t="str">
        <f>IF(MB25_VOLUMETRIA[[#This Row],[Cen.]]="","",IFERROR(VLOOKUP(MB25_VOLUMETRIA[[#This Row],[Cen.]],Dados_Empresas[],2,FALSE),"Verificar empresa"))</f>
        <v>NET MASSIVO</v>
      </c>
      <c r="O437" s="32" t="str">
        <f>IF(MB25_VOLUMETRIA[[#This Row],[EMPRESA]]="","",IF(OR(MB25_VOLUMETRIA[[#This Row],[EMPRESA]]="NET MASSIVO",MB25_VOLUMETRIA[[#This Row],[EMPRESA]]="NET PROJETOS"),"NET","EMPRESARIAL"))</f>
        <v>NET</v>
      </c>
    </row>
    <row r="438" spans="1:15" x14ac:dyDescent="0.25">
      <c r="A438" s="32">
        <v>4379617</v>
      </c>
      <c r="B438" s="32" t="s">
        <v>21</v>
      </c>
      <c r="C438" s="33" t="s">
        <v>21</v>
      </c>
      <c r="D438" s="35">
        <v>45446</v>
      </c>
      <c r="E438" s="32" t="s">
        <v>185</v>
      </c>
      <c r="F438" s="32">
        <v>22056369</v>
      </c>
      <c r="G438" s="32" t="s">
        <v>194</v>
      </c>
      <c r="H438" s="26" t="s">
        <v>38</v>
      </c>
      <c r="I438" s="36">
        <v>600</v>
      </c>
      <c r="J438" s="32">
        <f>IF(MB25_VOLUMETRIA[[#This Row],[Reserva]]="","",1)</f>
        <v>1</v>
      </c>
      <c r="K438" s="36" t="str">
        <f>IF(MB25_VOLUMETRIA[[#This Row],[Reserva]]="","",IFERROR(VLOOKUP(MB25_VOLUMETRIA[[#This Row],[UMB]],CHAVE[],2,FALSE),"VERIFICAR"))</f>
        <v>Unidade</v>
      </c>
      <c r="L438" s="32" t="str">
        <f>IF(MB25_VOLUMETRIA[[#This Row],[Reserva]]="","",IFERROR(VLOOKUP(MB25_VOLUMETRIA[[#This Row],[Reserva]],Tabela3[[Reserva]:[Condição para Faturamento]],20,FALSE),"IMPORTADO COM SUCESSO"))</f>
        <v>EM CONFERENCIA</v>
      </c>
      <c r="M438" s="32" t="str">
        <f ca="1">IFERROR(VLOOKUP(MB25_VOLUMETRIA[[#This Row],[Reserva]],RES_AB[],14,FALSE),"")</f>
        <v>RESERVAS EM ATRASO</v>
      </c>
      <c r="N438" s="32" t="str">
        <f>IF(MB25_VOLUMETRIA[[#This Row],[Cen.]]="","",IFERROR(VLOOKUP(MB25_VOLUMETRIA[[#This Row],[Cen.]],Dados_Empresas[],2,FALSE),"Verificar empresa"))</f>
        <v>NET MASSIVO</v>
      </c>
      <c r="O438" s="32" t="str">
        <f>IF(MB25_VOLUMETRIA[[#This Row],[EMPRESA]]="","",IF(OR(MB25_VOLUMETRIA[[#This Row],[EMPRESA]]="NET MASSIVO",MB25_VOLUMETRIA[[#This Row],[EMPRESA]]="NET PROJETOS"),"NET","EMPRESARIAL"))</f>
        <v>NET</v>
      </c>
    </row>
    <row r="439" spans="1:15" x14ac:dyDescent="0.25">
      <c r="A439" s="32">
        <v>4379617</v>
      </c>
      <c r="B439" s="32" t="s">
        <v>21</v>
      </c>
      <c r="C439" s="33" t="s">
        <v>21</v>
      </c>
      <c r="D439" s="35">
        <v>45446</v>
      </c>
      <c r="E439" s="32" t="s">
        <v>185</v>
      </c>
      <c r="F439" s="32">
        <v>22057620</v>
      </c>
      <c r="G439" s="32" t="s">
        <v>253</v>
      </c>
      <c r="H439" s="26" t="s">
        <v>38</v>
      </c>
      <c r="I439" s="36">
        <v>300</v>
      </c>
      <c r="J439" s="32">
        <f>IF(MB25_VOLUMETRIA[[#This Row],[Reserva]]="","",1)</f>
        <v>1</v>
      </c>
      <c r="K439" s="36" t="str">
        <f>IF(MB25_VOLUMETRIA[[#This Row],[Reserva]]="","",IFERROR(VLOOKUP(MB25_VOLUMETRIA[[#This Row],[UMB]],CHAVE[],2,FALSE),"VERIFICAR"))</f>
        <v>Unidade</v>
      </c>
      <c r="L439" s="32" t="str">
        <f>IF(MB25_VOLUMETRIA[[#This Row],[Reserva]]="","",IFERROR(VLOOKUP(MB25_VOLUMETRIA[[#This Row],[Reserva]],Tabela3[[Reserva]:[Condição para Faturamento]],20,FALSE),"IMPORTADO COM SUCESSO"))</f>
        <v>EM CONFERENCIA</v>
      </c>
      <c r="M439" s="32" t="str">
        <f ca="1">IFERROR(VLOOKUP(MB25_VOLUMETRIA[[#This Row],[Reserva]],RES_AB[],14,FALSE),"")</f>
        <v>RESERVAS EM ATRASO</v>
      </c>
      <c r="N439" s="32" t="str">
        <f>IF(MB25_VOLUMETRIA[[#This Row],[Cen.]]="","",IFERROR(VLOOKUP(MB25_VOLUMETRIA[[#This Row],[Cen.]],Dados_Empresas[],2,FALSE),"Verificar empresa"))</f>
        <v>NET MASSIVO</v>
      </c>
      <c r="O439" s="32" t="str">
        <f>IF(MB25_VOLUMETRIA[[#This Row],[EMPRESA]]="","",IF(OR(MB25_VOLUMETRIA[[#This Row],[EMPRESA]]="NET MASSIVO",MB25_VOLUMETRIA[[#This Row],[EMPRESA]]="NET PROJETOS"),"NET","EMPRESARIAL"))</f>
        <v>NET</v>
      </c>
    </row>
    <row r="440" spans="1:15" x14ac:dyDescent="0.25">
      <c r="A440" s="32">
        <v>4379617</v>
      </c>
      <c r="B440" s="32" t="s">
        <v>21</v>
      </c>
      <c r="C440" s="33" t="s">
        <v>21</v>
      </c>
      <c r="D440" s="35">
        <v>45446</v>
      </c>
      <c r="E440" s="32" t="s">
        <v>185</v>
      </c>
      <c r="F440" s="32">
        <v>22057635</v>
      </c>
      <c r="G440" s="32" t="s">
        <v>223</v>
      </c>
      <c r="H440" s="26" t="s">
        <v>38</v>
      </c>
      <c r="I440" s="36">
        <v>200</v>
      </c>
      <c r="J440" s="32">
        <f>IF(MB25_VOLUMETRIA[[#This Row],[Reserva]]="","",1)</f>
        <v>1</v>
      </c>
      <c r="K440" s="36" t="str">
        <f>IF(MB25_VOLUMETRIA[[#This Row],[Reserva]]="","",IFERROR(VLOOKUP(MB25_VOLUMETRIA[[#This Row],[UMB]],CHAVE[],2,FALSE),"VERIFICAR"))</f>
        <v>Unidade</v>
      </c>
      <c r="L440" s="32" t="str">
        <f>IF(MB25_VOLUMETRIA[[#This Row],[Reserva]]="","",IFERROR(VLOOKUP(MB25_VOLUMETRIA[[#This Row],[Reserva]],Tabela3[[Reserva]:[Condição para Faturamento]],20,FALSE),"IMPORTADO COM SUCESSO"))</f>
        <v>EM CONFERENCIA</v>
      </c>
      <c r="M440" s="32" t="str">
        <f ca="1">IFERROR(VLOOKUP(MB25_VOLUMETRIA[[#This Row],[Reserva]],RES_AB[],14,FALSE),"")</f>
        <v>RESERVAS EM ATRASO</v>
      </c>
      <c r="N440" s="32" t="str">
        <f>IF(MB25_VOLUMETRIA[[#This Row],[Cen.]]="","",IFERROR(VLOOKUP(MB25_VOLUMETRIA[[#This Row],[Cen.]],Dados_Empresas[],2,FALSE),"Verificar empresa"))</f>
        <v>NET MASSIVO</v>
      </c>
      <c r="O440" s="32" t="str">
        <f>IF(MB25_VOLUMETRIA[[#This Row],[EMPRESA]]="","",IF(OR(MB25_VOLUMETRIA[[#This Row],[EMPRESA]]="NET MASSIVO",MB25_VOLUMETRIA[[#This Row],[EMPRESA]]="NET PROJETOS"),"NET","EMPRESARIAL"))</f>
        <v>NET</v>
      </c>
    </row>
    <row r="441" spans="1:15" x14ac:dyDescent="0.25">
      <c r="A441" s="32">
        <v>4379617</v>
      </c>
      <c r="B441" s="32" t="s">
        <v>21</v>
      </c>
      <c r="C441" s="33" t="s">
        <v>21</v>
      </c>
      <c r="D441" s="35">
        <v>45446</v>
      </c>
      <c r="E441" s="32" t="s">
        <v>185</v>
      </c>
      <c r="F441" s="32">
        <v>22057658</v>
      </c>
      <c r="G441" s="32" t="s">
        <v>229</v>
      </c>
      <c r="H441" s="26" t="s">
        <v>38</v>
      </c>
      <c r="I441" s="36">
        <v>20</v>
      </c>
      <c r="J441" s="32">
        <f>IF(MB25_VOLUMETRIA[[#This Row],[Reserva]]="","",1)</f>
        <v>1</v>
      </c>
      <c r="K441" s="36" t="str">
        <f>IF(MB25_VOLUMETRIA[[#This Row],[Reserva]]="","",IFERROR(VLOOKUP(MB25_VOLUMETRIA[[#This Row],[UMB]],CHAVE[],2,FALSE),"VERIFICAR"))</f>
        <v>Unidade</v>
      </c>
      <c r="L441" s="32" t="str">
        <f>IF(MB25_VOLUMETRIA[[#This Row],[Reserva]]="","",IFERROR(VLOOKUP(MB25_VOLUMETRIA[[#This Row],[Reserva]],Tabela3[[Reserva]:[Condição para Faturamento]],20,FALSE),"IMPORTADO COM SUCESSO"))</f>
        <v>EM CONFERENCIA</v>
      </c>
      <c r="M441" s="32" t="str">
        <f ca="1">IFERROR(VLOOKUP(MB25_VOLUMETRIA[[#This Row],[Reserva]],RES_AB[],14,FALSE),"")</f>
        <v>RESERVAS EM ATRASO</v>
      </c>
      <c r="N441" s="32" t="str">
        <f>IF(MB25_VOLUMETRIA[[#This Row],[Cen.]]="","",IFERROR(VLOOKUP(MB25_VOLUMETRIA[[#This Row],[Cen.]],Dados_Empresas[],2,FALSE),"Verificar empresa"))</f>
        <v>NET MASSIVO</v>
      </c>
      <c r="O441" s="32" t="str">
        <f>IF(MB25_VOLUMETRIA[[#This Row],[EMPRESA]]="","",IF(OR(MB25_VOLUMETRIA[[#This Row],[EMPRESA]]="NET MASSIVO",MB25_VOLUMETRIA[[#This Row],[EMPRESA]]="NET PROJETOS"),"NET","EMPRESARIAL"))</f>
        <v>NET</v>
      </c>
    </row>
    <row r="442" spans="1:15" x14ac:dyDescent="0.25">
      <c r="A442" s="32">
        <v>4379617</v>
      </c>
      <c r="B442" s="32" t="s">
        <v>21</v>
      </c>
      <c r="C442" s="33" t="s">
        <v>21</v>
      </c>
      <c r="D442" s="35">
        <v>45446</v>
      </c>
      <c r="E442" s="32" t="s">
        <v>185</v>
      </c>
      <c r="F442" s="32">
        <v>22057659</v>
      </c>
      <c r="G442" s="32" t="s">
        <v>224</v>
      </c>
      <c r="H442" s="26" t="s">
        <v>38</v>
      </c>
      <c r="I442" s="36">
        <v>160</v>
      </c>
      <c r="J442" s="32">
        <f>IF(MB25_VOLUMETRIA[[#This Row],[Reserva]]="","",1)</f>
        <v>1</v>
      </c>
      <c r="K442" s="36" t="str">
        <f>IF(MB25_VOLUMETRIA[[#This Row],[Reserva]]="","",IFERROR(VLOOKUP(MB25_VOLUMETRIA[[#This Row],[UMB]],CHAVE[],2,FALSE),"VERIFICAR"))</f>
        <v>Unidade</v>
      </c>
      <c r="L442" s="32" t="str">
        <f>IF(MB25_VOLUMETRIA[[#This Row],[Reserva]]="","",IFERROR(VLOOKUP(MB25_VOLUMETRIA[[#This Row],[Reserva]],Tabela3[[Reserva]:[Condição para Faturamento]],20,FALSE),"IMPORTADO COM SUCESSO"))</f>
        <v>EM CONFERENCIA</v>
      </c>
      <c r="M442" s="32" t="str">
        <f ca="1">IFERROR(VLOOKUP(MB25_VOLUMETRIA[[#This Row],[Reserva]],RES_AB[],14,FALSE),"")</f>
        <v>RESERVAS EM ATRASO</v>
      </c>
      <c r="N442" s="32" t="str">
        <f>IF(MB25_VOLUMETRIA[[#This Row],[Cen.]]="","",IFERROR(VLOOKUP(MB25_VOLUMETRIA[[#This Row],[Cen.]],Dados_Empresas[],2,FALSE),"Verificar empresa"))</f>
        <v>NET MASSIVO</v>
      </c>
      <c r="O442" s="32" t="str">
        <f>IF(MB25_VOLUMETRIA[[#This Row],[EMPRESA]]="","",IF(OR(MB25_VOLUMETRIA[[#This Row],[EMPRESA]]="NET MASSIVO",MB25_VOLUMETRIA[[#This Row],[EMPRESA]]="NET PROJETOS"),"NET","EMPRESARIAL"))</f>
        <v>NET</v>
      </c>
    </row>
    <row r="443" spans="1:15" x14ac:dyDescent="0.25">
      <c r="A443" s="32">
        <v>4379617</v>
      </c>
      <c r="B443" s="32" t="s">
        <v>21</v>
      </c>
      <c r="C443" s="33" t="s">
        <v>19</v>
      </c>
      <c r="D443" s="35">
        <v>45446</v>
      </c>
      <c r="E443" s="32" t="s">
        <v>185</v>
      </c>
      <c r="F443" s="32">
        <v>22058239</v>
      </c>
      <c r="G443" s="32" t="s">
        <v>317</v>
      </c>
      <c r="H443" s="26" t="s">
        <v>38</v>
      </c>
      <c r="I443" s="36">
        <v>220</v>
      </c>
      <c r="J443" s="32">
        <f>IF(MB25_VOLUMETRIA[[#This Row],[Reserva]]="","",1)</f>
        <v>1</v>
      </c>
      <c r="K443" s="36" t="str">
        <f>IF(MB25_VOLUMETRIA[[#This Row],[Reserva]]="","",IFERROR(VLOOKUP(MB25_VOLUMETRIA[[#This Row],[UMB]],CHAVE[],2,FALSE),"VERIFICAR"))</f>
        <v>Unidade</v>
      </c>
      <c r="L443" s="32" t="str">
        <f>IF(MB25_VOLUMETRIA[[#This Row],[Reserva]]="","",IFERROR(VLOOKUP(MB25_VOLUMETRIA[[#This Row],[Reserva]],Tabela3[[Reserva]:[Condição para Faturamento]],20,FALSE),"IMPORTADO COM SUCESSO"))</f>
        <v>EM CONFERENCIA</v>
      </c>
      <c r="M443" s="32" t="str">
        <f ca="1">IFERROR(VLOOKUP(MB25_VOLUMETRIA[[#This Row],[Reserva]],RES_AB[],14,FALSE),"")</f>
        <v>RESERVAS EM ATRASO</v>
      </c>
      <c r="N443" s="32" t="str">
        <f>IF(MB25_VOLUMETRIA[[#This Row],[Cen.]]="","",IFERROR(VLOOKUP(MB25_VOLUMETRIA[[#This Row],[Cen.]],Dados_Empresas[],2,FALSE),"Verificar empresa"))</f>
        <v>NET MASSIVO</v>
      </c>
      <c r="O443" s="32" t="str">
        <f>IF(MB25_VOLUMETRIA[[#This Row],[EMPRESA]]="","",IF(OR(MB25_VOLUMETRIA[[#This Row],[EMPRESA]]="NET MASSIVO",MB25_VOLUMETRIA[[#This Row],[EMPRESA]]="NET PROJETOS"),"NET","EMPRESARIAL"))</f>
        <v>NET</v>
      </c>
    </row>
    <row r="444" spans="1:15" x14ac:dyDescent="0.25">
      <c r="A444" s="32">
        <v>4379617</v>
      </c>
      <c r="B444" s="32" t="s">
        <v>21</v>
      </c>
      <c r="C444" s="33" t="s">
        <v>21</v>
      </c>
      <c r="D444" s="35">
        <v>45446</v>
      </c>
      <c r="E444" s="32" t="s">
        <v>185</v>
      </c>
      <c r="F444" s="32">
        <v>22058258</v>
      </c>
      <c r="G444" s="32" t="s">
        <v>187</v>
      </c>
      <c r="H444" s="26" t="s">
        <v>38</v>
      </c>
      <c r="I444" s="36">
        <v>440</v>
      </c>
      <c r="J444" s="32">
        <f>IF(MB25_VOLUMETRIA[[#This Row],[Reserva]]="","",1)</f>
        <v>1</v>
      </c>
      <c r="K444" s="36" t="str">
        <f>IF(MB25_VOLUMETRIA[[#This Row],[Reserva]]="","",IFERROR(VLOOKUP(MB25_VOLUMETRIA[[#This Row],[UMB]],CHAVE[],2,FALSE),"VERIFICAR"))</f>
        <v>Unidade</v>
      </c>
      <c r="L444" s="32" t="str">
        <f>IF(MB25_VOLUMETRIA[[#This Row],[Reserva]]="","",IFERROR(VLOOKUP(MB25_VOLUMETRIA[[#This Row],[Reserva]],Tabela3[[Reserva]:[Condição para Faturamento]],20,FALSE),"IMPORTADO COM SUCESSO"))</f>
        <v>EM CONFERENCIA</v>
      </c>
      <c r="M444" s="32" t="str">
        <f ca="1">IFERROR(VLOOKUP(MB25_VOLUMETRIA[[#This Row],[Reserva]],RES_AB[],14,FALSE),"")</f>
        <v>RESERVAS EM ATRASO</v>
      </c>
      <c r="N444" s="32" t="str">
        <f>IF(MB25_VOLUMETRIA[[#This Row],[Cen.]]="","",IFERROR(VLOOKUP(MB25_VOLUMETRIA[[#This Row],[Cen.]],Dados_Empresas[],2,FALSE),"Verificar empresa"))</f>
        <v>NET MASSIVO</v>
      </c>
      <c r="O444" s="32" t="str">
        <f>IF(MB25_VOLUMETRIA[[#This Row],[EMPRESA]]="","",IF(OR(MB25_VOLUMETRIA[[#This Row],[EMPRESA]]="NET MASSIVO",MB25_VOLUMETRIA[[#This Row],[EMPRESA]]="NET PROJETOS"),"NET","EMPRESARIAL"))</f>
        <v>NET</v>
      </c>
    </row>
    <row r="445" spans="1:15" x14ac:dyDescent="0.25">
      <c r="A445" s="32">
        <v>4379617</v>
      </c>
      <c r="B445" s="32" t="s">
        <v>21</v>
      </c>
      <c r="C445" s="33" t="s">
        <v>21</v>
      </c>
      <c r="D445" s="35">
        <v>45446</v>
      </c>
      <c r="E445" s="32" t="s">
        <v>185</v>
      </c>
      <c r="F445" s="32">
        <v>22061736</v>
      </c>
      <c r="G445" s="32" t="s">
        <v>216</v>
      </c>
      <c r="H445" s="26" t="s">
        <v>38</v>
      </c>
      <c r="I445" s="36">
        <v>6000</v>
      </c>
      <c r="J445" s="32">
        <f>IF(MB25_VOLUMETRIA[[#This Row],[Reserva]]="","",1)</f>
        <v>1</v>
      </c>
      <c r="K445" s="36" t="str">
        <f>IF(MB25_VOLUMETRIA[[#This Row],[Reserva]]="","",IFERROR(VLOOKUP(MB25_VOLUMETRIA[[#This Row],[UMB]],CHAVE[],2,FALSE),"VERIFICAR"))</f>
        <v>Unidade</v>
      </c>
      <c r="L445" s="32" t="str">
        <f>IF(MB25_VOLUMETRIA[[#This Row],[Reserva]]="","",IFERROR(VLOOKUP(MB25_VOLUMETRIA[[#This Row],[Reserva]],Tabela3[[Reserva]:[Condição para Faturamento]],20,FALSE),"IMPORTADO COM SUCESSO"))</f>
        <v>EM CONFERENCIA</v>
      </c>
      <c r="M445" s="32" t="str">
        <f ca="1">IFERROR(VLOOKUP(MB25_VOLUMETRIA[[#This Row],[Reserva]],RES_AB[],14,FALSE),"")</f>
        <v>RESERVAS EM ATRASO</v>
      </c>
      <c r="N445" s="32" t="str">
        <f>IF(MB25_VOLUMETRIA[[#This Row],[Cen.]]="","",IFERROR(VLOOKUP(MB25_VOLUMETRIA[[#This Row],[Cen.]],Dados_Empresas[],2,FALSE),"Verificar empresa"))</f>
        <v>NET MASSIVO</v>
      </c>
      <c r="O445" s="32" t="str">
        <f>IF(MB25_VOLUMETRIA[[#This Row],[EMPRESA]]="","",IF(OR(MB25_VOLUMETRIA[[#This Row],[EMPRESA]]="NET MASSIVO",MB25_VOLUMETRIA[[#This Row],[EMPRESA]]="NET PROJETOS"),"NET","EMPRESARIAL"))</f>
        <v>NET</v>
      </c>
    </row>
    <row r="446" spans="1:15" x14ac:dyDescent="0.25">
      <c r="A446" s="32">
        <v>4379617</v>
      </c>
      <c r="B446" s="32" t="s">
        <v>21</v>
      </c>
      <c r="C446" s="33" t="s">
        <v>21</v>
      </c>
      <c r="D446" s="35">
        <v>45446</v>
      </c>
      <c r="E446" s="32" t="s">
        <v>185</v>
      </c>
      <c r="F446" s="32">
        <v>22061811</v>
      </c>
      <c r="G446" s="32" t="s">
        <v>226</v>
      </c>
      <c r="H446" s="26" t="s">
        <v>38</v>
      </c>
      <c r="I446" s="36">
        <v>100</v>
      </c>
      <c r="J446" s="32">
        <f>IF(MB25_VOLUMETRIA[[#This Row],[Reserva]]="","",1)</f>
        <v>1</v>
      </c>
      <c r="K446" s="36" t="str">
        <f>IF(MB25_VOLUMETRIA[[#This Row],[Reserva]]="","",IFERROR(VLOOKUP(MB25_VOLUMETRIA[[#This Row],[UMB]],CHAVE[],2,FALSE),"VERIFICAR"))</f>
        <v>Unidade</v>
      </c>
      <c r="L446" s="32" t="str">
        <f>IF(MB25_VOLUMETRIA[[#This Row],[Reserva]]="","",IFERROR(VLOOKUP(MB25_VOLUMETRIA[[#This Row],[Reserva]],Tabela3[[Reserva]:[Condição para Faturamento]],20,FALSE),"IMPORTADO COM SUCESSO"))</f>
        <v>EM CONFERENCIA</v>
      </c>
      <c r="M446" s="32" t="str">
        <f ca="1">IFERROR(VLOOKUP(MB25_VOLUMETRIA[[#This Row],[Reserva]],RES_AB[],14,FALSE),"")</f>
        <v>RESERVAS EM ATRASO</v>
      </c>
      <c r="N446" s="32" t="str">
        <f>IF(MB25_VOLUMETRIA[[#This Row],[Cen.]]="","",IFERROR(VLOOKUP(MB25_VOLUMETRIA[[#This Row],[Cen.]],Dados_Empresas[],2,FALSE),"Verificar empresa"))</f>
        <v>NET MASSIVO</v>
      </c>
      <c r="O446" s="32" t="str">
        <f>IF(MB25_VOLUMETRIA[[#This Row],[EMPRESA]]="","",IF(OR(MB25_VOLUMETRIA[[#This Row],[EMPRESA]]="NET MASSIVO",MB25_VOLUMETRIA[[#This Row],[EMPRESA]]="NET PROJETOS"),"NET","EMPRESARIAL"))</f>
        <v>NET</v>
      </c>
    </row>
    <row r="447" spans="1:15" x14ac:dyDescent="0.25">
      <c r="A447" s="32">
        <v>4379617</v>
      </c>
      <c r="B447" s="32" t="s">
        <v>21</v>
      </c>
      <c r="C447" s="33" t="s">
        <v>21</v>
      </c>
      <c r="D447" s="35">
        <v>45446</v>
      </c>
      <c r="E447" s="32" t="s">
        <v>185</v>
      </c>
      <c r="F447" s="32">
        <v>22062576</v>
      </c>
      <c r="G447" s="32" t="s">
        <v>291</v>
      </c>
      <c r="H447" s="26" t="s">
        <v>38</v>
      </c>
      <c r="I447" s="36">
        <v>20</v>
      </c>
      <c r="J447" s="32">
        <f>IF(MB25_VOLUMETRIA[[#This Row],[Reserva]]="","",1)</f>
        <v>1</v>
      </c>
      <c r="K447" s="36" t="str">
        <f>IF(MB25_VOLUMETRIA[[#This Row],[Reserva]]="","",IFERROR(VLOOKUP(MB25_VOLUMETRIA[[#This Row],[UMB]],CHAVE[],2,FALSE),"VERIFICAR"))</f>
        <v>Unidade</v>
      </c>
      <c r="L447" s="32" t="str">
        <f>IF(MB25_VOLUMETRIA[[#This Row],[Reserva]]="","",IFERROR(VLOOKUP(MB25_VOLUMETRIA[[#This Row],[Reserva]],Tabela3[[Reserva]:[Condição para Faturamento]],20,FALSE),"IMPORTADO COM SUCESSO"))</f>
        <v>EM CONFERENCIA</v>
      </c>
      <c r="M447" s="32" t="str">
        <f ca="1">IFERROR(VLOOKUP(MB25_VOLUMETRIA[[#This Row],[Reserva]],RES_AB[],14,FALSE),"")</f>
        <v>RESERVAS EM ATRASO</v>
      </c>
      <c r="N447" s="32" t="str">
        <f>IF(MB25_VOLUMETRIA[[#This Row],[Cen.]]="","",IFERROR(VLOOKUP(MB25_VOLUMETRIA[[#This Row],[Cen.]],Dados_Empresas[],2,FALSE),"Verificar empresa"))</f>
        <v>NET MASSIVO</v>
      </c>
      <c r="O447" s="32" t="str">
        <f>IF(MB25_VOLUMETRIA[[#This Row],[EMPRESA]]="","",IF(OR(MB25_VOLUMETRIA[[#This Row],[EMPRESA]]="NET MASSIVO",MB25_VOLUMETRIA[[#This Row],[EMPRESA]]="NET PROJETOS"),"NET","EMPRESARIAL"))</f>
        <v>NET</v>
      </c>
    </row>
    <row r="448" spans="1:15" x14ac:dyDescent="0.25">
      <c r="A448" s="32">
        <v>4379617</v>
      </c>
      <c r="B448" s="32" t="s">
        <v>21</v>
      </c>
      <c r="C448" s="33" t="s">
        <v>21</v>
      </c>
      <c r="D448" s="35">
        <v>45446</v>
      </c>
      <c r="E448" s="32" t="s">
        <v>185</v>
      </c>
      <c r="F448" s="32">
        <v>22065720</v>
      </c>
      <c r="G448" s="32" t="s">
        <v>245</v>
      </c>
      <c r="H448" s="26" t="s">
        <v>38</v>
      </c>
      <c r="I448" s="36">
        <v>100</v>
      </c>
      <c r="J448" s="32">
        <f>IF(MB25_VOLUMETRIA[[#This Row],[Reserva]]="","",1)</f>
        <v>1</v>
      </c>
      <c r="K448" s="36" t="str">
        <f>IF(MB25_VOLUMETRIA[[#This Row],[Reserva]]="","",IFERROR(VLOOKUP(MB25_VOLUMETRIA[[#This Row],[UMB]],CHAVE[],2,FALSE),"VERIFICAR"))</f>
        <v>Unidade</v>
      </c>
      <c r="L448" s="32" t="str">
        <f>IF(MB25_VOLUMETRIA[[#This Row],[Reserva]]="","",IFERROR(VLOOKUP(MB25_VOLUMETRIA[[#This Row],[Reserva]],Tabela3[[Reserva]:[Condição para Faturamento]],20,FALSE),"IMPORTADO COM SUCESSO"))</f>
        <v>EM CONFERENCIA</v>
      </c>
      <c r="M448" s="32" t="str">
        <f ca="1">IFERROR(VLOOKUP(MB25_VOLUMETRIA[[#This Row],[Reserva]],RES_AB[],14,FALSE),"")</f>
        <v>RESERVAS EM ATRASO</v>
      </c>
      <c r="N448" s="32" t="str">
        <f>IF(MB25_VOLUMETRIA[[#This Row],[Cen.]]="","",IFERROR(VLOOKUP(MB25_VOLUMETRIA[[#This Row],[Cen.]],Dados_Empresas[],2,FALSE),"Verificar empresa"))</f>
        <v>NET MASSIVO</v>
      </c>
      <c r="O448" s="32" t="str">
        <f>IF(MB25_VOLUMETRIA[[#This Row],[EMPRESA]]="","",IF(OR(MB25_VOLUMETRIA[[#This Row],[EMPRESA]]="NET MASSIVO",MB25_VOLUMETRIA[[#This Row],[EMPRESA]]="NET PROJETOS"),"NET","EMPRESARIAL"))</f>
        <v>NET</v>
      </c>
    </row>
    <row r="449" spans="1:15" x14ac:dyDescent="0.25">
      <c r="A449" s="32">
        <v>4379617</v>
      </c>
      <c r="B449" s="32" t="s">
        <v>21</v>
      </c>
      <c r="C449" s="33" t="s">
        <v>19</v>
      </c>
      <c r="D449" s="35">
        <v>45446</v>
      </c>
      <c r="E449" s="32" t="s">
        <v>185</v>
      </c>
      <c r="F449" s="32">
        <v>22066258</v>
      </c>
      <c r="G449" s="32" t="s">
        <v>190</v>
      </c>
      <c r="H449" s="26" t="s">
        <v>38</v>
      </c>
      <c r="I449" s="36">
        <v>60</v>
      </c>
      <c r="J449" s="32">
        <f>IF(MB25_VOLUMETRIA[[#This Row],[Reserva]]="","",1)</f>
        <v>1</v>
      </c>
      <c r="K449" s="36" t="str">
        <f>IF(MB25_VOLUMETRIA[[#This Row],[Reserva]]="","",IFERROR(VLOOKUP(MB25_VOLUMETRIA[[#This Row],[UMB]],CHAVE[],2,FALSE),"VERIFICAR"))</f>
        <v>Unidade</v>
      </c>
      <c r="L449" s="32" t="str">
        <f>IF(MB25_VOLUMETRIA[[#This Row],[Reserva]]="","",IFERROR(VLOOKUP(MB25_VOLUMETRIA[[#This Row],[Reserva]],Tabela3[[Reserva]:[Condição para Faturamento]],20,FALSE),"IMPORTADO COM SUCESSO"))</f>
        <v>EM CONFERENCIA</v>
      </c>
      <c r="M449" s="32" t="str">
        <f ca="1">IFERROR(VLOOKUP(MB25_VOLUMETRIA[[#This Row],[Reserva]],RES_AB[],14,FALSE),"")</f>
        <v>RESERVAS EM ATRASO</v>
      </c>
      <c r="N449" s="32" t="str">
        <f>IF(MB25_VOLUMETRIA[[#This Row],[Cen.]]="","",IFERROR(VLOOKUP(MB25_VOLUMETRIA[[#This Row],[Cen.]],Dados_Empresas[],2,FALSE),"Verificar empresa"))</f>
        <v>NET MASSIVO</v>
      </c>
      <c r="O449" s="32" t="str">
        <f>IF(MB25_VOLUMETRIA[[#This Row],[EMPRESA]]="","",IF(OR(MB25_VOLUMETRIA[[#This Row],[EMPRESA]]="NET MASSIVO",MB25_VOLUMETRIA[[#This Row],[EMPRESA]]="NET PROJETOS"),"NET","EMPRESARIAL"))</f>
        <v>NET</v>
      </c>
    </row>
    <row r="450" spans="1:15" x14ac:dyDescent="0.25">
      <c r="A450" s="32">
        <v>4379619</v>
      </c>
      <c r="B450" s="32" t="s">
        <v>21</v>
      </c>
      <c r="C450" s="33" t="s">
        <v>182</v>
      </c>
      <c r="D450" s="35">
        <v>45446</v>
      </c>
      <c r="E450" s="32" t="s">
        <v>184</v>
      </c>
      <c r="F450" s="32">
        <v>41001530</v>
      </c>
      <c r="G450" s="32" t="s">
        <v>319</v>
      </c>
      <c r="H450" s="26" t="s">
        <v>38</v>
      </c>
      <c r="I450" s="36">
        <v>180</v>
      </c>
      <c r="J450" s="32">
        <f>IF(MB25_VOLUMETRIA[[#This Row],[Reserva]]="","",1)</f>
        <v>1</v>
      </c>
      <c r="K450" s="36" t="str">
        <f>IF(MB25_VOLUMETRIA[[#This Row],[Reserva]]="","",IFERROR(VLOOKUP(MB25_VOLUMETRIA[[#This Row],[UMB]],CHAVE[],2,FALSE),"VERIFICAR"))</f>
        <v>Unidade</v>
      </c>
      <c r="L45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0" s="32" t="str">
        <f ca="1">IFERROR(VLOOKUP(MB25_VOLUMETRIA[[#This Row],[Reserva]],RES_AB[],14,FALSE),"")</f>
        <v>RESERVAS EM ATRASO</v>
      </c>
      <c r="N450" s="32" t="str">
        <f>IF(MB25_VOLUMETRIA[[#This Row],[Cen.]]="","",IFERROR(VLOOKUP(MB25_VOLUMETRIA[[#This Row],[Cen.]],Dados_Empresas[],2,FALSE),"Verificar empresa"))</f>
        <v>NET MASSIVO</v>
      </c>
      <c r="O450" s="32" t="str">
        <f>IF(MB25_VOLUMETRIA[[#This Row],[EMPRESA]]="","",IF(OR(MB25_VOLUMETRIA[[#This Row],[EMPRESA]]="NET MASSIVO",MB25_VOLUMETRIA[[#This Row],[EMPRESA]]="NET PROJETOS"),"NET","EMPRESARIAL"))</f>
        <v>NET</v>
      </c>
    </row>
    <row r="451" spans="1:15" x14ac:dyDescent="0.25">
      <c r="A451" s="32">
        <v>4379619</v>
      </c>
      <c r="B451" s="32" t="s">
        <v>21</v>
      </c>
      <c r="C451" s="33" t="s">
        <v>21</v>
      </c>
      <c r="D451" s="35">
        <v>45446</v>
      </c>
      <c r="E451" s="32" t="s">
        <v>184</v>
      </c>
      <c r="F451" s="32">
        <v>41001573</v>
      </c>
      <c r="G451" s="32" t="s">
        <v>259</v>
      </c>
      <c r="H451" s="26" t="s">
        <v>38</v>
      </c>
      <c r="I451" s="36">
        <v>30</v>
      </c>
      <c r="J451" s="32">
        <f>IF(MB25_VOLUMETRIA[[#This Row],[Reserva]]="","",1)</f>
        <v>1</v>
      </c>
      <c r="K451" s="36" t="str">
        <f>IF(MB25_VOLUMETRIA[[#This Row],[Reserva]]="","",IFERROR(VLOOKUP(MB25_VOLUMETRIA[[#This Row],[UMB]],CHAVE[],2,FALSE),"VERIFICAR"))</f>
        <v>Unidade</v>
      </c>
      <c r="L45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1" s="32" t="str">
        <f ca="1">IFERROR(VLOOKUP(MB25_VOLUMETRIA[[#This Row],[Reserva]],RES_AB[],14,FALSE),"")</f>
        <v>RESERVAS EM ATRASO</v>
      </c>
      <c r="N451" s="32" t="str">
        <f>IF(MB25_VOLUMETRIA[[#This Row],[Cen.]]="","",IFERROR(VLOOKUP(MB25_VOLUMETRIA[[#This Row],[Cen.]],Dados_Empresas[],2,FALSE),"Verificar empresa"))</f>
        <v>NET MASSIVO</v>
      </c>
      <c r="O451" s="32" t="str">
        <f>IF(MB25_VOLUMETRIA[[#This Row],[EMPRESA]]="","",IF(OR(MB25_VOLUMETRIA[[#This Row],[EMPRESA]]="NET MASSIVO",MB25_VOLUMETRIA[[#This Row],[EMPRESA]]="NET PROJETOS"),"NET","EMPRESARIAL"))</f>
        <v>NET</v>
      </c>
    </row>
    <row r="452" spans="1:15" x14ac:dyDescent="0.25">
      <c r="A452" s="32">
        <v>4379621</v>
      </c>
      <c r="B452" s="32" t="s">
        <v>21</v>
      </c>
      <c r="C452" s="33" t="s">
        <v>19</v>
      </c>
      <c r="D452" s="35">
        <v>45446</v>
      </c>
      <c r="E452" s="32" t="s">
        <v>184</v>
      </c>
      <c r="F452" s="32">
        <v>41001294</v>
      </c>
      <c r="G452" s="32" t="s">
        <v>248</v>
      </c>
      <c r="H452" s="26" t="s">
        <v>38</v>
      </c>
      <c r="I452" s="36">
        <v>40</v>
      </c>
      <c r="J452" s="32">
        <f>IF(MB25_VOLUMETRIA[[#This Row],[Reserva]]="","",1)</f>
        <v>1</v>
      </c>
      <c r="K452" s="36" t="str">
        <f>IF(MB25_VOLUMETRIA[[#This Row],[Reserva]]="","",IFERROR(VLOOKUP(MB25_VOLUMETRIA[[#This Row],[UMB]],CHAVE[],2,FALSE),"VERIFICAR"))</f>
        <v>Unidade</v>
      </c>
      <c r="L452" s="32" t="str">
        <f>IF(MB25_VOLUMETRIA[[#This Row],[Reserva]]="","",IFERROR(VLOOKUP(MB25_VOLUMETRIA[[#This Row],[Reserva]],Tabela3[[Reserva]:[Condição para Faturamento]],20,FALSE),"IMPORTADO COM SUCESSO"))</f>
        <v>EM CONFERENCIA</v>
      </c>
      <c r="M452" s="32" t="str">
        <f ca="1">IFERROR(VLOOKUP(MB25_VOLUMETRIA[[#This Row],[Reserva]],RES_AB[],14,FALSE),"")</f>
        <v>RESERVAS EM ATRASO</v>
      </c>
      <c r="N452" s="32" t="str">
        <f>IF(MB25_VOLUMETRIA[[#This Row],[Cen.]]="","",IFERROR(VLOOKUP(MB25_VOLUMETRIA[[#This Row],[Cen.]],Dados_Empresas[],2,FALSE),"Verificar empresa"))</f>
        <v>NET MASSIVO</v>
      </c>
      <c r="O452" s="32" t="str">
        <f>IF(MB25_VOLUMETRIA[[#This Row],[EMPRESA]]="","",IF(OR(MB25_VOLUMETRIA[[#This Row],[EMPRESA]]="NET MASSIVO",MB25_VOLUMETRIA[[#This Row],[EMPRESA]]="NET PROJETOS"),"NET","EMPRESARIAL"))</f>
        <v>NET</v>
      </c>
    </row>
    <row r="453" spans="1:15" x14ac:dyDescent="0.25">
      <c r="A453" s="32">
        <v>4379621</v>
      </c>
      <c r="B453" s="32" t="s">
        <v>21</v>
      </c>
      <c r="C453" s="33" t="s">
        <v>182</v>
      </c>
      <c r="D453" s="35">
        <v>45446</v>
      </c>
      <c r="E453" s="32" t="s">
        <v>184</v>
      </c>
      <c r="F453" s="32">
        <v>41001530</v>
      </c>
      <c r="G453" s="32" t="s">
        <v>319</v>
      </c>
      <c r="H453" s="26" t="s">
        <v>38</v>
      </c>
      <c r="I453" s="36">
        <v>20</v>
      </c>
      <c r="J453" s="32">
        <f>IF(MB25_VOLUMETRIA[[#This Row],[Reserva]]="","",1)</f>
        <v>1</v>
      </c>
      <c r="K453" s="36" t="str">
        <f>IF(MB25_VOLUMETRIA[[#This Row],[Reserva]]="","",IFERROR(VLOOKUP(MB25_VOLUMETRIA[[#This Row],[UMB]],CHAVE[],2,FALSE),"VERIFICAR"))</f>
        <v>Unidade</v>
      </c>
      <c r="L453" s="32" t="str">
        <f>IF(MB25_VOLUMETRIA[[#This Row],[Reserva]]="","",IFERROR(VLOOKUP(MB25_VOLUMETRIA[[#This Row],[Reserva]],Tabela3[[Reserva]:[Condição para Faturamento]],20,FALSE),"IMPORTADO COM SUCESSO"))</f>
        <v>EM CONFERENCIA</v>
      </c>
      <c r="M453" s="32" t="str">
        <f ca="1">IFERROR(VLOOKUP(MB25_VOLUMETRIA[[#This Row],[Reserva]],RES_AB[],14,FALSE),"")</f>
        <v>RESERVAS EM ATRASO</v>
      </c>
      <c r="N453" s="32" t="str">
        <f>IF(MB25_VOLUMETRIA[[#This Row],[Cen.]]="","",IFERROR(VLOOKUP(MB25_VOLUMETRIA[[#This Row],[Cen.]],Dados_Empresas[],2,FALSE),"Verificar empresa"))</f>
        <v>NET MASSIVO</v>
      </c>
      <c r="O453" s="32" t="str">
        <f>IF(MB25_VOLUMETRIA[[#This Row],[EMPRESA]]="","",IF(OR(MB25_VOLUMETRIA[[#This Row],[EMPRESA]]="NET MASSIVO",MB25_VOLUMETRIA[[#This Row],[EMPRESA]]="NET PROJETOS"),"NET","EMPRESARIAL"))</f>
        <v>NET</v>
      </c>
    </row>
    <row r="454" spans="1:15" x14ac:dyDescent="0.25">
      <c r="A454" s="32">
        <v>4379621</v>
      </c>
      <c r="B454" s="32" t="s">
        <v>21</v>
      </c>
      <c r="C454" s="33" t="s">
        <v>19</v>
      </c>
      <c r="D454" s="35">
        <v>45446</v>
      </c>
      <c r="E454" s="32" t="s">
        <v>184</v>
      </c>
      <c r="F454" s="32">
        <v>41001535</v>
      </c>
      <c r="G454" s="32" t="s">
        <v>191</v>
      </c>
      <c r="H454" s="26" t="s">
        <v>38</v>
      </c>
      <c r="I454" s="36">
        <v>50</v>
      </c>
      <c r="J454" s="32">
        <f>IF(MB25_VOLUMETRIA[[#This Row],[Reserva]]="","",1)</f>
        <v>1</v>
      </c>
      <c r="K454" s="36" t="str">
        <f>IF(MB25_VOLUMETRIA[[#This Row],[Reserva]]="","",IFERROR(VLOOKUP(MB25_VOLUMETRIA[[#This Row],[UMB]],CHAVE[],2,FALSE),"VERIFICAR"))</f>
        <v>Unidade</v>
      </c>
      <c r="L454" s="32" t="str">
        <f>IF(MB25_VOLUMETRIA[[#This Row],[Reserva]]="","",IFERROR(VLOOKUP(MB25_VOLUMETRIA[[#This Row],[Reserva]],Tabela3[[Reserva]:[Condição para Faturamento]],20,FALSE),"IMPORTADO COM SUCESSO"))</f>
        <v>EM CONFERENCIA</v>
      </c>
      <c r="M454" s="32" t="str">
        <f ca="1">IFERROR(VLOOKUP(MB25_VOLUMETRIA[[#This Row],[Reserva]],RES_AB[],14,FALSE),"")</f>
        <v>RESERVAS EM ATRASO</v>
      </c>
      <c r="N454" s="32" t="str">
        <f>IF(MB25_VOLUMETRIA[[#This Row],[Cen.]]="","",IFERROR(VLOOKUP(MB25_VOLUMETRIA[[#This Row],[Cen.]],Dados_Empresas[],2,FALSE),"Verificar empresa"))</f>
        <v>NET MASSIVO</v>
      </c>
      <c r="O454" s="32" t="str">
        <f>IF(MB25_VOLUMETRIA[[#This Row],[EMPRESA]]="","",IF(OR(MB25_VOLUMETRIA[[#This Row],[EMPRESA]]="NET MASSIVO",MB25_VOLUMETRIA[[#This Row],[EMPRESA]]="NET PROJETOS"),"NET","EMPRESARIAL"))</f>
        <v>NET</v>
      </c>
    </row>
    <row r="455" spans="1:15" x14ac:dyDescent="0.25">
      <c r="A455" s="32">
        <v>4379623</v>
      </c>
      <c r="B455" s="32" t="s">
        <v>21</v>
      </c>
      <c r="C455" s="33" t="s">
        <v>19</v>
      </c>
      <c r="D455" s="35">
        <v>45446</v>
      </c>
      <c r="E455" s="32" t="s">
        <v>184</v>
      </c>
      <c r="F455" s="32">
        <v>41001294</v>
      </c>
      <c r="G455" s="32" t="s">
        <v>248</v>
      </c>
      <c r="H455" s="26" t="s">
        <v>38</v>
      </c>
      <c r="I455" s="36">
        <v>600</v>
      </c>
      <c r="J455" s="32">
        <f>IF(MB25_VOLUMETRIA[[#This Row],[Reserva]]="","",1)</f>
        <v>1</v>
      </c>
      <c r="K455" s="36" t="str">
        <f>IF(MB25_VOLUMETRIA[[#This Row],[Reserva]]="","",IFERROR(VLOOKUP(MB25_VOLUMETRIA[[#This Row],[UMB]],CHAVE[],2,FALSE),"VERIFICAR"))</f>
        <v>Unidade</v>
      </c>
      <c r="L455" s="32" t="str">
        <f>IF(MB25_VOLUMETRIA[[#This Row],[Reserva]]="","",IFERROR(VLOOKUP(MB25_VOLUMETRIA[[#This Row],[Reserva]],Tabela3[[Reserva]:[Condição para Faturamento]],20,FALSE),"IMPORTADO COM SUCESSO"))</f>
        <v>EM CONFERENCIA</v>
      </c>
      <c r="M455" s="32" t="str">
        <f ca="1">IFERROR(VLOOKUP(MB25_VOLUMETRIA[[#This Row],[Reserva]],RES_AB[],14,FALSE),"")</f>
        <v>RESERVAS EM ATRASO</v>
      </c>
      <c r="N455" s="32" t="str">
        <f>IF(MB25_VOLUMETRIA[[#This Row],[Cen.]]="","",IFERROR(VLOOKUP(MB25_VOLUMETRIA[[#This Row],[Cen.]],Dados_Empresas[],2,FALSE),"Verificar empresa"))</f>
        <v>NET MASSIVO</v>
      </c>
      <c r="O455" s="32" t="str">
        <f>IF(MB25_VOLUMETRIA[[#This Row],[EMPRESA]]="","",IF(OR(MB25_VOLUMETRIA[[#This Row],[EMPRESA]]="NET MASSIVO",MB25_VOLUMETRIA[[#This Row],[EMPRESA]]="NET PROJETOS"),"NET","EMPRESARIAL"))</f>
        <v>NET</v>
      </c>
    </row>
    <row r="456" spans="1:15" x14ac:dyDescent="0.25">
      <c r="A456" s="32">
        <v>4379623</v>
      </c>
      <c r="B456" s="32" t="s">
        <v>21</v>
      </c>
      <c r="C456" s="33" t="s">
        <v>19</v>
      </c>
      <c r="D456" s="35">
        <v>45446</v>
      </c>
      <c r="E456" s="32" t="s">
        <v>184</v>
      </c>
      <c r="F456" s="32">
        <v>41001486</v>
      </c>
      <c r="G456" s="32" t="s">
        <v>240</v>
      </c>
      <c r="H456" s="26" t="s">
        <v>38</v>
      </c>
      <c r="I456" s="36">
        <v>50</v>
      </c>
      <c r="J456" s="32">
        <f>IF(MB25_VOLUMETRIA[[#This Row],[Reserva]]="","",1)</f>
        <v>1</v>
      </c>
      <c r="K456" s="36" t="str">
        <f>IF(MB25_VOLUMETRIA[[#This Row],[Reserva]]="","",IFERROR(VLOOKUP(MB25_VOLUMETRIA[[#This Row],[UMB]],CHAVE[],2,FALSE),"VERIFICAR"))</f>
        <v>Unidade</v>
      </c>
      <c r="L456" s="32" t="str">
        <f>IF(MB25_VOLUMETRIA[[#This Row],[Reserva]]="","",IFERROR(VLOOKUP(MB25_VOLUMETRIA[[#This Row],[Reserva]],Tabela3[[Reserva]:[Condição para Faturamento]],20,FALSE),"IMPORTADO COM SUCESSO"))</f>
        <v>EM CONFERENCIA</v>
      </c>
      <c r="M456" s="32" t="str">
        <f ca="1">IFERROR(VLOOKUP(MB25_VOLUMETRIA[[#This Row],[Reserva]],RES_AB[],14,FALSE),"")</f>
        <v>RESERVAS EM ATRASO</v>
      </c>
      <c r="N456" s="32" t="str">
        <f>IF(MB25_VOLUMETRIA[[#This Row],[Cen.]]="","",IFERROR(VLOOKUP(MB25_VOLUMETRIA[[#This Row],[Cen.]],Dados_Empresas[],2,FALSE),"Verificar empresa"))</f>
        <v>NET MASSIVO</v>
      </c>
      <c r="O456" s="32" t="str">
        <f>IF(MB25_VOLUMETRIA[[#This Row],[EMPRESA]]="","",IF(OR(MB25_VOLUMETRIA[[#This Row],[EMPRESA]]="NET MASSIVO",MB25_VOLUMETRIA[[#This Row],[EMPRESA]]="NET PROJETOS"),"NET","EMPRESARIAL"))</f>
        <v>NET</v>
      </c>
    </row>
    <row r="457" spans="1:15" x14ac:dyDescent="0.25">
      <c r="A457" s="32">
        <v>4379623</v>
      </c>
      <c r="B457" s="32" t="s">
        <v>21</v>
      </c>
      <c r="C457" s="33" t="s">
        <v>21</v>
      </c>
      <c r="D457" s="35">
        <v>45446</v>
      </c>
      <c r="E457" s="32" t="s">
        <v>184</v>
      </c>
      <c r="F457" s="32">
        <v>41001573</v>
      </c>
      <c r="G457" s="32" t="s">
        <v>259</v>
      </c>
      <c r="H457" s="26" t="s">
        <v>38</v>
      </c>
      <c r="I457" s="36">
        <v>20</v>
      </c>
      <c r="J457" s="32">
        <f>IF(MB25_VOLUMETRIA[[#This Row],[Reserva]]="","",1)</f>
        <v>1</v>
      </c>
      <c r="K457" s="36" t="str">
        <f>IF(MB25_VOLUMETRIA[[#This Row],[Reserva]]="","",IFERROR(VLOOKUP(MB25_VOLUMETRIA[[#This Row],[UMB]],CHAVE[],2,FALSE),"VERIFICAR"))</f>
        <v>Unidade</v>
      </c>
      <c r="L457" s="32" t="str">
        <f>IF(MB25_VOLUMETRIA[[#This Row],[Reserva]]="","",IFERROR(VLOOKUP(MB25_VOLUMETRIA[[#This Row],[Reserva]],Tabela3[[Reserva]:[Condição para Faturamento]],20,FALSE),"IMPORTADO COM SUCESSO"))</f>
        <v>EM CONFERENCIA</v>
      </c>
      <c r="M457" s="32" t="str">
        <f ca="1">IFERROR(VLOOKUP(MB25_VOLUMETRIA[[#This Row],[Reserva]],RES_AB[],14,FALSE),"")</f>
        <v>RESERVAS EM ATRASO</v>
      </c>
      <c r="N457" s="32" t="str">
        <f>IF(MB25_VOLUMETRIA[[#This Row],[Cen.]]="","",IFERROR(VLOOKUP(MB25_VOLUMETRIA[[#This Row],[Cen.]],Dados_Empresas[],2,FALSE),"Verificar empresa"))</f>
        <v>NET MASSIVO</v>
      </c>
      <c r="O457" s="32" t="str">
        <f>IF(MB25_VOLUMETRIA[[#This Row],[EMPRESA]]="","",IF(OR(MB25_VOLUMETRIA[[#This Row],[EMPRESA]]="NET MASSIVO",MB25_VOLUMETRIA[[#This Row],[EMPRESA]]="NET PROJETOS"),"NET","EMPRESARIAL"))</f>
        <v>NET</v>
      </c>
    </row>
    <row r="458" spans="1:15" x14ac:dyDescent="0.25">
      <c r="A458" s="32">
        <v>4379628</v>
      </c>
      <c r="B458" s="32" t="s">
        <v>21</v>
      </c>
      <c r="C458" s="33" t="s">
        <v>19</v>
      </c>
      <c r="D458" s="35">
        <v>45446</v>
      </c>
      <c r="E458" s="32" t="s">
        <v>184</v>
      </c>
      <c r="F458" s="32">
        <v>41001294</v>
      </c>
      <c r="G458" s="32" t="s">
        <v>248</v>
      </c>
      <c r="H458" s="26" t="s">
        <v>38</v>
      </c>
      <c r="I458" s="36">
        <v>330</v>
      </c>
      <c r="J458" s="32">
        <f>IF(MB25_VOLUMETRIA[[#This Row],[Reserva]]="","",1)</f>
        <v>1</v>
      </c>
      <c r="K458" s="36" t="str">
        <f>IF(MB25_VOLUMETRIA[[#This Row],[Reserva]]="","",IFERROR(VLOOKUP(MB25_VOLUMETRIA[[#This Row],[UMB]],CHAVE[],2,FALSE),"VERIFICAR"))</f>
        <v>Unidade</v>
      </c>
      <c r="L45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8" s="32" t="str">
        <f ca="1">IFERROR(VLOOKUP(MB25_VOLUMETRIA[[#This Row],[Reserva]],RES_AB[],14,FALSE),"")</f>
        <v>RESERVAS EM ATRASO</v>
      </c>
      <c r="N458" s="32" t="str">
        <f>IF(MB25_VOLUMETRIA[[#This Row],[Cen.]]="","",IFERROR(VLOOKUP(MB25_VOLUMETRIA[[#This Row],[Cen.]],Dados_Empresas[],2,FALSE),"Verificar empresa"))</f>
        <v>NET MASSIVO</v>
      </c>
      <c r="O458" s="32" t="str">
        <f>IF(MB25_VOLUMETRIA[[#This Row],[EMPRESA]]="","",IF(OR(MB25_VOLUMETRIA[[#This Row],[EMPRESA]]="NET MASSIVO",MB25_VOLUMETRIA[[#This Row],[EMPRESA]]="NET PROJETOS"),"NET","EMPRESARIAL"))</f>
        <v>NET</v>
      </c>
    </row>
    <row r="459" spans="1:15" x14ac:dyDescent="0.25">
      <c r="A459" s="32">
        <v>4379628</v>
      </c>
      <c r="B459" s="32" t="s">
        <v>21</v>
      </c>
      <c r="C459" s="33" t="s">
        <v>182</v>
      </c>
      <c r="D459" s="35">
        <v>45446</v>
      </c>
      <c r="E459" s="32" t="s">
        <v>184</v>
      </c>
      <c r="F459" s="32">
        <v>41001530</v>
      </c>
      <c r="G459" s="32" t="s">
        <v>319</v>
      </c>
      <c r="H459" s="26" t="s">
        <v>38</v>
      </c>
      <c r="I459" s="36">
        <v>50</v>
      </c>
      <c r="J459" s="32">
        <f>IF(MB25_VOLUMETRIA[[#This Row],[Reserva]]="","",1)</f>
        <v>1</v>
      </c>
      <c r="K459" s="36" t="str">
        <f>IF(MB25_VOLUMETRIA[[#This Row],[Reserva]]="","",IFERROR(VLOOKUP(MB25_VOLUMETRIA[[#This Row],[UMB]],CHAVE[],2,FALSE),"VERIFICAR"))</f>
        <v>Unidade</v>
      </c>
      <c r="L4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59" s="32" t="str">
        <f ca="1">IFERROR(VLOOKUP(MB25_VOLUMETRIA[[#This Row],[Reserva]],RES_AB[],14,FALSE),"")</f>
        <v>RESERVAS EM ATRASO</v>
      </c>
      <c r="N459" s="32" t="str">
        <f>IF(MB25_VOLUMETRIA[[#This Row],[Cen.]]="","",IFERROR(VLOOKUP(MB25_VOLUMETRIA[[#This Row],[Cen.]],Dados_Empresas[],2,FALSE),"Verificar empresa"))</f>
        <v>NET MASSIVO</v>
      </c>
      <c r="O459" s="32" t="str">
        <f>IF(MB25_VOLUMETRIA[[#This Row],[EMPRESA]]="","",IF(OR(MB25_VOLUMETRIA[[#This Row],[EMPRESA]]="NET MASSIVO",MB25_VOLUMETRIA[[#This Row],[EMPRESA]]="NET PROJETOS"),"NET","EMPRESARIAL"))</f>
        <v>NET</v>
      </c>
    </row>
    <row r="460" spans="1:15" x14ac:dyDescent="0.25">
      <c r="A460" s="32">
        <v>4379628</v>
      </c>
      <c r="B460" s="32" t="s">
        <v>21</v>
      </c>
      <c r="C460" s="33" t="s">
        <v>21</v>
      </c>
      <c r="D460" s="35">
        <v>45446</v>
      </c>
      <c r="E460" s="32" t="s">
        <v>184</v>
      </c>
      <c r="F460" s="32">
        <v>41001590</v>
      </c>
      <c r="G460" s="32" t="s">
        <v>239</v>
      </c>
      <c r="H460" s="26" t="s">
        <v>38</v>
      </c>
      <c r="I460" s="36">
        <v>80</v>
      </c>
      <c r="J460" s="32">
        <f>IF(MB25_VOLUMETRIA[[#This Row],[Reserva]]="","",1)</f>
        <v>1</v>
      </c>
      <c r="K460" s="36" t="str">
        <f>IF(MB25_VOLUMETRIA[[#This Row],[Reserva]]="","",IFERROR(VLOOKUP(MB25_VOLUMETRIA[[#This Row],[UMB]],CHAVE[],2,FALSE),"VERIFICAR"))</f>
        <v>Unidade</v>
      </c>
      <c r="L46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60" s="32" t="str">
        <f ca="1">IFERROR(VLOOKUP(MB25_VOLUMETRIA[[#This Row],[Reserva]],RES_AB[],14,FALSE),"")</f>
        <v>RESERVAS EM ATRASO</v>
      </c>
      <c r="N460" s="32" t="str">
        <f>IF(MB25_VOLUMETRIA[[#This Row],[Cen.]]="","",IFERROR(VLOOKUP(MB25_VOLUMETRIA[[#This Row],[Cen.]],Dados_Empresas[],2,FALSE),"Verificar empresa"))</f>
        <v>NET MASSIVO</v>
      </c>
      <c r="O460" s="32" t="str">
        <f>IF(MB25_VOLUMETRIA[[#This Row],[EMPRESA]]="","",IF(OR(MB25_VOLUMETRIA[[#This Row],[EMPRESA]]="NET MASSIVO",MB25_VOLUMETRIA[[#This Row],[EMPRESA]]="NET PROJETOS"),"NET","EMPRESARIAL"))</f>
        <v>NET</v>
      </c>
    </row>
    <row r="461" spans="1:15" x14ac:dyDescent="0.25">
      <c r="A461" s="32">
        <v>4379630</v>
      </c>
      <c r="B461" s="32" t="s">
        <v>21</v>
      </c>
      <c r="C461" s="33" t="s">
        <v>19</v>
      </c>
      <c r="D461" s="35">
        <v>45446</v>
      </c>
      <c r="E461" s="32" t="s">
        <v>184</v>
      </c>
      <c r="F461" s="32">
        <v>41000805</v>
      </c>
      <c r="G461" s="32" t="s">
        <v>188</v>
      </c>
      <c r="H461" s="26" t="s">
        <v>38</v>
      </c>
      <c r="I461" s="36">
        <v>60</v>
      </c>
      <c r="J461" s="32">
        <f>IF(MB25_VOLUMETRIA[[#This Row],[Reserva]]="","",1)</f>
        <v>1</v>
      </c>
      <c r="K461" s="36" t="str">
        <f>IF(MB25_VOLUMETRIA[[#This Row],[Reserva]]="","",IFERROR(VLOOKUP(MB25_VOLUMETRIA[[#This Row],[UMB]],CHAVE[],2,FALSE),"VERIFICAR"))</f>
        <v>Unidade</v>
      </c>
      <c r="L461" s="32" t="str">
        <f>IF(MB25_VOLUMETRIA[[#This Row],[Reserva]]="","",IFERROR(VLOOKUP(MB25_VOLUMETRIA[[#This Row],[Reserva]],Tabela3[[Reserva]:[Condição para Faturamento]],20,FALSE),"IMPORTADO COM SUCESSO"))</f>
        <v>EM CONFERENCIA</v>
      </c>
      <c r="M461" s="32" t="str">
        <f ca="1">IFERROR(VLOOKUP(MB25_VOLUMETRIA[[#This Row],[Reserva]],RES_AB[],14,FALSE),"")</f>
        <v>RESERVAS EM ATRASO</v>
      </c>
      <c r="N461" s="32" t="str">
        <f>IF(MB25_VOLUMETRIA[[#This Row],[Cen.]]="","",IFERROR(VLOOKUP(MB25_VOLUMETRIA[[#This Row],[Cen.]],Dados_Empresas[],2,FALSE),"Verificar empresa"))</f>
        <v>NET MASSIVO</v>
      </c>
      <c r="O461" s="32" t="str">
        <f>IF(MB25_VOLUMETRIA[[#This Row],[EMPRESA]]="","",IF(OR(MB25_VOLUMETRIA[[#This Row],[EMPRESA]]="NET MASSIVO",MB25_VOLUMETRIA[[#This Row],[EMPRESA]]="NET PROJETOS"),"NET","EMPRESARIAL"))</f>
        <v>NET</v>
      </c>
    </row>
    <row r="462" spans="1:15" x14ac:dyDescent="0.25">
      <c r="A462" s="32">
        <v>4379630</v>
      </c>
      <c r="B462" s="32" t="s">
        <v>21</v>
      </c>
      <c r="C462" s="33" t="s">
        <v>19</v>
      </c>
      <c r="D462" s="35">
        <v>45446</v>
      </c>
      <c r="E462" s="32" t="s">
        <v>184</v>
      </c>
      <c r="F462" s="32">
        <v>41001048</v>
      </c>
      <c r="G462" s="32" t="s">
        <v>318</v>
      </c>
      <c r="H462" s="26" t="s">
        <v>38</v>
      </c>
      <c r="I462" s="36">
        <v>60</v>
      </c>
      <c r="J462" s="32">
        <f>IF(MB25_VOLUMETRIA[[#This Row],[Reserva]]="","",1)</f>
        <v>1</v>
      </c>
      <c r="K462" s="36" t="str">
        <f>IF(MB25_VOLUMETRIA[[#This Row],[Reserva]]="","",IFERROR(VLOOKUP(MB25_VOLUMETRIA[[#This Row],[UMB]],CHAVE[],2,FALSE),"VERIFICAR"))</f>
        <v>Unidade</v>
      </c>
      <c r="L462" s="32" t="str">
        <f>IF(MB25_VOLUMETRIA[[#This Row],[Reserva]]="","",IFERROR(VLOOKUP(MB25_VOLUMETRIA[[#This Row],[Reserva]],Tabela3[[Reserva]:[Condição para Faturamento]],20,FALSE),"IMPORTADO COM SUCESSO"))</f>
        <v>EM CONFERENCIA</v>
      </c>
      <c r="M462" s="32" t="str">
        <f ca="1">IFERROR(VLOOKUP(MB25_VOLUMETRIA[[#This Row],[Reserva]],RES_AB[],14,FALSE),"")</f>
        <v>RESERVAS EM ATRASO</v>
      </c>
      <c r="N462" s="32" t="str">
        <f>IF(MB25_VOLUMETRIA[[#This Row],[Cen.]]="","",IFERROR(VLOOKUP(MB25_VOLUMETRIA[[#This Row],[Cen.]],Dados_Empresas[],2,FALSE),"Verificar empresa"))</f>
        <v>NET MASSIVO</v>
      </c>
      <c r="O462" s="32" t="str">
        <f>IF(MB25_VOLUMETRIA[[#This Row],[EMPRESA]]="","",IF(OR(MB25_VOLUMETRIA[[#This Row],[EMPRESA]]="NET MASSIVO",MB25_VOLUMETRIA[[#This Row],[EMPRESA]]="NET PROJETOS"),"NET","EMPRESARIAL"))</f>
        <v>NET</v>
      </c>
    </row>
    <row r="463" spans="1:15" x14ac:dyDescent="0.25">
      <c r="A463" s="32">
        <v>4379630</v>
      </c>
      <c r="B463" s="32" t="s">
        <v>21</v>
      </c>
      <c r="C463" s="33" t="s">
        <v>19</v>
      </c>
      <c r="D463" s="35">
        <v>45446</v>
      </c>
      <c r="E463" s="32" t="s">
        <v>184</v>
      </c>
      <c r="F463" s="32">
        <v>41001294</v>
      </c>
      <c r="G463" s="32" t="s">
        <v>248</v>
      </c>
      <c r="H463" s="26" t="s">
        <v>38</v>
      </c>
      <c r="I463" s="36">
        <v>200</v>
      </c>
      <c r="J463" s="32">
        <f>IF(MB25_VOLUMETRIA[[#This Row],[Reserva]]="","",1)</f>
        <v>1</v>
      </c>
      <c r="K463" s="36" t="str">
        <f>IF(MB25_VOLUMETRIA[[#This Row],[Reserva]]="","",IFERROR(VLOOKUP(MB25_VOLUMETRIA[[#This Row],[UMB]],CHAVE[],2,FALSE),"VERIFICAR"))</f>
        <v>Unidade</v>
      </c>
      <c r="L463" s="32" t="str">
        <f>IF(MB25_VOLUMETRIA[[#This Row],[Reserva]]="","",IFERROR(VLOOKUP(MB25_VOLUMETRIA[[#This Row],[Reserva]],Tabela3[[Reserva]:[Condição para Faturamento]],20,FALSE),"IMPORTADO COM SUCESSO"))</f>
        <v>EM CONFERENCIA</v>
      </c>
      <c r="M463" s="32" t="str">
        <f ca="1">IFERROR(VLOOKUP(MB25_VOLUMETRIA[[#This Row],[Reserva]],RES_AB[],14,FALSE),"")</f>
        <v>RESERVAS EM ATRASO</v>
      </c>
      <c r="N463" s="32" t="str">
        <f>IF(MB25_VOLUMETRIA[[#This Row],[Cen.]]="","",IFERROR(VLOOKUP(MB25_VOLUMETRIA[[#This Row],[Cen.]],Dados_Empresas[],2,FALSE),"Verificar empresa"))</f>
        <v>NET MASSIVO</v>
      </c>
      <c r="O463" s="32" t="str">
        <f>IF(MB25_VOLUMETRIA[[#This Row],[EMPRESA]]="","",IF(OR(MB25_VOLUMETRIA[[#This Row],[EMPRESA]]="NET MASSIVO",MB25_VOLUMETRIA[[#This Row],[EMPRESA]]="NET PROJETOS"),"NET","EMPRESARIAL"))</f>
        <v>NET</v>
      </c>
    </row>
    <row r="464" spans="1:15" x14ac:dyDescent="0.25">
      <c r="A464" s="32">
        <v>4379630</v>
      </c>
      <c r="B464" s="32" t="s">
        <v>21</v>
      </c>
      <c r="C464" s="33" t="s">
        <v>182</v>
      </c>
      <c r="D464" s="35">
        <v>45446</v>
      </c>
      <c r="E464" s="32" t="s">
        <v>184</v>
      </c>
      <c r="F464" s="32">
        <v>41001530</v>
      </c>
      <c r="G464" s="32" t="s">
        <v>319</v>
      </c>
      <c r="H464" s="26" t="s">
        <v>38</v>
      </c>
      <c r="I464" s="36">
        <v>60</v>
      </c>
      <c r="J464" s="32">
        <f>IF(MB25_VOLUMETRIA[[#This Row],[Reserva]]="","",1)</f>
        <v>1</v>
      </c>
      <c r="K464" s="36" t="str">
        <f>IF(MB25_VOLUMETRIA[[#This Row],[Reserva]]="","",IFERROR(VLOOKUP(MB25_VOLUMETRIA[[#This Row],[UMB]],CHAVE[],2,FALSE),"VERIFICAR"))</f>
        <v>Unidade</v>
      </c>
      <c r="L464" s="32" t="str">
        <f>IF(MB25_VOLUMETRIA[[#This Row],[Reserva]]="","",IFERROR(VLOOKUP(MB25_VOLUMETRIA[[#This Row],[Reserva]],Tabela3[[Reserva]:[Condição para Faturamento]],20,FALSE),"IMPORTADO COM SUCESSO"))</f>
        <v>EM CONFERENCIA</v>
      </c>
      <c r="M464" s="32" t="str">
        <f ca="1">IFERROR(VLOOKUP(MB25_VOLUMETRIA[[#This Row],[Reserva]],RES_AB[],14,FALSE),"")</f>
        <v>RESERVAS EM ATRASO</v>
      </c>
      <c r="N464" s="32" t="str">
        <f>IF(MB25_VOLUMETRIA[[#This Row],[Cen.]]="","",IFERROR(VLOOKUP(MB25_VOLUMETRIA[[#This Row],[Cen.]],Dados_Empresas[],2,FALSE),"Verificar empresa"))</f>
        <v>NET MASSIVO</v>
      </c>
      <c r="O464" s="32" t="str">
        <f>IF(MB25_VOLUMETRIA[[#This Row],[EMPRESA]]="","",IF(OR(MB25_VOLUMETRIA[[#This Row],[EMPRESA]]="NET MASSIVO",MB25_VOLUMETRIA[[#This Row],[EMPRESA]]="NET PROJETOS"),"NET","EMPRESARIAL"))</f>
        <v>NET</v>
      </c>
    </row>
    <row r="465" spans="1:15" x14ac:dyDescent="0.25">
      <c r="A465" s="32">
        <v>4379630</v>
      </c>
      <c r="B465" s="32" t="s">
        <v>21</v>
      </c>
      <c r="C465" s="33" t="s">
        <v>21</v>
      </c>
      <c r="D465" s="35">
        <v>45446</v>
      </c>
      <c r="E465" s="32" t="s">
        <v>184</v>
      </c>
      <c r="F465" s="32">
        <v>41001573</v>
      </c>
      <c r="G465" s="32" t="s">
        <v>259</v>
      </c>
      <c r="H465" s="26" t="s">
        <v>38</v>
      </c>
      <c r="I465" s="36">
        <v>30</v>
      </c>
      <c r="J465" s="32">
        <f>IF(MB25_VOLUMETRIA[[#This Row],[Reserva]]="","",1)</f>
        <v>1</v>
      </c>
      <c r="K465" s="36" t="str">
        <f>IF(MB25_VOLUMETRIA[[#This Row],[Reserva]]="","",IFERROR(VLOOKUP(MB25_VOLUMETRIA[[#This Row],[UMB]],CHAVE[],2,FALSE),"VERIFICAR"))</f>
        <v>Unidade</v>
      </c>
      <c r="L465" s="32" t="str">
        <f>IF(MB25_VOLUMETRIA[[#This Row],[Reserva]]="","",IFERROR(VLOOKUP(MB25_VOLUMETRIA[[#This Row],[Reserva]],Tabela3[[Reserva]:[Condição para Faturamento]],20,FALSE),"IMPORTADO COM SUCESSO"))</f>
        <v>EM CONFERENCIA</v>
      </c>
      <c r="M465" s="32" t="str">
        <f ca="1">IFERROR(VLOOKUP(MB25_VOLUMETRIA[[#This Row],[Reserva]],RES_AB[],14,FALSE),"")</f>
        <v>RESERVAS EM ATRASO</v>
      </c>
      <c r="N465" s="32" t="str">
        <f>IF(MB25_VOLUMETRIA[[#This Row],[Cen.]]="","",IFERROR(VLOOKUP(MB25_VOLUMETRIA[[#This Row],[Cen.]],Dados_Empresas[],2,FALSE),"Verificar empresa"))</f>
        <v>NET MASSIVO</v>
      </c>
      <c r="O465" s="32" t="str">
        <f>IF(MB25_VOLUMETRIA[[#This Row],[EMPRESA]]="","",IF(OR(MB25_VOLUMETRIA[[#This Row],[EMPRESA]]="NET MASSIVO",MB25_VOLUMETRIA[[#This Row],[EMPRESA]]="NET PROJETOS"),"NET","EMPRESARIAL"))</f>
        <v>NET</v>
      </c>
    </row>
    <row r="466" spans="1:15" x14ac:dyDescent="0.25">
      <c r="A466" s="32">
        <v>4379632</v>
      </c>
      <c r="B466" s="32" t="s">
        <v>21</v>
      </c>
      <c r="C466" s="33" t="s">
        <v>19</v>
      </c>
      <c r="D466" s="35">
        <v>45446</v>
      </c>
      <c r="E466" s="32" t="s">
        <v>184</v>
      </c>
      <c r="F466" s="32">
        <v>41001294</v>
      </c>
      <c r="G466" s="32" t="s">
        <v>248</v>
      </c>
      <c r="H466" s="26" t="s">
        <v>38</v>
      </c>
      <c r="I466" s="36">
        <v>700</v>
      </c>
      <c r="J466" s="32">
        <f>IF(MB25_VOLUMETRIA[[#This Row],[Reserva]]="","",1)</f>
        <v>1</v>
      </c>
      <c r="K466" s="36" t="str">
        <f>IF(MB25_VOLUMETRIA[[#This Row],[Reserva]]="","",IFERROR(VLOOKUP(MB25_VOLUMETRIA[[#This Row],[UMB]],CHAVE[],2,FALSE),"VERIFICAR"))</f>
        <v>Unidade</v>
      </c>
      <c r="L46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66" s="32" t="str">
        <f ca="1">IFERROR(VLOOKUP(MB25_VOLUMETRIA[[#This Row],[Reserva]],RES_AB[],14,FALSE),"")</f>
        <v>RESERVAS EM ATRASO</v>
      </c>
      <c r="N466" s="32" t="str">
        <f>IF(MB25_VOLUMETRIA[[#This Row],[Cen.]]="","",IFERROR(VLOOKUP(MB25_VOLUMETRIA[[#This Row],[Cen.]],Dados_Empresas[],2,FALSE),"Verificar empresa"))</f>
        <v>NET MASSIVO</v>
      </c>
      <c r="O466" s="32" t="str">
        <f>IF(MB25_VOLUMETRIA[[#This Row],[EMPRESA]]="","",IF(OR(MB25_VOLUMETRIA[[#This Row],[EMPRESA]]="NET MASSIVO",MB25_VOLUMETRIA[[#This Row],[EMPRESA]]="NET PROJETOS"),"NET","EMPRESARIAL"))</f>
        <v>NET</v>
      </c>
    </row>
    <row r="467" spans="1:15" x14ac:dyDescent="0.25">
      <c r="A467" s="32">
        <v>4379635</v>
      </c>
      <c r="B467" s="32" t="s">
        <v>21</v>
      </c>
      <c r="C467" s="33" t="s">
        <v>19</v>
      </c>
      <c r="D467" s="35">
        <v>45446</v>
      </c>
      <c r="E467" s="32" t="s">
        <v>185</v>
      </c>
      <c r="F467" s="32">
        <v>22026249</v>
      </c>
      <c r="G467" s="32" t="s">
        <v>186</v>
      </c>
      <c r="H467" s="26" t="s">
        <v>38</v>
      </c>
      <c r="I467" s="36">
        <v>200</v>
      </c>
      <c r="J467" s="32">
        <f>IF(MB25_VOLUMETRIA[[#This Row],[Reserva]]="","",1)</f>
        <v>1</v>
      </c>
      <c r="K467" s="36" t="str">
        <f>IF(MB25_VOLUMETRIA[[#This Row],[Reserva]]="","",IFERROR(VLOOKUP(MB25_VOLUMETRIA[[#This Row],[UMB]],CHAVE[],2,FALSE),"VERIFICAR"))</f>
        <v>Unidade</v>
      </c>
      <c r="L467" s="32" t="str">
        <f>IF(MB25_VOLUMETRIA[[#This Row],[Reserva]]="","",IFERROR(VLOOKUP(MB25_VOLUMETRIA[[#This Row],[Reserva]],Tabela3[[Reserva]:[Condição para Faturamento]],20,FALSE),"IMPORTADO COM SUCESSO"))</f>
        <v>EM SEPARAÇÃO</v>
      </c>
      <c r="M467" s="32" t="str">
        <f ca="1">IFERROR(VLOOKUP(MB25_VOLUMETRIA[[#This Row],[Reserva]],RES_AB[],14,FALSE),"")</f>
        <v>RESERVAS EM ATRASO</v>
      </c>
      <c r="N467" s="32" t="str">
        <f>IF(MB25_VOLUMETRIA[[#This Row],[Cen.]]="","",IFERROR(VLOOKUP(MB25_VOLUMETRIA[[#This Row],[Cen.]],Dados_Empresas[],2,FALSE),"Verificar empresa"))</f>
        <v>NET MASSIVO</v>
      </c>
      <c r="O467" s="32" t="str">
        <f>IF(MB25_VOLUMETRIA[[#This Row],[EMPRESA]]="","",IF(OR(MB25_VOLUMETRIA[[#This Row],[EMPRESA]]="NET MASSIVO",MB25_VOLUMETRIA[[#This Row],[EMPRESA]]="NET PROJETOS"),"NET","EMPRESARIAL"))</f>
        <v>NET</v>
      </c>
    </row>
    <row r="468" spans="1:15" x14ac:dyDescent="0.25">
      <c r="A468" s="32">
        <v>4379635</v>
      </c>
      <c r="B468" s="32" t="s">
        <v>21</v>
      </c>
      <c r="C468" s="33" t="s">
        <v>19</v>
      </c>
      <c r="D468" s="35">
        <v>45446</v>
      </c>
      <c r="E468" s="32" t="s">
        <v>185</v>
      </c>
      <c r="F468" s="32">
        <v>22057705</v>
      </c>
      <c r="G468" s="32" t="s">
        <v>241</v>
      </c>
      <c r="H468" s="26" t="s">
        <v>38</v>
      </c>
      <c r="I468" s="36">
        <v>110</v>
      </c>
      <c r="J468" s="32">
        <f>IF(MB25_VOLUMETRIA[[#This Row],[Reserva]]="","",1)</f>
        <v>1</v>
      </c>
      <c r="K468" s="36" t="str">
        <f>IF(MB25_VOLUMETRIA[[#This Row],[Reserva]]="","",IFERROR(VLOOKUP(MB25_VOLUMETRIA[[#This Row],[UMB]],CHAVE[],2,FALSE),"VERIFICAR"))</f>
        <v>Unidade</v>
      </c>
      <c r="L468" s="32" t="str">
        <f>IF(MB25_VOLUMETRIA[[#This Row],[Reserva]]="","",IFERROR(VLOOKUP(MB25_VOLUMETRIA[[#This Row],[Reserva]],Tabela3[[Reserva]:[Condição para Faturamento]],20,FALSE),"IMPORTADO COM SUCESSO"))</f>
        <v>EM SEPARAÇÃO</v>
      </c>
      <c r="M468" s="32" t="str">
        <f ca="1">IFERROR(VLOOKUP(MB25_VOLUMETRIA[[#This Row],[Reserva]],RES_AB[],14,FALSE),"")</f>
        <v>RESERVAS EM ATRASO</v>
      </c>
      <c r="N468" s="32" t="str">
        <f>IF(MB25_VOLUMETRIA[[#This Row],[Cen.]]="","",IFERROR(VLOOKUP(MB25_VOLUMETRIA[[#This Row],[Cen.]],Dados_Empresas[],2,FALSE),"Verificar empresa"))</f>
        <v>NET MASSIVO</v>
      </c>
      <c r="O468" s="32" t="str">
        <f>IF(MB25_VOLUMETRIA[[#This Row],[EMPRESA]]="","",IF(OR(MB25_VOLUMETRIA[[#This Row],[EMPRESA]]="NET MASSIVO",MB25_VOLUMETRIA[[#This Row],[EMPRESA]]="NET PROJETOS"),"NET","EMPRESARIAL"))</f>
        <v>NET</v>
      </c>
    </row>
    <row r="469" spans="1:15" x14ac:dyDescent="0.25">
      <c r="A469" s="32">
        <v>4379635</v>
      </c>
      <c r="B469" s="32" t="s">
        <v>21</v>
      </c>
      <c r="C469" s="33" t="s">
        <v>19</v>
      </c>
      <c r="D469" s="35">
        <v>45446</v>
      </c>
      <c r="E469" s="32" t="s">
        <v>185</v>
      </c>
      <c r="F469" s="32">
        <v>22058239</v>
      </c>
      <c r="G469" s="32" t="s">
        <v>317</v>
      </c>
      <c r="H469" s="26" t="s">
        <v>38</v>
      </c>
      <c r="I469" s="36">
        <v>200</v>
      </c>
      <c r="J469" s="32">
        <f>IF(MB25_VOLUMETRIA[[#This Row],[Reserva]]="","",1)</f>
        <v>1</v>
      </c>
      <c r="K469" s="36" t="str">
        <f>IF(MB25_VOLUMETRIA[[#This Row],[Reserva]]="","",IFERROR(VLOOKUP(MB25_VOLUMETRIA[[#This Row],[UMB]],CHAVE[],2,FALSE),"VERIFICAR"))</f>
        <v>Unidade</v>
      </c>
      <c r="L469" s="32" t="str">
        <f>IF(MB25_VOLUMETRIA[[#This Row],[Reserva]]="","",IFERROR(VLOOKUP(MB25_VOLUMETRIA[[#This Row],[Reserva]],Tabela3[[Reserva]:[Condição para Faturamento]],20,FALSE),"IMPORTADO COM SUCESSO"))</f>
        <v>EM SEPARAÇÃO</v>
      </c>
      <c r="M469" s="32" t="str">
        <f ca="1">IFERROR(VLOOKUP(MB25_VOLUMETRIA[[#This Row],[Reserva]],RES_AB[],14,FALSE),"")</f>
        <v>RESERVAS EM ATRASO</v>
      </c>
      <c r="N469" s="32" t="str">
        <f>IF(MB25_VOLUMETRIA[[#This Row],[Cen.]]="","",IFERROR(VLOOKUP(MB25_VOLUMETRIA[[#This Row],[Cen.]],Dados_Empresas[],2,FALSE),"Verificar empresa"))</f>
        <v>NET MASSIVO</v>
      </c>
      <c r="O469" s="32" t="str">
        <f>IF(MB25_VOLUMETRIA[[#This Row],[EMPRESA]]="","",IF(OR(MB25_VOLUMETRIA[[#This Row],[EMPRESA]]="NET MASSIVO",MB25_VOLUMETRIA[[#This Row],[EMPRESA]]="NET PROJETOS"),"NET","EMPRESARIAL"))</f>
        <v>NET</v>
      </c>
    </row>
    <row r="470" spans="1:15" x14ac:dyDescent="0.25">
      <c r="A470" s="32">
        <v>4379635</v>
      </c>
      <c r="B470" s="32" t="s">
        <v>21</v>
      </c>
      <c r="C470" s="33" t="s">
        <v>21</v>
      </c>
      <c r="D470" s="35">
        <v>45446</v>
      </c>
      <c r="E470" s="32" t="s">
        <v>185</v>
      </c>
      <c r="F470" s="32">
        <v>22058258</v>
      </c>
      <c r="G470" s="32" t="s">
        <v>187</v>
      </c>
      <c r="H470" s="26" t="s">
        <v>38</v>
      </c>
      <c r="I470" s="36">
        <v>400</v>
      </c>
      <c r="J470" s="32">
        <f>IF(MB25_VOLUMETRIA[[#This Row],[Reserva]]="","",1)</f>
        <v>1</v>
      </c>
      <c r="K470" s="36" t="str">
        <f>IF(MB25_VOLUMETRIA[[#This Row],[Reserva]]="","",IFERROR(VLOOKUP(MB25_VOLUMETRIA[[#This Row],[UMB]],CHAVE[],2,FALSE),"VERIFICAR"))</f>
        <v>Unidade</v>
      </c>
      <c r="L470" s="32" t="str">
        <f>IF(MB25_VOLUMETRIA[[#This Row],[Reserva]]="","",IFERROR(VLOOKUP(MB25_VOLUMETRIA[[#This Row],[Reserva]],Tabela3[[Reserva]:[Condição para Faturamento]],20,FALSE),"IMPORTADO COM SUCESSO"))</f>
        <v>EM SEPARAÇÃO</v>
      </c>
      <c r="M470" s="32" t="str">
        <f ca="1">IFERROR(VLOOKUP(MB25_VOLUMETRIA[[#This Row],[Reserva]],RES_AB[],14,FALSE),"")</f>
        <v>RESERVAS EM ATRASO</v>
      </c>
      <c r="N470" s="32" t="str">
        <f>IF(MB25_VOLUMETRIA[[#This Row],[Cen.]]="","",IFERROR(VLOOKUP(MB25_VOLUMETRIA[[#This Row],[Cen.]],Dados_Empresas[],2,FALSE),"Verificar empresa"))</f>
        <v>NET MASSIVO</v>
      </c>
      <c r="O470" s="32" t="str">
        <f>IF(MB25_VOLUMETRIA[[#This Row],[EMPRESA]]="","",IF(OR(MB25_VOLUMETRIA[[#This Row],[EMPRESA]]="NET MASSIVO",MB25_VOLUMETRIA[[#This Row],[EMPRESA]]="NET PROJETOS"),"NET","EMPRESARIAL"))</f>
        <v>NET</v>
      </c>
    </row>
    <row r="471" spans="1:15" x14ac:dyDescent="0.25">
      <c r="A471" s="32">
        <v>4379636</v>
      </c>
      <c r="B471" s="32" t="s">
        <v>21</v>
      </c>
      <c r="C471" s="33" t="s">
        <v>19</v>
      </c>
      <c r="D471" s="35">
        <v>45446</v>
      </c>
      <c r="E471" s="32" t="s">
        <v>184</v>
      </c>
      <c r="F471" s="32">
        <v>41000805</v>
      </c>
      <c r="G471" s="32" t="s">
        <v>188</v>
      </c>
      <c r="H471" s="26" t="s">
        <v>38</v>
      </c>
      <c r="I471" s="36">
        <v>200</v>
      </c>
      <c r="J471" s="32">
        <f>IF(MB25_VOLUMETRIA[[#This Row],[Reserva]]="","",1)</f>
        <v>1</v>
      </c>
      <c r="K471" s="36" t="str">
        <f>IF(MB25_VOLUMETRIA[[#This Row],[Reserva]]="","",IFERROR(VLOOKUP(MB25_VOLUMETRIA[[#This Row],[UMB]],CHAVE[],2,FALSE),"VERIFICAR"))</f>
        <v>Unidade</v>
      </c>
      <c r="L471" s="32" t="str">
        <f>IF(MB25_VOLUMETRIA[[#This Row],[Reserva]]="","",IFERROR(VLOOKUP(MB25_VOLUMETRIA[[#This Row],[Reserva]],Tabela3[[Reserva]:[Condição para Faturamento]],20,FALSE),"IMPORTADO COM SUCESSO"))</f>
        <v>EM CONFERENCIA</v>
      </c>
      <c r="M471" s="32" t="str">
        <f ca="1">IFERROR(VLOOKUP(MB25_VOLUMETRIA[[#This Row],[Reserva]],RES_AB[],14,FALSE),"")</f>
        <v>RESERVAS EM ATRASO</v>
      </c>
      <c r="N471" s="32" t="str">
        <f>IF(MB25_VOLUMETRIA[[#This Row],[Cen.]]="","",IFERROR(VLOOKUP(MB25_VOLUMETRIA[[#This Row],[Cen.]],Dados_Empresas[],2,FALSE),"Verificar empresa"))</f>
        <v>NET MASSIVO</v>
      </c>
      <c r="O471" s="32" t="str">
        <f>IF(MB25_VOLUMETRIA[[#This Row],[EMPRESA]]="","",IF(OR(MB25_VOLUMETRIA[[#This Row],[EMPRESA]]="NET MASSIVO",MB25_VOLUMETRIA[[#This Row],[EMPRESA]]="NET PROJETOS"),"NET","EMPRESARIAL"))</f>
        <v>NET</v>
      </c>
    </row>
    <row r="472" spans="1:15" x14ac:dyDescent="0.25">
      <c r="A472" s="32">
        <v>4379636</v>
      </c>
      <c r="B472" s="32" t="s">
        <v>21</v>
      </c>
      <c r="C472" s="33" t="s">
        <v>19</v>
      </c>
      <c r="D472" s="35">
        <v>45446</v>
      </c>
      <c r="E472" s="32" t="s">
        <v>184</v>
      </c>
      <c r="F472" s="32">
        <v>41001048</v>
      </c>
      <c r="G472" s="32" t="s">
        <v>318</v>
      </c>
      <c r="H472" s="26" t="s">
        <v>38</v>
      </c>
      <c r="I472" s="36">
        <v>200</v>
      </c>
      <c r="J472" s="32">
        <f>IF(MB25_VOLUMETRIA[[#This Row],[Reserva]]="","",1)</f>
        <v>1</v>
      </c>
      <c r="K472" s="36" t="str">
        <f>IF(MB25_VOLUMETRIA[[#This Row],[Reserva]]="","",IFERROR(VLOOKUP(MB25_VOLUMETRIA[[#This Row],[UMB]],CHAVE[],2,FALSE),"VERIFICAR"))</f>
        <v>Unidade</v>
      </c>
      <c r="L472" s="32" t="str">
        <f>IF(MB25_VOLUMETRIA[[#This Row],[Reserva]]="","",IFERROR(VLOOKUP(MB25_VOLUMETRIA[[#This Row],[Reserva]],Tabela3[[Reserva]:[Condição para Faturamento]],20,FALSE),"IMPORTADO COM SUCESSO"))</f>
        <v>EM CONFERENCIA</v>
      </c>
      <c r="M472" s="32" t="str">
        <f ca="1">IFERROR(VLOOKUP(MB25_VOLUMETRIA[[#This Row],[Reserva]],RES_AB[],14,FALSE),"")</f>
        <v>RESERVAS EM ATRASO</v>
      </c>
      <c r="N472" s="32" t="str">
        <f>IF(MB25_VOLUMETRIA[[#This Row],[Cen.]]="","",IFERROR(VLOOKUP(MB25_VOLUMETRIA[[#This Row],[Cen.]],Dados_Empresas[],2,FALSE),"Verificar empresa"))</f>
        <v>NET MASSIVO</v>
      </c>
      <c r="O472" s="32" t="str">
        <f>IF(MB25_VOLUMETRIA[[#This Row],[EMPRESA]]="","",IF(OR(MB25_VOLUMETRIA[[#This Row],[EMPRESA]]="NET MASSIVO",MB25_VOLUMETRIA[[#This Row],[EMPRESA]]="NET PROJETOS"),"NET","EMPRESARIAL"))</f>
        <v>NET</v>
      </c>
    </row>
    <row r="473" spans="1:15" x14ac:dyDescent="0.25">
      <c r="A473" s="32">
        <v>4379636</v>
      </c>
      <c r="B473" s="32" t="s">
        <v>21</v>
      </c>
      <c r="C473" s="33" t="s">
        <v>19</v>
      </c>
      <c r="D473" s="35">
        <v>45446</v>
      </c>
      <c r="E473" s="32" t="s">
        <v>184</v>
      </c>
      <c r="F473" s="32">
        <v>41001294</v>
      </c>
      <c r="G473" s="32" t="s">
        <v>248</v>
      </c>
      <c r="H473" s="26" t="s">
        <v>38</v>
      </c>
      <c r="I473" s="36">
        <v>110</v>
      </c>
      <c r="J473" s="32">
        <f>IF(MB25_VOLUMETRIA[[#This Row],[Reserva]]="","",1)</f>
        <v>1</v>
      </c>
      <c r="K473" s="36" t="str">
        <f>IF(MB25_VOLUMETRIA[[#This Row],[Reserva]]="","",IFERROR(VLOOKUP(MB25_VOLUMETRIA[[#This Row],[UMB]],CHAVE[],2,FALSE),"VERIFICAR"))</f>
        <v>Unidade</v>
      </c>
      <c r="L473" s="32" t="str">
        <f>IF(MB25_VOLUMETRIA[[#This Row],[Reserva]]="","",IFERROR(VLOOKUP(MB25_VOLUMETRIA[[#This Row],[Reserva]],Tabela3[[Reserva]:[Condição para Faturamento]],20,FALSE),"IMPORTADO COM SUCESSO"))</f>
        <v>EM CONFERENCIA</v>
      </c>
      <c r="M473" s="32" t="str">
        <f ca="1">IFERROR(VLOOKUP(MB25_VOLUMETRIA[[#This Row],[Reserva]],RES_AB[],14,FALSE),"")</f>
        <v>RESERVAS EM ATRASO</v>
      </c>
      <c r="N473" s="32" t="str">
        <f>IF(MB25_VOLUMETRIA[[#This Row],[Cen.]]="","",IFERROR(VLOOKUP(MB25_VOLUMETRIA[[#This Row],[Cen.]],Dados_Empresas[],2,FALSE),"Verificar empresa"))</f>
        <v>NET MASSIVO</v>
      </c>
      <c r="O473" s="32" t="str">
        <f>IF(MB25_VOLUMETRIA[[#This Row],[EMPRESA]]="","",IF(OR(MB25_VOLUMETRIA[[#This Row],[EMPRESA]]="NET MASSIVO",MB25_VOLUMETRIA[[#This Row],[EMPRESA]]="NET PROJETOS"),"NET","EMPRESARIAL"))</f>
        <v>NET</v>
      </c>
    </row>
    <row r="474" spans="1:15" x14ac:dyDescent="0.25">
      <c r="A474" s="32">
        <v>4379650</v>
      </c>
      <c r="B474" s="32" t="s">
        <v>21</v>
      </c>
      <c r="C474" s="33" t="s">
        <v>21</v>
      </c>
      <c r="D474" s="35">
        <v>45446</v>
      </c>
      <c r="E474" s="32" t="s">
        <v>185</v>
      </c>
      <c r="F474" s="32">
        <v>22025072</v>
      </c>
      <c r="G474" s="32" t="s">
        <v>204</v>
      </c>
      <c r="H474" s="26" t="s">
        <v>38</v>
      </c>
      <c r="I474" s="36">
        <v>7</v>
      </c>
      <c r="J474" s="32">
        <f>IF(MB25_VOLUMETRIA[[#This Row],[Reserva]]="","",1)</f>
        <v>1</v>
      </c>
      <c r="K474" s="36" t="str">
        <f>IF(MB25_VOLUMETRIA[[#This Row],[Reserva]]="","",IFERROR(VLOOKUP(MB25_VOLUMETRIA[[#This Row],[UMB]],CHAVE[],2,FALSE),"VERIFICAR"))</f>
        <v>Unidade</v>
      </c>
      <c r="L474" s="32" t="str">
        <f>IF(MB25_VOLUMETRIA[[#This Row],[Reserva]]="","",IFERROR(VLOOKUP(MB25_VOLUMETRIA[[#This Row],[Reserva]],Tabela3[[Reserva]:[Condição para Faturamento]],20,FALSE),"IMPORTADO COM SUCESSO"))</f>
        <v>EM SEPARAÇÃO</v>
      </c>
      <c r="M474" s="32" t="str">
        <f ca="1">IFERROR(VLOOKUP(MB25_VOLUMETRIA[[#This Row],[Reserva]],RES_AB[],14,FALSE),"")</f>
        <v>RESERVAS EM ATRASO</v>
      </c>
      <c r="N474" s="32" t="str">
        <f>IF(MB25_VOLUMETRIA[[#This Row],[Cen.]]="","",IFERROR(VLOOKUP(MB25_VOLUMETRIA[[#This Row],[Cen.]],Dados_Empresas[],2,FALSE),"Verificar empresa"))</f>
        <v>NET MASSIVO</v>
      </c>
      <c r="O474" s="32" t="str">
        <f>IF(MB25_VOLUMETRIA[[#This Row],[EMPRESA]]="","",IF(OR(MB25_VOLUMETRIA[[#This Row],[EMPRESA]]="NET MASSIVO",MB25_VOLUMETRIA[[#This Row],[EMPRESA]]="NET PROJETOS"),"NET","EMPRESARIAL"))</f>
        <v>NET</v>
      </c>
    </row>
    <row r="475" spans="1:15" x14ac:dyDescent="0.25">
      <c r="A475" s="32">
        <v>4379650</v>
      </c>
      <c r="B475" s="32" t="s">
        <v>21</v>
      </c>
      <c r="C475" s="33" t="s">
        <v>21</v>
      </c>
      <c r="D475" s="35">
        <v>45446</v>
      </c>
      <c r="E475" s="32" t="s">
        <v>185</v>
      </c>
      <c r="F475" s="32">
        <v>22026189</v>
      </c>
      <c r="G475" s="32" t="s">
        <v>200</v>
      </c>
      <c r="H475" s="26" t="s">
        <v>38</v>
      </c>
      <c r="I475" s="36">
        <v>1300</v>
      </c>
      <c r="J475" s="32">
        <f>IF(MB25_VOLUMETRIA[[#This Row],[Reserva]]="","",1)</f>
        <v>1</v>
      </c>
      <c r="K475" s="36" t="str">
        <f>IF(MB25_VOLUMETRIA[[#This Row],[Reserva]]="","",IFERROR(VLOOKUP(MB25_VOLUMETRIA[[#This Row],[UMB]],CHAVE[],2,FALSE),"VERIFICAR"))</f>
        <v>Unidade</v>
      </c>
      <c r="L475" s="32" t="str">
        <f>IF(MB25_VOLUMETRIA[[#This Row],[Reserva]]="","",IFERROR(VLOOKUP(MB25_VOLUMETRIA[[#This Row],[Reserva]],Tabela3[[Reserva]:[Condição para Faturamento]],20,FALSE),"IMPORTADO COM SUCESSO"))</f>
        <v>EM SEPARAÇÃO</v>
      </c>
      <c r="M475" s="32" t="str">
        <f ca="1">IFERROR(VLOOKUP(MB25_VOLUMETRIA[[#This Row],[Reserva]],RES_AB[],14,FALSE),"")</f>
        <v>RESERVAS EM ATRASO</v>
      </c>
      <c r="N475" s="32" t="str">
        <f>IF(MB25_VOLUMETRIA[[#This Row],[Cen.]]="","",IFERROR(VLOOKUP(MB25_VOLUMETRIA[[#This Row],[Cen.]],Dados_Empresas[],2,FALSE),"Verificar empresa"))</f>
        <v>NET MASSIVO</v>
      </c>
      <c r="O475" s="32" t="str">
        <f>IF(MB25_VOLUMETRIA[[#This Row],[EMPRESA]]="","",IF(OR(MB25_VOLUMETRIA[[#This Row],[EMPRESA]]="NET MASSIVO",MB25_VOLUMETRIA[[#This Row],[EMPRESA]]="NET PROJETOS"),"NET","EMPRESARIAL"))</f>
        <v>NET</v>
      </c>
    </row>
    <row r="476" spans="1:15" x14ac:dyDescent="0.25">
      <c r="A476" s="32">
        <v>4379650</v>
      </c>
      <c r="B476" s="32" t="s">
        <v>21</v>
      </c>
      <c r="C476" s="33" t="s">
        <v>21</v>
      </c>
      <c r="D476" s="35">
        <v>45446</v>
      </c>
      <c r="E476" s="32" t="s">
        <v>185</v>
      </c>
      <c r="F476" s="32">
        <v>22026219</v>
      </c>
      <c r="G476" s="32" t="s">
        <v>221</v>
      </c>
      <c r="H476" s="26" t="s">
        <v>38</v>
      </c>
      <c r="I476" s="36">
        <v>2900</v>
      </c>
      <c r="J476" s="32">
        <f>IF(MB25_VOLUMETRIA[[#This Row],[Reserva]]="","",1)</f>
        <v>1</v>
      </c>
      <c r="K476" s="36" t="str">
        <f>IF(MB25_VOLUMETRIA[[#This Row],[Reserva]]="","",IFERROR(VLOOKUP(MB25_VOLUMETRIA[[#This Row],[UMB]],CHAVE[],2,FALSE),"VERIFICAR"))</f>
        <v>Unidade</v>
      </c>
      <c r="L476" s="32" t="str">
        <f>IF(MB25_VOLUMETRIA[[#This Row],[Reserva]]="","",IFERROR(VLOOKUP(MB25_VOLUMETRIA[[#This Row],[Reserva]],Tabela3[[Reserva]:[Condição para Faturamento]],20,FALSE),"IMPORTADO COM SUCESSO"))</f>
        <v>EM SEPARAÇÃO</v>
      </c>
      <c r="M476" s="32" t="str">
        <f ca="1">IFERROR(VLOOKUP(MB25_VOLUMETRIA[[#This Row],[Reserva]],RES_AB[],14,FALSE),"")</f>
        <v>RESERVAS EM ATRASO</v>
      </c>
      <c r="N476" s="32" t="str">
        <f>IF(MB25_VOLUMETRIA[[#This Row],[Cen.]]="","",IFERROR(VLOOKUP(MB25_VOLUMETRIA[[#This Row],[Cen.]],Dados_Empresas[],2,FALSE),"Verificar empresa"))</f>
        <v>NET MASSIVO</v>
      </c>
      <c r="O476" s="32" t="str">
        <f>IF(MB25_VOLUMETRIA[[#This Row],[EMPRESA]]="","",IF(OR(MB25_VOLUMETRIA[[#This Row],[EMPRESA]]="NET MASSIVO",MB25_VOLUMETRIA[[#This Row],[EMPRESA]]="NET PROJETOS"),"NET","EMPRESARIAL"))</f>
        <v>NET</v>
      </c>
    </row>
    <row r="477" spans="1:15" x14ac:dyDescent="0.25">
      <c r="A477" s="32">
        <v>4379650</v>
      </c>
      <c r="B477" s="32" t="s">
        <v>21</v>
      </c>
      <c r="C477" s="33" t="s">
        <v>21</v>
      </c>
      <c r="D477" s="35">
        <v>45446</v>
      </c>
      <c r="E477" s="32" t="s">
        <v>185</v>
      </c>
      <c r="F477" s="32">
        <v>22026223</v>
      </c>
      <c r="G477" s="32" t="s">
        <v>195</v>
      </c>
      <c r="H477" s="26" t="s">
        <v>38</v>
      </c>
      <c r="I477" s="36">
        <v>2440</v>
      </c>
      <c r="J477" s="32">
        <f>IF(MB25_VOLUMETRIA[[#This Row],[Reserva]]="","",1)</f>
        <v>1</v>
      </c>
      <c r="K477" s="36" t="str">
        <f>IF(MB25_VOLUMETRIA[[#This Row],[Reserva]]="","",IFERROR(VLOOKUP(MB25_VOLUMETRIA[[#This Row],[UMB]],CHAVE[],2,FALSE),"VERIFICAR"))</f>
        <v>Unidade</v>
      </c>
      <c r="L477" s="32" t="str">
        <f>IF(MB25_VOLUMETRIA[[#This Row],[Reserva]]="","",IFERROR(VLOOKUP(MB25_VOLUMETRIA[[#This Row],[Reserva]],Tabela3[[Reserva]:[Condição para Faturamento]],20,FALSE),"IMPORTADO COM SUCESSO"))</f>
        <v>EM SEPARAÇÃO</v>
      </c>
      <c r="M477" s="32" t="str">
        <f ca="1">IFERROR(VLOOKUP(MB25_VOLUMETRIA[[#This Row],[Reserva]],RES_AB[],14,FALSE),"")</f>
        <v>RESERVAS EM ATRASO</v>
      </c>
      <c r="N477" s="32" t="str">
        <f>IF(MB25_VOLUMETRIA[[#This Row],[Cen.]]="","",IFERROR(VLOOKUP(MB25_VOLUMETRIA[[#This Row],[Cen.]],Dados_Empresas[],2,FALSE),"Verificar empresa"))</f>
        <v>NET MASSIVO</v>
      </c>
      <c r="O477" s="32" t="str">
        <f>IF(MB25_VOLUMETRIA[[#This Row],[EMPRESA]]="","",IF(OR(MB25_VOLUMETRIA[[#This Row],[EMPRESA]]="NET MASSIVO",MB25_VOLUMETRIA[[#This Row],[EMPRESA]]="NET PROJETOS"),"NET","EMPRESARIAL"))</f>
        <v>NET</v>
      </c>
    </row>
    <row r="478" spans="1:15" x14ac:dyDescent="0.25">
      <c r="A478" s="32">
        <v>4379650</v>
      </c>
      <c r="B478" s="32" t="s">
        <v>21</v>
      </c>
      <c r="C478" s="33" t="s">
        <v>19</v>
      </c>
      <c r="D478" s="35">
        <v>45446</v>
      </c>
      <c r="E478" s="32" t="s">
        <v>185</v>
      </c>
      <c r="F478" s="32">
        <v>22026249</v>
      </c>
      <c r="G478" s="32" t="s">
        <v>186</v>
      </c>
      <c r="H478" s="26" t="s">
        <v>38</v>
      </c>
      <c r="I478" s="36">
        <v>110</v>
      </c>
      <c r="J478" s="32">
        <f>IF(MB25_VOLUMETRIA[[#This Row],[Reserva]]="","",1)</f>
        <v>1</v>
      </c>
      <c r="K478" s="36" t="str">
        <f>IF(MB25_VOLUMETRIA[[#This Row],[Reserva]]="","",IFERROR(VLOOKUP(MB25_VOLUMETRIA[[#This Row],[UMB]],CHAVE[],2,FALSE),"VERIFICAR"))</f>
        <v>Unidade</v>
      </c>
      <c r="L478" s="32" t="str">
        <f>IF(MB25_VOLUMETRIA[[#This Row],[Reserva]]="","",IFERROR(VLOOKUP(MB25_VOLUMETRIA[[#This Row],[Reserva]],Tabela3[[Reserva]:[Condição para Faturamento]],20,FALSE),"IMPORTADO COM SUCESSO"))</f>
        <v>EM SEPARAÇÃO</v>
      </c>
      <c r="M478" s="32" t="str">
        <f ca="1">IFERROR(VLOOKUP(MB25_VOLUMETRIA[[#This Row],[Reserva]],RES_AB[],14,FALSE),"")</f>
        <v>RESERVAS EM ATRASO</v>
      </c>
      <c r="N478" s="32" t="str">
        <f>IF(MB25_VOLUMETRIA[[#This Row],[Cen.]]="","",IFERROR(VLOOKUP(MB25_VOLUMETRIA[[#This Row],[Cen.]],Dados_Empresas[],2,FALSE),"Verificar empresa"))</f>
        <v>NET MASSIVO</v>
      </c>
      <c r="O478" s="32" t="str">
        <f>IF(MB25_VOLUMETRIA[[#This Row],[EMPRESA]]="","",IF(OR(MB25_VOLUMETRIA[[#This Row],[EMPRESA]]="NET MASSIVO",MB25_VOLUMETRIA[[#This Row],[EMPRESA]]="NET PROJETOS"),"NET","EMPRESARIAL"))</f>
        <v>NET</v>
      </c>
    </row>
    <row r="479" spans="1:15" x14ac:dyDescent="0.25">
      <c r="A479" s="32">
        <v>4379650</v>
      </c>
      <c r="B479" s="32" t="s">
        <v>21</v>
      </c>
      <c r="C479" s="33" t="s">
        <v>21</v>
      </c>
      <c r="D479" s="35">
        <v>45446</v>
      </c>
      <c r="E479" s="32" t="s">
        <v>185</v>
      </c>
      <c r="F479" s="32">
        <v>22026544</v>
      </c>
      <c r="G479" s="32" t="s">
        <v>206</v>
      </c>
      <c r="H479" s="26" t="s">
        <v>38</v>
      </c>
      <c r="I479" s="36">
        <v>50</v>
      </c>
      <c r="J479" s="32">
        <f>IF(MB25_VOLUMETRIA[[#This Row],[Reserva]]="","",1)</f>
        <v>1</v>
      </c>
      <c r="K479" s="36" t="str">
        <f>IF(MB25_VOLUMETRIA[[#This Row],[Reserva]]="","",IFERROR(VLOOKUP(MB25_VOLUMETRIA[[#This Row],[UMB]],CHAVE[],2,FALSE),"VERIFICAR"))</f>
        <v>Unidade</v>
      </c>
      <c r="L479" s="32" t="str">
        <f>IF(MB25_VOLUMETRIA[[#This Row],[Reserva]]="","",IFERROR(VLOOKUP(MB25_VOLUMETRIA[[#This Row],[Reserva]],Tabela3[[Reserva]:[Condição para Faturamento]],20,FALSE),"IMPORTADO COM SUCESSO"))</f>
        <v>EM SEPARAÇÃO</v>
      </c>
      <c r="M479" s="32" t="str">
        <f ca="1">IFERROR(VLOOKUP(MB25_VOLUMETRIA[[#This Row],[Reserva]],RES_AB[],14,FALSE),"")</f>
        <v>RESERVAS EM ATRASO</v>
      </c>
      <c r="N479" s="32" t="str">
        <f>IF(MB25_VOLUMETRIA[[#This Row],[Cen.]]="","",IFERROR(VLOOKUP(MB25_VOLUMETRIA[[#This Row],[Cen.]],Dados_Empresas[],2,FALSE),"Verificar empresa"))</f>
        <v>NET MASSIVO</v>
      </c>
      <c r="O479" s="32" t="str">
        <f>IF(MB25_VOLUMETRIA[[#This Row],[EMPRESA]]="","",IF(OR(MB25_VOLUMETRIA[[#This Row],[EMPRESA]]="NET MASSIVO",MB25_VOLUMETRIA[[#This Row],[EMPRESA]]="NET PROJETOS"),"NET","EMPRESARIAL"))</f>
        <v>NET</v>
      </c>
    </row>
    <row r="480" spans="1:15" x14ac:dyDescent="0.25">
      <c r="A480" s="32">
        <v>4379650</v>
      </c>
      <c r="B480" s="32" t="s">
        <v>21</v>
      </c>
      <c r="C480" s="33" t="s">
        <v>21</v>
      </c>
      <c r="D480" s="35">
        <v>45446</v>
      </c>
      <c r="E480" s="32" t="s">
        <v>185</v>
      </c>
      <c r="F480" s="32">
        <v>22026772</v>
      </c>
      <c r="G480" s="32" t="s">
        <v>201</v>
      </c>
      <c r="H480" s="26" t="s">
        <v>38</v>
      </c>
      <c r="I480" s="36">
        <v>75</v>
      </c>
      <c r="J480" s="32">
        <f>IF(MB25_VOLUMETRIA[[#This Row],[Reserva]]="","",1)</f>
        <v>1</v>
      </c>
      <c r="K480" s="36" t="str">
        <f>IF(MB25_VOLUMETRIA[[#This Row],[Reserva]]="","",IFERROR(VLOOKUP(MB25_VOLUMETRIA[[#This Row],[UMB]],CHAVE[],2,FALSE),"VERIFICAR"))</f>
        <v>Unidade</v>
      </c>
      <c r="L480" s="32" t="str">
        <f>IF(MB25_VOLUMETRIA[[#This Row],[Reserva]]="","",IFERROR(VLOOKUP(MB25_VOLUMETRIA[[#This Row],[Reserva]],Tabela3[[Reserva]:[Condição para Faturamento]],20,FALSE),"IMPORTADO COM SUCESSO"))</f>
        <v>EM SEPARAÇÃO</v>
      </c>
      <c r="M480" s="32" t="str">
        <f ca="1">IFERROR(VLOOKUP(MB25_VOLUMETRIA[[#This Row],[Reserva]],RES_AB[],14,FALSE),"")</f>
        <v>RESERVAS EM ATRASO</v>
      </c>
      <c r="N480" s="32" t="str">
        <f>IF(MB25_VOLUMETRIA[[#This Row],[Cen.]]="","",IFERROR(VLOOKUP(MB25_VOLUMETRIA[[#This Row],[Cen.]],Dados_Empresas[],2,FALSE),"Verificar empresa"))</f>
        <v>NET MASSIVO</v>
      </c>
      <c r="O480" s="32" t="str">
        <f>IF(MB25_VOLUMETRIA[[#This Row],[EMPRESA]]="","",IF(OR(MB25_VOLUMETRIA[[#This Row],[EMPRESA]]="NET MASSIVO",MB25_VOLUMETRIA[[#This Row],[EMPRESA]]="NET PROJETOS"),"NET","EMPRESARIAL"))</f>
        <v>NET</v>
      </c>
    </row>
    <row r="481" spans="1:15" x14ac:dyDescent="0.25">
      <c r="A481" s="32">
        <v>4379650</v>
      </c>
      <c r="B481" s="32" t="s">
        <v>21</v>
      </c>
      <c r="C481" s="33" t="s">
        <v>21</v>
      </c>
      <c r="D481" s="35">
        <v>45446</v>
      </c>
      <c r="E481" s="32" t="s">
        <v>185</v>
      </c>
      <c r="F481" s="32">
        <v>22026809</v>
      </c>
      <c r="G481" s="32" t="s">
        <v>231</v>
      </c>
      <c r="H481" s="26" t="s">
        <v>38</v>
      </c>
      <c r="I481" s="36">
        <v>50</v>
      </c>
      <c r="J481" s="32">
        <f>IF(MB25_VOLUMETRIA[[#This Row],[Reserva]]="","",1)</f>
        <v>1</v>
      </c>
      <c r="K481" s="36" t="str">
        <f>IF(MB25_VOLUMETRIA[[#This Row],[Reserva]]="","",IFERROR(VLOOKUP(MB25_VOLUMETRIA[[#This Row],[UMB]],CHAVE[],2,FALSE),"VERIFICAR"))</f>
        <v>Unidade</v>
      </c>
      <c r="L481" s="32" t="str">
        <f>IF(MB25_VOLUMETRIA[[#This Row],[Reserva]]="","",IFERROR(VLOOKUP(MB25_VOLUMETRIA[[#This Row],[Reserva]],Tabela3[[Reserva]:[Condição para Faturamento]],20,FALSE),"IMPORTADO COM SUCESSO"))</f>
        <v>EM SEPARAÇÃO</v>
      </c>
      <c r="M481" s="32" t="str">
        <f ca="1">IFERROR(VLOOKUP(MB25_VOLUMETRIA[[#This Row],[Reserva]],RES_AB[],14,FALSE),"")</f>
        <v>RESERVAS EM ATRASO</v>
      </c>
      <c r="N481" s="32" t="str">
        <f>IF(MB25_VOLUMETRIA[[#This Row],[Cen.]]="","",IFERROR(VLOOKUP(MB25_VOLUMETRIA[[#This Row],[Cen.]],Dados_Empresas[],2,FALSE),"Verificar empresa"))</f>
        <v>NET MASSIVO</v>
      </c>
      <c r="O481" s="32" t="str">
        <f>IF(MB25_VOLUMETRIA[[#This Row],[EMPRESA]]="","",IF(OR(MB25_VOLUMETRIA[[#This Row],[EMPRESA]]="NET MASSIVO",MB25_VOLUMETRIA[[#This Row],[EMPRESA]]="NET PROJETOS"),"NET","EMPRESARIAL"))</f>
        <v>NET</v>
      </c>
    </row>
    <row r="482" spans="1:15" x14ac:dyDescent="0.25">
      <c r="A482" s="32">
        <v>4379650</v>
      </c>
      <c r="B482" s="32" t="s">
        <v>21</v>
      </c>
      <c r="C482" s="33" t="s">
        <v>19</v>
      </c>
      <c r="D482" s="35">
        <v>45446</v>
      </c>
      <c r="E482" s="32" t="s">
        <v>185</v>
      </c>
      <c r="F482" s="32">
        <v>22057705</v>
      </c>
      <c r="G482" s="32" t="s">
        <v>241</v>
      </c>
      <c r="H482" s="26" t="s">
        <v>38</v>
      </c>
      <c r="I482" s="36">
        <v>120</v>
      </c>
      <c r="J482" s="32">
        <f>IF(MB25_VOLUMETRIA[[#This Row],[Reserva]]="","",1)</f>
        <v>1</v>
      </c>
      <c r="K482" s="36" t="str">
        <f>IF(MB25_VOLUMETRIA[[#This Row],[Reserva]]="","",IFERROR(VLOOKUP(MB25_VOLUMETRIA[[#This Row],[UMB]],CHAVE[],2,FALSE),"VERIFICAR"))</f>
        <v>Unidade</v>
      </c>
      <c r="L482" s="32" t="str">
        <f>IF(MB25_VOLUMETRIA[[#This Row],[Reserva]]="","",IFERROR(VLOOKUP(MB25_VOLUMETRIA[[#This Row],[Reserva]],Tabela3[[Reserva]:[Condição para Faturamento]],20,FALSE),"IMPORTADO COM SUCESSO"))</f>
        <v>EM SEPARAÇÃO</v>
      </c>
      <c r="M482" s="32" t="str">
        <f ca="1">IFERROR(VLOOKUP(MB25_VOLUMETRIA[[#This Row],[Reserva]],RES_AB[],14,FALSE),"")</f>
        <v>RESERVAS EM ATRASO</v>
      </c>
      <c r="N482" s="32" t="str">
        <f>IF(MB25_VOLUMETRIA[[#This Row],[Cen.]]="","",IFERROR(VLOOKUP(MB25_VOLUMETRIA[[#This Row],[Cen.]],Dados_Empresas[],2,FALSE),"Verificar empresa"))</f>
        <v>NET MASSIVO</v>
      </c>
      <c r="O482" s="32" t="str">
        <f>IF(MB25_VOLUMETRIA[[#This Row],[EMPRESA]]="","",IF(OR(MB25_VOLUMETRIA[[#This Row],[EMPRESA]]="NET MASSIVO",MB25_VOLUMETRIA[[#This Row],[EMPRESA]]="NET PROJETOS"),"NET","EMPRESARIAL"))</f>
        <v>NET</v>
      </c>
    </row>
    <row r="483" spans="1:15" x14ac:dyDescent="0.25">
      <c r="A483" s="32">
        <v>4379650</v>
      </c>
      <c r="B483" s="32" t="s">
        <v>21</v>
      </c>
      <c r="C483" s="33" t="s">
        <v>19</v>
      </c>
      <c r="D483" s="35">
        <v>45446</v>
      </c>
      <c r="E483" s="32" t="s">
        <v>185</v>
      </c>
      <c r="F483" s="32">
        <v>22058239</v>
      </c>
      <c r="G483" s="32" t="s">
        <v>317</v>
      </c>
      <c r="H483" s="26" t="s">
        <v>38</v>
      </c>
      <c r="I483" s="36">
        <v>110</v>
      </c>
      <c r="J483" s="32">
        <f>IF(MB25_VOLUMETRIA[[#This Row],[Reserva]]="","",1)</f>
        <v>1</v>
      </c>
      <c r="K483" s="36" t="str">
        <f>IF(MB25_VOLUMETRIA[[#This Row],[Reserva]]="","",IFERROR(VLOOKUP(MB25_VOLUMETRIA[[#This Row],[UMB]],CHAVE[],2,FALSE),"VERIFICAR"))</f>
        <v>Unidade</v>
      </c>
      <c r="L483" s="32" t="str">
        <f>IF(MB25_VOLUMETRIA[[#This Row],[Reserva]]="","",IFERROR(VLOOKUP(MB25_VOLUMETRIA[[#This Row],[Reserva]],Tabela3[[Reserva]:[Condição para Faturamento]],20,FALSE),"IMPORTADO COM SUCESSO"))</f>
        <v>EM SEPARAÇÃO</v>
      </c>
      <c r="M483" s="32" t="str">
        <f ca="1">IFERROR(VLOOKUP(MB25_VOLUMETRIA[[#This Row],[Reserva]],RES_AB[],14,FALSE),"")</f>
        <v>RESERVAS EM ATRASO</v>
      </c>
      <c r="N483" s="32" t="str">
        <f>IF(MB25_VOLUMETRIA[[#This Row],[Cen.]]="","",IFERROR(VLOOKUP(MB25_VOLUMETRIA[[#This Row],[Cen.]],Dados_Empresas[],2,FALSE),"Verificar empresa"))</f>
        <v>NET MASSIVO</v>
      </c>
      <c r="O483" s="32" t="str">
        <f>IF(MB25_VOLUMETRIA[[#This Row],[EMPRESA]]="","",IF(OR(MB25_VOLUMETRIA[[#This Row],[EMPRESA]]="NET MASSIVO",MB25_VOLUMETRIA[[#This Row],[EMPRESA]]="NET PROJETOS"),"NET","EMPRESARIAL"))</f>
        <v>NET</v>
      </c>
    </row>
    <row r="484" spans="1:15" x14ac:dyDescent="0.25">
      <c r="A484" s="32">
        <v>4379650</v>
      </c>
      <c r="B484" s="32" t="s">
        <v>21</v>
      </c>
      <c r="C484" s="33" t="s">
        <v>21</v>
      </c>
      <c r="D484" s="35">
        <v>45446</v>
      </c>
      <c r="E484" s="32" t="s">
        <v>185</v>
      </c>
      <c r="F484" s="32">
        <v>22058258</v>
      </c>
      <c r="G484" s="32" t="s">
        <v>187</v>
      </c>
      <c r="H484" s="26" t="s">
        <v>38</v>
      </c>
      <c r="I484" s="36">
        <v>220</v>
      </c>
      <c r="J484" s="32">
        <f>IF(MB25_VOLUMETRIA[[#This Row],[Reserva]]="","",1)</f>
        <v>1</v>
      </c>
      <c r="K484" s="36" t="str">
        <f>IF(MB25_VOLUMETRIA[[#This Row],[Reserva]]="","",IFERROR(VLOOKUP(MB25_VOLUMETRIA[[#This Row],[UMB]],CHAVE[],2,FALSE),"VERIFICAR"))</f>
        <v>Unidade</v>
      </c>
      <c r="L484" s="32" t="str">
        <f>IF(MB25_VOLUMETRIA[[#This Row],[Reserva]]="","",IFERROR(VLOOKUP(MB25_VOLUMETRIA[[#This Row],[Reserva]],Tabela3[[Reserva]:[Condição para Faturamento]],20,FALSE),"IMPORTADO COM SUCESSO"))</f>
        <v>EM SEPARAÇÃO</v>
      </c>
      <c r="M484" s="32" t="str">
        <f ca="1">IFERROR(VLOOKUP(MB25_VOLUMETRIA[[#This Row],[Reserva]],RES_AB[],14,FALSE),"")</f>
        <v>RESERVAS EM ATRASO</v>
      </c>
      <c r="N484" s="32" t="str">
        <f>IF(MB25_VOLUMETRIA[[#This Row],[Cen.]]="","",IFERROR(VLOOKUP(MB25_VOLUMETRIA[[#This Row],[Cen.]],Dados_Empresas[],2,FALSE),"Verificar empresa"))</f>
        <v>NET MASSIVO</v>
      </c>
      <c r="O484" s="32" t="str">
        <f>IF(MB25_VOLUMETRIA[[#This Row],[EMPRESA]]="","",IF(OR(MB25_VOLUMETRIA[[#This Row],[EMPRESA]]="NET MASSIVO",MB25_VOLUMETRIA[[#This Row],[EMPRESA]]="NET PROJETOS"),"NET","EMPRESARIAL"))</f>
        <v>NET</v>
      </c>
    </row>
    <row r="485" spans="1:15" x14ac:dyDescent="0.25">
      <c r="A485" s="32">
        <v>4379650</v>
      </c>
      <c r="B485" s="32" t="s">
        <v>21</v>
      </c>
      <c r="C485" s="33" t="s">
        <v>19</v>
      </c>
      <c r="D485" s="35">
        <v>45446</v>
      </c>
      <c r="E485" s="32" t="s">
        <v>185</v>
      </c>
      <c r="F485" s="32">
        <v>22062579</v>
      </c>
      <c r="G485" s="32" t="s">
        <v>294</v>
      </c>
      <c r="H485" s="26" t="s">
        <v>38</v>
      </c>
      <c r="I485" s="36">
        <v>60</v>
      </c>
      <c r="J485" s="32">
        <f>IF(MB25_VOLUMETRIA[[#This Row],[Reserva]]="","",1)</f>
        <v>1</v>
      </c>
      <c r="K485" s="36" t="str">
        <f>IF(MB25_VOLUMETRIA[[#This Row],[Reserva]]="","",IFERROR(VLOOKUP(MB25_VOLUMETRIA[[#This Row],[UMB]],CHAVE[],2,FALSE),"VERIFICAR"))</f>
        <v>Unidade</v>
      </c>
      <c r="L485" s="32" t="str">
        <f>IF(MB25_VOLUMETRIA[[#This Row],[Reserva]]="","",IFERROR(VLOOKUP(MB25_VOLUMETRIA[[#This Row],[Reserva]],Tabela3[[Reserva]:[Condição para Faturamento]],20,FALSE),"IMPORTADO COM SUCESSO"))</f>
        <v>EM SEPARAÇÃO</v>
      </c>
      <c r="M485" s="32" t="str">
        <f ca="1">IFERROR(VLOOKUP(MB25_VOLUMETRIA[[#This Row],[Reserva]],RES_AB[],14,FALSE),"")</f>
        <v>RESERVAS EM ATRASO</v>
      </c>
      <c r="N485" s="32" t="str">
        <f>IF(MB25_VOLUMETRIA[[#This Row],[Cen.]]="","",IFERROR(VLOOKUP(MB25_VOLUMETRIA[[#This Row],[Cen.]],Dados_Empresas[],2,FALSE),"Verificar empresa"))</f>
        <v>NET MASSIVO</v>
      </c>
      <c r="O485" s="32" t="str">
        <f>IF(MB25_VOLUMETRIA[[#This Row],[EMPRESA]]="","",IF(OR(MB25_VOLUMETRIA[[#This Row],[EMPRESA]]="NET MASSIVO",MB25_VOLUMETRIA[[#This Row],[EMPRESA]]="NET PROJETOS"),"NET","EMPRESARIAL"))</f>
        <v>NET</v>
      </c>
    </row>
    <row r="486" spans="1:15" x14ac:dyDescent="0.25">
      <c r="A486" s="32">
        <v>4379650</v>
      </c>
      <c r="B486" s="32" t="s">
        <v>21</v>
      </c>
      <c r="C486" s="33" t="s">
        <v>21</v>
      </c>
      <c r="D486" s="35">
        <v>45446</v>
      </c>
      <c r="E486" s="32" t="s">
        <v>185</v>
      </c>
      <c r="F486" s="32">
        <v>22065719</v>
      </c>
      <c r="G486" s="32" t="s">
        <v>228</v>
      </c>
      <c r="H486" s="26" t="s">
        <v>38</v>
      </c>
      <c r="I486" s="36">
        <v>100</v>
      </c>
      <c r="J486" s="32">
        <f>IF(MB25_VOLUMETRIA[[#This Row],[Reserva]]="","",1)</f>
        <v>1</v>
      </c>
      <c r="K486" s="36" t="str">
        <f>IF(MB25_VOLUMETRIA[[#This Row],[Reserva]]="","",IFERROR(VLOOKUP(MB25_VOLUMETRIA[[#This Row],[UMB]],CHAVE[],2,FALSE),"VERIFICAR"))</f>
        <v>Unidade</v>
      </c>
      <c r="L486" s="32" t="str">
        <f>IF(MB25_VOLUMETRIA[[#This Row],[Reserva]]="","",IFERROR(VLOOKUP(MB25_VOLUMETRIA[[#This Row],[Reserva]],Tabela3[[Reserva]:[Condição para Faturamento]],20,FALSE),"IMPORTADO COM SUCESSO"))</f>
        <v>EM SEPARAÇÃO</v>
      </c>
      <c r="M486" s="32" t="str">
        <f ca="1">IFERROR(VLOOKUP(MB25_VOLUMETRIA[[#This Row],[Reserva]],RES_AB[],14,FALSE),"")</f>
        <v>RESERVAS EM ATRASO</v>
      </c>
      <c r="N486" s="32" t="str">
        <f>IF(MB25_VOLUMETRIA[[#This Row],[Cen.]]="","",IFERROR(VLOOKUP(MB25_VOLUMETRIA[[#This Row],[Cen.]],Dados_Empresas[],2,FALSE),"Verificar empresa"))</f>
        <v>NET MASSIVO</v>
      </c>
      <c r="O486" s="32" t="str">
        <f>IF(MB25_VOLUMETRIA[[#This Row],[EMPRESA]]="","",IF(OR(MB25_VOLUMETRIA[[#This Row],[EMPRESA]]="NET MASSIVO",MB25_VOLUMETRIA[[#This Row],[EMPRESA]]="NET PROJETOS"),"NET","EMPRESARIAL"))</f>
        <v>NET</v>
      </c>
    </row>
    <row r="487" spans="1:15" x14ac:dyDescent="0.25">
      <c r="A487" s="32">
        <v>4379651</v>
      </c>
      <c r="B487" s="32" t="s">
        <v>21</v>
      </c>
      <c r="C487" s="33" t="s">
        <v>19</v>
      </c>
      <c r="D487" s="35">
        <v>45446</v>
      </c>
      <c r="E487" s="32" t="s">
        <v>184</v>
      </c>
      <c r="F487" s="32">
        <v>41000805</v>
      </c>
      <c r="G487" s="32" t="s">
        <v>188</v>
      </c>
      <c r="H487" s="26" t="s">
        <v>38</v>
      </c>
      <c r="I487" s="36">
        <v>110</v>
      </c>
      <c r="J487" s="32">
        <f>IF(MB25_VOLUMETRIA[[#This Row],[Reserva]]="","",1)</f>
        <v>1</v>
      </c>
      <c r="K487" s="36" t="str">
        <f>IF(MB25_VOLUMETRIA[[#This Row],[Reserva]]="","",IFERROR(VLOOKUP(MB25_VOLUMETRIA[[#This Row],[UMB]],CHAVE[],2,FALSE),"VERIFICAR"))</f>
        <v>Unidade</v>
      </c>
      <c r="L48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87" s="32" t="str">
        <f ca="1">IFERROR(VLOOKUP(MB25_VOLUMETRIA[[#This Row],[Reserva]],RES_AB[],14,FALSE),"")</f>
        <v>RESERVAS EM ATRASO</v>
      </c>
      <c r="N487" s="32" t="str">
        <f>IF(MB25_VOLUMETRIA[[#This Row],[Cen.]]="","",IFERROR(VLOOKUP(MB25_VOLUMETRIA[[#This Row],[Cen.]],Dados_Empresas[],2,FALSE),"Verificar empresa"))</f>
        <v>NET MASSIVO</v>
      </c>
      <c r="O487" s="32" t="str">
        <f>IF(MB25_VOLUMETRIA[[#This Row],[EMPRESA]]="","",IF(OR(MB25_VOLUMETRIA[[#This Row],[EMPRESA]]="NET MASSIVO",MB25_VOLUMETRIA[[#This Row],[EMPRESA]]="NET PROJETOS"),"NET","EMPRESARIAL"))</f>
        <v>NET</v>
      </c>
    </row>
    <row r="488" spans="1:15" x14ac:dyDescent="0.25">
      <c r="A488" s="32">
        <v>4379651</v>
      </c>
      <c r="B488" s="32" t="s">
        <v>21</v>
      </c>
      <c r="C488" s="33" t="s">
        <v>19</v>
      </c>
      <c r="D488" s="35">
        <v>45446</v>
      </c>
      <c r="E488" s="32" t="s">
        <v>184</v>
      </c>
      <c r="F488" s="32">
        <v>41001048</v>
      </c>
      <c r="G488" s="32" t="s">
        <v>318</v>
      </c>
      <c r="H488" s="26" t="s">
        <v>38</v>
      </c>
      <c r="I488" s="36">
        <v>110</v>
      </c>
      <c r="J488" s="32">
        <f>IF(MB25_VOLUMETRIA[[#This Row],[Reserva]]="","",1)</f>
        <v>1</v>
      </c>
      <c r="K488" s="36" t="str">
        <f>IF(MB25_VOLUMETRIA[[#This Row],[Reserva]]="","",IFERROR(VLOOKUP(MB25_VOLUMETRIA[[#This Row],[UMB]],CHAVE[],2,FALSE),"VERIFICAR"))</f>
        <v>Unidade</v>
      </c>
      <c r="L48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88" s="32" t="str">
        <f ca="1">IFERROR(VLOOKUP(MB25_VOLUMETRIA[[#This Row],[Reserva]],RES_AB[],14,FALSE),"")</f>
        <v>RESERVAS EM ATRASO</v>
      </c>
      <c r="N488" s="32" t="str">
        <f>IF(MB25_VOLUMETRIA[[#This Row],[Cen.]]="","",IFERROR(VLOOKUP(MB25_VOLUMETRIA[[#This Row],[Cen.]],Dados_Empresas[],2,FALSE),"Verificar empresa"))</f>
        <v>NET MASSIVO</v>
      </c>
      <c r="O488" s="32" t="str">
        <f>IF(MB25_VOLUMETRIA[[#This Row],[EMPRESA]]="","",IF(OR(MB25_VOLUMETRIA[[#This Row],[EMPRESA]]="NET MASSIVO",MB25_VOLUMETRIA[[#This Row],[EMPRESA]]="NET PROJETOS"),"NET","EMPRESARIAL"))</f>
        <v>NET</v>
      </c>
    </row>
    <row r="489" spans="1:15" x14ac:dyDescent="0.25">
      <c r="A489" s="32">
        <v>4379651</v>
      </c>
      <c r="B489" s="32" t="s">
        <v>21</v>
      </c>
      <c r="C489" s="33" t="s">
        <v>19</v>
      </c>
      <c r="D489" s="35">
        <v>45446</v>
      </c>
      <c r="E489" s="32" t="s">
        <v>184</v>
      </c>
      <c r="F489" s="32">
        <v>41001294</v>
      </c>
      <c r="G489" s="32" t="s">
        <v>248</v>
      </c>
      <c r="H489" s="26" t="s">
        <v>38</v>
      </c>
      <c r="I489" s="36">
        <v>120</v>
      </c>
      <c r="J489" s="32">
        <f>IF(MB25_VOLUMETRIA[[#This Row],[Reserva]]="","",1)</f>
        <v>1</v>
      </c>
      <c r="K489" s="36" t="str">
        <f>IF(MB25_VOLUMETRIA[[#This Row],[Reserva]]="","",IFERROR(VLOOKUP(MB25_VOLUMETRIA[[#This Row],[UMB]],CHAVE[],2,FALSE),"VERIFICAR"))</f>
        <v>Unidade</v>
      </c>
      <c r="L48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89" s="32" t="str">
        <f ca="1">IFERROR(VLOOKUP(MB25_VOLUMETRIA[[#This Row],[Reserva]],RES_AB[],14,FALSE),"")</f>
        <v>RESERVAS EM ATRASO</v>
      </c>
      <c r="N489" s="32" t="str">
        <f>IF(MB25_VOLUMETRIA[[#This Row],[Cen.]]="","",IFERROR(VLOOKUP(MB25_VOLUMETRIA[[#This Row],[Cen.]],Dados_Empresas[],2,FALSE),"Verificar empresa"))</f>
        <v>NET MASSIVO</v>
      </c>
      <c r="O489" s="32" t="str">
        <f>IF(MB25_VOLUMETRIA[[#This Row],[EMPRESA]]="","",IF(OR(MB25_VOLUMETRIA[[#This Row],[EMPRESA]]="NET MASSIVO",MB25_VOLUMETRIA[[#This Row],[EMPRESA]]="NET PROJETOS"),"NET","EMPRESARIAL"))</f>
        <v>NET</v>
      </c>
    </row>
    <row r="490" spans="1:15" x14ac:dyDescent="0.25">
      <c r="A490" s="32">
        <v>4379651</v>
      </c>
      <c r="B490" s="32" t="s">
        <v>21</v>
      </c>
      <c r="C490" s="33" t="s">
        <v>19</v>
      </c>
      <c r="D490" s="35">
        <v>45446</v>
      </c>
      <c r="E490" s="32" t="s">
        <v>184</v>
      </c>
      <c r="F490" s="32">
        <v>41001552</v>
      </c>
      <c r="G490" s="32" t="s">
        <v>336</v>
      </c>
      <c r="H490" s="26" t="s">
        <v>38</v>
      </c>
      <c r="I490" s="36">
        <v>60</v>
      </c>
      <c r="J490" s="32">
        <f>IF(MB25_VOLUMETRIA[[#This Row],[Reserva]]="","",1)</f>
        <v>1</v>
      </c>
      <c r="K490" s="36" t="str">
        <f>IF(MB25_VOLUMETRIA[[#This Row],[Reserva]]="","",IFERROR(VLOOKUP(MB25_VOLUMETRIA[[#This Row],[UMB]],CHAVE[],2,FALSE),"VERIFICAR"))</f>
        <v>Unidade</v>
      </c>
      <c r="L49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0" s="32" t="str">
        <f ca="1">IFERROR(VLOOKUP(MB25_VOLUMETRIA[[#This Row],[Reserva]],RES_AB[],14,FALSE),"")</f>
        <v>RESERVAS EM ATRASO</v>
      </c>
      <c r="N490" s="32" t="str">
        <f>IF(MB25_VOLUMETRIA[[#This Row],[Cen.]]="","",IFERROR(VLOOKUP(MB25_VOLUMETRIA[[#This Row],[Cen.]],Dados_Empresas[],2,FALSE),"Verificar empresa"))</f>
        <v>NET MASSIVO</v>
      </c>
      <c r="O490" s="32" t="str">
        <f>IF(MB25_VOLUMETRIA[[#This Row],[EMPRESA]]="","",IF(OR(MB25_VOLUMETRIA[[#This Row],[EMPRESA]]="NET MASSIVO",MB25_VOLUMETRIA[[#This Row],[EMPRESA]]="NET PROJETOS"),"NET","EMPRESARIAL"))</f>
        <v>NET</v>
      </c>
    </row>
    <row r="491" spans="1:15" x14ac:dyDescent="0.25">
      <c r="A491" s="32">
        <v>4379651</v>
      </c>
      <c r="B491" s="32" t="s">
        <v>21</v>
      </c>
      <c r="C491" s="33" t="s">
        <v>21</v>
      </c>
      <c r="D491" s="35">
        <v>45446</v>
      </c>
      <c r="E491" s="32" t="s">
        <v>184</v>
      </c>
      <c r="F491" s="32">
        <v>41001590</v>
      </c>
      <c r="G491" s="32" t="s">
        <v>239</v>
      </c>
      <c r="H491" s="26" t="s">
        <v>38</v>
      </c>
      <c r="I491" s="36">
        <v>80</v>
      </c>
      <c r="J491" s="32">
        <f>IF(MB25_VOLUMETRIA[[#This Row],[Reserva]]="","",1)</f>
        <v>1</v>
      </c>
      <c r="K491" s="36" t="str">
        <f>IF(MB25_VOLUMETRIA[[#This Row],[Reserva]]="","",IFERROR(VLOOKUP(MB25_VOLUMETRIA[[#This Row],[UMB]],CHAVE[],2,FALSE),"VERIFICAR"))</f>
        <v>Unidade</v>
      </c>
      <c r="L4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1" s="32" t="str">
        <f ca="1">IFERROR(VLOOKUP(MB25_VOLUMETRIA[[#This Row],[Reserva]],RES_AB[],14,FALSE),"")</f>
        <v>RESERVAS EM ATRASO</v>
      </c>
      <c r="N491" s="32" t="str">
        <f>IF(MB25_VOLUMETRIA[[#This Row],[Cen.]]="","",IFERROR(VLOOKUP(MB25_VOLUMETRIA[[#This Row],[Cen.]],Dados_Empresas[],2,FALSE),"Verificar empresa"))</f>
        <v>NET MASSIVO</v>
      </c>
      <c r="O491" s="32" t="str">
        <f>IF(MB25_VOLUMETRIA[[#This Row],[EMPRESA]]="","",IF(OR(MB25_VOLUMETRIA[[#This Row],[EMPRESA]]="NET MASSIVO",MB25_VOLUMETRIA[[#This Row],[EMPRESA]]="NET PROJETOS"),"NET","EMPRESARIAL"))</f>
        <v>NET</v>
      </c>
    </row>
    <row r="492" spans="1:15" x14ac:dyDescent="0.25">
      <c r="A492" s="32">
        <v>4379654</v>
      </c>
      <c r="B492" s="32" t="s">
        <v>21</v>
      </c>
      <c r="C492" s="33" t="s">
        <v>21</v>
      </c>
      <c r="D492" s="35">
        <v>45446</v>
      </c>
      <c r="E492" s="32" t="s">
        <v>185</v>
      </c>
      <c r="F492" s="32">
        <v>22025349</v>
      </c>
      <c r="G492" s="32" t="s">
        <v>217</v>
      </c>
      <c r="H492" s="26" t="s">
        <v>38</v>
      </c>
      <c r="I492" s="36">
        <v>100</v>
      </c>
      <c r="J492" s="32">
        <f>IF(MB25_VOLUMETRIA[[#This Row],[Reserva]]="","",1)</f>
        <v>1</v>
      </c>
      <c r="K492" s="36" t="str">
        <f>IF(MB25_VOLUMETRIA[[#This Row],[Reserva]]="","",IFERROR(VLOOKUP(MB25_VOLUMETRIA[[#This Row],[UMB]],CHAVE[],2,FALSE),"VERIFICAR"))</f>
        <v>Unidade</v>
      </c>
      <c r="L4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2" s="32" t="str">
        <f ca="1">IFERROR(VLOOKUP(MB25_VOLUMETRIA[[#This Row],[Reserva]],RES_AB[],14,FALSE),"")</f>
        <v>RESERVAS EM ATRASO</v>
      </c>
      <c r="N492" s="32" t="str">
        <f>IF(MB25_VOLUMETRIA[[#This Row],[Cen.]]="","",IFERROR(VLOOKUP(MB25_VOLUMETRIA[[#This Row],[Cen.]],Dados_Empresas[],2,FALSE),"Verificar empresa"))</f>
        <v>NET MASSIVO</v>
      </c>
      <c r="O492" s="32" t="str">
        <f>IF(MB25_VOLUMETRIA[[#This Row],[EMPRESA]]="","",IF(OR(MB25_VOLUMETRIA[[#This Row],[EMPRESA]]="NET MASSIVO",MB25_VOLUMETRIA[[#This Row],[EMPRESA]]="NET PROJETOS"),"NET","EMPRESARIAL"))</f>
        <v>NET</v>
      </c>
    </row>
    <row r="493" spans="1:15" x14ac:dyDescent="0.25">
      <c r="A493" s="32">
        <v>4379654</v>
      </c>
      <c r="B493" s="32" t="s">
        <v>21</v>
      </c>
      <c r="C493" s="33" t="s">
        <v>21</v>
      </c>
      <c r="D493" s="35">
        <v>45446</v>
      </c>
      <c r="E493" s="32" t="s">
        <v>185</v>
      </c>
      <c r="F493" s="32">
        <v>22026544</v>
      </c>
      <c r="G493" s="32" t="s">
        <v>206</v>
      </c>
      <c r="H493" s="26" t="s">
        <v>38</v>
      </c>
      <c r="I493" s="36">
        <v>50</v>
      </c>
      <c r="J493" s="32">
        <f>IF(MB25_VOLUMETRIA[[#This Row],[Reserva]]="","",1)</f>
        <v>1</v>
      </c>
      <c r="K493" s="36" t="str">
        <f>IF(MB25_VOLUMETRIA[[#This Row],[Reserva]]="","",IFERROR(VLOOKUP(MB25_VOLUMETRIA[[#This Row],[UMB]],CHAVE[],2,FALSE),"VERIFICAR"))</f>
        <v>Unidade</v>
      </c>
      <c r="L4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3" s="32" t="str">
        <f ca="1">IFERROR(VLOOKUP(MB25_VOLUMETRIA[[#This Row],[Reserva]],RES_AB[],14,FALSE),"")</f>
        <v>RESERVAS EM ATRASO</v>
      </c>
      <c r="N493" s="32" t="str">
        <f>IF(MB25_VOLUMETRIA[[#This Row],[Cen.]]="","",IFERROR(VLOOKUP(MB25_VOLUMETRIA[[#This Row],[Cen.]],Dados_Empresas[],2,FALSE),"Verificar empresa"))</f>
        <v>NET MASSIVO</v>
      </c>
      <c r="O493" s="32" t="str">
        <f>IF(MB25_VOLUMETRIA[[#This Row],[EMPRESA]]="","",IF(OR(MB25_VOLUMETRIA[[#This Row],[EMPRESA]]="NET MASSIVO",MB25_VOLUMETRIA[[#This Row],[EMPRESA]]="NET PROJETOS"),"NET","EMPRESARIAL"))</f>
        <v>NET</v>
      </c>
    </row>
    <row r="494" spans="1:15" x14ac:dyDescent="0.25">
      <c r="A494" s="32">
        <v>4379654</v>
      </c>
      <c r="B494" s="32" t="s">
        <v>21</v>
      </c>
      <c r="C494" s="33" t="s">
        <v>21</v>
      </c>
      <c r="D494" s="35">
        <v>45446</v>
      </c>
      <c r="E494" s="32" t="s">
        <v>185</v>
      </c>
      <c r="F494" s="32">
        <v>22026772</v>
      </c>
      <c r="G494" s="32" t="s">
        <v>201</v>
      </c>
      <c r="H494" s="26" t="s">
        <v>38</v>
      </c>
      <c r="I494" s="36">
        <v>100</v>
      </c>
      <c r="J494" s="32">
        <f>IF(MB25_VOLUMETRIA[[#This Row],[Reserva]]="","",1)</f>
        <v>1</v>
      </c>
      <c r="K494" s="36" t="str">
        <f>IF(MB25_VOLUMETRIA[[#This Row],[Reserva]]="","",IFERROR(VLOOKUP(MB25_VOLUMETRIA[[#This Row],[UMB]],CHAVE[],2,FALSE),"VERIFICAR"))</f>
        <v>Unidade</v>
      </c>
      <c r="L4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4" s="32" t="str">
        <f ca="1">IFERROR(VLOOKUP(MB25_VOLUMETRIA[[#This Row],[Reserva]],RES_AB[],14,FALSE),"")</f>
        <v>RESERVAS EM ATRASO</v>
      </c>
      <c r="N494" s="32" t="str">
        <f>IF(MB25_VOLUMETRIA[[#This Row],[Cen.]]="","",IFERROR(VLOOKUP(MB25_VOLUMETRIA[[#This Row],[Cen.]],Dados_Empresas[],2,FALSE),"Verificar empresa"))</f>
        <v>NET MASSIVO</v>
      </c>
      <c r="O494" s="32" t="str">
        <f>IF(MB25_VOLUMETRIA[[#This Row],[EMPRESA]]="","",IF(OR(MB25_VOLUMETRIA[[#This Row],[EMPRESA]]="NET MASSIVO",MB25_VOLUMETRIA[[#This Row],[EMPRESA]]="NET PROJETOS"),"NET","EMPRESARIAL"))</f>
        <v>NET</v>
      </c>
    </row>
    <row r="495" spans="1:15" x14ac:dyDescent="0.25">
      <c r="A495" s="32">
        <v>4379654</v>
      </c>
      <c r="B495" s="32" t="s">
        <v>21</v>
      </c>
      <c r="C495" s="33" t="s">
        <v>21</v>
      </c>
      <c r="D495" s="35">
        <v>45446</v>
      </c>
      <c r="E495" s="32" t="s">
        <v>185</v>
      </c>
      <c r="F495" s="32">
        <v>22026795</v>
      </c>
      <c r="G495" s="32" t="s">
        <v>261</v>
      </c>
      <c r="H495" s="26" t="s">
        <v>38</v>
      </c>
      <c r="I495" s="36">
        <v>25</v>
      </c>
      <c r="J495" s="32">
        <f>IF(MB25_VOLUMETRIA[[#This Row],[Reserva]]="","",1)</f>
        <v>1</v>
      </c>
      <c r="K495" s="36" t="str">
        <f>IF(MB25_VOLUMETRIA[[#This Row],[Reserva]]="","",IFERROR(VLOOKUP(MB25_VOLUMETRIA[[#This Row],[UMB]],CHAVE[],2,FALSE),"VERIFICAR"))</f>
        <v>Unidade</v>
      </c>
      <c r="L4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5" s="32" t="str">
        <f ca="1">IFERROR(VLOOKUP(MB25_VOLUMETRIA[[#This Row],[Reserva]],RES_AB[],14,FALSE),"")</f>
        <v>RESERVAS EM ATRASO</v>
      </c>
      <c r="N495" s="32" t="str">
        <f>IF(MB25_VOLUMETRIA[[#This Row],[Cen.]]="","",IFERROR(VLOOKUP(MB25_VOLUMETRIA[[#This Row],[Cen.]],Dados_Empresas[],2,FALSE),"Verificar empresa"))</f>
        <v>NET MASSIVO</v>
      </c>
      <c r="O495" s="32" t="str">
        <f>IF(MB25_VOLUMETRIA[[#This Row],[EMPRESA]]="","",IF(OR(MB25_VOLUMETRIA[[#This Row],[EMPRESA]]="NET MASSIVO",MB25_VOLUMETRIA[[#This Row],[EMPRESA]]="NET PROJETOS"),"NET","EMPRESARIAL"))</f>
        <v>NET</v>
      </c>
    </row>
    <row r="496" spans="1:15" x14ac:dyDescent="0.25">
      <c r="A496" s="32">
        <v>4379654</v>
      </c>
      <c r="B496" s="32" t="s">
        <v>21</v>
      </c>
      <c r="C496" s="33" t="s">
        <v>21</v>
      </c>
      <c r="D496" s="35">
        <v>45446</v>
      </c>
      <c r="E496" s="32" t="s">
        <v>185</v>
      </c>
      <c r="F496" s="32">
        <v>22026809</v>
      </c>
      <c r="G496" s="32" t="s">
        <v>231</v>
      </c>
      <c r="H496" s="26" t="s">
        <v>38</v>
      </c>
      <c r="I496" s="36">
        <v>50</v>
      </c>
      <c r="J496" s="32">
        <f>IF(MB25_VOLUMETRIA[[#This Row],[Reserva]]="","",1)</f>
        <v>1</v>
      </c>
      <c r="K496" s="36" t="str">
        <f>IF(MB25_VOLUMETRIA[[#This Row],[Reserva]]="","",IFERROR(VLOOKUP(MB25_VOLUMETRIA[[#This Row],[UMB]],CHAVE[],2,FALSE),"VERIFICAR"))</f>
        <v>Unidade</v>
      </c>
      <c r="L4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6" s="32" t="str">
        <f ca="1">IFERROR(VLOOKUP(MB25_VOLUMETRIA[[#This Row],[Reserva]],RES_AB[],14,FALSE),"")</f>
        <v>RESERVAS EM ATRASO</v>
      </c>
      <c r="N496" s="32" t="str">
        <f>IF(MB25_VOLUMETRIA[[#This Row],[Cen.]]="","",IFERROR(VLOOKUP(MB25_VOLUMETRIA[[#This Row],[Cen.]],Dados_Empresas[],2,FALSE),"Verificar empresa"))</f>
        <v>NET MASSIVO</v>
      </c>
      <c r="O496" s="32" t="str">
        <f>IF(MB25_VOLUMETRIA[[#This Row],[EMPRESA]]="","",IF(OR(MB25_VOLUMETRIA[[#This Row],[EMPRESA]]="NET MASSIVO",MB25_VOLUMETRIA[[#This Row],[EMPRESA]]="NET PROJETOS"),"NET","EMPRESARIAL"))</f>
        <v>NET</v>
      </c>
    </row>
    <row r="497" spans="1:15" x14ac:dyDescent="0.25">
      <c r="A497" s="32">
        <v>4379654</v>
      </c>
      <c r="B497" s="32" t="s">
        <v>21</v>
      </c>
      <c r="C497" s="33" t="s">
        <v>21</v>
      </c>
      <c r="D497" s="35">
        <v>45446</v>
      </c>
      <c r="E497" s="32" t="s">
        <v>185</v>
      </c>
      <c r="F497" s="32">
        <v>22056360</v>
      </c>
      <c r="G497" s="32" t="s">
        <v>285</v>
      </c>
      <c r="H497" s="26" t="s">
        <v>38</v>
      </c>
      <c r="I497" s="36">
        <v>10</v>
      </c>
      <c r="J497" s="32">
        <f>IF(MB25_VOLUMETRIA[[#This Row],[Reserva]]="","",1)</f>
        <v>1</v>
      </c>
      <c r="K497" s="36" t="str">
        <f>IF(MB25_VOLUMETRIA[[#This Row],[Reserva]]="","",IFERROR(VLOOKUP(MB25_VOLUMETRIA[[#This Row],[UMB]],CHAVE[],2,FALSE),"VERIFICAR"))</f>
        <v>Unidade</v>
      </c>
      <c r="L4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7" s="32" t="str">
        <f ca="1">IFERROR(VLOOKUP(MB25_VOLUMETRIA[[#This Row],[Reserva]],RES_AB[],14,FALSE),"")</f>
        <v>RESERVAS EM ATRASO</v>
      </c>
      <c r="N497" s="32" t="str">
        <f>IF(MB25_VOLUMETRIA[[#This Row],[Cen.]]="","",IFERROR(VLOOKUP(MB25_VOLUMETRIA[[#This Row],[Cen.]],Dados_Empresas[],2,FALSE),"Verificar empresa"))</f>
        <v>NET MASSIVO</v>
      </c>
      <c r="O497" s="32" t="str">
        <f>IF(MB25_VOLUMETRIA[[#This Row],[EMPRESA]]="","",IF(OR(MB25_VOLUMETRIA[[#This Row],[EMPRESA]]="NET MASSIVO",MB25_VOLUMETRIA[[#This Row],[EMPRESA]]="NET PROJETOS"),"NET","EMPRESARIAL"))</f>
        <v>NET</v>
      </c>
    </row>
    <row r="498" spans="1:15" x14ac:dyDescent="0.25">
      <c r="A498" s="32">
        <v>4379654</v>
      </c>
      <c r="B498" s="32" t="s">
        <v>21</v>
      </c>
      <c r="C498" s="33" t="s">
        <v>21</v>
      </c>
      <c r="D498" s="35">
        <v>45446</v>
      </c>
      <c r="E498" s="32" t="s">
        <v>185</v>
      </c>
      <c r="F498" s="32">
        <v>22057659</v>
      </c>
      <c r="G498" s="32" t="s">
        <v>224</v>
      </c>
      <c r="H498" s="26" t="s">
        <v>38</v>
      </c>
      <c r="I498" s="36">
        <v>90</v>
      </c>
      <c r="J498" s="32">
        <f>IF(MB25_VOLUMETRIA[[#This Row],[Reserva]]="","",1)</f>
        <v>1</v>
      </c>
      <c r="K498" s="36" t="str">
        <f>IF(MB25_VOLUMETRIA[[#This Row],[Reserva]]="","",IFERROR(VLOOKUP(MB25_VOLUMETRIA[[#This Row],[UMB]],CHAVE[],2,FALSE),"VERIFICAR"))</f>
        <v>Unidade</v>
      </c>
      <c r="L4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8" s="32" t="str">
        <f ca="1">IFERROR(VLOOKUP(MB25_VOLUMETRIA[[#This Row],[Reserva]],RES_AB[],14,FALSE),"")</f>
        <v>RESERVAS EM ATRASO</v>
      </c>
      <c r="N498" s="32" t="str">
        <f>IF(MB25_VOLUMETRIA[[#This Row],[Cen.]]="","",IFERROR(VLOOKUP(MB25_VOLUMETRIA[[#This Row],[Cen.]],Dados_Empresas[],2,FALSE),"Verificar empresa"))</f>
        <v>NET MASSIVO</v>
      </c>
      <c r="O498" s="32" t="str">
        <f>IF(MB25_VOLUMETRIA[[#This Row],[EMPRESA]]="","",IF(OR(MB25_VOLUMETRIA[[#This Row],[EMPRESA]]="NET MASSIVO",MB25_VOLUMETRIA[[#This Row],[EMPRESA]]="NET PROJETOS"),"NET","EMPRESARIAL"))</f>
        <v>NET</v>
      </c>
    </row>
    <row r="499" spans="1:15" x14ac:dyDescent="0.25">
      <c r="A499" s="32">
        <v>4379654</v>
      </c>
      <c r="B499" s="32" t="s">
        <v>21</v>
      </c>
      <c r="C499" s="33" t="s">
        <v>19</v>
      </c>
      <c r="D499" s="35">
        <v>45446</v>
      </c>
      <c r="E499" s="32" t="s">
        <v>185</v>
      </c>
      <c r="F499" s="32">
        <v>22057705</v>
      </c>
      <c r="G499" s="32" t="s">
        <v>241</v>
      </c>
      <c r="H499" s="26" t="s">
        <v>38</v>
      </c>
      <c r="I499" s="36">
        <v>90</v>
      </c>
      <c r="J499" s="32">
        <f>IF(MB25_VOLUMETRIA[[#This Row],[Reserva]]="","",1)</f>
        <v>1</v>
      </c>
      <c r="K499" s="36" t="str">
        <f>IF(MB25_VOLUMETRIA[[#This Row],[Reserva]]="","",IFERROR(VLOOKUP(MB25_VOLUMETRIA[[#This Row],[UMB]],CHAVE[],2,FALSE),"VERIFICAR"))</f>
        <v>Unidade</v>
      </c>
      <c r="L4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499" s="32" t="str">
        <f ca="1">IFERROR(VLOOKUP(MB25_VOLUMETRIA[[#This Row],[Reserva]],RES_AB[],14,FALSE),"")</f>
        <v>RESERVAS EM ATRASO</v>
      </c>
      <c r="N499" s="32" t="str">
        <f>IF(MB25_VOLUMETRIA[[#This Row],[Cen.]]="","",IFERROR(VLOOKUP(MB25_VOLUMETRIA[[#This Row],[Cen.]],Dados_Empresas[],2,FALSE),"Verificar empresa"))</f>
        <v>NET MASSIVO</v>
      </c>
      <c r="O499" s="32" t="str">
        <f>IF(MB25_VOLUMETRIA[[#This Row],[EMPRESA]]="","",IF(OR(MB25_VOLUMETRIA[[#This Row],[EMPRESA]]="NET MASSIVO",MB25_VOLUMETRIA[[#This Row],[EMPRESA]]="NET PROJETOS"),"NET","EMPRESARIAL"))</f>
        <v>NET</v>
      </c>
    </row>
    <row r="500" spans="1:15" x14ac:dyDescent="0.25">
      <c r="A500" s="32">
        <v>4379654</v>
      </c>
      <c r="B500" s="32" t="s">
        <v>21</v>
      </c>
      <c r="C500" s="33" t="s">
        <v>21</v>
      </c>
      <c r="D500" s="35">
        <v>45446</v>
      </c>
      <c r="E500" s="32" t="s">
        <v>185</v>
      </c>
      <c r="F500" s="32">
        <v>22060738</v>
      </c>
      <c r="G500" s="32" t="s">
        <v>199</v>
      </c>
      <c r="H500" s="26" t="s">
        <v>38</v>
      </c>
      <c r="I500" s="36">
        <v>600</v>
      </c>
      <c r="J500" s="32">
        <f>IF(MB25_VOLUMETRIA[[#This Row],[Reserva]]="","",1)</f>
        <v>1</v>
      </c>
      <c r="K500" s="36" t="str">
        <f>IF(MB25_VOLUMETRIA[[#This Row],[Reserva]]="","",IFERROR(VLOOKUP(MB25_VOLUMETRIA[[#This Row],[UMB]],CHAVE[],2,FALSE),"VERIFICAR"))</f>
        <v>Unidade</v>
      </c>
      <c r="L5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00" s="32" t="str">
        <f ca="1">IFERROR(VLOOKUP(MB25_VOLUMETRIA[[#This Row],[Reserva]],RES_AB[],14,FALSE),"")</f>
        <v>RESERVAS EM ATRASO</v>
      </c>
      <c r="N500" s="32" t="str">
        <f>IF(MB25_VOLUMETRIA[[#This Row],[Cen.]]="","",IFERROR(VLOOKUP(MB25_VOLUMETRIA[[#This Row],[Cen.]],Dados_Empresas[],2,FALSE),"Verificar empresa"))</f>
        <v>NET MASSIVO</v>
      </c>
      <c r="O500" s="32" t="str">
        <f>IF(MB25_VOLUMETRIA[[#This Row],[EMPRESA]]="","",IF(OR(MB25_VOLUMETRIA[[#This Row],[EMPRESA]]="NET MASSIVO",MB25_VOLUMETRIA[[#This Row],[EMPRESA]]="NET PROJETOS"),"NET","EMPRESARIAL"))</f>
        <v>NET</v>
      </c>
    </row>
    <row r="501" spans="1:15" x14ac:dyDescent="0.25">
      <c r="A501" s="32">
        <v>4379654</v>
      </c>
      <c r="B501" s="32" t="s">
        <v>21</v>
      </c>
      <c r="C501" s="33" t="s">
        <v>21</v>
      </c>
      <c r="D501" s="35">
        <v>45446</v>
      </c>
      <c r="E501" s="32" t="s">
        <v>185</v>
      </c>
      <c r="F501" s="32">
        <v>22061736</v>
      </c>
      <c r="G501" s="32" t="s">
        <v>216</v>
      </c>
      <c r="H501" s="26" t="s">
        <v>38</v>
      </c>
      <c r="I501" s="36">
        <v>1500</v>
      </c>
      <c r="J501" s="32">
        <f>IF(MB25_VOLUMETRIA[[#This Row],[Reserva]]="","",1)</f>
        <v>1</v>
      </c>
      <c r="K501" s="36" t="str">
        <f>IF(MB25_VOLUMETRIA[[#This Row],[Reserva]]="","",IFERROR(VLOOKUP(MB25_VOLUMETRIA[[#This Row],[UMB]],CHAVE[],2,FALSE),"VERIFICAR"))</f>
        <v>Unidade</v>
      </c>
      <c r="L5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01" s="32" t="str">
        <f ca="1">IFERROR(VLOOKUP(MB25_VOLUMETRIA[[#This Row],[Reserva]],RES_AB[],14,FALSE),"")</f>
        <v>RESERVAS EM ATRASO</v>
      </c>
      <c r="N501" s="32" t="str">
        <f>IF(MB25_VOLUMETRIA[[#This Row],[Cen.]]="","",IFERROR(VLOOKUP(MB25_VOLUMETRIA[[#This Row],[Cen.]],Dados_Empresas[],2,FALSE),"Verificar empresa"))</f>
        <v>NET MASSIVO</v>
      </c>
      <c r="O501" s="32" t="str">
        <f>IF(MB25_VOLUMETRIA[[#This Row],[EMPRESA]]="","",IF(OR(MB25_VOLUMETRIA[[#This Row],[EMPRESA]]="NET MASSIVO",MB25_VOLUMETRIA[[#This Row],[EMPRESA]]="NET PROJETOS"),"NET","EMPRESARIAL"))</f>
        <v>NET</v>
      </c>
    </row>
    <row r="502" spans="1:15" x14ac:dyDescent="0.25">
      <c r="A502" s="32">
        <v>4379654</v>
      </c>
      <c r="B502" s="32" t="s">
        <v>21</v>
      </c>
      <c r="C502" s="33" t="s">
        <v>21</v>
      </c>
      <c r="D502" s="35">
        <v>45446</v>
      </c>
      <c r="E502" s="32" t="s">
        <v>185</v>
      </c>
      <c r="F502" s="32">
        <v>22061811</v>
      </c>
      <c r="G502" s="32" t="s">
        <v>226</v>
      </c>
      <c r="H502" s="26" t="s">
        <v>38</v>
      </c>
      <c r="I502" s="36">
        <v>50</v>
      </c>
      <c r="J502" s="32">
        <f>IF(MB25_VOLUMETRIA[[#This Row],[Reserva]]="","",1)</f>
        <v>1</v>
      </c>
      <c r="K502" s="36" t="str">
        <f>IF(MB25_VOLUMETRIA[[#This Row],[Reserva]]="","",IFERROR(VLOOKUP(MB25_VOLUMETRIA[[#This Row],[UMB]],CHAVE[],2,FALSE),"VERIFICAR"))</f>
        <v>Unidade</v>
      </c>
      <c r="L5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02" s="32" t="str">
        <f ca="1">IFERROR(VLOOKUP(MB25_VOLUMETRIA[[#This Row],[Reserva]],RES_AB[],14,FALSE),"")</f>
        <v>RESERVAS EM ATRASO</v>
      </c>
      <c r="N502" s="32" t="str">
        <f>IF(MB25_VOLUMETRIA[[#This Row],[Cen.]]="","",IFERROR(VLOOKUP(MB25_VOLUMETRIA[[#This Row],[Cen.]],Dados_Empresas[],2,FALSE),"Verificar empresa"))</f>
        <v>NET MASSIVO</v>
      </c>
      <c r="O502" s="32" t="str">
        <f>IF(MB25_VOLUMETRIA[[#This Row],[EMPRESA]]="","",IF(OR(MB25_VOLUMETRIA[[#This Row],[EMPRESA]]="NET MASSIVO",MB25_VOLUMETRIA[[#This Row],[EMPRESA]]="NET PROJETOS"),"NET","EMPRESARIAL"))</f>
        <v>NET</v>
      </c>
    </row>
    <row r="503" spans="1:15" x14ac:dyDescent="0.25">
      <c r="A503" s="32">
        <v>4379654</v>
      </c>
      <c r="B503" s="32" t="s">
        <v>21</v>
      </c>
      <c r="C503" s="33" t="s">
        <v>21</v>
      </c>
      <c r="D503" s="35">
        <v>45446</v>
      </c>
      <c r="E503" s="32" t="s">
        <v>185</v>
      </c>
      <c r="F503" s="32">
        <v>22065513</v>
      </c>
      <c r="G503" s="32" t="s">
        <v>227</v>
      </c>
      <c r="H503" s="26" t="s">
        <v>38</v>
      </c>
      <c r="I503" s="36">
        <v>100</v>
      </c>
      <c r="J503" s="32">
        <f>IF(MB25_VOLUMETRIA[[#This Row],[Reserva]]="","",1)</f>
        <v>1</v>
      </c>
      <c r="K503" s="36" t="str">
        <f>IF(MB25_VOLUMETRIA[[#This Row],[Reserva]]="","",IFERROR(VLOOKUP(MB25_VOLUMETRIA[[#This Row],[UMB]],CHAVE[],2,FALSE),"VERIFICAR"))</f>
        <v>Unidade</v>
      </c>
      <c r="L5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03" s="32" t="str">
        <f ca="1">IFERROR(VLOOKUP(MB25_VOLUMETRIA[[#This Row],[Reserva]],RES_AB[],14,FALSE),"")</f>
        <v>RESERVAS EM ATRASO</v>
      </c>
      <c r="N503" s="32" t="str">
        <f>IF(MB25_VOLUMETRIA[[#This Row],[Cen.]]="","",IFERROR(VLOOKUP(MB25_VOLUMETRIA[[#This Row],[Cen.]],Dados_Empresas[],2,FALSE),"Verificar empresa"))</f>
        <v>NET MASSIVO</v>
      </c>
      <c r="O503" s="32" t="str">
        <f>IF(MB25_VOLUMETRIA[[#This Row],[EMPRESA]]="","",IF(OR(MB25_VOLUMETRIA[[#This Row],[EMPRESA]]="NET MASSIVO",MB25_VOLUMETRIA[[#This Row],[EMPRESA]]="NET PROJETOS"),"NET","EMPRESARIAL"))</f>
        <v>NET</v>
      </c>
    </row>
    <row r="504" spans="1:15" x14ac:dyDescent="0.25">
      <c r="A504" s="32">
        <v>4379656</v>
      </c>
      <c r="B504" s="32" t="s">
        <v>21</v>
      </c>
      <c r="C504" s="33" t="s">
        <v>19</v>
      </c>
      <c r="D504" s="35">
        <v>45446</v>
      </c>
      <c r="E504" s="32" t="s">
        <v>185</v>
      </c>
      <c r="F504" s="32">
        <v>22026249</v>
      </c>
      <c r="G504" s="32" t="s">
        <v>186</v>
      </c>
      <c r="H504" s="26" t="s">
        <v>38</v>
      </c>
      <c r="I504" s="36">
        <v>20</v>
      </c>
      <c r="J504" s="32">
        <f>IF(MB25_VOLUMETRIA[[#This Row],[Reserva]]="","",1)</f>
        <v>1</v>
      </c>
      <c r="K504" s="36" t="str">
        <f>IF(MB25_VOLUMETRIA[[#This Row],[Reserva]]="","",IFERROR(VLOOKUP(MB25_VOLUMETRIA[[#This Row],[UMB]],CHAVE[],2,FALSE),"VERIFICAR"))</f>
        <v>Unidade</v>
      </c>
      <c r="L504" s="32" t="str">
        <f>IF(MB25_VOLUMETRIA[[#This Row],[Reserva]]="","",IFERROR(VLOOKUP(MB25_VOLUMETRIA[[#This Row],[Reserva]],Tabela3[[Reserva]:[Condição para Faturamento]],20,FALSE),"IMPORTADO COM SUCESSO"))</f>
        <v>EM CONFERENCIA</v>
      </c>
      <c r="M504" s="32" t="str">
        <f ca="1">IFERROR(VLOOKUP(MB25_VOLUMETRIA[[#This Row],[Reserva]],RES_AB[],14,FALSE),"")</f>
        <v>RESERVAS EM ATRASO</v>
      </c>
      <c r="N504" s="32" t="str">
        <f>IF(MB25_VOLUMETRIA[[#This Row],[Cen.]]="","",IFERROR(VLOOKUP(MB25_VOLUMETRIA[[#This Row],[Cen.]],Dados_Empresas[],2,FALSE),"Verificar empresa"))</f>
        <v>NET MASSIVO</v>
      </c>
      <c r="O504" s="32" t="str">
        <f>IF(MB25_VOLUMETRIA[[#This Row],[EMPRESA]]="","",IF(OR(MB25_VOLUMETRIA[[#This Row],[EMPRESA]]="NET MASSIVO",MB25_VOLUMETRIA[[#This Row],[EMPRESA]]="NET PROJETOS"),"NET","EMPRESARIAL"))</f>
        <v>NET</v>
      </c>
    </row>
    <row r="505" spans="1:15" x14ac:dyDescent="0.25">
      <c r="A505" s="32">
        <v>4379656</v>
      </c>
      <c r="B505" s="32" t="s">
        <v>21</v>
      </c>
      <c r="C505" s="33" t="s">
        <v>21</v>
      </c>
      <c r="D505" s="35">
        <v>45446</v>
      </c>
      <c r="E505" s="32" t="s">
        <v>185</v>
      </c>
      <c r="F505" s="32">
        <v>22056360</v>
      </c>
      <c r="G505" s="32" t="s">
        <v>285</v>
      </c>
      <c r="H505" s="26" t="s">
        <v>38</v>
      </c>
      <c r="I505" s="36">
        <v>10</v>
      </c>
      <c r="J505" s="32">
        <f>IF(MB25_VOLUMETRIA[[#This Row],[Reserva]]="","",1)</f>
        <v>1</v>
      </c>
      <c r="K505" s="36" t="str">
        <f>IF(MB25_VOLUMETRIA[[#This Row],[Reserva]]="","",IFERROR(VLOOKUP(MB25_VOLUMETRIA[[#This Row],[UMB]],CHAVE[],2,FALSE),"VERIFICAR"))</f>
        <v>Unidade</v>
      </c>
      <c r="L505" s="32" t="str">
        <f>IF(MB25_VOLUMETRIA[[#This Row],[Reserva]]="","",IFERROR(VLOOKUP(MB25_VOLUMETRIA[[#This Row],[Reserva]],Tabela3[[Reserva]:[Condição para Faturamento]],20,FALSE),"IMPORTADO COM SUCESSO"))</f>
        <v>EM CONFERENCIA</v>
      </c>
      <c r="M505" s="32" t="str">
        <f ca="1">IFERROR(VLOOKUP(MB25_VOLUMETRIA[[#This Row],[Reserva]],RES_AB[],14,FALSE),"")</f>
        <v>RESERVAS EM ATRASO</v>
      </c>
      <c r="N505" s="32" t="str">
        <f>IF(MB25_VOLUMETRIA[[#This Row],[Cen.]]="","",IFERROR(VLOOKUP(MB25_VOLUMETRIA[[#This Row],[Cen.]],Dados_Empresas[],2,FALSE),"Verificar empresa"))</f>
        <v>NET MASSIVO</v>
      </c>
      <c r="O505" s="32" t="str">
        <f>IF(MB25_VOLUMETRIA[[#This Row],[EMPRESA]]="","",IF(OR(MB25_VOLUMETRIA[[#This Row],[EMPRESA]]="NET MASSIVO",MB25_VOLUMETRIA[[#This Row],[EMPRESA]]="NET PROJETOS"),"NET","EMPRESARIAL"))</f>
        <v>NET</v>
      </c>
    </row>
    <row r="506" spans="1:15" x14ac:dyDescent="0.25">
      <c r="A506" s="32">
        <v>4379656</v>
      </c>
      <c r="B506" s="32" t="s">
        <v>21</v>
      </c>
      <c r="C506" s="33" t="s">
        <v>19</v>
      </c>
      <c r="D506" s="35">
        <v>45446</v>
      </c>
      <c r="E506" s="32" t="s">
        <v>185</v>
      </c>
      <c r="F506" s="32">
        <v>22057705</v>
      </c>
      <c r="G506" s="32" t="s">
        <v>241</v>
      </c>
      <c r="H506" s="26" t="s">
        <v>38</v>
      </c>
      <c r="I506" s="36">
        <v>70</v>
      </c>
      <c r="J506" s="32">
        <f>IF(MB25_VOLUMETRIA[[#This Row],[Reserva]]="","",1)</f>
        <v>1</v>
      </c>
      <c r="K506" s="36" t="str">
        <f>IF(MB25_VOLUMETRIA[[#This Row],[Reserva]]="","",IFERROR(VLOOKUP(MB25_VOLUMETRIA[[#This Row],[UMB]],CHAVE[],2,FALSE),"VERIFICAR"))</f>
        <v>Unidade</v>
      </c>
      <c r="L506" s="32" t="str">
        <f>IF(MB25_VOLUMETRIA[[#This Row],[Reserva]]="","",IFERROR(VLOOKUP(MB25_VOLUMETRIA[[#This Row],[Reserva]],Tabela3[[Reserva]:[Condição para Faturamento]],20,FALSE),"IMPORTADO COM SUCESSO"))</f>
        <v>EM CONFERENCIA</v>
      </c>
      <c r="M506" s="32" t="str">
        <f ca="1">IFERROR(VLOOKUP(MB25_VOLUMETRIA[[#This Row],[Reserva]],RES_AB[],14,FALSE),"")</f>
        <v>RESERVAS EM ATRASO</v>
      </c>
      <c r="N506" s="32" t="str">
        <f>IF(MB25_VOLUMETRIA[[#This Row],[Cen.]]="","",IFERROR(VLOOKUP(MB25_VOLUMETRIA[[#This Row],[Cen.]],Dados_Empresas[],2,FALSE),"Verificar empresa"))</f>
        <v>NET MASSIVO</v>
      </c>
      <c r="O506" s="32" t="str">
        <f>IF(MB25_VOLUMETRIA[[#This Row],[EMPRESA]]="","",IF(OR(MB25_VOLUMETRIA[[#This Row],[EMPRESA]]="NET MASSIVO",MB25_VOLUMETRIA[[#This Row],[EMPRESA]]="NET PROJETOS"),"NET","EMPRESARIAL"))</f>
        <v>NET</v>
      </c>
    </row>
    <row r="507" spans="1:15" x14ac:dyDescent="0.25">
      <c r="A507" s="32">
        <v>4379656</v>
      </c>
      <c r="B507" s="32" t="s">
        <v>21</v>
      </c>
      <c r="C507" s="33" t="s">
        <v>19</v>
      </c>
      <c r="D507" s="35">
        <v>45446</v>
      </c>
      <c r="E507" s="32" t="s">
        <v>185</v>
      </c>
      <c r="F507" s="32">
        <v>22058239</v>
      </c>
      <c r="G507" s="32" t="s">
        <v>317</v>
      </c>
      <c r="H507" s="26" t="s">
        <v>38</v>
      </c>
      <c r="I507" s="36">
        <v>20</v>
      </c>
      <c r="J507" s="32">
        <f>IF(MB25_VOLUMETRIA[[#This Row],[Reserva]]="","",1)</f>
        <v>1</v>
      </c>
      <c r="K507" s="36" t="str">
        <f>IF(MB25_VOLUMETRIA[[#This Row],[Reserva]]="","",IFERROR(VLOOKUP(MB25_VOLUMETRIA[[#This Row],[UMB]],CHAVE[],2,FALSE),"VERIFICAR"))</f>
        <v>Unidade</v>
      </c>
      <c r="L507" s="32" t="str">
        <f>IF(MB25_VOLUMETRIA[[#This Row],[Reserva]]="","",IFERROR(VLOOKUP(MB25_VOLUMETRIA[[#This Row],[Reserva]],Tabela3[[Reserva]:[Condição para Faturamento]],20,FALSE),"IMPORTADO COM SUCESSO"))</f>
        <v>EM CONFERENCIA</v>
      </c>
      <c r="M507" s="32" t="str">
        <f ca="1">IFERROR(VLOOKUP(MB25_VOLUMETRIA[[#This Row],[Reserva]],RES_AB[],14,FALSE),"")</f>
        <v>RESERVAS EM ATRASO</v>
      </c>
      <c r="N507" s="32" t="str">
        <f>IF(MB25_VOLUMETRIA[[#This Row],[Cen.]]="","",IFERROR(VLOOKUP(MB25_VOLUMETRIA[[#This Row],[Cen.]],Dados_Empresas[],2,FALSE),"Verificar empresa"))</f>
        <v>NET MASSIVO</v>
      </c>
      <c r="O507" s="32" t="str">
        <f>IF(MB25_VOLUMETRIA[[#This Row],[EMPRESA]]="","",IF(OR(MB25_VOLUMETRIA[[#This Row],[EMPRESA]]="NET MASSIVO",MB25_VOLUMETRIA[[#This Row],[EMPRESA]]="NET PROJETOS"),"NET","EMPRESARIAL"))</f>
        <v>NET</v>
      </c>
    </row>
    <row r="508" spans="1:15" x14ac:dyDescent="0.25">
      <c r="A508" s="32">
        <v>4379656</v>
      </c>
      <c r="B508" s="32" t="s">
        <v>21</v>
      </c>
      <c r="C508" s="33" t="s">
        <v>21</v>
      </c>
      <c r="D508" s="35">
        <v>45446</v>
      </c>
      <c r="E508" s="32" t="s">
        <v>185</v>
      </c>
      <c r="F508" s="32">
        <v>22058258</v>
      </c>
      <c r="G508" s="32" t="s">
        <v>187</v>
      </c>
      <c r="H508" s="26" t="s">
        <v>38</v>
      </c>
      <c r="I508" s="36">
        <v>40</v>
      </c>
      <c r="J508" s="32">
        <f>IF(MB25_VOLUMETRIA[[#This Row],[Reserva]]="","",1)</f>
        <v>1</v>
      </c>
      <c r="K508" s="36" t="str">
        <f>IF(MB25_VOLUMETRIA[[#This Row],[Reserva]]="","",IFERROR(VLOOKUP(MB25_VOLUMETRIA[[#This Row],[UMB]],CHAVE[],2,FALSE),"VERIFICAR"))</f>
        <v>Unidade</v>
      </c>
      <c r="L508" s="32" t="str">
        <f>IF(MB25_VOLUMETRIA[[#This Row],[Reserva]]="","",IFERROR(VLOOKUP(MB25_VOLUMETRIA[[#This Row],[Reserva]],Tabela3[[Reserva]:[Condição para Faturamento]],20,FALSE),"IMPORTADO COM SUCESSO"))</f>
        <v>EM CONFERENCIA</v>
      </c>
      <c r="M508" s="32" t="str">
        <f ca="1">IFERROR(VLOOKUP(MB25_VOLUMETRIA[[#This Row],[Reserva]],RES_AB[],14,FALSE),"")</f>
        <v>RESERVAS EM ATRASO</v>
      </c>
      <c r="N508" s="32" t="str">
        <f>IF(MB25_VOLUMETRIA[[#This Row],[Cen.]]="","",IFERROR(VLOOKUP(MB25_VOLUMETRIA[[#This Row],[Cen.]],Dados_Empresas[],2,FALSE),"Verificar empresa"))</f>
        <v>NET MASSIVO</v>
      </c>
      <c r="O508" s="32" t="str">
        <f>IF(MB25_VOLUMETRIA[[#This Row],[EMPRESA]]="","",IF(OR(MB25_VOLUMETRIA[[#This Row],[EMPRESA]]="NET MASSIVO",MB25_VOLUMETRIA[[#This Row],[EMPRESA]]="NET PROJETOS"),"NET","EMPRESARIAL"))</f>
        <v>NET</v>
      </c>
    </row>
    <row r="509" spans="1:15" x14ac:dyDescent="0.25">
      <c r="A509" s="32">
        <v>4379660</v>
      </c>
      <c r="B509" s="32" t="s">
        <v>21</v>
      </c>
      <c r="C509" s="33" t="s">
        <v>21</v>
      </c>
      <c r="D509" s="35">
        <v>45446</v>
      </c>
      <c r="E509" s="32" t="s">
        <v>185</v>
      </c>
      <c r="F509" s="32">
        <v>22025072</v>
      </c>
      <c r="G509" s="32" t="s">
        <v>204</v>
      </c>
      <c r="H509" s="26" t="s">
        <v>38</v>
      </c>
      <c r="I509" s="36">
        <v>16</v>
      </c>
      <c r="J509" s="32">
        <f>IF(MB25_VOLUMETRIA[[#This Row],[Reserva]]="","",1)</f>
        <v>1</v>
      </c>
      <c r="K509" s="36" t="str">
        <f>IF(MB25_VOLUMETRIA[[#This Row],[Reserva]]="","",IFERROR(VLOOKUP(MB25_VOLUMETRIA[[#This Row],[UMB]],CHAVE[],2,FALSE),"VERIFICAR"))</f>
        <v>Unidade</v>
      </c>
      <c r="L509" s="32" t="str">
        <f>IF(MB25_VOLUMETRIA[[#This Row],[Reserva]]="","",IFERROR(VLOOKUP(MB25_VOLUMETRIA[[#This Row],[Reserva]],Tabela3[[Reserva]:[Condição para Faturamento]],20,FALSE),"IMPORTADO COM SUCESSO"))</f>
        <v>EM CONFERENCIA</v>
      </c>
      <c r="M509" s="32" t="str">
        <f ca="1">IFERROR(VLOOKUP(MB25_VOLUMETRIA[[#This Row],[Reserva]],RES_AB[],14,FALSE),"")</f>
        <v>RESERVAS EM ATRASO</v>
      </c>
      <c r="N509" s="32" t="str">
        <f>IF(MB25_VOLUMETRIA[[#This Row],[Cen.]]="","",IFERROR(VLOOKUP(MB25_VOLUMETRIA[[#This Row],[Cen.]],Dados_Empresas[],2,FALSE),"Verificar empresa"))</f>
        <v>NET MASSIVO</v>
      </c>
      <c r="O509" s="32" t="str">
        <f>IF(MB25_VOLUMETRIA[[#This Row],[EMPRESA]]="","",IF(OR(MB25_VOLUMETRIA[[#This Row],[EMPRESA]]="NET MASSIVO",MB25_VOLUMETRIA[[#This Row],[EMPRESA]]="NET PROJETOS"),"NET","EMPRESARIAL"))</f>
        <v>NET</v>
      </c>
    </row>
    <row r="510" spans="1:15" x14ac:dyDescent="0.25">
      <c r="A510" s="32">
        <v>4379660</v>
      </c>
      <c r="B510" s="32" t="s">
        <v>21</v>
      </c>
      <c r="C510" s="33" t="s">
        <v>19</v>
      </c>
      <c r="D510" s="35">
        <v>45446</v>
      </c>
      <c r="E510" s="32" t="s">
        <v>185</v>
      </c>
      <c r="F510" s="32">
        <v>22025242</v>
      </c>
      <c r="G510" s="32" t="s">
        <v>329</v>
      </c>
      <c r="H510" s="26" t="s">
        <v>38</v>
      </c>
      <c r="I510" s="36">
        <v>100</v>
      </c>
      <c r="J510" s="32">
        <f>IF(MB25_VOLUMETRIA[[#This Row],[Reserva]]="","",1)</f>
        <v>1</v>
      </c>
      <c r="K510" s="36" t="str">
        <f>IF(MB25_VOLUMETRIA[[#This Row],[Reserva]]="","",IFERROR(VLOOKUP(MB25_VOLUMETRIA[[#This Row],[UMB]],CHAVE[],2,FALSE),"VERIFICAR"))</f>
        <v>Unidade</v>
      </c>
      <c r="L510" s="32" t="str">
        <f>IF(MB25_VOLUMETRIA[[#This Row],[Reserva]]="","",IFERROR(VLOOKUP(MB25_VOLUMETRIA[[#This Row],[Reserva]],Tabela3[[Reserva]:[Condição para Faturamento]],20,FALSE),"IMPORTADO COM SUCESSO"))</f>
        <v>EM CONFERENCIA</v>
      </c>
      <c r="M510" s="32" t="str">
        <f ca="1">IFERROR(VLOOKUP(MB25_VOLUMETRIA[[#This Row],[Reserva]],RES_AB[],14,FALSE),"")</f>
        <v>RESERVAS EM ATRASO</v>
      </c>
      <c r="N510" s="32" t="str">
        <f>IF(MB25_VOLUMETRIA[[#This Row],[Cen.]]="","",IFERROR(VLOOKUP(MB25_VOLUMETRIA[[#This Row],[Cen.]],Dados_Empresas[],2,FALSE),"Verificar empresa"))</f>
        <v>NET MASSIVO</v>
      </c>
      <c r="O510" s="32" t="str">
        <f>IF(MB25_VOLUMETRIA[[#This Row],[EMPRESA]]="","",IF(OR(MB25_VOLUMETRIA[[#This Row],[EMPRESA]]="NET MASSIVO",MB25_VOLUMETRIA[[#This Row],[EMPRESA]]="NET PROJETOS"),"NET","EMPRESARIAL"))</f>
        <v>NET</v>
      </c>
    </row>
    <row r="511" spans="1:15" x14ac:dyDescent="0.25">
      <c r="A511" s="32">
        <v>4379660</v>
      </c>
      <c r="B511" s="32" t="s">
        <v>21</v>
      </c>
      <c r="C511" s="33" t="s">
        <v>19</v>
      </c>
      <c r="D511" s="35">
        <v>45446</v>
      </c>
      <c r="E511" s="32" t="s">
        <v>185</v>
      </c>
      <c r="F511" s="32">
        <v>22026249</v>
      </c>
      <c r="G511" s="32" t="s">
        <v>186</v>
      </c>
      <c r="H511" s="26" t="s">
        <v>38</v>
      </c>
      <c r="I511" s="36">
        <v>20</v>
      </c>
      <c r="J511" s="32">
        <f>IF(MB25_VOLUMETRIA[[#This Row],[Reserva]]="","",1)</f>
        <v>1</v>
      </c>
      <c r="K511" s="36" t="str">
        <f>IF(MB25_VOLUMETRIA[[#This Row],[Reserva]]="","",IFERROR(VLOOKUP(MB25_VOLUMETRIA[[#This Row],[UMB]],CHAVE[],2,FALSE),"VERIFICAR"))</f>
        <v>Unidade</v>
      </c>
      <c r="L511" s="32" t="str">
        <f>IF(MB25_VOLUMETRIA[[#This Row],[Reserva]]="","",IFERROR(VLOOKUP(MB25_VOLUMETRIA[[#This Row],[Reserva]],Tabela3[[Reserva]:[Condição para Faturamento]],20,FALSE),"IMPORTADO COM SUCESSO"))</f>
        <v>EM CONFERENCIA</v>
      </c>
      <c r="M511" s="32" t="str">
        <f ca="1">IFERROR(VLOOKUP(MB25_VOLUMETRIA[[#This Row],[Reserva]],RES_AB[],14,FALSE),"")</f>
        <v>RESERVAS EM ATRASO</v>
      </c>
      <c r="N511" s="32" t="str">
        <f>IF(MB25_VOLUMETRIA[[#This Row],[Cen.]]="","",IFERROR(VLOOKUP(MB25_VOLUMETRIA[[#This Row],[Cen.]],Dados_Empresas[],2,FALSE),"Verificar empresa"))</f>
        <v>NET MASSIVO</v>
      </c>
      <c r="O511" s="32" t="str">
        <f>IF(MB25_VOLUMETRIA[[#This Row],[EMPRESA]]="","",IF(OR(MB25_VOLUMETRIA[[#This Row],[EMPRESA]]="NET MASSIVO",MB25_VOLUMETRIA[[#This Row],[EMPRESA]]="NET PROJETOS"),"NET","EMPRESARIAL"))</f>
        <v>NET</v>
      </c>
    </row>
    <row r="512" spans="1:15" x14ac:dyDescent="0.25">
      <c r="A512" s="32">
        <v>4379660</v>
      </c>
      <c r="B512" s="32" t="s">
        <v>21</v>
      </c>
      <c r="C512" s="33" t="s">
        <v>21</v>
      </c>
      <c r="D512" s="35">
        <v>45446</v>
      </c>
      <c r="E512" s="32" t="s">
        <v>185</v>
      </c>
      <c r="F512" s="32">
        <v>22056332</v>
      </c>
      <c r="G512" s="32" t="s">
        <v>207</v>
      </c>
      <c r="H512" s="26" t="s">
        <v>38</v>
      </c>
      <c r="I512" s="36">
        <v>20</v>
      </c>
      <c r="J512" s="32">
        <f>IF(MB25_VOLUMETRIA[[#This Row],[Reserva]]="","",1)</f>
        <v>1</v>
      </c>
      <c r="K512" s="36" t="str">
        <f>IF(MB25_VOLUMETRIA[[#This Row],[Reserva]]="","",IFERROR(VLOOKUP(MB25_VOLUMETRIA[[#This Row],[UMB]],CHAVE[],2,FALSE),"VERIFICAR"))</f>
        <v>Unidade</v>
      </c>
      <c r="L512" s="32" t="str">
        <f>IF(MB25_VOLUMETRIA[[#This Row],[Reserva]]="","",IFERROR(VLOOKUP(MB25_VOLUMETRIA[[#This Row],[Reserva]],Tabela3[[Reserva]:[Condição para Faturamento]],20,FALSE),"IMPORTADO COM SUCESSO"))</f>
        <v>EM CONFERENCIA</v>
      </c>
      <c r="M512" s="32" t="str">
        <f ca="1">IFERROR(VLOOKUP(MB25_VOLUMETRIA[[#This Row],[Reserva]],RES_AB[],14,FALSE),"")</f>
        <v>RESERVAS EM ATRASO</v>
      </c>
      <c r="N512" s="32" t="str">
        <f>IF(MB25_VOLUMETRIA[[#This Row],[Cen.]]="","",IFERROR(VLOOKUP(MB25_VOLUMETRIA[[#This Row],[Cen.]],Dados_Empresas[],2,FALSE),"Verificar empresa"))</f>
        <v>NET MASSIVO</v>
      </c>
      <c r="O512" s="32" t="str">
        <f>IF(MB25_VOLUMETRIA[[#This Row],[EMPRESA]]="","",IF(OR(MB25_VOLUMETRIA[[#This Row],[EMPRESA]]="NET MASSIVO",MB25_VOLUMETRIA[[#This Row],[EMPRESA]]="NET PROJETOS"),"NET","EMPRESARIAL"))</f>
        <v>NET</v>
      </c>
    </row>
    <row r="513" spans="1:15" x14ac:dyDescent="0.25">
      <c r="A513" s="32">
        <v>4379660</v>
      </c>
      <c r="B513" s="32" t="s">
        <v>21</v>
      </c>
      <c r="C513" s="33" t="s">
        <v>21</v>
      </c>
      <c r="D513" s="35">
        <v>45446</v>
      </c>
      <c r="E513" s="32" t="s">
        <v>185</v>
      </c>
      <c r="F513" s="32">
        <v>22056344</v>
      </c>
      <c r="G513" s="32" t="s">
        <v>235</v>
      </c>
      <c r="H513" s="26" t="s">
        <v>38</v>
      </c>
      <c r="I513" s="36">
        <v>100</v>
      </c>
      <c r="J513" s="32">
        <f>IF(MB25_VOLUMETRIA[[#This Row],[Reserva]]="","",1)</f>
        <v>1</v>
      </c>
      <c r="K513" s="36" t="str">
        <f>IF(MB25_VOLUMETRIA[[#This Row],[Reserva]]="","",IFERROR(VLOOKUP(MB25_VOLUMETRIA[[#This Row],[UMB]],CHAVE[],2,FALSE),"VERIFICAR"))</f>
        <v>Unidade</v>
      </c>
      <c r="L513" s="32" t="str">
        <f>IF(MB25_VOLUMETRIA[[#This Row],[Reserva]]="","",IFERROR(VLOOKUP(MB25_VOLUMETRIA[[#This Row],[Reserva]],Tabela3[[Reserva]:[Condição para Faturamento]],20,FALSE),"IMPORTADO COM SUCESSO"))</f>
        <v>EM CONFERENCIA</v>
      </c>
      <c r="M513" s="32" t="str">
        <f ca="1">IFERROR(VLOOKUP(MB25_VOLUMETRIA[[#This Row],[Reserva]],RES_AB[],14,FALSE),"")</f>
        <v>RESERVAS EM ATRASO</v>
      </c>
      <c r="N513" s="32" t="str">
        <f>IF(MB25_VOLUMETRIA[[#This Row],[Cen.]]="","",IFERROR(VLOOKUP(MB25_VOLUMETRIA[[#This Row],[Cen.]],Dados_Empresas[],2,FALSE),"Verificar empresa"))</f>
        <v>NET MASSIVO</v>
      </c>
      <c r="O513" s="32" t="str">
        <f>IF(MB25_VOLUMETRIA[[#This Row],[EMPRESA]]="","",IF(OR(MB25_VOLUMETRIA[[#This Row],[EMPRESA]]="NET MASSIVO",MB25_VOLUMETRIA[[#This Row],[EMPRESA]]="NET PROJETOS"),"NET","EMPRESARIAL"))</f>
        <v>NET</v>
      </c>
    </row>
    <row r="514" spans="1:15" x14ac:dyDescent="0.25">
      <c r="A514" s="32">
        <v>4379660</v>
      </c>
      <c r="B514" s="32" t="s">
        <v>21</v>
      </c>
      <c r="C514" s="33" t="s">
        <v>21</v>
      </c>
      <c r="D514" s="35">
        <v>45446</v>
      </c>
      <c r="E514" s="32" t="s">
        <v>185</v>
      </c>
      <c r="F514" s="32">
        <v>22056369</v>
      </c>
      <c r="G514" s="32" t="s">
        <v>194</v>
      </c>
      <c r="H514" s="26" t="s">
        <v>38</v>
      </c>
      <c r="I514" s="36">
        <v>600</v>
      </c>
      <c r="J514" s="32">
        <f>IF(MB25_VOLUMETRIA[[#This Row],[Reserva]]="","",1)</f>
        <v>1</v>
      </c>
      <c r="K514" s="36" t="str">
        <f>IF(MB25_VOLUMETRIA[[#This Row],[Reserva]]="","",IFERROR(VLOOKUP(MB25_VOLUMETRIA[[#This Row],[UMB]],CHAVE[],2,FALSE),"VERIFICAR"))</f>
        <v>Unidade</v>
      </c>
      <c r="L514" s="32" t="str">
        <f>IF(MB25_VOLUMETRIA[[#This Row],[Reserva]]="","",IFERROR(VLOOKUP(MB25_VOLUMETRIA[[#This Row],[Reserva]],Tabela3[[Reserva]:[Condição para Faturamento]],20,FALSE),"IMPORTADO COM SUCESSO"))</f>
        <v>EM CONFERENCIA</v>
      </c>
      <c r="M514" s="32" t="str">
        <f ca="1">IFERROR(VLOOKUP(MB25_VOLUMETRIA[[#This Row],[Reserva]],RES_AB[],14,FALSE),"")</f>
        <v>RESERVAS EM ATRASO</v>
      </c>
      <c r="N514" s="32" t="str">
        <f>IF(MB25_VOLUMETRIA[[#This Row],[Cen.]]="","",IFERROR(VLOOKUP(MB25_VOLUMETRIA[[#This Row],[Cen.]],Dados_Empresas[],2,FALSE),"Verificar empresa"))</f>
        <v>NET MASSIVO</v>
      </c>
      <c r="O514" s="32" t="str">
        <f>IF(MB25_VOLUMETRIA[[#This Row],[EMPRESA]]="","",IF(OR(MB25_VOLUMETRIA[[#This Row],[EMPRESA]]="NET MASSIVO",MB25_VOLUMETRIA[[#This Row],[EMPRESA]]="NET PROJETOS"),"NET","EMPRESARIAL"))</f>
        <v>NET</v>
      </c>
    </row>
    <row r="515" spans="1:15" x14ac:dyDescent="0.25">
      <c r="A515" s="32">
        <v>4379660</v>
      </c>
      <c r="B515" s="32" t="s">
        <v>21</v>
      </c>
      <c r="C515" s="33" t="s">
        <v>19</v>
      </c>
      <c r="D515" s="35">
        <v>45446</v>
      </c>
      <c r="E515" s="32" t="s">
        <v>185</v>
      </c>
      <c r="F515" s="32">
        <v>22057705</v>
      </c>
      <c r="G515" s="32" t="s">
        <v>241</v>
      </c>
      <c r="H515" s="26" t="s">
        <v>38</v>
      </c>
      <c r="I515" s="36">
        <v>230</v>
      </c>
      <c r="J515" s="32">
        <f>IF(MB25_VOLUMETRIA[[#This Row],[Reserva]]="","",1)</f>
        <v>1</v>
      </c>
      <c r="K515" s="36" t="str">
        <f>IF(MB25_VOLUMETRIA[[#This Row],[Reserva]]="","",IFERROR(VLOOKUP(MB25_VOLUMETRIA[[#This Row],[UMB]],CHAVE[],2,FALSE),"VERIFICAR"))</f>
        <v>Unidade</v>
      </c>
      <c r="L515" s="32" t="str">
        <f>IF(MB25_VOLUMETRIA[[#This Row],[Reserva]]="","",IFERROR(VLOOKUP(MB25_VOLUMETRIA[[#This Row],[Reserva]],Tabela3[[Reserva]:[Condição para Faturamento]],20,FALSE),"IMPORTADO COM SUCESSO"))</f>
        <v>EM CONFERENCIA</v>
      </c>
      <c r="M515" s="32" t="str">
        <f ca="1">IFERROR(VLOOKUP(MB25_VOLUMETRIA[[#This Row],[Reserva]],RES_AB[],14,FALSE),"")</f>
        <v>RESERVAS EM ATRASO</v>
      </c>
      <c r="N515" s="32" t="str">
        <f>IF(MB25_VOLUMETRIA[[#This Row],[Cen.]]="","",IFERROR(VLOOKUP(MB25_VOLUMETRIA[[#This Row],[Cen.]],Dados_Empresas[],2,FALSE),"Verificar empresa"))</f>
        <v>NET MASSIVO</v>
      </c>
      <c r="O515" s="32" t="str">
        <f>IF(MB25_VOLUMETRIA[[#This Row],[EMPRESA]]="","",IF(OR(MB25_VOLUMETRIA[[#This Row],[EMPRESA]]="NET MASSIVO",MB25_VOLUMETRIA[[#This Row],[EMPRESA]]="NET PROJETOS"),"NET","EMPRESARIAL"))</f>
        <v>NET</v>
      </c>
    </row>
    <row r="516" spans="1:15" x14ac:dyDescent="0.25">
      <c r="A516" s="32">
        <v>4379660</v>
      </c>
      <c r="B516" s="32" t="s">
        <v>21</v>
      </c>
      <c r="C516" s="33" t="s">
        <v>19</v>
      </c>
      <c r="D516" s="35">
        <v>45446</v>
      </c>
      <c r="E516" s="32" t="s">
        <v>185</v>
      </c>
      <c r="F516" s="32">
        <v>22058239</v>
      </c>
      <c r="G516" s="32" t="s">
        <v>317</v>
      </c>
      <c r="H516" s="26" t="s">
        <v>38</v>
      </c>
      <c r="I516" s="36">
        <v>20</v>
      </c>
      <c r="J516" s="32">
        <f>IF(MB25_VOLUMETRIA[[#This Row],[Reserva]]="","",1)</f>
        <v>1</v>
      </c>
      <c r="K516" s="36" t="str">
        <f>IF(MB25_VOLUMETRIA[[#This Row],[Reserva]]="","",IFERROR(VLOOKUP(MB25_VOLUMETRIA[[#This Row],[UMB]],CHAVE[],2,FALSE),"VERIFICAR"))</f>
        <v>Unidade</v>
      </c>
      <c r="L516" s="32" t="str">
        <f>IF(MB25_VOLUMETRIA[[#This Row],[Reserva]]="","",IFERROR(VLOOKUP(MB25_VOLUMETRIA[[#This Row],[Reserva]],Tabela3[[Reserva]:[Condição para Faturamento]],20,FALSE),"IMPORTADO COM SUCESSO"))</f>
        <v>EM CONFERENCIA</v>
      </c>
      <c r="M516" s="32" t="str">
        <f ca="1">IFERROR(VLOOKUP(MB25_VOLUMETRIA[[#This Row],[Reserva]],RES_AB[],14,FALSE),"")</f>
        <v>RESERVAS EM ATRASO</v>
      </c>
      <c r="N516" s="32" t="str">
        <f>IF(MB25_VOLUMETRIA[[#This Row],[Cen.]]="","",IFERROR(VLOOKUP(MB25_VOLUMETRIA[[#This Row],[Cen.]],Dados_Empresas[],2,FALSE),"Verificar empresa"))</f>
        <v>NET MASSIVO</v>
      </c>
      <c r="O516" s="32" t="str">
        <f>IF(MB25_VOLUMETRIA[[#This Row],[EMPRESA]]="","",IF(OR(MB25_VOLUMETRIA[[#This Row],[EMPRESA]]="NET MASSIVO",MB25_VOLUMETRIA[[#This Row],[EMPRESA]]="NET PROJETOS"),"NET","EMPRESARIAL"))</f>
        <v>NET</v>
      </c>
    </row>
    <row r="517" spans="1:15" x14ac:dyDescent="0.25">
      <c r="A517" s="32">
        <v>4379660</v>
      </c>
      <c r="B517" s="32" t="s">
        <v>21</v>
      </c>
      <c r="C517" s="33" t="s">
        <v>21</v>
      </c>
      <c r="D517" s="35">
        <v>45446</v>
      </c>
      <c r="E517" s="32" t="s">
        <v>185</v>
      </c>
      <c r="F517" s="32">
        <v>22058258</v>
      </c>
      <c r="G517" s="32" t="s">
        <v>187</v>
      </c>
      <c r="H517" s="26" t="s">
        <v>38</v>
      </c>
      <c r="I517" s="36">
        <v>40</v>
      </c>
      <c r="J517" s="32">
        <f>IF(MB25_VOLUMETRIA[[#This Row],[Reserva]]="","",1)</f>
        <v>1</v>
      </c>
      <c r="K517" s="36" t="str">
        <f>IF(MB25_VOLUMETRIA[[#This Row],[Reserva]]="","",IFERROR(VLOOKUP(MB25_VOLUMETRIA[[#This Row],[UMB]],CHAVE[],2,FALSE),"VERIFICAR"))</f>
        <v>Unidade</v>
      </c>
      <c r="L517" s="32" t="str">
        <f>IF(MB25_VOLUMETRIA[[#This Row],[Reserva]]="","",IFERROR(VLOOKUP(MB25_VOLUMETRIA[[#This Row],[Reserva]],Tabela3[[Reserva]:[Condição para Faturamento]],20,FALSE),"IMPORTADO COM SUCESSO"))</f>
        <v>EM CONFERENCIA</v>
      </c>
      <c r="M517" s="32" t="str">
        <f ca="1">IFERROR(VLOOKUP(MB25_VOLUMETRIA[[#This Row],[Reserva]],RES_AB[],14,FALSE),"")</f>
        <v>RESERVAS EM ATRASO</v>
      </c>
      <c r="N517" s="32" t="str">
        <f>IF(MB25_VOLUMETRIA[[#This Row],[Cen.]]="","",IFERROR(VLOOKUP(MB25_VOLUMETRIA[[#This Row],[Cen.]],Dados_Empresas[],2,FALSE),"Verificar empresa"))</f>
        <v>NET MASSIVO</v>
      </c>
      <c r="O517" s="32" t="str">
        <f>IF(MB25_VOLUMETRIA[[#This Row],[EMPRESA]]="","",IF(OR(MB25_VOLUMETRIA[[#This Row],[EMPRESA]]="NET MASSIVO",MB25_VOLUMETRIA[[#This Row],[EMPRESA]]="NET PROJETOS"),"NET","EMPRESARIAL"))</f>
        <v>NET</v>
      </c>
    </row>
    <row r="518" spans="1:15" x14ac:dyDescent="0.25">
      <c r="A518" s="32">
        <v>4379660</v>
      </c>
      <c r="B518" s="32" t="s">
        <v>21</v>
      </c>
      <c r="C518" s="33" t="s">
        <v>19</v>
      </c>
      <c r="D518" s="35">
        <v>45446</v>
      </c>
      <c r="E518" s="32" t="s">
        <v>185</v>
      </c>
      <c r="F518" s="32">
        <v>22060654</v>
      </c>
      <c r="G518" s="32" t="s">
        <v>293</v>
      </c>
      <c r="H518" s="26" t="s">
        <v>38</v>
      </c>
      <c r="I518" s="36">
        <v>70</v>
      </c>
      <c r="J518" s="32">
        <f>IF(MB25_VOLUMETRIA[[#This Row],[Reserva]]="","",1)</f>
        <v>1</v>
      </c>
      <c r="K518" s="36" t="str">
        <f>IF(MB25_VOLUMETRIA[[#This Row],[Reserva]]="","",IFERROR(VLOOKUP(MB25_VOLUMETRIA[[#This Row],[UMB]],CHAVE[],2,FALSE),"VERIFICAR"))</f>
        <v>Unidade</v>
      </c>
      <c r="L518" s="32" t="str">
        <f>IF(MB25_VOLUMETRIA[[#This Row],[Reserva]]="","",IFERROR(VLOOKUP(MB25_VOLUMETRIA[[#This Row],[Reserva]],Tabela3[[Reserva]:[Condição para Faturamento]],20,FALSE),"IMPORTADO COM SUCESSO"))</f>
        <v>EM CONFERENCIA</v>
      </c>
      <c r="M518" s="32" t="str">
        <f ca="1">IFERROR(VLOOKUP(MB25_VOLUMETRIA[[#This Row],[Reserva]],RES_AB[],14,FALSE),"")</f>
        <v>RESERVAS EM ATRASO</v>
      </c>
      <c r="N518" s="32" t="str">
        <f>IF(MB25_VOLUMETRIA[[#This Row],[Cen.]]="","",IFERROR(VLOOKUP(MB25_VOLUMETRIA[[#This Row],[Cen.]],Dados_Empresas[],2,FALSE),"Verificar empresa"))</f>
        <v>NET MASSIVO</v>
      </c>
      <c r="O518" s="32" t="str">
        <f>IF(MB25_VOLUMETRIA[[#This Row],[EMPRESA]]="","",IF(OR(MB25_VOLUMETRIA[[#This Row],[EMPRESA]]="NET MASSIVO",MB25_VOLUMETRIA[[#This Row],[EMPRESA]]="NET PROJETOS"),"NET","EMPRESARIAL"))</f>
        <v>NET</v>
      </c>
    </row>
    <row r="519" spans="1:15" x14ac:dyDescent="0.25">
      <c r="A519" s="32">
        <v>4379660</v>
      </c>
      <c r="B519" s="32" t="s">
        <v>21</v>
      </c>
      <c r="C519" s="33" t="s">
        <v>21</v>
      </c>
      <c r="D519" s="35">
        <v>45446</v>
      </c>
      <c r="E519" s="32" t="s">
        <v>185</v>
      </c>
      <c r="F519" s="32">
        <v>22061811</v>
      </c>
      <c r="G519" s="32" t="s">
        <v>226</v>
      </c>
      <c r="H519" s="26" t="s">
        <v>38</v>
      </c>
      <c r="I519" s="36">
        <v>100</v>
      </c>
      <c r="J519" s="32">
        <f>IF(MB25_VOLUMETRIA[[#This Row],[Reserva]]="","",1)</f>
        <v>1</v>
      </c>
      <c r="K519" s="36" t="str">
        <f>IF(MB25_VOLUMETRIA[[#This Row],[Reserva]]="","",IFERROR(VLOOKUP(MB25_VOLUMETRIA[[#This Row],[UMB]],CHAVE[],2,FALSE),"VERIFICAR"))</f>
        <v>Unidade</v>
      </c>
      <c r="L519" s="32" t="str">
        <f>IF(MB25_VOLUMETRIA[[#This Row],[Reserva]]="","",IFERROR(VLOOKUP(MB25_VOLUMETRIA[[#This Row],[Reserva]],Tabela3[[Reserva]:[Condição para Faturamento]],20,FALSE),"IMPORTADO COM SUCESSO"))</f>
        <v>EM CONFERENCIA</v>
      </c>
      <c r="M519" s="32" t="str">
        <f ca="1">IFERROR(VLOOKUP(MB25_VOLUMETRIA[[#This Row],[Reserva]],RES_AB[],14,FALSE),"")</f>
        <v>RESERVAS EM ATRASO</v>
      </c>
      <c r="N519" s="32" t="str">
        <f>IF(MB25_VOLUMETRIA[[#This Row],[Cen.]]="","",IFERROR(VLOOKUP(MB25_VOLUMETRIA[[#This Row],[Cen.]],Dados_Empresas[],2,FALSE),"Verificar empresa"))</f>
        <v>NET MASSIVO</v>
      </c>
      <c r="O519" s="32" t="str">
        <f>IF(MB25_VOLUMETRIA[[#This Row],[EMPRESA]]="","",IF(OR(MB25_VOLUMETRIA[[#This Row],[EMPRESA]]="NET MASSIVO",MB25_VOLUMETRIA[[#This Row],[EMPRESA]]="NET PROJETOS"),"NET","EMPRESARIAL"))</f>
        <v>NET</v>
      </c>
    </row>
    <row r="520" spans="1:15" x14ac:dyDescent="0.25">
      <c r="A520" s="32">
        <v>4379660</v>
      </c>
      <c r="B520" s="32" t="s">
        <v>21</v>
      </c>
      <c r="C520" s="33" t="s">
        <v>19</v>
      </c>
      <c r="D520" s="35">
        <v>45446</v>
      </c>
      <c r="E520" s="32" t="s">
        <v>185</v>
      </c>
      <c r="F520" s="32">
        <v>22065609</v>
      </c>
      <c r="G520" s="32" t="s">
        <v>256</v>
      </c>
      <c r="H520" s="26" t="s">
        <v>38</v>
      </c>
      <c r="I520" s="36">
        <v>30</v>
      </c>
      <c r="J520" s="32">
        <f>IF(MB25_VOLUMETRIA[[#This Row],[Reserva]]="","",1)</f>
        <v>1</v>
      </c>
      <c r="K520" s="36" t="str">
        <f>IF(MB25_VOLUMETRIA[[#This Row],[Reserva]]="","",IFERROR(VLOOKUP(MB25_VOLUMETRIA[[#This Row],[UMB]],CHAVE[],2,FALSE),"VERIFICAR"))</f>
        <v>Unidade</v>
      </c>
      <c r="L520" s="32" t="str">
        <f>IF(MB25_VOLUMETRIA[[#This Row],[Reserva]]="","",IFERROR(VLOOKUP(MB25_VOLUMETRIA[[#This Row],[Reserva]],Tabela3[[Reserva]:[Condição para Faturamento]],20,FALSE),"IMPORTADO COM SUCESSO"))</f>
        <v>EM CONFERENCIA</v>
      </c>
      <c r="M520" s="32" t="str">
        <f ca="1">IFERROR(VLOOKUP(MB25_VOLUMETRIA[[#This Row],[Reserva]],RES_AB[],14,FALSE),"")</f>
        <v>RESERVAS EM ATRASO</v>
      </c>
      <c r="N520" s="32" t="str">
        <f>IF(MB25_VOLUMETRIA[[#This Row],[Cen.]]="","",IFERROR(VLOOKUP(MB25_VOLUMETRIA[[#This Row],[Cen.]],Dados_Empresas[],2,FALSE),"Verificar empresa"))</f>
        <v>NET MASSIVO</v>
      </c>
      <c r="O520" s="32" t="str">
        <f>IF(MB25_VOLUMETRIA[[#This Row],[EMPRESA]]="","",IF(OR(MB25_VOLUMETRIA[[#This Row],[EMPRESA]]="NET MASSIVO",MB25_VOLUMETRIA[[#This Row],[EMPRESA]]="NET PROJETOS"),"NET","EMPRESARIAL"))</f>
        <v>NET</v>
      </c>
    </row>
    <row r="521" spans="1:15" x14ac:dyDescent="0.25">
      <c r="A521" s="32">
        <v>4379661</v>
      </c>
      <c r="B521" s="32" t="s">
        <v>21</v>
      </c>
      <c r="C521" s="33" t="s">
        <v>19</v>
      </c>
      <c r="D521" s="35">
        <v>45446</v>
      </c>
      <c r="E521" s="32" t="s">
        <v>184</v>
      </c>
      <c r="F521" s="32">
        <v>41000805</v>
      </c>
      <c r="G521" s="32" t="s">
        <v>188</v>
      </c>
      <c r="H521" s="26" t="s">
        <v>38</v>
      </c>
      <c r="I521" s="36">
        <v>20</v>
      </c>
      <c r="J521" s="32">
        <f>IF(MB25_VOLUMETRIA[[#This Row],[Reserva]]="","",1)</f>
        <v>1</v>
      </c>
      <c r="K521" s="36" t="str">
        <f>IF(MB25_VOLUMETRIA[[#This Row],[Reserva]]="","",IFERROR(VLOOKUP(MB25_VOLUMETRIA[[#This Row],[UMB]],CHAVE[],2,FALSE),"VERIFICAR"))</f>
        <v>Unidade</v>
      </c>
      <c r="L5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1" s="32" t="str">
        <f ca="1">IFERROR(VLOOKUP(MB25_VOLUMETRIA[[#This Row],[Reserva]],RES_AB[],14,FALSE),"")</f>
        <v>RESERVAS EM ATRASO</v>
      </c>
      <c r="N521" s="32" t="str">
        <f>IF(MB25_VOLUMETRIA[[#This Row],[Cen.]]="","",IFERROR(VLOOKUP(MB25_VOLUMETRIA[[#This Row],[Cen.]],Dados_Empresas[],2,FALSE),"Verificar empresa"))</f>
        <v>NET MASSIVO</v>
      </c>
      <c r="O521" s="32" t="str">
        <f>IF(MB25_VOLUMETRIA[[#This Row],[EMPRESA]]="","",IF(OR(MB25_VOLUMETRIA[[#This Row],[EMPRESA]]="NET MASSIVO",MB25_VOLUMETRIA[[#This Row],[EMPRESA]]="NET PROJETOS"),"NET","EMPRESARIAL"))</f>
        <v>NET</v>
      </c>
    </row>
    <row r="522" spans="1:15" x14ac:dyDescent="0.25">
      <c r="A522" s="32">
        <v>4379661</v>
      </c>
      <c r="B522" s="32" t="s">
        <v>21</v>
      </c>
      <c r="C522" s="33" t="s">
        <v>19</v>
      </c>
      <c r="D522" s="35">
        <v>45446</v>
      </c>
      <c r="E522" s="32" t="s">
        <v>184</v>
      </c>
      <c r="F522" s="32">
        <v>41001048</v>
      </c>
      <c r="G522" s="32" t="s">
        <v>318</v>
      </c>
      <c r="H522" s="26" t="s">
        <v>38</v>
      </c>
      <c r="I522" s="36">
        <v>20</v>
      </c>
      <c r="J522" s="32">
        <f>IF(MB25_VOLUMETRIA[[#This Row],[Reserva]]="","",1)</f>
        <v>1</v>
      </c>
      <c r="K522" s="36" t="str">
        <f>IF(MB25_VOLUMETRIA[[#This Row],[Reserva]]="","",IFERROR(VLOOKUP(MB25_VOLUMETRIA[[#This Row],[UMB]],CHAVE[],2,FALSE),"VERIFICAR"))</f>
        <v>Unidade</v>
      </c>
      <c r="L5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2" s="32" t="str">
        <f ca="1">IFERROR(VLOOKUP(MB25_VOLUMETRIA[[#This Row],[Reserva]],RES_AB[],14,FALSE),"")</f>
        <v>RESERVAS EM ATRASO</v>
      </c>
      <c r="N522" s="32" t="str">
        <f>IF(MB25_VOLUMETRIA[[#This Row],[Cen.]]="","",IFERROR(VLOOKUP(MB25_VOLUMETRIA[[#This Row],[Cen.]],Dados_Empresas[],2,FALSE),"Verificar empresa"))</f>
        <v>NET MASSIVO</v>
      </c>
      <c r="O522" s="32" t="str">
        <f>IF(MB25_VOLUMETRIA[[#This Row],[EMPRESA]]="","",IF(OR(MB25_VOLUMETRIA[[#This Row],[EMPRESA]]="NET MASSIVO",MB25_VOLUMETRIA[[#This Row],[EMPRESA]]="NET PROJETOS"),"NET","EMPRESARIAL"))</f>
        <v>NET</v>
      </c>
    </row>
    <row r="523" spans="1:15" x14ac:dyDescent="0.25">
      <c r="A523" s="32">
        <v>4379661</v>
      </c>
      <c r="B523" s="32" t="s">
        <v>21</v>
      </c>
      <c r="C523" s="33" t="s">
        <v>19</v>
      </c>
      <c r="D523" s="35">
        <v>45446</v>
      </c>
      <c r="E523" s="32" t="s">
        <v>184</v>
      </c>
      <c r="F523" s="32">
        <v>41001294</v>
      </c>
      <c r="G523" s="32" t="s">
        <v>248</v>
      </c>
      <c r="H523" s="26" t="s">
        <v>38</v>
      </c>
      <c r="I523" s="36">
        <v>230</v>
      </c>
      <c r="J523" s="32">
        <f>IF(MB25_VOLUMETRIA[[#This Row],[Reserva]]="","",1)</f>
        <v>1</v>
      </c>
      <c r="K523" s="36" t="str">
        <f>IF(MB25_VOLUMETRIA[[#This Row],[Reserva]]="","",IFERROR(VLOOKUP(MB25_VOLUMETRIA[[#This Row],[UMB]],CHAVE[],2,FALSE),"VERIFICAR"))</f>
        <v>Unidade</v>
      </c>
      <c r="L5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3" s="32" t="str">
        <f ca="1">IFERROR(VLOOKUP(MB25_VOLUMETRIA[[#This Row],[Reserva]],RES_AB[],14,FALSE),"")</f>
        <v>RESERVAS EM ATRASO</v>
      </c>
      <c r="N523" s="32" t="str">
        <f>IF(MB25_VOLUMETRIA[[#This Row],[Cen.]]="","",IFERROR(VLOOKUP(MB25_VOLUMETRIA[[#This Row],[Cen.]],Dados_Empresas[],2,FALSE),"Verificar empresa"))</f>
        <v>NET MASSIVO</v>
      </c>
      <c r="O523" s="32" t="str">
        <f>IF(MB25_VOLUMETRIA[[#This Row],[EMPRESA]]="","",IF(OR(MB25_VOLUMETRIA[[#This Row],[EMPRESA]]="NET MASSIVO",MB25_VOLUMETRIA[[#This Row],[EMPRESA]]="NET PROJETOS"),"NET","EMPRESARIAL"))</f>
        <v>NET</v>
      </c>
    </row>
    <row r="524" spans="1:15" x14ac:dyDescent="0.25">
      <c r="A524" s="32">
        <v>4379661</v>
      </c>
      <c r="B524" s="32" t="s">
        <v>21</v>
      </c>
      <c r="C524" s="33" t="s">
        <v>19</v>
      </c>
      <c r="D524" s="35">
        <v>45446</v>
      </c>
      <c r="E524" s="32" t="s">
        <v>184</v>
      </c>
      <c r="F524" s="32">
        <v>41001523</v>
      </c>
      <c r="G524" s="32" t="s">
        <v>258</v>
      </c>
      <c r="H524" s="26" t="s">
        <v>38</v>
      </c>
      <c r="I524" s="36">
        <v>30</v>
      </c>
      <c r="J524" s="32">
        <f>IF(MB25_VOLUMETRIA[[#This Row],[Reserva]]="","",1)</f>
        <v>1</v>
      </c>
      <c r="K524" s="36" t="str">
        <f>IF(MB25_VOLUMETRIA[[#This Row],[Reserva]]="","",IFERROR(VLOOKUP(MB25_VOLUMETRIA[[#This Row],[UMB]],CHAVE[],2,FALSE),"VERIFICAR"))</f>
        <v>Unidade</v>
      </c>
      <c r="L5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4" s="32" t="str">
        <f ca="1">IFERROR(VLOOKUP(MB25_VOLUMETRIA[[#This Row],[Reserva]],RES_AB[],14,FALSE),"")</f>
        <v>RESERVAS EM ATRASO</v>
      </c>
      <c r="N524" s="32" t="str">
        <f>IF(MB25_VOLUMETRIA[[#This Row],[Cen.]]="","",IFERROR(VLOOKUP(MB25_VOLUMETRIA[[#This Row],[Cen.]],Dados_Empresas[],2,FALSE),"Verificar empresa"))</f>
        <v>NET MASSIVO</v>
      </c>
      <c r="O524" s="32" t="str">
        <f>IF(MB25_VOLUMETRIA[[#This Row],[EMPRESA]]="","",IF(OR(MB25_VOLUMETRIA[[#This Row],[EMPRESA]]="NET MASSIVO",MB25_VOLUMETRIA[[#This Row],[EMPRESA]]="NET PROJETOS"),"NET","EMPRESARIAL"))</f>
        <v>NET</v>
      </c>
    </row>
    <row r="525" spans="1:15" x14ac:dyDescent="0.25">
      <c r="A525" s="32">
        <v>4379661</v>
      </c>
      <c r="B525" s="32" t="s">
        <v>21</v>
      </c>
      <c r="C525" s="33" t="s">
        <v>19</v>
      </c>
      <c r="D525" s="35">
        <v>45446</v>
      </c>
      <c r="E525" s="32" t="s">
        <v>184</v>
      </c>
      <c r="F525" s="32">
        <v>41001552</v>
      </c>
      <c r="G525" s="32" t="s">
        <v>336</v>
      </c>
      <c r="H525" s="26" t="s">
        <v>38</v>
      </c>
      <c r="I525" s="36">
        <v>70</v>
      </c>
      <c r="J525" s="32">
        <f>IF(MB25_VOLUMETRIA[[#This Row],[Reserva]]="","",1)</f>
        <v>1</v>
      </c>
      <c r="K525" s="36" t="str">
        <f>IF(MB25_VOLUMETRIA[[#This Row],[Reserva]]="","",IFERROR(VLOOKUP(MB25_VOLUMETRIA[[#This Row],[UMB]],CHAVE[],2,FALSE),"VERIFICAR"))</f>
        <v>Unidade</v>
      </c>
      <c r="L5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5" s="32" t="str">
        <f ca="1">IFERROR(VLOOKUP(MB25_VOLUMETRIA[[#This Row],[Reserva]],RES_AB[],14,FALSE),"")</f>
        <v>RESERVAS EM ATRASO</v>
      </c>
      <c r="N525" s="32" t="str">
        <f>IF(MB25_VOLUMETRIA[[#This Row],[Cen.]]="","",IFERROR(VLOOKUP(MB25_VOLUMETRIA[[#This Row],[Cen.]],Dados_Empresas[],2,FALSE),"Verificar empresa"))</f>
        <v>NET MASSIVO</v>
      </c>
      <c r="O525" s="32" t="str">
        <f>IF(MB25_VOLUMETRIA[[#This Row],[EMPRESA]]="","",IF(OR(MB25_VOLUMETRIA[[#This Row],[EMPRESA]]="NET MASSIVO",MB25_VOLUMETRIA[[#This Row],[EMPRESA]]="NET PROJETOS"),"NET","EMPRESARIAL"))</f>
        <v>NET</v>
      </c>
    </row>
    <row r="526" spans="1:15" x14ac:dyDescent="0.25">
      <c r="A526" s="32">
        <v>4379661</v>
      </c>
      <c r="B526" s="32" t="s">
        <v>21</v>
      </c>
      <c r="C526" s="33" t="s">
        <v>21</v>
      </c>
      <c r="D526" s="35">
        <v>45446</v>
      </c>
      <c r="E526" s="32" t="s">
        <v>184</v>
      </c>
      <c r="F526" s="32">
        <v>41001573</v>
      </c>
      <c r="G526" s="32" t="s">
        <v>259</v>
      </c>
      <c r="H526" s="26" t="s">
        <v>38</v>
      </c>
      <c r="I526" s="36">
        <v>20</v>
      </c>
      <c r="J526" s="32">
        <f>IF(MB25_VOLUMETRIA[[#This Row],[Reserva]]="","",1)</f>
        <v>1</v>
      </c>
      <c r="K526" s="36" t="str">
        <f>IF(MB25_VOLUMETRIA[[#This Row],[Reserva]]="","",IFERROR(VLOOKUP(MB25_VOLUMETRIA[[#This Row],[UMB]],CHAVE[],2,FALSE),"VERIFICAR"))</f>
        <v>Unidade</v>
      </c>
      <c r="L5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26" s="32" t="str">
        <f ca="1">IFERROR(VLOOKUP(MB25_VOLUMETRIA[[#This Row],[Reserva]],RES_AB[],14,FALSE),"")</f>
        <v>RESERVAS EM ATRASO</v>
      </c>
      <c r="N526" s="32" t="str">
        <f>IF(MB25_VOLUMETRIA[[#This Row],[Cen.]]="","",IFERROR(VLOOKUP(MB25_VOLUMETRIA[[#This Row],[Cen.]],Dados_Empresas[],2,FALSE),"Verificar empresa"))</f>
        <v>NET MASSIVO</v>
      </c>
      <c r="O526" s="32" t="str">
        <f>IF(MB25_VOLUMETRIA[[#This Row],[EMPRESA]]="","",IF(OR(MB25_VOLUMETRIA[[#This Row],[EMPRESA]]="NET MASSIVO",MB25_VOLUMETRIA[[#This Row],[EMPRESA]]="NET PROJETOS"),"NET","EMPRESARIAL"))</f>
        <v>NET</v>
      </c>
    </row>
    <row r="527" spans="1:15" x14ac:dyDescent="0.25">
      <c r="A527" s="32">
        <v>4379668</v>
      </c>
      <c r="B527" s="32" t="s">
        <v>21</v>
      </c>
      <c r="C527" s="33" t="s">
        <v>19</v>
      </c>
      <c r="D527" s="35">
        <v>45446</v>
      </c>
      <c r="E527" s="32" t="s">
        <v>184</v>
      </c>
      <c r="F527" s="32">
        <v>41000805</v>
      </c>
      <c r="G527" s="32" t="s">
        <v>188</v>
      </c>
      <c r="H527" s="26" t="s">
        <v>38</v>
      </c>
      <c r="I527" s="36">
        <v>30</v>
      </c>
      <c r="J527" s="32">
        <f>IF(MB25_VOLUMETRIA[[#This Row],[Reserva]]="","",1)</f>
        <v>1</v>
      </c>
      <c r="K527" s="36" t="str">
        <f>IF(MB25_VOLUMETRIA[[#This Row],[Reserva]]="","",IFERROR(VLOOKUP(MB25_VOLUMETRIA[[#This Row],[UMB]],CHAVE[],2,FALSE),"VERIFICAR"))</f>
        <v>Unidade</v>
      </c>
      <c r="L527" s="32" t="str">
        <f>IF(MB25_VOLUMETRIA[[#This Row],[Reserva]]="","",IFERROR(VLOOKUP(MB25_VOLUMETRIA[[#This Row],[Reserva]],Tabela3[[Reserva]:[Condição para Faturamento]],20,FALSE),"IMPORTADO COM SUCESSO"))</f>
        <v>EM CONFERENCIA</v>
      </c>
      <c r="M527" s="32" t="str">
        <f ca="1">IFERROR(VLOOKUP(MB25_VOLUMETRIA[[#This Row],[Reserva]],RES_AB[],14,FALSE),"")</f>
        <v>RESERVAS EM ATRASO</v>
      </c>
      <c r="N527" s="32" t="str">
        <f>IF(MB25_VOLUMETRIA[[#This Row],[Cen.]]="","",IFERROR(VLOOKUP(MB25_VOLUMETRIA[[#This Row],[Cen.]],Dados_Empresas[],2,FALSE),"Verificar empresa"))</f>
        <v>NET MASSIVO</v>
      </c>
      <c r="O527" s="32" t="str">
        <f>IF(MB25_VOLUMETRIA[[#This Row],[EMPRESA]]="","",IF(OR(MB25_VOLUMETRIA[[#This Row],[EMPRESA]]="NET MASSIVO",MB25_VOLUMETRIA[[#This Row],[EMPRESA]]="NET PROJETOS"),"NET","EMPRESARIAL"))</f>
        <v>NET</v>
      </c>
    </row>
    <row r="528" spans="1:15" x14ac:dyDescent="0.25">
      <c r="A528" s="32">
        <v>4379668</v>
      </c>
      <c r="B528" s="32" t="s">
        <v>21</v>
      </c>
      <c r="C528" s="33" t="s">
        <v>19</v>
      </c>
      <c r="D528" s="35">
        <v>45446</v>
      </c>
      <c r="E528" s="32" t="s">
        <v>184</v>
      </c>
      <c r="F528" s="32">
        <v>41001048</v>
      </c>
      <c r="G528" s="32" t="s">
        <v>318</v>
      </c>
      <c r="H528" s="26" t="s">
        <v>38</v>
      </c>
      <c r="I528" s="36">
        <v>30</v>
      </c>
      <c r="J528" s="32">
        <f>IF(MB25_VOLUMETRIA[[#This Row],[Reserva]]="","",1)</f>
        <v>1</v>
      </c>
      <c r="K528" s="36" t="str">
        <f>IF(MB25_VOLUMETRIA[[#This Row],[Reserva]]="","",IFERROR(VLOOKUP(MB25_VOLUMETRIA[[#This Row],[UMB]],CHAVE[],2,FALSE),"VERIFICAR"))</f>
        <v>Unidade</v>
      </c>
      <c r="L528" s="32" t="str">
        <f>IF(MB25_VOLUMETRIA[[#This Row],[Reserva]]="","",IFERROR(VLOOKUP(MB25_VOLUMETRIA[[#This Row],[Reserva]],Tabela3[[Reserva]:[Condição para Faturamento]],20,FALSE),"IMPORTADO COM SUCESSO"))</f>
        <v>EM CONFERENCIA</v>
      </c>
      <c r="M528" s="32" t="str">
        <f ca="1">IFERROR(VLOOKUP(MB25_VOLUMETRIA[[#This Row],[Reserva]],RES_AB[],14,FALSE),"")</f>
        <v>RESERVAS EM ATRASO</v>
      </c>
      <c r="N528" s="32" t="str">
        <f>IF(MB25_VOLUMETRIA[[#This Row],[Cen.]]="","",IFERROR(VLOOKUP(MB25_VOLUMETRIA[[#This Row],[Cen.]],Dados_Empresas[],2,FALSE),"Verificar empresa"))</f>
        <v>NET MASSIVO</v>
      </c>
      <c r="O528" s="32" t="str">
        <f>IF(MB25_VOLUMETRIA[[#This Row],[EMPRESA]]="","",IF(OR(MB25_VOLUMETRIA[[#This Row],[EMPRESA]]="NET MASSIVO",MB25_VOLUMETRIA[[#This Row],[EMPRESA]]="NET PROJETOS"),"NET","EMPRESARIAL"))</f>
        <v>NET</v>
      </c>
    </row>
    <row r="529" spans="1:15" x14ac:dyDescent="0.25">
      <c r="A529" s="32">
        <v>4379668</v>
      </c>
      <c r="B529" s="32" t="s">
        <v>21</v>
      </c>
      <c r="C529" s="33" t="s">
        <v>19</v>
      </c>
      <c r="D529" s="35">
        <v>45446</v>
      </c>
      <c r="E529" s="32" t="s">
        <v>184</v>
      </c>
      <c r="F529" s="32">
        <v>41001294</v>
      </c>
      <c r="G529" s="32" t="s">
        <v>248</v>
      </c>
      <c r="H529" s="26" t="s">
        <v>38</v>
      </c>
      <c r="I529" s="36">
        <v>90</v>
      </c>
      <c r="J529" s="32">
        <f>IF(MB25_VOLUMETRIA[[#This Row],[Reserva]]="","",1)</f>
        <v>1</v>
      </c>
      <c r="K529" s="36" t="str">
        <f>IF(MB25_VOLUMETRIA[[#This Row],[Reserva]]="","",IFERROR(VLOOKUP(MB25_VOLUMETRIA[[#This Row],[UMB]],CHAVE[],2,FALSE),"VERIFICAR"))</f>
        <v>Unidade</v>
      </c>
      <c r="L529" s="32" t="str">
        <f>IF(MB25_VOLUMETRIA[[#This Row],[Reserva]]="","",IFERROR(VLOOKUP(MB25_VOLUMETRIA[[#This Row],[Reserva]],Tabela3[[Reserva]:[Condição para Faturamento]],20,FALSE),"IMPORTADO COM SUCESSO"))</f>
        <v>EM CONFERENCIA</v>
      </c>
      <c r="M529" s="32" t="str">
        <f ca="1">IFERROR(VLOOKUP(MB25_VOLUMETRIA[[#This Row],[Reserva]],RES_AB[],14,FALSE),"")</f>
        <v>RESERVAS EM ATRASO</v>
      </c>
      <c r="N529" s="32" t="str">
        <f>IF(MB25_VOLUMETRIA[[#This Row],[Cen.]]="","",IFERROR(VLOOKUP(MB25_VOLUMETRIA[[#This Row],[Cen.]],Dados_Empresas[],2,FALSE),"Verificar empresa"))</f>
        <v>NET MASSIVO</v>
      </c>
      <c r="O529" s="32" t="str">
        <f>IF(MB25_VOLUMETRIA[[#This Row],[EMPRESA]]="","",IF(OR(MB25_VOLUMETRIA[[#This Row],[EMPRESA]]="NET MASSIVO",MB25_VOLUMETRIA[[#This Row],[EMPRESA]]="NET PROJETOS"),"NET","EMPRESARIAL"))</f>
        <v>NET</v>
      </c>
    </row>
    <row r="530" spans="1:15" x14ac:dyDescent="0.25">
      <c r="A530" s="32">
        <v>4379668</v>
      </c>
      <c r="B530" s="32" t="s">
        <v>21</v>
      </c>
      <c r="C530" s="33" t="s">
        <v>19</v>
      </c>
      <c r="D530" s="35">
        <v>45446</v>
      </c>
      <c r="E530" s="32" t="s">
        <v>184</v>
      </c>
      <c r="F530" s="32">
        <v>41001553</v>
      </c>
      <c r="G530" s="32" t="s">
        <v>295</v>
      </c>
      <c r="H530" s="26" t="s">
        <v>38</v>
      </c>
      <c r="I530" s="36">
        <v>50</v>
      </c>
      <c r="J530" s="32">
        <f>IF(MB25_VOLUMETRIA[[#This Row],[Reserva]]="","",1)</f>
        <v>1</v>
      </c>
      <c r="K530" s="36" t="str">
        <f>IF(MB25_VOLUMETRIA[[#This Row],[Reserva]]="","",IFERROR(VLOOKUP(MB25_VOLUMETRIA[[#This Row],[UMB]],CHAVE[],2,FALSE),"VERIFICAR"))</f>
        <v>Unidade</v>
      </c>
      <c r="L530" s="32" t="str">
        <f>IF(MB25_VOLUMETRIA[[#This Row],[Reserva]]="","",IFERROR(VLOOKUP(MB25_VOLUMETRIA[[#This Row],[Reserva]],Tabela3[[Reserva]:[Condição para Faturamento]],20,FALSE),"IMPORTADO COM SUCESSO"))</f>
        <v>EM CONFERENCIA</v>
      </c>
      <c r="M530" s="32" t="str">
        <f ca="1">IFERROR(VLOOKUP(MB25_VOLUMETRIA[[#This Row],[Reserva]],RES_AB[],14,FALSE),"")</f>
        <v>RESERVAS EM ATRASO</v>
      </c>
      <c r="N530" s="32" t="str">
        <f>IF(MB25_VOLUMETRIA[[#This Row],[Cen.]]="","",IFERROR(VLOOKUP(MB25_VOLUMETRIA[[#This Row],[Cen.]],Dados_Empresas[],2,FALSE),"Verificar empresa"))</f>
        <v>NET MASSIVO</v>
      </c>
      <c r="O530" s="32" t="str">
        <f>IF(MB25_VOLUMETRIA[[#This Row],[EMPRESA]]="","",IF(OR(MB25_VOLUMETRIA[[#This Row],[EMPRESA]]="NET MASSIVO",MB25_VOLUMETRIA[[#This Row],[EMPRESA]]="NET PROJETOS"),"NET","EMPRESARIAL"))</f>
        <v>NET</v>
      </c>
    </row>
    <row r="531" spans="1:15" x14ac:dyDescent="0.25">
      <c r="A531" s="32">
        <v>4379668</v>
      </c>
      <c r="B531" s="32" t="s">
        <v>21</v>
      </c>
      <c r="C531" s="33" t="s">
        <v>21</v>
      </c>
      <c r="D531" s="35">
        <v>45446</v>
      </c>
      <c r="E531" s="32" t="s">
        <v>184</v>
      </c>
      <c r="F531" s="32">
        <v>41001590</v>
      </c>
      <c r="G531" s="32" t="s">
        <v>239</v>
      </c>
      <c r="H531" s="26" t="s">
        <v>38</v>
      </c>
      <c r="I531" s="36">
        <v>20</v>
      </c>
      <c r="J531" s="32">
        <f>IF(MB25_VOLUMETRIA[[#This Row],[Reserva]]="","",1)</f>
        <v>1</v>
      </c>
      <c r="K531" s="36" t="str">
        <f>IF(MB25_VOLUMETRIA[[#This Row],[Reserva]]="","",IFERROR(VLOOKUP(MB25_VOLUMETRIA[[#This Row],[UMB]],CHAVE[],2,FALSE),"VERIFICAR"))</f>
        <v>Unidade</v>
      </c>
      <c r="L531" s="32" t="str">
        <f>IF(MB25_VOLUMETRIA[[#This Row],[Reserva]]="","",IFERROR(VLOOKUP(MB25_VOLUMETRIA[[#This Row],[Reserva]],Tabela3[[Reserva]:[Condição para Faturamento]],20,FALSE),"IMPORTADO COM SUCESSO"))</f>
        <v>EM CONFERENCIA</v>
      </c>
      <c r="M531" s="32" t="str">
        <f ca="1">IFERROR(VLOOKUP(MB25_VOLUMETRIA[[#This Row],[Reserva]],RES_AB[],14,FALSE),"")</f>
        <v>RESERVAS EM ATRASO</v>
      </c>
      <c r="N531" s="32" t="str">
        <f>IF(MB25_VOLUMETRIA[[#This Row],[Cen.]]="","",IFERROR(VLOOKUP(MB25_VOLUMETRIA[[#This Row],[Cen.]],Dados_Empresas[],2,FALSE),"Verificar empresa"))</f>
        <v>NET MASSIVO</v>
      </c>
      <c r="O531" s="32" t="str">
        <f>IF(MB25_VOLUMETRIA[[#This Row],[EMPRESA]]="","",IF(OR(MB25_VOLUMETRIA[[#This Row],[EMPRESA]]="NET MASSIVO",MB25_VOLUMETRIA[[#This Row],[EMPRESA]]="NET PROJETOS"),"NET","EMPRESARIAL"))</f>
        <v>NET</v>
      </c>
    </row>
    <row r="532" spans="1:15" x14ac:dyDescent="0.25">
      <c r="A532" s="32">
        <v>4379670</v>
      </c>
      <c r="B532" s="32" t="s">
        <v>21</v>
      </c>
      <c r="C532" s="33" t="s">
        <v>19</v>
      </c>
      <c r="D532" s="35">
        <v>45446</v>
      </c>
      <c r="E532" s="32" t="s">
        <v>184</v>
      </c>
      <c r="F532" s="32">
        <v>41000805</v>
      </c>
      <c r="G532" s="32" t="s">
        <v>188</v>
      </c>
      <c r="H532" s="26" t="s">
        <v>38</v>
      </c>
      <c r="I532" s="36">
        <v>290</v>
      </c>
      <c r="J532" s="32">
        <f>IF(MB25_VOLUMETRIA[[#This Row],[Reserva]]="","",1)</f>
        <v>1</v>
      </c>
      <c r="K532" s="36" t="str">
        <f>IF(MB25_VOLUMETRIA[[#This Row],[Reserva]]="","",IFERROR(VLOOKUP(MB25_VOLUMETRIA[[#This Row],[UMB]],CHAVE[],2,FALSE),"VERIFICAR"))</f>
        <v>Unidade</v>
      </c>
      <c r="L532" s="32" t="str">
        <f>IF(MB25_VOLUMETRIA[[#This Row],[Reserva]]="","",IFERROR(VLOOKUP(MB25_VOLUMETRIA[[#This Row],[Reserva]],Tabela3[[Reserva]:[Condição para Faturamento]],20,FALSE),"IMPORTADO COM SUCESSO"))</f>
        <v>EM CONFERENCIA</v>
      </c>
      <c r="M532" s="32" t="str">
        <f ca="1">IFERROR(VLOOKUP(MB25_VOLUMETRIA[[#This Row],[Reserva]],RES_AB[],14,FALSE),"")</f>
        <v>RESERVAS EM ATRASO</v>
      </c>
      <c r="N532" s="32" t="str">
        <f>IF(MB25_VOLUMETRIA[[#This Row],[Cen.]]="","",IFERROR(VLOOKUP(MB25_VOLUMETRIA[[#This Row],[Cen.]],Dados_Empresas[],2,FALSE),"Verificar empresa"))</f>
        <v>NET MASSIVO</v>
      </c>
      <c r="O532" s="32" t="str">
        <f>IF(MB25_VOLUMETRIA[[#This Row],[EMPRESA]]="","",IF(OR(MB25_VOLUMETRIA[[#This Row],[EMPRESA]]="NET MASSIVO",MB25_VOLUMETRIA[[#This Row],[EMPRESA]]="NET PROJETOS"),"NET","EMPRESARIAL"))</f>
        <v>NET</v>
      </c>
    </row>
    <row r="533" spans="1:15" x14ac:dyDescent="0.25">
      <c r="A533" s="32">
        <v>4379670</v>
      </c>
      <c r="B533" s="32" t="s">
        <v>21</v>
      </c>
      <c r="C533" s="33" t="s">
        <v>19</v>
      </c>
      <c r="D533" s="35">
        <v>45446</v>
      </c>
      <c r="E533" s="32" t="s">
        <v>184</v>
      </c>
      <c r="F533" s="32">
        <v>41001047</v>
      </c>
      <c r="G533" s="32" t="s">
        <v>257</v>
      </c>
      <c r="H533" s="26" t="s">
        <v>38</v>
      </c>
      <c r="I533" s="36">
        <v>290</v>
      </c>
      <c r="J533" s="32">
        <f>IF(MB25_VOLUMETRIA[[#This Row],[Reserva]]="","",1)</f>
        <v>1</v>
      </c>
      <c r="K533" s="36" t="str">
        <f>IF(MB25_VOLUMETRIA[[#This Row],[Reserva]]="","",IFERROR(VLOOKUP(MB25_VOLUMETRIA[[#This Row],[UMB]],CHAVE[],2,FALSE),"VERIFICAR"))</f>
        <v>Unidade</v>
      </c>
      <c r="L533" s="32" t="str">
        <f>IF(MB25_VOLUMETRIA[[#This Row],[Reserva]]="","",IFERROR(VLOOKUP(MB25_VOLUMETRIA[[#This Row],[Reserva]],Tabela3[[Reserva]:[Condição para Faturamento]],20,FALSE),"IMPORTADO COM SUCESSO"))</f>
        <v>EM CONFERENCIA</v>
      </c>
      <c r="M533" s="32" t="str">
        <f ca="1">IFERROR(VLOOKUP(MB25_VOLUMETRIA[[#This Row],[Reserva]],RES_AB[],14,FALSE),"")</f>
        <v>RESERVAS EM ATRASO</v>
      </c>
      <c r="N533" s="32" t="str">
        <f>IF(MB25_VOLUMETRIA[[#This Row],[Cen.]]="","",IFERROR(VLOOKUP(MB25_VOLUMETRIA[[#This Row],[Cen.]],Dados_Empresas[],2,FALSE),"Verificar empresa"))</f>
        <v>NET MASSIVO</v>
      </c>
      <c r="O533" s="32" t="str">
        <f>IF(MB25_VOLUMETRIA[[#This Row],[EMPRESA]]="","",IF(OR(MB25_VOLUMETRIA[[#This Row],[EMPRESA]]="NET MASSIVO",MB25_VOLUMETRIA[[#This Row],[EMPRESA]]="NET PROJETOS"),"NET","EMPRESARIAL"))</f>
        <v>NET</v>
      </c>
    </row>
    <row r="534" spans="1:15" x14ac:dyDescent="0.25">
      <c r="A534" s="32">
        <v>4379670</v>
      </c>
      <c r="B534" s="32" t="s">
        <v>21</v>
      </c>
      <c r="C534" s="33" t="s">
        <v>19</v>
      </c>
      <c r="D534" s="35">
        <v>45446</v>
      </c>
      <c r="E534" s="32" t="s">
        <v>184</v>
      </c>
      <c r="F534" s="32">
        <v>41001294</v>
      </c>
      <c r="G534" s="32" t="s">
        <v>248</v>
      </c>
      <c r="H534" s="26" t="s">
        <v>38</v>
      </c>
      <c r="I534" s="36">
        <v>100</v>
      </c>
      <c r="J534" s="32">
        <f>IF(MB25_VOLUMETRIA[[#This Row],[Reserva]]="","",1)</f>
        <v>1</v>
      </c>
      <c r="K534" s="36" t="str">
        <f>IF(MB25_VOLUMETRIA[[#This Row],[Reserva]]="","",IFERROR(VLOOKUP(MB25_VOLUMETRIA[[#This Row],[UMB]],CHAVE[],2,FALSE),"VERIFICAR"))</f>
        <v>Unidade</v>
      </c>
      <c r="L534" s="32" t="str">
        <f>IF(MB25_VOLUMETRIA[[#This Row],[Reserva]]="","",IFERROR(VLOOKUP(MB25_VOLUMETRIA[[#This Row],[Reserva]],Tabela3[[Reserva]:[Condição para Faturamento]],20,FALSE),"IMPORTADO COM SUCESSO"))</f>
        <v>EM CONFERENCIA</v>
      </c>
      <c r="M534" s="32" t="str">
        <f ca="1">IFERROR(VLOOKUP(MB25_VOLUMETRIA[[#This Row],[Reserva]],RES_AB[],14,FALSE),"")</f>
        <v>RESERVAS EM ATRASO</v>
      </c>
      <c r="N534" s="32" t="str">
        <f>IF(MB25_VOLUMETRIA[[#This Row],[Cen.]]="","",IFERROR(VLOOKUP(MB25_VOLUMETRIA[[#This Row],[Cen.]],Dados_Empresas[],2,FALSE),"Verificar empresa"))</f>
        <v>NET MASSIVO</v>
      </c>
      <c r="O534" s="32" t="str">
        <f>IF(MB25_VOLUMETRIA[[#This Row],[EMPRESA]]="","",IF(OR(MB25_VOLUMETRIA[[#This Row],[EMPRESA]]="NET MASSIVO",MB25_VOLUMETRIA[[#This Row],[EMPRESA]]="NET PROJETOS"),"NET","EMPRESARIAL"))</f>
        <v>NET</v>
      </c>
    </row>
    <row r="535" spans="1:15" x14ac:dyDescent="0.25">
      <c r="A535" s="32">
        <v>4379670</v>
      </c>
      <c r="B535" s="32" t="s">
        <v>21</v>
      </c>
      <c r="C535" s="33" t="s">
        <v>19</v>
      </c>
      <c r="D535" s="35">
        <v>45446</v>
      </c>
      <c r="E535" s="32" t="s">
        <v>184</v>
      </c>
      <c r="F535" s="32">
        <v>41001518</v>
      </c>
      <c r="G535" s="32" t="s">
        <v>320</v>
      </c>
      <c r="H535" s="26" t="s">
        <v>38</v>
      </c>
      <c r="I535" s="36">
        <v>90</v>
      </c>
      <c r="J535" s="32">
        <f>IF(MB25_VOLUMETRIA[[#This Row],[Reserva]]="","",1)</f>
        <v>1</v>
      </c>
      <c r="K535" s="36" t="str">
        <f>IF(MB25_VOLUMETRIA[[#This Row],[Reserva]]="","",IFERROR(VLOOKUP(MB25_VOLUMETRIA[[#This Row],[UMB]],CHAVE[],2,FALSE),"VERIFICAR"))</f>
        <v>Unidade</v>
      </c>
      <c r="L535" s="32" t="str">
        <f>IF(MB25_VOLUMETRIA[[#This Row],[Reserva]]="","",IFERROR(VLOOKUP(MB25_VOLUMETRIA[[#This Row],[Reserva]],Tabela3[[Reserva]:[Condição para Faturamento]],20,FALSE),"IMPORTADO COM SUCESSO"))</f>
        <v>EM CONFERENCIA</v>
      </c>
      <c r="M535" s="32" t="str">
        <f ca="1">IFERROR(VLOOKUP(MB25_VOLUMETRIA[[#This Row],[Reserva]],RES_AB[],14,FALSE),"")</f>
        <v>RESERVAS EM ATRASO</v>
      </c>
      <c r="N535" s="32" t="str">
        <f>IF(MB25_VOLUMETRIA[[#This Row],[Cen.]]="","",IFERROR(VLOOKUP(MB25_VOLUMETRIA[[#This Row],[Cen.]],Dados_Empresas[],2,FALSE),"Verificar empresa"))</f>
        <v>NET MASSIVO</v>
      </c>
      <c r="O535" s="32" t="str">
        <f>IF(MB25_VOLUMETRIA[[#This Row],[EMPRESA]]="","",IF(OR(MB25_VOLUMETRIA[[#This Row],[EMPRESA]]="NET MASSIVO",MB25_VOLUMETRIA[[#This Row],[EMPRESA]]="NET PROJETOS"),"NET","EMPRESARIAL"))</f>
        <v>NET</v>
      </c>
    </row>
    <row r="536" spans="1:15" x14ac:dyDescent="0.25">
      <c r="A536" s="32">
        <v>4379670</v>
      </c>
      <c r="B536" s="32" t="s">
        <v>21</v>
      </c>
      <c r="C536" s="33" t="s">
        <v>19</v>
      </c>
      <c r="D536" s="35">
        <v>45446</v>
      </c>
      <c r="E536" s="32" t="s">
        <v>184</v>
      </c>
      <c r="F536" s="32">
        <v>41001523</v>
      </c>
      <c r="G536" s="32" t="s">
        <v>258</v>
      </c>
      <c r="H536" s="26" t="s">
        <v>38</v>
      </c>
      <c r="I536" s="36">
        <v>15</v>
      </c>
      <c r="J536" s="32">
        <f>IF(MB25_VOLUMETRIA[[#This Row],[Reserva]]="","",1)</f>
        <v>1</v>
      </c>
      <c r="K536" s="36" t="str">
        <f>IF(MB25_VOLUMETRIA[[#This Row],[Reserva]]="","",IFERROR(VLOOKUP(MB25_VOLUMETRIA[[#This Row],[UMB]],CHAVE[],2,FALSE),"VERIFICAR"))</f>
        <v>Unidade</v>
      </c>
      <c r="L536" s="32" t="str">
        <f>IF(MB25_VOLUMETRIA[[#This Row],[Reserva]]="","",IFERROR(VLOOKUP(MB25_VOLUMETRIA[[#This Row],[Reserva]],Tabela3[[Reserva]:[Condição para Faturamento]],20,FALSE),"IMPORTADO COM SUCESSO"))</f>
        <v>EM CONFERENCIA</v>
      </c>
      <c r="M536" s="32" t="str">
        <f ca="1">IFERROR(VLOOKUP(MB25_VOLUMETRIA[[#This Row],[Reserva]],RES_AB[],14,FALSE),"")</f>
        <v>RESERVAS EM ATRASO</v>
      </c>
      <c r="N536" s="32" t="str">
        <f>IF(MB25_VOLUMETRIA[[#This Row],[Cen.]]="","",IFERROR(VLOOKUP(MB25_VOLUMETRIA[[#This Row],[Cen.]],Dados_Empresas[],2,FALSE),"Verificar empresa"))</f>
        <v>NET MASSIVO</v>
      </c>
      <c r="O536" s="32" t="str">
        <f>IF(MB25_VOLUMETRIA[[#This Row],[EMPRESA]]="","",IF(OR(MB25_VOLUMETRIA[[#This Row],[EMPRESA]]="NET MASSIVO",MB25_VOLUMETRIA[[#This Row],[EMPRESA]]="NET PROJETOS"),"NET","EMPRESARIAL"))</f>
        <v>NET</v>
      </c>
    </row>
    <row r="537" spans="1:15" x14ac:dyDescent="0.25">
      <c r="A537" s="32">
        <v>4379671</v>
      </c>
      <c r="B537" s="32" t="s">
        <v>21</v>
      </c>
      <c r="C537" s="33" t="s">
        <v>21</v>
      </c>
      <c r="D537" s="35">
        <v>45446</v>
      </c>
      <c r="E537" s="32" t="s">
        <v>185</v>
      </c>
      <c r="F537" s="32">
        <v>22023400</v>
      </c>
      <c r="G537" s="32" t="s">
        <v>219</v>
      </c>
      <c r="H537" s="26" t="s">
        <v>38</v>
      </c>
      <c r="I537" s="36">
        <v>100</v>
      </c>
      <c r="J537" s="32">
        <f>IF(MB25_VOLUMETRIA[[#This Row],[Reserva]]="","",1)</f>
        <v>1</v>
      </c>
      <c r="K537" s="36" t="str">
        <f>IF(MB25_VOLUMETRIA[[#This Row],[Reserva]]="","",IFERROR(VLOOKUP(MB25_VOLUMETRIA[[#This Row],[UMB]],CHAVE[],2,FALSE),"VERIFICAR"))</f>
        <v>Unidade</v>
      </c>
      <c r="L5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7" s="32" t="str">
        <f ca="1">IFERROR(VLOOKUP(MB25_VOLUMETRIA[[#This Row],[Reserva]],RES_AB[],14,FALSE),"")</f>
        <v>RESERVAS EM ATRASO</v>
      </c>
      <c r="N537" s="32" t="str">
        <f>IF(MB25_VOLUMETRIA[[#This Row],[Cen.]]="","",IFERROR(VLOOKUP(MB25_VOLUMETRIA[[#This Row],[Cen.]],Dados_Empresas[],2,FALSE),"Verificar empresa"))</f>
        <v>NET MASSIVO</v>
      </c>
      <c r="O537" s="32" t="str">
        <f>IF(MB25_VOLUMETRIA[[#This Row],[EMPRESA]]="","",IF(OR(MB25_VOLUMETRIA[[#This Row],[EMPRESA]]="NET MASSIVO",MB25_VOLUMETRIA[[#This Row],[EMPRESA]]="NET PROJETOS"),"NET","EMPRESARIAL"))</f>
        <v>NET</v>
      </c>
    </row>
    <row r="538" spans="1:15" x14ac:dyDescent="0.25">
      <c r="A538" s="32">
        <v>4379671</v>
      </c>
      <c r="B538" s="32" t="s">
        <v>21</v>
      </c>
      <c r="C538" s="33" t="s">
        <v>21</v>
      </c>
      <c r="D538" s="35">
        <v>45446</v>
      </c>
      <c r="E538" s="32" t="s">
        <v>185</v>
      </c>
      <c r="F538" s="32">
        <v>22025139</v>
      </c>
      <c r="G538" s="32" t="s">
        <v>199</v>
      </c>
      <c r="H538" s="26" t="s">
        <v>38</v>
      </c>
      <c r="I538" s="36">
        <v>3600</v>
      </c>
      <c r="J538" s="32">
        <f>IF(MB25_VOLUMETRIA[[#This Row],[Reserva]]="","",1)</f>
        <v>1</v>
      </c>
      <c r="K538" s="36" t="str">
        <f>IF(MB25_VOLUMETRIA[[#This Row],[Reserva]]="","",IFERROR(VLOOKUP(MB25_VOLUMETRIA[[#This Row],[UMB]],CHAVE[],2,FALSE),"VERIFICAR"))</f>
        <v>Unidade</v>
      </c>
      <c r="L5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8" s="32" t="str">
        <f ca="1">IFERROR(VLOOKUP(MB25_VOLUMETRIA[[#This Row],[Reserva]],RES_AB[],14,FALSE),"")</f>
        <v>RESERVAS EM ATRASO</v>
      </c>
      <c r="N538" s="32" t="str">
        <f>IF(MB25_VOLUMETRIA[[#This Row],[Cen.]]="","",IFERROR(VLOOKUP(MB25_VOLUMETRIA[[#This Row],[Cen.]],Dados_Empresas[],2,FALSE),"Verificar empresa"))</f>
        <v>NET MASSIVO</v>
      </c>
      <c r="O538" s="32" t="str">
        <f>IF(MB25_VOLUMETRIA[[#This Row],[EMPRESA]]="","",IF(OR(MB25_VOLUMETRIA[[#This Row],[EMPRESA]]="NET MASSIVO",MB25_VOLUMETRIA[[#This Row],[EMPRESA]]="NET PROJETOS"),"NET","EMPRESARIAL"))</f>
        <v>NET</v>
      </c>
    </row>
    <row r="539" spans="1:15" x14ac:dyDescent="0.25">
      <c r="A539" s="32">
        <v>4379671</v>
      </c>
      <c r="B539" s="32" t="s">
        <v>21</v>
      </c>
      <c r="C539" s="33" t="s">
        <v>19</v>
      </c>
      <c r="D539" s="35">
        <v>45446</v>
      </c>
      <c r="E539" s="32" t="s">
        <v>185</v>
      </c>
      <c r="F539" s="32">
        <v>22025162</v>
      </c>
      <c r="G539" s="32" t="s">
        <v>211</v>
      </c>
      <c r="H539" s="26" t="s">
        <v>38</v>
      </c>
      <c r="I539" s="36">
        <v>100</v>
      </c>
      <c r="J539" s="32">
        <f>IF(MB25_VOLUMETRIA[[#This Row],[Reserva]]="","",1)</f>
        <v>1</v>
      </c>
      <c r="K539" s="36" t="str">
        <f>IF(MB25_VOLUMETRIA[[#This Row],[Reserva]]="","",IFERROR(VLOOKUP(MB25_VOLUMETRIA[[#This Row],[UMB]],CHAVE[],2,FALSE),"VERIFICAR"))</f>
        <v>Unidade</v>
      </c>
      <c r="L5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39" s="32" t="str">
        <f ca="1">IFERROR(VLOOKUP(MB25_VOLUMETRIA[[#This Row],[Reserva]],RES_AB[],14,FALSE),"")</f>
        <v>RESERVAS EM ATRASO</v>
      </c>
      <c r="N539" s="32" t="str">
        <f>IF(MB25_VOLUMETRIA[[#This Row],[Cen.]]="","",IFERROR(VLOOKUP(MB25_VOLUMETRIA[[#This Row],[Cen.]],Dados_Empresas[],2,FALSE),"Verificar empresa"))</f>
        <v>NET MASSIVO</v>
      </c>
      <c r="O539" s="32" t="str">
        <f>IF(MB25_VOLUMETRIA[[#This Row],[EMPRESA]]="","",IF(OR(MB25_VOLUMETRIA[[#This Row],[EMPRESA]]="NET MASSIVO",MB25_VOLUMETRIA[[#This Row],[EMPRESA]]="NET PROJETOS"),"NET","EMPRESARIAL"))</f>
        <v>NET</v>
      </c>
    </row>
    <row r="540" spans="1:15" x14ac:dyDescent="0.25">
      <c r="A540" s="32">
        <v>4379671</v>
      </c>
      <c r="B540" s="32" t="s">
        <v>21</v>
      </c>
      <c r="C540" s="33" t="s">
        <v>21</v>
      </c>
      <c r="D540" s="35">
        <v>45446</v>
      </c>
      <c r="E540" s="32" t="s">
        <v>185</v>
      </c>
      <c r="F540" s="32">
        <v>22025237</v>
      </c>
      <c r="G540" s="32" t="s">
        <v>334</v>
      </c>
      <c r="H540" s="26" t="s">
        <v>38</v>
      </c>
      <c r="I540" s="36">
        <v>100</v>
      </c>
      <c r="J540" s="32">
        <f>IF(MB25_VOLUMETRIA[[#This Row],[Reserva]]="","",1)</f>
        <v>1</v>
      </c>
      <c r="K540" s="36" t="str">
        <f>IF(MB25_VOLUMETRIA[[#This Row],[Reserva]]="","",IFERROR(VLOOKUP(MB25_VOLUMETRIA[[#This Row],[UMB]],CHAVE[],2,FALSE),"VERIFICAR"))</f>
        <v>Unidade</v>
      </c>
      <c r="L5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0" s="32" t="str">
        <f ca="1">IFERROR(VLOOKUP(MB25_VOLUMETRIA[[#This Row],[Reserva]],RES_AB[],14,FALSE),"")</f>
        <v>RESERVAS EM ATRASO</v>
      </c>
      <c r="N540" s="32" t="str">
        <f>IF(MB25_VOLUMETRIA[[#This Row],[Cen.]]="","",IFERROR(VLOOKUP(MB25_VOLUMETRIA[[#This Row],[Cen.]],Dados_Empresas[],2,FALSE),"Verificar empresa"))</f>
        <v>NET MASSIVO</v>
      </c>
      <c r="O540" s="32" t="str">
        <f>IF(MB25_VOLUMETRIA[[#This Row],[EMPRESA]]="","",IF(OR(MB25_VOLUMETRIA[[#This Row],[EMPRESA]]="NET MASSIVO",MB25_VOLUMETRIA[[#This Row],[EMPRESA]]="NET PROJETOS"),"NET","EMPRESARIAL"))</f>
        <v>NET</v>
      </c>
    </row>
    <row r="541" spans="1:15" x14ac:dyDescent="0.25">
      <c r="A541" s="32">
        <v>4379671</v>
      </c>
      <c r="B541" s="32" t="s">
        <v>21</v>
      </c>
      <c r="C541" s="33" t="s">
        <v>19</v>
      </c>
      <c r="D541" s="35">
        <v>45446</v>
      </c>
      <c r="E541" s="32" t="s">
        <v>185</v>
      </c>
      <c r="F541" s="32">
        <v>22025242</v>
      </c>
      <c r="G541" s="32" t="s">
        <v>329</v>
      </c>
      <c r="H541" s="26" t="s">
        <v>38</v>
      </c>
      <c r="I541" s="36">
        <v>100</v>
      </c>
      <c r="J541" s="32">
        <f>IF(MB25_VOLUMETRIA[[#This Row],[Reserva]]="","",1)</f>
        <v>1</v>
      </c>
      <c r="K541" s="36" t="str">
        <f>IF(MB25_VOLUMETRIA[[#This Row],[Reserva]]="","",IFERROR(VLOOKUP(MB25_VOLUMETRIA[[#This Row],[UMB]],CHAVE[],2,FALSE),"VERIFICAR"))</f>
        <v>Unidade</v>
      </c>
      <c r="L5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1" s="32" t="str">
        <f ca="1">IFERROR(VLOOKUP(MB25_VOLUMETRIA[[#This Row],[Reserva]],RES_AB[],14,FALSE),"")</f>
        <v>RESERVAS EM ATRASO</v>
      </c>
      <c r="N541" s="32" t="str">
        <f>IF(MB25_VOLUMETRIA[[#This Row],[Cen.]]="","",IFERROR(VLOOKUP(MB25_VOLUMETRIA[[#This Row],[Cen.]],Dados_Empresas[],2,FALSE),"Verificar empresa"))</f>
        <v>NET MASSIVO</v>
      </c>
      <c r="O541" s="32" t="str">
        <f>IF(MB25_VOLUMETRIA[[#This Row],[EMPRESA]]="","",IF(OR(MB25_VOLUMETRIA[[#This Row],[EMPRESA]]="NET MASSIVO",MB25_VOLUMETRIA[[#This Row],[EMPRESA]]="NET PROJETOS"),"NET","EMPRESARIAL"))</f>
        <v>NET</v>
      </c>
    </row>
    <row r="542" spans="1:15" x14ac:dyDescent="0.25">
      <c r="A542" s="32">
        <v>4379671</v>
      </c>
      <c r="B542" s="32" t="s">
        <v>21</v>
      </c>
      <c r="C542" s="33" t="s">
        <v>19</v>
      </c>
      <c r="D542" s="35">
        <v>45446</v>
      </c>
      <c r="E542" s="32" t="s">
        <v>185</v>
      </c>
      <c r="F542" s="32">
        <v>22025348</v>
      </c>
      <c r="G542" s="32" t="s">
        <v>218</v>
      </c>
      <c r="H542" s="26" t="s">
        <v>38</v>
      </c>
      <c r="I542" s="36">
        <v>100</v>
      </c>
      <c r="J542" s="32">
        <f>IF(MB25_VOLUMETRIA[[#This Row],[Reserva]]="","",1)</f>
        <v>1</v>
      </c>
      <c r="K542" s="36" t="str">
        <f>IF(MB25_VOLUMETRIA[[#This Row],[Reserva]]="","",IFERROR(VLOOKUP(MB25_VOLUMETRIA[[#This Row],[UMB]],CHAVE[],2,FALSE),"VERIFICAR"))</f>
        <v>Unidade</v>
      </c>
      <c r="L5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2" s="32" t="str">
        <f ca="1">IFERROR(VLOOKUP(MB25_VOLUMETRIA[[#This Row],[Reserva]],RES_AB[],14,FALSE),"")</f>
        <v>RESERVAS EM ATRASO</v>
      </c>
      <c r="N542" s="32" t="str">
        <f>IF(MB25_VOLUMETRIA[[#This Row],[Cen.]]="","",IFERROR(VLOOKUP(MB25_VOLUMETRIA[[#This Row],[Cen.]],Dados_Empresas[],2,FALSE),"Verificar empresa"))</f>
        <v>NET MASSIVO</v>
      </c>
      <c r="O542" s="32" t="str">
        <f>IF(MB25_VOLUMETRIA[[#This Row],[EMPRESA]]="","",IF(OR(MB25_VOLUMETRIA[[#This Row],[EMPRESA]]="NET MASSIVO",MB25_VOLUMETRIA[[#This Row],[EMPRESA]]="NET PROJETOS"),"NET","EMPRESARIAL"))</f>
        <v>NET</v>
      </c>
    </row>
    <row r="543" spans="1:15" x14ac:dyDescent="0.25">
      <c r="A543" s="32">
        <v>4379671</v>
      </c>
      <c r="B543" s="32" t="s">
        <v>21</v>
      </c>
      <c r="C543" s="33" t="s">
        <v>19</v>
      </c>
      <c r="D543" s="35">
        <v>45446</v>
      </c>
      <c r="E543" s="32" t="s">
        <v>185</v>
      </c>
      <c r="F543" s="32">
        <v>22026103</v>
      </c>
      <c r="G543" s="32" t="s">
        <v>322</v>
      </c>
      <c r="H543" s="26" t="s">
        <v>38</v>
      </c>
      <c r="I543" s="36">
        <v>20</v>
      </c>
      <c r="J543" s="32">
        <f>IF(MB25_VOLUMETRIA[[#This Row],[Reserva]]="","",1)</f>
        <v>1</v>
      </c>
      <c r="K543" s="36" t="str">
        <f>IF(MB25_VOLUMETRIA[[#This Row],[Reserva]]="","",IFERROR(VLOOKUP(MB25_VOLUMETRIA[[#This Row],[UMB]],CHAVE[],2,FALSE),"VERIFICAR"))</f>
        <v>Unidade</v>
      </c>
      <c r="L54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3" s="32" t="str">
        <f ca="1">IFERROR(VLOOKUP(MB25_VOLUMETRIA[[#This Row],[Reserva]],RES_AB[],14,FALSE),"")</f>
        <v>RESERVAS EM ATRASO</v>
      </c>
      <c r="N543" s="32" t="str">
        <f>IF(MB25_VOLUMETRIA[[#This Row],[Cen.]]="","",IFERROR(VLOOKUP(MB25_VOLUMETRIA[[#This Row],[Cen.]],Dados_Empresas[],2,FALSE),"Verificar empresa"))</f>
        <v>NET MASSIVO</v>
      </c>
      <c r="O543" s="32" t="str">
        <f>IF(MB25_VOLUMETRIA[[#This Row],[EMPRESA]]="","",IF(OR(MB25_VOLUMETRIA[[#This Row],[EMPRESA]]="NET MASSIVO",MB25_VOLUMETRIA[[#This Row],[EMPRESA]]="NET PROJETOS"),"NET","EMPRESARIAL"))</f>
        <v>NET</v>
      </c>
    </row>
    <row r="544" spans="1:15" x14ac:dyDescent="0.25">
      <c r="A544" s="32">
        <v>4379671</v>
      </c>
      <c r="B544" s="32" t="s">
        <v>21</v>
      </c>
      <c r="C544" s="33" t="s">
        <v>21</v>
      </c>
      <c r="D544" s="35">
        <v>45446</v>
      </c>
      <c r="E544" s="32" t="s">
        <v>185</v>
      </c>
      <c r="F544" s="32">
        <v>22026223</v>
      </c>
      <c r="G544" s="32" t="s">
        <v>195</v>
      </c>
      <c r="H544" s="26" t="s">
        <v>38</v>
      </c>
      <c r="I544" s="36">
        <v>1525</v>
      </c>
      <c r="J544" s="32">
        <f>IF(MB25_VOLUMETRIA[[#This Row],[Reserva]]="","",1)</f>
        <v>1</v>
      </c>
      <c r="K544" s="36" t="str">
        <f>IF(MB25_VOLUMETRIA[[#This Row],[Reserva]]="","",IFERROR(VLOOKUP(MB25_VOLUMETRIA[[#This Row],[UMB]],CHAVE[],2,FALSE),"VERIFICAR"))</f>
        <v>Unidade</v>
      </c>
      <c r="L54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4" s="32" t="str">
        <f ca="1">IFERROR(VLOOKUP(MB25_VOLUMETRIA[[#This Row],[Reserva]],RES_AB[],14,FALSE),"")</f>
        <v>RESERVAS EM ATRASO</v>
      </c>
      <c r="N544" s="32" t="str">
        <f>IF(MB25_VOLUMETRIA[[#This Row],[Cen.]]="","",IFERROR(VLOOKUP(MB25_VOLUMETRIA[[#This Row],[Cen.]],Dados_Empresas[],2,FALSE),"Verificar empresa"))</f>
        <v>NET MASSIVO</v>
      </c>
      <c r="O544" s="32" t="str">
        <f>IF(MB25_VOLUMETRIA[[#This Row],[EMPRESA]]="","",IF(OR(MB25_VOLUMETRIA[[#This Row],[EMPRESA]]="NET MASSIVO",MB25_VOLUMETRIA[[#This Row],[EMPRESA]]="NET PROJETOS"),"NET","EMPRESARIAL"))</f>
        <v>NET</v>
      </c>
    </row>
    <row r="545" spans="1:15" x14ac:dyDescent="0.25">
      <c r="A545" s="32">
        <v>4379671</v>
      </c>
      <c r="B545" s="32" t="s">
        <v>21</v>
      </c>
      <c r="C545" s="33" t="s">
        <v>19</v>
      </c>
      <c r="D545" s="35">
        <v>45446</v>
      </c>
      <c r="E545" s="32" t="s">
        <v>185</v>
      </c>
      <c r="F545" s="32">
        <v>22026249</v>
      </c>
      <c r="G545" s="32" t="s">
        <v>186</v>
      </c>
      <c r="H545" s="26" t="s">
        <v>38</v>
      </c>
      <c r="I545" s="36">
        <v>70</v>
      </c>
      <c r="J545" s="32">
        <f>IF(MB25_VOLUMETRIA[[#This Row],[Reserva]]="","",1)</f>
        <v>1</v>
      </c>
      <c r="K545" s="36" t="str">
        <f>IF(MB25_VOLUMETRIA[[#This Row],[Reserva]]="","",IFERROR(VLOOKUP(MB25_VOLUMETRIA[[#This Row],[UMB]],CHAVE[],2,FALSE),"VERIFICAR"))</f>
        <v>Unidade</v>
      </c>
      <c r="L54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5" s="32" t="str">
        <f ca="1">IFERROR(VLOOKUP(MB25_VOLUMETRIA[[#This Row],[Reserva]],RES_AB[],14,FALSE),"")</f>
        <v>RESERVAS EM ATRASO</v>
      </c>
      <c r="N545" s="32" t="str">
        <f>IF(MB25_VOLUMETRIA[[#This Row],[Cen.]]="","",IFERROR(VLOOKUP(MB25_VOLUMETRIA[[#This Row],[Cen.]],Dados_Empresas[],2,FALSE),"Verificar empresa"))</f>
        <v>NET MASSIVO</v>
      </c>
      <c r="O545" s="32" t="str">
        <f>IF(MB25_VOLUMETRIA[[#This Row],[EMPRESA]]="","",IF(OR(MB25_VOLUMETRIA[[#This Row],[EMPRESA]]="NET MASSIVO",MB25_VOLUMETRIA[[#This Row],[EMPRESA]]="NET PROJETOS"),"NET","EMPRESARIAL"))</f>
        <v>NET</v>
      </c>
    </row>
    <row r="546" spans="1:15" x14ac:dyDescent="0.25">
      <c r="A546" s="32">
        <v>4379671</v>
      </c>
      <c r="B546" s="32" t="s">
        <v>21</v>
      </c>
      <c r="C546" s="33" t="s">
        <v>21</v>
      </c>
      <c r="D546" s="35">
        <v>45446</v>
      </c>
      <c r="E546" s="32" t="s">
        <v>185</v>
      </c>
      <c r="F546" s="32">
        <v>22026772</v>
      </c>
      <c r="G546" s="32" t="s">
        <v>201</v>
      </c>
      <c r="H546" s="26" t="s">
        <v>38</v>
      </c>
      <c r="I546" s="36">
        <v>100</v>
      </c>
      <c r="J546" s="32">
        <f>IF(MB25_VOLUMETRIA[[#This Row],[Reserva]]="","",1)</f>
        <v>1</v>
      </c>
      <c r="K546" s="36" t="str">
        <f>IF(MB25_VOLUMETRIA[[#This Row],[Reserva]]="","",IFERROR(VLOOKUP(MB25_VOLUMETRIA[[#This Row],[UMB]],CHAVE[],2,FALSE),"VERIFICAR"))</f>
        <v>Unidade</v>
      </c>
      <c r="L54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6" s="32" t="str">
        <f ca="1">IFERROR(VLOOKUP(MB25_VOLUMETRIA[[#This Row],[Reserva]],RES_AB[],14,FALSE),"")</f>
        <v>RESERVAS EM ATRASO</v>
      </c>
      <c r="N546" s="32" t="str">
        <f>IF(MB25_VOLUMETRIA[[#This Row],[Cen.]]="","",IFERROR(VLOOKUP(MB25_VOLUMETRIA[[#This Row],[Cen.]],Dados_Empresas[],2,FALSE),"Verificar empresa"))</f>
        <v>NET MASSIVO</v>
      </c>
      <c r="O546" s="32" t="str">
        <f>IF(MB25_VOLUMETRIA[[#This Row],[EMPRESA]]="","",IF(OR(MB25_VOLUMETRIA[[#This Row],[EMPRESA]]="NET MASSIVO",MB25_VOLUMETRIA[[#This Row],[EMPRESA]]="NET PROJETOS"),"NET","EMPRESARIAL"))</f>
        <v>NET</v>
      </c>
    </row>
    <row r="547" spans="1:15" x14ac:dyDescent="0.25">
      <c r="A547" s="32">
        <v>4379671</v>
      </c>
      <c r="B547" s="32" t="s">
        <v>21</v>
      </c>
      <c r="C547" s="33" t="s">
        <v>21</v>
      </c>
      <c r="D547" s="35">
        <v>45446</v>
      </c>
      <c r="E547" s="32" t="s">
        <v>185</v>
      </c>
      <c r="F547" s="32">
        <v>22026792</v>
      </c>
      <c r="G547" s="32" t="s">
        <v>202</v>
      </c>
      <c r="H547" s="26" t="s">
        <v>38</v>
      </c>
      <c r="I547" s="36">
        <v>25</v>
      </c>
      <c r="J547" s="32">
        <f>IF(MB25_VOLUMETRIA[[#This Row],[Reserva]]="","",1)</f>
        <v>1</v>
      </c>
      <c r="K547" s="36" t="str">
        <f>IF(MB25_VOLUMETRIA[[#This Row],[Reserva]]="","",IFERROR(VLOOKUP(MB25_VOLUMETRIA[[#This Row],[UMB]],CHAVE[],2,FALSE),"VERIFICAR"))</f>
        <v>Unidade</v>
      </c>
      <c r="L54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7" s="32" t="str">
        <f ca="1">IFERROR(VLOOKUP(MB25_VOLUMETRIA[[#This Row],[Reserva]],RES_AB[],14,FALSE),"")</f>
        <v>RESERVAS EM ATRASO</v>
      </c>
      <c r="N547" s="32" t="str">
        <f>IF(MB25_VOLUMETRIA[[#This Row],[Cen.]]="","",IFERROR(VLOOKUP(MB25_VOLUMETRIA[[#This Row],[Cen.]],Dados_Empresas[],2,FALSE),"Verificar empresa"))</f>
        <v>NET MASSIVO</v>
      </c>
      <c r="O547" s="32" t="str">
        <f>IF(MB25_VOLUMETRIA[[#This Row],[EMPRESA]]="","",IF(OR(MB25_VOLUMETRIA[[#This Row],[EMPRESA]]="NET MASSIVO",MB25_VOLUMETRIA[[#This Row],[EMPRESA]]="NET PROJETOS"),"NET","EMPRESARIAL"))</f>
        <v>NET</v>
      </c>
    </row>
    <row r="548" spans="1:15" x14ac:dyDescent="0.25">
      <c r="A548" s="32">
        <v>4379671</v>
      </c>
      <c r="B548" s="32" t="s">
        <v>21</v>
      </c>
      <c r="C548" s="33" t="s">
        <v>21</v>
      </c>
      <c r="D548" s="35">
        <v>45446</v>
      </c>
      <c r="E548" s="32" t="s">
        <v>185</v>
      </c>
      <c r="F548" s="32">
        <v>22026795</v>
      </c>
      <c r="G548" s="32" t="s">
        <v>261</v>
      </c>
      <c r="H548" s="26" t="s">
        <v>38</v>
      </c>
      <c r="I548" s="36">
        <v>75</v>
      </c>
      <c r="J548" s="32">
        <f>IF(MB25_VOLUMETRIA[[#This Row],[Reserva]]="","",1)</f>
        <v>1</v>
      </c>
      <c r="K548" s="36" t="str">
        <f>IF(MB25_VOLUMETRIA[[#This Row],[Reserva]]="","",IFERROR(VLOOKUP(MB25_VOLUMETRIA[[#This Row],[UMB]],CHAVE[],2,FALSE),"VERIFICAR"))</f>
        <v>Unidade</v>
      </c>
      <c r="L54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8" s="32" t="str">
        <f ca="1">IFERROR(VLOOKUP(MB25_VOLUMETRIA[[#This Row],[Reserva]],RES_AB[],14,FALSE),"")</f>
        <v>RESERVAS EM ATRASO</v>
      </c>
      <c r="N548" s="32" t="str">
        <f>IF(MB25_VOLUMETRIA[[#This Row],[Cen.]]="","",IFERROR(VLOOKUP(MB25_VOLUMETRIA[[#This Row],[Cen.]],Dados_Empresas[],2,FALSE),"Verificar empresa"))</f>
        <v>NET MASSIVO</v>
      </c>
      <c r="O548" s="32" t="str">
        <f>IF(MB25_VOLUMETRIA[[#This Row],[EMPRESA]]="","",IF(OR(MB25_VOLUMETRIA[[#This Row],[EMPRESA]]="NET MASSIVO",MB25_VOLUMETRIA[[#This Row],[EMPRESA]]="NET PROJETOS"),"NET","EMPRESARIAL"))</f>
        <v>NET</v>
      </c>
    </row>
    <row r="549" spans="1:15" x14ac:dyDescent="0.25">
      <c r="A549" s="32">
        <v>4379671</v>
      </c>
      <c r="B549" s="32" t="s">
        <v>21</v>
      </c>
      <c r="C549" s="33" t="s">
        <v>21</v>
      </c>
      <c r="D549" s="35">
        <v>45446</v>
      </c>
      <c r="E549" s="32" t="s">
        <v>185</v>
      </c>
      <c r="F549" s="32">
        <v>22026809</v>
      </c>
      <c r="G549" s="32" t="s">
        <v>231</v>
      </c>
      <c r="H549" s="26" t="s">
        <v>38</v>
      </c>
      <c r="I549" s="36">
        <v>150</v>
      </c>
      <c r="J549" s="32">
        <f>IF(MB25_VOLUMETRIA[[#This Row],[Reserva]]="","",1)</f>
        <v>1</v>
      </c>
      <c r="K549" s="36" t="str">
        <f>IF(MB25_VOLUMETRIA[[#This Row],[Reserva]]="","",IFERROR(VLOOKUP(MB25_VOLUMETRIA[[#This Row],[UMB]],CHAVE[],2,FALSE),"VERIFICAR"))</f>
        <v>Unidade</v>
      </c>
      <c r="L54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49" s="32" t="str">
        <f ca="1">IFERROR(VLOOKUP(MB25_VOLUMETRIA[[#This Row],[Reserva]],RES_AB[],14,FALSE),"")</f>
        <v>RESERVAS EM ATRASO</v>
      </c>
      <c r="N549" s="32" t="str">
        <f>IF(MB25_VOLUMETRIA[[#This Row],[Cen.]]="","",IFERROR(VLOOKUP(MB25_VOLUMETRIA[[#This Row],[Cen.]],Dados_Empresas[],2,FALSE),"Verificar empresa"))</f>
        <v>NET MASSIVO</v>
      </c>
      <c r="O549" s="32" t="str">
        <f>IF(MB25_VOLUMETRIA[[#This Row],[EMPRESA]]="","",IF(OR(MB25_VOLUMETRIA[[#This Row],[EMPRESA]]="NET MASSIVO",MB25_VOLUMETRIA[[#This Row],[EMPRESA]]="NET PROJETOS"),"NET","EMPRESARIAL"))</f>
        <v>NET</v>
      </c>
    </row>
    <row r="550" spans="1:15" x14ac:dyDescent="0.25">
      <c r="A550" s="32">
        <v>4379671</v>
      </c>
      <c r="B550" s="32" t="s">
        <v>21</v>
      </c>
      <c r="C550" s="33" t="s">
        <v>21</v>
      </c>
      <c r="D550" s="35">
        <v>45446</v>
      </c>
      <c r="E550" s="32" t="s">
        <v>185</v>
      </c>
      <c r="F550" s="32">
        <v>22056331</v>
      </c>
      <c r="G550" s="32" t="s">
        <v>209</v>
      </c>
      <c r="H550" s="26" t="s">
        <v>38</v>
      </c>
      <c r="I550" s="36">
        <v>200</v>
      </c>
      <c r="J550" s="32">
        <f>IF(MB25_VOLUMETRIA[[#This Row],[Reserva]]="","",1)</f>
        <v>1</v>
      </c>
      <c r="K550" s="36" t="str">
        <f>IF(MB25_VOLUMETRIA[[#This Row],[Reserva]]="","",IFERROR(VLOOKUP(MB25_VOLUMETRIA[[#This Row],[UMB]],CHAVE[],2,FALSE),"VERIFICAR"))</f>
        <v>Unidade</v>
      </c>
      <c r="L55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0" s="32" t="str">
        <f ca="1">IFERROR(VLOOKUP(MB25_VOLUMETRIA[[#This Row],[Reserva]],RES_AB[],14,FALSE),"")</f>
        <v>RESERVAS EM ATRASO</v>
      </c>
      <c r="N550" s="32" t="str">
        <f>IF(MB25_VOLUMETRIA[[#This Row],[Cen.]]="","",IFERROR(VLOOKUP(MB25_VOLUMETRIA[[#This Row],[Cen.]],Dados_Empresas[],2,FALSE),"Verificar empresa"))</f>
        <v>NET MASSIVO</v>
      </c>
      <c r="O550" s="32" t="str">
        <f>IF(MB25_VOLUMETRIA[[#This Row],[EMPRESA]]="","",IF(OR(MB25_VOLUMETRIA[[#This Row],[EMPRESA]]="NET MASSIVO",MB25_VOLUMETRIA[[#This Row],[EMPRESA]]="NET PROJETOS"),"NET","EMPRESARIAL"))</f>
        <v>NET</v>
      </c>
    </row>
    <row r="551" spans="1:15" x14ac:dyDescent="0.25">
      <c r="A551" s="32">
        <v>4379671</v>
      </c>
      <c r="B551" s="32" t="s">
        <v>21</v>
      </c>
      <c r="C551" s="33" t="s">
        <v>19</v>
      </c>
      <c r="D551" s="35">
        <v>45446</v>
      </c>
      <c r="E551" s="32" t="s">
        <v>185</v>
      </c>
      <c r="F551" s="32">
        <v>22056336</v>
      </c>
      <c r="G551" s="32" t="s">
        <v>324</v>
      </c>
      <c r="H551" s="26" t="s">
        <v>38</v>
      </c>
      <c r="I551" s="36">
        <v>100</v>
      </c>
      <c r="J551" s="32">
        <f>IF(MB25_VOLUMETRIA[[#This Row],[Reserva]]="","",1)</f>
        <v>1</v>
      </c>
      <c r="K551" s="36" t="str">
        <f>IF(MB25_VOLUMETRIA[[#This Row],[Reserva]]="","",IFERROR(VLOOKUP(MB25_VOLUMETRIA[[#This Row],[UMB]],CHAVE[],2,FALSE),"VERIFICAR"))</f>
        <v>Unidade</v>
      </c>
      <c r="L55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1" s="32" t="str">
        <f ca="1">IFERROR(VLOOKUP(MB25_VOLUMETRIA[[#This Row],[Reserva]],RES_AB[],14,FALSE),"")</f>
        <v>RESERVAS EM ATRASO</v>
      </c>
      <c r="N551" s="32" t="str">
        <f>IF(MB25_VOLUMETRIA[[#This Row],[Cen.]]="","",IFERROR(VLOOKUP(MB25_VOLUMETRIA[[#This Row],[Cen.]],Dados_Empresas[],2,FALSE),"Verificar empresa"))</f>
        <v>NET MASSIVO</v>
      </c>
      <c r="O551" s="32" t="str">
        <f>IF(MB25_VOLUMETRIA[[#This Row],[EMPRESA]]="","",IF(OR(MB25_VOLUMETRIA[[#This Row],[EMPRESA]]="NET MASSIVO",MB25_VOLUMETRIA[[#This Row],[EMPRESA]]="NET PROJETOS"),"NET","EMPRESARIAL"))</f>
        <v>NET</v>
      </c>
    </row>
    <row r="552" spans="1:15" x14ac:dyDescent="0.25">
      <c r="A552" s="32">
        <v>4379671</v>
      </c>
      <c r="B552" s="32" t="s">
        <v>21</v>
      </c>
      <c r="C552" s="33" t="s">
        <v>21</v>
      </c>
      <c r="D552" s="35">
        <v>45446</v>
      </c>
      <c r="E552" s="32" t="s">
        <v>185</v>
      </c>
      <c r="F552" s="32">
        <v>22056343</v>
      </c>
      <c r="G552" s="32" t="s">
        <v>234</v>
      </c>
      <c r="H552" s="26" t="s">
        <v>38</v>
      </c>
      <c r="I552" s="36">
        <v>200</v>
      </c>
      <c r="J552" s="32">
        <f>IF(MB25_VOLUMETRIA[[#This Row],[Reserva]]="","",1)</f>
        <v>1</v>
      </c>
      <c r="K552" s="36" t="str">
        <f>IF(MB25_VOLUMETRIA[[#This Row],[Reserva]]="","",IFERROR(VLOOKUP(MB25_VOLUMETRIA[[#This Row],[UMB]],CHAVE[],2,FALSE),"VERIFICAR"))</f>
        <v>Unidade</v>
      </c>
      <c r="L55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2" s="32" t="str">
        <f ca="1">IFERROR(VLOOKUP(MB25_VOLUMETRIA[[#This Row],[Reserva]],RES_AB[],14,FALSE),"")</f>
        <v>RESERVAS EM ATRASO</v>
      </c>
      <c r="N552" s="32" t="str">
        <f>IF(MB25_VOLUMETRIA[[#This Row],[Cen.]]="","",IFERROR(VLOOKUP(MB25_VOLUMETRIA[[#This Row],[Cen.]],Dados_Empresas[],2,FALSE),"Verificar empresa"))</f>
        <v>NET MASSIVO</v>
      </c>
      <c r="O552" s="32" t="str">
        <f>IF(MB25_VOLUMETRIA[[#This Row],[EMPRESA]]="","",IF(OR(MB25_VOLUMETRIA[[#This Row],[EMPRESA]]="NET MASSIVO",MB25_VOLUMETRIA[[#This Row],[EMPRESA]]="NET PROJETOS"),"NET","EMPRESARIAL"))</f>
        <v>NET</v>
      </c>
    </row>
    <row r="553" spans="1:15" x14ac:dyDescent="0.25">
      <c r="A553" s="32">
        <v>4379671</v>
      </c>
      <c r="B553" s="32" t="s">
        <v>21</v>
      </c>
      <c r="C553" s="33" t="s">
        <v>21</v>
      </c>
      <c r="D553" s="35">
        <v>45446</v>
      </c>
      <c r="E553" s="32" t="s">
        <v>185</v>
      </c>
      <c r="F553" s="32">
        <v>22056365</v>
      </c>
      <c r="G553" s="32" t="s">
        <v>244</v>
      </c>
      <c r="H553" s="26" t="s">
        <v>38</v>
      </c>
      <c r="I553" s="36">
        <v>360</v>
      </c>
      <c r="J553" s="32">
        <f>IF(MB25_VOLUMETRIA[[#This Row],[Reserva]]="","",1)</f>
        <v>1</v>
      </c>
      <c r="K553" s="36" t="str">
        <f>IF(MB25_VOLUMETRIA[[#This Row],[Reserva]]="","",IFERROR(VLOOKUP(MB25_VOLUMETRIA[[#This Row],[UMB]],CHAVE[],2,FALSE),"VERIFICAR"))</f>
        <v>Unidade</v>
      </c>
      <c r="L55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3" s="32" t="str">
        <f ca="1">IFERROR(VLOOKUP(MB25_VOLUMETRIA[[#This Row],[Reserva]],RES_AB[],14,FALSE),"")</f>
        <v>RESERVAS EM ATRASO</v>
      </c>
      <c r="N553" s="32" t="str">
        <f>IF(MB25_VOLUMETRIA[[#This Row],[Cen.]]="","",IFERROR(VLOOKUP(MB25_VOLUMETRIA[[#This Row],[Cen.]],Dados_Empresas[],2,FALSE),"Verificar empresa"))</f>
        <v>NET MASSIVO</v>
      </c>
      <c r="O553" s="32" t="str">
        <f>IF(MB25_VOLUMETRIA[[#This Row],[EMPRESA]]="","",IF(OR(MB25_VOLUMETRIA[[#This Row],[EMPRESA]]="NET MASSIVO",MB25_VOLUMETRIA[[#This Row],[EMPRESA]]="NET PROJETOS"),"NET","EMPRESARIAL"))</f>
        <v>NET</v>
      </c>
    </row>
    <row r="554" spans="1:15" x14ac:dyDescent="0.25">
      <c r="A554" s="32">
        <v>4379671</v>
      </c>
      <c r="B554" s="32" t="s">
        <v>21</v>
      </c>
      <c r="C554" s="33" t="s">
        <v>21</v>
      </c>
      <c r="D554" s="35">
        <v>45446</v>
      </c>
      <c r="E554" s="32" t="s">
        <v>185</v>
      </c>
      <c r="F554" s="32">
        <v>22057659</v>
      </c>
      <c r="G554" s="32" t="s">
        <v>224</v>
      </c>
      <c r="H554" s="26" t="s">
        <v>38</v>
      </c>
      <c r="I554" s="36">
        <v>160</v>
      </c>
      <c r="J554" s="32">
        <f>IF(MB25_VOLUMETRIA[[#This Row],[Reserva]]="","",1)</f>
        <v>1</v>
      </c>
      <c r="K554" s="36" t="str">
        <f>IF(MB25_VOLUMETRIA[[#This Row],[Reserva]]="","",IFERROR(VLOOKUP(MB25_VOLUMETRIA[[#This Row],[UMB]],CHAVE[],2,FALSE),"VERIFICAR"))</f>
        <v>Unidade</v>
      </c>
      <c r="L55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4" s="32" t="str">
        <f ca="1">IFERROR(VLOOKUP(MB25_VOLUMETRIA[[#This Row],[Reserva]],RES_AB[],14,FALSE),"")</f>
        <v>RESERVAS EM ATRASO</v>
      </c>
      <c r="N554" s="32" t="str">
        <f>IF(MB25_VOLUMETRIA[[#This Row],[Cen.]]="","",IFERROR(VLOOKUP(MB25_VOLUMETRIA[[#This Row],[Cen.]],Dados_Empresas[],2,FALSE),"Verificar empresa"))</f>
        <v>NET MASSIVO</v>
      </c>
      <c r="O554" s="32" t="str">
        <f>IF(MB25_VOLUMETRIA[[#This Row],[EMPRESA]]="","",IF(OR(MB25_VOLUMETRIA[[#This Row],[EMPRESA]]="NET MASSIVO",MB25_VOLUMETRIA[[#This Row],[EMPRESA]]="NET PROJETOS"),"NET","EMPRESARIAL"))</f>
        <v>NET</v>
      </c>
    </row>
    <row r="555" spans="1:15" x14ac:dyDescent="0.25">
      <c r="A555" s="32">
        <v>4379671</v>
      </c>
      <c r="B555" s="32" t="s">
        <v>21</v>
      </c>
      <c r="C555" s="33" t="s">
        <v>19</v>
      </c>
      <c r="D555" s="35">
        <v>45446</v>
      </c>
      <c r="E555" s="32" t="s">
        <v>185</v>
      </c>
      <c r="F555" s="32">
        <v>22058239</v>
      </c>
      <c r="G555" s="32" t="s">
        <v>317</v>
      </c>
      <c r="H555" s="26" t="s">
        <v>38</v>
      </c>
      <c r="I555" s="36">
        <v>70</v>
      </c>
      <c r="J555" s="32">
        <f>IF(MB25_VOLUMETRIA[[#This Row],[Reserva]]="","",1)</f>
        <v>1</v>
      </c>
      <c r="K555" s="36" t="str">
        <f>IF(MB25_VOLUMETRIA[[#This Row],[Reserva]]="","",IFERROR(VLOOKUP(MB25_VOLUMETRIA[[#This Row],[UMB]],CHAVE[],2,FALSE),"VERIFICAR"))</f>
        <v>Unidade</v>
      </c>
      <c r="L55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5" s="32" t="str">
        <f ca="1">IFERROR(VLOOKUP(MB25_VOLUMETRIA[[#This Row],[Reserva]],RES_AB[],14,FALSE),"")</f>
        <v>RESERVAS EM ATRASO</v>
      </c>
      <c r="N555" s="32" t="str">
        <f>IF(MB25_VOLUMETRIA[[#This Row],[Cen.]]="","",IFERROR(VLOOKUP(MB25_VOLUMETRIA[[#This Row],[Cen.]],Dados_Empresas[],2,FALSE),"Verificar empresa"))</f>
        <v>NET MASSIVO</v>
      </c>
      <c r="O555" s="32" t="str">
        <f>IF(MB25_VOLUMETRIA[[#This Row],[EMPRESA]]="","",IF(OR(MB25_VOLUMETRIA[[#This Row],[EMPRESA]]="NET MASSIVO",MB25_VOLUMETRIA[[#This Row],[EMPRESA]]="NET PROJETOS"),"NET","EMPRESARIAL"))</f>
        <v>NET</v>
      </c>
    </row>
    <row r="556" spans="1:15" x14ac:dyDescent="0.25">
      <c r="A556" s="32">
        <v>4379671</v>
      </c>
      <c r="B556" s="32" t="s">
        <v>21</v>
      </c>
      <c r="C556" s="33" t="s">
        <v>21</v>
      </c>
      <c r="D556" s="35">
        <v>45446</v>
      </c>
      <c r="E556" s="32" t="s">
        <v>185</v>
      </c>
      <c r="F556" s="32">
        <v>22058258</v>
      </c>
      <c r="G556" s="32" t="s">
        <v>187</v>
      </c>
      <c r="H556" s="26" t="s">
        <v>38</v>
      </c>
      <c r="I556" s="36">
        <v>140</v>
      </c>
      <c r="J556" s="32">
        <f>IF(MB25_VOLUMETRIA[[#This Row],[Reserva]]="","",1)</f>
        <v>1</v>
      </c>
      <c r="K556" s="36" t="str">
        <f>IF(MB25_VOLUMETRIA[[#This Row],[Reserva]]="","",IFERROR(VLOOKUP(MB25_VOLUMETRIA[[#This Row],[UMB]],CHAVE[],2,FALSE),"VERIFICAR"))</f>
        <v>Unidade</v>
      </c>
      <c r="L55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6" s="32" t="str">
        <f ca="1">IFERROR(VLOOKUP(MB25_VOLUMETRIA[[#This Row],[Reserva]],RES_AB[],14,FALSE),"")</f>
        <v>RESERVAS EM ATRASO</v>
      </c>
      <c r="N556" s="32" t="str">
        <f>IF(MB25_VOLUMETRIA[[#This Row],[Cen.]]="","",IFERROR(VLOOKUP(MB25_VOLUMETRIA[[#This Row],[Cen.]],Dados_Empresas[],2,FALSE),"Verificar empresa"))</f>
        <v>NET MASSIVO</v>
      </c>
      <c r="O556" s="32" t="str">
        <f>IF(MB25_VOLUMETRIA[[#This Row],[EMPRESA]]="","",IF(OR(MB25_VOLUMETRIA[[#This Row],[EMPRESA]]="NET MASSIVO",MB25_VOLUMETRIA[[#This Row],[EMPRESA]]="NET PROJETOS"),"NET","EMPRESARIAL"))</f>
        <v>NET</v>
      </c>
    </row>
    <row r="557" spans="1:15" x14ac:dyDescent="0.25">
      <c r="A557" s="32">
        <v>4379671</v>
      </c>
      <c r="B557" s="32" t="s">
        <v>21</v>
      </c>
      <c r="C557" s="33" t="s">
        <v>19</v>
      </c>
      <c r="D557" s="35">
        <v>45446</v>
      </c>
      <c r="E557" s="32" t="s">
        <v>185</v>
      </c>
      <c r="F557" s="32">
        <v>22058639</v>
      </c>
      <c r="G557" s="32" t="s">
        <v>290</v>
      </c>
      <c r="H557" s="26" t="s">
        <v>38</v>
      </c>
      <c r="I557" s="36">
        <v>20</v>
      </c>
      <c r="J557" s="32">
        <f>IF(MB25_VOLUMETRIA[[#This Row],[Reserva]]="","",1)</f>
        <v>1</v>
      </c>
      <c r="K557" s="36" t="str">
        <f>IF(MB25_VOLUMETRIA[[#This Row],[Reserva]]="","",IFERROR(VLOOKUP(MB25_VOLUMETRIA[[#This Row],[UMB]],CHAVE[],2,FALSE),"VERIFICAR"))</f>
        <v>Unidade</v>
      </c>
      <c r="L55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7" s="32" t="str">
        <f ca="1">IFERROR(VLOOKUP(MB25_VOLUMETRIA[[#This Row],[Reserva]],RES_AB[],14,FALSE),"")</f>
        <v>RESERVAS EM ATRASO</v>
      </c>
      <c r="N557" s="32" t="str">
        <f>IF(MB25_VOLUMETRIA[[#This Row],[Cen.]]="","",IFERROR(VLOOKUP(MB25_VOLUMETRIA[[#This Row],[Cen.]],Dados_Empresas[],2,FALSE),"Verificar empresa"))</f>
        <v>NET MASSIVO</v>
      </c>
      <c r="O557" s="32" t="str">
        <f>IF(MB25_VOLUMETRIA[[#This Row],[EMPRESA]]="","",IF(OR(MB25_VOLUMETRIA[[#This Row],[EMPRESA]]="NET MASSIVO",MB25_VOLUMETRIA[[#This Row],[EMPRESA]]="NET PROJETOS"),"NET","EMPRESARIAL"))</f>
        <v>NET</v>
      </c>
    </row>
    <row r="558" spans="1:15" x14ac:dyDescent="0.25">
      <c r="A558" s="32">
        <v>4379671</v>
      </c>
      <c r="B558" s="32" t="s">
        <v>21</v>
      </c>
      <c r="C558" s="33" t="s">
        <v>21</v>
      </c>
      <c r="D558" s="35">
        <v>45446</v>
      </c>
      <c r="E558" s="32" t="s">
        <v>185</v>
      </c>
      <c r="F558" s="32">
        <v>22063252</v>
      </c>
      <c r="G558" s="32" t="s">
        <v>323</v>
      </c>
      <c r="H558" s="26" t="s">
        <v>38</v>
      </c>
      <c r="I558" s="36">
        <v>20</v>
      </c>
      <c r="J558" s="32">
        <f>IF(MB25_VOLUMETRIA[[#This Row],[Reserva]]="","",1)</f>
        <v>1</v>
      </c>
      <c r="K558" s="36" t="str">
        <f>IF(MB25_VOLUMETRIA[[#This Row],[Reserva]]="","",IFERROR(VLOOKUP(MB25_VOLUMETRIA[[#This Row],[UMB]],CHAVE[],2,FALSE),"VERIFICAR"))</f>
        <v>Unidade</v>
      </c>
      <c r="L55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8" s="32" t="str">
        <f ca="1">IFERROR(VLOOKUP(MB25_VOLUMETRIA[[#This Row],[Reserva]],RES_AB[],14,FALSE),"")</f>
        <v>RESERVAS EM ATRASO</v>
      </c>
      <c r="N558" s="32" t="str">
        <f>IF(MB25_VOLUMETRIA[[#This Row],[Cen.]]="","",IFERROR(VLOOKUP(MB25_VOLUMETRIA[[#This Row],[Cen.]],Dados_Empresas[],2,FALSE),"Verificar empresa"))</f>
        <v>NET MASSIVO</v>
      </c>
      <c r="O558" s="32" t="str">
        <f>IF(MB25_VOLUMETRIA[[#This Row],[EMPRESA]]="","",IF(OR(MB25_VOLUMETRIA[[#This Row],[EMPRESA]]="NET MASSIVO",MB25_VOLUMETRIA[[#This Row],[EMPRESA]]="NET PROJETOS"),"NET","EMPRESARIAL"))</f>
        <v>NET</v>
      </c>
    </row>
    <row r="559" spans="1:15" x14ac:dyDescent="0.25">
      <c r="A559" s="32">
        <v>4379671</v>
      </c>
      <c r="B559" s="32" t="s">
        <v>21</v>
      </c>
      <c r="C559" s="33" t="s">
        <v>21</v>
      </c>
      <c r="D559" s="35">
        <v>45446</v>
      </c>
      <c r="E559" s="32" t="s">
        <v>185</v>
      </c>
      <c r="F559" s="32">
        <v>22065513</v>
      </c>
      <c r="G559" s="32" t="s">
        <v>227</v>
      </c>
      <c r="H559" s="26" t="s">
        <v>38</v>
      </c>
      <c r="I559" s="36">
        <v>300</v>
      </c>
      <c r="J559" s="32">
        <f>IF(MB25_VOLUMETRIA[[#This Row],[Reserva]]="","",1)</f>
        <v>1</v>
      </c>
      <c r="K559" s="36" t="str">
        <f>IF(MB25_VOLUMETRIA[[#This Row],[Reserva]]="","",IFERROR(VLOOKUP(MB25_VOLUMETRIA[[#This Row],[UMB]],CHAVE[],2,FALSE),"VERIFICAR"))</f>
        <v>Unidade</v>
      </c>
      <c r="L55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59" s="32" t="str">
        <f ca="1">IFERROR(VLOOKUP(MB25_VOLUMETRIA[[#This Row],[Reserva]],RES_AB[],14,FALSE),"")</f>
        <v>RESERVAS EM ATRASO</v>
      </c>
      <c r="N559" s="32" t="str">
        <f>IF(MB25_VOLUMETRIA[[#This Row],[Cen.]]="","",IFERROR(VLOOKUP(MB25_VOLUMETRIA[[#This Row],[Cen.]],Dados_Empresas[],2,FALSE),"Verificar empresa"))</f>
        <v>NET MASSIVO</v>
      </c>
      <c r="O559" s="32" t="str">
        <f>IF(MB25_VOLUMETRIA[[#This Row],[EMPRESA]]="","",IF(OR(MB25_VOLUMETRIA[[#This Row],[EMPRESA]]="NET MASSIVO",MB25_VOLUMETRIA[[#This Row],[EMPRESA]]="NET PROJETOS"),"NET","EMPRESARIAL"))</f>
        <v>NET</v>
      </c>
    </row>
    <row r="560" spans="1:15" x14ac:dyDescent="0.25">
      <c r="A560" s="32">
        <v>4379671</v>
      </c>
      <c r="B560" s="32" t="s">
        <v>21</v>
      </c>
      <c r="C560" s="33" t="s">
        <v>19</v>
      </c>
      <c r="D560" s="35">
        <v>45446</v>
      </c>
      <c r="E560" s="32" t="s">
        <v>185</v>
      </c>
      <c r="F560" s="32">
        <v>22065609</v>
      </c>
      <c r="G560" s="32" t="s">
        <v>256</v>
      </c>
      <c r="H560" s="26" t="s">
        <v>38</v>
      </c>
      <c r="I560" s="36">
        <v>35</v>
      </c>
      <c r="J560" s="32">
        <f>IF(MB25_VOLUMETRIA[[#This Row],[Reserva]]="","",1)</f>
        <v>1</v>
      </c>
      <c r="K560" s="36" t="str">
        <f>IF(MB25_VOLUMETRIA[[#This Row],[Reserva]]="","",IFERROR(VLOOKUP(MB25_VOLUMETRIA[[#This Row],[UMB]],CHAVE[],2,FALSE),"VERIFICAR"))</f>
        <v>Unidade</v>
      </c>
      <c r="L56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60" s="32" t="str">
        <f ca="1">IFERROR(VLOOKUP(MB25_VOLUMETRIA[[#This Row],[Reserva]],RES_AB[],14,FALSE),"")</f>
        <v>RESERVAS EM ATRASO</v>
      </c>
      <c r="N560" s="32" t="str">
        <f>IF(MB25_VOLUMETRIA[[#This Row],[Cen.]]="","",IFERROR(VLOOKUP(MB25_VOLUMETRIA[[#This Row],[Cen.]],Dados_Empresas[],2,FALSE),"Verificar empresa"))</f>
        <v>NET MASSIVO</v>
      </c>
      <c r="O560" s="32" t="str">
        <f>IF(MB25_VOLUMETRIA[[#This Row],[EMPRESA]]="","",IF(OR(MB25_VOLUMETRIA[[#This Row],[EMPRESA]]="NET MASSIVO",MB25_VOLUMETRIA[[#This Row],[EMPRESA]]="NET PROJETOS"),"NET","EMPRESARIAL"))</f>
        <v>NET</v>
      </c>
    </row>
    <row r="561" spans="1:15" x14ac:dyDescent="0.25">
      <c r="A561" s="32">
        <v>4379671</v>
      </c>
      <c r="B561" s="32" t="s">
        <v>21</v>
      </c>
      <c r="C561" s="33" t="s">
        <v>19</v>
      </c>
      <c r="D561" s="35">
        <v>45446</v>
      </c>
      <c r="E561" s="32" t="s">
        <v>185</v>
      </c>
      <c r="F561" s="32">
        <v>22066258</v>
      </c>
      <c r="G561" s="32" t="s">
        <v>190</v>
      </c>
      <c r="H561" s="26" t="s">
        <v>38</v>
      </c>
      <c r="I561" s="36">
        <v>40</v>
      </c>
      <c r="J561" s="32">
        <f>IF(MB25_VOLUMETRIA[[#This Row],[Reserva]]="","",1)</f>
        <v>1</v>
      </c>
      <c r="K561" s="36" t="str">
        <f>IF(MB25_VOLUMETRIA[[#This Row],[Reserva]]="","",IFERROR(VLOOKUP(MB25_VOLUMETRIA[[#This Row],[UMB]],CHAVE[],2,FALSE),"VERIFICAR"))</f>
        <v>Unidade</v>
      </c>
      <c r="L56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61" s="32" t="str">
        <f ca="1">IFERROR(VLOOKUP(MB25_VOLUMETRIA[[#This Row],[Reserva]],RES_AB[],14,FALSE),"")</f>
        <v>RESERVAS EM ATRASO</v>
      </c>
      <c r="N561" s="32" t="str">
        <f>IF(MB25_VOLUMETRIA[[#This Row],[Cen.]]="","",IFERROR(VLOOKUP(MB25_VOLUMETRIA[[#This Row],[Cen.]],Dados_Empresas[],2,FALSE),"Verificar empresa"))</f>
        <v>NET MASSIVO</v>
      </c>
      <c r="O561" s="32" t="str">
        <f>IF(MB25_VOLUMETRIA[[#This Row],[EMPRESA]]="","",IF(OR(MB25_VOLUMETRIA[[#This Row],[EMPRESA]]="NET MASSIVO",MB25_VOLUMETRIA[[#This Row],[EMPRESA]]="NET PROJETOS"),"NET","EMPRESARIAL"))</f>
        <v>NET</v>
      </c>
    </row>
    <row r="562" spans="1:15" x14ac:dyDescent="0.25">
      <c r="A562" s="32">
        <v>4379672</v>
      </c>
      <c r="B562" s="32" t="s">
        <v>21</v>
      </c>
      <c r="C562" s="33" t="s">
        <v>19</v>
      </c>
      <c r="D562" s="35">
        <v>45446</v>
      </c>
      <c r="E562" s="32" t="s">
        <v>184</v>
      </c>
      <c r="F562" s="32">
        <v>41000805</v>
      </c>
      <c r="G562" s="32" t="s">
        <v>188</v>
      </c>
      <c r="H562" s="26" t="s">
        <v>38</v>
      </c>
      <c r="I562" s="36">
        <v>90</v>
      </c>
      <c r="J562" s="32">
        <f>IF(MB25_VOLUMETRIA[[#This Row],[Reserva]]="","",1)</f>
        <v>1</v>
      </c>
      <c r="K562" s="36" t="str">
        <f>IF(MB25_VOLUMETRIA[[#This Row],[Reserva]]="","",IFERROR(VLOOKUP(MB25_VOLUMETRIA[[#This Row],[UMB]],CHAVE[],2,FALSE),"VERIFICAR"))</f>
        <v>Unidade</v>
      </c>
      <c r="L562" s="32" t="str">
        <f>IF(MB25_VOLUMETRIA[[#This Row],[Reserva]]="","",IFERROR(VLOOKUP(MB25_VOLUMETRIA[[#This Row],[Reserva]],Tabela3[[Reserva]:[Condição para Faturamento]],20,FALSE),"IMPORTADO COM SUCESSO"))</f>
        <v>EM SEPARAÇÃO</v>
      </c>
      <c r="M562" s="32" t="str">
        <f ca="1">IFERROR(VLOOKUP(MB25_VOLUMETRIA[[#This Row],[Reserva]],RES_AB[],14,FALSE),"")</f>
        <v>RESERVAS EM ATRASO</v>
      </c>
      <c r="N562" s="32" t="str">
        <f>IF(MB25_VOLUMETRIA[[#This Row],[Cen.]]="","",IFERROR(VLOOKUP(MB25_VOLUMETRIA[[#This Row],[Cen.]],Dados_Empresas[],2,FALSE),"Verificar empresa"))</f>
        <v>NET MASSIVO</v>
      </c>
      <c r="O562" s="32" t="str">
        <f>IF(MB25_VOLUMETRIA[[#This Row],[EMPRESA]]="","",IF(OR(MB25_VOLUMETRIA[[#This Row],[EMPRESA]]="NET MASSIVO",MB25_VOLUMETRIA[[#This Row],[EMPRESA]]="NET PROJETOS"),"NET","EMPRESARIAL"))</f>
        <v>NET</v>
      </c>
    </row>
    <row r="563" spans="1:15" x14ac:dyDescent="0.25">
      <c r="A563" s="32">
        <v>4379672</v>
      </c>
      <c r="B563" s="32" t="s">
        <v>21</v>
      </c>
      <c r="C563" s="33" t="s">
        <v>19</v>
      </c>
      <c r="D563" s="35">
        <v>45446</v>
      </c>
      <c r="E563" s="32" t="s">
        <v>184</v>
      </c>
      <c r="F563" s="32">
        <v>41001048</v>
      </c>
      <c r="G563" s="32" t="s">
        <v>318</v>
      </c>
      <c r="H563" s="26" t="s">
        <v>38</v>
      </c>
      <c r="I563" s="36">
        <v>70</v>
      </c>
      <c r="J563" s="32">
        <f>IF(MB25_VOLUMETRIA[[#This Row],[Reserva]]="","",1)</f>
        <v>1</v>
      </c>
      <c r="K563" s="36" t="str">
        <f>IF(MB25_VOLUMETRIA[[#This Row],[Reserva]]="","",IFERROR(VLOOKUP(MB25_VOLUMETRIA[[#This Row],[UMB]],CHAVE[],2,FALSE),"VERIFICAR"))</f>
        <v>Unidade</v>
      </c>
      <c r="L563" s="32" t="str">
        <f>IF(MB25_VOLUMETRIA[[#This Row],[Reserva]]="","",IFERROR(VLOOKUP(MB25_VOLUMETRIA[[#This Row],[Reserva]],Tabela3[[Reserva]:[Condição para Faturamento]],20,FALSE),"IMPORTADO COM SUCESSO"))</f>
        <v>EM SEPARAÇÃO</v>
      </c>
      <c r="M563" s="32" t="str">
        <f ca="1">IFERROR(VLOOKUP(MB25_VOLUMETRIA[[#This Row],[Reserva]],RES_AB[],14,FALSE),"")</f>
        <v>RESERVAS EM ATRASO</v>
      </c>
      <c r="N563" s="32" t="str">
        <f>IF(MB25_VOLUMETRIA[[#This Row],[Cen.]]="","",IFERROR(VLOOKUP(MB25_VOLUMETRIA[[#This Row],[Cen.]],Dados_Empresas[],2,FALSE),"Verificar empresa"))</f>
        <v>NET MASSIVO</v>
      </c>
      <c r="O563" s="32" t="str">
        <f>IF(MB25_VOLUMETRIA[[#This Row],[EMPRESA]]="","",IF(OR(MB25_VOLUMETRIA[[#This Row],[EMPRESA]]="NET MASSIVO",MB25_VOLUMETRIA[[#This Row],[EMPRESA]]="NET PROJETOS"),"NET","EMPRESARIAL"))</f>
        <v>NET</v>
      </c>
    </row>
    <row r="564" spans="1:15" x14ac:dyDescent="0.25">
      <c r="A564" s="32">
        <v>4379672</v>
      </c>
      <c r="B564" s="32" t="s">
        <v>21</v>
      </c>
      <c r="C564" s="33" t="s">
        <v>19</v>
      </c>
      <c r="D564" s="35">
        <v>45446</v>
      </c>
      <c r="E564" s="32" t="s">
        <v>184</v>
      </c>
      <c r="F564" s="32">
        <v>41001484</v>
      </c>
      <c r="G564" s="32" t="s">
        <v>292</v>
      </c>
      <c r="H564" s="26" t="s">
        <v>38</v>
      </c>
      <c r="I564" s="36">
        <v>20</v>
      </c>
      <c r="J564" s="32">
        <f>IF(MB25_VOLUMETRIA[[#This Row],[Reserva]]="","",1)</f>
        <v>1</v>
      </c>
      <c r="K564" s="36" t="str">
        <f>IF(MB25_VOLUMETRIA[[#This Row],[Reserva]]="","",IFERROR(VLOOKUP(MB25_VOLUMETRIA[[#This Row],[UMB]],CHAVE[],2,FALSE),"VERIFICAR"))</f>
        <v>Unidade</v>
      </c>
      <c r="L564" s="32" t="str">
        <f>IF(MB25_VOLUMETRIA[[#This Row],[Reserva]]="","",IFERROR(VLOOKUP(MB25_VOLUMETRIA[[#This Row],[Reserva]],Tabela3[[Reserva]:[Condição para Faturamento]],20,FALSE),"IMPORTADO COM SUCESSO"))</f>
        <v>EM SEPARAÇÃO</v>
      </c>
      <c r="M564" s="32" t="str">
        <f ca="1">IFERROR(VLOOKUP(MB25_VOLUMETRIA[[#This Row],[Reserva]],RES_AB[],14,FALSE),"")</f>
        <v>RESERVAS EM ATRASO</v>
      </c>
      <c r="N564" s="32" t="str">
        <f>IF(MB25_VOLUMETRIA[[#This Row],[Cen.]]="","",IFERROR(VLOOKUP(MB25_VOLUMETRIA[[#This Row],[Cen.]],Dados_Empresas[],2,FALSE),"Verificar empresa"))</f>
        <v>NET MASSIVO</v>
      </c>
      <c r="O564" s="32" t="str">
        <f>IF(MB25_VOLUMETRIA[[#This Row],[EMPRESA]]="","",IF(OR(MB25_VOLUMETRIA[[#This Row],[EMPRESA]]="NET MASSIVO",MB25_VOLUMETRIA[[#This Row],[EMPRESA]]="NET PROJETOS"),"NET","EMPRESARIAL"))</f>
        <v>NET</v>
      </c>
    </row>
    <row r="565" spans="1:15" x14ac:dyDescent="0.25">
      <c r="A565" s="32">
        <v>4379672</v>
      </c>
      <c r="B565" s="32" t="s">
        <v>21</v>
      </c>
      <c r="C565" s="33" t="s">
        <v>19</v>
      </c>
      <c r="D565" s="35">
        <v>45446</v>
      </c>
      <c r="E565" s="32" t="s">
        <v>184</v>
      </c>
      <c r="F565" s="32">
        <v>41001523</v>
      </c>
      <c r="G565" s="32" t="s">
        <v>258</v>
      </c>
      <c r="H565" s="26" t="s">
        <v>38</v>
      </c>
      <c r="I565" s="36">
        <v>35</v>
      </c>
      <c r="J565" s="32">
        <f>IF(MB25_VOLUMETRIA[[#This Row],[Reserva]]="","",1)</f>
        <v>1</v>
      </c>
      <c r="K565" s="36" t="str">
        <f>IF(MB25_VOLUMETRIA[[#This Row],[Reserva]]="","",IFERROR(VLOOKUP(MB25_VOLUMETRIA[[#This Row],[UMB]],CHAVE[],2,FALSE),"VERIFICAR"))</f>
        <v>Unidade</v>
      </c>
      <c r="L565" s="32" t="str">
        <f>IF(MB25_VOLUMETRIA[[#This Row],[Reserva]]="","",IFERROR(VLOOKUP(MB25_VOLUMETRIA[[#This Row],[Reserva]],Tabela3[[Reserva]:[Condição para Faturamento]],20,FALSE),"IMPORTADO COM SUCESSO"))</f>
        <v>EM SEPARAÇÃO</v>
      </c>
      <c r="M565" s="32" t="str">
        <f ca="1">IFERROR(VLOOKUP(MB25_VOLUMETRIA[[#This Row],[Reserva]],RES_AB[],14,FALSE),"")</f>
        <v>RESERVAS EM ATRASO</v>
      </c>
      <c r="N565" s="32" t="str">
        <f>IF(MB25_VOLUMETRIA[[#This Row],[Cen.]]="","",IFERROR(VLOOKUP(MB25_VOLUMETRIA[[#This Row],[Cen.]],Dados_Empresas[],2,FALSE),"Verificar empresa"))</f>
        <v>NET MASSIVO</v>
      </c>
      <c r="O565" s="32" t="str">
        <f>IF(MB25_VOLUMETRIA[[#This Row],[EMPRESA]]="","",IF(OR(MB25_VOLUMETRIA[[#This Row],[EMPRESA]]="NET MASSIVO",MB25_VOLUMETRIA[[#This Row],[EMPRESA]]="NET PROJETOS"),"NET","EMPRESARIAL"))</f>
        <v>NET</v>
      </c>
    </row>
    <row r="566" spans="1:15" x14ac:dyDescent="0.25">
      <c r="A566" s="32">
        <v>4379672</v>
      </c>
      <c r="B566" s="32" t="s">
        <v>21</v>
      </c>
      <c r="C566" s="33" t="s">
        <v>19</v>
      </c>
      <c r="D566" s="35">
        <v>45446</v>
      </c>
      <c r="E566" s="32" t="s">
        <v>184</v>
      </c>
      <c r="F566" s="32">
        <v>41001535</v>
      </c>
      <c r="G566" s="32" t="s">
        <v>191</v>
      </c>
      <c r="H566" s="26" t="s">
        <v>38</v>
      </c>
      <c r="I566" s="36">
        <v>40</v>
      </c>
      <c r="J566" s="32">
        <f>IF(MB25_VOLUMETRIA[[#This Row],[Reserva]]="","",1)</f>
        <v>1</v>
      </c>
      <c r="K566" s="36" t="str">
        <f>IF(MB25_VOLUMETRIA[[#This Row],[Reserva]]="","",IFERROR(VLOOKUP(MB25_VOLUMETRIA[[#This Row],[UMB]],CHAVE[],2,FALSE),"VERIFICAR"))</f>
        <v>Unidade</v>
      </c>
      <c r="L566" s="32" t="str">
        <f>IF(MB25_VOLUMETRIA[[#This Row],[Reserva]]="","",IFERROR(VLOOKUP(MB25_VOLUMETRIA[[#This Row],[Reserva]],Tabela3[[Reserva]:[Condição para Faturamento]],20,FALSE),"IMPORTADO COM SUCESSO"))</f>
        <v>EM SEPARAÇÃO</v>
      </c>
      <c r="M566" s="32" t="str">
        <f ca="1">IFERROR(VLOOKUP(MB25_VOLUMETRIA[[#This Row],[Reserva]],RES_AB[],14,FALSE),"")</f>
        <v>RESERVAS EM ATRASO</v>
      </c>
      <c r="N566" s="32" t="str">
        <f>IF(MB25_VOLUMETRIA[[#This Row],[Cen.]]="","",IFERROR(VLOOKUP(MB25_VOLUMETRIA[[#This Row],[Cen.]],Dados_Empresas[],2,FALSE),"Verificar empresa"))</f>
        <v>NET MASSIVO</v>
      </c>
      <c r="O566" s="32" t="str">
        <f>IF(MB25_VOLUMETRIA[[#This Row],[EMPRESA]]="","",IF(OR(MB25_VOLUMETRIA[[#This Row],[EMPRESA]]="NET MASSIVO",MB25_VOLUMETRIA[[#This Row],[EMPRESA]]="NET PROJETOS"),"NET","EMPRESARIAL"))</f>
        <v>NET</v>
      </c>
    </row>
    <row r="567" spans="1:15" x14ac:dyDescent="0.25">
      <c r="A567" s="32">
        <v>4379673</v>
      </c>
      <c r="B567" s="32" t="s">
        <v>21</v>
      </c>
      <c r="C567" s="33" t="s">
        <v>21</v>
      </c>
      <c r="D567" s="35">
        <v>45446</v>
      </c>
      <c r="E567" s="32" t="s">
        <v>185</v>
      </c>
      <c r="F567" s="32">
        <v>22025349</v>
      </c>
      <c r="G567" s="32" t="s">
        <v>217</v>
      </c>
      <c r="H567" s="26" t="s">
        <v>38</v>
      </c>
      <c r="I567" s="36">
        <v>300</v>
      </c>
      <c r="J567" s="32">
        <f>IF(MB25_VOLUMETRIA[[#This Row],[Reserva]]="","",1)</f>
        <v>1</v>
      </c>
      <c r="K567" s="36" t="str">
        <f>IF(MB25_VOLUMETRIA[[#This Row],[Reserva]]="","",IFERROR(VLOOKUP(MB25_VOLUMETRIA[[#This Row],[UMB]],CHAVE[],2,FALSE),"VERIFICAR"))</f>
        <v>Unidade</v>
      </c>
      <c r="L567" s="32" t="str">
        <f>IF(MB25_VOLUMETRIA[[#This Row],[Reserva]]="","",IFERROR(VLOOKUP(MB25_VOLUMETRIA[[#This Row],[Reserva]],Tabela3[[Reserva]:[Condição para Faturamento]],20,FALSE),"IMPORTADO COM SUCESSO"))</f>
        <v>EM CONFERENCIA</v>
      </c>
      <c r="M567" s="32" t="str">
        <f ca="1">IFERROR(VLOOKUP(MB25_VOLUMETRIA[[#This Row],[Reserva]],RES_AB[],14,FALSE),"")</f>
        <v>RESERVAS EM ATRASO</v>
      </c>
      <c r="N567" s="32" t="str">
        <f>IF(MB25_VOLUMETRIA[[#This Row],[Cen.]]="","",IFERROR(VLOOKUP(MB25_VOLUMETRIA[[#This Row],[Cen.]],Dados_Empresas[],2,FALSE),"Verificar empresa"))</f>
        <v>NET MASSIVO</v>
      </c>
      <c r="O567" s="32" t="str">
        <f>IF(MB25_VOLUMETRIA[[#This Row],[EMPRESA]]="","",IF(OR(MB25_VOLUMETRIA[[#This Row],[EMPRESA]]="NET MASSIVO",MB25_VOLUMETRIA[[#This Row],[EMPRESA]]="NET PROJETOS"),"NET","EMPRESARIAL"))</f>
        <v>NET</v>
      </c>
    </row>
    <row r="568" spans="1:15" x14ac:dyDescent="0.25">
      <c r="A568" s="32">
        <v>4379673</v>
      </c>
      <c r="B568" s="32" t="s">
        <v>21</v>
      </c>
      <c r="C568" s="33" t="s">
        <v>19</v>
      </c>
      <c r="D568" s="35">
        <v>45446</v>
      </c>
      <c r="E568" s="32" t="s">
        <v>185</v>
      </c>
      <c r="F568" s="32">
        <v>22026103</v>
      </c>
      <c r="G568" s="32" t="s">
        <v>322</v>
      </c>
      <c r="H568" s="26" t="s">
        <v>38</v>
      </c>
      <c r="I568" s="36">
        <v>20</v>
      </c>
      <c r="J568" s="32">
        <f>IF(MB25_VOLUMETRIA[[#This Row],[Reserva]]="","",1)</f>
        <v>1</v>
      </c>
      <c r="K568" s="36" t="str">
        <f>IF(MB25_VOLUMETRIA[[#This Row],[Reserva]]="","",IFERROR(VLOOKUP(MB25_VOLUMETRIA[[#This Row],[UMB]],CHAVE[],2,FALSE),"VERIFICAR"))</f>
        <v>Unidade</v>
      </c>
      <c r="L568" s="32" t="str">
        <f>IF(MB25_VOLUMETRIA[[#This Row],[Reserva]]="","",IFERROR(VLOOKUP(MB25_VOLUMETRIA[[#This Row],[Reserva]],Tabela3[[Reserva]:[Condição para Faturamento]],20,FALSE),"IMPORTADO COM SUCESSO"))</f>
        <v>EM CONFERENCIA</v>
      </c>
      <c r="M568" s="32" t="str">
        <f ca="1">IFERROR(VLOOKUP(MB25_VOLUMETRIA[[#This Row],[Reserva]],RES_AB[],14,FALSE),"")</f>
        <v>RESERVAS EM ATRASO</v>
      </c>
      <c r="N568" s="32" t="str">
        <f>IF(MB25_VOLUMETRIA[[#This Row],[Cen.]]="","",IFERROR(VLOOKUP(MB25_VOLUMETRIA[[#This Row],[Cen.]],Dados_Empresas[],2,FALSE),"Verificar empresa"))</f>
        <v>NET MASSIVO</v>
      </c>
      <c r="O568" s="32" t="str">
        <f>IF(MB25_VOLUMETRIA[[#This Row],[EMPRESA]]="","",IF(OR(MB25_VOLUMETRIA[[#This Row],[EMPRESA]]="NET MASSIVO",MB25_VOLUMETRIA[[#This Row],[EMPRESA]]="NET PROJETOS"),"NET","EMPRESARIAL"))</f>
        <v>NET</v>
      </c>
    </row>
    <row r="569" spans="1:15" x14ac:dyDescent="0.25">
      <c r="A569" s="32">
        <v>4379673</v>
      </c>
      <c r="B569" s="32" t="s">
        <v>21</v>
      </c>
      <c r="C569" s="33" t="s">
        <v>21</v>
      </c>
      <c r="D569" s="35">
        <v>45446</v>
      </c>
      <c r="E569" s="32" t="s">
        <v>185</v>
      </c>
      <c r="F569" s="32">
        <v>22026189</v>
      </c>
      <c r="G569" s="32" t="s">
        <v>200</v>
      </c>
      <c r="H569" s="26" t="s">
        <v>38</v>
      </c>
      <c r="I569" s="36">
        <v>4400</v>
      </c>
      <c r="J569" s="32">
        <f>IF(MB25_VOLUMETRIA[[#This Row],[Reserva]]="","",1)</f>
        <v>1</v>
      </c>
      <c r="K569" s="36" t="str">
        <f>IF(MB25_VOLUMETRIA[[#This Row],[Reserva]]="","",IFERROR(VLOOKUP(MB25_VOLUMETRIA[[#This Row],[UMB]],CHAVE[],2,FALSE),"VERIFICAR"))</f>
        <v>Unidade</v>
      </c>
      <c r="L569" s="32" t="str">
        <f>IF(MB25_VOLUMETRIA[[#This Row],[Reserva]]="","",IFERROR(VLOOKUP(MB25_VOLUMETRIA[[#This Row],[Reserva]],Tabela3[[Reserva]:[Condição para Faturamento]],20,FALSE),"IMPORTADO COM SUCESSO"))</f>
        <v>EM CONFERENCIA</v>
      </c>
      <c r="M569" s="32" t="str">
        <f ca="1">IFERROR(VLOOKUP(MB25_VOLUMETRIA[[#This Row],[Reserva]],RES_AB[],14,FALSE),"")</f>
        <v>RESERVAS EM ATRASO</v>
      </c>
      <c r="N569" s="32" t="str">
        <f>IF(MB25_VOLUMETRIA[[#This Row],[Cen.]]="","",IFERROR(VLOOKUP(MB25_VOLUMETRIA[[#This Row],[Cen.]],Dados_Empresas[],2,FALSE),"Verificar empresa"))</f>
        <v>NET MASSIVO</v>
      </c>
      <c r="O569" s="32" t="str">
        <f>IF(MB25_VOLUMETRIA[[#This Row],[EMPRESA]]="","",IF(OR(MB25_VOLUMETRIA[[#This Row],[EMPRESA]]="NET MASSIVO",MB25_VOLUMETRIA[[#This Row],[EMPRESA]]="NET PROJETOS"),"NET","EMPRESARIAL"))</f>
        <v>NET</v>
      </c>
    </row>
    <row r="570" spans="1:15" x14ac:dyDescent="0.25">
      <c r="A570" s="32">
        <v>4379673</v>
      </c>
      <c r="B570" s="32" t="s">
        <v>21</v>
      </c>
      <c r="C570" s="33" t="s">
        <v>19</v>
      </c>
      <c r="D570" s="35">
        <v>45446</v>
      </c>
      <c r="E570" s="32" t="s">
        <v>185</v>
      </c>
      <c r="F570" s="32">
        <v>22026249</v>
      </c>
      <c r="G570" s="32" t="s">
        <v>186</v>
      </c>
      <c r="H570" s="26" t="s">
        <v>38</v>
      </c>
      <c r="I570" s="36">
        <v>120</v>
      </c>
      <c r="J570" s="32">
        <f>IF(MB25_VOLUMETRIA[[#This Row],[Reserva]]="","",1)</f>
        <v>1</v>
      </c>
      <c r="K570" s="36" t="str">
        <f>IF(MB25_VOLUMETRIA[[#This Row],[Reserva]]="","",IFERROR(VLOOKUP(MB25_VOLUMETRIA[[#This Row],[UMB]],CHAVE[],2,FALSE),"VERIFICAR"))</f>
        <v>Unidade</v>
      </c>
      <c r="L570" s="32" t="str">
        <f>IF(MB25_VOLUMETRIA[[#This Row],[Reserva]]="","",IFERROR(VLOOKUP(MB25_VOLUMETRIA[[#This Row],[Reserva]],Tabela3[[Reserva]:[Condição para Faturamento]],20,FALSE),"IMPORTADO COM SUCESSO"))</f>
        <v>EM CONFERENCIA</v>
      </c>
      <c r="M570" s="32" t="str">
        <f ca="1">IFERROR(VLOOKUP(MB25_VOLUMETRIA[[#This Row],[Reserva]],RES_AB[],14,FALSE),"")</f>
        <v>RESERVAS EM ATRASO</v>
      </c>
      <c r="N570" s="32" t="str">
        <f>IF(MB25_VOLUMETRIA[[#This Row],[Cen.]]="","",IFERROR(VLOOKUP(MB25_VOLUMETRIA[[#This Row],[Cen.]],Dados_Empresas[],2,FALSE),"Verificar empresa"))</f>
        <v>NET MASSIVO</v>
      </c>
      <c r="O570" s="32" t="str">
        <f>IF(MB25_VOLUMETRIA[[#This Row],[EMPRESA]]="","",IF(OR(MB25_VOLUMETRIA[[#This Row],[EMPRESA]]="NET MASSIVO",MB25_VOLUMETRIA[[#This Row],[EMPRESA]]="NET PROJETOS"),"NET","EMPRESARIAL"))</f>
        <v>NET</v>
      </c>
    </row>
    <row r="571" spans="1:15" x14ac:dyDescent="0.25">
      <c r="A571" s="32">
        <v>4379673</v>
      </c>
      <c r="B571" s="32" t="s">
        <v>21</v>
      </c>
      <c r="C571" s="33" t="s">
        <v>21</v>
      </c>
      <c r="D571" s="35">
        <v>45446</v>
      </c>
      <c r="E571" s="32" t="s">
        <v>185</v>
      </c>
      <c r="F571" s="32">
        <v>22026746</v>
      </c>
      <c r="G571" s="32" t="s">
        <v>205</v>
      </c>
      <c r="H571" s="26" t="s">
        <v>38</v>
      </c>
      <c r="I571" s="36">
        <v>200</v>
      </c>
      <c r="J571" s="32">
        <f>IF(MB25_VOLUMETRIA[[#This Row],[Reserva]]="","",1)</f>
        <v>1</v>
      </c>
      <c r="K571" s="36" t="str">
        <f>IF(MB25_VOLUMETRIA[[#This Row],[Reserva]]="","",IFERROR(VLOOKUP(MB25_VOLUMETRIA[[#This Row],[UMB]],CHAVE[],2,FALSE),"VERIFICAR"))</f>
        <v>Unidade</v>
      </c>
      <c r="L571" s="32" t="str">
        <f>IF(MB25_VOLUMETRIA[[#This Row],[Reserva]]="","",IFERROR(VLOOKUP(MB25_VOLUMETRIA[[#This Row],[Reserva]],Tabela3[[Reserva]:[Condição para Faturamento]],20,FALSE),"IMPORTADO COM SUCESSO"))</f>
        <v>EM CONFERENCIA</v>
      </c>
      <c r="M571" s="32" t="str">
        <f ca="1">IFERROR(VLOOKUP(MB25_VOLUMETRIA[[#This Row],[Reserva]],RES_AB[],14,FALSE),"")</f>
        <v>RESERVAS EM ATRASO</v>
      </c>
      <c r="N571" s="32" t="str">
        <f>IF(MB25_VOLUMETRIA[[#This Row],[Cen.]]="","",IFERROR(VLOOKUP(MB25_VOLUMETRIA[[#This Row],[Cen.]],Dados_Empresas[],2,FALSE),"Verificar empresa"))</f>
        <v>NET MASSIVO</v>
      </c>
      <c r="O571" s="32" t="str">
        <f>IF(MB25_VOLUMETRIA[[#This Row],[EMPRESA]]="","",IF(OR(MB25_VOLUMETRIA[[#This Row],[EMPRESA]]="NET MASSIVO",MB25_VOLUMETRIA[[#This Row],[EMPRESA]]="NET PROJETOS"),"NET","EMPRESARIAL"))</f>
        <v>NET</v>
      </c>
    </row>
    <row r="572" spans="1:15" x14ac:dyDescent="0.25">
      <c r="A572" s="32">
        <v>4379673</v>
      </c>
      <c r="B572" s="32" t="s">
        <v>21</v>
      </c>
      <c r="C572" s="33" t="s">
        <v>21</v>
      </c>
      <c r="D572" s="35">
        <v>45446</v>
      </c>
      <c r="E572" s="32" t="s">
        <v>185</v>
      </c>
      <c r="F572" s="32">
        <v>22026772</v>
      </c>
      <c r="G572" s="32" t="s">
        <v>201</v>
      </c>
      <c r="H572" s="26" t="s">
        <v>38</v>
      </c>
      <c r="I572" s="36">
        <v>350</v>
      </c>
      <c r="J572" s="32">
        <f>IF(MB25_VOLUMETRIA[[#This Row],[Reserva]]="","",1)</f>
        <v>1</v>
      </c>
      <c r="K572" s="36" t="str">
        <f>IF(MB25_VOLUMETRIA[[#This Row],[Reserva]]="","",IFERROR(VLOOKUP(MB25_VOLUMETRIA[[#This Row],[UMB]],CHAVE[],2,FALSE),"VERIFICAR"))</f>
        <v>Unidade</v>
      </c>
      <c r="L572" s="32" t="str">
        <f>IF(MB25_VOLUMETRIA[[#This Row],[Reserva]]="","",IFERROR(VLOOKUP(MB25_VOLUMETRIA[[#This Row],[Reserva]],Tabela3[[Reserva]:[Condição para Faturamento]],20,FALSE),"IMPORTADO COM SUCESSO"))</f>
        <v>EM CONFERENCIA</v>
      </c>
      <c r="M572" s="32" t="str">
        <f ca="1">IFERROR(VLOOKUP(MB25_VOLUMETRIA[[#This Row],[Reserva]],RES_AB[],14,FALSE),"")</f>
        <v>RESERVAS EM ATRASO</v>
      </c>
      <c r="N572" s="32" t="str">
        <f>IF(MB25_VOLUMETRIA[[#This Row],[Cen.]]="","",IFERROR(VLOOKUP(MB25_VOLUMETRIA[[#This Row],[Cen.]],Dados_Empresas[],2,FALSE),"Verificar empresa"))</f>
        <v>NET MASSIVO</v>
      </c>
      <c r="O572" s="32" t="str">
        <f>IF(MB25_VOLUMETRIA[[#This Row],[EMPRESA]]="","",IF(OR(MB25_VOLUMETRIA[[#This Row],[EMPRESA]]="NET MASSIVO",MB25_VOLUMETRIA[[#This Row],[EMPRESA]]="NET PROJETOS"),"NET","EMPRESARIAL"))</f>
        <v>NET</v>
      </c>
    </row>
    <row r="573" spans="1:15" x14ac:dyDescent="0.25">
      <c r="A573" s="32">
        <v>4379673</v>
      </c>
      <c r="B573" s="32" t="s">
        <v>21</v>
      </c>
      <c r="C573" s="33" t="s">
        <v>21</v>
      </c>
      <c r="D573" s="35">
        <v>45446</v>
      </c>
      <c r="E573" s="32" t="s">
        <v>185</v>
      </c>
      <c r="F573" s="32">
        <v>22056332</v>
      </c>
      <c r="G573" s="32" t="s">
        <v>207</v>
      </c>
      <c r="H573" s="26" t="s">
        <v>38</v>
      </c>
      <c r="I573" s="36">
        <v>32</v>
      </c>
      <c r="J573" s="32">
        <f>IF(MB25_VOLUMETRIA[[#This Row],[Reserva]]="","",1)</f>
        <v>1</v>
      </c>
      <c r="K573" s="36" t="str">
        <f>IF(MB25_VOLUMETRIA[[#This Row],[Reserva]]="","",IFERROR(VLOOKUP(MB25_VOLUMETRIA[[#This Row],[UMB]],CHAVE[],2,FALSE),"VERIFICAR"))</f>
        <v>Unidade</v>
      </c>
      <c r="L573" s="32" t="str">
        <f>IF(MB25_VOLUMETRIA[[#This Row],[Reserva]]="","",IFERROR(VLOOKUP(MB25_VOLUMETRIA[[#This Row],[Reserva]],Tabela3[[Reserva]:[Condição para Faturamento]],20,FALSE),"IMPORTADO COM SUCESSO"))</f>
        <v>EM CONFERENCIA</v>
      </c>
      <c r="M573" s="32" t="str">
        <f ca="1">IFERROR(VLOOKUP(MB25_VOLUMETRIA[[#This Row],[Reserva]],RES_AB[],14,FALSE),"")</f>
        <v>RESERVAS EM ATRASO</v>
      </c>
      <c r="N573" s="32" t="str">
        <f>IF(MB25_VOLUMETRIA[[#This Row],[Cen.]]="","",IFERROR(VLOOKUP(MB25_VOLUMETRIA[[#This Row],[Cen.]],Dados_Empresas[],2,FALSE),"Verificar empresa"))</f>
        <v>NET MASSIVO</v>
      </c>
      <c r="O573" s="32" t="str">
        <f>IF(MB25_VOLUMETRIA[[#This Row],[EMPRESA]]="","",IF(OR(MB25_VOLUMETRIA[[#This Row],[EMPRESA]]="NET MASSIVO",MB25_VOLUMETRIA[[#This Row],[EMPRESA]]="NET PROJETOS"),"NET","EMPRESARIAL"))</f>
        <v>NET</v>
      </c>
    </row>
    <row r="574" spans="1:15" x14ac:dyDescent="0.25">
      <c r="A574" s="32">
        <v>4379673</v>
      </c>
      <c r="B574" s="32" t="s">
        <v>21</v>
      </c>
      <c r="C574" s="33" t="s">
        <v>21</v>
      </c>
      <c r="D574" s="35">
        <v>45446</v>
      </c>
      <c r="E574" s="32" t="s">
        <v>185</v>
      </c>
      <c r="F574" s="32">
        <v>22056359</v>
      </c>
      <c r="G574" s="32" t="s">
        <v>203</v>
      </c>
      <c r="H574" s="26" t="s">
        <v>38</v>
      </c>
      <c r="I574" s="36">
        <v>20</v>
      </c>
      <c r="J574" s="32">
        <f>IF(MB25_VOLUMETRIA[[#This Row],[Reserva]]="","",1)</f>
        <v>1</v>
      </c>
      <c r="K574" s="36" t="str">
        <f>IF(MB25_VOLUMETRIA[[#This Row],[Reserva]]="","",IFERROR(VLOOKUP(MB25_VOLUMETRIA[[#This Row],[UMB]],CHAVE[],2,FALSE),"VERIFICAR"))</f>
        <v>Unidade</v>
      </c>
      <c r="L574" s="32" t="str">
        <f>IF(MB25_VOLUMETRIA[[#This Row],[Reserva]]="","",IFERROR(VLOOKUP(MB25_VOLUMETRIA[[#This Row],[Reserva]],Tabela3[[Reserva]:[Condição para Faturamento]],20,FALSE),"IMPORTADO COM SUCESSO"))</f>
        <v>EM CONFERENCIA</v>
      </c>
      <c r="M574" s="32" t="str">
        <f ca="1">IFERROR(VLOOKUP(MB25_VOLUMETRIA[[#This Row],[Reserva]],RES_AB[],14,FALSE),"")</f>
        <v>RESERVAS EM ATRASO</v>
      </c>
      <c r="N574" s="32" t="str">
        <f>IF(MB25_VOLUMETRIA[[#This Row],[Cen.]]="","",IFERROR(VLOOKUP(MB25_VOLUMETRIA[[#This Row],[Cen.]],Dados_Empresas[],2,FALSE),"Verificar empresa"))</f>
        <v>NET MASSIVO</v>
      </c>
      <c r="O574" s="32" t="str">
        <f>IF(MB25_VOLUMETRIA[[#This Row],[EMPRESA]]="","",IF(OR(MB25_VOLUMETRIA[[#This Row],[EMPRESA]]="NET MASSIVO",MB25_VOLUMETRIA[[#This Row],[EMPRESA]]="NET PROJETOS"),"NET","EMPRESARIAL"))</f>
        <v>NET</v>
      </c>
    </row>
    <row r="575" spans="1:15" x14ac:dyDescent="0.25">
      <c r="A575" s="32">
        <v>4379673</v>
      </c>
      <c r="B575" s="32" t="s">
        <v>21</v>
      </c>
      <c r="C575" s="33" t="s">
        <v>21</v>
      </c>
      <c r="D575" s="35">
        <v>45446</v>
      </c>
      <c r="E575" s="32" t="s">
        <v>185</v>
      </c>
      <c r="F575" s="32">
        <v>22056369</v>
      </c>
      <c r="G575" s="32" t="s">
        <v>194</v>
      </c>
      <c r="H575" s="26" t="s">
        <v>38</v>
      </c>
      <c r="I575" s="36">
        <v>1200</v>
      </c>
      <c r="J575" s="32">
        <f>IF(MB25_VOLUMETRIA[[#This Row],[Reserva]]="","",1)</f>
        <v>1</v>
      </c>
      <c r="K575" s="36" t="str">
        <f>IF(MB25_VOLUMETRIA[[#This Row],[Reserva]]="","",IFERROR(VLOOKUP(MB25_VOLUMETRIA[[#This Row],[UMB]],CHAVE[],2,FALSE),"VERIFICAR"))</f>
        <v>Unidade</v>
      </c>
      <c r="L575" s="32" t="str">
        <f>IF(MB25_VOLUMETRIA[[#This Row],[Reserva]]="","",IFERROR(VLOOKUP(MB25_VOLUMETRIA[[#This Row],[Reserva]],Tabela3[[Reserva]:[Condição para Faturamento]],20,FALSE),"IMPORTADO COM SUCESSO"))</f>
        <v>EM CONFERENCIA</v>
      </c>
      <c r="M575" s="32" t="str">
        <f ca="1">IFERROR(VLOOKUP(MB25_VOLUMETRIA[[#This Row],[Reserva]],RES_AB[],14,FALSE),"")</f>
        <v>RESERVAS EM ATRASO</v>
      </c>
      <c r="N575" s="32" t="str">
        <f>IF(MB25_VOLUMETRIA[[#This Row],[Cen.]]="","",IFERROR(VLOOKUP(MB25_VOLUMETRIA[[#This Row],[Cen.]],Dados_Empresas[],2,FALSE),"Verificar empresa"))</f>
        <v>NET MASSIVO</v>
      </c>
      <c r="O575" s="32" t="str">
        <f>IF(MB25_VOLUMETRIA[[#This Row],[EMPRESA]]="","",IF(OR(MB25_VOLUMETRIA[[#This Row],[EMPRESA]]="NET MASSIVO",MB25_VOLUMETRIA[[#This Row],[EMPRESA]]="NET PROJETOS"),"NET","EMPRESARIAL"))</f>
        <v>NET</v>
      </c>
    </row>
    <row r="576" spans="1:15" x14ac:dyDescent="0.25">
      <c r="A576" s="32">
        <v>4379673</v>
      </c>
      <c r="B576" s="32" t="s">
        <v>21</v>
      </c>
      <c r="C576" s="33" t="s">
        <v>19</v>
      </c>
      <c r="D576" s="35">
        <v>45446</v>
      </c>
      <c r="E576" s="32" t="s">
        <v>185</v>
      </c>
      <c r="F576" s="32">
        <v>22057705</v>
      </c>
      <c r="G576" s="32" t="s">
        <v>241</v>
      </c>
      <c r="H576" s="26" t="s">
        <v>38</v>
      </c>
      <c r="I576" s="36">
        <v>230</v>
      </c>
      <c r="J576" s="32">
        <f>IF(MB25_VOLUMETRIA[[#This Row],[Reserva]]="","",1)</f>
        <v>1</v>
      </c>
      <c r="K576" s="36" t="str">
        <f>IF(MB25_VOLUMETRIA[[#This Row],[Reserva]]="","",IFERROR(VLOOKUP(MB25_VOLUMETRIA[[#This Row],[UMB]],CHAVE[],2,FALSE),"VERIFICAR"))</f>
        <v>Unidade</v>
      </c>
      <c r="L576" s="32" t="str">
        <f>IF(MB25_VOLUMETRIA[[#This Row],[Reserva]]="","",IFERROR(VLOOKUP(MB25_VOLUMETRIA[[#This Row],[Reserva]],Tabela3[[Reserva]:[Condição para Faturamento]],20,FALSE),"IMPORTADO COM SUCESSO"))</f>
        <v>EM CONFERENCIA</v>
      </c>
      <c r="M576" s="32" t="str">
        <f ca="1">IFERROR(VLOOKUP(MB25_VOLUMETRIA[[#This Row],[Reserva]],RES_AB[],14,FALSE),"")</f>
        <v>RESERVAS EM ATRASO</v>
      </c>
      <c r="N576" s="32" t="str">
        <f>IF(MB25_VOLUMETRIA[[#This Row],[Cen.]]="","",IFERROR(VLOOKUP(MB25_VOLUMETRIA[[#This Row],[Cen.]],Dados_Empresas[],2,FALSE),"Verificar empresa"))</f>
        <v>NET MASSIVO</v>
      </c>
      <c r="O576" s="32" t="str">
        <f>IF(MB25_VOLUMETRIA[[#This Row],[EMPRESA]]="","",IF(OR(MB25_VOLUMETRIA[[#This Row],[EMPRESA]]="NET MASSIVO",MB25_VOLUMETRIA[[#This Row],[EMPRESA]]="NET PROJETOS"),"NET","EMPRESARIAL"))</f>
        <v>NET</v>
      </c>
    </row>
    <row r="577" spans="1:15" x14ac:dyDescent="0.25">
      <c r="A577" s="32">
        <v>4379673</v>
      </c>
      <c r="B577" s="32" t="s">
        <v>21</v>
      </c>
      <c r="C577" s="33" t="s">
        <v>19</v>
      </c>
      <c r="D577" s="35">
        <v>45446</v>
      </c>
      <c r="E577" s="32" t="s">
        <v>185</v>
      </c>
      <c r="F577" s="32">
        <v>22058239</v>
      </c>
      <c r="G577" s="32" t="s">
        <v>317</v>
      </c>
      <c r="H577" s="26" t="s">
        <v>38</v>
      </c>
      <c r="I577" s="36">
        <v>120</v>
      </c>
      <c r="J577" s="32">
        <f>IF(MB25_VOLUMETRIA[[#This Row],[Reserva]]="","",1)</f>
        <v>1</v>
      </c>
      <c r="K577" s="36" t="str">
        <f>IF(MB25_VOLUMETRIA[[#This Row],[Reserva]]="","",IFERROR(VLOOKUP(MB25_VOLUMETRIA[[#This Row],[UMB]],CHAVE[],2,FALSE),"VERIFICAR"))</f>
        <v>Unidade</v>
      </c>
      <c r="L577" s="32" t="str">
        <f>IF(MB25_VOLUMETRIA[[#This Row],[Reserva]]="","",IFERROR(VLOOKUP(MB25_VOLUMETRIA[[#This Row],[Reserva]],Tabela3[[Reserva]:[Condição para Faturamento]],20,FALSE),"IMPORTADO COM SUCESSO"))</f>
        <v>EM CONFERENCIA</v>
      </c>
      <c r="M577" s="32" t="str">
        <f ca="1">IFERROR(VLOOKUP(MB25_VOLUMETRIA[[#This Row],[Reserva]],RES_AB[],14,FALSE),"")</f>
        <v>RESERVAS EM ATRASO</v>
      </c>
      <c r="N577" s="32" t="str">
        <f>IF(MB25_VOLUMETRIA[[#This Row],[Cen.]]="","",IFERROR(VLOOKUP(MB25_VOLUMETRIA[[#This Row],[Cen.]],Dados_Empresas[],2,FALSE),"Verificar empresa"))</f>
        <v>NET MASSIVO</v>
      </c>
      <c r="O577" s="32" t="str">
        <f>IF(MB25_VOLUMETRIA[[#This Row],[EMPRESA]]="","",IF(OR(MB25_VOLUMETRIA[[#This Row],[EMPRESA]]="NET MASSIVO",MB25_VOLUMETRIA[[#This Row],[EMPRESA]]="NET PROJETOS"),"NET","EMPRESARIAL"))</f>
        <v>NET</v>
      </c>
    </row>
    <row r="578" spans="1:15" x14ac:dyDescent="0.25">
      <c r="A578" s="32">
        <v>4379673</v>
      </c>
      <c r="B578" s="32" t="s">
        <v>21</v>
      </c>
      <c r="C578" s="33" t="s">
        <v>21</v>
      </c>
      <c r="D578" s="35">
        <v>45446</v>
      </c>
      <c r="E578" s="32" t="s">
        <v>185</v>
      </c>
      <c r="F578" s="32">
        <v>22058258</v>
      </c>
      <c r="G578" s="32" t="s">
        <v>187</v>
      </c>
      <c r="H578" s="26" t="s">
        <v>38</v>
      </c>
      <c r="I578" s="36">
        <v>240</v>
      </c>
      <c r="J578" s="32">
        <f>IF(MB25_VOLUMETRIA[[#This Row],[Reserva]]="","",1)</f>
        <v>1</v>
      </c>
      <c r="K578" s="36" t="str">
        <f>IF(MB25_VOLUMETRIA[[#This Row],[Reserva]]="","",IFERROR(VLOOKUP(MB25_VOLUMETRIA[[#This Row],[UMB]],CHAVE[],2,FALSE),"VERIFICAR"))</f>
        <v>Unidade</v>
      </c>
      <c r="L578" s="32" t="str">
        <f>IF(MB25_VOLUMETRIA[[#This Row],[Reserva]]="","",IFERROR(VLOOKUP(MB25_VOLUMETRIA[[#This Row],[Reserva]],Tabela3[[Reserva]:[Condição para Faturamento]],20,FALSE),"IMPORTADO COM SUCESSO"))</f>
        <v>EM CONFERENCIA</v>
      </c>
      <c r="M578" s="32" t="str">
        <f ca="1">IFERROR(VLOOKUP(MB25_VOLUMETRIA[[#This Row],[Reserva]],RES_AB[],14,FALSE),"")</f>
        <v>RESERVAS EM ATRASO</v>
      </c>
      <c r="N578" s="32" t="str">
        <f>IF(MB25_VOLUMETRIA[[#This Row],[Cen.]]="","",IFERROR(VLOOKUP(MB25_VOLUMETRIA[[#This Row],[Cen.]],Dados_Empresas[],2,FALSE),"Verificar empresa"))</f>
        <v>NET MASSIVO</v>
      </c>
      <c r="O578" s="32" t="str">
        <f>IF(MB25_VOLUMETRIA[[#This Row],[EMPRESA]]="","",IF(OR(MB25_VOLUMETRIA[[#This Row],[EMPRESA]]="NET MASSIVO",MB25_VOLUMETRIA[[#This Row],[EMPRESA]]="NET PROJETOS"),"NET","EMPRESARIAL"))</f>
        <v>NET</v>
      </c>
    </row>
    <row r="579" spans="1:15" x14ac:dyDescent="0.25">
      <c r="A579" s="32">
        <v>4379673</v>
      </c>
      <c r="B579" s="32" t="s">
        <v>21</v>
      </c>
      <c r="C579" s="33" t="s">
        <v>19</v>
      </c>
      <c r="D579" s="35">
        <v>45446</v>
      </c>
      <c r="E579" s="32" t="s">
        <v>185</v>
      </c>
      <c r="F579" s="32">
        <v>22058639</v>
      </c>
      <c r="G579" s="32" t="s">
        <v>290</v>
      </c>
      <c r="H579" s="26" t="s">
        <v>38</v>
      </c>
      <c r="I579" s="36">
        <v>20</v>
      </c>
      <c r="J579" s="32">
        <f>IF(MB25_VOLUMETRIA[[#This Row],[Reserva]]="","",1)</f>
        <v>1</v>
      </c>
      <c r="K579" s="36" t="str">
        <f>IF(MB25_VOLUMETRIA[[#This Row],[Reserva]]="","",IFERROR(VLOOKUP(MB25_VOLUMETRIA[[#This Row],[UMB]],CHAVE[],2,FALSE),"VERIFICAR"))</f>
        <v>Unidade</v>
      </c>
      <c r="L579" s="32" t="str">
        <f>IF(MB25_VOLUMETRIA[[#This Row],[Reserva]]="","",IFERROR(VLOOKUP(MB25_VOLUMETRIA[[#This Row],[Reserva]],Tabela3[[Reserva]:[Condição para Faturamento]],20,FALSE),"IMPORTADO COM SUCESSO"))</f>
        <v>EM CONFERENCIA</v>
      </c>
      <c r="M579" s="32" t="str">
        <f ca="1">IFERROR(VLOOKUP(MB25_VOLUMETRIA[[#This Row],[Reserva]],RES_AB[],14,FALSE),"")</f>
        <v>RESERVAS EM ATRASO</v>
      </c>
      <c r="N579" s="32" t="str">
        <f>IF(MB25_VOLUMETRIA[[#This Row],[Cen.]]="","",IFERROR(VLOOKUP(MB25_VOLUMETRIA[[#This Row],[Cen.]],Dados_Empresas[],2,FALSE),"Verificar empresa"))</f>
        <v>NET MASSIVO</v>
      </c>
      <c r="O579" s="32" t="str">
        <f>IF(MB25_VOLUMETRIA[[#This Row],[EMPRESA]]="","",IF(OR(MB25_VOLUMETRIA[[#This Row],[EMPRESA]]="NET MASSIVO",MB25_VOLUMETRIA[[#This Row],[EMPRESA]]="NET PROJETOS"),"NET","EMPRESARIAL"))</f>
        <v>NET</v>
      </c>
    </row>
    <row r="580" spans="1:15" x14ac:dyDescent="0.25">
      <c r="A580" s="32">
        <v>4379673</v>
      </c>
      <c r="B580" s="32" t="s">
        <v>21</v>
      </c>
      <c r="C580" s="33" t="s">
        <v>21</v>
      </c>
      <c r="D580" s="35">
        <v>45446</v>
      </c>
      <c r="E580" s="32" t="s">
        <v>185</v>
      </c>
      <c r="F580" s="32">
        <v>22061736</v>
      </c>
      <c r="G580" s="32" t="s">
        <v>216</v>
      </c>
      <c r="H580" s="26" t="s">
        <v>38</v>
      </c>
      <c r="I580" s="36">
        <v>10500</v>
      </c>
      <c r="J580" s="32">
        <f>IF(MB25_VOLUMETRIA[[#This Row],[Reserva]]="","",1)</f>
        <v>1</v>
      </c>
      <c r="K580" s="36" t="str">
        <f>IF(MB25_VOLUMETRIA[[#This Row],[Reserva]]="","",IFERROR(VLOOKUP(MB25_VOLUMETRIA[[#This Row],[UMB]],CHAVE[],2,FALSE),"VERIFICAR"))</f>
        <v>Unidade</v>
      </c>
      <c r="L580" s="32" t="str">
        <f>IF(MB25_VOLUMETRIA[[#This Row],[Reserva]]="","",IFERROR(VLOOKUP(MB25_VOLUMETRIA[[#This Row],[Reserva]],Tabela3[[Reserva]:[Condição para Faturamento]],20,FALSE),"IMPORTADO COM SUCESSO"))</f>
        <v>EM CONFERENCIA</v>
      </c>
      <c r="M580" s="32" t="str">
        <f ca="1">IFERROR(VLOOKUP(MB25_VOLUMETRIA[[#This Row],[Reserva]],RES_AB[],14,FALSE),"")</f>
        <v>RESERVAS EM ATRASO</v>
      </c>
      <c r="N580" s="32" t="str">
        <f>IF(MB25_VOLUMETRIA[[#This Row],[Cen.]]="","",IFERROR(VLOOKUP(MB25_VOLUMETRIA[[#This Row],[Cen.]],Dados_Empresas[],2,FALSE),"Verificar empresa"))</f>
        <v>NET MASSIVO</v>
      </c>
      <c r="O580" s="32" t="str">
        <f>IF(MB25_VOLUMETRIA[[#This Row],[EMPRESA]]="","",IF(OR(MB25_VOLUMETRIA[[#This Row],[EMPRESA]]="NET MASSIVO",MB25_VOLUMETRIA[[#This Row],[EMPRESA]]="NET PROJETOS"),"NET","EMPRESARIAL"))</f>
        <v>NET</v>
      </c>
    </row>
    <row r="581" spans="1:15" x14ac:dyDescent="0.25">
      <c r="A581" s="32">
        <v>4379673</v>
      </c>
      <c r="B581" s="32" t="s">
        <v>21</v>
      </c>
      <c r="C581" s="33" t="s">
        <v>21</v>
      </c>
      <c r="D581" s="35">
        <v>45446</v>
      </c>
      <c r="E581" s="32" t="s">
        <v>185</v>
      </c>
      <c r="F581" s="32">
        <v>22063252</v>
      </c>
      <c r="G581" s="32" t="s">
        <v>323</v>
      </c>
      <c r="H581" s="26" t="s">
        <v>38</v>
      </c>
      <c r="I581" s="36">
        <v>20</v>
      </c>
      <c r="J581" s="32">
        <f>IF(MB25_VOLUMETRIA[[#This Row],[Reserva]]="","",1)</f>
        <v>1</v>
      </c>
      <c r="K581" s="36" t="str">
        <f>IF(MB25_VOLUMETRIA[[#This Row],[Reserva]]="","",IFERROR(VLOOKUP(MB25_VOLUMETRIA[[#This Row],[UMB]],CHAVE[],2,FALSE),"VERIFICAR"))</f>
        <v>Unidade</v>
      </c>
      <c r="L581" s="32" t="str">
        <f>IF(MB25_VOLUMETRIA[[#This Row],[Reserva]]="","",IFERROR(VLOOKUP(MB25_VOLUMETRIA[[#This Row],[Reserva]],Tabela3[[Reserva]:[Condição para Faturamento]],20,FALSE),"IMPORTADO COM SUCESSO"))</f>
        <v>EM CONFERENCIA</v>
      </c>
      <c r="M581" s="32" t="str">
        <f ca="1">IFERROR(VLOOKUP(MB25_VOLUMETRIA[[#This Row],[Reserva]],RES_AB[],14,FALSE),"")</f>
        <v>RESERVAS EM ATRASO</v>
      </c>
      <c r="N581" s="32" t="str">
        <f>IF(MB25_VOLUMETRIA[[#This Row],[Cen.]]="","",IFERROR(VLOOKUP(MB25_VOLUMETRIA[[#This Row],[Cen.]],Dados_Empresas[],2,FALSE),"Verificar empresa"))</f>
        <v>NET MASSIVO</v>
      </c>
      <c r="O581" s="32" t="str">
        <f>IF(MB25_VOLUMETRIA[[#This Row],[EMPRESA]]="","",IF(OR(MB25_VOLUMETRIA[[#This Row],[EMPRESA]]="NET MASSIVO",MB25_VOLUMETRIA[[#This Row],[EMPRESA]]="NET PROJETOS"),"NET","EMPRESARIAL"))</f>
        <v>NET</v>
      </c>
    </row>
    <row r="582" spans="1:15" x14ac:dyDescent="0.25">
      <c r="A582" s="32">
        <v>4379673</v>
      </c>
      <c r="B582" s="32" t="s">
        <v>21</v>
      </c>
      <c r="C582" s="33" t="s">
        <v>21</v>
      </c>
      <c r="D582" s="35">
        <v>45446</v>
      </c>
      <c r="E582" s="32" t="s">
        <v>185</v>
      </c>
      <c r="F582" s="32">
        <v>22065513</v>
      </c>
      <c r="G582" s="32" t="s">
        <v>227</v>
      </c>
      <c r="H582" s="26" t="s">
        <v>38</v>
      </c>
      <c r="I582" s="36">
        <v>700</v>
      </c>
      <c r="J582" s="32">
        <f>IF(MB25_VOLUMETRIA[[#This Row],[Reserva]]="","",1)</f>
        <v>1</v>
      </c>
      <c r="K582" s="36" t="str">
        <f>IF(MB25_VOLUMETRIA[[#This Row],[Reserva]]="","",IFERROR(VLOOKUP(MB25_VOLUMETRIA[[#This Row],[UMB]],CHAVE[],2,FALSE),"VERIFICAR"))</f>
        <v>Unidade</v>
      </c>
      <c r="L582" s="32" t="str">
        <f>IF(MB25_VOLUMETRIA[[#This Row],[Reserva]]="","",IFERROR(VLOOKUP(MB25_VOLUMETRIA[[#This Row],[Reserva]],Tabela3[[Reserva]:[Condição para Faturamento]],20,FALSE),"IMPORTADO COM SUCESSO"))</f>
        <v>EM CONFERENCIA</v>
      </c>
      <c r="M582" s="32" t="str">
        <f ca="1">IFERROR(VLOOKUP(MB25_VOLUMETRIA[[#This Row],[Reserva]],RES_AB[],14,FALSE),"")</f>
        <v>RESERVAS EM ATRASO</v>
      </c>
      <c r="N582" s="32" t="str">
        <f>IF(MB25_VOLUMETRIA[[#This Row],[Cen.]]="","",IFERROR(VLOOKUP(MB25_VOLUMETRIA[[#This Row],[Cen.]],Dados_Empresas[],2,FALSE),"Verificar empresa"))</f>
        <v>NET MASSIVO</v>
      </c>
      <c r="O582" s="32" t="str">
        <f>IF(MB25_VOLUMETRIA[[#This Row],[EMPRESA]]="","",IF(OR(MB25_VOLUMETRIA[[#This Row],[EMPRESA]]="NET MASSIVO",MB25_VOLUMETRIA[[#This Row],[EMPRESA]]="NET PROJETOS"),"NET","EMPRESARIAL"))</f>
        <v>NET</v>
      </c>
    </row>
    <row r="583" spans="1:15" x14ac:dyDescent="0.25">
      <c r="A583" s="32">
        <v>4379673</v>
      </c>
      <c r="B583" s="32" t="s">
        <v>21</v>
      </c>
      <c r="C583" s="33" t="s">
        <v>21</v>
      </c>
      <c r="D583" s="35">
        <v>45446</v>
      </c>
      <c r="E583" s="32" t="s">
        <v>185</v>
      </c>
      <c r="F583" s="32">
        <v>22065728</v>
      </c>
      <c r="G583" s="32" t="s">
        <v>337</v>
      </c>
      <c r="H583" s="26" t="s">
        <v>38</v>
      </c>
      <c r="I583" s="36">
        <v>30</v>
      </c>
      <c r="J583" s="32">
        <f>IF(MB25_VOLUMETRIA[[#This Row],[Reserva]]="","",1)</f>
        <v>1</v>
      </c>
      <c r="K583" s="36" t="str">
        <f>IF(MB25_VOLUMETRIA[[#This Row],[Reserva]]="","",IFERROR(VLOOKUP(MB25_VOLUMETRIA[[#This Row],[UMB]],CHAVE[],2,FALSE),"VERIFICAR"))</f>
        <v>Unidade</v>
      </c>
      <c r="L583" s="32" t="str">
        <f>IF(MB25_VOLUMETRIA[[#This Row],[Reserva]]="","",IFERROR(VLOOKUP(MB25_VOLUMETRIA[[#This Row],[Reserva]],Tabela3[[Reserva]:[Condição para Faturamento]],20,FALSE),"IMPORTADO COM SUCESSO"))</f>
        <v>EM CONFERENCIA</v>
      </c>
      <c r="M583" s="32" t="str">
        <f ca="1">IFERROR(VLOOKUP(MB25_VOLUMETRIA[[#This Row],[Reserva]],RES_AB[],14,FALSE),"")</f>
        <v>RESERVAS EM ATRASO</v>
      </c>
      <c r="N583" s="32" t="str">
        <f>IF(MB25_VOLUMETRIA[[#This Row],[Cen.]]="","",IFERROR(VLOOKUP(MB25_VOLUMETRIA[[#This Row],[Cen.]],Dados_Empresas[],2,FALSE),"Verificar empresa"))</f>
        <v>NET MASSIVO</v>
      </c>
      <c r="O583" s="32" t="str">
        <f>IF(MB25_VOLUMETRIA[[#This Row],[EMPRESA]]="","",IF(OR(MB25_VOLUMETRIA[[#This Row],[EMPRESA]]="NET MASSIVO",MB25_VOLUMETRIA[[#This Row],[EMPRESA]]="NET PROJETOS"),"NET","EMPRESARIAL"))</f>
        <v>NET</v>
      </c>
    </row>
    <row r="584" spans="1:15" x14ac:dyDescent="0.25">
      <c r="A584" s="32">
        <v>4379673</v>
      </c>
      <c r="B584" s="32" t="s">
        <v>21</v>
      </c>
      <c r="C584" s="33" t="s">
        <v>19</v>
      </c>
      <c r="D584" s="35">
        <v>45446</v>
      </c>
      <c r="E584" s="32" t="s">
        <v>185</v>
      </c>
      <c r="F584" s="32">
        <v>22066258</v>
      </c>
      <c r="G584" s="32" t="s">
        <v>190</v>
      </c>
      <c r="H584" s="26" t="s">
        <v>38</v>
      </c>
      <c r="I584" s="36">
        <v>30</v>
      </c>
      <c r="J584" s="32">
        <f>IF(MB25_VOLUMETRIA[[#This Row],[Reserva]]="","",1)</f>
        <v>1</v>
      </c>
      <c r="K584" s="36" t="str">
        <f>IF(MB25_VOLUMETRIA[[#This Row],[Reserva]]="","",IFERROR(VLOOKUP(MB25_VOLUMETRIA[[#This Row],[UMB]],CHAVE[],2,FALSE),"VERIFICAR"))</f>
        <v>Unidade</v>
      </c>
      <c r="L584" s="32" t="str">
        <f>IF(MB25_VOLUMETRIA[[#This Row],[Reserva]]="","",IFERROR(VLOOKUP(MB25_VOLUMETRIA[[#This Row],[Reserva]],Tabela3[[Reserva]:[Condição para Faturamento]],20,FALSE),"IMPORTADO COM SUCESSO"))</f>
        <v>EM CONFERENCIA</v>
      </c>
      <c r="M584" s="32" t="str">
        <f ca="1">IFERROR(VLOOKUP(MB25_VOLUMETRIA[[#This Row],[Reserva]],RES_AB[],14,FALSE),"")</f>
        <v>RESERVAS EM ATRASO</v>
      </c>
      <c r="N584" s="32" t="str">
        <f>IF(MB25_VOLUMETRIA[[#This Row],[Cen.]]="","",IFERROR(VLOOKUP(MB25_VOLUMETRIA[[#This Row],[Cen.]],Dados_Empresas[],2,FALSE),"Verificar empresa"))</f>
        <v>NET MASSIVO</v>
      </c>
      <c r="O584" s="32" t="str">
        <f>IF(MB25_VOLUMETRIA[[#This Row],[EMPRESA]]="","",IF(OR(MB25_VOLUMETRIA[[#This Row],[EMPRESA]]="NET MASSIVO",MB25_VOLUMETRIA[[#This Row],[EMPRESA]]="NET PROJETOS"),"NET","EMPRESARIAL"))</f>
        <v>NET</v>
      </c>
    </row>
    <row r="585" spans="1:15" x14ac:dyDescent="0.25">
      <c r="A585" s="32">
        <v>4379677</v>
      </c>
      <c r="B585" s="32" t="s">
        <v>21</v>
      </c>
      <c r="C585" s="33" t="s">
        <v>19</v>
      </c>
      <c r="D585" s="35">
        <v>45446</v>
      </c>
      <c r="E585" s="32" t="s">
        <v>185</v>
      </c>
      <c r="F585" s="32">
        <v>22026249</v>
      </c>
      <c r="G585" s="32" t="s">
        <v>186</v>
      </c>
      <c r="H585" s="26" t="s">
        <v>38</v>
      </c>
      <c r="I585" s="36">
        <v>120</v>
      </c>
      <c r="J585" s="32">
        <f>IF(MB25_VOLUMETRIA[[#This Row],[Reserva]]="","",1)</f>
        <v>1</v>
      </c>
      <c r="K585" s="36" t="str">
        <f>IF(MB25_VOLUMETRIA[[#This Row],[Reserva]]="","",IFERROR(VLOOKUP(MB25_VOLUMETRIA[[#This Row],[UMB]],CHAVE[],2,FALSE),"VERIFICAR"))</f>
        <v>Unidade</v>
      </c>
      <c r="L585" s="32" t="str">
        <f>IF(MB25_VOLUMETRIA[[#This Row],[Reserva]]="","",IFERROR(VLOOKUP(MB25_VOLUMETRIA[[#This Row],[Reserva]],Tabela3[[Reserva]:[Condição para Faturamento]],20,FALSE),"IMPORTADO COM SUCESSO"))</f>
        <v>EM CONFERENCIA</v>
      </c>
      <c r="M585" s="32" t="str">
        <f ca="1">IFERROR(VLOOKUP(MB25_VOLUMETRIA[[#This Row],[Reserva]],RES_AB[],14,FALSE),"")</f>
        <v>RESERVAS EM ATRASO</v>
      </c>
      <c r="N585" s="32" t="str">
        <f>IF(MB25_VOLUMETRIA[[#This Row],[Cen.]]="","",IFERROR(VLOOKUP(MB25_VOLUMETRIA[[#This Row],[Cen.]],Dados_Empresas[],2,FALSE),"Verificar empresa"))</f>
        <v>NET MASSIVO</v>
      </c>
      <c r="O585" s="32" t="str">
        <f>IF(MB25_VOLUMETRIA[[#This Row],[EMPRESA]]="","",IF(OR(MB25_VOLUMETRIA[[#This Row],[EMPRESA]]="NET MASSIVO",MB25_VOLUMETRIA[[#This Row],[EMPRESA]]="NET PROJETOS"),"NET","EMPRESARIAL"))</f>
        <v>NET</v>
      </c>
    </row>
    <row r="586" spans="1:15" x14ac:dyDescent="0.25">
      <c r="A586" s="32">
        <v>4379677</v>
      </c>
      <c r="B586" s="32" t="s">
        <v>21</v>
      </c>
      <c r="C586" s="33" t="s">
        <v>19</v>
      </c>
      <c r="D586" s="35">
        <v>45446</v>
      </c>
      <c r="E586" s="32" t="s">
        <v>185</v>
      </c>
      <c r="F586" s="32">
        <v>22057705</v>
      </c>
      <c r="G586" s="32" t="s">
        <v>241</v>
      </c>
      <c r="H586" s="26" t="s">
        <v>38</v>
      </c>
      <c r="I586" s="36">
        <v>120</v>
      </c>
      <c r="J586" s="32">
        <f>IF(MB25_VOLUMETRIA[[#This Row],[Reserva]]="","",1)</f>
        <v>1</v>
      </c>
      <c r="K586" s="36" t="str">
        <f>IF(MB25_VOLUMETRIA[[#This Row],[Reserva]]="","",IFERROR(VLOOKUP(MB25_VOLUMETRIA[[#This Row],[UMB]],CHAVE[],2,FALSE),"VERIFICAR"))</f>
        <v>Unidade</v>
      </c>
      <c r="L586" s="32" t="str">
        <f>IF(MB25_VOLUMETRIA[[#This Row],[Reserva]]="","",IFERROR(VLOOKUP(MB25_VOLUMETRIA[[#This Row],[Reserva]],Tabela3[[Reserva]:[Condição para Faturamento]],20,FALSE),"IMPORTADO COM SUCESSO"))</f>
        <v>EM CONFERENCIA</v>
      </c>
      <c r="M586" s="32" t="str">
        <f ca="1">IFERROR(VLOOKUP(MB25_VOLUMETRIA[[#This Row],[Reserva]],RES_AB[],14,FALSE),"")</f>
        <v>RESERVAS EM ATRASO</v>
      </c>
      <c r="N586" s="32" t="str">
        <f>IF(MB25_VOLUMETRIA[[#This Row],[Cen.]]="","",IFERROR(VLOOKUP(MB25_VOLUMETRIA[[#This Row],[Cen.]],Dados_Empresas[],2,FALSE),"Verificar empresa"))</f>
        <v>NET MASSIVO</v>
      </c>
      <c r="O586" s="32" t="str">
        <f>IF(MB25_VOLUMETRIA[[#This Row],[EMPRESA]]="","",IF(OR(MB25_VOLUMETRIA[[#This Row],[EMPRESA]]="NET MASSIVO",MB25_VOLUMETRIA[[#This Row],[EMPRESA]]="NET PROJETOS"),"NET","EMPRESARIAL"))</f>
        <v>NET</v>
      </c>
    </row>
    <row r="587" spans="1:15" x14ac:dyDescent="0.25">
      <c r="A587" s="32">
        <v>4379677</v>
      </c>
      <c r="B587" s="32" t="s">
        <v>21</v>
      </c>
      <c r="C587" s="33" t="s">
        <v>19</v>
      </c>
      <c r="D587" s="35">
        <v>45446</v>
      </c>
      <c r="E587" s="32" t="s">
        <v>185</v>
      </c>
      <c r="F587" s="32">
        <v>22058239</v>
      </c>
      <c r="G587" s="32" t="s">
        <v>317</v>
      </c>
      <c r="H587" s="26" t="s">
        <v>38</v>
      </c>
      <c r="I587" s="36">
        <v>120</v>
      </c>
      <c r="J587" s="32">
        <f>IF(MB25_VOLUMETRIA[[#This Row],[Reserva]]="","",1)</f>
        <v>1</v>
      </c>
      <c r="K587" s="36" t="str">
        <f>IF(MB25_VOLUMETRIA[[#This Row],[Reserva]]="","",IFERROR(VLOOKUP(MB25_VOLUMETRIA[[#This Row],[UMB]],CHAVE[],2,FALSE),"VERIFICAR"))</f>
        <v>Unidade</v>
      </c>
      <c r="L587" s="32" t="str">
        <f>IF(MB25_VOLUMETRIA[[#This Row],[Reserva]]="","",IFERROR(VLOOKUP(MB25_VOLUMETRIA[[#This Row],[Reserva]],Tabela3[[Reserva]:[Condição para Faturamento]],20,FALSE),"IMPORTADO COM SUCESSO"))</f>
        <v>EM CONFERENCIA</v>
      </c>
      <c r="M587" s="32" t="str">
        <f ca="1">IFERROR(VLOOKUP(MB25_VOLUMETRIA[[#This Row],[Reserva]],RES_AB[],14,FALSE),"")</f>
        <v>RESERVAS EM ATRASO</v>
      </c>
      <c r="N587" s="32" t="str">
        <f>IF(MB25_VOLUMETRIA[[#This Row],[Cen.]]="","",IFERROR(VLOOKUP(MB25_VOLUMETRIA[[#This Row],[Cen.]],Dados_Empresas[],2,FALSE),"Verificar empresa"))</f>
        <v>NET MASSIVO</v>
      </c>
      <c r="O587" s="32" t="str">
        <f>IF(MB25_VOLUMETRIA[[#This Row],[EMPRESA]]="","",IF(OR(MB25_VOLUMETRIA[[#This Row],[EMPRESA]]="NET MASSIVO",MB25_VOLUMETRIA[[#This Row],[EMPRESA]]="NET PROJETOS"),"NET","EMPRESARIAL"))</f>
        <v>NET</v>
      </c>
    </row>
    <row r="588" spans="1:15" x14ac:dyDescent="0.25">
      <c r="A588" s="32">
        <v>4379677</v>
      </c>
      <c r="B588" s="32" t="s">
        <v>21</v>
      </c>
      <c r="C588" s="33" t="s">
        <v>21</v>
      </c>
      <c r="D588" s="35">
        <v>45446</v>
      </c>
      <c r="E588" s="32" t="s">
        <v>185</v>
      </c>
      <c r="F588" s="32">
        <v>22058258</v>
      </c>
      <c r="G588" s="32" t="s">
        <v>187</v>
      </c>
      <c r="H588" s="26" t="s">
        <v>38</v>
      </c>
      <c r="I588" s="36">
        <v>240</v>
      </c>
      <c r="J588" s="32">
        <f>IF(MB25_VOLUMETRIA[[#This Row],[Reserva]]="","",1)</f>
        <v>1</v>
      </c>
      <c r="K588" s="36" t="str">
        <f>IF(MB25_VOLUMETRIA[[#This Row],[Reserva]]="","",IFERROR(VLOOKUP(MB25_VOLUMETRIA[[#This Row],[UMB]],CHAVE[],2,FALSE),"VERIFICAR"))</f>
        <v>Unidade</v>
      </c>
      <c r="L588" s="32" t="str">
        <f>IF(MB25_VOLUMETRIA[[#This Row],[Reserva]]="","",IFERROR(VLOOKUP(MB25_VOLUMETRIA[[#This Row],[Reserva]],Tabela3[[Reserva]:[Condição para Faturamento]],20,FALSE),"IMPORTADO COM SUCESSO"))</f>
        <v>EM CONFERENCIA</v>
      </c>
      <c r="M588" s="32" t="str">
        <f ca="1">IFERROR(VLOOKUP(MB25_VOLUMETRIA[[#This Row],[Reserva]],RES_AB[],14,FALSE),"")</f>
        <v>RESERVAS EM ATRASO</v>
      </c>
      <c r="N588" s="32" t="str">
        <f>IF(MB25_VOLUMETRIA[[#This Row],[Cen.]]="","",IFERROR(VLOOKUP(MB25_VOLUMETRIA[[#This Row],[Cen.]],Dados_Empresas[],2,FALSE),"Verificar empresa"))</f>
        <v>NET MASSIVO</v>
      </c>
      <c r="O588" s="32" t="str">
        <f>IF(MB25_VOLUMETRIA[[#This Row],[EMPRESA]]="","",IF(OR(MB25_VOLUMETRIA[[#This Row],[EMPRESA]]="NET MASSIVO",MB25_VOLUMETRIA[[#This Row],[EMPRESA]]="NET PROJETOS"),"NET","EMPRESARIAL"))</f>
        <v>NET</v>
      </c>
    </row>
    <row r="589" spans="1:15" x14ac:dyDescent="0.25">
      <c r="A589" s="32">
        <v>4379677</v>
      </c>
      <c r="B589" s="32" t="s">
        <v>21</v>
      </c>
      <c r="C589" s="33" t="s">
        <v>19</v>
      </c>
      <c r="D589" s="35">
        <v>45446</v>
      </c>
      <c r="E589" s="32" t="s">
        <v>185</v>
      </c>
      <c r="F589" s="32">
        <v>22062078</v>
      </c>
      <c r="G589" s="32" t="s">
        <v>296</v>
      </c>
      <c r="H589" s="26" t="s">
        <v>38</v>
      </c>
      <c r="I589" s="36">
        <v>30</v>
      </c>
      <c r="J589" s="32">
        <f>IF(MB25_VOLUMETRIA[[#This Row],[Reserva]]="","",1)</f>
        <v>1</v>
      </c>
      <c r="K589" s="36" t="str">
        <f>IF(MB25_VOLUMETRIA[[#This Row],[Reserva]]="","",IFERROR(VLOOKUP(MB25_VOLUMETRIA[[#This Row],[UMB]],CHAVE[],2,FALSE),"VERIFICAR"))</f>
        <v>Unidade</v>
      </c>
      <c r="L589" s="32" t="str">
        <f>IF(MB25_VOLUMETRIA[[#This Row],[Reserva]]="","",IFERROR(VLOOKUP(MB25_VOLUMETRIA[[#This Row],[Reserva]],Tabela3[[Reserva]:[Condição para Faturamento]],20,FALSE),"IMPORTADO COM SUCESSO"))</f>
        <v>EM CONFERENCIA</v>
      </c>
      <c r="M589" s="32" t="str">
        <f ca="1">IFERROR(VLOOKUP(MB25_VOLUMETRIA[[#This Row],[Reserva]],RES_AB[],14,FALSE),"")</f>
        <v>RESERVAS EM ATRASO</v>
      </c>
      <c r="N589" s="32" t="str">
        <f>IF(MB25_VOLUMETRIA[[#This Row],[Cen.]]="","",IFERROR(VLOOKUP(MB25_VOLUMETRIA[[#This Row],[Cen.]],Dados_Empresas[],2,FALSE),"Verificar empresa"))</f>
        <v>NET MASSIVO</v>
      </c>
      <c r="O589" s="32" t="str">
        <f>IF(MB25_VOLUMETRIA[[#This Row],[EMPRESA]]="","",IF(OR(MB25_VOLUMETRIA[[#This Row],[EMPRESA]]="NET MASSIVO",MB25_VOLUMETRIA[[#This Row],[EMPRESA]]="NET PROJETOS"),"NET","EMPRESARIAL"))</f>
        <v>NET</v>
      </c>
    </row>
    <row r="590" spans="1:15" x14ac:dyDescent="0.25">
      <c r="A590" s="32">
        <v>4379677</v>
      </c>
      <c r="B590" s="32" t="s">
        <v>21</v>
      </c>
      <c r="C590" s="33" t="s">
        <v>21</v>
      </c>
      <c r="D590" s="35">
        <v>45446</v>
      </c>
      <c r="E590" s="32" t="s">
        <v>185</v>
      </c>
      <c r="F590" s="32">
        <v>22062576</v>
      </c>
      <c r="G590" s="32" t="s">
        <v>291</v>
      </c>
      <c r="H590" s="26" t="s">
        <v>38</v>
      </c>
      <c r="I590" s="36">
        <v>40</v>
      </c>
      <c r="J590" s="32">
        <f>IF(MB25_VOLUMETRIA[[#This Row],[Reserva]]="","",1)</f>
        <v>1</v>
      </c>
      <c r="K590" s="36" t="str">
        <f>IF(MB25_VOLUMETRIA[[#This Row],[Reserva]]="","",IFERROR(VLOOKUP(MB25_VOLUMETRIA[[#This Row],[UMB]],CHAVE[],2,FALSE),"VERIFICAR"))</f>
        <v>Unidade</v>
      </c>
      <c r="L590" s="32" t="str">
        <f>IF(MB25_VOLUMETRIA[[#This Row],[Reserva]]="","",IFERROR(VLOOKUP(MB25_VOLUMETRIA[[#This Row],[Reserva]],Tabela3[[Reserva]:[Condição para Faturamento]],20,FALSE),"IMPORTADO COM SUCESSO"))</f>
        <v>EM CONFERENCIA</v>
      </c>
      <c r="M590" s="32" t="str">
        <f ca="1">IFERROR(VLOOKUP(MB25_VOLUMETRIA[[#This Row],[Reserva]],RES_AB[],14,FALSE),"")</f>
        <v>RESERVAS EM ATRASO</v>
      </c>
      <c r="N590" s="32" t="str">
        <f>IF(MB25_VOLUMETRIA[[#This Row],[Cen.]]="","",IFERROR(VLOOKUP(MB25_VOLUMETRIA[[#This Row],[Cen.]],Dados_Empresas[],2,FALSE),"Verificar empresa"))</f>
        <v>NET MASSIVO</v>
      </c>
      <c r="O590" s="32" t="str">
        <f>IF(MB25_VOLUMETRIA[[#This Row],[EMPRESA]]="","",IF(OR(MB25_VOLUMETRIA[[#This Row],[EMPRESA]]="NET MASSIVO",MB25_VOLUMETRIA[[#This Row],[EMPRESA]]="NET PROJETOS"),"NET","EMPRESARIAL"))</f>
        <v>NET</v>
      </c>
    </row>
    <row r="591" spans="1:15" x14ac:dyDescent="0.25">
      <c r="A591" s="32">
        <v>4379678</v>
      </c>
      <c r="B591" s="32" t="s">
        <v>21</v>
      </c>
      <c r="C591" s="33" t="s">
        <v>19</v>
      </c>
      <c r="D591" s="35">
        <v>45446</v>
      </c>
      <c r="E591" s="32" t="s">
        <v>184</v>
      </c>
      <c r="F591" s="32">
        <v>41000805</v>
      </c>
      <c r="G591" s="32" t="s">
        <v>188</v>
      </c>
      <c r="H591" s="26" t="s">
        <v>38</v>
      </c>
      <c r="I591" s="36">
        <v>120</v>
      </c>
      <c r="J591" s="32">
        <f>IF(MB25_VOLUMETRIA[[#This Row],[Reserva]]="","",1)</f>
        <v>1</v>
      </c>
      <c r="K591" s="36" t="str">
        <f>IF(MB25_VOLUMETRIA[[#This Row],[Reserva]]="","",IFERROR(VLOOKUP(MB25_VOLUMETRIA[[#This Row],[UMB]],CHAVE[],2,FALSE),"VERIFICAR"))</f>
        <v>Unidade</v>
      </c>
      <c r="L59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1" s="32" t="str">
        <f ca="1">IFERROR(VLOOKUP(MB25_VOLUMETRIA[[#This Row],[Reserva]],RES_AB[],14,FALSE),"")</f>
        <v>RESERVAS EM ATRASO</v>
      </c>
      <c r="N591" s="32" t="str">
        <f>IF(MB25_VOLUMETRIA[[#This Row],[Cen.]]="","",IFERROR(VLOOKUP(MB25_VOLUMETRIA[[#This Row],[Cen.]],Dados_Empresas[],2,FALSE),"Verificar empresa"))</f>
        <v>NET MASSIVO</v>
      </c>
      <c r="O591" s="32" t="str">
        <f>IF(MB25_VOLUMETRIA[[#This Row],[EMPRESA]]="","",IF(OR(MB25_VOLUMETRIA[[#This Row],[EMPRESA]]="NET MASSIVO",MB25_VOLUMETRIA[[#This Row],[EMPRESA]]="NET PROJETOS"),"NET","EMPRESARIAL"))</f>
        <v>NET</v>
      </c>
    </row>
    <row r="592" spans="1:15" x14ac:dyDescent="0.25">
      <c r="A592" s="32">
        <v>4379678</v>
      </c>
      <c r="B592" s="32" t="s">
        <v>21</v>
      </c>
      <c r="C592" s="33" t="s">
        <v>19</v>
      </c>
      <c r="D592" s="35">
        <v>45446</v>
      </c>
      <c r="E592" s="32" t="s">
        <v>184</v>
      </c>
      <c r="F592" s="32">
        <v>41001048</v>
      </c>
      <c r="G592" s="32" t="s">
        <v>318</v>
      </c>
      <c r="H592" s="26" t="s">
        <v>38</v>
      </c>
      <c r="I592" s="36">
        <v>120</v>
      </c>
      <c r="J592" s="32">
        <f>IF(MB25_VOLUMETRIA[[#This Row],[Reserva]]="","",1)</f>
        <v>1</v>
      </c>
      <c r="K592" s="36" t="str">
        <f>IF(MB25_VOLUMETRIA[[#This Row],[Reserva]]="","",IFERROR(VLOOKUP(MB25_VOLUMETRIA[[#This Row],[UMB]],CHAVE[],2,FALSE),"VERIFICAR"))</f>
        <v>Unidade</v>
      </c>
      <c r="L59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2" s="32" t="str">
        <f ca="1">IFERROR(VLOOKUP(MB25_VOLUMETRIA[[#This Row],[Reserva]],RES_AB[],14,FALSE),"")</f>
        <v>RESERVAS EM ATRASO</v>
      </c>
      <c r="N592" s="32" t="str">
        <f>IF(MB25_VOLUMETRIA[[#This Row],[Cen.]]="","",IFERROR(VLOOKUP(MB25_VOLUMETRIA[[#This Row],[Cen.]],Dados_Empresas[],2,FALSE),"Verificar empresa"))</f>
        <v>NET MASSIVO</v>
      </c>
      <c r="O592" s="32" t="str">
        <f>IF(MB25_VOLUMETRIA[[#This Row],[EMPRESA]]="","",IF(OR(MB25_VOLUMETRIA[[#This Row],[EMPRESA]]="NET MASSIVO",MB25_VOLUMETRIA[[#This Row],[EMPRESA]]="NET PROJETOS"),"NET","EMPRESARIAL"))</f>
        <v>NET</v>
      </c>
    </row>
    <row r="593" spans="1:15" x14ac:dyDescent="0.25">
      <c r="A593" s="32">
        <v>4379678</v>
      </c>
      <c r="B593" s="32" t="s">
        <v>21</v>
      </c>
      <c r="C593" s="33" t="s">
        <v>19</v>
      </c>
      <c r="D593" s="35">
        <v>45446</v>
      </c>
      <c r="E593" s="32" t="s">
        <v>184</v>
      </c>
      <c r="F593" s="32">
        <v>41001294</v>
      </c>
      <c r="G593" s="32" t="s">
        <v>248</v>
      </c>
      <c r="H593" s="26" t="s">
        <v>38</v>
      </c>
      <c r="I593" s="36">
        <v>120</v>
      </c>
      <c r="J593" s="32">
        <f>IF(MB25_VOLUMETRIA[[#This Row],[Reserva]]="","",1)</f>
        <v>1</v>
      </c>
      <c r="K593" s="36" t="str">
        <f>IF(MB25_VOLUMETRIA[[#This Row],[Reserva]]="","",IFERROR(VLOOKUP(MB25_VOLUMETRIA[[#This Row],[UMB]],CHAVE[],2,FALSE),"VERIFICAR"))</f>
        <v>Unidade</v>
      </c>
      <c r="L5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3" s="32" t="str">
        <f ca="1">IFERROR(VLOOKUP(MB25_VOLUMETRIA[[#This Row],[Reserva]],RES_AB[],14,FALSE),"")</f>
        <v>RESERVAS EM ATRASO</v>
      </c>
      <c r="N593" s="32" t="str">
        <f>IF(MB25_VOLUMETRIA[[#This Row],[Cen.]]="","",IFERROR(VLOOKUP(MB25_VOLUMETRIA[[#This Row],[Cen.]],Dados_Empresas[],2,FALSE),"Verificar empresa"))</f>
        <v>NET MASSIVO</v>
      </c>
      <c r="O593" s="32" t="str">
        <f>IF(MB25_VOLUMETRIA[[#This Row],[EMPRESA]]="","",IF(OR(MB25_VOLUMETRIA[[#This Row],[EMPRESA]]="NET MASSIVO",MB25_VOLUMETRIA[[#This Row],[EMPRESA]]="NET PROJETOS"),"NET","EMPRESARIAL"))</f>
        <v>NET</v>
      </c>
    </row>
    <row r="594" spans="1:15" x14ac:dyDescent="0.25">
      <c r="A594" s="32">
        <v>4379678</v>
      </c>
      <c r="B594" s="32" t="s">
        <v>21</v>
      </c>
      <c r="C594" s="33" t="s">
        <v>19</v>
      </c>
      <c r="D594" s="35">
        <v>45446</v>
      </c>
      <c r="E594" s="32" t="s">
        <v>184</v>
      </c>
      <c r="F594" s="32">
        <v>41001520</v>
      </c>
      <c r="G594" s="32" t="s">
        <v>297</v>
      </c>
      <c r="H594" s="26" t="s">
        <v>38</v>
      </c>
      <c r="I594" s="36">
        <v>30</v>
      </c>
      <c r="J594" s="32">
        <f>IF(MB25_VOLUMETRIA[[#This Row],[Reserva]]="","",1)</f>
        <v>1</v>
      </c>
      <c r="K594" s="36" t="str">
        <f>IF(MB25_VOLUMETRIA[[#This Row],[Reserva]]="","",IFERROR(VLOOKUP(MB25_VOLUMETRIA[[#This Row],[UMB]],CHAVE[],2,FALSE),"VERIFICAR"))</f>
        <v>Unidade</v>
      </c>
      <c r="L59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4" s="32" t="str">
        <f ca="1">IFERROR(VLOOKUP(MB25_VOLUMETRIA[[#This Row],[Reserva]],RES_AB[],14,FALSE),"")</f>
        <v>RESERVAS EM ATRASO</v>
      </c>
      <c r="N594" s="32" t="str">
        <f>IF(MB25_VOLUMETRIA[[#This Row],[Cen.]]="","",IFERROR(VLOOKUP(MB25_VOLUMETRIA[[#This Row],[Cen.]],Dados_Empresas[],2,FALSE),"Verificar empresa"))</f>
        <v>NET MASSIVO</v>
      </c>
      <c r="O594" s="32" t="str">
        <f>IF(MB25_VOLUMETRIA[[#This Row],[EMPRESA]]="","",IF(OR(MB25_VOLUMETRIA[[#This Row],[EMPRESA]]="NET MASSIVO",MB25_VOLUMETRIA[[#This Row],[EMPRESA]]="NET PROJETOS"),"NET","EMPRESARIAL"))</f>
        <v>NET</v>
      </c>
    </row>
    <row r="595" spans="1:15" x14ac:dyDescent="0.25">
      <c r="A595" s="32">
        <v>4379678</v>
      </c>
      <c r="B595" s="32" t="s">
        <v>21</v>
      </c>
      <c r="C595" s="33" t="s">
        <v>19</v>
      </c>
      <c r="D595" s="35">
        <v>45446</v>
      </c>
      <c r="E595" s="32" t="s">
        <v>184</v>
      </c>
      <c r="F595" s="32">
        <v>41001553</v>
      </c>
      <c r="G595" s="32" t="s">
        <v>295</v>
      </c>
      <c r="H595" s="26" t="s">
        <v>38</v>
      </c>
      <c r="I595" s="36">
        <v>40</v>
      </c>
      <c r="J595" s="32">
        <f>IF(MB25_VOLUMETRIA[[#This Row],[Reserva]]="","",1)</f>
        <v>1</v>
      </c>
      <c r="K595" s="36" t="str">
        <f>IF(MB25_VOLUMETRIA[[#This Row],[Reserva]]="","",IFERROR(VLOOKUP(MB25_VOLUMETRIA[[#This Row],[UMB]],CHAVE[],2,FALSE),"VERIFICAR"))</f>
        <v>Unidade</v>
      </c>
      <c r="L59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5" s="32" t="str">
        <f ca="1">IFERROR(VLOOKUP(MB25_VOLUMETRIA[[#This Row],[Reserva]],RES_AB[],14,FALSE),"")</f>
        <v>RESERVAS EM ATRASO</v>
      </c>
      <c r="N595" s="32" t="str">
        <f>IF(MB25_VOLUMETRIA[[#This Row],[Cen.]]="","",IFERROR(VLOOKUP(MB25_VOLUMETRIA[[#This Row],[Cen.]],Dados_Empresas[],2,FALSE),"Verificar empresa"))</f>
        <v>NET MASSIVO</v>
      </c>
      <c r="O595" s="32" t="str">
        <f>IF(MB25_VOLUMETRIA[[#This Row],[EMPRESA]]="","",IF(OR(MB25_VOLUMETRIA[[#This Row],[EMPRESA]]="NET MASSIVO",MB25_VOLUMETRIA[[#This Row],[EMPRESA]]="NET PROJETOS"),"NET","EMPRESARIAL"))</f>
        <v>NET</v>
      </c>
    </row>
    <row r="596" spans="1:15" x14ac:dyDescent="0.25">
      <c r="A596" s="32">
        <v>4379681</v>
      </c>
      <c r="B596" s="32" t="s">
        <v>21</v>
      </c>
      <c r="C596" s="33" t="s">
        <v>21</v>
      </c>
      <c r="D596" s="35">
        <v>45446</v>
      </c>
      <c r="E596" s="32" t="s">
        <v>185</v>
      </c>
      <c r="F596" s="32">
        <v>22025321</v>
      </c>
      <c r="G596" s="32" t="s">
        <v>220</v>
      </c>
      <c r="H596" s="26" t="s">
        <v>38</v>
      </c>
      <c r="I596" s="36">
        <v>500</v>
      </c>
      <c r="J596" s="32">
        <f>IF(MB25_VOLUMETRIA[[#This Row],[Reserva]]="","",1)</f>
        <v>1</v>
      </c>
      <c r="K596" s="36" t="str">
        <f>IF(MB25_VOLUMETRIA[[#This Row],[Reserva]]="","",IFERROR(VLOOKUP(MB25_VOLUMETRIA[[#This Row],[UMB]],CHAVE[],2,FALSE),"VERIFICAR"))</f>
        <v>Unidade</v>
      </c>
      <c r="L59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6" s="32" t="str">
        <f ca="1">IFERROR(VLOOKUP(MB25_VOLUMETRIA[[#This Row],[Reserva]],RES_AB[],14,FALSE),"")</f>
        <v>RESERVAS EM ATRASO</v>
      </c>
      <c r="N596" s="32" t="str">
        <f>IF(MB25_VOLUMETRIA[[#This Row],[Cen.]]="","",IFERROR(VLOOKUP(MB25_VOLUMETRIA[[#This Row],[Cen.]],Dados_Empresas[],2,FALSE),"Verificar empresa"))</f>
        <v>NET MASSIVO</v>
      </c>
      <c r="O596" s="32" t="str">
        <f>IF(MB25_VOLUMETRIA[[#This Row],[EMPRESA]]="","",IF(OR(MB25_VOLUMETRIA[[#This Row],[EMPRESA]]="NET MASSIVO",MB25_VOLUMETRIA[[#This Row],[EMPRESA]]="NET PROJETOS"),"NET","EMPRESARIAL"))</f>
        <v>NET</v>
      </c>
    </row>
    <row r="597" spans="1:15" x14ac:dyDescent="0.25">
      <c r="A597" s="32">
        <v>4379681</v>
      </c>
      <c r="B597" s="32" t="s">
        <v>21</v>
      </c>
      <c r="C597" s="33" t="s">
        <v>19</v>
      </c>
      <c r="D597" s="35">
        <v>45446</v>
      </c>
      <c r="E597" s="32" t="s">
        <v>185</v>
      </c>
      <c r="F597" s="32">
        <v>22026249</v>
      </c>
      <c r="G597" s="32" t="s">
        <v>186</v>
      </c>
      <c r="H597" s="26" t="s">
        <v>38</v>
      </c>
      <c r="I597" s="36">
        <v>90</v>
      </c>
      <c r="J597" s="32">
        <f>IF(MB25_VOLUMETRIA[[#This Row],[Reserva]]="","",1)</f>
        <v>1</v>
      </c>
      <c r="K597" s="36" t="str">
        <f>IF(MB25_VOLUMETRIA[[#This Row],[Reserva]]="","",IFERROR(VLOOKUP(MB25_VOLUMETRIA[[#This Row],[UMB]],CHAVE[],2,FALSE),"VERIFICAR"))</f>
        <v>Unidade</v>
      </c>
      <c r="L59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7" s="32" t="str">
        <f ca="1">IFERROR(VLOOKUP(MB25_VOLUMETRIA[[#This Row],[Reserva]],RES_AB[],14,FALSE),"")</f>
        <v>RESERVAS EM ATRASO</v>
      </c>
      <c r="N597" s="32" t="str">
        <f>IF(MB25_VOLUMETRIA[[#This Row],[Cen.]]="","",IFERROR(VLOOKUP(MB25_VOLUMETRIA[[#This Row],[Cen.]],Dados_Empresas[],2,FALSE),"Verificar empresa"))</f>
        <v>NET MASSIVO</v>
      </c>
      <c r="O597" s="32" t="str">
        <f>IF(MB25_VOLUMETRIA[[#This Row],[EMPRESA]]="","",IF(OR(MB25_VOLUMETRIA[[#This Row],[EMPRESA]]="NET MASSIVO",MB25_VOLUMETRIA[[#This Row],[EMPRESA]]="NET PROJETOS"),"NET","EMPRESARIAL"))</f>
        <v>NET</v>
      </c>
    </row>
    <row r="598" spans="1:15" x14ac:dyDescent="0.25">
      <c r="A598" s="32">
        <v>4379681</v>
      </c>
      <c r="B598" s="32" t="s">
        <v>21</v>
      </c>
      <c r="C598" s="33" t="s">
        <v>21</v>
      </c>
      <c r="D598" s="35">
        <v>45446</v>
      </c>
      <c r="E598" s="32" t="s">
        <v>185</v>
      </c>
      <c r="F598" s="32">
        <v>22026544</v>
      </c>
      <c r="G598" s="32" t="s">
        <v>206</v>
      </c>
      <c r="H598" s="26" t="s">
        <v>38</v>
      </c>
      <c r="I598" s="36">
        <v>50</v>
      </c>
      <c r="J598" s="32">
        <f>IF(MB25_VOLUMETRIA[[#This Row],[Reserva]]="","",1)</f>
        <v>1</v>
      </c>
      <c r="K598" s="36" t="str">
        <f>IF(MB25_VOLUMETRIA[[#This Row],[Reserva]]="","",IFERROR(VLOOKUP(MB25_VOLUMETRIA[[#This Row],[UMB]],CHAVE[],2,FALSE),"VERIFICAR"))</f>
        <v>Unidade</v>
      </c>
      <c r="L59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8" s="32" t="str">
        <f ca="1">IFERROR(VLOOKUP(MB25_VOLUMETRIA[[#This Row],[Reserva]],RES_AB[],14,FALSE),"")</f>
        <v>RESERVAS EM ATRASO</v>
      </c>
      <c r="N598" s="32" t="str">
        <f>IF(MB25_VOLUMETRIA[[#This Row],[Cen.]]="","",IFERROR(VLOOKUP(MB25_VOLUMETRIA[[#This Row],[Cen.]],Dados_Empresas[],2,FALSE),"Verificar empresa"))</f>
        <v>NET MASSIVO</v>
      </c>
      <c r="O598" s="32" t="str">
        <f>IF(MB25_VOLUMETRIA[[#This Row],[EMPRESA]]="","",IF(OR(MB25_VOLUMETRIA[[#This Row],[EMPRESA]]="NET MASSIVO",MB25_VOLUMETRIA[[#This Row],[EMPRESA]]="NET PROJETOS"),"NET","EMPRESARIAL"))</f>
        <v>NET</v>
      </c>
    </row>
    <row r="599" spans="1:15" x14ac:dyDescent="0.25">
      <c r="A599" s="32">
        <v>4379681</v>
      </c>
      <c r="B599" s="32" t="s">
        <v>21</v>
      </c>
      <c r="C599" s="33" t="s">
        <v>21</v>
      </c>
      <c r="D599" s="35">
        <v>45446</v>
      </c>
      <c r="E599" s="32" t="s">
        <v>185</v>
      </c>
      <c r="F599" s="32">
        <v>22026809</v>
      </c>
      <c r="G599" s="32" t="s">
        <v>231</v>
      </c>
      <c r="H599" s="26" t="s">
        <v>38</v>
      </c>
      <c r="I599" s="36">
        <v>50</v>
      </c>
      <c r="J599" s="32">
        <f>IF(MB25_VOLUMETRIA[[#This Row],[Reserva]]="","",1)</f>
        <v>1</v>
      </c>
      <c r="K599" s="36" t="str">
        <f>IF(MB25_VOLUMETRIA[[#This Row],[Reserva]]="","",IFERROR(VLOOKUP(MB25_VOLUMETRIA[[#This Row],[UMB]],CHAVE[],2,FALSE),"VERIFICAR"))</f>
        <v>Unidade</v>
      </c>
      <c r="L59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599" s="32" t="str">
        <f ca="1">IFERROR(VLOOKUP(MB25_VOLUMETRIA[[#This Row],[Reserva]],RES_AB[],14,FALSE),"")</f>
        <v>RESERVAS EM ATRASO</v>
      </c>
      <c r="N599" s="32" t="str">
        <f>IF(MB25_VOLUMETRIA[[#This Row],[Cen.]]="","",IFERROR(VLOOKUP(MB25_VOLUMETRIA[[#This Row],[Cen.]],Dados_Empresas[],2,FALSE),"Verificar empresa"))</f>
        <v>NET MASSIVO</v>
      </c>
      <c r="O599" s="32" t="str">
        <f>IF(MB25_VOLUMETRIA[[#This Row],[EMPRESA]]="","",IF(OR(MB25_VOLUMETRIA[[#This Row],[EMPRESA]]="NET MASSIVO",MB25_VOLUMETRIA[[#This Row],[EMPRESA]]="NET PROJETOS"),"NET","EMPRESARIAL"))</f>
        <v>NET</v>
      </c>
    </row>
    <row r="600" spans="1:15" x14ac:dyDescent="0.25">
      <c r="A600" s="32">
        <v>4379681</v>
      </c>
      <c r="B600" s="32" t="s">
        <v>21</v>
      </c>
      <c r="C600" s="33" t="s">
        <v>21</v>
      </c>
      <c r="D600" s="35">
        <v>45446</v>
      </c>
      <c r="E600" s="32" t="s">
        <v>185</v>
      </c>
      <c r="F600" s="32">
        <v>22056332</v>
      </c>
      <c r="G600" s="32" t="s">
        <v>207</v>
      </c>
      <c r="H600" s="26" t="s">
        <v>38</v>
      </c>
      <c r="I600" s="36">
        <v>11</v>
      </c>
      <c r="J600" s="32">
        <f>IF(MB25_VOLUMETRIA[[#This Row],[Reserva]]="","",1)</f>
        <v>1</v>
      </c>
      <c r="K600" s="36" t="str">
        <f>IF(MB25_VOLUMETRIA[[#This Row],[Reserva]]="","",IFERROR(VLOOKUP(MB25_VOLUMETRIA[[#This Row],[UMB]],CHAVE[],2,FALSE),"VERIFICAR"))</f>
        <v>Unidade</v>
      </c>
      <c r="L60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0" s="32" t="str">
        <f ca="1">IFERROR(VLOOKUP(MB25_VOLUMETRIA[[#This Row],[Reserva]],RES_AB[],14,FALSE),"")</f>
        <v>RESERVAS EM ATRASO</v>
      </c>
      <c r="N600" s="32" t="str">
        <f>IF(MB25_VOLUMETRIA[[#This Row],[Cen.]]="","",IFERROR(VLOOKUP(MB25_VOLUMETRIA[[#This Row],[Cen.]],Dados_Empresas[],2,FALSE),"Verificar empresa"))</f>
        <v>NET MASSIVO</v>
      </c>
      <c r="O600" s="32" t="str">
        <f>IF(MB25_VOLUMETRIA[[#This Row],[EMPRESA]]="","",IF(OR(MB25_VOLUMETRIA[[#This Row],[EMPRESA]]="NET MASSIVO",MB25_VOLUMETRIA[[#This Row],[EMPRESA]]="NET PROJETOS"),"NET","EMPRESARIAL"))</f>
        <v>NET</v>
      </c>
    </row>
    <row r="601" spans="1:15" x14ac:dyDescent="0.25">
      <c r="A601" s="32">
        <v>4379681</v>
      </c>
      <c r="B601" s="32" t="s">
        <v>21</v>
      </c>
      <c r="C601" s="33" t="s">
        <v>21</v>
      </c>
      <c r="D601" s="35">
        <v>45446</v>
      </c>
      <c r="E601" s="32" t="s">
        <v>185</v>
      </c>
      <c r="F601" s="32">
        <v>22056334</v>
      </c>
      <c r="G601" s="32" t="s">
        <v>321</v>
      </c>
      <c r="H601" s="26" t="s">
        <v>38</v>
      </c>
      <c r="I601" s="36">
        <v>100</v>
      </c>
      <c r="J601" s="32">
        <f>IF(MB25_VOLUMETRIA[[#This Row],[Reserva]]="","",1)</f>
        <v>1</v>
      </c>
      <c r="K601" s="36" t="str">
        <f>IF(MB25_VOLUMETRIA[[#This Row],[Reserva]]="","",IFERROR(VLOOKUP(MB25_VOLUMETRIA[[#This Row],[UMB]],CHAVE[],2,FALSE),"VERIFICAR"))</f>
        <v>Unidade</v>
      </c>
      <c r="L60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1" s="32" t="str">
        <f ca="1">IFERROR(VLOOKUP(MB25_VOLUMETRIA[[#This Row],[Reserva]],RES_AB[],14,FALSE),"")</f>
        <v>RESERVAS EM ATRASO</v>
      </c>
      <c r="N601" s="32" t="str">
        <f>IF(MB25_VOLUMETRIA[[#This Row],[Cen.]]="","",IFERROR(VLOOKUP(MB25_VOLUMETRIA[[#This Row],[Cen.]],Dados_Empresas[],2,FALSE),"Verificar empresa"))</f>
        <v>NET MASSIVO</v>
      </c>
      <c r="O601" s="32" t="str">
        <f>IF(MB25_VOLUMETRIA[[#This Row],[EMPRESA]]="","",IF(OR(MB25_VOLUMETRIA[[#This Row],[EMPRESA]]="NET MASSIVO",MB25_VOLUMETRIA[[#This Row],[EMPRESA]]="NET PROJETOS"),"NET","EMPRESARIAL"))</f>
        <v>NET</v>
      </c>
    </row>
    <row r="602" spans="1:15" x14ac:dyDescent="0.25">
      <c r="A602" s="32">
        <v>4379681</v>
      </c>
      <c r="B602" s="32" t="s">
        <v>21</v>
      </c>
      <c r="C602" s="33" t="s">
        <v>19</v>
      </c>
      <c r="D602" s="35">
        <v>45446</v>
      </c>
      <c r="E602" s="32" t="s">
        <v>185</v>
      </c>
      <c r="F602" s="32">
        <v>22056343</v>
      </c>
      <c r="G602" s="32" t="s">
        <v>234</v>
      </c>
      <c r="H602" s="26" t="s">
        <v>38</v>
      </c>
      <c r="I602" s="36">
        <v>60</v>
      </c>
      <c r="J602" s="32">
        <f>IF(MB25_VOLUMETRIA[[#This Row],[Reserva]]="","",1)</f>
        <v>1</v>
      </c>
      <c r="K602" s="36" t="str">
        <f>IF(MB25_VOLUMETRIA[[#This Row],[Reserva]]="","",IFERROR(VLOOKUP(MB25_VOLUMETRIA[[#This Row],[UMB]],CHAVE[],2,FALSE),"VERIFICAR"))</f>
        <v>Unidade</v>
      </c>
      <c r="L60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2" s="32" t="str">
        <f ca="1">IFERROR(VLOOKUP(MB25_VOLUMETRIA[[#This Row],[Reserva]],RES_AB[],14,FALSE),"")</f>
        <v>RESERVAS EM ATRASO</v>
      </c>
      <c r="N602" s="32" t="str">
        <f>IF(MB25_VOLUMETRIA[[#This Row],[Cen.]]="","",IFERROR(VLOOKUP(MB25_VOLUMETRIA[[#This Row],[Cen.]],Dados_Empresas[],2,FALSE),"Verificar empresa"))</f>
        <v>NET MASSIVO</v>
      </c>
      <c r="O602" s="32" t="str">
        <f>IF(MB25_VOLUMETRIA[[#This Row],[EMPRESA]]="","",IF(OR(MB25_VOLUMETRIA[[#This Row],[EMPRESA]]="NET MASSIVO",MB25_VOLUMETRIA[[#This Row],[EMPRESA]]="NET PROJETOS"),"NET","EMPRESARIAL"))</f>
        <v>NET</v>
      </c>
    </row>
    <row r="603" spans="1:15" x14ac:dyDescent="0.25">
      <c r="A603" s="32">
        <v>4379681</v>
      </c>
      <c r="B603" s="32" t="s">
        <v>21</v>
      </c>
      <c r="C603" s="33" t="s">
        <v>21</v>
      </c>
      <c r="D603" s="35">
        <v>45446</v>
      </c>
      <c r="E603" s="32" t="s">
        <v>185</v>
      </c>
      <c r="F603" s="32">
        <v>22056365</v>
      </c>
      <c r="G603" s="32" t="s">
        <v>244</v>
      </c>
      <c r="H603" s="26" t="s">
        <v>38</v>
      </c>
      <c r="I603" s="36">
        <v>330</v>
      </c>
      <c r="J603" s="32">
        <f>IF(MB25_VOLUMETRIA[[#This Row],[Reserva]]="","",1)</f>
        <v>1</v>
      </c>
      <c r="K603" s="36" t="str">
        <f>IF(MB25_VOLUMETRIA[[#This Row],[Reserva]]="","",IFERROR(VLOOKUP(MB25_VOLUMETRIA[[#This Row],[UMB]],CHAVE[],2,FALSE),"VERIFICAR"))</f>
        <v>Unidade</v>
      </c>
      <c r="L60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3" s="32" t="str">
        <f ca="1">IFERROR(VLOOKUP(MB25_VOLUMETRIA[[#This Row],[Reserva]],RES_AB[],14,FALSE),"")</f>
        <v>RESERVAS EM ATRASO</v>
      </c>
      <c r="N603" s="32" t="str">
        <f>IF(MB25_VOLUMETRIA[[#This Row],[Cen.]]="","",IFERROR(VLOOKUP(MB25_VOLUMETRIA[[#This Row],[Cen.]],Dados_Empresas[],2,FALSE),"Verificar empresa"))</f>
        <v>NET MASSIVO</v>
      </c>
      <c r="O603" s="32" t="str">
        <f>IF(MB25_VOLUMETRIA[[#This Row],[EMPRESA]]="","",IF(OR(MB25_VOLUMETRIA[[#This Row],[EMPRESA]]="NET MASSIVO",MB25_VOLUMETRIA[[#This Row],[EMPRESA]]="NET PROJETOS"),"NET","EMPRESARIAL"))</f>
        <v>NET</v>
      </c>
    </row>
    <row r="604" spans="1:15" x14ac:dyDescent="0.25">
      <c r="A604" s="32">
        <v>4379681</v>
      </c>
      <c r="B604" s="32" t="s">
        <v>21</v>
      </c>
      <c r="C604" s="33" t="s">
        <v>19</v>
      </c>
      <c r="D604" s="35">
        <v>45446</v>
      </c>
      <c r="E604" s="32" t="s">
        <v>185</v>
      </c>
      <c r="F604" s="32">
        <v>22057705</v>
      </c>
      <c r="G604" s="32" t="s">
        <v>241</v>
      </c>
      <c r="H604" s="26" t="s">
        <v>38</v>
      </c>
      <c r="I604" s="36">
        <v>180</v>
      </c>
      <c r="J604" s="32">
        <f>IF(MB25_VOLUMETRIA[[#This Row],[Reserva]]="","",1)</f>
        <v>1</v>
      </c>
      <c r="K604" s="36" t="str">
        <f>IF(MB25_VOLUMETRIA[[#This Row],[Reserva]]="","",IFERROR(VLOOKUP(MB25_VOLUMETRIA[[#This Row],[UMB]],CHAVE[],2,FALSE),"VERIFICAR"))</f>
        <v>Unidade</v>
      </c>
      <c r="L60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4" s="32" t="str">
        <f ca="1">IFERROR(VLOOKUP(MB25_VOLUMETRIA[[#This Row],[Reserva]],RES_AB[],14,FALSE),"")</f>
        <v>RESERVAS EM ATRASO</v>
      </c>
      <c r="N604" s="32" t="str">
        <f>IF(MB25_VOLUMETRIA[[#This Row],[Cen.]]="","",IFERROR(VLOOKUP(MB25_VOLUMETRIA[[#This Row],[Cen.]],Dados_Empresas[],2,FALSE),"Verificar empresa"))</f>
        <v>NET MASSIVO</v>
      </c>
      <c r="O604" s="32" t="str">
        <f>IF(MB25_VOLUMETRIA[[#This Row],[EMPRESA]]="","",IF(OR(MB25_VOLUMETRIA[[#This Row],[EMPRESA]]="NET MASSIVO",MB25_VOLUMETRIA[[#This Row],[EMPRESA]]="NET PROJETOS"),"NET","EMPRESARIAL"))</f>
        <v>NET</v>
      </c>
    </row>
    <row r="605" spans="1:15" x14ac:dyDescent="0.25">
      <c r="A605" s="32">
        <v>4379681</v>
      </c>
      <c r="B605" s="32" t="s">
        <v>21</v>
      </c>
      <c r="C605" s="33" t="s">
        <v>19</v>
      </c>
      <c r="D605" s="35">
        <v>45446</v>
      </c>
      <c r="E605" s="32" t="s">
        <v>185</v>
      </c>
      <c r="F605" s="32">
        <v>22058239</v>
      </c>
      <c r="G605" s="32" t="s">
        <v>317</v>
      </c>
      <c r="H605" s="26" t="s">
        <v>38</v>
      </c>
      <c r="I605" s="36">
        <v>90</v>
      </c>
      <c r="J605" s="32">
        <f>IF(MB25_VOLUMETRIA[[#This Row],[Reserva]]="","",1)</f>
        <v>1</v>
      </c>
      <c r="K605" s="36" t="str">
        <f>IF(MB25_VOLUMETRIA[[#This Row],[Reserva]]="","",IFERROR(VLOOKUP(MB25_VOLUMETRIA[[#This Row],[UMB]],CHAVE[],2,FALSE),"VERIFICAR"))</f>
        <v>Unidade</v>
      </c>
      <c r="L60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5" s="32" t="str">
        <f ca="1">IFERROR(VLOOKUP(MB25_VOLUMETRIA[[#This Row],[Reserva]],RES_AB[],14,FALSE),"")</f>
        <v>RESERVAS EM ATRASO</v>
      </c>
      <c r="N605" s="32" t="str">
        <f>IF(MB25_VOLUMETRIA[[#This Row],[Cen.]]="","",IFERROR(VLOOKUP(MB25_VOLUMETRIA[[#This Row],[Cen.]],Dados_Empresas[],2,FALSE),"Verificar empresa"))</f>
        <v>NET MASSIVO</v>
      </c>
      <c r="O605" s="32" t="str">
        <f>IF(MB25_VOLUMETRIA[[#This Row],[EMPRESA]]="","",IF(OR(MB25_VOLUMETRIA[[#This Row],[EMPRESA]]="NET MASSIVO",MB25_VOLUMETRIA[[#This Row],[EMPRESA]]="NET PROJETOS"),"NET","EMPRESARIAL"))</f>
        <v>NET</v>
      </c>
    </row>
    <row r="606" spans="1:15" x14ac:dyDescent="0.25">
      <c r="A606" s="32">
        <v>4379681</v>
      </c>
      <c r="B606" s="32" t="s">
        <v>21</v>
      </c>
      <c r="C606" s="33" t="s">
        <v>21</v>
      </c>
      <c r="D606" s="35">
        <v>45446</v>
      </c>
      <c r="E606" s="32" t="s">
        <v>185</v>
      </c>
      <c r="F606" s="32">
        <v>22058258</v>
      </c>
      <c r="G606" s="32" t="s">
        <v>187</v>
      </c>
      <c r="H606" s="26" t="s">
        <v>38</v>
      </c>
      <c r="I606" s="36">
        <v>180</v>
      </c>
      <c r="J606" s="32">
        <f>IF(MB25_VOLUMETRIA[[#This Row],[Reserva]]="","",1)</f>
        <v>1</v>
      </c>
      <c r="K606" s="36" t="str">
        <f>IF(MB25_VOLUMETRIA[[#This Row],[Reserva]]="","",IFERROR(VLOOKUP(MB25_VOLUMETRIA[[#This Row],[UMB]],CHAVE[],2,FALSE),"VERIFICAR"))</f>
        <v>Unidade</v>
      </c>
      <c r="L60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6" s="32" t="str">
        <f ca="1">IFERROR(VLOOKUP(MB25_VOLUMETRIA[[#This Row],[Reserva]],RES_AB[],14,FALSE),"")</f>
        <v>RESERVAS EM ATRASO</v>
      </c>
      <c r="N606" s="32" t="str">
        <f>IF(MB25_VOLUMETRIA[[#This Row],[Cen.]]="","",IFERROR(VLOOKUP(MB25_VOLUMETRIA[[#This Row],[Cen.]],Dados_Empresas[],2,FALSE),"Verificar empresa"))</f>
        <v>NET MASSIVO</v>
      </c>
      <c r="O606" s="32" t="str">
        <f>IF(MB25_VOLUMETRIA[[#This Row],[EMPRESA]]="","",IF(OR(MB25_VOLUMETRIA[[#This Row],[EMPRESA]]="NET MASSIVO",MB25_VOLUMETRIA[[#This Row],[EMPRESA]]="NET PROJETOS"),"NET","EMPRESARIAL"))</f>
        <v>NET</v>
      </c>
    </row>
    <row r="607" spans="1:15" x14ac:dyDescent="0.25">
      <c r="A607" s="32">
        <v>4379681</v>
      </c>
      <c r="B607" s="32" t="s">
        <v>21</v>
      </c>
      <c r="C607" s="33" t="s">
        <v>21</v>
      </c>
      <c r="D607" s="35">
        <v>45446</v>
      </c>
      <c r="E607" s="32" t="s">
        <v>185</v>
      </c>
      <c r="F607" s="32">
        <v>22060738</v>
      </c>
      <c r="G607" s="32" t="s">
        <v>199</v>
      </c>
      <c r="H607" s="26" t="s">
        <v>38</v>
      </c>
      <c r="I607" s="36">
        <v>3000</v>
      </c>
      <c r="J607" s="32">
        <f>IF(MB25_VOLUMETRIA[[#This Row],[Reserva]]="","",1)</f>
        <v>1</v>
      </c>
      <c r="K607" s="36" t="str">
        <f>IF(MB25_VOLUMETRIA[[#This Row],[Reserva]]="","",IFERROR(VLOOKUP(MB25_VOLUMETRIA[[#This Row],[UMB]],CHAVE[],2,FALSE),"VERIFICAR"))</f>
        <v>Unidade</v>
      </c>
      <c r="L60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7" s="32" t="str">
        <f ca="1">IFERROR(VLOOKUP(MB25_VOLUMETRIA[[#This Row],[Reserva]],RES_AB[],14,FALSE),"")</f>
        <v>RESERVAS EM ATRASO</v>
      </c>
      <c r="N607" s="32" t="str">
        <f>IF(MB25_VOLUMETRIA[[#This Row],[Cen.]]="","",IFERROR(VLOOKUP(MB25_VOLUMETRIA[[#This Row],[Cen.]],Dados_Empresas[],2,FALSE),"Verificar empresa"))</f>
        <v>NET MASSIVO</v>
      </c>
      <c r="O607" s="32" t="str">
        <f>IF(MB25_VOLUMETRIA[[#This Row],[EMPRESA]]="","",IF(OR(MB25_VOLUMETRIA[[#This Row],[EMPRESA]]="NET MASSIVO",MB25_VOLUMETRIA[[#This Row],[EMPRESA]]="NET PROJETOS"),"NET","EMPRESARIAL"))</f>
        <v>NET</v>
      </c>
    </row>
    <row r="608" spans="1:15" x14ac:dyDescent="0.25">
      <c r="A608" s="32">
        <v>4379681</v>
      </c>
      <c r="B608" s="32" t="s">
        <v>21</v>
      </c>
      <c r="C608" s="33" t="s">
        <v>21</v>
      </c>
      <c r="D608" s="35">
        <v>45446</v>
      </c>
      <c r="E608" s="32" t="s">
        <v>185</v>
      </c>
      <c r="F608" s="32">
        <v>22062576</v>
      </c>
      <c r="G608" s="32" t="s">
        <v>291</v>
      </c>
      <c r="H608" s="26" t="s">
        <v>38</v>
      </c>
      <c r="I608" s="36">
        <v>30</v>
      </c>
      <c r="J608" s="32">
        <f>IF(MB25_VOLUMETRIA[[#This Row],[Reserva]]="","",1)</f>
        <v>1</v>
      </c>
      <c r="K608" s="36" t="str">
        <f>IF(MB25_VOLUMETRIA[[#This Row],[Reserva]]="","",IFERROR(VLOOKUP(MB25_VOLUMETRIA[[#This Row],[UMB]],CHAVE[],2,FALSE),"VERIFICAR"))</f>
        <v>Unidade</v>
      </c>
      <c r="L60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8" s="32" t="str">
        <f ca="1">IFERROR(VLOOKUP(MB25_VOLUMETRIA[[#This Row],[Reserva]],RES_AB[],14,FALSE),"")</f>
        <v>RESERVAS EM ATRASO</v>
      </c>
      <c r="N608" s="32" t="str">
        <f>IF(MB25_VOLUMETRIA[[#This Row],[Cen.]]="","",IFERROR(VLOOKUP(MB25_VOLUMETRIA[[#This Row],[Cen.]],Dados_Empresas[],2,FALSE),"Verificar empresa"))</f>
        <v>NET MASSIVO</v>
      </c>
      <c r="O608" s="32" t="str">
        <f>IF(MB25_VOLUMETRIA[[#This Row],[EMPRESA]]="","",IF(OR(MB25_VOLUMETRIA[[#This Row],[EMPRESA]]="NET MASSIVO",MB25_VOLUMETRIA[[#This Row],[EMPRESA]]="NET PROJETOS"),"NET","EMPRESARIAL"))</f>
        <v>NET</v>
      </c>
    </row>
    <row r="609" spans="1:15" x14ac:dyDescent="0.25">
      <c r="A609" s="32">
        <v>4379681</v>
      </c>
      <c r="B609" s="32" t="s">
        <v>21</v>
      </c>
      <c r="C609" s="33" t="s">
        <v>19</v>
      </c>
      <c r="D609" s="35">
        <v>45446</v>
      </c>
      <c r="E609" s="32" t="s">
        <v>185</v>
      </c>
      <c r="F609" s="32">
        <v>22065719</v>
      </c>
      <c r="G609" s="32" t="s">
        <v>228</v>
      </c>
      <c r="H609" s="26" t="s">
        <v>38</v>
      </c>
      <c r="I609" s="36">
        <v>40</v>
      </c>
      <c r="J609" s="32">
        <f>IF(MB25_VOLUMETRIA[[#This Row],[Reserva]]="","",1)</f>
        <v>1</v>
      </c>
      <c r="K609" s="36" t="str">
        <f>IF(MB25_VOLUMETRIA[[#This Row],[Reserva]]="","",IFERROR(VLOOKUP(MB25_VOLUMETRIA[[#This Row],[UMB]],CHAVE[],2,FALSE),"VERIFICAR"))</f>
        <v>Unidade</v>
      </c>
      <c r="L60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09" s="32" t="str">
        <f ca="1">IFERROR(VLOOKUP(MB25_VOLUMETRIA[[#This Row],[Reserva]],RES_AB[],14,FALSE),"")</f>
        <v>RESERVAS EM ATRASO</v>
      </c>
      <c r="N609" s="32" t="str">
        <f>IF(MB25_VOLUMETRIA[[#This Row],[Cen.]]="","",IFERROR(VLOOKUP(MB25_VOLUMETRIA[[#This Row],[Cen.]],Dados_Empresas[],2,FALSE),"Verificar empresa"))</f>
        <v>NET MASSIVO</v>
      </c>
      <c r="O609" s="32" t="str">
        <f>IF(MB25_VOLUMETRIA[[#This Row],[EMPRESA]]="","",IF(OR(MB25_VOLUMETRIA[[#This Row],[EMPRESA]]="NET MASSIVO",MB25_VOLUMETRIA[[#This Row],[EMPRESA]]="NET PROJETOS"),"NET","EMPRESARIAL"))</f>
        <v>NET</v>
      </c>
    </row>
    <row r="610" spans="1:15" x14ac:dyDescent="0.25">
      <c r="A610" s="32">
        <v>4379681</v>
      </c>
      <c r="B610" s="32" t="s">
        <v>21</v>
      </c>
      <c r="C610" s="33" t="s">
        <v>21</v>
      </c>
      <c r="D610" s="35">
        <v>45446</v>
      </c>
      <c r="E610" s="32" t="s">
        <v>185</v>
      </c>
      <c r="F610" s="32">
        <v>22065721</v>
      </c>
      <c r="G610" s="32" t="s">
        <v>328</v>
      </c>
      <c r="H610" s="26" t="s">
        <v>38</v>
      </c>
      <c r="I610" s="36">
        <v>100</v>
      </c>
      <c r="J610" s="32">
        <f>IF(MB25_VOLUMETRIA[[#This Row],[Reserva]]="","",1)</f>
        <v>1</v>
      </c>
      <c r="K610" s="36" t="str">
        <f>IF(MB25_VOLUMETRIA[[#This Row],[Reserva]]="","",IFERROR(VLOOKUP(MB25_VOLUMETRIA[[#This Row],[UMB]],CHAVE[],2,FALSE),"VERIFICAR"))</f>
        <v>Unidade</v>
      </c>
      <c r="L61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0" s="32" t="str">
        <f ca="1">IFERROR(VLOOKUP(MB25_VOLUMETRIA[[#This Row],[Reserva]],RES_AB[],14,FALSE),"")</f>
        <v>RESERVAS EM ATRASO</v>
      </c>
      <c r="N610" s="32" t="str">
        <f>IF(MB25_VOLUMETRIA[[#This Row],[Cen.]]="","",IFERROR(VLOOKUP(MB25_VOLUMETRIA[[#This Row],[Cen.]],Dados_Empresas[],2,FALSE),"Verificar empresa"))</f>
        <v>NET MASSIVO</v>
      </c>
      <c r="O610" s="32" t="str">
        <f>IF(MB25_VOLUMETRIA[[#This Row],[EMPRESA]]="","",IF(OR(MB25_VOLUMETRIA[[#This Row],[EMPRESA]]="NET MASSIVO",MB25_VOLUMETRIA[[#This Row],[EMPRESA]]="NET PROJETOS"),"NET","EMPRESARIAL"))</f>
        <v>NET</v>
      </c>
    </row>
    <row r="611" spans="1:15" x14ac:dyDescent="0.25">
      <c r="A611" s="32">
        <v>4379682</v>
      </c>
      <c r="B611" s="32" t="s">
        <v>21</v>
      </c>
      <c r="C611" s="33" t="s">
        <v>19</v>
      </c>
      <c r="D611" s="35">
        <v>45446</v>
      </c>
      <c r="E611" s="32" t="s">
        <v>184</v>
      </c>
      <c r="F611" s="32">
        <v>41000805</v>
      </c>
      <c r="G611" s="32" t="s">
        <v>188</v>
      </c>
      <c r="H611" s="26" t="s">
        <v>38</v>
      </c>
      <c r="I611" s="36">
        <v>90</v>
      </c>
      <c r="J611" s="32">
        <f>IF(MB25_VOLUMETRIA[[#This Row],[Reserva]]="","",1)</f>
        <v>1</v>
      </c>
      <c r="K611" s="36" t="str">
        <f>IF(MB25_VOLUMETRIA[[#This Row],[Reserva]]="","",IFERROR(VLOOKUP(MB25_VOLUMETRIA[[#This Row],[UMB]],CHAVE[],2,FALSE),"VERIFICAR"))</f>
        <v>Unidade</v>
      </c>
      <c r="L61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1" s="32" t="str">
        <f ca="1">IFERROR(VLOOKUP(MB25_VOLUMETRIA[[#This Row],[Reserva]],RES_AB[],14,FALSE),"")</f>
        <v>RESERVAS EM ATRASO</v>
      </c>
      <c r="N611" s="32" t="str">
        <f>IF(MB25_VOLUMETRIA[[#This Row],[Cen.]]="","",IFERROR(VLOOKUP(MB25_VOLUMETRIA[[#This Row],[Cen.]],Dados_Empresas[],2,FALSE),"Verificar empresa"))</f>
        <v>NET MASSIVO</v>
      </c>
      <c r="O611" s="32" t="str">
        <f>IF(MB25_VOLUMETRIA[[#This Row],[EMPRESA]]="","",IF(OR(MB25_VOLUMETRIA[[#This Row],[EMPRESA]]="NET MASSIVO",MB25_VOLUMETRIA[[#This Row],[EMPRESA]]="NET PROJETOS"),"NET","EMPRESARIAL"))</f>
        <v>NET</v>
      </c>
    </row>
    <row r="612" spans="1:15" x14ac:dyDescent="0.25">
      <c r="A612" s="32">
        <v>4379682</v>
      </c>
      <c r="B612" s="32" t="s">
        <v>21</v>
      </c>
      <c r="C612" s="33" t="s">
        <v>19</v>
      </c>
      <c r="D612" s="35">
        <v>45446</v>
      </c>
      <c r="E612" s="32" t="s">
        <v>184</v>
      </c>
      <c r="F612" s="32">
        <v>41001048</v>
      </c>
      <c r="G612" s="32" t="s">
        <v>318</v>
      </c>
      <c r="H612" s="26" t="s">
        <v>38</v>
      </c>
      <c r="I612" s="36">
        <v>90</v>
      </c>
      <c r="J612" s="32">
        <f>IF(MB25_VOLUMETRIA[[#This Row],[Reserva]]="","",1)</f>
        <v>1</v>
      </c>
      <c r="K612" s="36" t="str">
        <f>IF(MB25_VOLUMETRIA[[#This Row],[Reserva]]="","",IFERROR(VLOOKUP(MB25_VOLUMETRIA[[#This Row],[UMB]],CHAVE[],2,FALSE),"VERIFICAR"))</f>
        <v>Unidade</v>
      </c>
      <c r="L61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2" s="32" t="str">
        <f ca="1">IFERROR(VLOOKUP(MB25_VOLUMETRIA[[#This Row],[Reserva]],RES_AB[],14,FALSE),"")</f>
        <v>RESERVAS EM ATRASO</v>
      </c>
      <c r="N612" s="32" t="str">
        <f>IF(MB25_VOLUMETRIA[[#This Row],[Cen.]]="","",IFERROR(VLOOKUP(MB25_VOLUMETRIA[[#This Row],[Cen.]],Dados_Empresas[],2,FALSE),"Verificar empresa"))</f>
        <v>NET MASSIVO</v>
      </c>
      <c r="O612" s="32" t="str">
        <f>IF(MB25_VOLUMETRIA[[#This Row],[EMPRESA]]="","",IF(OR(MB25_VOLUMETRIA[[#This Row],[EMPRESA]]="NET MASSIVO",MB25_VOLUMETRIA[[#This Row],[EMPRESA]]="NET PROJETOS"),"NET","EMPRESARIAL"))</f>
        <v>NET</v>
      </c>
    </row>
    <row r="613" spans="1:15" x14ac:dyDescent="0.25">
      <c r="A613" s="32">
        <v>4379682</v>
      </c>
      <c r="B613" s="32" t="s">
        <v>21</v>
      </c>
      <c r="C613" s="33" t="s">
        <v>19</v>
      </c>
      <c r="D613" s="35">
        <v>45446</v>
      </c>
      <c r="E613" s="32" t="s">
        <v>184</v>
      </c>
      <c r="F613" s="32">
        <v>41001294</v>
      </c>
      <c r="G613" s="32" t="s">
        <v>248</v>
      </c>
      <c r="H613" s="26" t="s">
        <v>38</v>
      </c>
      <c r="I613" s="36">
        <v>180</v>
      </c>
      <c r="J613" s="32">
        <f>IF(MB25_VOLUMETRIA[[#This Row],[Reserva]]="","",1)</f>
        <v>1</v>
      </c>
      <c r="K613" s="36" t="str">
        <f>IF(MB25_VOLUMETRIA[[#This Row],[Reserva]]="","",IFERROR(VLOOKUP(MB25_VOLUMETRIA[[#This Row],[UMB]],CHAVE[],2,FALSE),"VERIFICAR"))</f>
        <v>Unidade</v>
      </c>
      <c r="L61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3" s="32" t="str">
        <f ca="1">IFERROR(VLOOKUP(MB25_VOLUMETRIA[[#This Row],[Reserva]],RES_AB[],14,FALSE),"")</f>
        <v>RESERVAS EM ATRASO</v>
      </c>
      <c r="N613" s="32" t="str">
        <f>IF(MB25_VOLUMETRIA[[#This Row],[Cen.]]="","",IFERROR(VLOOKUP(MB25_VOLUMETRIA[[#This Row],[Cen.]],Dados_Empresas[],2,FALSE),"Verificar empresa"))</f>
        <v>NET MASSIVO</v>
      </c>
      <c r="O613" s="32" t="str">
        <f>IF(MB25_VOLUMETRIA[[#This Row],[EMPRESA]]="","",IF(OR(MB25_VOLUMETRIA[[#This Row],[EMPRESA]]="NET MASSIVO",MB25_VOLUMETRIA[[#This Row],[EMPRESA]]="NET PROJETOS"),"NET","EMPRESARIAL"))</f>
        <v>NET</v>
      </c>
    </row>
    <row r="614" spans="1:15" x14ac:dyDescent="0.25">
      <c r="A614" s="32">
        <v>4379682</v>
      </c>
      <c r="B614" s="32" t="s">
        <v>21</v>
      </c>
      <c r="C614" s="33" t="s">
        <v>19</v>
      </c>
      <c r="D614" s="35">
        <v>45446</v>
      </c>
      <c r="E614" s="32" t="s">
        <v>184</v>
      </c>
      <c r="F614" s="32">
        <v>41001553</v>
      </c>
      <c r="G614" s="32" t="s">
        <v>295</v>
      </c>
      <c r="H614" s="26" t="s">
        <v>38</v>
      </c>
      <c r="I614" s="36">
        <v>30</v>
      </c>
      <c r="J614" s="32">
        <f>IF(MB25_VOLUMETRIA[[#This Row],[Reserva]]="","",1)</f>
        <v>1</v>
      </c>
      <c r="K614" s="36" t="str">
        <f>IF(MB25_VOLUMETRIA[[#This Row],[Reserva]]="","",IFERROR(VLOOKUP(MB25_VOLUMETRIA[[#This Row],[UMB]],CHAVE[],2,FALSE),"VERIFICAR"))</f>
        <v>Unidade</v>
      </c>
      <c r="L61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4" s="32" t="str">
        <f ca="1">IFERROR(VLOOKUP(MB25_VOLUMETRIA[[#This Row],[Reserva]],RES_AB[],14,FALSE),"")</f>
        <v>RESERVAS EM ATRASO</v>
      </c>
      <c r="N614" s="32" t="str">
        <f>IF(MB25_VOLUMETRIA[[#This Row],[Cen.]]="","",IFERROR(VLOOKUP(MB25_VOLUMETRIA[[#This Row],[Cen.]],Dados_Empresas[],2,FALSE),"Verificar empresa"))</f>
        <v>NET MASSIVO</v>
      </c>
      <c r="O614" s="32" t="str">
        <f>IF(MB25_VOLUMETRIA[[#This Row],[EMPRESA]]="","",IF(OR(MB25_VOLUMETRIA[[#This Row],[EMPRESA]]="NET MASSIVO",MB25_VOLUMETRIA[[#This Row],[EMPRESA]]="NET PROJETOS"),"NET","EMPRESARIAL"))</f>
        <v>NET</v>
      </c>
    </row>
    <row r="615" spans="1:15" x14ac:dyDescent="0.25">
      <c r="A615" s="32">
        <v>4379683</v>
      </c>
      <c r="B615" s="32" t="s">
        <v>21</v>
      </c>
      <c r="C615" s="33" t="s">
        <v>21</v>
      </c>
      <c r="D615" s="35">
        <v>45446</v>
      </c>
      <c r="E615" s="32" t="s">
        <v>185</v>
      </c>
      <c r="F615" s="32">
        <v>22025136</v>
      </c>
      <c r="G615" s="32" t="s">
        <v>215</v>
      </c>
      <c r="H615" s="26" t="s">
        <v>38</v>
      </c>
      <c r="I615" s="36">
        <v>500</v>
      </c>
      <c r="J615" s="32">
        <f>IF(MB25_VOLUMETRIA[[#This Row],[Reserva]]="","",1)</f>
        <v>1</v>
      </c>
      <c r="K615" s="36" t="str">
        <f>IF(MB25_VOLUMETRIA[[#This Row],[Reserva]]="","",IFERROR(VLOOKUP(MB25_VOLUMETRIA[[#This Row],[UMB]],CHAVE[],2,FALSE),"VERIFICAR"))</f>
        <v>Unidade</v>
      </c>
      <c r="L61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5" s="32" t="str">
        <f ca="1">IFERROR(VLOOKUP(MB25_VOLUMETRIA[[#This Row],[Reserva]],RES_AB[],14,FALSE),"")</f>
        <v>RESERVAS EM ATRASO</v>
      </c>
      <c r="N615" s="32" t="str">
        <f>IF(MB25_VOLUMETRIA[[#This Row],[Cen.]]="","",IFERROR(VLOOKUP(MB25_VOLUMETRIA[[#This Row],[Cen.]],Dados_Empresas[],2,FALSE),"Verificar empresa"))</f>
        <v>NET MASSIVO</v>
      </c>
      <c r="O615" s="32" t="str">
        <f>IF(MB25_VOLUMETRIA[[#This Row],[EMPRESA]]="","",IF(OR(MB25_VOLUMETRIA[[#This Row],[EMPRESA]]="NET MASSIVO",MB25_VOLUMETRIA[[#This Row],[EMPRESA]]="NET PROJETOS"),"NET","EMPRESARIAL"))</f>
        <v>NET</v>
      </c>
    </row>
    <row r="616" spans="1:15" x14ac:dyDescent="0.25">
      <c r="A616" s="32">
        <v>4379683</v>
      </c>
      <c r="B616" s="32" t="s">
        <v>21</v>
      </c>
      <c r="C616" s="33" t="s">
        <v>19</v>
      </c>
      <c r="D616" s="35">
        <v>45446</v>
      </c>
      <c r="E616" s="32" t="s">
        <v>185</v>
      </c>
      <c r="F616" s="32">
        <v>22025239</v>
      </c>
      <c r="G616" s="32" t="s">
        <v>335</v>
      </c>
      <c r="H616" s="26" t="s">
        <v>38</v>
      </c>
      <c r="I616" s="36">
        <v>100</v>
      </c>
      <c r="J616" s="32">
        <f>IF(MB25_VOLUMETRIA[[#This Row],[Reserva]]="","",1)</f>
        <v>1</v>
      </c>
      <c r="K616" s="36" t="str">
        <f>IF(MB25_VOLUMETRIA[[#This Row],[Reserva]]="","",IFERROR(VLOOKUP(MB25_VOLUMETRIA[[#This Row],[UMB]],CHAVE[],2,FALSE),"VERIFICAR"))</f>
        <v>Unidade</v>
      </c>
      <c r="L61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6" s="32" t="str">
        <f ca="1">IFERROR(VLOOKUP(MB25_VOLUMETRIA[[#This Row],[Reserva]],RES_AB[],14,FALSE),"")</f>
        <v>RESERVAS EM ATRASO</v>
      </c>
      <c r="N616" s="32" t="str">
        <f>IF(MB25_VOLUMETRIA[[#This Row],[Cen.]]="","",IFERROR(VLOOKUP(MB25_VOLUMETRIA[[#This Row],[Cen.]],Dados_Empresas[],2,FALSE),"Verificar empresa"))</f>
        <v>NET MASSIVO</v>
      </c>
      <c r="O616" s="32" t="str">
        <f>IF(MB25_VOLUMETRIA[[#This Row],[EMPRESA]]="","",IF(OR(MB25_VOLUMETRIA[[#This Row],[EMPRESA]]="NET MASSIVO",MB25_VOLUMETRIA[[#This Row],[EMPRESA]]="NET PROJETOS"),"NET","EMPRESARIAL"))</f>
        <v>NET</v>
      </c>
    </row>
    <row r="617" spans="1:15" x14ac:dyDescent="0.25">
      <c r="A617" s="32">
        <v>4379683</v>
      </c>
      <c r="B617" s="32" t="s">
        <v>21</v>
      </c>
      <c r="C617" s="33" t="s">
        <v>19</v>
      </c>
      <c r="D617" s="35">
        <v>45446</v>
      </c>
      <c r="E617" s="32" t="s">
        <v>185</v>
      </c>
      <c r="F617" s="32">
        <v>22025250</v>
      </c>
      <c r="G617" s="32" t="s">
        <v>213</v>
      </c>
      <c r="H617" s="26" t="s">
        <v>38</v>
      </c>
      <c r="I617" s="36">
        <v>100</v>
      </c>
      <c r="J617" s="32">
        <f>IF(MB25_VOLUMETRIA[[#This Row],[Reserva]]="","",1)</f>
        <v>1</v>
      </c>
      <c r="K617" s="36" t="str">
        <f>IF(MB25_VOLUMETRIA[[#This Row],[Reserva]]="","",IFERROR(VLOOKUP(MB25_VOLUMETRIA[[#This Row],[UMB]],CHAVE[],2,FALSE),"VERIFICAR"))</f>
        <v>Unidade</v>
      </c>
      <c r="L61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7" s="32" t="str">
        <f ca="1">IFERROR(VLOOKUP(MB25_VOLUMETRIA[[#This Row],[Reserva]],RES_AB[],14,FALSE),"")</f>
        <v>RESERVAS EM ATRASO</v>
      </c>
      <c r="N617" s="32" t="str">
        <f>IF(MB25_VOLUMETRIA[[#This Row],[Cen.]]="","",IFERROR(VLOOKUP(MB25_VOLUMETRIA[[#This Row],[Cen.]],Dados_Empresas[],2,FALSE),"Verificar empresa"))</f>
        <v>NET MASSIVO</v>
      </c>
      <c r="O617" s="32" t="str">
        <f>IF(MB25_VOLUMETRIA[[#This Row],[EMPRESA]]="","",IF(OR(MB25_VOLUMETRIA[[#This Row],[EMPRESA]]="NET MASSIVO",MB25_VOLUMETRIA[[#This Row],[EMPRESA]]="NET PROJETOS"),"NET","EMPRESARIAL"))</f>
        <v>NET</v>
      </c>
    </row>
    <row r="618" spans="1:15" x14ac:dyDescent="0.25">
      <c r="A618" s="32">
        <v>4379683</v>
      </c>
      <c r="B618" s="32" t="s">
        <v>21</v>
      </c>
      <c r="C618" s="33" t="s">
        <v>21</v>
      </c>
      <c r="D618" s="35">
        <v>45446</v>
      </c>
      <c r="E618" s="32" t="s">
        <v>185</v>
      </c>
      <c r="F618" s="32">
        <v>22025321</v>
      </c>
      <c r="G618" s="32" t="s">
        <v>220</v>
      </c>
      <c r="H618" s="26" t="s">
        <v>38</v>
      </c>
      <c r="I618" s="36">
        <v>200</v>
      </c>
      <c r="J618" s="32">
        <f>IF(MB25_VOLUMETRIA[[#This Row],[Reserva]]="","",1)</f>
        <v>1</v>
      </c>
      <c r="K618" s="36" t="str">
        <f>IF(MB25_VOLUMETRIA[[#This Row],[Reserva]]="","",IFERROR(VLOOKUP(MB25_VOLUMETRIA[[#This Row],[UMB]],CHAVE[],2,FALSE),"VERIFICAR"))</f>
        <v>Unidade</v>
      </c>
      <c r="L61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8" s="32" t="str">
        <f ca="1">IFERROR(VLOOKUP(MB25_VOLUMETRIA[[#This Row],[Reserva]],RES_AB[],14,FALSE),"")</f>
        <v>RESERVAS EM ATRASO</v>
      </c>
      <c r="N618" s="32" t="str">
        <f>IF(MB25_VOLUMETRIA[[#This Row],[Cen.]]="","",IFERROR(VLOOKUP(MB25_VOLUMETRIA[[#This Row],[Cen.]],Dados_Empresas[],2,FALSE),"Verificar empresa"))</f>
        <v>NET MASSIVO</v>
      </c>
      <c r="O618" s="32" t="str">
        <f>IF(MB25_VOLUMETRIA[[#This Row],[EMPRESA]]="","",IF(OR(MB25_VOLUMETRIA[[#This Row],[EMPRESA]]="NET MASSIVO",MB25_VOLUMETRIA[[#This Row],[EMPRESA]]="NET PROJETOS"),"NET","EMPRESARIAL"))</f>
        <v>NET</v>
      </c>
    </row>
    <row r="619" spans="1:15" x14ac:dyDescent="0.25">
      <c r="A619" s="32">
        <v>4379683</v>
      </c>
      <c r="B619" s="32" t="s">
        <v>21</v>
      </c>
      <c r="C619" s="33" t="s">
        <v>19</v>
      </c>
      <c r="D619" s="35">
        <v>45446</v>
      </c>
      <c r="E619" s="32" t="s">
        <v>185</v>
      </c>
      <c r="F619" s="32">
        <v>22025348</v>
      </c>
      <c r="G619" s="32" t="s">
        <v>218</v>
      </c>
      <c r="H619" s="26" t="s">
        <v>38</v>
      </c>
      <c r="I619" s="36">
        <v>100</v>
      </c>
      <c r="J619" s="32">
        <f>IF(MB25_VOLUMETRIA[[#This Row],[Reserva]]="","",1)</f>
        <v>1</v>
      </c>
      <c r="K619" s="36" t="str">
        <f>IF(MB25_VOLUMETRIA[[#This Row],[Reserva]]="","",IFERROR(VLOOKUP(MB25_VOLUMETRIA[[#This Row],[UMB]],CHAVE[],2,FALSE),"VERIFICAR"))</f>
        <v>Unidade</v>
      </c>
      <c r="L61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19" s="32" t="str">
        <f ca="1">IFERROR(VLOOKUP(MB25_VOLUMETRIA[[#This Row],[Reserva]],RES_AB[],14,FALSE),"")</f>
        <v>RESERVAS EM ATRASO</v>
      </c>
      <c r="N619" s="32" t="str">
        <f>IF(MB25_VOLUMETRIA[[#This Row],[Cen.]]="","",IFERROR(VLOOKUP(MB25_VOLUMETRIA[[#This Row],[Cen.]],Dados_Empresas[],2,FALSE),"Verificar empresa"))</f>
        <v>NET MASSIVO</v>
      </c>
      <c r="O619" s="32" t="str">
        <f>IF(MB25_VOLUMETRIA[[#This Row],[EMPRESA]]="","",IF(OR(MB25_VOLUMETRIA[[#This Row],[EMPRESA]]="NET MASSIVO",MB25_VOLUMETRIA[[#This Row],[EMPRESA]]="NET PROJETOS"),"NET","EMPRESARIAL"))</f>
        <v>NET</v>
      </c>
    </row>
    <row r="620" spans="1:15" x14ac:dyDescent="0.25">
      <c r="A620" s="32">
        <v>4379683</v>
      </c>
      <c r="B620" s="32" t="s">
        <v>21</v>
      </c>
      <c r="C620" s="33" t="s">
        <v>21</v>
      </c>
      <c r="D620" s="35">
        <v>45446</v>
      </c>
      <c r="E620" s="32" t="s">
        <v>185</v>
      </c>
      <c r="F620" s="32">
        <v>22026189</v>
      </c>
      <c r="G620" s="32" t="s">
        <v>200</v>
      </c>
      <c r="H620" s="26" t="s">
        <v>38</v>
      </c>
      <c r="I620" s="36">
        <v>5400</v>
      </c>
      <c r="J620" s="32">
        <f>IF(MB25_VOLUMETRIA[[#This Row],[Reserva]]="","",1)</f>
        <v>1</v>
      </c>
      <c r="K620" s="36" t="str">
        <f>IF(MB25_VOLUMETRIA[[#This Row],[Reserva]]="","",IFERROR(VLOOKUP(MB25_VOLUMETRIA[[#This Row],[UMB]],CHAVE[],2,FALSE),"VERIFICAR"))</f>
        <v>Unidade</v>
      </c>
      <c r="L62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0" s="32" t="str">
        <f ca="1">IFERROR(VLOOKUP(MB25_VOLUMETRIA[[#This Row],[Reserva]],RES_AB[],14,FALSE),"")</f>
        <v>RESERVAS EM ATRASO</v>
      </c>
      <c r="N620" s="32" t="str">
        <f>IF(MB25_VOLUMETRIA[[#This Row],[Cen.]]="","",IFERROR(VLOOKUP(MB25_VOLUMETRIA[[#This Row],[Cen.]],Dados_Empresas[],2,FALSE),"Verificar empresa"))</f>
        <v>NET MASSIVO</v>
      </c>
      <c r="O620" s="32" t="str">
        <f>IF(MB25_VOLUMETRIA[[#This Row],[EMPRESA]]="","",IF(OR(MB25_VOLUMETRIA[[#This Row],[EMPRESA]]="NET MASSIVO",MB25_VOLUMETRIA[[#This Row],[EMPRESA]]="NET PROJETOS"),"NET","EMPRESARIAL"))</f>
        <v>NET</v>
      </c>
    </row>
    <row r="621" spans="1:15" x14ac:dyDescent="0.25">
      <c r="A621" s="32">
        <v>4379683</v>
      </c>
      <c r="B621" s="32" t="s">
        <v>21</v>
      </c>
      <c r="C621" s="33" t="s">
        <v>21</v>
      </c>
      <c r="D621" s="35">
        <v>45446</v>
      </c>
      <c r="E621" s="32" t="s">
        <v>185</v>
      </c>
      <c r="F621" s="32">
        <v>22026219</v>
      </c>
      <c r="G621" s="32" t="s">
        <v>221</v>
      </c>
      <c r="H621" s="26" t="s">
        <v>38</v>
      </c>
      <c r="I621" s="36">
        <v>25400</v>
      </c>
      <c r="J621" s="32">
        <f>IF(MB25_VOLUMETRIA[[#This Row],[Reserva]]="","",1)</f>
        <v>1</v>
      </c>
      <c r="K621" s="36" t="str">
        <f>IF(MB25_VOLUMETRIA[[#This Row],[Reserva]]="","",IFERROR(VLOOKUP(MB25_VOLUMETRIA[[#This Row],[UMB]],CHAVE[],2,FALSE),"VERIFICAR"))</f>
        <v>Unidade</v>
      </c>
      <c r="L62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1" s="32" t="str">
        <f ca="1">IFERROR(VLOOKUP(MB25_VOLUMETRIA[[#This Row],[Reserva]],RES_AB[],14,FALSE),"")</f>
        <v>RESERVAS EM ATRASO</v>
      </c>
      <c r="N621" s="32" t="str">
        <f>IF(MB25_VOLUMETRIA[[#This Row],[Cen.]]="","",IFERROR(VLOOKUP(MB25_VOLUMETRIA[[#This Row],[Cen.]],Dados_Empresas[],2,FALSE),"Verificar empresa"))</f>
        <v>NET MASSIVO</v>
      </c>
      <c r="O621" s="32" t="str">
        <f>IF(MB25_VOLUMETRIA[[#This Row],[EMPRESA]]="","",IF(OR(MB25_VOLUMETRIA[[#This Row],[EMPRESA]]="NET MASSIVO",MB25_VOLUMETRIA[[#This Row],[EMPRESA]]="NET PROJETOS"),"NET","EMPRESARIAL"))</f>
        <v>NET</v>
      </c>
    </row>
    <row r="622" spans="1:15" x14ac:dyDescent="0.25">
      <c r="A622" s="32">
        <v>4379683</v>
      </c>
      <c r="B622" s="32" t="s">
        <v>21</v>
      </c>
      <c r="C622" s="33" t="s">
        <v>21</v>
      </c>
      <c r="D622" s="35">
        <v>45446</v>
      </c>
      <c r="E622" s="32" t="s">
        <v>185</v>
      </c>
      <c r="F622" s="32">
        <v>22026223</v>
      </c>
      <c r="G622" s="32" t="s">
        <v>195</v>
      </c>
      <c r="H622" s="26" t="s">
        <v>38</v>
      </c>
      <c r="I622" s="36">
        <v>13725</v>
      </c>
      <c r="J622" s="32">
        <f>IF(MB25_VOLUMETRIA[[#This Row],[Reserva]]="","",1)</f>
        <v>1</v>
      </c>
      <c r="K622" s="36" t="str">
        <f>IF(MB25_VOLUMETRIA[[#This Row],[Reserva]]="","",IFERROR(VLOOKUP(MB25_VOLUMETRIA[[#This Row],[UMB]],CHAVE[],2,FALSE),"VERIFICAR"))</f>
        <v>Unidade</v>
      </c>
      <c r="L62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2" s="32" t="str">
        <f ca="1">IFERROR(VLOOKUP(MB25_VOLUMETRIA[[#This Row],[Reserva]],RES_AB[],14,FALSE),"")</f>
        <v>RESERVAS EM ATRASO</v>
      </c>
      <c r="N622" s="32" t="str">
        <f>IF(MB25_VOLUMETRIA[[#This Row],[Cen.]]="","",IFERROR(VLOOKUP(MB25_VOLUMETRIA[[#This Row],[Cen.]],Dados_Empresas[],2,FALSE),"Verificar empresa"))</f>
        <v>NET MASSIVO</v>
      </c>
      <c r="O622" s="32" t="str">
        <f>IF(MB25_VOLUMETRIA[[#This Row],[EMPRESA]]="","",IF(OR(MB25_VOLUMETRIA[[#This Row],[EMPRESA]]="NET MASSIVO",MB25_VOLUMETRIA[[#This Row],[EMPRESA]]="NET PROJETOS"),"NET","EMPRESARIAL"))</f>
        <v>NET</v>
      </c>
    </row>
    <row r="623" spans="1:15" x14ac:dyDescent="0.25">
      <c r="A623" s="32">
        <v>4379683</v>
      </c>
      <c r="B623" s="32" t="s">
        <v>21</v>
      </c>
      <c r="C623" s="33" t="s">
        <v>19</v>
      </c>
      <c r="D623" s="35">
        <v>45446</v>
      </c>
      <c r="E623" s="32" t="s">
        <v>185</v>
      </c>
      <c r="F623" s="32">
        <v>22026249</v>
      </c>
      <c r="G623" s="32" t="s">
        <v>186</v>
      </c>
      <c r="H623" s="26" t="s">
        <v>38</v>
      </c>
      <c r="I623" s="36">
        <v>40</v>
      </c>
      <c r="J623" s="32">
        <f>IF(MB25_VOLUMETRIA[[#This Row],[Reserva]]="","",1)</f>
        <v>1</v>
      </c>
      <c r="K623" s="36" t="str">
        <f>IF(MB25_VOLUMETRIA[[#This Row],[Reserva]]="","",IFERROR(VLOOKUP(MB25_VOLUMETRIA[[#This Row],[UMB]],CHAVE[],2,FALSE),"VERIFICAR"))</f>
        <v>Unidade</v>
      </c>
      <c r="L62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3" s="32" t="str">
        <f ca="1">IFERROR(VLOOKUP(MB25_VOLUMETRIA[[#This Row],[Reserva]],RES_AB[],14,FALSE),"")</f>
        <v>RESERVAS EM ATRASO</v>
      </c>
      <c r="N623" s="32" t="str">
        <f>IF(MB25_VOLUMETRIA[[#This Row],[Cen.]]="","",IFERROR(VLOOKUP(MB25_VOLUMETRIA[[#This Row],[Cen.]],Dados_Empresas[],2,FALSE),"Verificar empresa"))</f>
        <v>NET MASSIVO</v>
      </c>
      <c r="O623" s="32" t="str">
        <f>IF(MB25_VOLUMETRIA[[#This Row],[EMPRESA]]="","",IF(OR(MB25_VOLUMETRIA[[#This Row],[EMPRESA]]="NET MASSIVO",MB25_VOLUMETRIA[[#This Row],[EMPRESA]]="NET PROJETOS"),"NET","EMPRESARIAL"))</f>
        <v>NET</v>
      </c>
    </row>
    <row r="624" spans="1:15" x14ac:dyDescent="0.25">
      <c r="A624" s="32">
        <v>4379683</v>
      </c>
      <c r="B624" s="32" t="s">
        <v>21</v>
      </c>
      <c r="C624" s="33" t="s">
        <v>21</v>
      </c>
      <c r="D624" s="35">
        <v>45446</v>
      </c>
      <c r="E624" s="32" t="s">
        <v>185</v>
      </c>
      <c r="F624" s="32">
        <v>22026746</v>
      </c>
      <c r="G624" s="32" t="s">
        <v>205</v>
      </c>
      <c r="H624" s="26" t="s">
        <v>38</v>
      </c>
      <c r="I624" s="36">
        <v>100</v>
      </c>
      <c r="J624" s="32">
        <f>IF(MB25_VOLUMETRIA[[#This Row],[Reserva]]="","",1)</f>
        <v>1</v>
      </c>
      <c r="K624" s="36" t="str">
        <f>IF(MB25_VOLUMETRIA[[#This Row],[Reserva]]="","",IFERROR(VLOOKUP(MB25_VOLUMETRIA[[#This Row],[UMB]],CHAVE[],2,FALSE),"VERIFICAR"))</f>
        <v>Unidade</v>
      </c>
      <c r="L62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4" s="32" t="str">
        <f ca="1">IFERROR(VLOOKUP(MB25_VOLUMETRIA[[#This Row],[Reserva]],RES_AB[],14,FALSE),"")</f>
        <v>RESERVAS EM ATRASO</v>
      </c>
      <c r="N624" s="32" t="str">
        <f>IF(MB25_VOLUMETRIA[[#This Row],[Cen.]]="","",IFERROR(VLOOKUP(MB25_VOLUMETRIA[[#This Row],[Cen.]],Dados_Empresas[],2,FALSE),"Verificar empresa"))</f>
        <v>NET MASSIVO</v>
      </c>
      <c r="O624" s="32" t="str">
        <f>IF(MB25_VOLUMETRIA[[#This Row],[EMPRESA]]="","",IF(OR(MB25_VOLUMETRIA[[#This Row],[EMPRESA]]="NET MASSIVO",MB25_VOLUMETRIA[[#This Row],[EMPRESA]]="NET PROJETOS"),"NET","EMPRESARIAL"))</f>
        <v>NET</v>
      </c>
    </row>
    <row r="625" spans="1:15" x14ac:dyDescent="0.25">
      <c r="A625" s="32">
        <v>4379683</v>
      </c>
      <c r="B625" s="32" t="s">
        <v>21</v>
      </c>
      <c r="C625" s="33" t="s">
        <v>21</v>
      </c>
      <c r="D625" s="35">
        <v>45446</v>
      </c>
      <c r="E625" s="32" t="s">
        <v>185</v>
      </c>
      <c r="F625" s="32">
        <v>22026792</v>
      </c>
      <c r="G625" s="32" t="s">
        <v>202</v>
      </c>
      <c r="H625" s="26" t="s">
        <v>38</v>
      </c>
      <c r="I625" s="36">
        <v>75</v>
      </c>
      <c r="J625" s="32">
        <f>IF(MB25_VOLUMETRIA[[#This Row],[Reserva]]="","",1)</f>
        <v>1</v>
      </c>
      <c r="K625" s="36" t="str">
        <f>IF(MB25_VOLUMETRIA[[#This Row],[Reserva]]="","",IFERROR(VLOOKUP(MB25_VOLUMETRIA[[#This Row],[UMB]],CHAVE[],2,FALSE),"VERIFICAR"))</f>
        <v>Unidade</v>
      </c>
      <c r="L62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5" s="32" t="str">
        <f ca="1">IFERROR(VLOOKUP(MB25_VOLUMETRIA[[#This Row],[Reserva]],RES_AB[],14,FALSE),"")</f>
        <v>RESERVAS EM ATRASO</v>
      </c>
      <c r="N625" s="32" t="str">
        <f>IF(MB25_VOLUMETRIA[[#This Row],[Cen.]]="","",IFERROR(VLOOKUP(MB25_VOLUMETRIA[[#This Row],[Cen.]],Dados_Empresas[],2,FALSE),"Verificar empresa"))</f>
        <v>NET MASSIVO</v>
      </c>
      <c r="O625" s="32" t="str">
        <f>IF(MB25_VOLUMETRIA[[#This Row],[EMPRESA]]="","",IF(OR(MB25_VOLUMETRIA[[#This Row],[EMPRESA]]="NET MASSIVO",MB25_VOLUMETRIA[[#This Row],[EMPRESA]]="NET PROJETOS"),"NET","EMPRESARIAL"))</f>
        <v>NET</v>
      </c>
    </row>
    <row r="626" spans="1:15" x14ac:dyDescent="0.25">
      <c r="A626" s="32">
        <v>4379683</v>
      </c>
      <c r="B626" s="32" t="s">
        <v>21</v>
      </c>
      <c r="C626" s="33" t="s">
        <v>21</v>
      </c>
      <c r="D626" s="35">
        <v>45446</v>
      </c>
      <c r="E626" s="32" t="s">
        <v>185</v>
      </c>
      <c r="F626" s="32">
        <v>22026795</v>
      </c>
      <c r="G626" s="32" t="s">
        <v>261</v>
      </c>
      <c r="H626" s="26" t="s">
        <v>38</v>
      </c>
      <c r="I626" s="36">
        <v>50</v>
      </c>
      <c r="J626" s="32">
        <f>IF(MB25_VOLUMETRIA[[#This Row],[Reserva]]="","",1)</f>
        <v>1</v>
      </c>
      <c r="K626" s="36" t="str">
        <f>IF(MB25_VOLUMETRIA[[#This Row],[Reserva]]="","",IFERROR(VLOOKUP(MB25_VOLUMETRIA[[#This Row],[UMB]],CHAVE[],2,FALSE),"VERIFICAR"))</f>
        <v>Unidade</v>
      </c>
      <c r="L62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6" s="32" t="str">
        <f ca="1">IFERROR(VLOOKUP(MB25_VOLUMETRIA[[#This Row],[Reserva]],RES_AB[],14,FALSE),"")</f>
        <v>RESERVAS EM ATRASO</v>
      </c>
      <c r="N626" s="32" t="str">
        <f>IF(MB25_VOLUMETRIA[[#This Row],[Cen.]]="","",IFERROR(VLOOKUP(MB25_VOLUMETRIA[[#This Row],[Cen.]],Dados_Empresas[],2,FALSE),"Verificar empresa"))</f>
        <v>NET MASSIVO</v>
      </c>
      <c r="O626" s="32" t="str">
        <f>IF(MB25_VOLUMETRIA[[#This Row],[EMPRESA]]="","",IF(OR(MB25_VOLUMETRIA[[#This Row],[EMPRESA]]="NET MASSIVO",MB25_VOLUMETRIA[[#This Row],[EMPRESA]]="NET PROJETOS"),"NET","EMPRESARIAL"))</f>
        <v>NET</v>
      </c>
    </row>
    <row r="627" spans="1:15" x14ac:dyDescent="0.25">
      <c r="A627" s="32">
        <v>4379683</v>
      </c>
      <c r="B627" s="32" t="s">
        <v>21</v>
      </c>
      <c r="C627" s="33" t="s">
        <v>21</v>
      </c>
      <c r="D627" s="35">
        <v>45446</v>
      </c>
      <c r="E627" s="32" t="s">
        <v>185</v>
      </c>
      <c r="F627" s="32">
        <v>22056332</v>
      </c>
      <c r="G627" s="32" t="s">
        <v>207</v>
      </c>
      <c r="H627" s="26" t="s">
        <v>38</v>
      </c>
      <c r="I627" s="36">
        <v>108</v>
      </c>
      <c r="J627" s="32">
        <f>IF(MB25_VOLUMETRIA[[#This Row],[Reserva]]="","",1)</f>
        <v>1</v>
      </c>
      <c r="K627" s="36" t="str">
        <f>IF(MB25_VOLUMETRIA[[#This Row],[Reserva]]="","",IFERROR(VLOOKUP(MB25_VOLUMETRIA[[#This Row],[UMB]],CHAVE[],2,FALSE),"VERIFICAR"))</f>
        <v>Unidade</v>
      </c>
      <c r="L62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7" s="32" t="str">
        <f ca="1">IFERROR(VLOOKUP(MB25_VOLUMETRIA[[#This Row],[Reserva]],RES_AB[],14,FALSE),"")</f>
        <v>RESERVAS EM ATRASO</v>
      </c>
      <c r="N627" s="32" t="str">
        <f>IF(MB25_VOLUMETRIA[[#This Row],[Cen.]]="","",IFERROR(VLOOKUP(MB25_VOLUMETRIA[[#This Row],[Cen.]],Dados_Empresas[],2,FALSE),"Verificar empresa"))</f>
        <v>NET MASSIVO</v>
      </c>
      <c r="O627" s="32" t="str">
        <f>IF(MB25_VOLUMETRIA[[#This Row],[EMPRESA]]="","",IF(OR(MB25_VOLUMETRIA[[#This Row],[EMPRESA]]="NET MASSIVO",MB25_VOLUMETRIA[[#This Row],[EMPRESA]]="NET PROJETOS"),"NET","EMPRESARIAL"))</f>
        <v>NET</v>
      </c>
    </row>
    <row r="628" spans="1:15" x14ac:dyDescent="0.25">
      <c r="A628" s="32">
        <v>4379683</v>
      </c>
      <c r="B628" s="32" t="s">
        <v>21</v>
      </c>
      <c r="C628" s="33" t="s">
        <v>21</v>
      </c>
      <c r="D628" s="35">
        <v>45446</v>
      </c>
      <c r="E628" s="32" t="s">
        <v>185</v>
      </c>
      <c r="F628" s="32">
        <v>22056360</v>
      </c>
      <c r="G628" s="32" t="s">
        <v>285</v>
      </c>
      <c r="H628" s="26" t="s">
        <v>38</v>
      </c>
      <c r="I628" s="36">
        <v>10</v>
      </c>
      <c r="J628" s="32">
        <f>IF(MB25_VOLUMETRIA[[#This Row],[Reserva]]="","",1)</f>
        <v>1</v>
      </c>
      <c r="K628" s="36" t="str">
        <f>IF(MB25_VOLUMETRIA[[#This Row],[Reserva]]="","",IFERROR(VLOOKUP(MB25_VOLUMETRIA[[#This Row],[UMB]],CHAVE[],2,FALSE),"VERIFICAR"))</f>
        <v>Unidade</v>
      </c>
      <c r="L62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8" s="32" t="str">
        <f ca="1">IFERROR(VLOOKUP(MB25_VOLUMETRIA[[#This Row],[Reserva]],RES_AB[],14,FALSE),"")</f>
        <v>RESERVAS EM ATRASO</v>
      </c>
      <c r="N628" s="32" t="str">
        <f>IF(MB25_VOLUMETRIA[[#This Row],[Cen.]]="","",IFERROR(VLOOKUP(MB25_VOLUMETRIA[[#This Row],[Cen.]],Dados_Empresas[],2,FALSE),"Verificar empresa"))</f>
        <v>NET MASSIVO</v>
      </c>
      <c r="O628" s="32" t="str">
        <f>IF(MB25_VOLUMETRIA[[#This Row],[EMPRESA]]="","",IF(OR(MB25_VOLUMETRIA[[#This Row],[EMPRESA]]="NET MASSIVO",MB25_VOLUMETRIA[[#This Row],[EMPRESA]]="NET PROJETOS"),"NET","EMPRESARIAL"))</f>
        <v>NET</v>
      </c>
    </row>
    <row r="629" spans="1:15" x14ac:dyDescent="0.25">
      <c r="A629" s="32">
        <v>4379683</v>
      </c>
      <c r="B629" s="32" t="s">
        <v>21</v>
      </c>
      <c r="C629" s="33" t="s">
        <v>21</v>
      </c>
      <c r="D629" s="35">
        <v>45446</v>
      </c>
      <c r="E629" s="32" t="s">
        <v>185</v>
      </c>
      <c r="F629" s="32">
        <v>22056364</v>
      </c>
      <c r="G629" s="32" t="s">
        <v>236</v>
      </c>
      <c r="H629" s="26" t="s">
        <v>38</v>
      </c>
      <c r="I629" s="36">
        <v>900</v>
      </c>
      <c r="J629" s="32">
        <f>IF(MB25_VOLUMETRIA[[#This Row],[Reserva]]="","",1)</f>
        <v>1</v>
      </c>
      <c r="K629" s="36" t="str">
        <f>IF(MB25_VOLUMETRIA[[#This Row],[Reserva]]="","",IFERROR(VLOOKUP(MB25_VOLUMETRIA[[#This Row],[UMB]],CHAVE[],2,FALSE),"VERIFICAR"))</f>
        <v>Unidade</v>
      </c>
      <c r="L62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29" s="32" t="str">
        <f ca="1">IFERROR(VLOOKUP(MB25_VOLUMETRIA[[#This Row],[Reserva]],RES_AB[],14,FALSE),"")</f>
        <v>RESERVAS EM ATRASO</v>
      </c>
      <c r="N629" s="32" t="str">
        <f>IF(MB25_VOLUMETRIA[[#This Row],[Cen.]]="","",IFERROR(VLOOKUP(MB25_VOLUMETRIA[[#This Row],[Cen.]],Dados_Empresas[],2,FALSE),"Verificar empresa"))</f>
        <v>NET MASSIVO</v>
      </c>
      <c r="O629" s="32" t="str">
        <f>IF(MB25_VOLUMETRIA[[#This Row],[EMPRESA]]="","",IF(OR(MB25_VOLUMETRIA[[#This Row],[EMPRESA]]="NET MASSIVO",MB25_VOLUMETRIA[[#This Row],[EMPRESA]]="NET PROJETOS"),"NET","EMPRESARIAL"))</f>
        <v>NET</v>
      </c>
    </row>
    <row r="630" spans="1:15" x14ac:dyDescent="0.25">
      <c r="A630" s="32">
        <v>4379683</v>
      </c>
      <c r="B630" s="32" t="s">
        <v>21</v>
      </c>
      <c r="C630" s="33" t="s">
        <v>21</v>
      </c>
      <c r="D630" s="35">
        <v>45446</v>
      </c>
      <c r="E630" s="32" t="s">
        <v>185</v>
      </c>
      <c r="F630" s="32">
        <v>22056369</v>
      </c>
      <c r="G630" s="32" t="s">
        <v>194</v>
      </c>
      <c r="H630" s="26" t="s">
        <v>38</v>
      </c>
      <c r="I630" s="36">
        <v>2100</v>
      </c>
      <c r="J630" s="32">
        <f>IF(MB25_VOLUMETRIA[[#This Row],[Reserva]]="","",1)</f>
        <v>1</v>
      </c>
      <c r="K630" s="36" t="str">
        <f>IF(MB25_VOLUMETRIA[[#This Row],[Reserva]]="","",IFERROR(VLOOKUP(MB25_VOLUMETRIA[[#This Row],[UMB]],CHAVE[],2,FALSE),"VERIFICAR"))</f>
        <v>Unidade</v>
      </c>
      <c r="L63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0" s="32" t="str">
        <f ca="1">IFERROR(VLOOKUP(MB25_VOLUMETRIA[[#This Row],[Reserva]],RES_AB[],14,FALSE),"")</f>
        <v>RESERVAS EM ATRASO</v>
      </c>
      <c r="N630" s="32" t="str">
        <f>IF(MB25_VOLUMETRIA[[#This Row],[Cen.]]="","",IFERROR(VLOOKUP(MB25_VOLUMETRIA[[#This Row],[Cen.]],Dados_Empresas[],2,FALSE),"Verificar empresa"))</f>
        <v>NET MASSIVO</v>
      </c>
      <c r="O630" s="32" t="str">
        <f>IF(MB25_VOLUMETRIA[[#This Row],[EMPRESA]]="","",IF(OR(MB25_VOLUMETRIA[[#This Row],[EMPRESA]]="NET MASSIVO",MB25_VOLUMETRIA[[#This Row],[EMPRESA]]="NET PROJETOS"),"NET","EMPRESARIAL"))</f>
        <v>NET</v>
      </c>
    </row>
    <row r="631" spans="1:15" x14ac:dyDescent="0.25">
      <c r="A631" s="32">
        <v>4379683</v>
      </c>
      <c r="B631" s="32" t="s">
        <v>21</v>
      </c>
      <c r="C631" s="33" t="s">
        <v>19</v>
      </c>
      <c r="D631" s="35">
        <v>45446</v>
      </c>
      <c r="E631" s="32" t="s">
        <v>185</v>
      </c>
      <c r="F631" s="32">
        <v>22057341</v>
      </c>
      <c r="G631" s="32" t="s">
        <v>277</v>
      </c>
      <c r="H631" s="26" t="s">
        <v>38</v>
      </c>
      <c r="I631" s="36">
        <v>305</v>
      </c>
      <c r="J631" s="32">
        <f>IF(MB25_VOLUMETRIA[[#This Row],[Reserva]]="","",1)</f>
        <v>1</v>
      </c>
      <c r="K631" s="36" t="str">
        <f>IF(MB25_VOLUMETRIA[[#This Row],[Reserva]]="","",IFERROR(VLOOKUP(MB25_VOLUMETRIA[[#This Row],[UMB]],CHAVE[],2,FALSE),"VERIFICAR"))</f>
        <v>Unidade</v>
      </c>
      <c r="L63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1" s="32" t="str">
        <f ca="1">IFERROR(VLOOKUP(MB25_VOLUMETRIA[[#This Row],[Reserva]],RES_AB[],14,FALSE),"")</f>
        <v>RESERVAS EM ATRASO</v>
      </c>
      <c r="N631" s="32" t="str">
        <f>IF(MB25_VOLUMETRIA[[#This Row],[Cen.]]="","",IFERROR(VLOOKUP(MB25_VOLUMETRIA[[#This Row],[Cen.]],Dados_Empresas[],2,FALSE),"Verificar empresa"))</f>
        <v>NET MASSIVO</v>
      </c>
      <c r="O631" s="32" t="str">
        <f>IF(MB25_VOLUMETRIA[[#This Row],[EMPRESA]]="","",IF(OR(MB25_VOLUMETRIA[[#This Row],[EMPRESA]]="NET MASSIVO",MB25_VOLUMETRIA[[#This Row],[EMPRESA]]="NET PROJETOS"),"NET","EMPRESARIAL"))</f>
        <v>NET</v>
      </c>
    </row>
    <row r="632" spans="1:15" x14ac:dyDescent="0.25">
      <c r="A632" s="32">
        <v>4379683</v>
      </c>
      <c r="B632" s="32" t="s">
        <v>21</v>
      </c>
      <c r="C632" s="33" t="s">
        <v>21</v>
      </c>
      <c r="D632" s="35">
        <v>45446</v>
      </c>
      <c r="E632" s="32" t="s">
        <v>185</v>
      </c>
      <c r="F632" s="32">
        <v>22057635</v>
      </c>
      <c r="G632" s="32" t="s">
        <v>223</v>
      </c>
      <c r="H632" s="26" t="s">
        <v>38</v>
      </c>
      <c r="I632" s="36">
        <v>2600</v>
      </c>
      <c r="J632" s="32">
        <f>IF(MB25_VOLUMETRIA[[#This Row],[Reserva]]="","",1)</f>
        <v>1</v>
      </c>
      <c r="K632" s="36" t="str">
        <f>IF(MB25_VOLUMETRIA[[#This Row],[Reserva]]="","",IFERROR(VLOOKUP(MB25_VOLUMETRIA[[#This Row],[UMB]],CHAVE[],2,FALSE),"VERIFICAR"))</f>
        <v>Unidade</v>
      </c>
      <c r="L63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2" s="32" t="str">
        <f ca="1">IFERROR(VLOOKUP(MB25_VOLUMETRIA[[#This Row],[Reserva]],RES_AB[],14,FALSE),"")</f>
        <v>RESERVAS EM ATRASO</v>
      </c>
      <c r="N632" s="32" t="str">
        <f>IF(MB25_VOLUMETRIA[[#This Row],[Cen.]]="","",IFERROR(VLOOKUP(MB25_VOLUMETRIA[[#This Row],[Cen.]],Dados_Empresas[],2,FALSE),"Verificar empresa"))</f>
        <v>NET MASSIVO</v>
      </c>
      <c r="O632" s="32" t="str">
        <f>IF(MB25_VOLUMETRIA[[#This Row],[EMPRESA]]="","",IF(OR(MB25_VOLUMETRIA[[#This Row],[EMPRESA]]="NET MASSIVO",MB25_VOLUMETRIA[[#This Row],[EMPRESA]]="NET PROJETOS"),"NET","EMPRESARIAL"))</f>
        <v>NET</v>
      </c>
    </row>
    <row r="633" spans="1:15" x14ac:dyDescent="0.25">
      <c r="A633" s="32">
        <v>4379683</v>
      </c>
      <c r="B633" s="32" t="s">
        <v>21</v>
      </c>
      <c r="C633" s="33" t="s">
        <v>21</v>
      </c>
      <c r="D633" s="35">
        <v>45446</v>
      </c>
      <c r="E633" s="32" t="s">
        <v>185</v>
      </c>
      <c r="F633" s="32">
        <v>22057659</v>
      </c>
      <c r="G633" s="32" t="s">
        <v>224</v>
      </c>
      <c r="H633" s="26" t="s">
        <v>38</v>
      </c>
      <c r="I633" s="36">
        <v>170</v>
      </c>
      <c r="J633" s="32">
        <f>IF(MB25_VOLUMETRIA[[#This Row],[Reserva]]="","",1)</f>
        <v>1</v>
      </c>
      <c r="K633" s="36" t="str">
        <f>IF(MB25_VOLUMETRIA[[#This Row],[Reserva]]="","",IFERROR(VLOOKUP(MB25_VOLUMETRIA[[#This Row],[UMB]],CHAVE[],2,FALSE),"VERIFICAR"))</f>
        <v>Unidade</v>
      </c>
      <c r="L63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3" s="32" t="str">
        <f ca="1">IFERROR(VLOOKUP(MB25_VOLUMETRIA[[#This Row],[Reserva]],RES_AB[],14,FALSE),"")</f>
        <v>RESERVAS EM ATRASO</v>
      </c>
      <c r="N633" s="32" t="str">
        <f>IF(MB25_VOLUMETRIA[[#This Row],[Cen.]]="","",IFERROR(VLOOKUP(MB25_VOLUMETRIA[[#This Row],[Cen.]],Dados_Empresas[],2,FALSE),"Verificar empresa"))</f>
        <v>NET MASSIVO</v>
      </c>
      <c r="O633" s="32" t="str">
        <f>IF(MB25_VOLUMETRIA[[#This Row],[EMPRESA]]="","",IF(OR(MB25_VOLUMETRIA[[#This Row],[EMPRESA]]="NET MASSIVO",MB25_VOLUMETRIA[[#This Row],[EMPRESA]]="NET PROJETOS"),"NET","EMPRESARIAL"))</f>
        <v>NET</v>
      </c>
    </row>
    <row r="634" spans="1:15" x14ac:dyDescent="0.25">
      <c r="A634" s="32">
        <v>4379683</v>
      </c>
      <c r="B634" s="32" t="s">
        <v>21</v>
      </c>
      <c r="C634" s="33" t="s">
        <v>19</v>
      </c>
      <c r="D634" s="35">
        <v>45446</v>
      </c>
      <c r="E634" s="32" t="s">
        <v>185</v>
      </c>
      <c r="F634" s="32">
        <v>22057705</v>
      </c>
      <c r="G634" s="32" t="s">
        <v>241</v>
      </c>
      <c r="H634" s="26" t="s">
        <v>38</v>
      </c>
      <c r="I634" s="36">
        <v>60</v>
      </c>
      <c r="J634" s="32">
        <f>IF(MB25_VOLUMETRIA[[#This Row],[Reserva]]="","",1)</f>
        <v>1</v>
      </c>
      <c r="K634" s="36" t="str">
        <f>IF(MB25_VOLUMETRIA[[#This Row],[Reserva]]="","",IFERROR(VLOOKUP(MB25_VOLUMETRIA[[#This Row],[UMB]],CHAVE[],2,FALSE),"VERIFICAR"))</f>
        <v>Unidade</v>
      </c>
      <c r="L63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4" s="32" t="str">
        <f ca="1">IFERROR(VLOOKUP(MB25_VOLUMETRIA[[#This Row],[Reserva]],RES_AB[],14,FALSE),"")</f>
        <v>RESERVAS EM ATRASO</v>
      </c>
      <c r="N634" s="32" t="str">
        <f>IF(MB25_VOLUMETRIA[[#This Row],[Cen.]]="","",IFERROR(VLOOKUP(MB25_VOLUMETRIA[[#This Row],[Cen.]],Dados_Empresas[],2,FALSE),"Verificar empresa"))</f>
        <v>NET MASSIVO</v>
      </c>
      <c r="O634" s="32" t="str">
        <f>IF(MB25_VOLUMETRIA[[#This Row],[EMPRESA]]="","",IF(OR(MB25_VOLUMETRIA[[#This Row],[EMPRESA]]="NET MASSIVO",MB25_VOLUMETRIA[[#This Row],[EMPRESA]]="NET PROJETOS"),"NET","EMPRESARIAL"))</f>
        <v>NET</v>
      </c>
    </row>
    <row r="635" spans="1:15" x14ac:dyDescent="0.25">
      <c r="A635" s="32">
        <v>4379683</v>
      </c>
      <c r="B635" s="32" t="s">
        <v>21</v>
      </c>
      <c r="C635" s="33" t="s">
        <v>21</v>
      </c>
      <c r="D635" s="35">
        <v>45446</v>
      </c>
      <c r="E635" s="32" t="s">
        <v>185</v>
      </c>
      <c r="F635" s="32">
        <v>22057866</v>
      </c>
      <c r="G635" s="32" t="s">
        <v>225</v>
      </c>
      <c r="H635" s="26" t="s">
        <v>38</v>
      </c>
      <c r="I635" s="36">
        <v>30</v>
      </c>
      <c r="J635" s="32">
        <f>IF(MB25_VOLUMETRIA[[#This Row],[Reserva]]="","",1)</f>
        <v>1</v>
      </c>
      <c r="K635" s="36" t="str">
        <f>IF(MB25_VOLUMETRIA[[#This Row],[Reserva]]="","",IFERROR(VLOOKUP(MB25_VOLUMETRIA[[#This Row],[UMB]],CHAVE[],2,FALSE),"VERIFICAR"))</f>
        <v>Unidade</v>
      </c>
      <c r="L63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5" s="32" t="str">
        <f ca="1">IFERROR(VLOOKUP(MB25_VOLUMETRIA[[#This Row],[Reserva]],RES_AB[],14,FALSE),"")</f>
        <v>RESERVAS EM ATRASO</v>
      </c>
      <c r="N635" s="32" t="str">
        <f>IF(MB25_VOLUMETRIA[[#This Row],[Cen.]]="","",IFERROR(VLOOKUP(MB25_VOLUMETRIA[[#This Row],[Cen.]],Dados_Empresas[],2,FALSE),"Verificar empresa"))</f>
        <v>NET MASSIVO</v>
      </c>
      <c r="O635" s="32" t="str">
        <f>IF(MB25_VOLUMETRIA[[#This Row],[EMPRESA]]="","",IF(OR(MB25_VOLUMETRIA[[#This Row],[EMPRESA]]="NET MASSIVO",MB25_VOLUMETRIA[[#This Row],[EMPRESA]]="NET PROJETOS"),"NET","EMPRESARIAL"))</f>
        <v>NET</v>
      </c>
    </row>
    <row r="636" spans="1:15" x14ac:dyDescent="0.25">
      <c r="A636" s="32">
        <v>4379683</v>
      </c>
      <c r="B636" s="32" t="s">
        <v>21</v>
      </c>
      <c r="C636" s="33" t="s">
        <v>19</v>
      </c>
      <c r="D636" s="35">
        <v>45446</v>
      </c>
      <c r="E636" s="32" t="s">
        <v>185</v>
      </c>
      <c r="F636" s="32">
        <v>22058239</v>
      </c>
      <c r="G636" s="32" t="s">
        <v>317</v>
      </c>
      <c r="H636" s="26" t="s">
        <v>38</v>
      </c>
      <c r="I636" s="36">
        <v>40</v>
      </c>
      <c r="J636" s="32">
        <f>IF(MB25_VOLUMETRIA[[#This Row],[Reserva]]="","",1)</f>
        <v>1</v>
      </c>
      <c r="K636" s="36" t="str">
        <f>IF(MB25_VOLUMETRIA[[#This Row],[Reserva]]="","",IFERROR(VLOOKUP(MB25_VOLUMETRIA[[#This Row],[UMB]],CHAVE[],2,FALSE),"VERIFICAR"))</f>
        <v>Unidade</v>
      </c>
      <c r="L63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6" s="32" t="str">
        <f ca="1">IFERROR(VLOOKUP(MB25_VOLUMETRIA[[#This Row],[Reserva]],RES_AB[],14,FALSE),"")</f>
        <v>RESERVAS EM ATRASO</v>
      </c>
      <c r="N636" s="32" t="str">
        <f>IF(MB25_VOLUMETRIA[[#This Row],[Cen.]]="","",IFERROR(VLOOKUP(MB25_VOLUMETRIA[[#This Row],[Cen.]],Dados_Empresas[],2,FALSE),"Verificar empresa"))</f>
        <v>NET MASSIVO</v>
      </c>
      <c r="O636" s="32" t="str">
        <f>IF(MB25_VOLUMETRIA[[#This Row],[EMPRESA]]="","",IF(OR(MB25_VOLUMETRIA[[#This Row],[EMPRESA]]="NET MASSIVO",MB25_VOLUMETRIA[[#This Row],[EMPRESA]]="NET PROJETOS"),"NET","EMPRESARIAL"))</f>
        <v>NET</v>
      </c>
    </row>
    <row r="637" spans="1:15" x14ac:dyDescent="0.25">
      <c r="A637" s="32">
        <v>4379683</v>
      </c>
      <c r="B637" s="32" t="s">
        <v>21</v>
      </c>
      <c r="C637" s="33" t="s">
        <v>21</v>
      </c>
      <c r="D637" s="35">
        <v>45446</v>
      </c>
      <c r="E637" s="32" t="s">
        <v>185</v>
      </c>
      <c r="F637" s="32">
        <v>22058258</v>
      </c>
      <c r="G637" s="32" t="s">
        <v>187</v>
      </c>
      <c r="H637" s="26" t="s">
        <v>38</v>
      </c>
      <c r="I637" s="36">
        <v>80</v>
      </c>
      <c r="J637" s="32">
        <f>IF(MB25_VOLUMETRIA[[#This Row],[Reserva]]="","",1)</f>
        <v>1</v>
      </c>
      <c r="K637" s="36" t="str">
        <f>IF(MB25_VOLUMETRIA[[#This Row],[Reserva]]="","",IFERROR(VLOOKUP(MB25_VOLUMETRIA[[#This Row],[UMB]],CHAVE[],2,FALSE),"VERIFICAR"))</f>
        <v>Unidade</v>
      </c>
      <c r="L63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7" s="32" t="str">
        <f ca="1">IFERROR(VLOOKUP(MB25_VOLUMETRIA[[#This Row],[Reserva]],RES_AB[],14,FALSE),"")</f>
        <v>RESERVAS EM ATRASO</v>
      </c>
      <c r="N637" s="32" t="str">
        <f>IF(MB25_VOLUMETRIA[[#This Row],[Cen.]]="","",IFERROR(VLOOKUP(MB25_VOLUMETRIA[[#This Row],[Cen.]],Dados_Empresas[],2,FALSE),"Verificar empresa"))</f>
        <v>NET MASSIVO</v>
      </c>
      <c r="O637" s="32" t="str">
        <f>IF(MB25_VOLUMETRIA[[#This Row],[EMPRESA]]="","",IF(OR(MB25_VOLUMETRIA[[#This Row],[EMPRESA]]="NET MASSIVO",MB25_VOLUMETRIA[[#This Row],[EMPRESA]]="NET PROJETOS"),"NET","EMPRESARIAL"))</f>
        <v>NET</v>
      </c>
    </row>
    <row r="638" spans="1:15" x14ac:dyDescent="0.25">
      <c r="A638" s="32">
        <v>4379683</v>
      </c>
      <c r="B638" s="32" t="s">
        <v>21</v>
      </c>
      <c r="C638" s="33" t="s">
        <v>21</v>
      </c>
      <c r="D638" s="35">
        <v>45446</v>
      </c>
      <c r="E638" s="32" t="s">
        <v>185</v>
      </c>
      <c r="F638" s="32">
        <v>22060738</v>
      </c>
      <c r="G638" s="32" t="s">
        <v>199</v>
      </c>
      <c r="H638" s="26" t="s">
        <v>38</v>
      </c>
      <c r="I638" s="36">
        <v>7000</v>
      </c>
      <c r="J638" s="32">
        <f>IF(MB25_VOLUMETRIA[[#This Row],[Reserva]]="","",1)</f>
        <v>1</v>
      </c>
      <c r="K638" s="36" t="str">
        <f>IF(MB25_VOLUMETRIA[[#This Row],[Reserva]]="","",IFERROR(VLOOKUP(MB25_VOLUMETRIA[[#This Row],[UMB]],CHAVE[],2,FALSE),"VERIFICAR"))</f>
        <v>Unidade</v>
      </c>
      <c r="L63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8" s="32" t="str">
        <f ca="1">IFERROR(VLOOKUP(MB25_VOLUMETRIA[[#This Row],[Reserva]],RES_AB[],14,FALSE),"")</f>
        <v>RESERVAS EM ATRASO</v>
      </c>
      <c r="N638" s="32" t="str">
        <f>IF(MB25_VOLUMETRIA[[#This Row],[Cen.]]="","",IFERROR(VLOOKUP(MB25_VOLUMETRIA[[#This Row],[Cen.]],Dados_Empresas[],2,FALSE),"Verificar empresa"))</f>
        <v>NET MASSIVO</v>
      </c>
      <c r="O638" s="32" t="str">
        <f>IF(MB25_VOLUMETRIA[[#This Row],[EMPRESA]]="","",IF(OR(MB25_VOLUMETRIA[[#This Row],[EMPRESA]]="NET MASSIVO",MB25_VOLUMETRIA[[#This Row],[EMPRESA]]="NET PROJETOS"),"NET","EMPRESARIAL"))</f>
        <v>NET</v>
      </c>
    </row>
    <row r="639" spans="1:15" x14ac:dyDescent="0.25">
      <c r="A639" s="32">
        <v>4379683</v>
      </c>
      <c r="B639" s="32" t="s">
        <v>21</v>
      </c>
      <c r="C639" s="33" t="s">
        <v>21</v>
      </c>
      <c r="D639" s="35">
        <v>45446</v>
      </c>
      <c r="E639" s="32" t="s">
        <v>185</v>
      </c>
      <c r="F639" s="32">
        <v>22061736</v>
      </c>
      <c r="G639" s="32" t="s">
        <v>216</v>
      </c>
      <c r="H639" s="26" t="s">
        <v>38</v>
      </c>
      <c r="I639" s="36">
        <v>6000</v>
      </c>
      <c r="J639" s="32">
        <f>IF(MB25_VOLUMETRIA[[#This Row],[Reserva]]="","",1)</f>
        <v>1</v>
      </c>
      <c r="K639" s="36" t="str">
        <f>IF(MB25_VOLUMETRIA[[#This Row],[Reserva]]="","",IFERROR(VLOOKUP(MB25_VOLUMETRIA[[#This Row],[UMB]],CHAVE[],2,FALSE),"VERIFICAR"))</f>
        <v>Unidade</v>
      </c>
      <c r="L63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39" s="32" t="str">
        <f ca="1">IFERROR(VLOOKUP(MB25_VOLUMETRIA[[#This Row],[Reserva]],RES_AB[],14,FALSE),"")</f>
        <v>RESERVAS EM ATRASO</v>
      </c>
      <c r="N639" s="32" t="str">
        <f>IF(MB25_VOLUMETRIA[[#This Row],[Cen.]]="","",IFERROR(VLOOKUP(MB25_VOLUMETRIA[[#This Row],[Cen.]],Dados_Empresas[],2,FALSE),"Verificar empresa"))</f>
        <v>NET MASSIVO</v>
      </c>
      <c r="O639" s="32" t="str">
        <f>IF(MB25_VOLUMETRIA[[#This Row],[EMPRESA]]="","",IF(OR(MB25_VOLUMETRIA[[#This Row],[EMPRESA]]="NET MASSIVO",MB25_VOLUMETRIA[[#This Row],[EMPRESA]]="NET PROJETOS"),"NET","EMPRESARIAL"))</f>
        <v>NET</v>
      </c>
    </row>
    <row r="640" spans="1:15" x14ac:dyDescent="0.25">
      <c r="A640" s="32">
        <v>4379683</v>
      </c>
      <c r="B640" s="32" t="s">
        <v>21</v>
      </c>
      <c r="C640" s="33" t="s">
        <v>21</v>
      </c>
      <c r="D640" s="35">
        <v>45446</v>
      </c>
      <c r="E640" s="32" t="s">
        <v>185</v>
      </c>
      <c r="F640" s="32">
        <v>22061811</v>
      </c>
      <c r="G640" s="32" t="s">
        <v>226</v>
      </c>
      <c r="H640" s="26" t="s">
        <v>38</v>
      </c>
      <c r="I640" s="36">
        <v>200</v>
      </c>
      <c r="J640" s="32">
        <f>IF(MB25_VOLUMETRIA[[#This Row],[Reserva]]="","",1)</f>
        <v>1</v>
      </c>
      <c r="K640" s="36" t="str">
        <f>IF(MB25_VOLUMETRIA[[#This Row],[Reserva]]="","",IFERROR(VLOOKUP(MB25_VOLUMETRIA[[#This Row],[UMB]],CHAVE[],2,FALSE),"VERIFICAR"))</f>
        <v>Unidade</v>
      </c>
      <c r="L64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0" s="32" t="str">
        <f ca="1">IFERROR(VLOOKUP(MB25_VOLUMETRIA[[#This Row],[Reserva]],RES_AB[],14,FALSE),"")</f>
        <v>RESERVAS EM ATRASO</v>
      </c>
      <c r="N640" s="32" t="str">
        <f>IF(MB25_VOLUMETRIA[[#This Row],[Cen.]]="","",IFERROR(VLOOKUP(MB25_VOLUMETRIA[[#This Row],[Cen.]],Dados_Empresas[],2,FALSE),"Verificar empresa"))</f>
        <v>NET MASSIVO</v>
      </c>
      <c r="O640" s="32" t="str">
        <f>IF(MB25_VOLUMETRIA[[#This Row],[EMPRESA]]="","",IF(OR(MB25_VOLUMETRIA[[#This Row],[EMPRESA]]="NET MASSIVO",MB25_VOLUMETRIA[[#This Row],[EMPRESA]]="NET PROJETOS"),"NET","EMPRESARIAL"))</f>
        <v>NET</v>
      </c>
    </row>
    <row r="641" spans="1:15" x14ac:dyDescent="0.25">
      <c r="A641" s="32">
        <v>4379683</v>
      </c>
      <c r="B641" s="32" t="s">
        <v>21</v>
      </c>
      <c r="C641" s="33" t="s">
        <v>21</v>
      </c>
      <c r="D641" s="35">
        <v>45446</v>
      </c>
      <c r="E641" s="32" t="s">
        <v>185</v>
      </c>
      <c r="F641" s="32">
        <v>22065513</v>
      </c>
      <c r="G641" s="32" t="s">
        <v>227</v>
      </c>
      <c r="H641" s="26" t="s">
        <v>38</v>
      </c>
      <c r="I641" s="36">
        <v>300</v>
      </c>
      <c r="J641" s="32">
        <f>IF(MB25_VOLUMETRIA[[#This Row],[Reserva]]="","",1)</f>
        <v>1</v>
      </c>
      <c r="K641" s="36" t="str">
        <f>IF(MB25_VOLUMETRIA[[#This Row],[Reserva]]="","",IFERROR(VLOOKUP(MB25_VOLUMETRIA[[#This Row],[UMB]],CHAVE[],2,FALSE),"VERIFICAR"))</f>
        <v>Unidade</v>
      </c>
      <c r="L64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1" s="32" t="str">
        <f ca="1">IFERROR(VLOOKUP(MB25_VOLUMETRIA[[#This Row],[Reserva]],RES_AB[],14,FALSE),"")</f>
        <v>RESERVAS EM ATRASO</v>
      </c>
      <c r="N641" s="32" t="str">
        <f>IF(MB25_VOLUMETRIA[[#This Row],[Cen.]]="","",IFERROR(VLOOKUP(MB25_VOLUMETRIA[[#This Row],[Cen.]],Dados_Empresas[],2,FALSE),"Verificar empresa"))</f>
        <v>NET MASSIVO</v>
      </c>
      <c r="O641" s="32" t="str">
        <f>IF(MB25_VOLUMETRIA[[#This Row],[EMPRESA]]="","",IF(OR(MB25_VOLUMETRIA[[#This Row],[EMPRESA]]="NET MASSIVO",MB25_VOLUMETRIA[[#This Row],[EMPRESA]]="NET PROJETOS"),"NET","EMPRESARIAL"))</f>
        <v>NET</v>
      </c>
    </row>
    <row r="642" spans="1:15" x14ac:dyDescent="0.25">
      <c r="A642" s="32">
        <v>4379684</v>
      </c>
      <c r="B642" s="32" t="s">
        <v>21</v>
      </c>
      <c r="C642" s="33" t="s">
        <v>19</v>
      </c>
      <c r="D642" s="35">
        <v>45446</v>
      </c>
      <c r="E642" s="32" t="s">
        <v>184</v>
      </c>
      <c r="F642" s="32">
        <v>41000805</v>
      </c>
      <c r="G642" s="32" t="s">
        <v>188</v>
      </c>
      <c r="H642" s="26" t="s">
        <v>38</v>
      </c>
      <c r="I642" s="36">
        <v>40</v>
      </c>
      <c r="J642" s="32">
        <f>IF(MB25_VOLUMETRIA[[#This Row],[Reserva]]="","",1)</f>
        <v>1</v>
      </c>
      <c r="K642" s="36" t="str">
        <f>IF(MB25_VOLUMETRIA[[#This Row],[Reserva]]="","",IFERROR(VLOOKUP(MB25_VOLUMETRIA[[#This Row],[UMB]],CHAVE[],2,FALSE),"VERIFICAR"))</f>
        <v>Unidade</v>
      </c>
      <c r="L64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2" s="32" t="str">
        <f ca="1">IFERROR(VLOOKUP(MB25_VOLUMETRIA[[#This Row],[Reserva]],RES_AB[],14,FALSE),"")</f>
        <v>RESERVAS EM ATRASO</v>
      </c>
      <c r="N642" s="32" t="str">
        <f>IF(MB25_VOLUMETRIA[[#This Row],[Cen.]]="","",IFERROR(VLOOKUP(MB25_VOLUMETRIA[[#This Row],[Cen.]],Dados_Empresas[],2,FALSE),"Verificar empresa"))</f>
        <v>NET MASSIVO</v>
      </c>
      <c r="O642" s="32" t="str">
        <f>IF(MB25_VOLUMETRIA[[#This Row],[EMPRESA]]="","",IF(OR(MB25_VOLUMETRIA[[#This Row],[EMPRESA]]="NET MASSIVO",MB25_VOLUMETRIA[[#This Row],[EMPRESA]]="NET PROJETOS"),"NET","EMPRESARIAL"))</f>
        <v>NET</v>
      </c>
    </row>
    <row r="643" spans="1:15" x14ac:dyDescent="0.25">
      <c r="A643" s="32">
        <v>4379684</v>
      </c>
      <c r="B643" s="32" t="s">
        <v>21</v>
      </c>
      <c r="C643" s="33" t="s">
        <v>19</v>
      </c>
      <c r="D643" s="35">
        <v>45446</v>
      </c>
      <c r="E643" s="32" t="s">
        <v>184</v>
      </c>
      <c r="F643" s="32">
        <v>41001048</v>
      </c>
      <c r="G643" s="32" t="s">
        <v>318</v>
      </c>
      <c r="H643" s="26" t="s">
        <v>38</v>
      </c>
      <c r="I643" s="36">
        <v>40</v>
      </c>
      <c r="J643" s="32">
        <f>IF(MB25_VOLUMETRIA[[#This Row],[Reserva]]="","",1)</f>
        <v>1</v>
      </c>
      <c r="K643" s="36" t="str">
        <f>IF(MB25_VOLUMETRIA[[#This Row],[Reserva]]="","",IFERROR(VLOOKUP(MB25_VOLUMETRIA[[#This Row],[UMB]],CHAVE[],2,FALSE),"VERIFICAR"))</f>
        <v>Unidade</v>
      </c>
      <c r="L64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3" s="32" t="str">
        <f ca="1">IFERROR(VLOOKUP(MB25_VOLUMETRIA[[#This Row],[Reserva]],RES_AB[],14,FALSE),"")</f>
        <v>RESERVAS EM ATRASO</v>
      </c>
      <c r="N643" s="32" t="str">
        <f>IF(MB25_VOLUMETRIA[[#This Row],[Cen.]]="","",IFERROR(VLOOKUP(MB25_VOLUMETRIA[[#This Row],[Cen.]],Dados_Empresas[],2,FALSE),"Verificar empresa"))</f>
        <v>NET MASSIVO</v>
      </c>
      <c r="O643" s="32" t="str">
        <f>IF(MB25_VOLUMETRIA[[#This Row],[EMPRESA]]="","",IF(OR(MB25_VOLUMETRIA[[#This Row],[EMPRESA]]="NET MASSIVO",MB25_VOLUMETRIA[[#This Row],[EMPRESA]]="NET PROJETOS"),"NET","EMPRESARIAL"))</f>
        <v>NET</v>
      </c>
    </row>
    <row r="644" spans="1:15" x14ac:dyDescent="0.25">
      <c r="A644" s="32">
        <v>4379684</v>
      </c>
      <c r="B644" s="32" t="s">
        <v>21</v>
      </c>
      <c r="C644" s="33" t="s">
        <v>19</v>
      </c>
      <c r="D644" s="35">
        <v>45446</v>
      </c>
      <c r="E644" s="32" t="s">
        <v>184</v>
      </c>
      <c r="F644" s="32">
        <v>41001294</v>
      </c>
      <c r="G644" s="32" t="s">
        <v>248</v>
      </c>
      <c r="H644" s="26" t="s">
        <v>38</v>
      </c>
      <c r="I644" s="36">
        <v>60</v>
      </c>
      <c r="J644" s="32">
        <f>IF(MB25_VOLUMETRIA[[#This Row],[Reserva]]="","",1)</f>
        <v>1</v>
      </c>
      <c r="K644" s="36" t="str">
        <f>IF(MB25_VOLUMETRIA[[#This Row],[Reserva]]="","",IFERROR(VLOOKUP(MB25_VOLUMETRIA[[#This Row],[UMB]],CHAVE[],2,FALSE),"VERIFICAR"))</f>
        <v>Unidade</v>
      </c>
      <c r="L64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4" s="32" t="str">
        <f ca="1">IFERROR(VLOOKUP(MB25_VOLUMETRIA[[#This Row],[Reserva]],RES_AB[],14,FALSE),"")</f>
        <v>RESERVAS EM ATRASO</v>
      </c>
      <c r="N644" s="32" t="str">
        <f>IF(MB25_VOLUMETRIA[[#This Row],[Cen.]]="","",IFERROR(VLOOKUP(MB25_VOLUMETRIA[[#This Row],[Cen.]],Dados_Empresas[],2,FALSE),"Verificar empresa"))</f>
        <v>NET MASSIVO</v>
      </c>
      <c r="O644" s="32" t="str">
        <f>IF(MB25_VOLUMETRIA[[#This Row],[EMPRESA]]="","",IF(OR(MB25_VOLUMETRIA[[#This Row],[EMPRESA]]="NET MASSIVO",MB25_VOLUMETRIA[[#This Row],[EMPRESA]]="NET PROJETOS"),"NET","EMPRESARIAL"))</f>
        <v>NET</v>
      </c>
    </row>
    <row r="645" spans="1:15" x14ac:dyDescent="0.25">
      <c r="A645" s="32">
        <v>4379684</v>
      </c>
      <c r="B645" s="32" t="s">
        <v>21</v>
      </c>
      <c r="C645" s="33" t="s">
        <v>21</v>
      </c>
      <c r="D645" s="35">
        <v>45446</v>
      </c>
      <c r="E645" s="32" t="s">
        <v>184</v>
      </c>
      <c r="F645" s="32">
        <v>41001590</v>
      </c>
      <c r="G645" s="32" t="s">
        <v>239</v>
      </c>
      <c r="H645" s="26" t="s">
        <v>38</v>
      </c>
      <c r="I645" s="36">
        <v>40</v>
      </c>
      <c r="J645" s="32">
        <f>IF(MB25_VOLUMETRIA[[#This Row],[Reserva]]="","",1)</f>
        <v>1</v>
      </c>
      <c r="K645" s="36" t="str">
        <f>IF(MB25_VOLUMETRIA[[#This Row],[Reserva]]="","",IFERROR(VLOOKUP(MB25_VOLUMETRIA[[#This Row],[UMB]],CHAVE[],2,FALSE),"VERIFICAR"))</f>
        <v>Unidade</v>
      </c>
      <c r="L64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5" s="32" t="str">
        <f ca="1">IFERROR(VLOOKUP(MB25_VOLUMETRIA[[#This Row],[Reserva]],RES_AB[],14,FALSE),"")</f>
        <v>RESERVAS EM ATRASO</v>
      </c>
      <c r="N645" s="32" t="str">
        <f>IF(MB25_VOLUMETRIA[[#This Row],[Cen.]]="","",IFERROR(VLOOKUP(MB25_VOLUMETRIA[[#This Row],[Cen.]],Dados_Empresas[],2,FALSE),"Verificar empresa"))</f>
        <v>NET MASSIVO</v>
      </c>
      <c r="O645" s="32" t="str">
        <f>IF(MB25_VOLUMETRIA[[#This Row],[EMPRESA]]="","",IF(OR(MB25_VOLUMETRIA[[#This Row],[EMPRESA]]="NET MASSIVO",MB25_VOLUMETRIA[[#This Row],[EMPRESA]]="NET PROJETOS"),"NET","EMPRESARIAL"))</f>
        <v>NET</v>
      </c>
    </row>
    <row r="646" spans="1:15" x14ac:dyDescent="0.25">
      <c r="A646" s="32">
        <v>4379686</v>
      </c>
      <c r="B646" s="32" t="s">
        <v>21</v>
      </c>
      <c r="C646" s="33" t="s">
        <v>19</v>
      </c>
      <c r="D646" s="35">
        <v>45446</v>
      </c>
      <c r="E646" s="32" t="s">
        <v>184</v>
      </c>
      <c r="F646" s="32">
        <v>41000805</v>
      </c>
      <c r="G646" s="32" t="s">
        <v>188</v>
      </c>
      <c r="H646" s="26" t="s">
        <v>38</v>
      </c>
      <c r="I646" s="36">
        <v>150</v>
      </c>
      <c r="J646" s="32">
        <f>IF(MB25_VOLUMETRIA[[#This Row],[Reserva]]="","",1)</f>
        <v>1</v>
      </c>
      <c r="K646" s="36" t="str">
        <f>IF(MB25_VOLUMETRIA[[#This Row],[Reserva]]="","",IFERROR(VLOOKUP(MB25_VOLUMETRIA[[#This Row],[UMB]],CHAVE[],2,FALSE),"VERIFICAR"))</f>
        <v>Unidade</v>
      </c>
      <c r="L64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6" s="32" t="str">
        <f ca="1">IFERROR(VLOOKUP(MB25_VOLUMETRIA[[#This Row],[Reserva]],RES_AB[],14,FALSE),"")</f>
        <v>RESERVAS EM ATRASO</v>
      </c>
      <c r="N646" s="32" t="str">
        <f>IF(MB25_VOLUMETRIA[[#This Row],[Cen.]]="","",IFERROR(VLOOKUP(MB25_VOLUMETRIA[[#This Row],[Cen.]],Dados_Empresas[],2,FALSE),"Verificar empresa"))</f>
        <v>NET MASSIVO</v>
      </c>
      <c r="O646" s="32" t="str">
        <f>IF(MB25_VOLUMETRIA[[#This Row],[EMPRESA]]="","",IF(OR(MB25_VOLUMETRIA[[#This Row],[EMPRESA]]="NET MASSIVO",MB25_VOLUMETRIA[[#This Row],[EMPRESA]]="NET PROJETOS"),"NET","EMPRESARIAL"))</f>
        <v>NET</v>
      </c>
    </row>
    <row r="647" spans="1:15" x14ac:dyDescent="0.25">
      <c r="A647" s="32">
        <v>4379686</v>
      </c>
      <c r="B647" s="32" t="s">
        <v>21</v>
      </c>
      <c r="C647" s="33" t="s">
        <v>19</v>
      </c>
      <c r="D647" s="35">
        <v>45446</v>
      </c>
      <c r="E647" s="32" t="s">
        <v>184</v>
      </c>
      <c r="F647" s="32">
        <v>41001047</v>
      </c>
      <c r="G647" s="32" t="s">
        <v>257</v>
      </c>
      <c r="H647" s="26" t="s">
        <v>38</v>
      </c>
      <c r="I647" s="36">
        <v>150</v>
      </c>
      <c r="J647" s="32">
        <f>IF(MB25_VOLUMETRIA[[#This Row],[Reserva]]="","",1)</f>
        <v>1</v>
      </c>
      <c r="K647" s="36" t="str">
        <f>IF(MB25_VOLUMETRIA[[#This Row],[Reserva]]="","",IFERROR(VLOOKUP(MB25_VOLUMETRIA[[#This Row],[UMB]],CHAVE[],2,FALSE),"VERIFICAR"))</f>
        <v>Unidade</v>
      </c>
      <c r="L64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7" s="32" t="str">
        <f ca="1">IFERROR(VLOOKUP(MB25_VOLUMETRIA[[#This Row],[Reserva]],RES_AB[],14,FALSE),"")</f>
        <v>RESERVAS EM ATRASO</v>
      </c>
      <c r="N647" s="32" t="str">
        <f>IF(MB25_VOLUMETRIA[[#This Row],[Cen.]]="","",IFERROR(VLOOKUP(MB25_VOLUMETRIA[[#This Row],[Cen.]],Dados_Empresas[],2,FALSE),"Verificar empresa"))</f>
        <v>NET MASSIVO</v>
      </c>
      <c r="O647" s="32" t="str">
        <f>IF(MB25_VOLUMETRIA[[#This Row],[EMPRESA]]="","",IF(OR(MB25_VOLUMETRIA[[#This Row],[EMPRESA]]="NET MASSIVO",MB25_VOLUMETRIA[[#This Row],[EMPRESA]]="NET PROJETOS"),"NET","EMPRESARIAL"))</f>
        <v>NET</v>
      </c>
    </row>
    <row r="648" spans="1:15" x14ac:dyDescent="0.25">
      <c r="A648" s="32">
        <v>4379686</v>
      </c>
      <c r="B648" s="32" t="s">
        <v>21</v>
      </c>
      <c r="C648" s="33" t="s">
        <v>19</v>
      </c>
      <c r="D648" s="35">
        <v>45446</v>
      </c>
      <c r="E648" s="32" t="s">
        <v>184</v>
      </c>
      <c r="F648" s="32">
        <v>41001520</v>
      </c>
      <c r="G648" s="32" t="s">
        <v>297</v>
      </c>
      <c r="H648" s="26" t="s">
        <v>38</v>
      </c>
      <c r="I648" s="36">
        <v>150</v>
      </c>
      <c r="J648" s="32">
        <f>IF(MB25_VOLUMETRIA[[#This Row],[Reserva]]="","",1)</f>
        <v>1</v>
      </c>
      <c r="K648" s="36" t="str">
        <f>IF(MB25_VOLUMETRIA[[#This Row],[Reserva]]="","",IFERROR(VLOOKUP(MB25_VOLUMETRIA[[#This Row],[UMB]],CHAVE[],2,FALSE),"VERIFICAR"))</f>
        <v>Unidade</v>
      </c>
      <c r="L64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48" s="32" t="str">
        <f ca="1">IFERROR(VLOOKUP(MB25_VOLUMETRIA[[#This Row],[Reserva]],RES_AB[],14,FALSE),"")</f>
        <v>RESERVAS EM ATRASO</v>
      </c>
      <c r="N648" s="32" t="str">
        <f>IF(MB25_VOLUMETRIA[[#This Row],[Cen.]]="","",IFERROR(VLOOKUP(MB25_VOLUMETRIA[[#This Row],[Cen.]],Dados_Empresas[],2,FALSE),"Verificar empresa"))</f>
        <v>NET MASSIVO</v>
      </c>
      <c r="O648" s="32" t="str">
        <f>IF(MB25_VOLUMETRIA[[#This Row],[EMPRESA]]="","",IF(OR(MB25_VOLUMETRIA[[#This Row],[EMPRESA]]="NET MASSIVO",MB25_VOLUMETRIA[[#This Row],[EMPRESA]]="NET PROJETOS"),"NET","EMPRESARIAL"))</f>
        <v>NET</v>
      </c>
    </row>
    <row r="649" spans="1:15" x14ac:dyDescent="0.25">
      <c r="A649" s="32">
        <v>4379688</v>
      </c>
      <c r="B649" s="32" t="s">
        <v>21</v>
      </c>
      <c r="C649" s="33" t="s">
        <v>19</v>
      </c>
      <c r="D649" s="35">
        <v>45446</v>
      </c>
      <c r="E649" s="32" t="s">
        <v>184</v>
      </c>
      <c r="F649" s="32">
        <v>41001294</v>
      </c>
      <c r="G649" s="32" t="s">
        <v>248</v>
      </c>
      <c r="H649" s="26" t="s">
        <v>38</v>
      </c>
      <c r="I649" s="36">
        <v>60</v>
      </c>
      <c r="J649" s="32">
        <f>IF(MB25_VOLUMETRIA[[#This Row],[Reserva]]="","",1)</f>
        <v>1</v>
      </c>
      <c r="K649" s="36" t="str">
        <f>IF(MB25_VOLUMETRIA[[#This Row],[Reserva]]="","",IFERROR(VLOOKUP(MB25_VOLUMETRIA[[#This Row],[UMB]],CHAVE[],2,FALSE),"VERIFICAR"))</f>
        <v>Unidade</v>
      </c>
      <c r="L649" s="32" t="str">
        <f>IF(MB25_VOLUMETRIA[[#This Row],[Reserva]]="","",IFERROR(VLOOKUP(MB25_VOLUMETRIA[[#This Row],[Reserva]],Tabela3[[Reserva]:[Condição para Faturamento]],20,FALSE),"IMPORTADO COM SUCESSO"))</f>
        <v>EM CONFERENCIA</v>
      </c>
      <c r="M649" s="32" t="str">
        <f ca="1">IFERROR(VLOOKUP(MB25_VOLUMETRIA[[#This Row],[Reserva]],RES_AB[],14,FALSE),"")</f>
        <v>RESERVAS EM ATRASO</v>
      </c>
      <c r="N649" s="32" t="str">
        <f>IF(MB25_VOLUMETRIA[[#This Row],[Cen.]]="","",IFERROR(VLOOKUP(MB25_VOLUMETRIA[[#This Row],[Cen.]],Dados_Empresas[],2,FALSE),"Verificar empresa"))</f>
        <v>NET MASSIVO</v>
      </c>
      <c r="O649" s="32" t="str">
        <f>IF(MB25_VOLUMETRIA[[#This Row],[EMPRESA]]="","",IF(OR(MB25_VOLUMETRIA[[#This Row],[EMPRESA]]="NET MASSIVO",MB25_VOLUMETRIA[[#This Row],[EMPRESA]]="NET PROJETOS"),"NET","EMPRESARIAL"))</f>
        <v>NET</v>
      </c>
    </row>
    <row r="650" spans="1:15" x14ac:dyDescent="0.25">
      <c r="A650" s="32">
        <v>4379688</v>
      </c>
      <c r="B650" s="32" t="s">
        <v>21</v>
      </c>
      <c r="C650" s="33" t="s">
        <v>182</v>
      </c>
      <c r="D650" s="35">
        <v>45446</v>
      </c>
      <c r="E650" s="32" t="s">
        <v>184</v>
      </c>
      <c r="F650" s="32">
        <v>41001530</v>
      </c>
      <c r="G650" s="32" t="s">
        <v>319</v>
      </c>
      <c r="H650" s="26" t="s">
        <v>38</v>
      </c>
      <c r="I650" s="36">
        <v>30</v>
      </c>
      <c r="J650" s="32">
        <f>IF(MB25_VOLUMETRIA[[#This Row],[Reserva]]="","",1)</f>
        <v>1</v>
      </c>
      <c r="K650" s="36" t="str">
        <f>IF(MB25_VOLUMETRIA[[#This Row],[Reserva]]="","",IFERROR(VLOOKUP(MB25_VOLUMETRIA[[#This Row],[UMB]],CHAVE[],2,FALSE),"VERIFICAR"))</f>
        <v>Unidade</v>
      </c>
      <c r="L650" s="32" t="str">
        <f>IF(MB25_VOLUMETRIA[[#This Row],[Reserva]]="","",IFERROR(VLOOKUP(MB25_VOLUMETRIA[[#This Row],[Reserva]],Tabela3[[Reserva]:[Condição para Faturamento]],20,FALSE),"IMPORTADO COM SUCESSO"))</f>
        <v>EM CONFERENCIA</v>
      </c>
      <c r="M650" s="32" t="str">
        <f ca="1">IFERROR(VLOOKUP(MB25_VOLUMETRIA[[#This Row],[Reserva]],RES_AB[],14,FALSE),"")</f>
        <v>RESERVAS EM ATRASO</v>
      </c>
      <c r="N650" s="32" t="str">
        <f>IF(MB25_VOLUMETRIA[[#This Row],[Cen.]]="","",IFERROR(VLOOKUP(MB25_VOLUMETRIA[[#This Row],[Cen.]],Dados_Empresas[],2,FALSE),"Verificar empresa"))</f>
        <v>NET MASSIVO</v>
      </c>
      <c r="O650" s="32" t="str">
        <f>IF(MB25_VOLUMETRIA[[#This Row],[EMPRESA]]="","",IF(OR(MB25_VOLUMETRIA[[#This Row],[EMPRESA]]="NET MASSIVO",MB25_VOLUMETRIA[[#This Row],[EMPRESA]]="NET PROJETOS"),"NET","EMPRESARIAL"))</f>
        <v>NET</v>
      </c>
    </row>
    <row r="651" spans="1:15" x14ac:dyDescent="0.25">
      <c r="A651" s="32">
        <v>4379688</v>
      </c>
      <c r="B651" s="32" t="s">
        <v>21</v>
      </c>
      <c r="C651" s="33" t="s">
        <v>19</v>
      </c>
      <c r="D651" s="35">
        <v>45446</v>
      </c>
      <c r="E651" s="32" t="s">
        <v>184</v>
      </c>
      <c r="F651" s="32">
        <v>41001552</v>
      </c>
      <c r="G651" s="32" t="s">
        <v>336</v>
      </c>
      <c r="H651" s="26" t="s">
        <v>38</v>
      </c>
      <c r="I651" s="36">
        <v>30</v>
      </c>
      <c r="J651" s="32">
        <f>IF(MB25_VOLUMETRIA[[#This Row],[Reserva]]="","",1)</f>
        <v>1</v>
      </c>
      <c r="K651" s="36" t="str">
        <f>IF(MB25_VOLUMETRIA[[#This Row],[Reserva]]="","",IFERROR(VLOOKUP(MB25_VOLUMETRIA[[#This Row],[UMB]],CHAVE[],2,FALSE),"VERIFICAR"))</f>
        <v>Unidade</v>
      </c>
      <c r="L651" s="32" t="str">
        <f>IF(MB25_VOLUMETRIA[[#This Row],[Reserva]]="","",IFERROR(VLOOKUP(MB25_VOLUMETRIA[[#This Row],[Reserva]],Tabela3[[Reserva]:[Condição para Faturamento]],20,FALSE),"IMPORTADO COM SUCESSO"))</f>
        <v>EM CONFERENCIA</v>
      </c>
      <c r="M651" s="32" t="str">
        <f ca="1">IFERROR(VLOOKUP(MB25_VOLUMETRIA[[#This Row],[Reserva]],RES_AB[],14,FALSE),"")</f>
        <v>RESERVAS EM ATRASO</v>
      </c>
      <c r="N651" s="32" t="str">
        <f>IF(MB25_VOLUMETRIA[[#This Row],[Cen.]]="","",IFERROR(VLOOKUP(MB25_VOLUMETRIA[[#This Row],[Cen.]],Dados_Empresas[],2,FALSE),"Verificar empresa"))</f>
        <v>NET MASSIVO</v>
      </c>
      <c r="O651" s="32" t="str">
        <f>IF(MB25_VOLUMETRIA[[#This Row],[EMPRESA]]="","",IF(OR(MB25_VOLUMETRIA[[#This Row],[EMPRESA]]="NET MASSIVO",MB25_VOLUMETRIA[[#This Row],[EMPRESA]]="NET PROJETOS"),"NET","EMPRESARIAL"))</f>
        <v>NET</v>
      </c>
    </row>
    <row r="652" spans="1:15" x14ac:dyDescent="0.25">
      <c r="A652" s="32">
        <v>4379688</v>
      </c>
      <c r="B652" s="32" t="s">
        <v>21</v>
      </c>
      <c r="C652" s="33" t="s">
        <v>21</v>
      </c>
      <c r="D652" s="35">
        <v>45446</v>
      </c>
      <c r="E652" s="32" t="s">
        <v>184</v>
      </c>
      <c r="F652" s="32">
        <v>41001573</v>
      </c>
      <c r="G652" s="32" t="s">
        <v>259</v>
      </c>
      <c r="H652" s="26" t="s">
        <v>38</v>
      </c>
      <c r="I652" s="36">
        <v>30</v>
      </c>
      <c r="J652" s="32">
        <f>IF(MB25_VOLUMETRIA[[#This Row],[Reserva]]="","",1)</f>
        <v>1</v>
      </c>
      <c r="K652" s="36" t="str">
        <f>IF(MB25_VOLUMETRIA[[#This Row],[Reserva]]="","",IFERROR(VLOOKUP(MB25_VOLUMETRIA[[#This Row],[UMB]],CHAVE[],2,FALSE),"VERIFICAR"))</f>
        <v>Unidade</v>
      </c>
      <c r="L652" s="32" t="str">
        <f>IF(MB25_VOLUMETRIA[[#This Row],[Reserva]]="","",IFERROR(VLOOKUP(MB25_VOLUMETRIA[[#This Row],[Reserva]],Tabela3[[Reserva]:[Condição para Faturamento]],20,FALSE),"IMPORTADO COM SUCESSO"))</f>
        <v>EM CONFERENCIA</v>
      </c>
      <c r="M652" s="32" t="str">
        <f ca="1">IFERROR(VLOOKUP(MB25_VOLUMETRIA[[#This Row],[Reserva]],RES_AB[],14,FALSE),"")</f>
        <v>RESERVAS EM ATRASO</v>
      </c>
      <c r="N652" s="32" t="str">
        <f>IF(MB25_VOLUMETRIA[[#This Row],[Cen.]]="","",IFERROR(VLOOKUP(MB25_VOLUMETRIA[[#This Row],[Cen.]],Dados_Empresas[],2,FALSE),"Verificar empresa"))</f>
        <v>NET MASSIVO</v>
      </c>
      <c r="O652" s="32" t="str">
        <f>IF(MB25_VOLUMETRIA[[#This Row],[EMPRESA]]="","",IF(OR(MB25_VOLUMETRIA[[#This Row],[EMPRESA]]="NET MASSIVO",MB25_VOLUMETRIA[[#This Row],[EMPRESA]]="NET PROJETOS"),"NET","EMPRESARIAL"))</f>
        <v>NET</v>
      </c>
    </row>
    <row r="653" spans="1:15" x14ac:dyDescent="0.25">
      <c r="A653" s="32">
        <v>4379690</v>
      </c>
      <c r="B653" s="32" t="s">
        <v>21</v>
      </c>
      <c r="C653" s="33" t="s">
        <v>19</v>
      </c>
      <c r="D653" s="35">
        <v>45446</v>
      </c>
      <c r="E653" s="32" t="s">
        <v>184</v>
      </c>
      <c r="F653" s="32">
        <v>41000805</v>
      </c>
      <c r="G653" s="32" t="s">
        <v>188</v>
      </c>
      <c r="H653" s="26" t="s">
        <v>38</v>
      </c>
      <c r="I653" s="36">
        <v>160</v>
      </c>
      <c r="J653" s="32">
        <f>IF(MB25_VOLUMETRIA[[#This Row],[Reserva]]="","",1)</f>
        <v>1</v>
      </c>
      <c r="K653" s="36" t="str">
        <f>IF(MB25_VOLUMETRIA[[#This Row],[Reserva]]="","",IFERROR(VLOOKUP(MB25_VOLUMETRIA[[#This Row],[UMB]],CHAVE[],2,FALSE),"VERIFICAR"))</f>
        <v>Unidade</v>
      </c>
      <c r="L653" s="32" t="str">
        <f>IF(MB25_VOLUMETRIA[[#This Row],[Reserva]]="","",IFERROR(VLOOKUP(MB25_VOLUMETRIA[[#This Row],[Reserva]],Tabela3[[Reserva]:[Condição para Faturamento]],20,FALSE),"IMPORTADO COM SUCESSO"))</f>
        <v>EM SEPARAÇÃO</v>
      </c>
      <c r="M653" s="32" t="str">
        <f ca="1">IFERROR(VLOOKUP(MB25_VOLUMETRIA[[#This Row],[Reserva]],RES_AB[],14,FALSE),"")</f>
        <v>RESERVAS EM ATRASO</v>
      </c>
      <c r="N653" s="32" t="str">
        <f>IF(MB25_VOLUMETRIA[[#This Row],[Cen.]]="","",IFERROR(VLOOKUP(MB25_VOLUMETRIA[[#This Row],[Cen.]],Dados_Empresas[],2,FALSE),"Verificar empresa"))</f>
        <v>NET MASSIVO</v>
      </c>
      <c r="O653" s="32" t="str">
        <f>IF(MB25_VOLUMETRIA[[#This Row],[EMPRESA]]="","",IF(OR(MB25_VOLUMETRIA[[#This Row],[EMPRESA]]="NET MASSIVO",MB25_VOLUMETRIA[[#This Row],[EMPRESA]]="NET PROJETOS"),"NET","EMPRESARIAL"))</f>
        <v>NET</v>
      </c>
    </row>
    <row r="654" spans="1:15" x14ac:dyDescent="0.25">
      <c r="A654" s="32">
        <v>4379690</v>
      </c>
      <c r="B654" s="32" t="s">
        <v>21</v>
      </c>
      <c r="C654" s="33" t="s">
        <v>19</v>
      </c>
      <c r="D654" s="35">
        <v>45446</v>
      </c>
      <c r="E654" s="32" t="s">
        <v>184</v>
      </c>
      <c r="F654" s="32">
        <v>41001047</v>
      </c>
      <c r="G654" s="32" t="s">
        <v>257</v>
      </c>
      <c r="H654" s="26" t="s">
        <v>38</v>
      </c>
      <c r="I654" s="36">
        <v>120</v>
      </c>
      <c r="J654" s="32">
        <f>IF(MB25_VOLUMETRIA[[#This Row],[Reserva]]="","",1)</f>
        <v>1</v>
      </c>
      <c r="K654" s="36" t="str">
        <f>IF(MB25_VOLUMETRIA[[#This Row],[Reserva]]="","",IFERROR(VLOOKUP(MB25_VOLUMETRIA[[#This Row],[UMB]],CHAVE[],2,FALSE),"VERIFICAR"))</f>
        <v>Unidade</v>
      </c>
      <c r="L654" s="32" t="str">
        <f>IF(MB25_VOLUMETRIA[[#This Row],[Reserva]]="","",IFERROR(VLOOKUP(MB25_VOLUMETRIA[[#This Row],[Reserva]],Tabela3[[Reserva]:[Condição para Faturamento]],20,FALSE),"IMPORTADO COM SUCESSO"))</f>
        <v>EM SEPARAÇÃO</v>
      </c>
      <c r="M654" s="32" t="str">
        <f ca="1">IFERROR(VLOOKUP(MB25_VOLUMETRIA[[#This Row],[Reserva]],RES_AB[],14,FALSE),"")</f>
        <v>RESERVAS EM ATRASO</v>
      </c>
      <c r="N654" s="32" t="str">
        <f>IF(MB25_VOLUMETRIA[[#This Row],[Cen.]]="","",IFERROR(VLOOKUP(MB25_VOLUMETRIA[[#This Row],[Cen.]],Dados_Empresas[],2,FALSE),"Verificar empresa"))</f>
        <v>NET MASSIVO</v>
      </c>
      <c r="O654" s="32" t="str">
        <f>IF(MB25_VOLUMETRIA[[#This Row],[EMPRESA]]="","",IF(OR(MB25_VOLUMETRIA[[#This Row],[EMPRESA]]="NET MASSIVO",MB25_VOLUMETRIA[[#This Row],[EMPRESA]]="NET PROJETOS"),"NET","EMPRESARIAL"))</f>
        <v>NET</v>
      </c>
    </row>
    <row r="655" spans="1:15" x14ac:dyDescent="0.25">
      <c r="A655" s="32">
        <v>4379690</v>
      </c>
      <c r="B655" s="32" t="s">
        <v>21</v>
      </c>
      <c r="C655" s="33" t="s">
        <v>19</v>
      </c>
      <c r="D655" s="35">
        <v>45446</v>
      </c>
      <c r="E655" s="32" t="s">
        <v>184</v>
      </c>
      <c r="F655" s="32">
        <v>41001484</v>
      </c>
      <c r="G655" s="32" t="s">
        <v>292</v>
      </c>
      <c r="H655" s="26" t="s">
        <v>38</v>
      </c>
      <c r="I655" s="36">
        <v>40</v>
      </c>
      <c r="J655" s="32">
        <f>IF(MB25_VOLUMETRIA[[#This Row],[Reserva]]="","",1)</f>
        <v>1</v>
      </c>
      <c r="K655" s="36" t="str">
        <f>IF(MB25_VOLUMETRIA[[#This Row],[Reserva]]="","",IFERROR(VLOOKUP(MB25_VOLUMETRIA[[#This Row],[UMB]],CHAVE[],2,FALSE),"VERIFICAR"))</f>
        <v>Unidade</v>
      </c>
      <c r="L655" s="32" t="str">
        <f>IF(MB25_VOLUMETRIA[[#This Row],[Reserva]]="","",IFERROR(VLOOKUP(MB25_VOLUMETRIA[[#This Row],[Reserva]],Tabela3[[Reserva]:[Condição para Faturamento]],20,FALSE),"IMPORTADO COM SUCESSO"))</f>
        <v>EM SEPARAÇÃO</v>
      </c>
      <c r="M655" s="32" t="str">
        <f ca="1">IFERROR(VLOOKUP(MB25_VOLUMETRIA[[#This Row],[Reserva]],RES_AB[],14,FALSE),"")</f>
        <v>RESERVAS EM ATRASO</v>
      </c>
      <c r="N655" s="32" t="str">
        <f>IF(MB25_VOLUMETRIA[[#This Row],[Cen.]]="","",IFERROR(VLOOKUP(MB25_VOLUMETRIA[[#This Row],[Cen.]],Dados_Empresas[],2,FALSE),"Verificar empresa"))</f>
        <v>NET MASSIVO</v>
      </c>
      <c r="O655" s="32" t="str">
        <f>IF(MB25_VOLUMETRIA[[#This Row],[EMPRESA]]="","",IF(OR(MB25_VOLUMETRIA[[#This Row],[EMPRESA]]="NET MASSIVO",MB25_VOLUMETRIA[[#This Row],[EMPRESA]]="NET PROJETOS"),"NET","EMPRESARIAL"))</f>
        <v>NET</v>
      </c>
    </row>
    <row r="656" spans="1:15" x14ac:dyDescent="0.25">
      <c r="A656" s="32">
        <v>4379690</v>
      </c>
      <c r="B656" s="32" t="s">
        <v>21</v>
      </c>
      <c r="C656" s="33" t="s">
        <v>19</v>
      </c>
      <c r="D656" s="35">
        <v>45446</v>
      </c>
      <c r="E656" s="32" t="s">
        <v>184</v>
      </c>
      <c r="F656" s="32">
        <v>41001520</v>
      </c>
      <c r="G656" s="32" t="s">
        <v>297</v>
      </c>
      <c r="H656" s="26" t="s">
        <v>38</v>
      </c>
      <c r="I656" s="36">
        <v>120</v>
      </c>
      <c r="J656" s="32">
        <f>IF(MB25_VOLUMETRIA[[#This Row],[Reserva]]="","",1)</f>
        <v>1</v>
      </c>
      <c r="K656" s="36" t="str">
        <f>IF(MB25_VOLUMETRIA[[#This Row],[Reserva]]="","",IFERROR(VLOOKUP(MB25_VOLUMETRIA[[#This Row],[UMB]],CHAVE[],2,FALSE),"VERIFICAR"))</f>
        <v>Unidade</v>
      </c>
      <c r="L656" s="32" t="str">
        <f>IF(MB25_VOLUMETRIA[[#This Row],[Reserva]]="","",IFERROR(VLOOKUP(MB25_VOLUMETRIA[[#This Row],[Reserva]],Tabela3[[Reserva]:[Condição para Faturamento]],20,FALSE),"IMPORTADO COM SUCESSO"))</f>
        <v>EM SEPARAÇÃO</v>
      </c>
      <c r="M656" s="32" t="str">
        <f ca="1">IFERROR(VLOOKUP(MB25_VOLUMETRIA[[#This Row],[Reserva]],RES_AB[],14,FALSE),"")</f>
        <v>RESERVAS EM ATRASO</v>
      </c>
      <c r="N656" s="32" t="str">
        <f>IF(MB25_VOLUMETRIA[[#This Row],[Cen.]]="","",IFERROR(VLOOKUP(MB25_VOLUMETRIA[[#This Row],[Cen.]],Dados_Empresas[],2,FALSE),"Verificar empresa"))</f>
        <v>NET MASSIVO</v>
      </c>
      <c r="O656" s="32" t="str">
        <f>IF(MB25_VOLUMETRIA[[#This Row],[EMPRESA]]="","",IF(OR(MB25_VOLUMETRIA[[#This Row],[EMPRESA]]="NET MASSIVO",MB25_VOLUMETRIA[[#This Row],[EMPRESA]]="NET PROJETOS"),"NET","EMPRESARIAL"))</f>
        <v>NET</v>
      </c>
    </row>
    <row r="657" spans="1:15" x14ac:dyDescent="0.25">
      <c r="A657" s="32">
        <v>4379692</v>
      </c>
      <c r="B657" s="32" t="s">
        <v>21</v>
      </c>
      <c r="C657" s="33" t="s">
        <v>19</v>
      </c>
      <c r="D657" s="35">
        <v>45446</v>
      </c>
      <c r="E657" s="32" t="s">
        <v>184</v>
      </c>
      <c r="F657" s="32">
        <v>41001294</v>
      </c>
      <c r="G657" s="32" t="s">
        <v>248</v>
      </c>
      <c r="H657" s="26" t="s">
        <v>38</v>
      </c>
      <c r="I657" s="36">
        <v>40</v>
      </c>
      <c r="J657" s="32">
        <f>IF(MB25_VOLUMETRIA[[#This Row],[Reserva]]="","",1)</f>
        <v>1</v>
      </c>
      <c r="K657" s="36" t="str">
        <f>IF(MB25_VOLUMETRIA[[#This Row],[Reserva]]="","",IFERROR(VLOOKUP(MB25_VOLUMETRIA[[#This Row],[UMB]],CHAVE[],2,FALSE),"VERIFICAR"))</f>
        <v>Unidade</v>
      </c>
      <c r="L657" s="32" t="str">
        <f>IF(MB25_VOLUMETRIA[[#This Row],[Reserva]]="","",IFERROR(VLOOKUP(MB25_VOLUMETRIA[[#This Row],[Reserva]],Tabela3[[Reserva]:[Condição para Faturamento]],20,FALSE),"IMPORTADO COM SUCESSO"))</f>
        <v>EM CONFERENCIA</v>
      </c>
      <c r="M657" s="32" t="str">
        <f ca="1">IFERROR(VLOOKUP(MB25_VOLUMETRIA[[#This Row],[Reserva]],RES_AB[],14,FALSE),"")</f>
        <v>RESERVAS EM ATRASO</v>
      </c>
      <c r="N657" s="32" t="str">
        <f>IF(MB25_VOLUMETRIA[[#This Row],[Cen.]]="","",IFERROR(VLOOKUP(MB25_VOLUMETRIA[[#This Row],[Cen.]],Dados_Empresas[],2,FALSE),"Verificar empresa"))</f>
        <v>NET MASSIVO</v>
      </c>
      <c r="O657" s="32" t="str">
        <f>IF(MB25_VOLUMETRIA[[#This Row],[EMPRESA]]="","",IF(OR(MB25_VOLUMETRIA[[#This Row],[EMPRESA]]="NET MASSIVO",MB25_VOLUMETRIA[[#This Row],[EMPRESA]]="NET PROJETOS"),"NET","EMPRESARIAL"))</f>
        <v>NET</v>
      </c>
    </row>
    <row r="658" spans="1:15" x14ac:dyDescent="0.25">
      <c r="A658" s="32">
        <v>4379692</v>
      </c>
      <c r="B658" s="32" t="s">
        <v>21</v>
      </c>
      <c r="C658" s="33" t="s">
        <v>21</v>
      </c>
      <c r="D658" s="35">
        <v>45446</v>
      </c>
      <c r="E658" s="32" t="s">
        <v>184</v>
      </c>
      <c r="F658" s="32">
        <v>41001573</v>
      </c>
      <c r="G658" s="32" t="s">
        <v>259</v>
      </c>
      <c r="H658" s="26" t="s">
        <v>38</v>
      </c>
      <c r="I658" s="36">
        <v>20</v>
      </c>
      <c r="J658" s="32">
        <f>IF(MB25_VOLUMETRIA[[#This Row],[Reserva]]="","",1)</f>
        <v>1</v>
      </c>
      <c r="K658" s="36" t="str">
        <f>IF(MB25_VOLUMETRIA[[#This Row],[Reserva]]="","",IFERROR(VLOOKUP(MB25_VOLUMETRIA[[#This Row],[UMB]],CHAVE[],2,FALSE),"VERIFICAR"))</f>
        <v>Unidade</v>
      </c>
      <c r="L658" s="32" t="str">
        <f>IF(MB25_VOLUMETRIA[[#This Row],[Reserva]]="","",IFERROR(VLOOKUP(MB25_VOLUMETRIA[[#This Row],[Reserva]],Tabela3[[Reserva]:[Condição para Faturamento]],20,FALSE),"IMPORTADO COM SUCESSO"))</f>
        <v>EM CONFERENCIA</v>
      </c>
      <c r="M658" s="32" t="str">
        <f ca="1">IFERROR(VLOOKUP(MB25_VOLUMETRIA[[#This Row],[Reserva]],RES_AB[],14,FALSE),"")</f>
        <v>RESERVAS EM ATRASO</v>
      </c>
      <c r="N658" s="32" t="str">
        <f>IF(MB25_VOLUMETRIA[[#This Row],[Cen.]]="","",IFERROR(VLOOKUP(MB25_VOLUMETRIA[[#This Row],[Cen.]],Dados_Empresas[],2,FALSE),"Verificar empresa"))</f>
        <v>NET MASSIVO</v>
      </c>
      <c r="O658" s="32" t="str">
        <f>IF(MB25_VOLUMETRIA[[#This Row],[EMPRESA]]="","",IF(OR(MB25_VOLUMETRIA[[#This Row],[EMPRESA]]="NET MASSIVO",MB25_VOLUMETRIA[[#This Row],[EMPRESA]]="NET PROJETOS"),"NET","EMPRESARIAL"))</f>
        <v>NET</v>
      </c>
    </row>
    <row r="659" spans="1:15" x14ac:dyDescent="0.25">
      <c r="A659" s="32">
        <v>4379694</v>
      </c>
      <c r="B659" s="32" t="s">
        <v>21</v>
      </c>
      <c r="C659" s="33" t="s">
        <v>19</v>
      </c>
      <c r="D659" s="35">
        <v>45446</v>
      </c>
      <c r="E659" s="32" t="s">
        <v>184</v>
      </c>
      <c r="F659" s="32">
        <v>41001294</v>
      </c>
      <c r="G659" s="32" t="s">
        <v>248</v>
      </c>
      <c r="H659" s="26" t="s">
        <v>38</v>
      </c>
      <c r="I659" s="36">
        <v>320</v>
      </c>
      <c r="J659" s="32">
        <f>IF(MB25_VOLUMETRIA[[#This Row],[Reserva]]="","",1)</f>
        <v>1</v>
      </c>
      <c r="K659" s="36" t="str">
        <f>IF(MB25_VOLUMETRIA[[#This Row],[Reserva]]="","",IFERROR(VLOOKUP(MB25_VOLUMETRIA[[#This Row],[UMB]],CHAVE[],2,FALSE),"VERIFICAR"))</f>
        <v>Unidade</v>
      </c>
      <c r="L659" s="32" t="str">
        <f>IF(MB25_VOLUMETRIA[[#This Row],[Reserva]]="","",IFERROR(VLOOKUP(MB25_VOLUMETRIA[[#This Row],[Reserva]],Tabela3[[Reserva]:[Condição para Faturamento]],20,FALSE),"IMPORTADO COM SUCESSO"))</f>
        <v>EM SEPARAÇÃO</v>
      </c>
      <c r="M659" s="32" t="str">
        <f ca="1">IFERROR(VLOOKUP(MB25_VOLUMETRIA[[#This Row],[Reserva]],RES_AB[],14,FALSE),"")</f>
        <v>RESERVAS EM ATRASO</v>
      </c>
      <c r="N659" s="32" t="str">
        <f>IF(MB25_VOLUMETRIA[[#This Row],[Cen.]]="","",IFERROR(VLOOKUP(MB25_VOLUMETRIA[[#This Row],[Cen.]],Dados_Empresas[],2,FALSE),"Verificar empresa"))</f>
        <v>NET MASSIVO</v>
      </c>
      <c r="O659" s="32" t="str">
        <f>IF(MB25_VOLUMETRIA[[#This Row],[EMPRESA]]="","",IF(OR(MB25_VOLUMETRIA[[#This Row],[EMPRESA]]="NET MASSIVO",MB25_VOLUMETRIA[[#This Row],[EMPRESA]]="NET PROJETOS"),"NET","EMPRESARIAL"))</f>
        <v>NET</v>
      </c>
    </row>
    <row r="660" spans="1:15" x14ac:dyDescent="0.25">
      <c r="A660" s="32">
        <v>4379694</v>
      </c>
      <c r="B660" s="32" t="s">
        <v>21</v>
      </c>
      <c r="C660" s="33" t="s">
        <v>21</v>
      </c>
      <c r="D660" s="35">
        <v>45446</v>
      </c>
      <c r="E660" s="32" t="s">
        <v>184</v>
      </c>
      <c r="F660" s="32">
        <v>41001590</v>
      </c>
      <c r="G660" s="32" t="s">
        <v>239</v>
      </c>
      <c r="H660" s="26" t="s">
        <v>38</v>
      </c>
      <c r="I660" s="36">
        <v>20</v>
      </c>
      <c r="J660" s="32">
        <f>IF(MB25_VOLUMETRIA[[#This Row],[Reserva]]="","",1)</f>
        <v>1</v>
      </c>
      <c r="K660" s="36" t="str">
        <f>IF(MB25_VOLUMETRIA[[#This Row],[Reserva]]="","",IFERROR(VLOOKUP(MB25_VOLUMETRIA[[#This Row],[UMB]],CHAVE[],2,FALSE),"VERIFICAR"))</f>
        <v>Unidade</v>
      </c>
      <c r="L660" s="32" t="str">
        <f>IF(MB25_VOLUMETRIA[[#This Row],[Reserva]]="","",IFERROR(VLOOKUP(MB25_VOLUMETRIA[[#This Row],[Reserva]],Tabela3[[Reserva]:[Condição para Faturamento]],20,FALSE),"IMPORTADO COM SUCESSO"))</f>
        <v>EM SEPARAÇÃO</v>
      </c>
      <c r="M660" s="32" t="str">
        <f ca="1">IFERROR(VLOOKUP(MB25_VOLUMETRIA[[#This Row],[Reserva]],RES_AB[],14,FALSE),"")</f>
        <v>RESERVAS EM ATRASO</v>
      </c>
      <c r="N660" s="32" t="str">
        <f>IF(MB25_VOLUMETRIA[[#This Row],[Cen.]]="","",IFERROR(VLOOKUP(MB25_VOLUMETRIA[[#This Row],[Cen.]],Dados_Empresas[],2,FALSE),"Verificar empresa"))</f>
        <v>NET MASSIVO</v>
      </c>
      <c r="O660" s="32" t="str">
        <f>IF(MB25_VOLUMETRIA[[#This Row],[EMPRESA]]="","",IF(OR(MB25_VOLUMETRIA[[#This Row],[EMPRESA]]="NET MASSIVO",MB25_VOLUMETRIA[[#This Row],[EMPRESA]]="NET PROJETOS"),"NET","EMPRESARIAL"))</f>
        <v>NET</v>
      </c>
    </row>
    <row r="661" spans="1:15" x14ac:dyDescent="0.25">
      <c r="A661" s="32">
        <v>4379701</v>
      </c>
      <c r="B661" s="32" t="s">
        <v>21</v>
      </c>
      <c r="C661" s="33" t="s">
        <v>19</v>
      </c>
      <c r="D661" s="35">
        <v>45446</v>
      </c>
      <c r="E661" s="32" t="s">
        <v>185</v>
      </c>
      <c r="F661" s="32">
        <v>22026251</v>
      </c>
      <c r="G661" s="32" t="s">
        <v>247</v>
      </c>
      <c r="H661" s="26" t="s">
        <v>38</v>
      </c>
      <c r="I661" s="36">
        <v>100</v>
      </c>
      <c r="J661" s="32">
        <f>IF(MB25_VOLUMETRIA[[#This Row],[Reserva]]="","",1)</f>
        <v>1</v>
      </c>
      <c r="K661" s="36" t="str">
        <f>IF(MB25_VOLUMETRIA[[#This Row],[Reserva]]="","",IFERROR(VLOOKUP(MB25_VOLUMETRIA[[#This Row],[UMB]],CHAVE[],2,FALSE),"VERIFICAR"))</f>
        <v>Unidade</v>
      </c>
      <c r="L661" s="32" t="str">
        <f>IF(MB25_VOLUMETRIA[[#This Row],[Reserva]]="","",IFERROR(VLOOKUP(MB25_VOLUMETRIA[[#This Row],[Reserva]],Tabela3[[Reserva]:[Condição para Faturamento]],20,FALSE),"IMPORTADO COM SUCESSO"))</f>
        <v>EM CONFERENCIA</v>
      </c>
      <c r="M661" s="32" t="str">
        <f ca="1">IFERROR(VLOOKUP(MB25_VOLUMETRIA[[#This Row],[Reserva]],RES_AB[],14,FALSE),"")</f>
        <v>RESERVAS EM ATRASO</v>
      </c>
      <c r="N661" s="32" t="str">
        <f>IF(MB25_VOLUMETRIA[[#This Row],[Cen.]]="","",IFERROR(VLOOKUP(MB25_VOLUMETRIA[[#This Row],[Cen.]],Dados_Empresas[],2,FALSE),"Verificar empresa"))</f>
        <v>NET MASSIVO</v>
      </c>
      <c r="O661" s="32" t="str">
        <f>IF(MB25_VOLUMETRIA[[#This Row],[EMPRESA]]="","",IF(OR(MB25_VOLUMETRIA[[#This Row],[EMPRESA]]="NET MASSIVO",MB25_VOLUMETRIA[[#This Row],[EMPRESA]]="NET PROJETOS"),"NET","EMPRESARIAL"))</f>
        <v>NET</v>
      </c>
    </row>
    <row r="662" spans="1:15" x14ac:dyDescent="0.25">
      <c r="A662" s="32">
        <v>4379701</v>
      </c>
      <c r="B662" s="32" t="s">
        <v>21</v>
      </c>
      <c r="C662" s="33" t="s">
        <v>21</v>
      </c>
      <c r="D662" s="35">
        <v>45446</v>
      </c>
      <c r="E662" s="32" t="s">
        <v>185</v>
      </c>
      <c r="F662" s="32">
        <v>22058258</v>
      </c>
      <c r="G662" s="32" t="s">
        <v>187</v>
      </c>
      <c r="H662" s="26" t="s">
        <v>38</v>
      </c>
      <c r="I662" s="36">
        <v>200</v>
      </c>
      <c r="J662" s="32">
        <f>IF(MB25_VOLUMETRIA[[#This Row],[Reserva]]="","",1)</f>
        <v>1</v>
      </c>
      <c r="K662" s="36" t="str">
        <f>IF(MB25_VOLUMETRIA[[#This Row],[Reserva]]="","",IFERROR(VLOOKUP(MB25_VOLUMETRIA[[#This Row],[UMB]],CHAVE[],2,FALSE),"VERIFICAR"))</f>
        <v>Unidade</v>
      </c>
      <c r="L662" s="32" t="str">
        <f>IF(MB25_VOLUMETRIA[[#This Row],[Reserva]]="","",IFERROR(VLOOKUP(MB25_VOLUMETRIA[[#This Row],[Reserva]],Tabela3[[Reserva]:[Condição para Faturamento]],20,FALSE),"IMPORTADO COM SUCESSO"))</f>
        <v>EM CONFERENCIA</v>
      </c>
      <c r="M662" s="32" t="str">
        <f ca="1">IFERROR(VLOOKUP(MB25_VOLUMETRIA[[#This Row],[Reserva]],RES_AB[],14,FALSE),"")</f>
        <v>RESERVAS EM ATRASO</v>
      </c>
      <c r="N662" s="32" t="str">
        <f>IF(MB25_VOLUMETRIA[[#This Row],[Cen.]]="","",IFERROR(VLOOKUP(MB25_VOLUMETRIA[[#This Row],[Cen.]],Dados_Empresas[],2,FALSE),"Verificar empresa"))</f>
        <v>NET MASSIVO</v>
      </c>
      <c r="O662" s="32" t="str">
        <f>IF(MB25_VOLUMETRIA[[#This Row],[EMPRESA]]="","",IF(OR(MB25_VOLUMETRIA[[#This Row],[EMPRESA]]="NET MASSIVO",MB25_VOLUMETRIA[[#This Row],[EMPRESA]]="NET PROJETOS"),"NET","EMPRESARIAL"))</f>
        <v>NET</v>
      </c>
    </row>
    <row r="663" spans="1:15" x14ac:dyDescent="0.25">
      <c r="A663" s="32">
        <v>4379701</v>
      </c>
      <c r="B663" s="32" t="s">
        <v>21</v>
      </c>
      <c r="C663" s="33" t="s">
        <v>21</v>
      </c>
      <c r="D663" s="35">
        <v>45446</v>
      </c>
      <c r="E663" s="32" t="s">
        <v>185</v>
      </c>
      <c r="F663" s="32">
        <v>22060422</v>
      </c>
      <c r="G663" s="32" t="s">
        <v>298</v>
      </c>
      <c r="H663" s="26" t="s">
        <v>38</v>
      </c>
      <c r="I663" s="36">
        <v>100</v>
      </c>
      <c r="J663" s="32">
        <f>IF(MB25_VOLUMETRIA[[#This Row],[Reserva]]="","",1)</f>
        <v>1</v>
      </c>
      <c r="K663" s="36" t="str">
        <f>IF(MB25_VOLUMETRIA[[#This Row],[Reserva]]="","",IFERROR(VLOOKUP(MB25_VOLUMETRIA[[#This Row],[UMB]],CHAVE[],2,FALSE),"VERIFICAR"))</f>
        <v>Unidade</v>
      </c>
      <c r="L663" s="32" t="str">
        <f>IF(MB25_VOLUMETRIA[[#This Row],[Reserva]]="","",IFERROR(VLOOKUP(MB25_VOLUMETRIA[[#This Row],[Reserva]],Tabela3[[Reserva]:[Condição para Faturamento]],20,FALSE),"IMPORTADO COM SUCESSO"))</f>
        <v>EM CONFERENCIA</v>
      </c>
      <c r="M663" s="32" t="str">
        <f ca="1">IFERROR(VLOOKUP(MB25_VOLUMETRIA[[#This Row],[Reserva]],RES_AB[],14,FALSE),"")</f>
        <v>RESERVAS EM ATRASO</v>
      </c>
      <c r="N663" s="32" t="str">
        <f>IF(MB25_VOLUMETRIA[[#This Row],[Cen.]]="","",IFERROR(VLOOKUP(MB25_VOLUMETRIA[[#This Row],[Cen.]],Dados_Empresas[],2,FALSE),"Verificar empresa"))</f>
        <v>NET MASSIVO</v>
      </c>
      <c r="O663" s="32" t="str">
        <f>IF(MB25_VOLUMETRIA[[#This Row],[EMPRESA]]="","",IF(OR(MB25_VOLUMETRIA[[#This Row],[EMPRESA]]="NET MASSIVO",MB25_VOLUMETRIA[[#This Row],[EMPRESA]]="NET PROJETOS"),"NET","EMPRESARIAL"))</f>
        <v>NET</v>
      </c>
    </row>
    <row r="664" spans="1:15" x14ac:dyDescent="0.25">
      <c r="A664" s="32">
        <v>4379712</v>
      </c>
      <c r="B664" s="32" t="s">
        <v>21</v>
      </c>
      <c r="C664" s="33" t="s">
        <v>182</v>
      </c>
      <c r="D664" s="35">
        <v>45446</v>
      </c>
      <c r="E664" s="32" t="s">
        <v>184</v>
      </c>
      <c r="F664" s="32">
        <v>41001528</v>
      </c>
      <c r="G664" s="32" t="s">
        <v>193</v>
      </c>
      <c r="H664" s="26" t="s">
        <v>38</v>
      </c>
      <c r="I664" s="36">
        <v>10</v>
      </c>
      <c r="J664" s="32">
        <f>IF(MB25_VOLUMETRIA[[#This Row],[Reserva]]="","",1)</f>
        <v>1</v>
      </c>
      <c r="K664" s="36" t="str">
        <f>IF(MB25_VOLUMETRIA[[#This Row],[Reserva]]="","",IFERROR(VLOOKUP(MB25_VOLUMETRIA[[#This Row],[UMB]],CHAVE[],2,FALSE),"VERIFICAR"))</f>
        <v>Unidade</v>
      </c>
      <c r="L664" s="32" t="str">
        <f>IF(MB25_VOLUMETRIA[[#This Row],[Reserva]]="","",IFERROR(VLOOKUP(MB25_VOLUMETRIA[[#This Row],[Reserva]],Tabela3[[Reserva]:[Condição para Faturamento]],20,FALSE),"IMPORTADO COM SUCESSO"))</f>
        <v>EM CONFERENCIA</v>
      </c>
      <c r="M664" s="32" t="str">
        <f ca="1">IFERROR(VLOOKUP(MB25_VOLUMETRIA[[#This Row],[Reserva]],RES_AB[],14,FALSE),"")</f>
        <v>RESERVAS EM ATRASO</v>
      </c>
      <c r="N664" s="32" t="str">
        <f>IF(MB25_VOLUMETRIA[[#This Row],[Cen.]]="","",IFERROR(VLOOKUP(MB25_VOLUMETRIA[[#This Row],[Cen.]],Dados_Empresas[],2,FALSE),"Verificar empresa"))</f>
        <v>NET MASSIVO</v>
      </c>
      <c r="O664" s="32" t="str">
        <f>IF(MB25_VOLUMETRIA[[#This Row],[EMPRESA]]="","",IF(OR(MB25_VOLUMETRIA[[#This Row],[EMPRESA]]="NET MASSIVO",MB25_VOLUMETRIA[[#This Row],[EMPRESA]]="NET PROJETOS"),"NET","EMPRESARIAL"))</f>
        <v>NET</v>
      </c>
    </row>
    <row r="665" spans="1:15" x14ac:dyDescent="0.25">
      <c r="A665" s="32">
        <v>4379718</v>
      </c>
      <c r="B665" s="32" t="s">
        <v>21</v>
      </c>
      <c r="C665" s="33" t="s">
        <v>19</v>
      </c>
      <c r="D665" s="35">
        <v>45446</v>
      </c>
      <c r="E665" s="32" t="s">
        <v>192</v>
      </c>
      <c r="F665" s="32">
        <v>41000805</v>
      </c>
      <c r="G665" s="32" t="s">
        <v>188</v>
      </c>
      <c r="H665" s="26" t="s">
        <v>38</v>
      </c>
      <c r="I665" s="36">
        <v>60</v>
      </c>
      <c r="J665" s="32">
        <f>IF(MB25_VOLUMETRIA[[#This Row],[Reserva]]="","",1)</f>
        <v>1</v>
      </c>
      <c r="K665" s="36" t="str">
        <f>IF(MB25_VOLUMETRIA[[#This Row],[Reserva]]="","",IFERROR(VLOOKUP(MB25_VOLUMETRIA[[#This Row],[UMB]],CHAVE[],2,FALSE),"VERIFICAR"))</f>
        <v>Unidade</v>
      </c>
      <c r="L665" s="32" t="str">
        <f>IF(MB25_VOLUMETRIA[[#This Row],[Reserva]]="","",IFERROR(VLOOKUP(MB25_VOLUMETRIA[[#This Row],[Reserva]],Tabela3[[Reserva]:[Condição para Faturamento]],20,FALSE),"IMPORTADO COM SUCESSO"))</f>
        <v>EM CONFERENCIA</v>
      </c>
      <c r="M665" s="32" t="str">
        <f ca="1">IFERROR(VLOOKUP(MB25_VOLUMETRIA[[#This Row],[Reserva]],RES_AB[],14,FALSE),"")</f>
        <v>RESERVAS EM ATRASO</v>
      </c>
      <c r="N665" s="32" t="str">
        <f>IF(MB25_VOLUMETRIA[[#This Row],[Cen.]]="","",IFERROR(VLOOKUP(MB25_VOLUMETRIA[[#This Row],[Cen.]],Dados_Empresas[],2,FALSE),"Verificar empresa"))</f>
        <v>NET MASSIVO</v>
      </c>
      <c r="O665" s="32" t="str">
        <f>IF(MB25_VOLUMETRIA[[#This Row],[EMPRESA]]="","",IF(OR(MB25_VOLUMETRIA[[#This Row],[EMPRESA]]="NET MASSIVO",MB25_VOLUMETRIA[[#This Row],[EMPRESA]]="NET PROJETOS"),"NET","EMPRESARIAL"))</f>
        <v>NET</v>
      </c>
    </row>
    <row r="666" spans="1:15" x14ac:dyDescent="0.25">
      <c r="A666" s="32">
        <v>4379718</v>
      </c>
      <c r="B666" s="32" t="s">
        <v>21</v>
      </c>
      <c r="C666" s="33" t="s">
        <v>19</v>
      </c>
      <c r="D666" s="35">
        <v>45446</v>
      </c>
      <c r="E666" s="32" t="s">
        <v>192</v>
      </c>
      <c r="F666" s="32">
        <v>41001047</v>
      </c>
      <c r="G666" s="32" t="s">
        <v>257</v>
      </c>
      <c r="H666" s="26" t="s">
        <v>38</v>
      </c>
      <c r="I666" s="36">
        <v>60</v>
      </c>
      <c r="J666" s="32">
        <f>IF(MB25_VOLUMETRIA[[#This Row],[Reserva]]="","",1)</f>
        <v>1</v>
      </c>
      <c r="K666" s="36" t="str">
        <f>IF(MB25_VOLUMETRIA[[#This Row],[Reserva]]="","",IFERROR(VLOOKUP(MB25_VOLUMETRIA[[#This Row],[UMB]],CHAVE[],2,FALSE),"VERIFICAR"))</f>
        <v>Unidade</v>
      </c>
      <c r="L666" s="32" t="str">
        <f>IF(MB25_VOLUMETRIA[[#This Row],[Reserva]]="","",IFERROR(VLOOKUP(MB25_VOLUMETRIA[[#This Row],[Reserva]],Tabela3[[Reserva]:[Condição para Faturamento]],20,FALSE),"IMPORTADO COM SUCESSO"))</f>
        <v>EM CONFERENCIA</v>
      </c>
      <c r="M666" s="32" t="str">
        <f ca="1">IFERROR(VLOOKUP(MB25_VOLUMETRIA[[#This Row],[Reserva]],RES_AB[],14,FALSE),"")</f>
        <v>RESERVAS EM ATRASO</v>
      </c>
      <c r="N666" s="32" t="str">
        <f>IF(MB25_VOLUMETRIA[[#This Row],[Cen.]]="","",IFERROR(VLOOKUP(MB25_VOLUMETRIA[[#This Row],[Cen.]],Dados_Empresas[],2,FALSE),"Verificar empresa"))</f>
        <v>NET MASSIVO</v>
      </c>
      <c r="O666" s="32" t="str">
        <f>IF(MB25_VOLUMETRIA[[#This Row],[EMPRESA]]="","",IF(OR(MB25_VOLUMETRIA[[#This Row],[EMPRESA]]="NET MASSIVO",MB25_VOLUMETRIA[[#This Row],[EMPRESA]]="NET PROJETOS"),"NET","EMPRESARIAL"))</f>
        <v>NET</v>
      </c>
    </row>
    <row r="667" spans="1:15" x14ac:dyDescent="0.25">
      <c r="A667" s="32">
        <v>4379718</v>
      </c>
      <c r="B667" s="32" t="s">
        <v>21</v>
      </c>
      <c r="C667" s="33" t="s">
        <v>19</v>
      </c>
      <c r="D667" s="35">
        <v>45446</v>
      </c>
      <c r="E667" s="32" t="s">
        <v>192</v>
      </c>
      <c r="F667" s="32">
        <v>41001486</v>
      </c>
      <c r="G667" s="32" t="s">
        <v>240</v>
      </c>
      <c r="H667" s="26" t="s">
        <v>38</v>
      </c>
      <c r="I667" s="36">
        <v>40</v>
      </c>
      <c r="J667" s="32">
        <f>IF(MB25_VOLUMETRIA[[#This Row],[Reserva]]="","",1)</f>
        <v>1</v>
      </c>
      <c r="K667" s="36" t="str">
        <f>IF(MB25_VOLUMETRIA[[#This Row],[Reserva]]="","",IFERROR(VLOOKUP(MB25_VOLUMETRIA[[#This Row],[UMB]],CHAVE[],2,FALSE),"VERIFICAR"))</f>
        <v>Unidade</v>
      </c>
      <c r="L667" s="32" t="str">
        <f>IF(MB25_VOLUMETRIA[[#This Row],[Reserva]]="","",IFERROR(VLOOKUP(MB25_VOLUMETRIA[[#This Row],[Reserva]],Tabela3[[Reserva]:[Condição para Faturamento]],20,FALSE),"IMPORTADO COM SUCESSO"))</f>
        <v>EM CONFERENCIA</v>
      </c>
      <c r="M667" s="32" t="str">
        <f ca="1">IFERROR(VLOOKUP(MB25_VOLUMETRIA[[#This Row],[Reserva]],RES_AB[],14,FALSE),"")</f>
        <v>RESERVAS EM ATRASO</v>
      </c>
      <c r="N667" s="32" t="str">
        <f>IF(MB25_VOLUMETRIA[[#This Row],[Cen.]]="","",IFERROR(VLOOKUP(MB25_VOLUMETRIA[[#This Row],[Cen.]],Dados_Empresas[],2,FALSE),"Verificar empresa"))</f>
        <v>NET MASSIVO</v>
      </c>
      <c r="O667" s="32" t="str">
        <f>IF(MB25_VOLUMETRIA[[#This Row],[EMPRESA]]="","",IF(OR(MB25_VOLUMETRIA[[#This Row],[EMPRESA]]="NET MASSIVO",MB25_VOLUMETRIA[[#This Row],[EMPRESA]]="NET PROJETOS"),"NET","EMPRESARIAL"))</f>
        <v>NET</v>
      </c>
    </row>
    <row r="668" spans="1:15" x14ac:dyDescent="0.25">
      <c r="A668" s="32">
        <v>4379718</v>
      </c>
      <c r="B668" s="32" t="s">
        <v>21</v>
      </c>
      <c r="C668" s="33" t="s">
        <v>21</v>
      </c>
      <c r="D668" s="35">
        <v>45446</v>
      </c>
      <c r="E668" s="32" t="s">
        <v>192</v>
      </c>
      <c r="F668" s="32">
        <v>41001590</v>
      </c>
      <c r="G668" s="32" t="s">
        <v>239</v>
      </c>
      <c r="H668" s="26" t="s">
        <v>38</v>
      </c>
      <c r="I668" s="36">
        <v>20</v>
      </c>
      <c r="J668" s="32">
        <f>IF(MB25_VOLUMETRIA[[#This Row],[Reserva]]="","",1)</f>
        <v>1</v>
      </c>
      <c r="K668" s="36" t="str">
        <f>IF(MB25_VOLUMETRIA[[#This Row],[Reserva]]="","",IFERROR(VLOOKUP(MB25_VOLUMETRIA[[#This Row],[UMB]],CHAVE[],2,FALSE),"VERIFICAR"))</f>
        <v>Unidade</v>
      </c>
      <c r="L668" s="32" t="str">
        <f>IF(MB25_VOLUMETRIA[[#This Row],[Reserva]]="","",IFERROR(VLOOKUP(MB25_VOLUMETRIA[[#This Row],[Reserva]],Tabela3[[Reserva]:[Condição para Faturamento]],20,FALSE),"IMPORTADO COM SUCESSO"))</f>
        <v>EM CONFERENCIA</v>
      </c>
      <c r="M668" s="32" t="str">
        <f ca="1">IFERROR(VLOOKUP(MB25_VOLUMETRIA[[#This Row],[Reserva]],RES_AB[],14,FALSE),"")</f>
        <v>RESERVAS EM ATRASO</v>
      </c>
      <c r="N668" s="32" t="str">
        <f>IF(MB25_VOLUMETRIA[[#This Row],[Cen.]]="","",IFERROR(VLOOKUP(MB25_VOLUMETRIA[[#This Row],[Cen.]],Dados_Empresas[],2,FALSE),"Verificar empresa"))</f>
        <v>NET MASSIVO</v>
      </c>
      <c r="O668" s="32" t="str">
        <f>IF(MB25_VOLUMETRIA[[#This Row],[EMPRESA]]="","",IF(OR(MB25_VOLUMETRIA[[#This Row],[EMPRESA]]="NET MASSIVO",MB25_VOLUMETRIA[[#This Row],[EMPRESA]]="NET PROJETOS"),"NET","EMPRESARIAL"))</f>
        <v>NET</v>
      </c>
    </row>
    <row r="669" spans="1:15" x14ac:dyDescent="0.25">
      <c r="A669" s="32">
        <v>4379723</v>
      </c>
      <c r="B669" s="32" t="s">
        <v>21</v>
      </c>
      <c r="C669" s="33" t="s">
        <v>19</v>
      </c>
      <c r="D669" s="35">
        <v>45446</v>
      </c>
      <c r="E669" s="32" t="s">
        <v>192</v>
      </c>
      <c r="F669" s="32">
        <v>41000805</v>
      </c>
      <c r="G669" s="32" t="s">
        <v>188</v>
      </c>
      <c r="H669" s="26" t="s">
        <v>38</v>
      </c>
      <c r="I669" s="36">
        <v>120</v>
      </c>
      <c r="J669" s="32">
        <f>IF(MB25_VOLUMETRIA[[#This Row],[Reserva]]="","",1)</f>
        <v>1</v>
      </c>
      <c r="K669" s="36" t="str">
        <f>IF(MB25_VOLUMETRIA[[#This Row],[Reserva]]="","",IFERROR(VLOOKUP(MB25_VOLUMETRIA[[#This Row],[UMB]],CHAVE[],2,FALSE),"VERIFICAR"))</f>
        <v>Unidade</v>
      </c>
      <c r="L66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69" s="32" t="str">
        <f ca="1">IFERROR(VLOOKUP(MB25_VOLUMETRIA[[#This Row],[Reserva]],RES_AB[],14,FALSE),"")</f>
        <v>RESERVAS EM ATRASO</v>
      </c>
      <c r="N669" s="32" t="str">
        <f>IF(MB25_VOLUMETRIA[[#This Row],[Cen.]]="","",IFERROR(VLOOKUP(MB25_VOLUMETRIA[[#This Row],[Cen.]],Dados_Empresas[],2,FALSE),"Verificar empresa"))</f>
        <v>NET MASSIVO</v>
      </c>
      <c r="O669" s="32" t="str">
        <f>IF(MB25_VOLUMETRIA[[#This Row],[EMPRESA]]="","",IF(OR(MB25_VOLUMETRIA[[#This Row],[EMPRESA]]="NET MASSIVO",MB25_VOLUMETRIA[[#This Row],[EMPRESA]]="NET PROJETOS"),"NET","EMPRESARIAL"))</f>
        <v>NET</v>
      </c>
    </row>
    <row r="670" spans="1:15" x14ac:dyDescent="0.25">
      <c r="A670" s="32">
        <v>4379723</v>
      </c>
      <c r="B670" s="32" t="s">
        <v>21</v>
      </c>
      <c r="C670" s="33" t="s">
        <v>19</v>
      </c>
      <c r="D670" s="35">
        <v>45446</v>
      </c>
      <c r="E670" s="32" t="s">
        <v>192</v>
      </c>
      <c r="F670" s="32">
        <v>41001047</v>
      </c>
      <c r="G670" s="32" t="s">
        <v>257</v>
      </c>
      <c r="H670" s="26" t="s">
        <v>38</v>
      </c>
      <c r="I670" s="36">
        <v>100</v>
      </c>
      <c r="J670" s="32">
        <f>IF(MB25_VOLUMETRIA[[#This Row],[Reserva]]="","",1)</f>
        <v>1</v>
      </c>
      <c r="K670" s="36" t="str">
        <f>IF(MB25_VOLUMETRIA[[#This Row],[Reserva]]="","",IFERROR(VLOOKUP(MB25_VOLUMETRIA[[#This Row],[UMB]],CHAVE[],2,FALSE),"VERIFICAR"))</f>
        <v>Unidade</v>
      </c>
      <c r="L67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0" s="32" t="str">
        <f ca="1">IFERROR(VLOOKUP(MB25_VOLUMETRIA[[#This Row],[Reserva]],RES_AB[],14,FALSE),"")</f>
        <v>RESERVAS EM ATRASO</v>
      </c>
      <c r="N670" s="32" t="str">
        <f>IF(MB25_VOLUMETRIA[[#This Row],[Cen.]]="","",IFERROR(VLOOKUP(MB25_VOLUMETRIA[[#This Row],[Cen.]],Dados_Empresas[],2,FALSE),"Verificar empresa"))</f>
        <v>NET MASSIVO</v>
      </c>
      <c r="O670" s="32" t="str">
        <f>IF(MB25_VOLUMETRIA[[#This Row],[EMPRESA]]="","",IF(OR(MB25_VOLUMETRIA[[#This Row],[EMPRESA]]="NET MASSIVO",MB25_VOLUMETRIA[[#This Row],[EMPRESA]]="NET PROJETOS"),"NET","EMPRESARIAL"))</f>
        <v>NET</v>
      </c>
    </row>
    <row r="671" spans="1:15" x14ac:dyDescent="0.25">
      <c r="A671" s="32">
        <v>4379723</v>
      </c>
      <c r="B671" s="32" t="s">
        <v>21</v>
      </c>
      <c r="C671" s="33" t="s">
        <v>19</v>
      </c>
      <c r="D671" s="35">
        <v>45446</v>
      </c>
      <c r="E671" s="32" t="s">
        <v>192</v>
      </c>
      <c r="F671" s="32">
        <v>41001294</v>
      </c>
      <c r="G671" s="32" t="s">
        <v>248</v>
      </c>
      <c r="H671" s="26" t="s">
        <v>38</v>
      </c>
      <c r="I671" s="36">
        <v>50</v>
      </c>
      <c r="J671" s="32">
        <f>IF(MB25_VOLUMETRIA[[#This Row],[Reserva]]="","",1)</f>
        <v>1</v>
      </c>
      <c r="K671" s="36" t="str">
        <f>IF(MB25_VOLUMETRIA[[#This Row],[Reserva]]="","",IFERROR(VLOOKUP(MB25_VOLUMETRIA[[#This Row],[UMB]],CHAVE[],2,FALSE),"VERIFICAR"))</f>
        <v>Unidade</v>
      </c>
      <c r="L67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1" s="32" t="str">
        <f ca="1">IFERROR(VLOOKUP(MB25_VOLUMETRIA[[#This Row],[Reserva]],RES_AB[],14,FALSE),"")</f>
        <v>RESERVAS EM ATRASO</v>
      </c>
      <c r="N671" s="32" t="str">
        <f>IF(MB25_VOLUMETRIA[[#This Row],[Cen.]]="","",IFERROR(VLOOKUP(MB25_VOLUMETRIA[[#This Row],[Cen.]],Dados_Empresas[],2,FALSE),"Verificar empresa"))</f>
        <v>NET MASSIVO</v>
      </c>
      <c r="O671" s="32" t="str">
        <f>IF(MB25_VOLUMETRIA[[#This Row],[EMPRESA]]="","",IF(OR(MB25_VOLUMETRIA[[#This Row],[EMPRESA]]="NET MASSIVO",MB25_VOLUMETRIA[[#This Row],[EMPRESA]]="NET PROJETOS"),"NET","EMPRESARIAL"))</f>
        <v>NET</v>
      </c>
    </row>
    <row r="672" spans="1:15" x14ac:dyDescent="0.25">
      <c r="A672" s="32">
        <v>4379723</v>
      </c>
      <c r="B672" s="32" t="s">
        <v>21</v>
      </c>
      <c r="C672" s="33" t="s">
        <v>19</v>
      </c>
      <c r="D672" s="35">
        <v>45446</v>
      </c>
      <c r="E672" s="32" t="s">
        <v>192</v>
      </c>
      <c r="F672" s="32">
        <v>41001484</v>
      </c>
      <c r="G672" s="32" t="s">
        <v>292</v>
      </c>
      <c r="H672" s="26" t="s">
        <v>38</v>
      </c>
      <c r="I672" s="36">
        <v>20</v>
      </c>
      <c r="J672" s="32">
        <f>IF(MB25_VOLUMETRIA[[#This Row],[Reserva]]="","",1)</f>
        <v>1</v>
      </c>
      <c r="K672" s="36" t="str">
        <f>IF(MB25_VOLUMETRIA[[#This Row],[Reserva]]="","",IFERROR(VLOOKUP(MB25_VOLUMETRIA[[#This Row],[UMB]],CHAVE[],2,FALSE),"VERIFICAR"))</f>
        <v>Unidade</v>
      </c>
      <c r="L67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2" s="32" t="str">
        <f ca="1">IFERROR(VLOOKUP(MB25_VOLUMETRIA[[#This Row],[Reserva]],RES_AB[],14,FALSE),"")</f>
        <v>RESERVAS EM ATRASO</v>
      </c>
      <c r="N672" s="32" t="str">
        <f>IF(MB25_VOLUMETRIA[[#This Row],[Cen.]]="","",IFERROR(VLOOKUP(MB25_VOLUMETRIA[[#This Row],[Cen.]],Dados_Empresas[],2,FALSE),"Verificar empresa"))</f>
        <v>NET MASSIVO</v>
      </c>
      <c r="O672" s="32" t="str">
        <f>IF(MB25_VOLUMETRIA[[#This Row],[EMPRESA]]="","",IF(OR(MB25_VOLUMETRIA[[#This Row],[EMPRESA]]="NET MASSIVO",MB25_VOLUMETRIA[[#This Row],[EMPRESA]]="NET PROJETOS"),"NET","EMPRESARIAL"))</f>
        <v>NET</v>
      </c>
    </row>
    <row r="673" spans="1:15" x14ac:dyDescent="0.25">
      <c r="A673" s="32">
        <v>4379723</v>
      </c>
      <c r="B673" s="32" t="s">
        <v>21</v>
      </c>
      <c r="C673" s="33" t="s">
        <v>19</v>
      </c>
      <c r="D673" s="35">
        <v>45446</v>
      </c>
      <c r="E673" s="32" t="s">
        <v>192</v>
      </c>
      <c r="F673" s="32">
        <v>41001486</v>
      </c>
      <c r="G673" s="32" t="s">
        <v>240</v>
      </c>
      <c r="H673" s="26" t="s">
        <v>38</v>
      </c>
      <c r="I673" s="36">
        <v>180</v>
      </c>
      <c r="J673" s="32">
        <f>IF(MB25_VOLUMETRIA[[#This Row],[Reserva]]="","",1)</f>
        <v>1</v>
      </c>
      <c r="K673" s="36" t="str">
        <f>IF(MB25_VOLUMETRIA[[#This Row],[Reserva]]="","",IFERROR(VLOOKUP(MB25_VOLUMETRIA[[#This Row],[UMB]],CHAVE[],2,FALSE),"VERIFICAR"))</f>
        <v>Unidade</v>
      </c>
      <c r="L67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3" s="32" t="str">
        <f ca="1">IFERROR(VLOOKUP(MB25_VOLUMETRIA[[#This Row],[Reserva]],RES_AB[],14,FALSE),"")</f>
        <v>RESERVAS EM ATRASO</v>
      </c>
      <c r="N673" s="32" t="str">
        <f>IF(MB25_VOLUMETRIA[[#This Row],[Cen.]]="","",IFERROR(VLOOKUP(MB25_VOLUMETRIA[[#This Row],[Cen.]],Dados_Empresas[],2,FALSE),"Verificar empresa"))</f>
        <v>NET MASSIVO</v>
      </c>
      <c r="O673" s="32" t="str">
        <f>IF(MB25_VOLUMETRIA[[#This Row],[EMPRESA]]="","",IF(OR(MB25_VOLUMETRIA[[#This Row],[EMPRESA]]="NET MASSIVO",MB25_VOLUMETRIA[[#This Row],[EMPRESA]]="NET PROJETOS"),"NET","EMPRESARIAL"))</f>
        <v>NET</v>
      </c>
    </row>
    <row r="674" spans="1:15" x14ac:dyDescent="0.25">
      <c r="A674" s="32">
        <v>4379728</v>
      </c>
      <c r="B674" s="32" t="s">
        <v>21</v>
      </c>
      <c r="C674" s="33" t="s">
        <v>19</v>
      </c>
      <c r="D674" s="35">
        <v>45446</v>
      </c>
      <c r="E674" s="32" t="s">
        <v>192</v>
      </c>
      <c r="F674" s="32">
        <v>41001486</v>
      </c>
      <c r="G674" s="32" t="s">
        <v>240</v>
      </c>
      <c r="H674" s="26" t="s">
        <v>38</v>
      </c>
      <c r="I674" s="36">
        <v>30</v>
      </c>
      <c r="J674" s="32">
        <f>IF(MB25_VOLUMETRIA[[#This Row],[Reserva]]="","",1)</f>
        <v>1</v>
      </c>
      <c r="K674" s="36" t="str">
        <f>IF(MB25_VOLUMETRIA[[#This Row],[Reserva]]="","",IFERROR(VLOOKUP(MB25_VOLUMETRIA[[#This Row],[UMB]],CHAVE[],2,FALSE),"VERIFICAR"))</f>
        <v>Unidade</v>
      </c>
      <c r="L674" s="32" t="str">
        <f>IF(MB25_VOLUMETRIA[[#This Row],[Reserva]]="","",IFERROR(VLOOKUP(MB25_VOLUMETRIA[[#This Row],[Reserva]],Tabela3[[Reserva]:[Condição para Faturamento]],20,FALSE),"IMPORTADO COM SUCESSO"))</f>
        <v>EM CONFERENCIA</v>
      </c>
      <c r="M674" s="32" t="str">
        <f ca="1">IFERROR(VLOOKUP(MB25_VOLUMETRIA[[#This Row],[Reserva]],RES_AB[],14,FALSE),"")</f>
        <v>RESERVAS EM ATRASO</v>
      </c>
      <c r="N674" s="32" t="str">
        <f>IF(MB25_VOLUMETRIA[[#This Row],[Cen.]]="","",IFERROR(VLOOKUP(MB25_VOLUMETRIA[[#This Row],[Cen.]],Dados_Empresas[],2,FALSE),"Verificar empresa"))</f>
        <v>NET MASSIVO</v>
      </c>
      <c r="O674" s="32" t="str">
        <f>IF(MB25_VOLUMETRIA[[#This Row],[EMPRESA]]="","",IF(OR(MB25_VOLUMETRIA[[#This Row],[EMPRESA]]="NET MASSIVO",MB25_VOLUMETRIA[[#This Row],[EMPRESA]]="NET PROJETOS"),"NET","EMPRESARIAL"))</f>
        <v>NET</v>
      </c>
    </row>
    <row r="675" spans="1:15" x14ac:dyDescent="0.25">
      <c r="A675" s="32">
        <v>4379728</v>
      </c>
      <c r="B675" s="32" t="s">
        <v>21</v>
      </c>
      <c r="C675" s="33" t="s">
        <v>182</v>
      </c>
      <c r="D675" s="35">
        <v>45446</v>
      </c>
      <c r="E675" s="32" t="s">
        <v>192</v>
      </c>
      <c r="F675" s="32">
        <v>41001528</v>
      </c>
      <c r="G675" s="32" t="s">
        <v>193</v>
      </c>
      <c r="H675" s="26" t="s">
        <v>38</v>
      </c>
      <c r="I675" s="36">
        <v>20</v>
      </c>
      <c r="J675" s="32">
        <f>IF(MB25_VOLUMETRIA[[#This Row],[Reserva]]="","",1)</f>
        <v>1</v>
      </c>
      <c r="K675" s="36" t="str">
        <f>IF(MB25_VOLUMETRIA[[#This Row],[Reserva]]="","",IFERROR(VLOOKUP(MB25_VOLUMETRIA[[#This Row],[UMB]],CHAVE[],2,FALSE),"VERIFICAR"))</f>
        <v>Unidade</v>
      </c>
      <c r="L675" s="32" t="str">
        <f>IF(MB25_VOLUMETRIA[[#This Row],[Reserva]]="","",IFERROR(VLOOKUP(MB25_VOLUMETRIA[[#This Row],[Reserva]],Tabela3[[Reserva]:[Condição para Faturamento]],20,FALSE),"IMPORTADO COM SUCESSO"))</f>
        <v>EM CONFERENCIA</v>
      </c>
      <c r="M675" s="32" t="str">
        <f ca="1">IFERROR(VLOOKUP(MB25_VOLUMETRIA[[#This Row],[Reserva]],RES_AB[],14,FALSE),"")</f>
        <v>RESERVAS EM ATRASO</v>
      </c>
      <c r="N675" s="32" t="str">
        <f>IF(MB25_VOLUMETRIA[[#This Row],[Cen.]]="","",IFERROR(VLOOKUP(MB25_VOLUMETRIA[[#This Row],[Cen.]],Dados_Empresas[],2,FALSE),"Verificar empresa"))</f>
        <v>NET MASSIVO</v>
      </c>
      <c r="O675" s="32" t="str">
        <f>IF(MB25_VOLUMETRIA[[#This Row],[EMPRESA]]="","",IF(OR(MB25_VOLUMETRIA[[#This Row],[EMPRESA]]="NET MASSIVO",MB25_VOLUMETRIA[[#This Row],[EMPRESA]]="NET PROJETOS"),"NET","EMPRESARIAL"))</f>
        <v>NET</v>
      </c>
    </row>
    <row r="676" spans="1:15" x14ac:dyDescent="0.25">
      <c r="A676" s="32">
        <v>4379729</v>
      </c>
      <c r="B676" s="32" t="s">
        <v>21</v>
      </c>
      <c r="C676" s="33" t="s">
        <v>19</v>
      </c>
      <c r="D676" s="35">
        <v>45446</v>
      </c>
      <c r="E676" s="32" t="s">
        <v>192</v>
      </c>
      <c r="F676" s="32">
        <v>41000805</v>
      </c>
      <c r="G676" s="32" t="s">
        <v>188</v>
      </c>
      <c r="H676" s="26" t="s">
        <v>38</v>
      </c>
      <c r="I676" s="36">
        <v>170</v>
      </c>
      <c r="J676" s="32">
        <f>IF(MB25_VOLUMETRIA[[#This Row],[Reserva]]="","",1)</f>
        <v>1</v>
      </c>
      <c r="K676" s="36" t="str">
        <f>IF(MB25_VOLUMETRIA[[#This Row],[Reserva]]="","",IFERROR(VLOOKUP(MB25_VOLUMETRIA[[#This Row],[UMB]],CHAVE[],2,FALSE),"VERIFICAR"))</f>
        <v>Unidade</v>
      </c>
      <c r="L676" s="32" t="str">
        <f>IF(MB25_VOLUMETRIA[[#This Row],[Reserva]]="","",IFERROR(VLOOKUP(MB25_VOLUMETRIA[[#This Row],[Reserva]],Tabela3[[Reserva]:[Condição para Faturamento]],20,FALSE),"IMPORTADO COM SUCESSO"))</f>
        <v>EM CONFERENCIA</v>
      </c>
      <c r="M676" s="32" t="str">
        <f ca="1">IFERROR(VLOOKUP(MB25_VOLUMETRIA[[#This Row],[Reserva]],RES_AB[],14,FALSE),"")</f>
        <v>RESERVAS EM ATRASO</v>
      </c>
      <c r="N676" s="32" t="str">
        <f>IF(MB25_VOLUMETRIA[[#This Row],[Cen.]]="","",IFERROR(VLOOKUP(MB25_VOLUMETRIA[[#This Row],[Cen.]],Dados_Empresas[],2,FALSE),"Verificar empresa"))</f>
        <v>NET MASSIVO</v>
      </c>
      <c r="O676" s="32" t="str">
        <f>IF(MB25_VOLUMETRIA[[#This Row],[EMPRESA]]="","",IF(OR(MB25_VOLUMETRIA[[#This Row],[EMPRESA]]="NET MASSIVO",MB25_VOLUMETRIA[[#This Row],[EMPRESA]]="NET PROJETOS"),"NET","EMPRESARIAL"))</f>
        <v>NET</v>
      </c>
    </row>
    <row r="677" spans="1:15" x14ac:dyDescent="0.25">
      <c r="A677" s="32">
        <v>4379729</v>
      </c>
      <c r="B677" s="32" t="s">
        <v>21</v>
      </c>
      <c r="C677" s="33" t="s">
        <v>19</v>
      </c>
      <c r="D677" s="35">
        <v>45446</v>
      </c>
      <c r="E677" s="32" t="s">
        <v>192</v>
      </c>
      <c r="F677" s="32">
        <v>41001047</v>
      </c>
      <c r="G677" s="32" t="s">
        <v>257</v>
      </c>
      <c r="H677" s="26" t="s">
        <v>38</v>
      </c>
      <c r="I677" s="36">
        <v>170</v>
      </c>
      <c r="J677" s="32">
        <f>IF(MB25_VOLUMETRIA[[#This Row],[Reserva]]="","",1)</f>
        <v>1</v>
      </c>
      <c r="K677" s="36" t="str">
        <f>IF(MB25_VOLUMETRIA[[#This Row],[Reserva]]="","",IFERROR(VLOOKUP(MB25_VOLUMETRIA[[#This Row],[UMB]],CHAVE[],2,FALSE),"VERIFICAR"))</f>
        <v>Unidade</v>
      </c>
      <c r="L677" s="32" t="str">
        <f>IF(MB25_VOLUMETRIA[[#This Row],[Reserva]]="","",IFERROR(VLOOKUP(MB25_VOLUMETRIA[[#This Row],[Reserva]],Tabela3[[Reserva]:[Condição para Faturamento]],20,FALSE),"IMPORTADO COM SUCESSO"))</f>
        <v>EM CONFERENCIA</v>
      </c>
      <c r="M677" s="32" t="str">
        <f ca="1">IFERROR(VLOOKUP(MB25_VOLUMETRIA[[#This Row],[Reserva]],RES_AB[],14,FALSE),"")</f>
        <v>RESERVAS EM ATRASO</v>
      </c>
      <c r="N677" s="32" t="str">
        <f>IF(MB25_VOLUMETRIA[[#This Row],[Cen.]]="","",IFERROR(VLOOKUP(MB25_VOLUMETRIA[[#This Row],[Cen.]],Dados_Empresas[],2,FALSE),"Verificar empresa"))</f>
        <v>NET MASSIVO</v>
      </c>
      <c r="O677" s="32" t="str">
        <f>IF(MB25_VOLUMETRIA[[#This Row],[EMPRESA]]="","",IF(OR(MB25_VOLUMETRIA[[#This Row],[EMPRESA]]="NET MASSIVO",MB25_VOLUMETRIA[[#This Row],[EMPRESA]]="NET PROJETOS"),"NET","EMPRESARIAL"))</f>
        <v>NET</v>
      </c>
    </row>
    <row r="678" spans="1:15" x14ac:dyDescent="0.25">
      <c r="A678" s="32">
        <v>4379729</v>
      </c>
      <c r="B678" s="32" t="s">
        <v>21</v>
      </c>
      <c r="C678" s="33" t="s">
        <v>19</v>
      </c>
      <c r="D678" s="35">
        <v>45446</v>
      </c>
      <c r="E678" s="32" t="s">
        <v>192</v>
      </c>
      <c r="F678" s="32">
        <v>41001486</v>
      </c>
      <c r="G678" s="32" t="s">
        <v>240</v>
      </c>
      <c r="H678" s="26" t="s">
        <v>38</v>
      </c>
      <c r="I678" s="36">
        <v>150</v>
      </c>
      <c r="J678" s="32">
        <f>IF(MB25_VOLUMETRIA[[#This Row],[Reserva]]="","",1)</f>
        <v>1</v>
      </c>
      <c r="K678" s="36" t="str">
        <f>IF(MB25_VOLUMETRIA[[#This Row],[Reserva]]="","",IFERROR(VLOOKUP(MB25_VOLUMETRIA[[#This Row],[UMB]],CHAVE[],2,FALSE),"VERIFICAR"))</f>
        <v>Unidade</v>
      </c>
      <c r="L678" s="32" t="str">
        <f>IF(MB25_VOLUMETRIA[[#This Row],[Reserva]]="","",IFERROR(VLOOKUP(MB25_VOLUMETRIA[[#This Row],[Reserva]],Tabela3[[Reserva]:[Condição para Faturamento]],20,FALSE),"IMPORTADO COM SUCESSO"))</f>
        <v>EM CONFERENCIA</v>
      </c>
      <c r="M678" s="32" t="str">
        <f ca="1">IFERROR(VLOOKUP(MB25_VOLUMETRIA[[#This Row],[Reserva]],RES_AB[],14,FALSE),"")</f>
        <v>RESERVAS EM ATRASO</v>
      </c>
      <c r="N678" s="32" t="str">
        <f>IF(MB25_VOLUMETRIA[[#This Row],[Cen.]]="","",IFERROR(VLOOKUP(MB25_VOLUMETRIA[[#This Row],[Cen.]],Dados_Empresas[],2,FALSE),"Verificar empresa"))</f>
        <v>NET MASSIVO</v>
      </c>
      <c r="O678" s="32" t="str">
        <f>IF(MB25_VOLUMETRIA[[#This Row],[EMPRESA]]="","",IF(OR(MB25_VOLUMETRIA[[#This Row],[EMPRESA]]="NET MASSIVO",MB25_VOLUMETRIA[[#This Row],[EMPRESA]]="NET PROJETOS"),"NET","EMPRESARIAL"))</f>
        <v>NET</v>
      </c>
    </row>
    <row r="679" spans="1:15" x14ac:dyDescent="0.25">
      <c r="A679" s="32">
        <v>4379733</v>
      </c>
      <c r="B679" s="32" t="s">
        <v>21</v>
      </c>
      <c r="C679" s="33" t="s">
        <v>19</v>
      </c>
      <c r="D679" s="35">
        <v>45446</v>
      </c>
      <c r="E679" s="32" t="s">
        <v>192</v>
      </c>
      <c r="F679" s="32">
        <v>41000805</v>
      </c>
      <c r="G679" s="32" t="s">
        <v>188</v>
      </c>
      <c r="H679" s="26" t="s">
        <v>38</v>
      </c>
      <c r="I679" s="36">
        <v>80</v>
      </c>
      <c r="J679" s="32">
        <f>IF(MB25_VOLUMETRIA[[#This Row],[Reserva]]="","",1)</f>
        <v>1</v>
      </c>
      <c r="K679" s="36" t="str">
        <f>IF(MB25_VOLUMETRIA[[#This Row],[Reserva]]="","",IFERROR(VLOOKUP(MB25_VOLUMETRIA[[#This Row],[UMB]],CHAVE[],2,FALSE),"VERIFICAR"))</f>
        <v>Unidade</v>
      </c>
      <c r="L67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79" s="32" t="str">
        <f ca="1">IFERROR(VLOOKUP(MB25_VOLUMETRIA[[#This Row],[Reserva]],RES_AB[],14,FALSE),"")</f>
        <v>RESERVAS EM ATRASO</v>
      </c>
      <c r="N679" s="32" t="str">
        <f>IF(MB25_VOLUMETRIA[[#This Row],[Cen.]]="","",IFERROR(VLOOKUP(MB25_VOLUMETRIA[[#This Row],[Cen.]],Dados_Empresas[],2,FALSE),"Verificar empresa"))</f>
        <v>NET MASSIVO</v>
      </c>
      <c r="O679" s="32" t="str">
        <f>IF(MB25_VOLUMETRIA[[#This Row],[EMPRESA]]="","",IF(OR(MB25_VOLUMETRIA[[#This Row],[EMPRESA]]="NET MASSIVO",MB25_VOLUMETRIA[[#This Row],[EMPRESA]]="NET PROJETOS"),"NET","EMPRESARIAL"))</f>
        <v>NET</v>
      </c>
    </row>
    <row r="680" spans="1:15" x14ac:dyDescent="0.25">
      <c r="A680" s="32">
        <v>4379733</v>
      </c>
      <c r="B680" s="32" t="s">
        <v>21</v>
      </c>
      <c r="C680" s="33" t="s">
        <v>19</v>
      </c>
      <c r="D680" s="35">
        <v>45446</v>
      </c>
      <c r="E680" s="32" t="s">
        <v>192</v>
      </c>
      <c r="F680" s="32">
        <v>41001047</v>
      </c>
      <c r="G680" s="32" t="s">
        <v>257</v>
      </c>
      <c r="H680" s="26" t="s">
        <v>38</v>
      </c>
      <c r="I680" s="36">
        <v>80</v>
      </c>
      <c r="J680" s="32">
        <f>IF(MB25_VOLUMETRIA[[#This Row],[Reserva]]="","",1)</f>
        <v>1</v>
      </c>
      <c r="K680" s="36" t="str">
        <f>IF(MB25_VOLUMETRIA[[#This Row],[Reserva]]="","",IFERROR(VLOOKUP(MB25_VOLUMETRIA[[#This Row],[UMB]],CHAVE[],2,FALSE),"VERIFICAR"))</f>
        <v>Unidade</v>
      </c>
      <c r="L6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0" s="32" t="str">
        <f ca="1">IFERROR(VLOOKUP(MB25_VOLUMETRIA[[#This Row],[Reserva]],RES_AB[],14,FALSE),"")</f>
        <v>RESERVAS EM ATRASO</v>
      </c>
      <c r="N680" s="32" t="str">
        <f>IF(MB25_VOLUMETRIA[[#This Row],[Cen.]]="","",IFERROR(VLOOKUP(MB25_VOLUMETRIA[[#This Row],[Cen.]],Dados_Empresas[],2,FALSE),"Verificar empresa"))</f>
        <v>NET MASSIVO</v>
      </c>
      <c r="O680" s="32" t="str">
        <f>IF(MB25_VOLUMETRIA[[#This Row],[EMPRESA]]="","",IF(OR(MB25_VOLUMETRIA[[#This Row],[EMPRESA]]="NET MASSIVO",MB25_VOLUMETRIA[[#This Row],[EMPRESA]]="NET PROJETOS"),"NET","EMPRESARIAL"))</f>
        <v>NET</v>
      </c>
    </row>
    <row r="681" spans="1:15" x14ac:dyDescent="0.25">
      <c r="A681" s="32">
        <v>4379733</v>
      </c>
      <c r="B681" s="32" t="s">
        <v>21</v>
      </c>
      <c r="C681" s="33" t="s">
        <v>21</v>
      </c>
      <c r="D681" s="35">
        <v>45446</v>
      </c>
      <c r="E681" s="32" t="s">
        <v>192</v>
      </c>
      <c r="F681" s="32">
        <v>41001169</v>
      </c>
      <c r="G681" s="32" t="s">
        <v>338</v>
      </c>
      <c r="H681" s="26" t="s">
        <v>38</v>
      </c>
      <c r="I681" s="36">
        <v>10</v>
      </c>
      <c r="J681" s="32">
        <f>IF(MB25_VOLUMETRIA[[#This Row],[Reserva]]="","",1)</f>
        <v>1</v>
      </c>
      <c r="K681" s="36" t="str">
        <f>IF(MB25_VOLUMETRIA[[#This Row],[Reserva]]="","",IFERROR(VLOOKUP(MB25_VOLUMETRIA[[#This Row],[UMB]],CHAVE[],2,FALSE),"VERIFICAR"))</f>
        <v>Unidade</v>
      </c>
      <c r="L68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1" s="32" t="str">
        <f ca="1">IFERROR(VLOOKUP(MB25_VOLUMETRIA[[#This Row],[Reserva]],RES_AB[],14,FALSE),"")</f>
        <v>RESERVAS EM ATRASO</v>
      </c>
      <c r="N681" s="32" t="str">
        <f>IF(MB25_VOLUMETRIA[[#This Row],[Cen.]]="","",IFERROR(VLOOKUP(MB25_VOLUMETRIA[[#This Row],[Cen.]],Dados_Empresas[],2,FALSE),"Verificar empresa"))</f>
        <v>NET MASSIVO</v>
      </c>
      <c r="O681" s="32" t="str">
        <f>IF(MB25_VOLUMETRIA[[#This Row],[EMPRESA]]="","",IF(OR(MB25_VOLUMETRIA[[#This Row],[EMPRESA]]="NET MASSIVO",MB25_VOLUMETRIA[[#This Row],[EMPRESA]]="NET PROJETOS"),"NET","EMPRESARIAL"))</f>
        <v>NET</v>
      </c>
    </row>
    <row r="682" spans="1:15" x14ac:dyDescent="0.25">
      <c r="A682" s="32">
        <v>4379733</v>
      </c>
      <c r="B682" s="32" t="s">
        <v>21</v>
      </c>
      <c r="C682" s="33" t="s">
        <v>19</v>
      </c>
      <c r="D682" s="35">
        <v>45446</v>
      </c>
      <c r="E682" s="32" t="s">
        <v>192</v>
      </c>
      <c r="F682" s="32">
        <v>41001486</v>
      </c>
      <c r="G682" s="32" t="s">
        <v>240</v>
      </c>
      <c r="H682" s="26" t="s">
        <v>38</v>
      </c>
      <c r="I682" s="36">
        <v>230</v>
      </c>
      <c r="J682" s="32">
        <f>IF(MB25_VOLUMETRIA[[#This Row],[Reserva]]="","",1)</f>
        <v>1</v>
      </c>
      <c r="K682" s="36" t="str">
        <f>IF(MB25_VOLUMETRIA[[#This Row],[Reserva]]="","",IFERROR(VLOOKUP(MB25_VOLUMETRIA[[#This Row],[UMB]],CHAVE[],2,FALSE),"VERIFICAR"))</f>
        <v>Unidade</v>
      </c>
      <c r="L68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82" s="32" t="str">
        <f ca="1">IFERROR(VLOOKUP(MB25_VOLUMETRIA[[#This Row],[Reserva]],RES_AB[],14,FALSE),"")</f>
        <v>RESERVAS EM ATRASO</v>
      </c>
      <c r="N682" s="32" t="str">
        <f>IF(MB25_VOLUMETRIA[[#This Row],[Cen.]]="","",IFERROR(VLOOKUP(MB25_VOLUMETRIA[[#This Row],[Cen.]],Dados_Empresas[],2,FALSE),"Verificar empresa"))</f>
        <v>NET MASSIVO</v>
      </c>
      <c r="O682" s="32" t="str">
        <f>IF(MB25_VOLUMETRIA[[#This Row],[EMPRESA]]="","",IF(OR(MB25_VOLUMETRIA[[#This Row],[EMPRESA]]="NET MASSIVO",MB25_VOLUMETRIA[[#This Row],[EMPRESA]]="NET PROJETOS"),"NET","EMPRESARIAL"))</f>
        <v>NET</v>
      </c>
    </row>
    <row r="683" spans="1:15" x14ac:dyDescent="0.25">
      <c r="A683" s="32">
        <v>4379753</v>
      </c>
      <c r="B683" s="32" t="s">
        <v>21</v>
      </c>
      <c r="C683" s="33" t="s">
        <v>19</v>
      </c>
      <c r="D683" s="35">
        <v>45447</v>
      </c>
      <c r="E683" s="32" t="s">
        <v>308</v>
      </c>
      <c r="F683" s="32">
        <v>22057438</v>
      </c>
      <c r="G683" s="32" t="s">
        <v>341</v>
      </c>
      <c r="H683" s="26" t="s">
        <v>38</v>
      </c>
      <c r="I683" s="36">
        <v>100</v>
      </c>
      <c r="J683" s="32">
        <f>IF(MB25_VOLUMETRIA[[#This Row],[Reserva]]="","",1)</f>
        <v>1</v>
      </c>
      <c r="K683" s="36" t="str">
        <f>IF(MB25_VOLUMETRIA[[#This Row],[Reserva]]="","",IFERROR(VLOOKUP(MB25_VOLUMETRIA[[#This Row],[UMB]],CHAVE[],2,FALSE),"VERIFICAR"))</f>
        <v>Unidade</v>
      </c>
      <c r="L683" s="32" t="str">
        <f>IF(MB25_VOLUMETRIA[[#This Row],[Reserva]]="","",IFERROR(VLOOKUP(MB25_VOLUMETRIA[[#This Row],[Reserva]],Tabela3[[Reserva]:[Condição para Faturamento]],20,FALSE),"IMPORTADO COM SUCESSO"))</f>
        <v>EM RESSUPRIMENTO</v>
      </c>
      <c r="M683" s="32" t="str">
        <f ca="1">IFERROR(VLOOKUP(MB25_VOLUMETRIA[[#This Row],[Reserva]],RES_AB[],14,FALSE),"")</f>
        <v>RESERVAS EM ATRASO</v>
      </c>
      <c r="N683" s="32" t="str">
        <f>IF(MB25_VOLUMETRIA[[#This Row],[Cen.]]="","",IFERROR(VLOOKUP(MB25_VOLUMETRIA[[#This Row],[Cen.]],Dados_Empresas[],2,FALSE),"Verificar empresa"))</f>
        <v>NET MASSIVO</v>
      </c>
      <c r="O683" s="32" t="str">
        <f>IF(MB25_VOLUMETRIA[[#This Row],[EMPRESA]]="","",IF(OR(MB25_VOLUMETRIA[[#This Row],[EMPRESA]]="NET MASSIVO",MB25_VOLUMETRIA[[#This Row],[EMPRESA]]="NET PROJETOS"),"NET","EMPRESARIAL"))</f>
        <v>NET</v>
      </c>
    </row>
    <row r="684" spans="1:15" x14ac:dyDescent="0.25">
      <c r="A684" s="32">
        <v>4379836</v>
      </c>
      <c r="B684" s="32" t="s">
        <v>21</v>
      </c>
      <c r="C684" s="33" t="s">
        <v>21</v>
      </c>
      <c r="D684" s="35">
        <v>45447</v>
      </c>
      <c r="E684" s="32">
        <v>201</v>
      </c>
      <c r="F684" s="32">
        <v>254651</v>
      </c>
      <c r="G684" s="32" t="s">
        <v>346</v>
      </c>
      <c r="H684" s="26" t="s">
        <v>38</v>
      </c>
      <c r="I684" s="36">
        <v>300</v>
      </c>
      <c r="J684" s="32">
        <f>IF(MB25_VOLUMETRIA[[#This Row],[Reserva]]="","",1)</f>
        <v>1</v>
      </c>
      <c r="K684" s="36" t="str">
        <f>IF(MB25_VOLUMETRIA[[#This Row],[Reserva]]="","",IFERROR(VLOOKUP(MB25_VOLUMETRIA[[#This Row],[UMB]],CHAVE[],2,FALSE),"VERIFICAR"))</f>
        <v>Unidade</v>
      </c>
      <c r="L684" s="32" t="str">
        <f>IF(MB25_VOLUMETRIA[[#This Row],[Reserva]]="","",IFERROR(VLOOKUP(MB25_VOLUMETRIA[[#This Row],[Reserva]],Tabela3[[Reserva]:[Condição para Faturamento]],20,FALSE),"IMPORTADO COM SUCESSO"))</f>
        <v>IMPORTADO</v>
      </c>
      <c r="M684" s="32" t="str">
        <f ca="1">IFERROR(VLOOKUP(MB25_VOLUMETRIA[[#This Row],[Reserva]],RES_AB[],14,FALSE),"")</f>
        <v>RESERVAS EM ATRASO</v>
      </c>
      <c r="N684" s="32" t="str">
        <f>IF(MB25_VOLUMETRIA[[#This Row],[Cen.]]="","",IFERROR(VLOOKUP(MB25_VOLUMETRIA[[#This Row],[Cen.]],Dados_Empresas[],2,FALSE),"Verificar empresa"))</f>
        <v>NET MASSIVO</v>
      </c>
      <c r="O684" s="32" t="str">
        <f>IF(MB25_VOLUMETRIA[[#This Row],[EMPRESA]]="","",IF(OR(MB25_VOLUMETRIA[[#This Row],[EMPRESA]]="NET MASSIVO",MB25_VOLUMETRIA[[#This Row],[EMPRESA]]="NET PROJETOS"),"NET","EMPRESARIAL"))</f>
        <v>NET</v>
      </c>
    </row>
    <row r="685" spans="1:15" x14ac:dyDescent="0.25">
      <c r="A685" s="32">
        <v>4379836</v>
      </c>
      <c r="B685" s="32" t="s">
        <v>21</v>
      </c>
      <c r="C685" s="33" t="s">
        <v>21</v>
      </c>
      <c r="D685" s="35">
        <v>45447</v>
      </c>
      <c r="E685" s="32">
        <v>201</v>
      </c>
      <c r="F685" s="32">
        <v>251879</v>
      </c>
      <c r="G685" s="32" t="s">
        <v>263</v>
      </c>
      <c r="H685" s="26" t="s">
        <v>38</v>
      </c>
      <c r="I685" s="36">
        <v>810</v>
      </c>
      <c r="J685" s="32">
        <f>IF(MB25_VOLUMETRIA[[#This Row],[Reserva]]="","",1)</f>
        <v>1</v>
      </c>
      <c r="K685" s="36" t="str">
        <f>IF(MB25_VOLUMETRIA[[#This Row],[Reserva]]="","",IFERROR(VLOOKUP(MB25_VOLUMETRIA[[#This Row],[UMB]],CHAVE[],2,FALSE),"VERIFICAR"))</f>
        <v>Unidade</v>
      </c>
      <c r="L685" s="32" t="str">
        <f>IF(MB25_VOLUMETRIA[[#This Row],[Reserva]]="","",IFERROR(VLOOKUP(MB25_VOLUMETRIA[[#This Row],[Reserva]],Tabela3[[Reserva]:[Condição para Faturamento]],20,FALSE),"IMPORTADO COM SUCESSO"))</f>
        <v>IMPORTADO</v>
      </c>
      <c r="M685" s="32" t="str">
        <f ca="1">IFERROR(VLOOKUP(MB25_VOLUMETRIA[[#This Row],[Reserva]],RES_AB[],14,FALSE),"")</f>
        <v>RESERVAS EM ATRASO</v>
      </c>
      <c r="N685" s="32" t="str">
        <f>IF(MB25_VOLUMETRIA[[#This Row],[Cen.]]="","",IFERROR(VLOOKUP(MB25_VOLUMETRIA[[#This Row],[Cen.]],Dados_Empresas[],2,FALSE),"Verificar empresa"))</f>
        <v>NET MASSIVO</v>
      </c>
      <c r="O685" s="32" t="str">
        <f>IF(MB25_VOLUMETRIA[[#This Row],[EMPRESA]]="","",IF(OR(MB25_VOLUMETRIA[[#This Row],[EMPRESA]]="NET MASSIVO",MB25_VOLUMETRIA[[#This Row],[EMPRESA]]="NET PROJETOS"),"NET","EMPRESARIAL"))</f>
        <v>NET</v>
      </c>
    </row>
    <row r="686" spans="1:15" x14ac:dyDescent="0.25">
      <c r="A686" s="32">
        <v>4380056</v>
      </c>
      <c r="B686" s="32" t="s">
        <v>21</v>
      </c>
      <c r="C686" s="33" t="s">
        <v>21</v>
      </c>
      <c r="D686" s="35">
        <v>45447</v>
      </c>
      <c r="E686" s="32">
        <v>201</v>
      </c>
      <c r="F686" s="32">
        <v>254379</v>
      </c>
      <c r="G686" s="32" t="s">
        <v>268</v>
      </c>
      <c r="H686" s="26" t="s">
        <v>38</v>
      </c>
      <c r="I686" s="36">
        <v>12</v>
      </c>
      <c r="J686" s="32">
        <f>IF(MB25_VOLUMETRIA[[#This Row],[Reserva]]="","",1)</f>
        <v>1</v>
      </c>
      <c r="K686" s="36" t="str">
        <f>IF(MB25_VOLUMETRIA[[#This Row],[Reserva]]="","",IFERROR(VLOOKUP(MB25_VOLUMETRIA[[#This Row],[UMB]],CHAVE[],2,FALSE),"VERIFICAR"))</f>
        <v>Unidade</v>
      </c>
      <c r="L686" s="32" t="str">
        <f>IF(MB25_VOLUMETRIA[[#This Row],[Reserva]]="","",IFERROR(VLOOKUP(MB25_VOLUMETRIA[[#This Row],[Reserva]],Tabela3[[Reserva]:[Condição para Faturamento]],20,FALSE),"IMPORTADO COM SUCESSO"))</f>
        <v>EM RESSUPRIMENTO</v>
      </c>
      <c r="M686" s="32" t="str">
        <f ca="1">IFERROR(VLOOKUP(MB25_VOLUMETRIA[[#This Row],[Reserva]],RES_AB[],14,FALSE),"")</f>
        <v>RESERVAS EM ATRASO</v>
      </c>
      <c r="N686" s="32" t="str">
        <f>IF(MB25_VOLUMETRIA[[#This Row],[Cen.]]="","",IFERROR(VLOOKUP(MB25_VOLUMETRIA[[#This Row],[Cen.]],Dados_Empresas[],2,FALSE),"Verificar empresa"))</f>
        <v>NET MASSIVO</v>
      </c>
      <c r="O686" s="32" t="str">
        <f>IF(MB25_VOLUMETRIA[[#This Row],[EMPRESA]]="","",IF(OR(MB25_VOLUMETRIA[[#This Row],[EMPRESA]]="NET MASSIVO",MB25_VOLUMETRIA[[#This Row],[EMPRESA]]="NET PROJETOS"),"NET","EMPRESARIAL"))</f>
        <v>NET</v>
      </c>
    </row>
    <row r="687" spans="1:15" x14ac:dyDescent="0.25">
      <c r="A687" s="32">
        <v>4380117</v>
      </c>
      <c r="B687" s="32" t="s">
        <v>21</v>
      </c>
      <c r="C687" s="33" t="s">
        <v>21</v>
      </c>
      <c r="D687" s="35">
        <v>45447</v>
      </c>
      <c r="E687" s="32">
        <v>221</v>
      </c>
      <c r="F687" s="32">
        <v>22059033</v>
      </c>
      <c r="G687" s="32" t="s">
        <v>269</v>
      </c>
      <c r="H687" s="26" t="s">
        <v>38</v>
      </c>
      <c r="I687" s="36">
        <v>39</v>
      </c>
      <c r="J687" s="32">
        <f>IF(MB25_VOLUMETRIA[[#This Row],[Reserva]]="","",1)</f>
        <v>1</v>
      </c>
      <c r="K687" s="36" t="str">
        <f>IF(MB25_VOLUMETRIA[[#This Row],[Reserva]]="","",IFERROR(VLOOKUP(MB25_VOLUMETRIA[[#This Row],[UMB]],CHAVE[],2,FALSE),"VERIFICAR"))</f>
        <v>Unidade</v>
      </c>
      <c r="L6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687" s="32" t="str">
        <f ca="1">IFERROR(VLOOKUP(MB25_VOLUMETRIA[[#This Row],[Reserva]],RES_AB[],14,FALSE),"")</f>
        <v>RESERVAS EM ATRASO</v>
      </c>
      <c r="N687" s="32" t="str">
        <f>IF(MB25_VOLUMETRIA[[#This Row],[Cen.]]="","",IFERROR(VLOOKUP(MB25_VOLUMETRIA[[#This Row],[Cen.]],Dados_Empresas[],2,FALSE),"Verificar empresa"))</f>
        <v>NET MASSIVO</v>
      </c>
      <c r="O687" s="32" t="str">
        <f>IF(MB25_VOLUMETRIA[[#This Row],[EMPRESA]]="","",IF(OR(MB25_VOLUMETRIA[[#This Row],[EMPRESA]]="NET MASSIVO",MB25_VOLUMETRIA[[#This Row],[EMPRESA]]="NET PROJETOS"),"NET","EMPRESARIAL"))</f>
        <v>NET</v>
      </c>
    </row>
    <row r="688" spans="1:15" x14ac:dyDescent="0.25">
      <c r="A688" s="32">
        <v>4380372</v>
      </c>
      <c r="B688" s="32" t="s">
        <v>21</v>
      </c>
      <c r="C688" s="33" t="s">
        <v>21</v>
      </c>
      <c r="D688" s="35">
        <v>45447</v>
      </c>
      <c r="E688" s="32">
        <v>201</v>
      </c>
      <c r="F688" s="32">
        <v>254513</v>
      </c>
      <c r="G688" s="32" t="s">
        <v>349</v>
      </c>
      <c r="H688" s="26" t="s">
        <v>38</v>
      </c>
      <c r="I688" s="36">
        <v>2</v>
      </c>
      <c r="J688" s="32">
        <f>IF(MB25_VOLUMETRIA[[#This Row],[Reserva]]="","",1)</f>
        <v>1</v>
      </c>
      <c r="K688" s="36" t="str">
        <f>IF(MB25_VOLUMETRIA[[#This Row],[Reserva]]="","",IFERROR(VLOOKUP(MB25_VOLUMETRIA[[#This Row],[UMB]],CHAVE[],2,FALSE),"VERIFICAR"))</f>
        <v>Unidade</v>
      </c>
      <c r="L688" s="32" t="str">
        <f>IF(MB25_VOLUMETRIA[[#This Row],[Reserva]]="","",IFERROR(VLOOKUP(MB25_VOLUMETRIA[[#This Row],[Reserva]],Tabela3[[Reserva]:[Condição para Faturamento]],20,FALSE),"IMPORTADO COM SUCESSO"))</f>
        <v>EM RESSUPRIMENTO</v>
      </c>
      <c r="M688" s="32" t="str">
        <f ca="1">IFERROR(VLOOKUP(MB25_VOLUMETRIA[[#This Row],[Reserva]],RES_AB[],14,FALSE),"")</f>
        <v>RESERVAS EM ATRASO</v>
      </c>
      <c r="N688" s="32" t="str">
        <f>IF(MB25_VOLUMETRIA[[#This Row],[Cen.]]="","",IFERROR(VLOOKUP(MB25_VOLUMETRIA[[#This Row],[Cen.]],Dados_Empresas[],2,FALSE),"Verificar empresa"))</f>
        <v>NET MASSIVO</v>
      </c>
      <c r="O688" s="32" t="str">
        <f>IF(MB25_VOLUMETRIA[[#This Row],[EMPRESA]]="","",IF(OR(MB25_VOLUMETRIA[[#This Row],[EMPRESA]]="NET MASSIVO",MB25_VOLUMETRIA[[#This Row],[EMPRESA]]="NET PROJETOS"),"NET","EMPRESARIAL"))</f>
        <v>NET</v>
      </c>
    </row>
    <row r="689" spans="1:15" x14ac:dyDescent="0.25">
      <c r="A689" s="32">
        <v>4380495</v>
      </c>
      <c r="B689" s="32" t="s">
        <v>21</v>
      </c>
      <c r="C689" s="33" t="s">
        <v>21</v>
      </c>
      <c r="D689" s="35">
        <v>45447</v>
      </c>
      <c r="E689" s="32">
        <v>201</v>
      </c>
      <c r="F689" s="32">
        <v>251887</v>
      </c>
      <c r="G689" s="32" t="s">
        <v>316</v>
      </c>
      <c r="H689" s="26" t="s">
        <v>38</v>
      </c>
      <c r="I689" s="36">
        <v>4</v>
      </c>
      <c r="J689" s="32">
        <f>IF(MB25_VOLUMETRIA[[#This Row],[Reserva]]="","",1)</f>
        <v>1</v>
      </c>
      <c r="K689" s="36" t="str">
        <f>IF(MB25_VOLUMETRIA[[#This Row],[Reserva]]="","",IFERROR(VLOOKUP(MB25_VOLUMETRIA[[#This Row],[UMB]],CHAVE[],2,FALSE),"VERIFICAR"))</f>
        <v>Unidade</v>
      </c>
      <c r="L689" s="32" t="str">
        <f>IF(MB25_VOLUMETRIA[[#This Row],[Reserva]]="","",IFERROR(VLOOKUP(MB25_VOLUMETRIA[[#This Row],[Reserva]],Tabela3[[Reserva]:[Condição para Faturamento]],20,FALSE),"IMPORTADO COM SUCESSO"))</f>
        <v>EM RESSUPRIMENTO</v>
      </c>
      <c r="M689" s="32" t="str">
        <f ca="1">IFERROR(VLOOKUP(MB25_VOLUMETRIA[[#This Row],[Reserva]],RES_AB[],14,FALSE),"")</f>
        <v>RESERVAS EM ATRASO</v>
      </c>
      <c r="N689" s="32" t="str">
        <f>IF(MB25_VOLUMETRIA[[#This Row],[Cen.]]="","",IFERROR(VLOOKUP(MB25_VOLUMETRIA[[#This Row],[Cen.]],Dados_Empresas[],2,FALSE),"Verificar empresa"))</f>
        <v>NET MASSIVO</v>
      </c>
      <c r="O689" s="32" t="str">
        <f>IF(MB25_VOLUMETRIA[[#This Row],[EMPRESA]]="","",IF(OR(MB25_VOLUMETRIA[[#This Row],[EMPRESA]]="NET MASSIVO",MB25_VOLUMETRIA[[#This Row],[EMPRESA]]="NET PROJETOS"),"NET","EMPRESARIAL"))</f>
        <v>NET</v>
      </c>
    </row>
    <row r="690" spans="1:15" x14ac:dyDescent="0.25">
      <c r="A690" s="32">
        <v>4380495</v>
      </c>
      <c r="B690" s="32" t="s">
        <v>21</v>
      </c>
      <c r="C690" s="33" t="s">
        <v>21</v>
      </c>
      <c r="D690" s="35">
        <v>45447</v>
      </c>
      <c r="E690" s="32">
        <v>201</v>
      </c>
      <c r="F690" s="32">
        <v>254651</v>
      </c>
      <c r="G690" s="32" t="s">
        <v>346</v>
      </c>
      <c r="H690" s="26" t="s">
        <v>38</v>
      </c>
      <c r="I690" s="36">
        <v>50</v>
      </c>
      <c r="J690" s="32">
        <f>IF(MB25_VOLUMETRIA[[#This Row],[Reserva]]="","",1)</f>
        <v>1</v>
      </c>
      <c r="K690" s="36" t="str">
        <f>IF(MB25_VOLUMETRIA[[#This Row],[Reserva]]="","",IFERROR(VLOOKUP(MB25_VOLUMETRIA[[#This Row],[UMB]],CHAVE[],2,FALSE),"VERIFICAR"))</f>
        <v>Unidade</v>
      </c>
      <c r="L690" s="32" t="str">
        <f>IF(MB25_VOLUMETRIA[[#This Row],[Reserva]]="","",IFERROR(VLOOKUP(MB25_VOLUMETRIA[[#This Row],[Reserva]],Tabela3[[Reserva]:[Condição para Faturamento]],20,FALSE),"IMPORTADO COM SUCESSO"))</f>
        <v>EM RESSUPRIMENTO</v>
      </c>
      <c r="M690" s="32" t="str">
        <f ca="1">IFERROR(VLOOKUP(MB25_VOLUMETRIA[[#This Row],[Reserva]],RES_AB[],14,FALSE),"")</f>
        <v>RESERVAS EM ATRASO</v>
      </c>
      <c r="N690" s="32" t="str">
        <f>IF(MB25_VOLUMETRIA[[#This Row],[Cen.]]="","",IFERROR(VLOOKUP(MB25_VOLUMETRIA[[#This Row],[Cen.]],Dados_Empresas[],2,FALSE),"Verificar empresa"))</f>
        <v>NET MASSIVO</v>
      </c>
      <c r="O690" s="32" t="str">
        <f>IF(MB25_VOLUMETRIA[[#This Row],[EMPRESA]]="","",IF(OR(MB25_VOLUMETRIA[[#This Row],[EMPRESA]]="NET MASSIVO",MB25_VOLUMETRIA[[#This Row],[EMPRESA]]="NET PROJETOS"),"NET","EMPRESARIAL"))</f>
        <v>NET</v>
      </c>
    </row>
    <row r="691" spans="1:15" x14ac:dyDescent="0.25">
      <c r="A691" s="32">
        <v>4380495</v>
      </c>
      <c r="B691" s="32" t="s">
        <v>21</v>
      </c>
      <c r="C691" s="33" t="s">
        <v>21</v>
      </c>
      <c r="D691" s="35">
        <v>45447</v>
      </c>
      <c r="E691" s="32">
        <v>201</v>
      </c>
      <c r="F691" s="32">
        <v>251879</v>
      </c>
      <c r="G691" s="32" t="s">
        <v>263</v>
      </c>
      <c r="H691" s="26" t="s">
        <v>38</v>
      </c>
      <c r="I691" s="36">
        <v>500</v>
      </c>
      <c r="J691" s="32">
        <f>IF(MB25_VOLUMETRIA[[#This Row],[Reserva]]="","",1)</f>
        <v>1</v>
      </c>
      <c r="K691" s="36" t="str">
        <f>IF(MB25_VOLUMETRIA[[#This Row],[Reserva]]="","",IFERROR(VLOOKUP(MB25_VOLUMETRIA[[#This Row],[UMB]],CHAVE[],2,FALSE),"VERIFICAR"))</f>
        <v>Unidade</v>
      </c>
      <c r="L691" s="32" t="str">
        <f>IF(MB25_VOLUMETRIA[[#This Row],[Reserva]]="","",IFERROR(VLOOKUP(MB25_VOLUMETRIA[[#This Row],[Reserva]],Tabela3[[Reserva]:[Condição para Faturamento]],20,FALSE),"IMPORTADO COM SUCESSO"))</f>
        <v>EM RESSUPRIMENTO</v>
      </c>
      <c r="M691" s="32" t="str">
        <f ca="1">IFERROR(VLOOKUP(MB25_VOLUMETRIA[[#This Row],[Reserva]],RES_AB[],14,FALSE),"")</f>
        <v>RESERVAS EM ATRASO</v>
      </c>
      <c r="N691" s="32" t="str">
        <f>IF(MB25_VOLUMETRIA[[#This Row],[Cen.]]="","",IFERROR(VLOOKUP(MB25_VOLUMETRIA[[#This Row],[Cen.]],Dados_Empresas[],2,FALSE),"Verificar empresa"))</f>
        <v>NET MASSIVO</v>
      </c>
      <c r="O691" s="32" t="str">
        <f>IF(MB25_VOLUMETRIA[[#This Row],[EMPRESA]]="","",IF(OR(MB25_VOLUMETRIA[[#This Row],[EMPRESA]]="NET MASSIVO",MB25_VOLUMETRIA[[#This Row],[EMPRESA]]="NET PROJETOS"),"NET","EMPRESARIAL"))</f>
        <v>NET</v>
      </c>
    </row>
    <row r="692" spans="1:15" x14ac:dyDescent="0.25">
      <c r="A692" s="32">
        <v>4380563</v>
      </c>
      <c r="B692" s="32" t="s">
        <v>21</v>
      </c>
      <c r="C692" s="33" t="s">
        <v>182</v>
      </c>
      <c r="D692" s="35">
        <v>45447</v>
      </c>
      <c r="E692" s="32" t="s">
        <v>184</v>
      </c>
      <c r="F692" s="32">
        <v>41001530</v>
      </c>
      <c r="G692" s="32" t="s">
        <v>319</v>
      </c>
      <c r="H692" s="26" t="s">
        <v>38</v>
      </c>
      <c r="I692" s="36">
        <v>100</v>
      </c>
      <c r="J692" s="32">
        <f>IF(MB25_VOLUMETRIA[[#This Row],[Reserva]]="","",1)</f>
        <v>1</v>
      </c>
      <c r="K692" s="36" t="str">
        <f>IF(MB25_VOLUMETRIA[[#This Row],[Reserva]]="","",IFERROR(VLOOKUP(MB25_VOLUMETRIA[[#This Row],[UMB]],CHAVE[],2,FALSE),"VERIFICAR"))</f>
        <v>Unidade</v>
      </c>
      <c r="L692" s="32" t="str">
        <f>IF(MB25_VOLUMETRIA[[#This Row],[Reserva]]="","",IFERROR(VLOOKUP(MB25_VOLUMETRIA[[#This Row],[Reserva]],Tabela3[[Reserva]:[Condição para Faturamento]],20,FALSE),"IMPORTADO COM SUCESSO"))</f>
        <v>IMPORTADO</v>
      </c>
      <c r="M692" s="32" t="str">
        <f ca="1">IFERROR(VLOOKUP(MB25_VOLUMETRIA[[#This Row],[Reserva]],RES_AB[],14,FALSE),"")</f>
        <v>RESERVAS EM ATRASO</v>
      </c>
      <c r="N692" s="32" t="str">
        <f>IF(MB25_VOLUMETRIA[[#This Row],[Cen.]]="","",IFERROR(VLOOKUP(MB25_VOLUMETRIA[[#This Row],[Cen.]],Dados_Empresas[],2,FALSE),"Verificar empresa"))</f>
        <v>NET MASSIVO</v>
      </c>
      <c r="O692" s="32" t="str">
        <f>IF(MB25_VOLUMETRIA[[#This Row],[EMPRESA]]="","",IF(OR(MB25_VOLUMETRIA[[#This Row],[EMPRESA]]="NET MASSIVO",MB25_VOLUMETRIA[[#This Row],[EMPRESA]]="NET PROJETOS"),"NET","EMPRESARIAL"))</f>
        <v>NET</v>
      </c>
    </row>
    <row r="693" spans="1:15" x14ac:dyDescent="0.25">
      <c r="A693" s="32">
        <v>4380564</v>
      </c>
      <c r="B693" s="32" t="s">
        <v>21</v>
      </c>
      <c r="C693" s="33" t="s">
        <v>182</v>
      </c>
      <c r="D693" s="35">
        <v>45447</v>
      </c>
      <c r="E693" s="32" t="s">
        <v>184</v>
      </c>
      <c r="F693" s="32">
        <v>41001530</v>
      </c>
      <c r="G693" s="32" t="s">
        <v>319</v>
      </c>
      <c r="H693" s="26" t="s">
        <v>38</v>
      </c>
      <c r="I693" s="36">
        <v>120</v>
      </c>
      <c r="J693" s="32">
        <f>IF(MB25_VOLUMETRIA[[#This Row],[Reserva]]="","",1)</f>
        <v>1</v>
      </c>
      <c r="K693" s="36" t="str">
        <f>IF(MB25_VOLUMETRIA[[#This Row],[Reserva]]="","",IFERROR(VLOOKUP(MB25_VOLUMETRIA[[#This Row],[UMB]],CHAVE[],2,FALSE),"VERIFICAR"))</f>
        <v>Unidade</v>
      </c>
      <c r="L69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693" s="32" t="str">
        <f ca="1">IFERROR(VLOOKUP(MB25_VOLUMETRIA[[#This Row],[Reserva]],RES_AB[],14,FALSE),"")</f>
        <v>RESERVAS EM ATRASO</v>
      </c>
      <c r="N693" s="32" t="str">
        <f>IF(MB25_VOLUMETRIA[[#This Row],[Cen.]]="","",IFERROR(VLOOKUP(MB25_VOLUMETRIA[[#This Row],[Cen.]],Dados_Empresas[],2,FALSE),"Verificar empresa"))</f>
        <v>NET MASSIVO</v>
      </c>
      <c r="O693" s="32" t="str">
        <f>IF(MB25_VOLUMETRIA[[#This Row],[EMPRESA]]="","",IF(OR(MB25_VOLUMETRIA[[#This Row],[EMPRESA]]="NET MASSIVO",MB25_VOLUMETRIA[[#This Row],[EMPRESA]]="NET PROJETOS"),"NET","EMPRESARIAL"))</f>
        <v>NET</v>
      </c>
    </row>
    <row r="694" spans="1:15" x14ac:dyDescent="0.25">
      <c r="A694" s="32">
        <v>4380769</v>
      </c>
      <c r="B694" s="32" t="s">
        <v>21</v>
      </c>
      <c r="C694" s="33" t="s">
        <v>21</v>
      </c>
      <c r="D694" s="35">
        <v>45447</v>
      </c>
      <c r="E694" s="32" t="s">
        <v>185</v>
      </c>
      <c r="F694" s="32">
        <v>22026219</v>
      </c>
      <c r="G694" s="32" t="s">
        <v>221</v>
      </c>
      <c r="H694" s="26" t="s">
        <v>38</v>
      </c>
      <c r="I694" s="36">
        <v>3400</v>
      </c>
      <c r="J694" s="32">
        <f>IF(MB25_VOLUMETRIA[[#This Row],[Reserva]]="","",1)</f>
        <v>1</v>
      </c>
      <c r="K694" s="36" t="str">
        <f>IF(MB25_VOLUMETRIA[[#This Row],[Reserva]]="","",IFERROR(VLOOKUP(MB25_VOLUMETRIA[[#This Row],[UMB]],CHAVE[],2,FALSE),"VERIFICAR"))</f>
        <v>Unidade</v>
      </c>
      <c r="L694" s="32" t="str">
        <f>IF(MB25_VOLUMETRIA[[#This Row],[Reserva]]="","",IFERROR(VLOOKUP(MB25_VOLUMETRIA[[#This Row],[Reserva]],Tabela3[[Reserva]:[Condição para Faturamento]],20,FALSE),"IMPORTADO COM SUCESSO"))</f>
        <v>EM RESSUPRIMENTO</v>
      </c>
      <c r="M694" s="32" t="str">
        <f ca="1">IFERROR(VLOOKUP(MB25_VOLUMETRIA[[#This Row],[Reserva]],RES_AB[],14,FALSE),"")</f>
        <v>RESERVAS EM ATRASO</v>
      </c>
      <c r="N694" s="32" t="str">
        <f>IF(MB25_VOLUMETRIA[[#This Row],[Cen.]]="","",IFERROR(VLOOKUP(MB25_VOLUMETRIA[[#This Row],[Cen.]],Dados_Empresas[],2,FALSE),"Verificar empresa"))</f>
        <v>NET MASSIVO</v>
      </c>
      <c r="O694" s="32" t="str">
        <f>IF(MB25_VOLUMETRIA[[#This Row],[EMPRESA]]="","",IF(OR(MB25_VOLUMETRIA[[#This Row],[EMPRESA]]="NET MASSIVO",MB25_VOLUMETRIA[[#This Row],[EMPRESA]]="NET PROJETOS"),"NET","EMPRESARIAL"))</f>
        <v>NET</v>
      </c>
    </row>
    <row r="695" spans="1:15" x14ac:dyDescent="0.25">
      <c r="A695" s="32">
        <v>4380769</v>
      </c>
      <c r="B695" s="32" t="s">
        <v>21</v>
      </c>
      <c r="C695" s="33" t="s">
        <v>19</v>
      </c>
      <c r="D695" s="35">
        <v>45447</v>
      </c>
      <c r="E695" s="32" t="s">
        <v>185</v>
      </c>
      <c r="F695" s="32">
        <v>22026279</v>
      </c>
      <c r="G695" s="32" t="s">
        <v>350</v>
      </c>
      <c r="H695" s="26" t="s">
        <v>38</v>
      </c>
      <c r="I695" s="36">
        <v>90</v>
      </c>
      <c r="J695" s="32">
        <f>IF(MB25_VOLUMETRIA[[#This Row],[Reserva]]="","",1)</f>
        <v>1</v>
      </c>
      <c r="K695" s="36" t="str">
        <f>IF(MB25_VOLUMETRIA[[#This Row],[Reserva]]="","",IFERROR(VLOOKUP(MB25_VOLUMETRIA[[#This Row],[UMB]],CHAVE[],2,FALSE),"VERIFICAR"))</f>
        <v>Unidade</v>
      </c>
      <c r="L695" s="32" t="str">
        <f>IF(MB25_VOLUMETRIA[[#This Row],[Reserva]]="","",IFERROR(VLOOKUP(MB25_VOLUMETRIA[[#This Row],[Reserva]],Tabela3[[Reserva]:[Condição para Faturamento]],20,FALSE),"IMPORTADO COM SUCESSO"))</f>
        <v>EM RESSUPRIMENTO</v>
      </c>
      <c r="M695" s="32" t="str">
        <f ca="1">IFERROR(VLOOKUP(MB25_VOLUMETRIA[[#This Row],[Reserva]],RES_AB[],14,FALSE),"")</f>
        <v>RESERVAS EM ATRASO</v>
      </c>
      <c r="N695" s="32" t="str">
        <f>IF(MB25_VOLUMETRIA[[#This Row],[Cen.]]="","",IFERROR(VLOOKUP(MB25_VOLUMETRIA[[#This Row],[Cen.]],Dados_Empresas[],2,FALSE),"Verificar empresa"))</f>
        <v>NET MASSIVO</v>
      </c>
      <c r="O695" s="32" t="str">
        <f>IF(MB25_VOLUMETRIA[[#This Row],[EMPRESA]]="","",IF(OR(MB25_VOLUMETRIA[[#This Row],[EMPRESA]]="NET MASSIVO",MB25_VOLUMETRIA[[#This Row],[EMPRESA]]="NET PROJETOS"),"NET","EMPRESARIAL"))</f>
        <v>NET</v>
      </c>
    </row>
    <row r="696" spans="1:15" x14ac:dyDescent="0.25">
      <c r="A696" s="32">
        <v>4380769</v>
      </c>
      <c r="B696" s="32" t="s">
        <v>21</v>
      </c>
      <c r="C696" s="33" t="s">
        <v>21</v>
      </c>
      <c r="D696" s="35">
        <v>45447</v>
      </c>
      <c r="E696" s="32" t="s">
        <v>185</v>
      </c>
      <c r="F696" s="32">
        <v>22026746</v>
      </c>
      <c r="G696" s="32" t="s">
        <v>205</v>
      </c>
      <c r="H696" s="26" t="s">
        <v>38</v>
      </c>
      <c r="I696" s="36">
        <v>50</v>
      </c>
      <c r="J696" s="32">
        <f>IF(MB25_VOLUMETRIA[[#This Row],[Reserva]]="","",1)</f>
        <v>1</v>
      </c>
      <c r="K696" s="36" t="str">
        <f>IF(MB25_VOLUMETRIA[[#This Row],[Reserva]]="","",IFERROR(VLOOKUP(MB25_VOLUMETRIA[[#This Row],[UMB]],CHAVE[],2,FALSE),"VERIFICAR"))</f>
        <v>Unidade</v>
      </c>
      <c r="L696" s="32" t="str">
        <f>IF(MB25_VOLUMETRIA[[#This Row],[Reserva]]="","",IFERROR(VLOOKUP(MB25_VOLUMETRIA[[#This Row],[Reserva]],Tabela3[[Reserva]:[Condição para Faturamento]],20,FALSE),"IMPORTADO COM SUCESSO"))</f>
        <v>EM RESSUPRIMENTO</v>
      </c>
      <c r="M696" s="32" t="str">
        <f ca="1">IFERROR(VLOOKUP(MB25_VOLUMETRIA[[#This Row],[Reserva]],RES_AB[],14,FALSE),"")</f>
        <v>RESERVAS EM ATRASO</v>
      </c>
      <c r="N696" s="32" t="str">
        <f>IF(MB25_VOLUMETRIA[[#This Row],[Cen.]]="","",IFERROR(VLOOKUP(MB25_VOLUMETRIA[[#This Row],[Cen.]],Dados_Empresas[],2,FALSE),"Verificar empresa"))</f>
        <v>NET MASSIVO</v>
      </c>
      <c r="O696" s="32" t="str">
        <f>IF(MB25_VOLUMETRIA[[#This Row],[EMPRESA]]="","",IF(OR(MB25_VOLUMETRIA[[#This Row],[EMPRESA]]="NET MASSIVO",MB25_VOLUMETRIA[[#This Row],[EMPRESA]]="NET PROJETOS"),"NET","EMPRESARIAL"))</f>
        <v>NET</v>
      </c>
    </row>
    <row r="697" spans="1:15" x14ac:dyDescent="0.25">
      <c r="A697" s="32">
        <v>4380769</v>
      </c>
      <c r="B697" s="32" t="s">
        <v>21</v>
      </c>
      <c r="C697" s="33" t="s">
        <v>21</v>
      </c>
      <c r="D697" s="35">
        <v>45447</v>
      </c>
      <c r="E697" s="32" t="s">
        <v>185</v>
      </c>
      <c r="F697" s="32">
        <v>22056331</v>
      </c>
      <c r="G697" s="32" t="s">
        <v>209</v>
      </c>
      <c r="H697" s="26" t="s">
        <v>38</v>
      </c>
      <c r="I697" s="36">
        <v>200</v>
      </c>
      <c r="J697" s="32">
        <f>IF(MB25_VOLUMETRIA[[#This Row],[Reserva]]="","",1)</f>
        <v>1</v>
      </c>
      <c r="K697" s="36" t="str">
        <f>IF(MB25_VOLUMETRIA[[#This Row],[Reserva]]="","",IFERROR(VLOOKUP(MB25_VOLUMETRIA[[#This Row],[UMB]],CHAVE[],2,FALSE),"VERIFICAR"))</f>
        <v>Unidade</v>
      </c>
      <c r="L697" s="32" t="str">
        <f>IF(MB25_VOLUMETRIA[[#This Row],[Reserva]]="","",IFERROR(VLOOKUP(MB25_VOLUMETRIA[[#This Row],[Reserva]],Tabela3[[Reserva]:[Condição para Faturamento]],20,FALSE),"IMPORTADO COM SUCESSO"))</f>
        <v>EM RESSUPRIMENTO</v>
      </c>
      <c r="M697" s="32" t="str">
        <f ca="1">IFERROR(VLOOKUP(MB25_VOLUMETRIA[[#This Row],[Reserva]],RES_AB[],14,FALSE),"")</f>
        <v>RESERVAS EM ATRASO</v>
      </c>
      <c r="N697" s="32" t="str">
        <f>IF(MB25_VOLUMETRIA[[#This Row],[Cen.]]="","",IFERROR(VLOOKUP(MB25_VOLUMETRIA[[#This Row],[Cen.]],Dados_Empresas[],2,FALSE),"Verificar empresa"))</f>
        <v>NET MASSIVO</v>
      </c>
      <c r="O697" s="32" t="str">
        <f>IF(MB25_VOLUMETRIA[[#This Row],[EMPRESA]]="","",IF(OR(MB25_VOLUMETRIA[[#This Row],[EMPRESA]]="NET MASSIVO",MB25_VOLUMETRIA[[#This Row],[EMPRESA]]="NET PROJETOS"),"NET","EMPRESARIAL"))</f>
        <v>NET</v>
      </c>
    </row>
    <row r="698" spans="1:15" x14ac:dyDescent="0.25">
      <c r="A698" s="32">
        <v>4380769</v>
      </c>
      <c r="B698" s="32" t="s">
        <v>21</v>
      </c>
      <c r="C698" s="33" t="s">
        <v>19</v>
      </c>
      <c r="D698" s="35">
        <v>45447</v>
      </c>
      <c r="E698" s="32" t="s">
        <v>185</v>
      </c>
      <c r="F698" s="32">
        <v>22056339</v>
      </c>
      <c r="G698" s="32" t="s">
        <v>243</v>
      </c>
      <c r="H698" s="26" t="s">
        <v>38</v>
      </c>
      <c r="I698" s="36">
        <v>200</v>
      </c>
      <c r="J698" s="32">
        <f>IF(MB25_VOLUMETRIA[[#This Row],[Reserva]]="","",1)</f>
        <v>1</v>
      </c>
      <c r="K698" s="36" t="str">
        <f>IF(MB25_VOLUMETRIA[[#This Row],[Reserva]]="","",IFERROR(VLOOKUP(MB25_VOLUMETRIA[[#This Row],[UMB]],CHAVE[],2,FALSE),"VERIFICAR"))</f>
        <v>Unidade</v>
      </c>
      <c r="L698" s="32" t="str">
        <f>IF(MB25_VOLUMETRIA[[#This Row],[Reserva]]="","",IFERROR(VLOOKUP(MB25_VOLUMETRIA[[#This Row],[Reserva]],Tabela3[[Reserva]:[Condição para Faturamento]],20,FALSE),"IMPORTADO COM SUCESSO"))</f>
        <v>EM RESSUPRIMENTO</v>
      </c>
      <c r="M698" s="32" t="str">
        <f ca="1">IFERROR(VLOOKUP(MB25_VOLUMETRIA[[#This Row],[Reserva]],RES_AB[],14,FALSE),"")</f>
        <v>RESERVAS EM ATRASO</v>
      </c>
      <c r="N698" s="32" t="str">
        <f>IF(MB25_VOLUMETRIA[[#This Row],[Cen.]]="","",IFERROR(VLOOKUP(MB25_VOLUMETRIA[[#This Row],[Cen.]],Dados_Empresas[],2,FALSE),"Verificar empresa"))</f>
        <v>NET MASSIVO</v>
      </c>
      <c r="O698" s="32" t="str">
        <f>IF(MB25_VOLUMETRIA[[#This Row],[EMPRESA]]="","",IF(OR(MB25_VOLUMETRIA[[#This Row],[EMPRESA]]="NET MASSIVO",MB25_VOLUMETRIA[[#This Row],[EMPRESA]]="NET PROJETOS"),"NET","EMPRESARIAL"))</f>
        <v>NET</v>
      </c>
    </row>
    <row r="699" spans="1:15" x14ac:dyDescent="0.25">
      <c r="A699" s="32">
        <v>4380769</v>
      </c>
      <c r="B699" s="32" t="s">
        <v>21</v>
      </c>
      <c r="C699" s="33" t="s">
        <v>21</v>
      </c>
      <c r="D699" s="35">
        <v>45447</v>
      </c>
      <c r="E699" s="32" t="s">
        <v>185</v>
      </c>
      <c r="F699" s="32">
        <v>22056343</v>
      </c>
      <c r="G699" s="32" t="s">
        <v>234</v>
      </c>
      <c r="H699" s="26" t="s">
        <v>38</v>
      </c>
      <c r="I699" s="36">
        <v>200</v>
      </c>
      <c r="J699" s="32">
        <f>IF(MB25_VOLUMETRIA[[#This Row],[Reserva]]="","",1)</f>
        <v>1</v>
      </c>
      <c r="K699" s="36" t="str">
        <f>IF(MB25_VOLUMETRIA[[#This Row],[Reserva]]="","",IFERROR(VLOOKUP(MB25_VOLUMETRIA[[#This Row],[UMB]],CHAVE[],2,FALSE),"VERIFICAR"))</f>
        <v>Unidade</v>
      </c>
      <c r="L699" s="32" t="str">
        <f>IF(MB25_VOLUMETRIA[[#This Row],[Reserva]]="","",IFERROR(VLOOKUP(MB25_VOLUMETRIA[[#This Row],[Reserva]],Tabela3[[Reserva]:[Condição para Faturamento]],20,FALSE),"IMPORTADO COM SUCESSO"))</f>
        <v>EM RESSUPRIMENTO</v>
      </c>
      <c r="M699" s="32" t="str">
        <f ca="1">IFERROR(VLOOKUP(MB25_VOLUMETRIA[[#This Row],[Reserva]],RES_AB[],14,FALSE),"")</f>
        <v>RESERVAS EM ATRASO</v>
      </c>
      <c r="N699" s="32" t="str">
        <f>IF(MB25_VOLUMETRIA[[#This Row],[Cen.]]="","",IFERROR(VLOOKUP(MB25_VOLUMETRIA[[#This Row],[Cen.]],Dados_Empresas[],2,FALSE),"Verificar empresa"))</f>
        <v>NET MASSIVO</v>
      </c>
      <c r="O699" s="32" t="str">
        <f>IF(MB25_VOLUMETRIA[[#This Row],[EMPRESA]]="","",IF(OR(MB25_VOLUMETRIA[[#This Row],[EMPRESA]]="NET MASSIVO",MB25_VOLUMETRIA[[#This Row],[EMPRESA]]="NET PROJETOS"),"NET","EMPRESARIAL"))</f>
        <v>NET</v>
      </c>
    </row>
    <row r="700" spans="1:15" x14ac:dyDescent="0.25">
      <c r="A700" s="32">
        <v>4380769</v>
      </c>
      <c r="B700" s="32" t="s">
        <v>21</v>
      </c>
      <c r="C700" s="33" t="s">
        <v>21</v>
      </c>
      <c r="D700" s="35">
        <v>45447</v>
      </c>
      <c r="E700" s="32" t="s">
        <v>185</v>
      </c>
      <c r="F700" s="32">
        <v>22056344</v>
      </c>
      <c r="G700" s="32" t="s">
        <v>235</v>
      </c>
      <c r="H700" s="26" t="s">
        <v>38</v>
      </c>
      <c r="I700" s="36">
        <v>200</v>
      </c>
      <c r="J700" s="32">
        <f>IF(MB25_VOLUMETRIA[[#This Row],[Reserva]]="","",1)</f>
        <v>1</v>
      </c>
      <c r="K700" s="36" t="str">
        <f>IF(MB25_VOLUMETRIA[[#This Row],[Reserva]]="","",IFERROR(VLOOKUP(MB25_VOLUMETRIA[[#This Row],[UMB]],CHAVE[],2,FALSE),"VERIFICAR"))</f>
        <v>Unidade</v>
      </c>
      <c r="L700" s="32" t="str">
        <f>IF(MB25_VOLUMETRIA[[#This Row],[Reserva]]="","",IFERROR(VLOOKUP(MB25_VOLUMETRIA[[#This Row],[Reserva]],Tabela3[[Reserva]:[Condição para Faturamento]],20,FALSE),"IMPORTADO COM SUCESSO"))</f>
        <v>EM RESSUPRIMENTO</v>
      </c>
      <c r="M700" s="32" t="str">
        <f ca="1">IFERROR(VLOOKUP(MB25_VOLUMETRIA[[#This Row],[Reserva]],RES_AB[],14,FALSE),"")</f>
        <v>RESERVAS EM ATRASO</v>
      </c>
      <c r="N700" s="32" t="str">
        <f>IF(MB25_VOLUMETRIA[[#This Row],[Cen.]]="","",IFERROR(VLOOKUP(MB25_VOLUMETRIA[[#This Row],[Cen.]],Dados_Empresas[],2,FALSE),"Verificar empresa"))</f>
        <v>NET MASSIVO</v>
      </c>
      <c r="O700" s="32" t="str">
        <f>IF(MB25_VOLUMETRIA[[#This Row],[EMPRESA]]="","",IF(OR(MB25_VOLUMETRIA[[#This Row],[EMPRESA]]="NET MASSIVO",MB25_VOLUMETRIA[[#This Row],[EMPRESA]]="NET PROJETOS"),"NET","EMPRESARIAL"))</f>
        <v>NET</v>
      </c>
    </row>
    <row r="701" spans="1:15" x14ac:dyDescent="0.25">
      <c r="A701" s="32">
        <v>4380769</v>
      </c>
      <c r="B701" s="32" t="s">
        <v>21</v>
      </c>
      <c r="C701" s="33" t="s">
        <v>21</v>
      </c>
      <c r="D701" s="35">
        <v>45447</v>
      </c>
      <c r="E701" s="32" t="s">
        <v>185</v>
      </c>
      <c r="F701" s="32">
        <v>22056364</v>
      </c>
      <c r="G701" s="32" t="s">
        <v>236</v>
      </c>
      <c r="H701" s="26" t="s">
        <v>38</v>
      </c>
      <c r="I701" s="36">
        <v>270</v>
      </c>
      <c r="J701" s="32">
        <f>IF(MB25_VOLUMETRIA[[#This Row],[Reserva]]="","",1)</f>
        <v>1</v>
      </c>
      <c r="K701" s="36" t="str">
        <f>IF(MB25_VOLUMETRIA[[#This Row],[Reserva]]="","",IFERROR(VLOOKUP(MB25_VOLUMETRIA[[#This Row],[UMB]],CHAVE[],2,FALSE),"VERIFICAR"))</f>
        <v>Unidade</v>
      </c>
      <c r="L701" s="32" t="str">
        <f>IF(MB25_VOLUMETRIA[[#This Row],[Reserva]]="","",IFERROR(VLOOKUP(MB25_VOLUMETRIA[[#This Row],[Reserva]],Tabela3[[Reserva]:[Condição para Faturamento]],20,FALSE),"IMPORTADO COM SUCESSO"))</f>
        <v>EM RESSUPRIMENTO</v>
      </c>
      <c r="M701" s="32" t="str">
        <f ca="1">IFERROR(VLOOKUP(MB25_VOLUMETRIA[[#This Row],[Reserva]],RES_AB[],14,FALSE),"")</f>
        <v>RESERVAS EM ATRASO</v>
      </c>
      <c r="N701" s="32" t="str">
        <f>IF(MB25_VOLUMETRIA[[#This Row],[Cen.]]="","",IFERROR(VLOOKUP(MB25_VOLUMETRIA[[#This Row],[Cen.]],Dados_Empresas[],2,FALSE),"Verificar empresa"))</f>
        <v>NET MASSIVO</v>
      </c>
      <c r="O701" s="32" t="str">
        <f>IF(MB25_VOLUMETRIA[[#This Row],[EMPRESA]]="","",IF(OR(MB25_VOLUMETRIA[[#This Row],[EMPRESA]]="NET MASSIVO",MB25_VOLUMETRIA[[#This Row],[EMPRESA]]="NET PROJETOS"),"NET","EMPRESARIAL"))</f>
        <v>NET</v>
      </c>
    </row>
    <row r="702" spans="1:15" x14ac:dyDescent="0.25">
      <c r="A702" s="32">
        <v>4380769</v>
      </c>
      <c r="B702" s="32" t="s">
        <v>21</v>
      </c>
      <c r="C702" s="33" t="s">
        <v>21</v>
      </c>
      <c r="D702" s="35">
        <v>45447</v>
      </c>
      <c r="E702" s="32" t="s">
        <v>185</v>
      </c>
      <c r="F702" s="32">
        <v>22056365</v>
      </c>
      <c r="G702" s="32" t="s">
        <v>244</v>
      </c>
      <c r="H702" s="26" t="s">
        <v>38</v>
      </c>
      <c r="I702" s="36">
        <v>240</v>
      </c>
      <c r="J702" s="32">
        <f>IF(MB25_VOLUMETRIA[[#This Row],[Reserva]]="","",1)</f>
        <v>1</v>
      </c>
      <c r="K702" s="36" t="str">
        <f>IF(MB25_VOLUMETRIA[[#This Row],[Reserva]]="","",IFERROR(VLOOKUP(MB25_VOLUMETRIA[[#This Row],[UMB]],CHAVE[],2,FALSE),"VERIFICAR"))</f>
        <v>Unidade</v>
      </c>
      <c r="L702" s="32" t="str">
        <f>IF(MB25_VOLUMETRIA[[#This Row],[Reserva]]="","",IFERROR(VLOOKUP(MB25_VOLUMETRIA[[#This Row],[Reserva]],Tabela3[[Reserva]:[Condição para Faturamento]],20,FALSE),"IMPORTADO COM SUCESSO"))</f>
        <v>EM RESSUPRIMENTO</v>
      </c>
      <c r="M702" s="32" t="str">
        <f ca="1">IFERROR(VLOOKUP(MB25_VOLUMETRIA[[#This Row],[Reserva]],RES_AB[],14,FALSE),"")</f>
        <v>RESERVAS EM ATRASO</v>
      </c>
      <c r="N702" s="32" t="str">
        <f>IF(MB25_VOLUMETRIA[[#This Row],[Cen.]]="","",IFERROR(VLOOKUP(MB25_VOLUMETRIA[[#This Row],[Cen.]],Dados_Empresas[],2,FALSE),"Verificar empresa"))</f>
        <v>NET MASSIVO</v>
      </c>
      <c r="O702" s="32" t="str">
        <f>IF(MB25_VOLUMETRIA[[#This Row],[EMPRESA]]="","",IF(OR(MB25_VOLUMETRIA[[#This Row],[EMPRESA]]="NET MASSIVO",MB25_VOLUMETRIA[[#This Row],[EMPRESA]]="NET PROJETOS"),"NET","EMPRESARIAL"))</f>
        <v>NET</v>
      </c>
    </row>
    <row r="703" spans="1:15" x14ac:dyDescent="0.25">
      <c r="A703" s="32">
        <v>4380769</v>
      </c>
      <c r="B703" s="32" t="s">
        <v>21</v>
      </c>
      <c r="C703" s="33" t="s">
        <v>21</v>
      </c>
      <c r="D703" s="35">
        <v>45447</v>
      </c>
      <c r="E703" s="32" t="s">
        <v>185</v>
      </c>
      <c r="F703" s="32">
        <v>22057620</v>
      </c>
      <c r="G703" s="32" t="s">
        <v>253</v>
      </c>
      <c r="H703" s="26" t="s">
        <v>38</v>
      </c>
      <c r="I703" s="36">
        <v>400</v>
      </c>
      <c r="J703" s="32">
        <f>IF(MB25_VOLUMETRIA[[#This Row],[Reserva]]="","",1)</f>
        <v>1</v>
      </c>
      <c r="K703" s="36" t="str">
        <f>IF(MB25_VOLUMETRIA[[#This Row],[Reserva]]="","",IFERROR(VLOOKUP(MB25_VOLUMETRIA[[#This Row],[UMB]],CHAVE[],2,FALSE),"VERIFICAR"))</f>
        <v>Unidade</v>
      </c>
      <c r="L703" s="32" t="str">
        <f>IF(MB25_VOLUMETRIA[[#This Row],[Reserva]]="","",IFERROR(VLOOKUP(MB25_VOLUMETRIA[[#This Row],[Reserva]],Tabela3[[Reserva]:[Condição para Faturamento]],20,FALSE),"IMPORTADO COM SUCESSO"))</f>
        <v>EM RESSUPRIMENTO</v>
      </c>
      <c r="M703" s="32" t="str">
        <f ca="1">IFERROR(VLOOKUP(MB25_VOLUMETRIA[[#This Row],[Reserva]],RES_AB[],14,FALSE),"")</f>
        <v>RESERVAS EM ATRASO</v>
      </c>
      <c r="N703" s="32" t="str">
        <f>IF(MB25_VOLUMETRIA[[#This Row],[Cen.]]="","",IFERROR(VLOOKUP(MB25_VOLUMETRIA[[#This Row],[Cen.]],Dados_Empresas[],2,FALSE),"Verificar empresa"))</f>
        <v>NET MASSIVO</v>
      </c>
      <c r="O703" s="32" t="str">
        <f>IF(MB25_VOLUMETRIA[[#This Row],[EMPRESA]]="","",IF(OR(MB25_VOLUMETRIA[[#This Row],[EMPRESA]]="NET MASSIVO",MB25_VOLUMETRIA[[#This Row],[EMPRESA]]="NET PROJETOS"),"NET","EMPRESARIAL"))</f>
        <v>NET</v>
      </c>
    </row>
    <row r="704" spans="1:15" x14ac:dyDescent="0.25">
      <c r="A704" s="32">
        <v>4380769</v>
      </c>
      <c r="B704" s="32" t="s">
        <v>21</v>
      </c>
      <c r="C704" s="33" t="s">
        <v>21</v>
      </c>
      <c r="D704" s="35">
        <v>45447</v>
      </c>
      <c r="E704" s="32" t="s">
        <v>185</v>
      </c>
      <c r="F704" s="32">
        <v>22060422</v>
      </c>
      <c r="G704" s="32" t="s">
        <v>298</v>
      </c>
      <c r="H704" s="26" t="s">
        <v>38</v>
      </c>
      <c r="I704" s="36">
        <v>90</v>
      </c>
      <c r="J704" s="32">
        <f>IF(MB25_VOLUMETRIA[[#This Row],[Reserva]]="","",1)</f>
        <v>1</v>
      </c>
      <c r="K704" s="36" t="str">
        <f>IF(MB25_VOLUMETRIA[[#This Row],[Reserva]]="","",IFERROR(VLOOKUP(MB25_VOLUMETRIA[[#This Row],[UMB]],CHAVE[],2,FALSE),"VERIFICAR"))</f>
        <v>Unidade</v>
      </c>
      <c r="L704" s="32" t="str">
        <f>IF(MB25_VOLUMETRIA[[#This Row],[Reserva]]="","",IFERROR(VLOOKUP(MB25_VOLUMETRIA[[#This Row],[Reserva]],Tabela3[[Reserva]:[Condição para Faturamento]],20,FALSE),"IMPORTADO COM SUCESSO"))</f>
        <v>EM RESSUPRIMENTO</v>
      </c>
      <c r="M704" s="32" t="str">
        <f ca="1">IFERROR(VLOOKUP(MB25_VOLUMETRIA[[#This Row],[Reserva]],RES_AB[],14,FALSE),"")</f>
        <v>RESERVAS EM ATRASO</v>
      </c>
      <c r="N704" s="32" t="str">
        <f>IF(MB25_VOLUMETRIA[[#This Row],[Cen.]]="","",IFERROR(VLOOKUP(MB25_VOLUMETRIA[[#This Row],[Cen.]],Dados_Empresas[],2,FALSE),"Verificar empresa"))</f>
        <v>NET MASSIVO</v>
      </c>
      <c r="O704" s="32" t="str">
        <f>IF(MB25_VOLUMETRIA[[#This Row],[EMPRESA]]="","",IF(OR(MB25_VOLUMETRIA[[#This Row],[EMPRESA]]="NET MASSIVO",MB25_VOLUMETRIA[[#This Row],[EMPRESA]]="NET PROJETOS"),"NET","EMPRESARIAL"))</f>
        <v>NET</v>
      </c>
    </row>
    <row r="705" spans="1:15" x14ac:dyDescent="0.25">
      <c r="A705" s="32">
        <v>4380769</v>
      </c>
      <c r="B705" s="32" t="s">
        <v>21</v>
      </c>
      <c r="C705" s="33" t="s">
        <v>21</v>
      </c>
      <c r="D705" s="35">
        <v>45447</v>
      </c>
      <c r="E705" s="32" t="s">
        <v>185</v>
      </c>
      <c r="F705" s="32">
        <v>22060738</v>
      </c>
      <c r="G705" s="32" t="s">
        <v>199</v>
      </c>
      <c r="H705" s="26" t="s">
        <v>38</v>
      </c>
      <c r="I705" s="36">
        <v>1900</v>
      </c>
      <c r="J705" s="32">
        <f>IF(MB25_VOLUMETRIA[[#This Row],[Reserva]]="","",1)</f>
        <v>1</v>
      </c>
      <c r="K705" s="36" t="str">
        <f>IF(MB25_VOLUMETRIA[[#This Row],[Reserva]]="","",IFERROR(VLOOKUP(MB25_VOLUMETRIA[[#This Row],[UMB]],CHAVE[],2,FALSE),"VERIFICAR"))</f>
        <v>Unidade</v>
      </c>
      <c r="L705" s="32" t="str">
        <f>IF(MB25_VOLUMETRIA[[#This Row],[Reserva]]="","",IFERROR(VLOOKUP(MB25_VOLUMETRIA[[#This Row],[Reserva]],Tabela3[[Reserva]:[Condição para Faturamento]],20,FALSE),"IMPORTADO COM SUCESSO"))</f>
        <v>EM RESSUPRIMENTO</v>
      </c>
      <c r="M705" s="32" t="str">
        <f ca="1">IFERROR(VLOOKUP(MB25_VOLUMETRIA[[#This Row],[Reserva]],RES_AB[],14,FALSE),"")</f>
        <v>RESERVAS EM ATRASO</v>
      </c>
      <c r="N705" s="32" t="str">
        <f>IF(MB25_VOLUMETRIA[[#This Row],[Cen.]]="","",IFERROR(VLOOKUP(MB25_VOLUMETRIA[[#This Row],[Cen.]],Dados_Empresas[],2,FALSE),"Verificar empresa"))</f>
        <v>NET MASSIVO</v>
      </c>
      <c r="O705" s="32" t="str">
        <f>IF(MB25_VOLUMETRIA[[#This Row],[EMPRESA]]="","",IF(OR(MB25_VOLUMETRIA[[#This Row],[EMPRESA]]="NET MASSIVO",MB25_VOLUMETRIA[[#This Row],[EMPRESA]]="NET PROJETOS"),"NET","EMPRESARIAL"))</f>
        <v>NET</v>
      </c>
    </row>
    <row r="706" spans="1:15" x14ac:dyDescent="0.25">
      <c r="A706" s="32">
        <v>4380769</v>
      </c>
      <c r="B706" s="32" t="s">
        <v>21</v>
      </c>
      <c r="C706" s="33" t="s">
        <v>21</v>
      </c>
      <c r="D706" s="35">
        <v>45447</v>
      </c>
      <c r="E706" s="32" t="s">
        <v>185</v>
      </c>
      <c r="F706" s="32">
        <v>22065718</v>
      </c>
      <c r="G706" s="32" t="s">
        <v>210</v>
      </c>
      <c r="H706" s="26" t="s">
        <v>38</v>
      </c>
      <c r="I706" s="36">
        <v>100</v>
      </c>
      <c r="J706" s="32">
        <f>IF(MB25_VOLUMETRIA[[#This Row],[Reserva]]="","",1)</f>
        <v>1</v>
      </c>
      <c r="K706" s="36" t="str">
        <f>IF(MB25_VOLUMETRIA[[#This Row],[Reserva]]="","",IFERROR(VLOOKUP(MB25_VOLUMETRIA[[#This Row],[UMB]],CHAVE[],2,FALSE),"VERIFICAR"))</f>
        <v>Unidade</v>
      </c>
      <c r="L706" s="32" t="str">
        <f>IF(MB25_VOLUMETRIA[[#This Row],[Reserva]]="","",IFERROR(VLOOKUP(MB25_VOLUMETRIA[[#This Row],[Reserva]],Tabela3[[Reserva]:[Condição para Faturamento]],20,FALSE),"IMPORTADO COM SUCESSO"))</f>
        <v>EM RESSUPRIMENTO</v>
      </c>
      <c r="M706" s="32" t="str">
        <f ca="1">IFERROR(VLOOKUP(MB25_VOLUMETRIA[[#This Row],[Reserva]],RES_AB[],14,FALSE),"")</f>
        <v>RESERVAS EM ATRASO</v>
      </c>
      <c r="N706" s="32" t="str">
        <f>IF(MB25_VOLUMETRIA[[#This Row],[Cen.]]="","",IFERROR(VLOOKUP(MB25_VOLUMETRIA[[#This Row],[Cen.]],Dados_Empresas[],2,FALSE),"Verificar empresa"))</f>
        <v>NET MASSIVO</v>
      </c>
      <c r="O706" s="32" t="str">
        <f>IF(MB25_VOLUMETRIA[[#This Row],[EMPRESA]]="","",IF(OR(MB25_VOLUMETRIA[[#This Row],[EMPRESA]]="NET MASSIVO",MB25_VOLUMETRIA[[#This Row],[EMPRESA]]="NET PROJETOS"),"NET","EMPRESARIAL"))</f>
        <v>NET</v>
      </c>
    </row>
    <row r="707" spans="1:15" x14ac:dyDescent="0.25">
      <c r="A707" s="32">
        <v>4380769</v>
      </c>
      <c r="B707" s="32" t="s">
        <v>21</v>
      </c>
      <c r="C707" s="33" t="s">
        <v>21</v>
      </c>
      <c r="D707" s="35">
        <v>45447</v>
      </c>
      <c r="E707" s="32" t="s">
        <v>185</v>
      </c>
      <c r="F707" s="32">
        <v>22065722</v>
      </c>
      <c r="G707" s="32" t="s">
        <v>196</v>
      </c>
      <c r="H707" s="26" t="s">
        <v>38</v>
      </c>
      <c r="I707" s="36">
        <v>200</v>
      </c>
      <c r="J707" s="32">
        <f>IF(MB25_VOLUMETRIA[[#This Row],[Reserva]]="","",1)</f>
        <v>1</v>
      </c>
      <c r="K707" s="36" t="str">
        <f>IF(MB25_VOLUMETRIA[[#This Row],[Reserva]]="","",IFERROR(VLOOKUP(MB25_VOLUMETRIA[[#This Row],[UMB]],CHAVE[],2,FALSE),"VERIFICAR"))</f>
        <v>Unidade</v>
      </c>
      <c r="L707" s="32" t="str">
        <f>IF(MB25_VOLUMETRIA[[#This Row],[Reserva]]="","",IFERROR(VLOOKUP(MB25_VOLUMETRIA[[#This Row],[Reserva]],Tabela3[[Reserva]:[Condição para Faturamento]],20,FALSE),"IMPORTADO COM SUCESSO"))</f>
        <v>EM RESSUPRIMENTO</v>
      </c>
      <c r="M707" s="32" t="str">
        <f ca="1">IFERROR(VLOOKUP(MB25_VOLUMETRIA[[#This Row],[Reserva]],RES_AB[],14,FALSE),"")</f>
        <v>RESERVAS EM ATRASO</v>
      </c>
      <c r="N707" s="32" t="str">
        <f>IF(MB25_VOLUMETRIA[[#This Row],[Cen.]]="","",IFERROR(VLOOKUP(MB25_VOLUMETRIA[[#This Row],[Cen.]],Dados_Empresas[],2,FALSE),"Verificar empresa"))</f>
        <v>NET MASSIVO</v>
      </c>
      <c r="O707" s="32" t="str">
        <f>IF(MB25_VOLUMETRIA[[#This Row],[EMPRESA]]="","",IF(OR(MB25_VOLUMETRIA[[#This Row],[EMPRESA]]="NET MASSIVO",MB25_VOLUMETRIA[[#This Row],[EMPRESA]]="NET PROJETOS"),"NET","EMPRESARIAL"))</f>
        <v>NET</v>
      </c>
    </row>
    <row r="708" spans="1:15" x14ac:dyDescent="0.25">
      <c r="A708" s="32">
        <v>4380770</v>
      </c>
      <c r="B708" s="32" t="s">
        <v>21</v>
      </c>
      <c r="C708" s="33" t="s">
        <v>19</v>
      </c>
      <c r="D708" s="35">
        <v>45447</v>
      </c>
      <c r="E708" s="32" t="s">
        <v>184</v>
      </c>
      <c r="F708" s="32">
        <v>41001234</v>
      </c>
      <c r="G708" s="32" t="s">
        <v>189</v>
      </c>
      <c r="H708" s="26" t="s">
        <v>38</v>
      </c>
      <c r="I708" s="36">
        <v>90</v>
      </c>
      <c r="J708" s="32">
        <f>IF(MB25_VOLUMETRIA[[#This Row],[Reserva]]="","",1)</f>
        <v>1</v>
      </c>
      <c r="K708" s="36" t="str">
        <f>IF(MB25_VOLUMETRIA[[#This Row],[Reserva]]="","",IFERROR(VLOOKUP(MB25_VOLUMETRIA[[#This Row],[UMB]],CHAVE[],2,FALSE),"VERIFICAR"))</f>
        <v>Unidade</v>
      </c>
      <c r="L708" s="32" t="str">
        <f>IF(MB25_VOLUMETRIA[[#This Row],[Reserva]]="","",IFERROR(VLOOKUP(MB25_VOLUMETRIA[[#This Row],[Reserva]],Tabela3[[Reserva]:[Condição para Faturamento]],20,FALSE),"IMPORTADO COM SUCESSO"))</f>
        <v>EM RESSUPRIMENTO</v>
      </c>
      <c r="M708" s="32" t="str">
        <f ca="1">IFERROR(VLOOKUP(MB25_VOLUMETRIA[[#This Row],[Reserva]],RES_AB[],14,FALSE),"")</f>
        <v>RESERVAS EM ATRASO</v>
      </c>
      <c r="N708" s="32" t="str">
        <f>IF(MB25_VOLUMETRIA[[#This Row],[Cen.]]="","",IFERROR(VLOOKUP(MB25_VOLUMETRIA[[#This Row],[Cen.]],Dados_Empresas[],2,FALSE),"Verificar empresa"))</f>
        <v>NET MASSIVO</v>
      </c>
      <c r="O708" s="32" t="str">
        <f>IF(MB25_VOLUMETRIA[[#This Row],[EMPRESA]]="","",IF(OR(MB25_VOLUMETRIA[[#This Row],[EMPRESA]]="NET MASSIVO",MB25_VOLUMETRIA[[#This Row],[EMPRESA]]="NET PROJETOS"),"NET","EMPRESARIAL"))</f>
        <v>NET</v>
      </c>
    </row>
    <row r="709" spans="1:15" x14ac:dyDescent="0.25">
      <c r="A709" s="32">
        <v>4380770</v>
      </c>
      <c r="B709" s="32" t="s">
        <v>21</v>
      </c>
      <c r="C709" s="33" t="s">
        <v>19</v>
      </c>
      <c r="D709" s="35">
        <v>45447</v>
      </c>
      <c r="E709" s="32" t="s">
        <v>184</v>
      </c>
      <c r="F709" s="32">
        <v>41001276</v>
      </c>
      <c r="G709" s="32" t="s">
        <v>351</v>
      </c>
      <c r="H709" s="26" t="s">
        <v>38</v>
      </c>
      <c r="I709" s="36">
        <v>90</v>
      </c>
      <c r="J709" s="32">
        <f>IF(MB25_VOLUMETRIA[[#This Row],[Reserva]]="","",1)</f>
        <v>1</v>
      </c>
      <c r="K709" s="36" t="str">
        <f>IF(MB25_VOLUMETRIA[[#This Row],[Reserva]]="","",IFERROR(VLOOKUP(MB25_VOLUMETRIA[[#This Row],[UMB]],CHAVE[],2,FALSE),"VERIFICAR"))</f>
        <v>Unidade</v>
      </c>
      <c r="L709" s="32" t="str">
        <f>IF(MB25_VOLUMETRIA[[#This Row],[Reserva]]="","",IFERROR(VLOOKUP(MB25_VOLUMETRIA[[#This Row],[Reserva]],Tabela3[[Reserva]:[Condição para Faturamento]],20,FALSE),"IMPORTADO COM SUCESSO"))</f>
        <v>EM RESSUPRIMENTO</v>
      </c>
      <c r="M709" s="32" t="str">
        <f ca="1">IFERROR(VLOOKUP(MB25_VOLUMETRIA[[#This Row],[Reserva]],RES_AB[],14,FALSE),"")</f>
        <v>RESERVAS EM ATRASO</v>
      </c>
      <c r="N709" s="32" t="str">
        <f>IF(MB25_VOLUMETRIA[[#This Row],[Cen.]]="","",IFERROR(VLOOKUP(MB25_VOLUMETRIA[[#This Row],[Cen.]],Dados_Empresas[],2,FALSE),"Verificar empresa"))</f>
        <v>NET MASSIVO</v>
      </c>
      <c r="O709" s="32" t="str">
        <f>IF(MB25_VOLUMETRIA[[#This Row],[EMPRESA]]="","",IF(OR(MB25_VOLUMETRIA[[#This Row],[EMPRESA]]="NET MASSIVO",MB25_VOLUMETRIA[[#This Row],[EMPRESA]]="NET PROJETOS"),"NET","EMPRESARIAL"))</f>
        <v>NET</v>
      </c>
    </row>
    <row r="710" spans="1:15" x14ac:dyDescent="0.25">
      <c r="A710" s="32">
        <v>4380770</v>
      </c>
      <c r="B710" s="32" t="s">
        <v>21</v>
      </c>
      <c r="C710" s="33" t="s">
        <v>21</v>
      </c>
      <c r="D710" s="35">
        <v>45447</v>
      </c>
      <c r="E710" s="32" t="s">
        <v>184</v>
      </c>
      <c r="F710" s="32">
        <v>41001590</v>
      </c>
      <c r="G710" s="32" t="s">
        <v>239</v>
      </c>
      <c r="H710" s="26" t="s">
        <v>38</v>
      </c>
      <c r="I710" s="36">
        <v>70</v>
      </c>
      <c r="J710" s="32">
        <f>IF(MB25_VOLUMETRIA[[#This Row],[Reserva]]="","",1)</f>
        <v>1</v>
      </c>
      <c r="K710" s="36" t="str">
        <f>IF(MB25_VOLUMETRIA[[#This Row],[Reserva]]="","",IFERROR(VLOOKUP(MB25_VOLUMETRIA[[#This Row],[UMB]],CHAVE[],2,FALSE),"VERIFICAR"))</f>
        <v>Unidade</v>
      </c>
      <c r="L710" s="32" t="str">
        <f>IF(MB25_VOLUMETRIA[[#This Row],[Reserva]]="","",IFERROR(VLOOKUP(MB25_VOLUMETRIA[[#This Row],[Reserva]],Tabela3[[Reserva]:[Condição para Faturamento]],20,FALSE),"IMPORTADO COM SUCESSO"))</f>
        <v>EM RESSUPRIMENTO</v>
      </c>
      <c r="M710" s="32" t="str">
        <f ca="1">IFERROR(VLOOKUP(MB25_VOLUMETRIA[[#This Row],[Reserva]],RES_AB[],14,FALSE),"")</f>
        <v>RESERVAS EM ATRASO</v>
      </c>
      <c r="N710" s="32" t="str">
        <f>IF(MB25_VOLUMETRIA[[#This Row],[Cen.]]="","",IFERROR(VLOOKUP(MB25_VOLUMETRIA[[#This Row],[Cen.]],Dados_Empresas[],2,FALSE),"Verificar empresa"))</f>
        <v>NET MASSIVO</v>
      </c>
      <c r="O710" s="32" t="str">
        <f>IF(MB25_VOLUMETRIA[[#This Row],[EMPRESA]]="","",IF(OR(MB25_VOLUMETRIA[[#This Row],[EMPRESA]]="NET MASSIVO",MB25_VOLUMETRIA[[#This Row],[EMPRESA]]="NET PROJETOS"),"NET","EMPRESARIAL"))</f>
        <v>NET</v>
      </c>
    </row>
    <row r="711" spans="1:15" x14ac:dyDescent="0.25">
      <c r="A711" s="32">
        <v>4380771</v>
      </c>
      <c r="B711" s="32" t="s">
        <v>21</v>
      </c>
      <c r="C711" s="33" t="s">
        <v>19</v>
      </c>
      <c r="D711" s="35">
        <v>45447</v>
      </c>
      <c r="E711" s="32" t="s">
        <v>185</v>
      </c>
      <c r="F711" s="32">
        <v>22026279</v>
      </c>
      <c r="G711" s="32" t="s">
        <v>350</v>
      </c>
      <c r="H711" s="26" t="s">
        <v>38</v>
      </c>
      <c r="I711" s="36">
        <v>120</v>
      </c>
      <c r="J711" s="32">
        <f>IF(MB25_VOLUMETRIA[[#This Row],[Reserva]]="","",1)</f>
        <v>1</v>
      </c>
      <c r="K711" s="36" t="str">
        <f>IF(MB25_VOLUMETRIA[[#This Row],[Reserva]]="","",IFERROR(VLOOKUP(MB25_VOLUMETRIA[[#This Row],[UMB]],CHAVE[],2,FALSE),"VERIFICAR"))</f>
        <v>Unidade</v>
      </c>
      <c r="L711" s="32" t="str">
        <f>IF(MB25_VOLUMETRIA[[#This Row],[Reserva]]="","",IFERROR(VLOOKUP(MB25_VOLUMETRIA[[#This Row],[Reserva]],Tabela3[[Reserva]:[Condição para Faturamento]],20,FALSE),"IMPORTADO COM SUCESSO"))</f>
        <v>EM RESSUPRIMENTO</v>
      </c>
      <c r="M711" s="32" t="str">
        <f ca="1">IFERROR(VLOOKUP(MB25_VOLUMETRIA[[#This Row],[Reserva]],RES_AB[],14,FALSE),"")</f>
        <v>RESERVAS EM ATRASO</v>
      </c>
      <c r="N711" s="32" t="str">
        <f>IF(MB25_VOLUMETRIA[[#This Row],[Cen.]]="","",IFERROR(VLOOKUP(MB25_VOLUMETRIA[[#This Row],[Cen.]],Dados_Empresas[],2,FALSE),"Verificar empresa"))</f>
        <v>NET MASSIVO</v>
      </c>
      <c r="O711" s="32" t="str">
        <f>IF(MB25_VOLUMETRIA[[#This Row],[EMPRESA]]="","",IF(OR(MB25_VOLUMETRIA[[#This Row],[EMPRESA]]="NET MASSIVO",MB25_VOLUMETRIA[[#This Row],[EMPRESA]]="NET PROJETOS"),"NET","EMPRESARIAL"))</f>
        <v>NET</v>
      </c>
    </row>
    <row r="712" spans="1:15" x14ac:dyDescent="0.25">
      <c r="A712" s="32">
        <v>4380771</v>
      </c>
      <c r="B712" s="32" t="s">
        <v>21</v>
      </c>
      <c r="C712" s="33" t="s">
        <v>19</v>
      </c>
      <c r="D712" s="35">
        <v>45447</v>
      </c>
      <c r="E712" s="32" t="s">
        <v>185</v>
      </c>
      <c r="F712" s="32">
        <v>22026293</v>
      </c>
      <c r="G712" s="32" t="s">
        <v>352</v>
      </c>
      <c r="H712" s="26" t="s">
        <v>38</v>
      </c>
      <c r="I712" s="36">
        <v>160</v>
      </c>
      <c r="J712" s="32">
        <f>IF(MB25_VOLUMETRIA[[#This Row],[Reserva]]="","",1)</f>
        <v>1</v>
      </c>
      <c r="K712" s="36" t="str">
        <f>IF(MB25_VOLUMETRIA[[#This Row],[Reserva]]="","",IFERROR(VLOOKUP(MB25_VOLUMETRIA[[#This Row],[UMB]],CHAVE[],2,FALSE),"VERIFICAR"))</f>
        <v>Unidade</v>
      </c>
      <c r="L712" s="32" t="str">
        <f>IF(MB25_VOLUMETRIA[[#This Row],[Reserva]]="","",IFERROR(VLOOKUP(MB25_VOLUMETRIA[[#This Row],[Reserva]],Tabela3[[Reserva]:[Condição para Faturamento]],20,FALSE),"IMPORTADO COM SUCESSO"))</f>
        <v>EM RESSUPRIMENTO</v>
      </c>
      <c r="M712" s="32" t="str">
        <f ca="1">IFERROR(VLOOKUP(MB25_VOLUMETRIA[[#This Row],[Reserva]],RES_AB[],14,FALSE),"")</f>
        <v>RESERVAS EM ATRASO</v>
      </c>
      <c r="N712" s="32" t="str">
        <f>IF(MB25_VOLUMETRIA[[#This Row],[Cen.]]="","",IFERROR(VLOOKUP(MB25_VOLUMETRIA[[#This Row],[Cen.]],Dados_Empresas[],2,FALSE),"Verificar empresa"))</f>
        <v>NET MASSIVO</v>
      </c>
      <c r="O712" s="32" t="str">
        <f>IF(MB25_VOLUMETRIA[[#This Row],[EMPRESA]]="","",IF(OR(MB25_VOLUMETRIA[[#This Row],[EMPRESA]]="NET MASSIVO",MB25_VOLUMETRIA[[#This Row],[EMPRESA]]="NET PROJETOS"),"NET","EMPRESARIAL"))</f>
        <v>NET</v>
      </c>
    </row>
    <row r="713" spans="1:15" x14ac:dyDescent="0.25">
      <c r="A713" s="32">
        <v>4380771</v>
      </c>
      <c r="B713" s="32" t="s">
        <v>21</v>
      </c>
      <c r="C713" s="33" t="s">
        <v>21</v>
      </c>
      <c r="D713" s="35">
        <v>45447</v>
      </c>
      <c r="E713" s="32" t="s">
        <v>185</v>
      </c>
      <c r="F713" s="32">
        <v>22060422</v>
      </c>
      <c r="G713" s="32" t="s">
        <v>298</v>
      </c>
      <c r="H713" s="26" t="s">
        <v>38</v>
      </c>
      <c r="I713" s="36">
        <v>120</v>
      </c>
      <c r="J713" s="32">
        <f>IF(MB25_VOLUMETRIA[[#This Row],[Reserva]]="","",1)</f>
        <v>1</v>
      </c>
      <c r="K713" s="36" t="str">
        <f>IF(MB25_VOLUMETRIA[[#This Row],[Reserva]]="","",IFERROR(VLOOKUP(MB25_VOLUMETRIA[[#This Row],[UMB]],CHAVE[],2,FALSE),"VERIFICAR"))</f>
        <v>Unidade</v>
      </c>
      <c r="L713" s="32" t="str">
        <f>IF(MB25_VOLUMETRIA[[#This Row],[Reserva]]="","",IFERROR(VLOOKUP(MB25_VOLUMETRIA[[#This Row],[Reserva]],Tabela3[[Reserva]:[Condição para Faturamento]],20,FALSE),"IMPORTADO COM SUCESSO"))</f>
        <v>EM RESSUPRIMENTO</v>
      </c>
      <c r="M713" s="32" t="str">
        <f ca="1">IFERROR(VLOOKUP(MB25_VOLUMETRIA[[#This Row],[Reserva]],RES_AB[],14,FALSE),"")</f>
        <v>RESERVAS EM ATRASO</v>
      </c>
      <c r="N713" s="32" t="str">
        <f>IF(MB25_VOLUMETRIA[[#This Row],[Cen.]]="","",IFERROR(VLOOKUP(MB25_VOLUMETRIA[[#This Row],[Cen.]],Dados_Empresas[],2,FALSE),"Verificar empresa"))</f>
        <v>NET MASSIVO</v>
      </c>
      <c r="O713" s="32" t="str">
        <f>IF(MB25_VOLUMETRIA[[#This Row],[EMPRESA]]="","",IF(OR(MB25_VOLUMETRIA[[#This Row],[EMPRESA]]="NET MASSIVO",MB25_VOLUMETRIA[[#This Row],[EMPRESA]]="NET PROJETOS"),"NET","EMPRESARIAL"))</f>
        <v>NET</v>
      </c>
    </row>
    <row r="714" spans="1:15" x14ac:dyDescent="0.25">
      <c r="A714" s="32">
        <v>4380772</v>
      </c>
      <c r="B714" s="32" t="s">
        <v>21</v>
      </c>
      <c r="C714" s="33" t="s">
        <v>19</v>
      </c>
      <c r="D714" s="35">
        <v>45447</v>
      </c>
      <c r="E714" s="32" t="s">
        <v>184</v>
      </c>
      <c r="F714" s="32">
        <v>41001234</v>
      </c>
      <c r="G714" s="32" t="s">
        <v>189</v>
      </c>
      <c r="H714" s="26" t="s">
        <v>38</v>
      </c>
      <c r="I714" s="36">
        <v>120</v>
      </c>
      <c r="J714" s="32">
        <f>IF(MB25_VOLUMETRIA[[#This Row],[Reserva]]="","",1)</f>
        <v>1</v>
      </c>
      <c r="K714" s="36" t="str">
        <f>IF(MB25_VOLUMETRIA[[#This Row],[Reserva]]="","",IFERROR(VLOOKUP(MB25_VOLUMETRIA[[#This Row],[UMB]],CHAVE[],2,FALSE),"VERIFICAR"))</f>
        <v>Unidade</v>
      </c>
      <c r="L714" s="32" t="str">
        <f>IF(MB25_VOLUMETRIA[[#This Row],[Reserva]]="","",IFERROR(VLOOKUP(MB25_VOLUMETRIA[[#This Row],[Reserva]],Tabela3[[Reserva]:[Condição para Faturamento]],20,FALSE),"IMPORTADO COM SUCESSO"))</f>
        <v>EM RESSUPRIMENTO</v>
      </c>
      <c r="M714" s="32" t="str">
        <f ca="1">IFERROR(VLOOKUP(MB25_VOLUMETRIA[[#This Row],[Reserva]],RES_AB[],14,FALSE),"")</f>
        <v>RESERVAS EM ATRASO</v>
      </c>
      <c r="N714" s="32" t="str">
        <f>IF(MB25_VOLUMETRIA[[#This Row],[Cen.]]="","",IFERROR(VLOOKUP(MB25_VOLUMETRIA[[#This Row],[Cen.]],Dados_Empresas[],2,FALSE),"Verificar empresa"))</f>
        <v>NET MASSIVO</v>
      </c>
      <c r="O714" s="32" t="str">
        <f>IF(MB25_VOLUMETRIA[[#This Row],[EMPRESA]]="","",IF(OR(MB25_VOLUMETRIA[[#This Row],[EMPRESA]]="NET MASSIVO",MB25_VOLUMETRIA[[#This Row],[EMPRESA]]="NET PROJETOS"),"NET","EMPRESARIAL"))</f>
        <v>NET</v>
      </c>
    </row>
    <row r="715" spans="1:15" x14ac:dyDescent="0.25">
      <c r="A715" s="32">
        <v>4380772</v>
      </c>
      <c r="B715" s="32" t="s">
        <v>21</v>
      </c>
      <c r="C715" s="33" t="s">
        <v>19</v>
      </c>
      <c r="D715" s="35">
        <v>45447</v>
      </c>
      <c r="E715" s="32" t="s">
        <v>184</v>
      </c>
      <c r="F715" s="32">
        <v>41001276</v>
      </c>
      <c r="G715" s="32" t="s">
        <v>351</v>
      </c>
      <c r="H715" s="26" t="s">
        <v>38</v>
      </c>
      <c r="I715" s="36">
        <v>120</v>
      </c>
      <c r="J715" s="32">
        <f>IF(MB25_VOLUMETRIA[[#This Row],[Reserva]]="","",1)</f>
        <v>1</v>
      </c>
      <c r="K715" s="36" t="str">
        <f>IF(MB25_VOLUMETRIA[[#This Row],[Reserva]]="","",IFERROR(VLOOKUP(MB25_VOLUMETRIA[[#This Row],[UMB]],CHAVE[],2,FALSE),"VERIFICAR"))</f>
        <v>Unidade</v>
      </c>
      <c r="L715" s="32" t="str">
        <f>IF(MB25_VOLUMETRIA[[#This Row],[Reserva]]="","",IFERROR(VLOOKUP(MB25_VOLUMETRIA[[#This Row],[Reserva]],Tabela3[[Reserva]:[Condição para Faturamento]],20,FALSE),"IMPORTADO COM SUCESSO"))</f>
        <v>EM RESSUPRIMENTO</v>
      </c>
      <c r="M715" s="32" t="str">
        <f ca="1">IFERROR(VLOOKUP(MB25_VOLUMETRIA[[#This Row],[Reserva]],RES_AB[],14,FALSE),"")</f>
        <v>RESERVAS EM ATRASO</v>
      </c>
      <c r="N715" s="32" t="str">
        <f>IF(MB25_VOLUMETRIA[[#This Row],[Cen.]]="","",IFERROR(VLOOKUP(MB25_VOLUMETRIA[[#This Row],[Cen.]],Dados_Empresas[],2,FALSE),"Verificar empresa"))</f>
        <v>NET MASSIVO</v>
      </c>
      <c r="O715" s="32" t="str">
        <f>IF(MB25_VOLUMETRIA[[#This Row],[EMPRESA]]="","",IF(OR(MB25_VOLUMETRIA[[#This Row],[EMPRESA]]="NET MASSIVO",MB25_VOLUMETRIA[[#This Row],[EMPRESA]]="NET PROJETOS"),"NET","EMPRESARIAL"))</f>
        <v>NET</v>
      </c>
    </row>
    <row r="716" spans="1:15" x14ac:dyDescent="0.25">
      <c r="A716" s="32">
        <v>4380772</v>
      </c>
      <c r="B716" s="32" t="s">
        <v>21</v>
      </c>
      <c r="C716" s="33" t="s">
        <v>19</v>
      </c>
      <c r="D716" s="35">
        <v>45447</v>
      </c>
      <c r="E716" s="32" t="s">
        <v>184</v>
      </c>
      <c r="F716" s="32">
        <v>41001292</v>
      </c>
      <c r="G716" s="32" t="s">
        <v>353</v>
      </c>
      <c r="H716" s="26" t="s">
        <v>38</v>
      </c>
      <c r="I716" s="36">
        <v>160</v>
      </c>
      <c r="J716" s="32">
        <f>IF(MB25_VOLUMETRIA[[#This Row],[Reserva]]="","",1)</f>
        <v>1</v>
      </c>
      <c r="K716" s="36" t="str">
        <f>IF(MB25_VOLUMETRIA[[#This Row],[Reserva]]="","",IFERROR(VLOOKUP(MB25_VOLUMETRIA[[#This Row],[UMB]],CHAVE[],2,FALSE),"VERIFICAR"))</f>
        <v>Unidade</v>
      </c>
      <c r="L716" s="32" t="str">
        <f>IF(MB25_VOLUMETRIA[[#This Row],[Reserva]]="","",IFERROR(VLOOKUP(MB25_VOLUMETRIA[[#This Row],[Reserva]],Tabela3[[Reserva]:[Condição para Faturamento]],20,FALSE),"IMPORTADO COM SUCESSO"))</f>
        <v>EM RESSUPRIMENTO</v>
      </c>
      <c r="M716" s="32" t="str">
        <f ca="1">IFERROR(VLOOKUP(MB25_VOLUMETRIA[[#This Row],[Reserva]],RES_AB[],14,FALSE),"")</f>
        <v>RESERVAS EM ATRASO</v>
      </c>
      <c r="N716" s="32" t="str">
        <f>IF(MB25_VOLUMETRIA[[#This Row],[Cen.]]="","",IFERROR(VLOOKUP(MB25_VOLUMETRIA[[#This Row],[Cen.]],Dados_Empresas[],2,FALSE),"Verificar empresa"))</f>
        <v>NET MASSIVO</v>
      </c>
      <c r="O716" s="32" t="str">
        <f>IF(MB25_VOLUMETRIA[[#This Row],[EMPRESA]]="","",IF(OR(MB25_VOLUMETRIA[[#This Row],[EMPRESA]]="NET MASSIVO",MB25_VOLUMETRIA[[#This Row],[EMPRESA]]="NET PROJETOS"),"NET","EMPRESARIAL"))</f>
        <v>NET</v>
      </c>
    </row>
    <row r="717" spans="1:15" x14ac:dyDescent="0.25">
      <c r="A717" s="32">
        <v>4380772</v>
      </c>
      <c r="B717" s="32" t="s">
        <v>21</v>
      </c>
      <c r="C717" s="33" t="s">
        <v>21</v>
      </c>
      <c r="D717" s="35">
        <v>45447</v>
      </c>
      <c r="E717" s="32" t="s">
        <v>184</v>
      </c>
      <c r="F717" s="32">
        <v>41001590</v>
      </c>
      <c r="G717" s="32" t="s">
        <v>239</v>
      </c>
      <c r="H717" s="26" t="s">
        <v>38</v>
      </c>
      <c r="I717" s="36">
        <v>260</v>
      </c>
      <c r="J717" s="32">
        <f>IF(MB25_VOLUMETRIA[[#This Row],[Reserva]]="","",1)</f>
        <v>1</v>
      </c>
      <c r="K717" s="36" t="str">
        <f>IF(MB25_VOLUMETRIA[[#This Row],[Reserva]]="","",IFERROR(VLOOKUP(MB25_VOLUMETRIA[[#This Row],[UMB]],CHAVE[],2,FALSE),"VERIFICAR"))</f>
        <v>Unidade</v>
      </c>
      <c r="L717" s="32" t="str">
        <f>IF(MB25_VOLUMETRIA[[#This Row],[Reserva]]="","",IFERROR(VLOOKUP(MB25_VOLUMETRIA[[#This Row],[Reserva]],Tabela3[[Reserva]:[Condição para Faturamento]],20,FALSE),"IMPORTADO COM SUCESSO"))</f>
        <v>EM RESSUPRIMENTO</v>
      </c>
      <c r="M717" s="32" t="str">
        <f ca="1">IFERROR(VLOOKUP(MB25_VOLUMETRIA[[#This Row],[Reserva]],RES_AB[],14,FALSE),"")</f>
        <v>RESERVAS EM ATRASO</v>
      </c>
      <c r="N717" s="32" t="str">
        <f>IF(MB25_VOLUMETRIA[[#This Row],[Cen.]]="","",IFERROR(VLOOKUP(MB25_VOLUMETRIA[[#This Row],[Cen.]],Dados_Empresas[],2,FALSE),"Verificar empresa"))</f>
        <v>NET MASSIVO</v>
      </c>
      <c r="O717" s="32" t="str">
        <f>IF(MB25_VOLUMETRIA[[#This Row],[EMPRESA]]="","",IF(OR(MB25_VOLUMETRIA[[#This Row],[EMPRESA]]="NET MASSIVO",MB25_VOLUMETRIA[[#This Row],[EMPRESA]]="NET PROJETOS"),"NET","EMPRESARIAL"))</f>
        <v>NET</v>
      </c>
    </row>
    <row r="718" spans="1:15" x14ac:dyDescent="0.25">
      <c r="A718" s="32">
        <v>4380773</v>
      </c>
      <c r="B718" s="32" t="s">
        <v>21</v>
      </c>
      <c r="C718" s="33" t="s">
        <v>19</v>
      </c>
      <c r="D718" s="35">
        <v>45447</v>
      </c>
      <c r="E718" s="32" t="s">
        <v>185</v>
      </c>
      <c r="F718" s="32">
        <v>22026279</v>
      </c>
      <c r="G718" s="32" t="s">
        <v>350</v>
      </c>
      <c r="H718" s="26" t="s">
        <v>38</v>
      </c>
      <c r="I718" s="36">
        <v>250</v>
      </c>
      <c r="J718" s="32">
        <f>IF(MB25_VOLUMETRIA[[#This Row],[Reserva]]="","",1)</f>
        <v>1</v>
      </c>
      <c r="K718" s="36" t="str">
        <f>IF(MB25_VOLUMETRIA[[#This Row],[Reserva]]="","",IFERROR(VLOOKUP(MB25_VOLUMETRIA[[#This Row],[UMB]],CHAVE[],2,FALSE),"VERIFICAR"))</f>
        <v>Unidade</v>
      </c>
      <c r="L718" s="32" t="str">
        <f>IF(MB25_VOLUMETRIA[[#This Row],[Reserva]]="","",IFERROR(VLOOKUP(MB25_VOLUMETRIA[[#This Row],[Reserva]],Tabela3[[Reserva]:[Condição para Faturamento]],20,FALSE),"IMPORTADO COM SUCESSO"))</f>
        <v>EM RESSUPRIMENTO</v>
      </c>
      <c r="M718" s="32" t="str">
        <f ca="1">IFERROR(VLOOKUP(MB25_VOLUMETRIA[[#This Row],[Reserva]],RES_AB[],14,FALSE),"")</f>
        <v>RESERVAS EM ATRASO</v>
      </c>
      <c r="N718" s="32" t="str">
        <f>IF(MB25_VOLUMETRIA[[#This Row],[Cen.]]="","",IFERROR(VLOOKUP(MB25_VOLUMETRIA[[#This Row],[Cen.]],Dados_Empresas[],2,FALSE),"Verificar empresa"))</f>
        <v>NET MASSIVO</v>
      </c>
      <c r="O718" s="32" t="str">
        <f>IF(MB25_VOLUMETRIA[[#This Row],[EMPRESA]]="","",IF(OR(MB25_VOLUMETRIA[[#This Row],[EMPRESA]]="NET MASSIVO",MB25_VOLUMETRIA[[#This Row],[EMPRESA]]="NET PROJETOS"),"NET","EMPRESARIAL"))</f>
        <v>NET</v>
      </c>
    </row>
    <row r="719" spans="1:15" x14ac:dyDescent="0.25">
      <c r="A719" s="32">
        <v>4380773</v>
      </c>
      <c r="B719" s="32" t="s">
        <v>21</v>
      </c>
      <c r="C719" s="33" t="s">
        <v>21</v>
      </c>
      <c r="D719" s="35">
        <v>45447</v>
      </c>
      <c r="E719" s="32" t="s">
        <v>185</v>
      </c>
      <c r="F719" s="32">
        <v>22060422</v>
      </c>
      <c r="G719" s="32" t="s">
        <v>298</v>
      </c>
      <c r="H719" s="26" t="s">
        <v>38</v>
      </c>
      <c r="I719" s="36">
        <v>250</v>
      </c>
      <c r="J719" s="32">
        <f>IF(MB25_VOLUMETRIA[[#This Row],[Reserva]]="","",1)</f>
        <v>1</v>
      </c>
      <c r="K719" s="36" t="str">
        <f>IF(MB25_VOLUMETRIA[[#This Row],[Reserva]]="","",IFERROR(VLOOKUP(MB25_VOLUMETRIA[[#This Row],[UMB]],CHAVE[],2,FALSE),"VERIFICAR"))</f>
        <v>Unidade</v>
      </c>
      <c r="L719" s="32" t="str">
        <f>IF(MB25_VOLUMETRIA[[#This Row],[Reserva]]="","",IFERROR(VLOOKUP(MB25_VOLUMETRIA[[#This Row],[Reserva]],Tabela3[[Reserva]:[Condição para Faturamento]],20,FALSE),"IMPORTADO COM SUCESSO"))</f>
        <v>EM RESSUPRIMENTO</v>
      </c>
      <c r="M719" s="32" t="str">
        <f ca="1">IFERROR(VLOOKUP(MB25_VOLUMETRIA[[#This Row],[Reserva]],RES_AB[],14,FALSE),"")</f>
        <v>RESERVAS EM ATRASO</v>
      </c>
      <c r="N719" s="32" t="str">
        <f>IF(MB25_VOLUMETRIA[[#This Row],[Cen.]]="","",IFERROR(VLOOKUP(MB25_VOLUMETRIA[[#This Row],[Cen.]],Dados_Empresas[],2,FALSE),"Verificar empresa"))</f>
        <v>NET MASSIVO</v>
      </c>
      <c r="O719" s="32" t="str">
        <f>IF(MB25_VOLUMETRIA[[#This Row],[EMPRESA]]="","",IF(OR(MB25_VOLUMETRIA[[#This Row],[EMPRESA]]="NET MASSIVO",MB25_VOLUMETRIA[[#This Row],[EMPRESA]]="NET PROJETOS"),"NET","EMPRESARIAL"))</f>
        <v>NET</v>
      </c>
    </row>
    <row r="720" spans="1:15" x14ac:dyDescent="0.25">
      <c r="A720" s="32">
        <v>4380774</v>
      </c>
      <c r="B720" s="32" t="s">
        <v>21</v>
      </c>
      <c r="C720" s="33" t="s">
        <v>19</v>
      </c>
      <c r="D720" s="35">
        <v>45447</v>
      </c>
      <c r="E720" s="32" t="s">
        <v>184</v>
      </c>
      <c r="F720" s="32">
        <v>41001234</v>
      </c>
      <c r="G720" s="32" t="s">
        <v>189</v>
      </c>
      <c r="H720" s="26" t="s">
        <v>38</v>
      </c>
      <c r="I720" s="36">
        <v>250</v>
      </c>
      <c r="J720" s="32">
        <f>IF(MB25_VOLUMETRIA[[#This Row],[Reserva]]="","",1)</f>
        <v>1</v>
      </c>
      <c r="K720" s="36" t="str">
        <f>IF(MB25_VOLUMETRIA[[#This Row],[Reserva]]="","",IFERROR(VLOOKUP(MB25_VOLUMETRIA[[#This Row],[UMB]],CHAVE[],2,FALSE),"VERIFICAR"))</f>
        <v>Unidade</v>
      </c>
      <c r="L720" s="32" t="str">
        <f>IF(MB25_VOLUMETRIA[[#This Row],[Reserva]]="","",IFERROR(VLOOKUP(MB25_VOLUMETRIA[[#This Row],[Reserva]],Tabela3[[Reserva]:[Condição para Faturamento]],20,FALSE),"IMPORTADO COM SUCESSO"))</f>
        <v>EM RESSUPRIMENTO</v>
      </c>
      <c r="M720" s="32" t="str">
        <f ca="1">IFERROR(VLOOKUP(MB25_VOLUMETRIA[[#This Row],[Reserva]],RES_AB[],14,FALSE),"")</f>
        <v>RESERVAS EM ATRASO</v>
      </c>
      <c r="N720" s="32" t="str">
        <f>IF(MB25_VOLUMETRIA[[#This Row],[Cen.]]="","",IFERROR(VLOOKUP(MB25_VOLUMETRIA[[#This Row],[Cen.]],Dados_Empresas[],2,FALSE),"Verificar empresa"))</f>
        <v>NET MASSIVO</v>
      </c>
      <c r="O720" s="32" t="str">
        <f>IF(MB25_VOLUMETRIA[[#This Row],[EMPRESA]]="","",IF(OR(MB25_VOLUMETRIA[[#This Row],[EMPRESA]]="NET MASSIVO",MB25_VOLUMETRIA[[#This Row],[EMPRESA]]="NET PROJETOS"),"NET","EMPRESARIAL"))</f>
        <v>NET</v>
      </c>
    </row>
    <row r="721" spans="1:15" x14ac:dyDescent="0.25">
      <c r="A721" s="32">
        <v>4380774</v>
      </c>
      <c r="B721" s="32" t="s">
        <v>21</v>
      </c>
      <c r="C721" s="33" t="s">
        <v>19</v>
      </c>
      <c r="D721" s="35">
        <v>45447</v>
      </c>
      <c r="E721" s="32" t="s">
        <v>184</v>
      </c>
      <c r="F721" s="32">
        <v>41001276</v>
      </c>
      <c r="G721" s="32" t="s">
        <v>351</v>
      </c>
      <c r="H721" s="26" t="s">
        <v>38</v>
      </c>
      <c r="I721" s="36">
        <v>250</v>
      </c>
      <c r="J721" s="32">
        <f>IF(MB25_VOLUMETRIA[[#This Row],[Reserva]]="","",1)</f>
        <v>1</v>
      </c>
      <c r="K721" s="36" t="str">
        <f>IF(MB25_VOLUMETRIA[[#This Row],[Reserva]]="","",IFERROR(VLOOKUP(MB25_VOLUMETRIA[[#This Row],[UMB]],CHAVE[],2,FALSE),"VERIFICAR"))</f>
        <v>Unidade</v>
      </c>
      <c r="L721" s="32" t="str">
        <f>IF(MB25_VOLUMETRIA[[#This Row],[Reserva]]="","",IFERROR(VLOOKUP(MB25_VOLUMETRIA[[#This Row],[Reserva]],Tabela3[[Reserva]:[Condição para Faturamento]],20,FALSE),"IMPORTADO COM SUCESSO"))</f>
        <v>EM RESSUPRIMENTO</v>
      </c>
      <c r="M721" s="32" t="str">
        <f ca="1">IFERROR(VLOOKUP(MB25_VOLUMETRIA[[#This Row],[Reserva]],RES_AB[],14,FALSE),"")</f>
        <v>RESERVAS EM ATRASO</v>
      </c>
      <c r="N721" s="32" t="str">
        <f>IF(MB25_VOLUMETRIA[[#This Row],[Cen.]]="","",IFERROR(VLOOKUP(MB25_VOLUMETRIA[[#This Row],[Cen.]],Dados_Empresas[],2,FALSE),"Verificar empresa"))</f>
        <v>NET MASSIVO</v>
      </c>
      <c r="O721" s="32" t="str">
        <f>IF(MB25_VOLUMETRIA[[#This Row],[EMPRESA]]="","",IF(OR(MB25_VOLUMETRIA[[#This Row],[EMPRESA]]="NET MASSIVO",MB25_VOLUMETRIA[[#This Row],[EMPRESA]]="NET PROJETOS"),"NET","EMPRESARIAL"))</f>
        <v>NET</v>
      </c>
    </row>
    <row r="722" spans="1:15" x14ac:dyDescent="0.25">
      <c r="A722" s="32">
        <v>4380774</v>
      </c>
      <c r="B722" s="32" t="s">
        <v>21</v>
      </c>
      <c r="C722" s="33" t="s">
        <v>21</v>
      </c>
      <c r="D722" s="35">
        <v>45447</v>
      </c>
      <c r="E722" s="32" t="s">
        <v>184</v>
      </c>
      <c r="F722" s="32">
        <v>41001567</v>
      </c>
      <c r="G722" s="32" t="s">
        <v>354</v>
      </c>
      <c r="H722" s="26" t="s">
        <v>38</v>
      </c>
      <c r="I722" s="36">
        <v>40</v>
      </c>
      <c r="J722" s="32">
        <f>IF(MB25_VOLUMETRIA[[#This Row],[Reserva]]="","",1)</f>
        <v>1</v>
      </c>
      <c r="K722" s="36" t="str">
        <f>IF(MB25_VOLUMETRIA[[#This Row],[Reserva]]="","",IFERROR(VLOOKUP(MB25_VOLUMETRIA[[#This Row],[UMB]],CHAVE[],2,FALSE),"VERIFICAR"))</f>
        <v>Unidade</v>
      </c>
      <c r="L722" s="32" t="str">
        <f>IF(MB25_VOLUMETRIA[[#This Row],[Reserva]]="","",IFERROR(VLOOKUP(MB25_VOLUMETRIA[[#This Row],[Reserva]],Tabela3[[Reserva]:[Condição para Faturamento]],20,FALSE),"IMPORTADO COM SUCESSO"))</f>
        <v>EM RESSUPRIMENTO</v>
      </c>
      <c r="M722" s="32" t="str">
        <f ca="1">IFERROR(VLOOKUP(MB25_VOLUMETRIA[[#This Row],[Reserva]],RES_AB[],14,FALSE),"")</f>
        <v>RESERVAS EM ATRASO</v>
      </c>
      <c r="N722" s="32" t="str">
        <f>IF(MB25_VOLUMETRIA[[#This Row],[Cen.]]="","",IFERROR(VLOOKUP(MB25_VOLUMETRIA[[#This Row],[Cen.]],Dados_Empresas[],2,FALSE),"Verificar empresa"))</f>
        <v>NET MASSIVO</v>
      </c>
      <c r="O722" s="32" t="str">
        <f>IF(MB25_VOLUMETRIA[[#This Row],[EMPRESA]]="","",IF(OR(MB25_VOLUMETRIA[[#This Row],[EMPRESA]]="NET MASSIVO",MB25_VOLUMETRIA[[#This Row],[EMPRESA]]="NET PROJETOS"),"NET","EMPRESARIAL"))</f>
        <v>NET</v>
      </c>
    </row>
    <row r="723" spans="1:15" x14ac:dyDescent="0.25">
      <c r="A723" s="32">
        <v>4380774</v>
      </c>
      <c r="B723" s="32" t="s">
        <v>21</v>
      </c>
      <c r="C723" s="33" t="s">
        <v>21</v>
      </c>
      <c r="D723" s="35">
        <v>45447</v>
      </c>
      <c r="E723" s="32" t="s">
        <v>184</v>
      </c>
      <c r="F723" s="32">
        <v>41001573</v>
      </c>
      <c r="G723" s="32" t="s">
        <v>259</v>
      </c>
      <c r="H723" s="26" t="s">
        <v>38</v>
      </c>
      <c r="I723" s="36">
        <v>20</v>
      </c>
      <c r="J723" s="32">
        <f>IF(MB25_VOLUMETRIA[[#This Row],[Reserva]]="","",1)</f>
        <v>1</v>
      </c>
      <c r="K723" s="36" t="str">
        <f>IF(MB25_VOLUMETRIA[[#This Row],[Reserva]]="","",IFERROR(VLOOKUP(MB25_VOLUMETRIA[[#This Row],[UMB]],CHAVE[],2,FALSE),"VERIFICAR"))</f>
        <v>Unidade</v>
      </c>
      <c r="L723" s="32" t="str">
        <f>IF(MB25_VOLUMETRIA[[#This Row],[Reserva]]="","",IFERROR(VLOOKUP(MB25_VOLUMETRIA[[#This Row],[Reserva]],Tabela3[[Reserva]:[Condição para Faturamento]],20,FALSE),"IMPORTADO COM SUCESSO"))</f>
        <v>EM RESSUPRIMENTO</v>
      </c>
      <c r="M723" s="32" t="str">
        <f ca="1">IFERROR(VLOOKUP(MB25_VOLUMETRIA[[#This Row],[Reserva]],RES_AB[],14,FALSE),"")</f>
        <v>RESERVAS EM ATRASO</v>
      </c>
      <c r="N723" s="32" t="str">
        <f>IF(MB25_VOLUMETRIA[[#This Row],[Cen.]]="","",IFERROR(VLOOKUP(MB25_VOLUMETRIA[[#This Row],[Cen.]],Dados_Empresas[],2,FALSE),"Verificar empresa"))</f>
        <v>NET MASSIVO</v>
      </c>
      <c r="O723" s="32" t="str">
        <f>IF(MB25_VOLUMETRIA[[#This Row],[EMPRESA]]="","",IF(OR(MB25_VOLUMETRIA[[#This Row],[EMPRESA]]="NET MASSIVO",MB25_VOLUMETRIA[[#This Row],[EMPRESA]]="NET PROJETOS"),"NET","EMPRESARIAL"))</f>
        <v>NET</v>
      </c>
    </row>
    <row r="724" spans="1:15" x14ac:dyDescent="0.25">
      <c r="A724" s="32">
        <v>4380774</v>
      </c>
      <c r="B724" s="32" t="s">
        <v>21</v>
      </c>
      <c r="C724" s="33" t="s">
        <v>21</v>
      </c>
      <c r="D724" s="35">
        <v>45447</v>
      </c>
      <c r="E724" s="32" t="s">
        <v>184</v>
      </c>
      <c r="F724" s="32">
        <v>41001590</v>
      </c>
      <c r="G724" s="32" t="s">
        <v>239</v>
      </c>
      <c r="H724" s="26" t="s">
        <v>38</v>
      </c>
      <c r="I724" s="36">
        <v>30</v>
      </c>
      <c r="J724" s="32">
        <f>IF(MB25_VOLUMETRIA[[#This Row],[Reserva]]="","",1)</f>
        <v>1</v>
      </c>
      <c r="K724" s="36" t="str">
        <f>IF(MB25_VOLUMETRIA[[#This Row],[Reserva]]="","",IFERROR(VLOOKUP(MB25_VOLUMETRIA[[#This Row],[UMB]],CHAVE[],2,FALSE),"VERIFICAR"))</f>
        <v>Unidade</v>
      </c>
      <c r="L724" s="32" t="str">
        <f>IF(MB25_VOLUMETRIA[[#This Row],[Reserva]]="","",IFERROR(VLOOKUP(MB25_VOLUMETRIA[[#This Row],[Reserva]],Tabela3[[Reserva]:[Condição para Faturamento]],20,FALSE),"IMPORTADO COM SUCESSO"))</f>
        <v>EM RESSUPRIMENTO</v>
      </c>
      <c r="M724" s="32" t="str">
        <f ca="1">IFERROR(VLOOKUP(MB25_VOLUMETRIA[[#This Row],[Reserva]],RES_AB[],14,FALSE),"")</f>
        <v>RESERVAS EM ATRASO</v>
      </c>
      <c r="N724" s="32" t="str">
        <f>IF(MB25_VOLUMETRIA[[#This Row],[Cen.]]="","",IFERROR(VLOOKUP(MB25_VOLUMETRIA[[#This Row],[Cen.]],Dados_Empresas[],2,FALSE),"Verificar empresa"))</f>
        <v>NET MASSIVO</v>
      </c>
      <c r="O724" s="32" t="str">
        <f>IF(MB25_VOLUMETRIA[[#This Row],[EMPRESA]]="","",IF(OR(MB25_VOLUMETRIA[[#This Row],[EMPRESA]]="NET MASSIVO",MB25_VOLUMETRIA[[#This Row],[EMPRESA]]="NET PROJETOS"),"NET","EMPRESARIAL"))</f>
        <v>NET</v>
      </c>
    </row>
    <row r="725" spans="1:15" x14ac:dyDescent="0.25">
      <c r="A725" s="32">
        <v>4380775</v>
      </c>
      <c r="B725" s="32" t="s">
        <v>21</v>
      </c>
      <c r="C725" s="33" t="s">
        <v>19</v>
      </c>
      <c r="D725" s="35">
        <v>45447</v>
      </c>
      <c r="E725" s="32" t="s">
        <v>185</v>
      </c>
      <c r="F725" s="32">
        <v>22026293</v>
      </c>
      <c r="G725" s="32" t="s">
        <v>352</v>
      </c>
      <c r="H725" s="26" t="s">
        <v>38</v>
      </c>
      <c r="I725" s="36">
        <v>230</v>
      </c>
      <c r="J725" s="32">
        <f>IF(MB25_VOLUMETRIA[[#This Row],[Reserva]]="","",1)</f>
        <v>1</v>
      </c>
      <c r="K725" s="36" t="str">
        <f>IF(MB25_VOLUMETRIA[[#This Row],[Reserva]]="","",IFERROR(VLOOKUP(MB25_VOLUMETRIA[[#This Row],[UMB]],CHAVE[],2,FALSE),"VERIFICAR"))</f>
        <v>Unidade</v>
      </c>
      <c r="L725" s="32" t="str">
        <f>IF(MB25_VOLUMETRIA[[#This Row],[Reserva]]="","",IFERROR(VLOOKUP(MB25_VOLUMETRIA[[#This Row],[Reserva]],Tabela3[[Reserva]:[Condição para Faturamento]],20,FALSE),"IMPORTADO COM SUCESSO"))</f>
        <v>EM RESSUPRIMENTO</v>
      </c>
      <c r="M725" s="32" t="str">
        <f ca="1">IFERROR(VLOOKUP(MB25_VOLUMETRIA[[#This Row],[Reserva]],RES_AB[],14,FALSE),"")</f>
        <v>RESERVAS EM ATRASO</v>
      </c>
      <c r="N725" s="32" t="str">
        <f>IF(MB25_VOLUMETRIA[[#This Row],[Cen.]]="","",IFERROR(VLOOKUP(MB25_VOLUMETRIA[[#This Row],[Cen.]],Dados_Empresas[],2,FALSE),"Verificar empresa"))</f>
        <v>NET MASSIVO</v>
      </c>
      <c r="O725" s="32" t="str">
        <f>IF(MB25_VOLUMETRIA[[#This Row],[EMPRESA]]="","",IF(OR(MB25_VOLUMETRIA[[#This Row],[EMPRESA]]="NET MASSIVO",MB25_VOLUMETRIA[[#This Row],[EMPRESA]]="NET PROJETOS"),"NET","EMPRESARIAL"))</f>
        <v>NET</v>
      </c>
    </row>
    <row r="726" spans="1:15" x14ac:dyDescent="0.25">
      <c r="A726" s="32">
        <v>4380775</v>
      </c>
      <c r="B726" s="32" t="s">
        <v>21</v>
      </c>
      <c r="C726" s="33" t="s">
        <v>19</v>
      </c>
      <c r="D726" s="35">
        <v>45447</v>
      </c>
      <c r="E726" s="32" t="s">
        <v>185</v>
      </c>
      <c r="F726" s="32">
        <v>22026297</v>
      </c>
      <c r="G726" s="32" t="s">
        <v>355</v>
      </c>
      <c r="H726" s="26" t="s">
        <v>38</v>
      </c>
      <c r="I726" s="36">
        <v>120</v>
      </c>
      <c r="J726" s="32">
        <f>IF(MB25_VOLUMETRIA[[#This Row],[Reserva]]="","",1)</f>
        <v>1</v>
      </c>
      <c r="K726" s="36" t="str">
        <f>IF(MB25_VOLUMETRIA[[#This Row],[Reserva]]="","",IFERROR(VLOOKUP(MB25_VOLUMETRIA[[#This Row],[UMB]],CHAVE[],2,FALSE),"VERIFICAR"))</f>
        <v>Unidade</v>
      </c>
      <c r="L726" s="32" t="str">
        <f>IF(MB25_VOLUMETRIA[[#This Row],[Reserva]]="","",IFERROR(VLOOKUP(MB25_VOLUMETRIA[[#This Row],[Reserva]],Tabela3[[Reserva]:[Condição para Faturamento]],20,FALSE),"IMPORTADO COM SUCESSO"))</f>
        <v>EM RESSUPRIMENTO</v>
      </c>
      <c r="M726" s="32" t="str">
        <f ca="1">IFERROR(VLOOKUP(MB25_VOLUMETRIA[[#This Row],[Reserva]],RES_AB[],14,FALSE),"")</f>
        <v>RESERVAS EM ATRASO</v>
      </c>
      <c r="N726" s="32" t="str">
        <f>IF(MB25_VOLUMETRIA[[#This Row],[Cen.]]="","",IFERROR(VLOOKUP(MB25_VOLUMETRIA[[#This Row],[Cen.]],Dados_Empresas[],2,FALSE),"Verificar empresa"))</f>
        <v>NET MASSIVO</v>
      </c>
      <c r="O726" s="32" t="str">
        <f>IF(MB25_VOLUMETRIA[[#This Row],[EMPRESA]]="","",IF(OR(MB25_VOLUMETRIA[[#This Row],[EMPRESA]]="NET MASSIVO",MB25_VOLUMETRIA[[#This Row],[EMPRESA]]="NET PROJETOS"),"NET","EMPRESARIAL"))</f>
        <v>NET</v>
      </c>
    </row>
    <row r="727" spans="1:15" x14ac:dyDescent="0.25">
      <c r="A727" s="32">
        <v>4380775</v>
      </c>
      <c r="B727" s="32" t="s">
        <v>21</v>
      </c>
      <c r="C727" s="33" t="s">
        <v>21</v>
      </c>
      <c r="D727" s="35">
        <v>45447</v>
      </c>
      <c r="E727" s="32" t="s">
        <v>185</v>
      </c>
      <c r="F727" s="32">
        <v>22060422</v>
      </c>
      <c r="G727" s="32" t="s">
        <v>298</v>
      </c>
      <c r="H727" s="26" t="s">
        <v>38</v>
      </c>
      <c r="I727" s="36">
        <v>120</v>
      </c>
      <c r="J727" s="32">
        <f>IF(MB25_VOLUMETRIA[[#This Row],[Reserva]]="","",1)</f>
        <v>1</v>
      </c>
      <c r="K727" s="36" t="str">
        <f>IF(MB25_VOLUMETRIA[[#This Row],[Reserva]]="","",IFERROR(VLOOKUP(MB25_VOLUMETRIA[[#This Row],[UMB]],CHAVE[],2,FALSE),"VERIFICAR"))</f>
        <v>Unidade</v>
      </c>
      <c r="L727" s="32" t="str">
        <f>IF(MB25_VOLUMETRIA[[#This Row],[Reserva]]="","",IFERROR(VLOOKUP(MB25_VOLUMETRIA[[#This Row],[Reserva]],Tabela3[[Reserva]:[Condição para Faturamento]],20,FALSE),"IMPORTADO COM SUCESSO"))</f>
        <v>EM RESSUPRIMENTO</v>
      </c>
      <c r="M727" s="32" t="str">
        <f ca="1">IFERROR(VLOOKUP(MB25_VOLUMETRIA[[#This Row],[Reserva]],RES_AB[],14,FALSE),"")</f>
        <v>RESERVAS EM ATRASO</v>
      </c>
      <c r="N727" s="32" t="str">
        <f>IF(MB25_VOLUMETRIA[[#This Row],[Cen.]]="","",IFERROR(VLOOKUP(MB25_VOLUMETRIA[[#This Row],[Cen.]],Dados_Empresas[],2,FALSE),"Verificar empresa"))</f>
        <v>NET MASSIVO</v>
      </c>
      <c r="O727" s="32" t="str">
        <f>IF(MB25_VOLUMETRIA[[#This Row],[EMPRESA]]="","",IF(OR(MB25_VOLUMETRIA[[#This Row],[EMPRESA]]="NET MASSIVO",MB25_VOLUMETRIA[[#This Row],[EMPRESA]]="NET PROJETOS"),"NET","EMPRESARIAL"))</f>
        <v>NET</v>
      </c>
    </row>
    <row r="728" spans="1:15" x14ac:dyDescent="0.25">
      <c r="A728" s="32">
        <v>4380776</v>
      </c>
      <c r="B728" s="32" t="s">
        <v>21</v>
      </c>
      <c r="C728" s="33" t="s">
        <v>19</v>
      </c>
      <c r="D728" s="35">
        <v>45447</v>
      </c>
      <c r="E728" s="32" t="s">
        <v>184</v>
      </c>
      <c r="F728" s="32">
        <v>41001234</v>
      </c>
      <c r="G728" s="32" t="s">
        <v>189</v>
      </c>
      <c r="H728" s="26" t="s">
        <v>38</v>
      </c>
      <c r="I728" s="36">
        <v>120</v>
      </c>
      <c r="J728" s="32">
        <f>IF(MB25_VOLUMETRIA[[#This Row],[Reserva]]="","",1)</f>
        <v>1</v>
      </c>
      <c r="K728" s="36" t="str">
        <f>IF(MB25_VOLUMETRIA[[#This Row],[Reserva]]="","",IFERROR(VLOOKUP(MB25_VOLUMETRIA[[#This Row],[UMB]],CHAVE[],2,FALSE),"VERIFICAR"))</f>
        <v>Unidade</v>
      </c>
      <c r="L728" s="32" t="str">
        <f>IF(MB25_VOLUMETRIA[[#This Row],[Reserva]]="","",IFERROR(VLOOKUP(MB25_VOLUMETRIA[[#This Row],[Reserva]],Tabela3[[Reserva]:[Condição para Faturamento]],20,FALSE),"IMPORTADO COM SUCESSO"))</f>
        <v>EM RESSUPRIMENTO</v>
      </c>
      <c r="M728" s="32" t="str">
        <f ca="1">IFERROR(VLOOKUP(MB25_VOLUMETRIA[[#This Row],[Reserva]],RES_AB[],14,FALSE),"")</f>
        <v>RESERVAS EM ATRASO</v>
      </c>
      <c r="N728" s="32" t="str">
        <f>IF(MB25_VOLUMETRIA[[#This Row],[Cen.]]="","",IFERROR(VLOOKUP(MB25_VOLUMETRIA[[#This Row],[Cen.]],Dados_Empresas[],2,FALSE),"Verificar empresa"))</f>
        <v>NET MASSIVO</v>
      </c>
      <c r="O728" s="32" t="str">
        <f>IF(MB25_VOLUMETRIA[[#This Row],[EMPRESA]]="","",IF(OR(MB25_VOLUMETRIA[[#This Row],[EMPRESA]]="NET MASSIVO",MB25_VOLUMETRIA[[#This Row],[EMPRESA]]="NET PROJETOS"),"NET","EMPRESARIAL"))</f>
        <v>NET</v>
      </c>
    </row>
    <row r="729" spans="1:15" x14ac:dyDescent="0.25">
      <c r="A729" s="32">
        <v>4380776</v>
      </c>
      <c r="B729" s="32" t="s">
        <v>21</v>
      </c>
      <c r="C729" s="33" t="s">
        <v>19</v>
      </c>
      <c r="D729" s="35">
        <v>45447</v>
      </c>
      <c r="E729" s="32" t="s">
        <v>184</v>
      </c>
      <c r="F729" s="32">
        <v>41001275</v>
      </c>
      <c r="G729" s="32" t="s">
        <v>356</v>
      </c>
      <c r="H729" s="26" t="s">
        <v>38</v>
      </c>
      <c r="I729" s="36">
        <v>120</v>
      </c>
      <c r="J729" s="32">
        <f>IF(MB25_VOLUMETRIA[[#This Row],[Reserva]]="","",1)</f>
        <v>1</v>
      </c>
      <c r="K729" s="36" t="str">
        <f>IF(MB25_VOLUMETRIA[[#This Row],[Reserva]]="","",IFERROR(VLOOKUP(MB25_VOLUMETRIA[[#This Row],[UMB]],CHAVE[],2,FALSE),"VERIFICAR"))</f>
        <v>Unidade</v>
      </c>
      <c r="L729" s="32" t="str">
        <f>IF(MB25_VOLUMETRIA[[#This Row],[Reserva]]="","",IFERROR(VLOOKUP(MB25_VOLUMETRIA[[#This Row],[Reserva]],Tabela3[[Reserva]:[Condição para Faturamento]],20,FALSE),"IMPORTADO COM SUCESSO"))</f>
        <v>EM RESSUPRIMENTO</v>
      </c>
      <c r="M729" s="32" t="str">
        <f ca="1">IFERROR(VLOOKUP(MB25_VOLUMETRIA[[#This Row],[Reserva]],RES_AB[],14,FALSE),"")</f>
        <v>RESERVAS EM ATRASO</v>
      </c>
      <c r="N729" s="32" t="str">
        <f>IF(MB25_VOLUMETRIA[[#This Row],[Cen.]]="","",IFERROR(VLOOKUP(MB25_VOLUMETRIA[[#This Row],[Cen.]],Dados_Empresas[],2,FALSE),"Verificar empresa"))</f>
        <v>NET MASSIVO</v>
      </c>
      <c r="O729" s="32" t="str">
        <f>IF(MB25_VOLUMETRIA[[#This Row],[EMPRESA]]="","",IF(OR(MB25_VOLUMETRIA[[#This Row],[EMPRESA]]="NET MASSIVO",MB25_VOLUMETRIA[[#This Row],[EMPRESA]]="NET PROJETOS"),"NET","EMPRESARIAL"))</f>
        <v>NET</v>
      </c>
    </row>
    <row r="730" spans="1:15" x14ac:dyDescent="0.25">
      <c r="A730" s="32">
        <v>4380776</v>
      </c>
      <c r="B730" s="32" t="s">
        <v>21</v>
      </c>
      <c r="C730" s="33" t="s">
        <v>19</v>
      </c>
      <c r="D730" s="35">
        <v>45447</v>
      </c>
      <c r="E730" s="32" t="s">
        <v>184</v>
      </c>
      <c r="F730" s="32">
        <v>41001292</v>
      </c>
      <c r="G730" s="32" t="s">
        <v>353</v>
      </c>
      <c r="H730" s="26" t="s">
        <v>38</v>
      </c>
      <c r="I730" s="36">
        <v>230</v>
      </c>
      <c r="J730" s="32">
        <f>IF(MB25_VOLUMETRIA[[#This Row],[Reserva]]="","",1)</f>
        <v>1</v>
      </c>
      <c r="K730" s="36" t="str">
        <f>IF(MB25_VOLUMETRIA[[#This Row],[Reserva]]="","",IFERROR(VLOOKUP(MB25_VOLUMETRIA[[#This Row],[UMB]],CHAVE[],2,FALSE),"VERIFICAR"))</f>
        <v>Unidade</v>
      </c>
      <c r="L730" s="32" t="str">
        <f>IF(MB25_VOLUMETRIA[[#This Row],[Reserva]]="","",IFERROR(VLOOKUP(MB25_VOLUMETRIA[[#This Row],[Reserva]],Tabela3[[Reserva]:[Condição para Faturamento]],20,FALSE),"IMPORTADO COM SUCESSO"))</f>
        <v>EM RESSUPRIMENTO</v>
      </c>
      <c r="M730" s="32" t="str">
        <f ca="1">IFERROR(VLOOKUP(MB25_VOLUMETRIA[[#This Row],[Reserva]],RES_AB[],14,FALSE),"")</f>
        <v>RESERVAS EM ATRASO</v>
      </c>
      <c r="N730" s="32" t="str">
        <f>IF(MB25_VOLUMETRIA[[#This Row],[Cen.]]="","",IFERROR(VLOOKUP(MB25_VOLUMETRIA[[#This Row],[Cen.]],Dados_Empresas[],2,FALSE),"Verificar empresa"))</f>
        <v>NET MASSIVO</v>
      </c>
      <c r="O730" s="32" t="str">
        <f>IF(MB25_VOLUMETRIA[[#This Row],[EMPRESA]]="","",IF(OR(MB25_VOLUMETRIA[[#This Row],[EMPRESA]]="NET MASSIVO",MB25_VOLUMETRIA[[#This Row],[EMPRESA]]="NET PROJETOS"),"NET","EMPRESARIAL"))</f>
        <v>NET</v>
      </c>
    </row>
    <row r="731" spans="1:15" x14ac:dyDescent="0.25">
      <c r="A731" s="32">
        <v>4380776</v>
      </c>
      <c r="B731" s="32" t="s">
        <v>21</v>
      </c>
      <c r="C731" s="33" t="s">
        <v>21</v>
      </c>
      <c r="D731" s="35">
        <v>45447</v>
      </c>
      <c r="E731" s="32" t="s">
        <v>184</v>
      </c>
      <c r="F731" s="32">
        <v>41001573</v>
      </c>
      <c r="G731" s="32" t="s">
        <v>259</v>
      </c>
      <c r="H731" s="26" t="s">
        <v>38</v>
      </c>
      <c r="I731" s="36">
        <v>20</v>
      </c>
      <c r="J731" s="32">
        <f>IF(MB25_VOLUMETRIA[[#This Row],[Reserva]]="","",1)</f>
        <v>1</v>
      </c>
      <c r="K731" s="36" t="str">
        <f>IF(MB25_VOLUMETRIA[[#This Row],[Reserva]]="","",IFERROR(VLOOKUP(MB25_VOLUMETRIA[[#This Row],[UMB]],CHAVE[],2,FALSE),"VERIFICAR"))</f>
        <v>Unidade</v>
      </c>
      <c r="L731" s="32" t="str">
        <f>IF(MB25_VOLUMETRIA[[#This Row],[Reserva]]="","",IFERROR(VLOOKUP(MB25_VOLUMETRIA[[#This Row],[Reserva]],Tabela3[[Reserva]:[Condição para Faturamento]],20,FALSE),"IMPORTADO COM SUCESSO"))</f>
        <v>EM RESSUPRIMENTO</v>
      </c>
      <c r="M731" s="32" t="str">
        <f ca="1">IFERROR(VLOOKUP(MB25_VOLUMETRIA[[#This Row],[Reserva]],RES_AB[],14,FALSE),"")</f>
        <v>RESERVAS EM ATRASO</v>
      </c>
      <c r="N731" s="32" t="str">
        <f>IF(MB25_VOLUMETRIA[[#This Row],[Cen.]]="","",IFERROR(VLOOKUP(MB25_VOLUMETRIA[[#This Row],[Cen.]],Dados_Empresas[],2,FALSE),"Verificar empresa"))</f>
        <v>NET MASSIVO</v>
      </c>
      <c r="O731" s="32" t="str">
        <f>IF(MB25_VOLUMETRIA[[#This Row],[EMPRESA]]="","",IF(OR(MB25_VOLUMETRIA[[#This Row],[EMPRESA]]="NET MASSIVO",MB25_VOLUMETRIA[[#This Row],[EMPRESA]]="NET PROJETOS"),"NET","EMPRESARIAL"))</f>
        <v>NET</v>
      </c>
    </row>
    <row r="732" spans="1:15" x14ac:dyDescent="0.25">
      <c r="A732" s="32">
        <v>4380779</v>
      </c>
      <c r="B732" s="32" t="s">
        <v>21</v>
      </c>
      <c r="C732" s="33" t="s">
        <v>19</v>
      </c>
      <c r="D732" s="35">
        <v>45447</v>
      </c>
      <c r="E732" s="32" t="s">
        <v>185</v>
      </c>
      <c r="F732" s="32">
        <v>22026293</v>
      </c>
      <c r="G732" s="32" t="s">
        <v>352</v>
      </c>
      <c r="H732" s="26" t="s">
        <v>38</v>
      </c>
      <c r="I732" s="36">
        <v>140</v>
      </c>
      <c r="J732" s="32">
        <f>IF(MB25_VOLUMETRIA[[#This Row],[Reserva]]="","",1)</f>
        <v>1</v>
      </c>
      <c r="K732" s="36" t="str">
        <f>IF(MB25_VOLUMETRIA[[#This Row],[Reserva]]="","",IFERROR(VLOOKUP(MB25_VOLUMETRIA[[#This Row],[UMB]],CHAVE[],2,FALSE),"VERIFICAR"))</f>
        <v>Unidade</v>
      </c>
      <c r="L732" s="32" t="str">
        <f>IF(MB25_VOLUMETRIA[[#This Row],[Reserva]]="","",IFERROR(VLOOKUP(MB25_VOLUMETRIA[[#This Row],[Reserva]],Tabela3[[Reserva]:[Condição para Faturamento]],20,FALSE),"IMPORTADO COM SUCESSO"))</f>
        <v>EM RESSUPRIMENTO</v>
      </c>
      <c r="M732" s="32" t="str">
        <f ca="1">IFERROR(VLOOKUP(MB25_VOLUMETRIA[[#This Row],[Reserva]],RES_AB[],14,FALSE),"")</f>
        <v>RESERVAS EM ATRASO</v>
      </c>
      <c r="N732" s="32" t="str">
        <f>IF(MB25_VOLUMETRIA[[#This Row],[Cen.]]="","",IFERROR(VLOOKUP(MB25_VOLUMETRIA[[#This Row],[Cen.]],Dados_Empresas[],2,FALSE),"Verificar empresa"))</f>
        <v>NET MASSIVO</v>
      </c>
      <c r="O732" s="32" t="str">
        <f>IF(MB25_VOLUMETRIA[[#This Row],[EMPRESA]]="","",IF(OR(MB25_VOLUMETRIA[[#This Row],[EMPRESA]]="NET MASSIVO",MB25_VOLUMETRIA[[#This Row],[EMPRESA]]="NET PROJETOS"),"NET","EMPRESARIAL"))</f>
        <v>NET</v>
      </c>
    </row>
    <row r="733" spans="1:15" x14ac:dyDescent="0.25">
      <c r="A733" s="32">
        <v>4380779</v>
      </c>
      <c r="B733" s="32" t="s">
        <v>21</v>
      </c>
      <c r="C733" s="33" t="s">
        <v>19</v>
      </c>
      <c r="D733" s="35">
        <v>45447</v>
      </c>
      <c r="E733" s="32" t="s">
        <v>185</v>
      </c>
      <c r="F733" s="32">
        <v>22026297</v>
      </c>
      <c r="G733" s="32" t="s">
        <v>355</v>
      </c>
      <c r="H733" s="26" t="s">
        <v>38</v>
      </c>
      <c r="I733" s="36">
        <v>670</v>
      </c>
      <c r="J733" s="32">
        <f>IF(MB25_VOLUMETRIA[[#This Row],[Reserva]]="","",1)</f>
        <v>1</v>
      </c>
      <c r="K733" s="36" t="str">
        <f>IF(MB25_VOLUMETRIA[[#This Row],[Reserva]]="","",IFERROR(VLOOKUP(MB25_VOLUMETRIA[[#This Row],[UMB]],CHAVE[],2,FALSE),"VERIFICAR"))</f>
        <v>Unidade</v>
      </c>
      <c r="L733" s="32" t="str">
        <f>IF(MB25_VOLUMETRIA[[#This Row],[Reserva]]="","",IFERROR(VLOOKUP(MB25_VOLUMETRIA[[#This Row],[Reserva]],Tabela3[[Reserva]:[Condição para Faturamento]],20,FALSE),"IMPORTADO COM SUCESSO"))</f>
        <v>EM RESSUPRIMENTO</v>
      </c>
      <c r="M733" s="32" t="str">
        <f ca="1">IFERROR(VLOOKUP(MB25_VOLUMETRIA[[#This Row],[Reserva]],RES_AB[],14,FALSE),"")</f>
        <v>RESERVAS EM ATRASO</v>
      </c>
      <c r="N733" s="32" t="str">
        <f>IF(MB25_VOLUMETRIA[[#This Row],[Cen.]]="","",IFERROR(VLOOKUP(MB25_VOLUMETRIA[[#This Row],[Cen.]],Dados_Empresas[],2,FALSE),"Verificar empresa"))</f>
        <v>NET MASSIVO</v>
      </c>
      <c r="O733" s="32" t="str">
        <f>IF(MB25_VOLUMETRIA[[#This Row],[EMPRESA]]="","",IF(OR(MB25_VOLUMETRIA[[#This Row],[EMPRESA]]="NET MASSIVO",MB25_VOLUMETRIA[[#This Row],[EMPRESA]]="NET PROJETOS"),"NET","EMPRESARIAL"))</f>
        <v>NET</v>
      </c>
    </row>
    <row r="734" spans="1:15" x14ac:dyDescent="0.25">
      <c r="A734" s="32">
        <v>4380779</v>
      </c>
      <c r="B734" s="32" t="s">
        <v>21</v>
      </c>
      <c r="C734" s="33" t="s">
        <v>21</v>
      </c>
      <c r="D734" s="35">
        <v>45447</v>
      </c>
      <c r="E734" s="32" t="s">
        <v>185</v>
      </c>
      <c r="F734" s="32">
        <v>22060422</v>
      </c>
      <c r="G734" s="32" t="s">
        <v>298</v>
      </c>
      <c r="H734" s="26" t="s">
        <v>38</v>
      </c>
      <c r="I734" s="36">
        <v>670</v>
      </c>
      <c r="J734" s="32">
        <f>IF(MB25_VOLUMETRIA[[#This Row],[Reserva]]="","",1)</f>
        <v>1</v>
      </c>
      <c r="K734" s="36" t="str">
        <f>IF(MB25_VOLUMETRIA[[#This Row],[Reserva]]="","",IFERROR(VLOOKUP(MB25_VOLUMETRIA[[#This Row],[UMB]],CHAVE[],2,FALSE),"VERIFICAR"))</f>
        <v>Unidade</v>
      </c>
      <c r="L734" s="32" t="str">
        <f>IF(MB25_VOLUMETRIA[[#This Row],[Reserva]]="","",IFERROR(VLOOKUP(MB25_VOLUMETRIA[[#This Row],[Reserva]],Tabela3[[Reserva]:[Condição para Faturamento]],20,FALSE),"IMPORTADO COM SUCESSO"))</f>
        <v>EM RESSUPRIMENTO</v>
      </c>
      <c r="M734" s="32" t="str">
        <f ca="1">IFERROR(VLOOKUP(MB25_VOLUMETRIA[[#This Row],[Reserva]],RES_AB[],14,FALSE),"")</f>
        <v>RESERVAS EM ATRASO</v>
      </c>
      <c r="N734" s="32" t="str">
        <f>IF(MB25_VOLUMETRIA[[#This Row],[Cen.]]="","",IFERROR(VLOOKUP(MB25_VOLUMETRIA[[#This Row],[Cen.]],Dados_Empresas[],2,FALSE),"Verificar empresa"))</f>
        <v>NET MASSIVO</v>
      </c>
      <c r="O734" s="32" t="str">
        <f>IF(MB25_VOLUMETRIA[[#This Row],[EMPRESA]]="","",IF(OR(MB25_VOLUMETRIA[[#This Row],[EMPRESA]]="NET MASSIVO",MB25_VOLUMETRIA[[#This Row],[EMPRESA]]="NET PROJETOS"),"NET","EMPRESARIAL"))</f>
        <v>NET</v>
      </c>
    </row>
    <row r="735" spans="1:15" x14ac:dyDescent="0.25">
      <c r="A735" s="32">
        <v>4380780</v>
      </c>
      <c r="B735" s="32" t="s">
        <v>21</v>
      </c>
      <c r="C735" s="33" t="s">
        <v>19</v>
      </c>
      <c r="D735" s="35">
        <v>45447</v>
      </c>
      <c r="E735" s="32" t="s">
        <v>184</v>
      </c>
      <c r="F735" s="32">
        <v>41001234</v>
      </c>
      <c r="G735" s="32" t="s">
        <v>189</v>
      </c>
      <c r="H735" s="26" t="s">
        <v>38</v>
      </c>
      <c r="I735" s="36">
        <v>670</v>
      </c>
      <c r="J735" s="32">
        <f>IF(MB25_VOLUMETRIA[[#This Row],[Reserva]]="","",1)</f>
        <v>1</v>
      </c>
      <c r="K735" s="36" t="str">
        <f>IF(MB25_VOLUMETRIA[[#This Row],[Reserva]]="","",IFERROR(VLOOKUP(MB25_VOLUMETRIA[[#This Row],[UMB]],CHAVE[],2,FALSE),"VERIFICAR"))</f>
        <v>Unidade</v>
      </c>
      <c r="L735" s="32" t="str">
        <f>IF(MB25_VOLUMETRIA[[#This Row],[Reserva]]="","",IFERROR(VLOOKUP(MB25_VOLUMETRIA[[#This Row],[Reserva]],Tabela3[[Reserva]:[Condição para Faturamento]],20,FALSE),"IMPORTADO COM SUCESSO"))</f>
        <v>IMPORTADO</v>
      </c>
      <c r="M735" s="32" t="str">
        <f ca="1">IFERROR(VLOOKUP(MB25_VOLUMETRIA[[#This Row],[Reserva]],RES_AB[],14,FALSE),"")</f>
        <v>RESERVAS EM ATRASO</v>
      </c>
      <c r="N735" s="32" t="str">
        <f>IF(MB25_VOLUMETRIA[[#This Row],[Cen.]]="","",IFERROR(VLOOKUP(MB25_VOLUMETRIA[[#This Row],[Cen.]],Dados_Empresas[],2,FALSE),"Verificar empresa"))</f>
        <v>NET MASSIVO</v>
      </c>
      <c r="O735" s="32" t="str">
        <f>IF(MB25_VOLUMETRIA[[#This Row],[EMPRESA]]="","",IF(OR(MB25_VOLUMETRIA[[#This Row],[EMPRESA]]="NET MASSIVO",MB25_VOLUMETRIA[[#This Row],[EMPRESA]]="NET PROJETOS"),"NET","EMPRESARIAL"))</f>
        <v>NET</v>
      </c>
    </row>
    <row r="736" spans="1:15" x14ac:dyDescent="0.25">
      <c r="A736" s="32">
        <v>4380780</v>
      </c>
      <c r="B736" s="32" t="s">
        <v>21</v>
      </c>
      <c r="C736" s="33" t="s">
        <v>19</v>
      </c>
      <c r="D736" s="35">
        <v>45447</v>
      </c>
      <c r="E736" s="32" t="s">
        <v>184</v>
      </c>
      <c r="F736" s="32">
        <v>41001275</v>
      </c>
      <c r="G736" s="32" t="s">
        <v>356</v>
      </c>
      <c r="H736" s="26" t="s">
        <v>38</v>
      </c>
      <c r="I736" s="36">
        <v>670</v>
      </c>
      <c r="J736" s="32">
        <f>IF(MB25_VOLUMETRIA[[#This Row],[Reserva]]="","",1)</f>
        <v>1</v>
      </c>
      <c r="K736" s="36" t="str">
        <f>IF(MB25_VOLUMETRIA[[#This Row],[Reserva]]="","",IFERROR(VLOOKUP(MB25_VOLUMETRIA[[#This Row],[UMB]],CHAVE[],2,FALSE),"VERIFICAR"))</f>
        <v>Unidade</v>
      </c>
      <c r="L736" s="32" t="str">
        <f>IF(MB25_VOLUMETRIA[[#This Row],[Reserva]]="","",IFERROR(VLOOKUP(MB25_VOLUMETRIA[[#This Row],[Reserva]],Tabela3[[Reserva]:[Condição para Faturamento]],20,FALSE),"IMPORTADO COM SUCESSO"))</f>
        <v>IMPORTADO</v>
      </c>
      <c r="M736" s="32" t="str">
        <f ca="1">IFERROR(VLOOKUP(MB25_VOLUMETRIA[[#This Row],[Reserva]],RES_AB[],14,FALSE),"")</f>
        <v>RESERVAS EM ATRASO</v>
      </c>
      <c r="N736" s="32" t="str">
        <f>IF(MB25_VOLUMETRIA[[#This Row],[Cen.]]="","",IFERROR(VLOOKUP(MB25_VOLUMETRIA[[#This Row],[Cen.]],Dados_Empresas[],2,FALSE),"Verificar empresa"))</f>
        <v>NET MASSIVO</v>
      </c>
      <c r="O736" s="32" t="str">
        <f>IF(MB25_VOLUMETRIA[[#This Row],[EMPRESA]]="","",IF(OR(MB25_VOLUMETRIA[[#This Row],[EMPRESA]]="NET MASSIVO",MB25_VOLUMETRIA[[#This Row],[EMPRESA]]="NET PROJETOS"),"NET","EMPRESARIAL"))</f>
        <v>NET</v>
      </c>
    </row>
    <row r="737" spans="1:15" x14ac:dyDescent="0.25">
      <c r="A737" s="32">
        <v>4380780</v>
      </c>
      <c r="B737" s="32" t="s">
        <v>21</v>
      </c>
      <c r="C737" s="33" t="s">
        <v>19</v>
      </c>
      <c r="D737" s="35">
        <v>45447</v>
      </c>
      <c r="E737" s="32" t="s">
        <v>184</v>
      </c>
      <c r="F737" s="32">
        <v>41001292</v>
      </c>
      <c r="G737" s="32" t="s">
        <v>353</v>
      </c>
      <c r="H737" s="26" t="s">
        <v>38</v>
      </c>
      <c r="I737" s="36">
        <v>140</v>
      </c>
      <c r="J737" s="32">
        <f>IF(MB25_VOLUMETRIA[[#This Row],[Reserva]]="","",1)</f>
        <v>1</v>
      </c>
      <c r="K737" s="36" t="str">
        <f>IF(MB25_VOLUMETRIA[[#This Row],[Reserva]]="","",IFERROR(VLOOKUP(MB25_VOLUMETRIA[[#This Row],[UMB]],CHAVE[],2,FALSE),"VERIFICAR"))</f>
        <v>Unidade</v>
      </c>
      <c r="L737" s="32" t="str">
        <f>IF(MB25_VOLUMETRIA[[#This Row],[Reserva]]="","",IFERROR(VLOOKUP(MB25_VOLUMETRIA[[#This Row],[Reserva]],Tabela3[[Reserva]:[Condição para Faturamento]],20,FALSE),"IMPORTADO COM SUCESSO"))</f>
        <v>IMPORTADO</v>
      </c>
      <c r="M737" s="32" t="str">
        <f ca="1">IFERROR(VLOOKUP(MB25_VOLUMETRIA[[#This Row],[Reserva]],RES_AB[],14,FALSE),"")</f>
        <v>RESERVAS EM ATRASO</v>
      </c>
      <c r="N737" s="32" t="str">
        <f>IF(MB25_VOLUMETRIA[[#This Row],[Cen.]]="","",IFERROR(VLOOKUP(MB25_VOLUMETRIA[[#This Row],[Cen.]],Dados_Empresas[],2,FALSE),"Verificar empresa"))</f>
        <v>NET MASSIVO</v>
      </c>
      <c r="O737" s="32" t="str">
        <f>IF(MB25_VOLUMETRIA[[#This Row],[EMPRESA]]="","",IF(OR(MB25_VOLUMETRIA[[#This Row],[EMPRESA]]="NET MASSIVO",MB25_VOLUMETRIA[[#This Row],[EMPRESA]]="NET PROJETOS"),"NET","EMPRESARIAL"))</f>
        <v>NET</v>
      </c>
    </row>
    <row r="738" spans="1:15" x14ac:dyDescent="0.25">
      <c r="A738" s="32">
        <v>4381062</v>
      </c>
      <c r="B738" s="32" t="s">
        <v>21</v>
      </c>
      <c r="C738" s="33" t="s">
        <v>19</v>
      </c>
      <c r="D738" s="35">
        <v>45447</v>
      </c>
      <c r="E738" s="32" t="s">
        <v>185</v>
      </c>
      <c r="F738" s="32">
        <v>22026293</v>
      </c>
      <c r="G738" s="32" t="s">
        <v>352</v>
      </c>
      <c r="H738" s="26" t="s">
        <v>38</v>
      </c>
      <c r="I738" s="36">
        <v>40</v>
      </c>
      <c r="J738" s="32">
        <f>IF(MB25_VOLUMETRIA[[#This Row],[Reserva]]="","",1)</f>
        <v>1</v>
      </c>
      <c r="K738" s="36" t="str">
        <f>IF(MB25_VOLUMETRIA[[#This Row],[Reserva]]="","",IFERROR(VLOOKUP(MB25_VOLUMETRIA[[#This Row],[UMB]],CHAVE[],2,FALSE),"VERIFICAR"))</f>
        <v>Unidade</v>
      </c>
      <c r="L738" s="32" t="str">
        <f>IF(MB25_VOLUMETRIA[[#This Row],[Reserva]]="","",IFERROR(VLOOKUP(MB25_VOLUMETRIA[[#This Row],[Reserva]],Tabela3[[Reserva]:[Condição para Faturamento]],20,FALSE),"IMPORTADO COM SUCESSO"))</f>
        <v>EM RESSUPRIMENTO</v>
      </c>
      <c r="M738" s="32" t="str">
        <f ca="1">IFERROR(VLOOKUP(MB25_VOLUMETRIA[[#This Row],[Reserva]],RES_AB[],14,FALSE),"")</f>
        <v>RESERVAS EM ATRASO</v>
      </c>
      <c r="N738" s="32" t="str">
        <f>IF(MB25_VOLUMETRIA[[#This Row],[Cen.]]="","",IFERROR(VLOOKUP(MB25_VOLUMETRIA[[#This Row],[Cen.]],Dados_Empresas[],2,FALSE),"Verificar empresa"))</f>
        <v>NET MASSIVO</v>
      </c>
      <c r="O738" s="32" t="str">
        <f>IF(MB25_VOLUMETRIA[[#This Row],[EMPRESA]]="","",IF(OR(MB25_VOLUMETRIA[[#This Row],[EMPRESA]]="NET MASSIVO",MB25_VOLUMETRIA[[#This Row],[EMPRESA]]="NET PROJETOS"),"NET","EMPRESARIAL"))</f>
        <v>NET</v>
      </c>
    </row>
    <row r="739" spans="1:15" x14ac:dyDescent="0.25">
      <c r="A739" s="32">
        <v>4381063</v>
      </c>
      <c r="B739" s="32" t="s">
        <v>21</v>
      </c>
      <c r="C739" s="33" t="s">
        <v>19</v>
      </c>
      <c r="D739" s="35">
        <v>45447</v>
      </c>
      <c r="E739" s="32" t="s">
        <v>184</v>
      </c>
      <c r="F739" s="32">
        <v>41001292</v>
      </c>
      <c r="G739" s="32" t="s">
        <v>353</v>
      </c>
      <c r="H739" s="26" t="s">
        <v>38</v>
      </c>
      <c r="I739" s="36">
        <v>40</v>
      </c>
      <c r="J739" s="32">
        <f>IF(MB25_VOLUMETRIA[[#This Row],[Reserva]]="","",1)</f>
        <v>1</v>
      </c>
      <c r="K739" s="36" t="str">
        <f>IF(MB25_VOLUMETRIA[[#This Row],[Reserva]]="","",IFERROR(VLOOKUP(MB25_VOLUMETRIA[[#This Row],[UMB]],CHAVE[],2,FALSE),"VERIFICAR"))</f>
        <v>Unidade</v>
      </c>
      <c r="L739" s="32" t="str">
        <f>IF(MB25_VOLUMETRIA[[#This Row],[Reserva]]="","",IFERROR(VLOOKUP(MB25_VOLUMETRIA[[#This Row],[Reserva]],Tabela3[[Reserva]:[Condição para Faturamento]],20,FALSE),"IMPORTADO COM SUCESSO"))</f>
        <v>EM RESSUPRIMENTO</v>
      </c>
      <c r="M739" s="32" t="str">
        <f ca="1">IFERROR(VLOOKUP(MB25_VOLUMETRIA[[#This Row],[Reserva]],RES_AB[],14,FALSE),"")</f>
        <v>RESERVAS EM ATRASO</v>
      </c>
      <c r="N739" s="32" t="str">
        <f>IF(MB25_VOLUMETRIA[[#This Row],[Cen.]]="","",IFERROR(VLOOKUP(MB25_VOLUMETRIA[[#This Row],[Cen.]],Dados_Empresas[],2,FALSE),"Verificar empresa"))</f>
        <v>NET MASSIVO</v>
      </c>
      <c r="O739" s="32" t="str">
        <f>IF(MB25_VOLUMETRIA[[#This Row],[EMPRESA]]="","",IF(OR(MB25_VOLUMETRIA[[#This Row],[EMPRESA]]="NET MASSIVO",MB25_VOLUMETRIA[[#This Row],[EMPRESA]]="NET PROJETOS"),"NET","EMPRESARIAL"))</f>
        <v>NET</v>
      </c>
    </row>
    <row r="740" spans="1:15" x14ac:dyDescent="0.25">
      <c r="A740" s="32">
        <v>4381063</v>
      </c>
      <c r="B740" s="32" t="s">
        <v>21</v>
      </c>
      <c r="C740" s="33" t="s">
        <v>21</v>
      </c>
      <c r="D740" s="35">
        <v>45447</v>
      </c>
      <c r="E740" s="32" t="s">
        <v>184</v>
      </c>
      <c r="F740" s="32">
        <v>41001567</v>
      </c>
      <c r="G740" s="32" t="s">
        <v>354</v>
      </c>
      <c r="H740" s="26" t="s">
        <v>38</v>
      </c>
      <c r="I740" s="36">
        <v>20</v>
      </c>
      <c r="J740" s="32">
        <f>IF(MB25_VOLUMETRIA[[#This Row],[Reserva]]="","",1)</f>
        <v>1</v>
      </c>
      <c r="K740" s="36" t="str">
        <f>IF(MB25_VOLUMETRIA[[#This Row],[Reserva]]="","",IFERROR(VLOOKUP(MB25_VOLUMETRIA[[#This Row],[UMB]],CHAVE[],2,FALSE),"VERIFICAR"))</f>
        <v>Unidade</v>
      </c>
      <c r="L740" s="32" t="str">
        <f>IF(MB25_VOLUMETRIA[[#This Row],[Reserva]]="","",IFERROR(VLOOKUP(MB25_VOLUMETRIA[[#This Row],[Reserva]],Tabela3[[Reserva]:[Condição para Faturamento]],20,FALSE),"IMPORTADO COM SUCESSO"))</f>
        <v>EM RESSUPRIMENTO</v>
      </c>
      <c r="M740" s="32" t="str">
        <f ca="1">IFERROR(VLOOKUP(MB25_VOLUMETRIA[[#This Row],[Reserva]],RES_AB[],14,FALSE),"")</f>
        <v>RESERVAS EM ATRASO</v>
      </c>
      <c r="N740" s="32" t="str">
        <f>IF(MB25_VOLUMETRIA[[#This Row],[Cen.]]="","",IFERROR(VLOOKUP(MB25_VOLUMETRIA[[#This Row],[Cen.]],Dados_Empresas[],2,FALSE),"Verificar empresa"))</f>
        <v>NET MASSIVO</v>
      </c>
      <c r="O740" s="32" t="str">
        <f>IF(MB25_VOLUMETRIA[[#This Row],[EMPRESA]]="","",IF(OR(MB25_VOLUMETRIA[[#This Row],[EMPRESA]]="NET MASSIVO",MB25_VOLUMETRIA[[#This Row],[EMPRESA]]="NET PROJETOS"),"NET","EMPRESARIAL"))</f>
        <v>NET</v>
      </c>
    </row>
    <row r="741" spans="1:15" x14ac:dyDescent="0.25">
      <c r="A741" s="32">
        <v>4381064</v>
      </c>
      <c r="B741" s="32" t="s">
        <v>21</v>
      </c>
      <c r="C741" s="33" t="s">
        <v>19</v>
      </c>
      <c r="D741" s="35">
        <v>45447</v>
      </c>
      <c r="E741" s="32" t="s">
        <v>185</v>
      </c>
      <c r="F741" s="32">
        <v>22026279</v>
      </c>
      <c r="G741" s="32" t="s">
        <v>350</v>
      </c>
      <c r="H741" s="26" t="s">
        <v>38</v>
      </c>
      <c r="I741" s="36">
        <v>20</v>
      </c>
      <c r="J741" s="32">
        <f>IF(MB25_VOLUMETRIA[[#This Row],[Reserva]]="","",1)</f>
        <v>1</v>
      </c>
      <c r="K741" s="36" t="str">
        <f>IF(MB25_VOLUMETRIA[[#This Row],[Reserva]]="","",IFERROR(VLOOKUP(MB25_VOLUMETRIA[[#This Row],[UMB]],CHAVE[],2,FALSE),"VERIFICAR"))</f>
        <v>Unidade</v>
      </c>
      <c r="L741" s="32" t="str">
        <f>IF(MB25_VOLUMETRIA[[#This Row],[Reserva]]="","",IFERROR(VLOOKUP(MB25_VOLUMETRIA[[#This Row],[Reserva]],Tabela3[[Reserva]:[Condição para Faturamento]],20,FALSE),"IMPORTADO COM SUCESSO"))</f>
        <v>EM RESSUPRIMENTO</v>
      </c>
      <c r="M741" s="32" t="str">
        <f ca="1">IFERROR(VLOOKUP(MB25_VOLUMETRIA[[#This Row],[Reserva]],RES_AB[],14,FALSE),"")</f>
        <v>RESERVAS EM ATRASO</v>
      </c>
      <c r="N741" s="32" t="str">
        <f>IF(MB25_VOLUMETRIA[[#This Row],[Cen.]]="","",IFERROR(VLOOKUP(MB25_VOLUMETRIA[[#This Row],[Cen.]],Dados_Empresas[],2,FALSE),"Verificar empresa"))</f>
        <v>NET MASSIVO</v>
      </c>
      <c r="O741" s="32" t="str">
        <f>IF(MB25_VOLUMETRIA[[#This Row],[EMPRESA]]="","",IF(OR(MB25_VOLUMETRIA[[#This Row],[EMPRESA]]="NET MASSIVO",MB25_VOLUMETRIA[[#This Row],[EMPRESA]]="NET PROJETOS"),"NET","EMPRESARIAL"))</f>
        <v>NET</v>
      </c>
    </row>
    <row r="742" spans="1:15" x14ac:dyDescent="0.25">
      <c r="A742" s="32">
        <v>4381064</v>
      </c>
      <c r="B742" s="32" t="s">
        <v>21</v>
      </c>
      <c r="C742" s="33" t="s">
        <v>19</v>
      </c>
      <c r="D742" s="35">
        <v>45447</v>
      </c>
      <c r="E742" s="32" t="s">
        <v>185</v>
      </c>
      <c r="F742" s="32">
        <v>22026293</v>
      </c>
      <c r="G742" s="32" t="s">
        <v>352</v>
      </c>
      <c r="H742" s="26" t="s">
        <v>38</v>
      </c>
      <c r="I742" s="36">
        <v>20</v>
      </c>
      <c r="J742" s="32">
        <f>IF(MB25_VOLUMETRIA[[#This Row],[Reserva]]="","",1)</f>
        <v>1</v>
      </c>
      <c r="K742" s="36" t="str">
        <f>IF(MB25_VOLUMETRIA[[#This Row],[Reserva]]="","",IFERROR(VLOOKUP(MB25_VOLUMETRIA[[#This Row],[UMB]],CHAVE[],2,FALSE),"VERIFICAR"))</f>
        <v>Unidade</v>
      </c>
      <c r="L742" s="32" t="str">
        <f>IF(MB25_VOLUMETRIA[[#This Row],[Reserva]]="","",IFERROR(VLOOKUP(MB25_VOLUMETRIA[[#This Row],[Reserva]],Tabela3[[Reserva]:[Condição para Faturamento]],20,FALSE),"IMPORTADO COM SUCESSO"))</f>
        <v>EM RESSUPRIMENTO</v>
      </c>
      <c r="M742" s="32" t="str">
        <f ca="1">IFERROR(VLOOKUP(MB25_VOLUMETRIA[[#This Row],[Reserva]],RES_AB[],14,FALSE),"")</f>
        <v>RESERVAS EM ATRASO</v>
      </c>
      <c r="N742" s="32" t="str">
        <f>IF(MB25_VOLUMETRIA[[#This Row],[Cen.]]="","",IFERROR(VLOOKUP(MB25_VOLUMETRIA[[#This Row],[Cen.]],Dados_Empresas[],2,FALSE),"Verificar empresa"))</f>
        <v>NET MASSIVO</v>
      </c>
      <c r="O742" s="32" t="str">
        <f>IF(MB25_VOLUMETRIA[[#This Row],[EMPRESA]]="","",IF(OR(MB25_VOLUMETRIA[[#This Row],[EMPRESA]]="NET MASSIVO",MB25_VOLUMETRIA[[#This Row],[EMPRESA]]="NET PROJETOS"),"NET","EMPRESARIAL"))</f>
        <v>NET</v>
      </c>
    </row>
    <row r="743" spans="1:15" x14ac:dyDescent="0.25">
      <c r="A743" s="32">
        <v>4381064</v>
      </c>
      <c r="B743" s="32" t="s">
        <v>21</v>
      </c>
      <c r="C743" s="33" t="s">
        <v>21</v>
      </c>
      <c r="D743" s="35">
        <v>45447</v>
      </c>
      <c r="E743" s="32" t="s">
        <v>185</v>
      </c>
      <c r="F743" s="32">
        <v>22060422</v>
      </c>
      <c r="G743" s="32" t="s">
        <v>298</v>
      </c>
      <c r="H743" s="26" t="s">
        <v>38</v>
      </c>
      <c r="I743" s="36">
        <v>20</v>
      </c>
      <c r="J743" s="32">
        <f>IF(MB25_VOLUMETRIA[[#This Row],[Reserva]]="","",1)</f>
        <v>1</v>
      </c>
      <c r="K743" s="36" t="str">
        <f>IF(MB25_VOLUMETRIA[[#This Row],[Reserva]]="","",IFERROR(VLOOKUP(MB25_VOLUMETRIA[[#This Row],[UMB]],CHAVE[],2,FALSE),"VERIFICAR"))</f>
        <v>Unidade</v>
      </c>
      <c r="L743" s="32" t="str">
        <f>IF(MB25_VOLUMETRIA[[#This Row],[Reserva]]="","",IFERROR(VLOOKUP(MB25_VOLUMETRIA[[#This Row],[Reserva]],Tabela3[[Reserva]:[Condição para Faturamento]],20,FALSE),"IMPORTADO COM SUCESSO"))</f>
        <v>EM RESSUPRIMENTO</v>
      </c>
      <c r="M743" s="32" t="str">
        <f ca="1">IFERROR(VLOOKUP(MB25_VOLUMETRIA[[#This Row],[Reserva]],RES_AB[],14,FALSE),"")</f>
        <v>RESERVAS EM ATRASO</v>
      </c>
      <c r="N743" s="32" t="str">
        <f>IF(MB25_VOLUMETRIA[[#This Row],[Cen.]]="","",IFERROR(VLOOKUP(MB25_VOLUMETRIA[[#This Row],[Cen.]],Dados_Empresas[],2,FALSE),"Verificar empresa"))</f>
        <v>NET MASSIVO</v>
      </c>
      <c r="O743" s="32" t="str">
        <f>IF(MB25_VOLUMETRIA[[#This Row],[EMPRESA]]="","",IF(OR(MB25_VOLUMETRIA[[#This Row],[EMPRESA]]="NET MASSIVO",MB25_VOLUMETRIA[[#This Row],[EMPRESA]]="NET PROJETOS"),"NET","EMPRESARIAL"))</f>
        <v>NET</v>
      </c>
    </row>
    <row r="744" spans="1:15" x14ac:dyDescent="0.25">
      <c r="A744" s="32">
        <v>4381065</v>
      </c>
      <c r="B744" s="32" t="s">
        <v>21</v>
      </c>
      <c r="C744" s="33" t="s">
        <v>19</v>
      </c>
      <c r="D744" s="35">
        <v>45447</v>
      </c>
      <c r="E744" s="32" t="s">
        <v>184</v>
      </c>
      <c r="F744" s="32">
        <v>41001234</v>
      </c>
      <c r="G744" s="32" t="s">
        <v>189</v>
      </c>
      <c r="H744" s="26" t="s">
        <v>38</v>
      </c>
      <c r="I744" s="36">
        <v>20</v>
      </c>
      <c r="J744" s="32">
        <f>IF(MB25_VOLUMETRIA[[#This Row],[Reserva]]="","",1)</f>
        <v>1</v>
      </c>
      <c r="K744" s="36" t="str">
        <f>IF(MB25_VOLUMETRIA[[#This Row],[Reserva]]="","",IFERROR(VLOOKUP(MB25_VOLUMETRIA[[#This Row],[UMB]],CHAVE[],2,FALSE),"VERIFICAR"))</f>
        <v>Unidade</v>
      </c>
      <c r="L744" s="32" t="str">
        <f>IF(MB25_VOLUMETRIA[[#This Row],[Reserva]]="","",IFERROR(VLOOKUP(MB25_VOLUMETRIA[[#This Row],[Reserva]],Tabela3[[Reserva]:[Condição para Faturamento]],20,FALSE),"IMPORTADO COM SUCESSO"))</f>
        <v>IMPORTADO</v>
      </c>
      <c r="M744" s="32" t="str">
        <f ca="1">IFERROR(VLOOKUP(MB25_VOLUMETRIA[[#This Row],[Reserva]],RES_AB[],14,FALSE),"")</f>
        <v>RESERVAS EM ATRASO</v>
      </c>
      <c r="N744" s="32" t="str">
        <f>IF(MB25_VOLUMETRIA[[#This Row],[Cen.]]="","",IFERROR(VLOOKUP(MB25_VOLUMETRIA[[#This Row],[Cen.]],Dados_Empresas[],2,FALSE),"Verificar empresa"))</f>
        <v>NET MASSIVO</v>
      </c>
      <c r="O744" s="32" t="str">
        <f>IF(MB25_VOLUMETRIA[[#This Row],[EMPRESA]]="","",IF(OR(MB25_VOLUMETRIA[[#This Row],[EMPRESA]]="NET MASSIVO",MB25_VOLUMETRIA[[#This Row],[EMPRESA]]="NET PROJETOS"),"NET","EMPRESARIAL"))</f>
        <v>NET</v>
      </c>
    </row>
    <row r="745" spans="1:15" x14ac:dyDescent="0.25">
      <c r="A745" s="32">
        <v>4381065</v>
      </c>
      <c r="B745" s="32" t="s">
        <v>21</v>
      </c>
      <c r="C745" s="33" t="s">
        <v>19</v>
      </c>
      <c r="D745" s="35">
        <v>45447</v>
      </c>
      <c r="E745" s="32" t="s">
        <v>184</v>
      </c>
      <c r="F745" s="32">
        <v>41001276</v>
      </c>
      <c r="G745" s="32" t="s">
        <v>351</v>
      </c>
      <c r="H745" s="26" t="s">
        <v>38</v>
      </c>
      <c r="I745" s="36">
        <v>20</v>
      </c>
      <c r="J745" s="32">
        <f>IF(MB25_VOLUMETRIA[[#This Row],[Reserva]]="","",1)</f>
        <v>1</v>
      </c>
      <c r="K745" s="36" t="str">
        <f>IF(MB25_VOLUMETRIA[[#This Row],[Reserva]]="","",IFERROR(VLOOKUP(MB25_VOLUMETRIA[[#This Row],[UMB]],CHAVE[],2,FALSE),"VERIFICAR"))</f>
        <v>Unidade</v>
      </c>
      <c r="L745" s="32" t="str">
        <f>IF(MB25_VOLUMETRIA[[#This Row],[Reserva]]="","",IFERROR(VLOOKUP(MB25_VOLUMETRIA[[#This Row],[Reserva]],Tabela3[[Reserva]:[Condição para Faturamento]],20,FALSE),"IMPORTADO COM SUCESSO"))</f>
        <v>IMPORTADO</v>
      </c>
      <c r="M745" s="32" t="str">
        <f ca="1">IFERROR(VLOOKUP(MB25_VOLUMETRIA[[#This Row],[Reserva]],RES_AB[],14,FALSE),"")</f>
        <v>RESERVAS EM ATRASO</v>
      </c>
      <c r="N745" s="32" t="str">
        <f>IF(MB25_VOLUMETRIA[[#This Row],[Cen.]]="","",IFERROR(VLOOKUP(MB25_VOLUMETRIA[[#This Row],[Cen.]],Dados_Empresas[],2,FALSE),"Verificar empresa"))</f>
        <v>NET MASSIVO</v>
      </c>
      <c r="O745" s="32" t="str">
        <f>IF(MB25_VOLUMETRIA[[#This Row],[EMPRESA]]="","",IF(OR(MB25_VOLUMETRIA[[#This Row],[EMPRESA]]="NET MASSIVO",MB25_VOLUMETRIA[[#This Row],[EMPRESA]]="NET PROJETOS"),"NET","EMPRESARIAL"))</f>
        <v>NET</v>
      </c>
    </row>
    <row r="746" spans="1:15" x14ac:dyDescent="0.25">
      <c r="A746" s="32">
        <v>4381065</v>
      </c>
      <c r="B746" s="32" t="s">
        <v>21</v>
      </c>
      <c r="C746" s="33" t="s">
        <v>19</v>
      </c>
      <c r="D746" s="35">
        <v>45447</v>
      </c>
      <c r="E746" s="32" t="s">
        <v>184</v>
      </c>
      <c r="F746" s="32">
        <v>41001292</v>
      </c>
      <c r="G746" s="32" t="s">
        <v>353</v>
      </c>
      <c r="H746" s="26" t="s">
        <v>38</v>
      </c>
      <c r="I746" s="36">
        <v>20</v>
      </c>
      <c r="J746" s="32">
        <f>IF(MB25_VOLUMETRIA[[#This Row],[Reserva]]="","",1)</f>
        <v>1</v>
      </c>
      <c r="K746" s="36" t="str">
        <f>IF(MB25_VOLUMETRIA[[#This Row],[Reserva]]="","",IFERROR(VLOOKUP(MB25_VOLUMETRIA[[#This Row],[UMB]],CHAVE[],2,FALSE),"VERIFICAR"))</f>
        <v>Unidade</v>
      </c>
      <c r="L746" s="32" t="str">
        <f>IF(MB25_VOLUMETRIA[[#This Row],[Reserva]]="","",IFERROR(VLOOKUP(MB25_VOLUMETRIA[[#This Row],[Reserva]],Tabela3[[Reserva]:[Condição para Faturamento]],20,FALSE),"IMPORTADO COM SUCESSO"))</f>
        <v>IMPORTADO</v>
      </c>
      <c r="M746" s="32" t="str">
        <f ca="1">IFERROR(VLOOKUP(MB25_VOLUMETRIA[[#This Row],[Reserva]],RES_AB[],14,FALSE),"")</f>
        <v>RESERVAS EM ATRASO</v>
      </c>
      <c r="N746" s="32" t="str">
        <f>IF(MB25_VOLUMETRIA[[#This Row],[Cen.]]="","",IFERROR(VLOOKUP(MB25_VOLUMETRIA[[#This Row],[Cen.]],Dados_Empresas[],2,FALSE),"Verificar empresa"))</f>
        <v>NET MASSIVO</v>
      </c>
      <c r="O746" s="32" t="str">
        <f>IF(MB25_VOLUMETRIA[[#This Row],[EMPRESA]]="","",IF(OR(MB25_VOLUMETRIA[[#This Row],[EMPRESA]]="NET MASSIVO",MB25_VOLUMETRIA[[#This Row],[EMPRESA]]="NET PROJETOS"),"NET","EMPRESARIAL"))</f>
        <v>NET</v>
      </c>
    </row>
    <row r="747" spans="1:15" x14ac:dyDescent="0.25">
      <c r="A747" s="32">
        <v>4381066</v>
      </c>
      <c r="B747" s="32" t="s">
        <v>21</v>
      </c>
      <c r="C747" s="33" t="s">
        <v>19</v>
      </c>
      <c r="D747" s="35">
        <v>45447</v>
      </c>
      <c r="E747" s="32" t="s">
        <v>185</v>
      </c>
      <c r="F747" s="32">
        <v>22026279</v>
      </c>
      <c r="G747" s="32" t="s">
        <v>350</v>
      </c>
      <c r="H747" s="26" t="s">
        <v>38</v>
      </c>
      <c r="I747" s="36">
        <v>30</v>
      </c>
      <c r="J747" s="32">
        <f>IF(MB25_VOLUMETRIA[[#This Row],[Reserva]]="","",1)</f>
        <v>1</v>
      </c>
      <c r="K747" s="36" t="str">
        <f>IF(MB25_VOLUMETRIA[[#This Row],[Reserva]]="","",IFERROR(VLOOKUP(MB25_VOLUMETRIA[[#This Row],[UMB]],CHAVE[],2,FALSE),"VERIFICAR"))</f>
        <v>Unidade</v>
      </c>
      <c r="L747" s="32" t="str">
        <f>IF(MB25_VOLUMETRIA[[#This Row],[Reserva]]="","",IFERROR(VLOOKUP(MB25_VOLUMETRIA[[#This Row],[Reserva]],Tabela3[[Reserva]:[Condição para Faturamento]],20,FALSE),"IMPORTADO COM SUCESSO"))</f>
        <v>EM RESSUPRIMENTO</v>
      </c>
      <c r="M747" s="32" t="str">
        <f ca="1">IFERROR(VLOOKUP(MB25_VOLUMETRIA[[#This Row],[Reserva]],RES_AB[],14,FALSE),"")</f>
        <v>RESERVAS EM ATRASO</v>
      </c>
      <c r="N747" s="32" t="str">
        <f>IF(MB25_VOLUMETRIA[[#This Row],[Cen.]]="","",IFERROR(VLOOKUP(MB25_VOLUMETRIA[[#This Row],[Cen.]],Dados_Empresas[],2,FALSE),"Verificar empresa"))</f>
        <v>NET MASSIVO</v>
      </c>
      <c r="O747" s="32" t="str">
        <f>IF(MB25_VOLUMETRIA[[#This Row],[EMPRESA]]="","",IF(OR(MB25_VOLUMETRIA[[#This Row],[EMPRESA]]="NET MASSIVO",MB25_VOLUMETRIA[[#This Row],[EMPRESA]]="NET PROJETOS"),"NET","EMPRESARIAL"))</f>
        <v>NET</v>
      </c>
    </row>
    <row r="748" spans="1:15" x14ac:dyDescent="0.25">
      <c r="A748" s="32">
        <v>4381066</v>
      </c>
      <c r="B748" s="32" t="s">
        <v>21</v>
      </c>
      <c r="C748" s="33" t="s">
        <v>19</v>
      </c>
      <c r="D748" s="35">
        <v>45447</v>
      </c>
      <c r="E748" s="32" t="s">
        <v>185</v>
      </c>
      <c r="F748" s="32">
        <v>22026293</v>
      </c>
      <c r="G748" s="32" t="s">
        <v>352</v>
      </c>
      <c r="H748" s="26" t="s">
        <v>38</v>
      </c>
      <c r="I748" s="36">
        <v>60</v>
      </c>
      <c r="J748" s="32">
        <f>IF(MB25_VOLUMETRIA[[#This Row],[Reserva]]="","",1)</f>
        <v>1</v>
      </c>
      <c r="K748" s="36" t="str">
        <f>IF(MB25_VOLUMETRIA[[#This Row],[Reserva]]="","",IFERROR(VLOOKUP(MB25_VOLUMETRIA[[#This Row],[UMB]],CHAVE[],2,FALSE),"VERIFICAR"))</f>
        <v>Unidade</v>
      </c>
      <c r="L748" s="32" t="str">
        <f>IF(MB25_VOLUMETRIA[[#This Row],[Reserva]]="","",IFERROR(VLOOKUP(MB25_VOLUMETRIA[[#This Row],[Reserva]],Tabela3[[Reserva]:[Condição para Faturamento]],20,FALSE),"IMPORTADO COM SUCESSO"))</f>
        <v>EM RESSUPRIMENTO</v>
      </c>
      <c r="M748" s="32" t="str">
        <f ca="1">IFERROR(VLOOKUP(MB25_VOLUMETRIA[[#This Row],[Reserva]],RES_AB[],14,FALSE),"")</f>
        <v>RESERVAS EM ATRASO</v>
      </c>
      <c r="N748" s="32" t="str">
        <f>IF(MB25_VOLUMETRIA[[#This Row],[Cen.]]="","",IFERROR(VLOOKUP(MB25_VOLUMETRIA[[#This Row],[Cen.]],Dados_Empresas[],2,FALSE),"Verificar empresa"))</f>
        <v>NET MASSIVO</v>
      </c>
      <c r="O748" s="32" t="str">
        <f>IF(MB25_VOLUMETRIA[[#This Row],[EMPRESA]]="","",IF(OR(MB25_VOLUMETRIA[[#This Row],[EMPRESA]]="NET MASSIVO",MB25_VOLUMETRIA[[#This Row],[EMPRESA]]="NET PROJETOS"),"NET","EMPRESARIAL"))</f>
        <v>NET</v>
      </c>
    </row>
    <row r="749" spans="1:15" x14ac:dyDescent="0.25">
      <c r="A749" s="32">
        <v>4381066</v>
      </c>
      <c r="B749" s="32" t="s">
        <v>21</v>
      </c>
      <c r="C749" s="33" t="s">
        <v>21</v>
      </c>
      <c r="D749" s="35">
        <v>45447</v>
      </c>
      <c r="E749" s="32" t="s">
        <v>185</v>
      </c>
      <c r="F749" s="32">
        <v>22060422</v>
      </c>
      <c r="G749" s="32" t="s">
        <v>298</v>
      </c>
      <c r="H749" s="26" t="s">
        <v>38</v>
      </c>
      <c r="I749" s="36">
        <v>30</v>
      </c>
      <c r="J749" s="32">
        <f>IF(MB25_VOLUMETRIA[[#This Row],[Reserva]]="","",1)</f>
        <v>1</v>
      </c>
      <c r="K749" s="36" t="str">
        <f>IF(MB25_VOLUMETRIA[[#This Row],[Reserva]]="","",IFERROR(VLOOKUP(MB25_VOLUMETRIA[[#This Row],[UMB]],CHAVE[],2,FALSE),"VERIFICAR"))</f>
        <v>Unidade</v>
      </c>
      <c r="L749" s="32" t="str">
        <f>IF(MB25_VOLUMETRIA[[#This Row],[Reserva]]="","",IFERROR(VLOOKUP(MB25_VOLUMETRIA[[#This Row],[Reserva]],Tabela3[[Reserva]:[Condição para Faturamento]],20,FALSE),"IMPORTADO COM SUCESSO"))</f>
        <v>EM RESSUPRIMENTO</v>
      </c>
      <c r="M749" s="32" t="str">
        <f ca="1">IFERROR(VLOOKUP(MB25_VOLUMETRIA[[#This Row],[Reserva]],RES_AB[],14,FALSE),"")</f>
        <v>RESERVAS EM ATRASO</v>
      </c>
      <c r="N749" s="32" t="str">
        <f>IF(MB25_VOLUMETRIA[[#This Row],[Cen.]]="","",IFERROR(VLOOKUP(MB25_VOLUMETRIA[[#This Row],[Cen.]],Dados_Empresas[],2,FALSE),"Verificar empresa"))</f>
        <v>NET MASSIVO</v>
      </c>
      <c r="O749" s="32" t="str">
        <f>IF(MB25_VOLUMETRIA[[#This Row],[EMPRESA]]="","",IF(OR(MB25_VOLUMETRIA[[#This Row],[EMPRESA]]="NET MASSIVO",MB25_VOLUMETRIA[[#This Row],[EMPRESA]]="NET PROJETOS"),"NET","EMPRESARIAL"))</f>
        <v>NET</v>
      </c>
    </row>
    <row r="750" spans="1:15" x14ac:dyDescent="0.25">
      <c r="A750" s="32">
        <v>4381067</v>
      </c>
      <c r="B750" s="32" t="s">
        <v>21</v>
      </c>
      <c r="C750" s="33" t="s">
        <v>19</v>
      </c>
      <c r="D750" s="35">
        <v>45447</v>
      </c>
      <c r="E750" s="32" t="s">
        <v>184</v>
      </c>
      <c r="F750" s="32">
        <v>41001234</v>
      </c>
      <c r="G750" s="32" t="s">
        <v>189</v>
      </c>
      <c r="H750" s="26" t="s">
        <v>38</v>
      </c>
      <c r="I750" s="36">
        <v>30</v>
      </c>
      <c r="J750" s="32">
        <f>IF(MB25_VOLUMETRIA[[#This Row],[Reserva]]="","",1)</f>
        <v>1</v>
      </c>
      <c r="K750" s="36" t="str">
        <f>IF(MB25_VOLUMETRIA[[#This Row],[Reserva]]="","",IFERROR(VLOOKUP(MB25_VOLUMETRIA[[#This Row],[UMB]],CHAVE[],2,FALSE),"VERIFICAR"))</f>
        <v>Unidade</v>
      </c>
      <c r="L750" s="32" t="str">
        <f>IF(MB25_VOLUMETRIA[[#This Row],[Reserva]]="","",IFERROR(VLOOKUP(MB25_VOLUMETRIA[[#This Row],[Reserva]],Tabela3[[Reserva]:[Condição para Faturamento]],20,FALSE),"IMPORTADO COM SUCESSO"))</f>
        <v>IMPORTADO</v>
      </c>
      <c r="M750" s="32" t="str">
        <f ca="1">IFERROR(VLOOKUP(MB25_VOLUMETRIA[[#This Row],[Reserva]],RES_AB[],14,FALSE),"")</f>
        <v>RESERVAS EM ATRASO</v>
      </c>
      <c r="N750" s="32" t="str">
        <f>IF(MB25_VOLUMETRIA[[#This Row],[Cen.]]="","",IFERROR(VLOOKUP(MB25_VOLUMETRIA[[#This Row],[Cen.]],Dados_Empresas[],2,FALSE),"Verificar empresa"))</f>
        <v>NET MASSIVO</v>
      </c>
      <c r="O750" s="32" t="str">
        <f>IF(MB25_VOLUMETRIA[[#This Row],[EMPRESA]]="","",IF(OR(MB25_VOLUMETRIA[[#This Row],[EMPRESA]]="NET MASSIVO",MB25_VOLUMETRIA[[#This Row],[EMPRESA]]="NET PROJETOS"),"NET","EMPRESARIAL"))</f>
        <v>NET</v>
      </c>
    </row>
    <row r="751" spans="1:15" x14ac:dyDescent="0.25">
      <c r="A751" s="32">
        <v>4381067</v>
      </c>
      <c r="B751" s="32" t="s">
        <v>21</v>
      </c>
      <c r="C751" s="33" t="s">
        <v>19</v>
      </c>
      <c r="D751" s="35">
        <v>45447</v>
      </c>
      <c r="E751" s="32" t="s">
        <v>184</v>
      </c>
      <c r="F751" s="32">
        <v>41001276</v>
      </c>
      <c r="G751" s="32" t="s">
        <v>351</v>
      </c>
      <c r="H751" s="26" t="s">
        <v>38</v>
      </c>
      <c r="I751" s="36">
        <v>30</v>
      </c>
      <c r="J751" s="32">
        <f>IF(MB25_VOLUMETRIA[[#This Row],[Reserva]]="","",1)</f>
        <v>1</v>
      </c>
      <c r="K751" s="36" t="str">
        <f>IF(MB25_VOLUMETRIA[[#This Row],[Reserva]]="","",IFERROR(VLOOKUP(MB25_VOLUMETRIA[[#This Row],[UMB]],CHAVE[],2,FALSE),"VERIFICAR"))</f>
        <v>Unidade</v>
      </c>
      <c r="L751" s="32" t="str">
        <f>IF(MB25_VOLUMETRIA[[#This Row],[Reserva]]="","",IFERROR(VLOOKUP(MB25_VOLUMETRIA[[#This Row],[Reserva]],Tabela3[[Reserva]:[Condição para Faturamento]],20,FALSE),"IMPORTADO COM SUCESSO"))</f>
        <v>IMPORTADO</v>
      </c>
      <c r="M751" s="32" t="str">
        <f ca="1">IFERROR(VLOOKUP(MB25_VOLUMETRIA[[#This Row],[Reserva]],RES_AB[],14,FALSE),"")</f>
        <v>RESERVAS EM ATRASO</v>
      </c>
      <c r="N751" s="32" t="str">
        <f>IF(MB25_VOLUMETRIA[[#This Row],[Cen.]]="","",IFERROR(VLOOKUP(MB25_VOLUMETRIA[[#This Row],[Cen.]],Dados_Empresas[],2,FALSE),"Verificar empresa"))</f>
        <v>NET MASSIVO</v>
      </c>
      <c r="O751" s="32" t="str">
        <f>IF(MB25_VOLUMETRIA[[#This Row],[EMPRESA]]="","",IF(OR(MB25_VOLUMETRIA[[#This Row],[EMPRESA]]="NET MASSIVO",MB25_VOLUMETRIA[[#This Row],[EMPRESA]]="NET PROJETOS"),"NET","EMPRESARIAL"))</f>
        <v>NET</v>
      </c>
    </row>
    <row r="752" spans="1:15" x14ac:dyDescent="0.25">
      <c r="A752" s="32">
        <v>4381067</v>
      </c>
      <c r="B752" s="32" t="s">
        <v>21</v>
      </c>
      <c r="C752" s="33" t="s">
        <v>19</v>
      </c>
      <c r="D752" s="35">
        <v>45447</v>
      </c>
      <c r="E752" s="32" t="s">
        <v>184</v>
      </c>
      <c r="F752" s="32">
        <v>41001292</v>
      </c>
      <c r="G752" s="32" t="s">
        <v>353</v>
      </c>
      <c r="H752" s="26" t="s">
        <v>38</v>
      </c>
      <c r="I752" s="36">
        <v>60</v>
      </c>
      <c r="J752" s="32">
        <f>IF(MB25_VOLUMETRIA[[#This Row],[Reserva]]="","",1)</f>
        <v>1</v>
      </c>
      <c r="K752" s="36" t="str">
        <f>IF(MB25_VOLUMETRIA[[#This Row],[Reserva]]="","",IFERROR(VLOOKUP(MB25_VOLUMETRIA[[#This Row],[UMB]],CHAVE[],2,FALSE),"VERIFICAR"))</f>
        <v>Unidade</v>
      </c>
      <c r="L752" s="32" t="str">
        <f>IF(MB25_VOLUMETRIA[[#This Row],[Reserva]]="","",IFERROR(VLOOKUP(MB25_VOLUMETRIA[[#This Row],[Reserva]],Tabela3[[Reserva]:[Condição para Faturamento]],20,FALSE),"IMPORTADO COM SUCESSO"))</f>
        <v>IMPORTADO</v>
      </c>
      <c r="M752" s="32" t="str">
        <f ca="1">IFERROR(VLOOKUP(MB25_VOLUMETRIA[[#This Row],[Reserva]],RES_AB[],14,FALSE),"")</f>
        <v>RESERVAS EM ATRASO</v>
      </c>
      <c r="N752" s="32" t="str">
        <f>IF(MB25_VOLUMETRIA[[#This Row],[Cen.]]="","",IFERROR(VLOOKUP(MB25_VOLUMETRIA[[#This Row],[Cen.]],Dados_Empresas[],2,FALSE),"Verificar empresa"))</f>
        <v>NET MASSIVO</v>
      </c>
      <c r="O752" s="32" t="str">
        <f>IF(MB25_VOLUMETRIA[[#This Row],[EMPRESA]]="","",IF(OR(MB25_VOLUMETRIA[[#This Row],[EMPRESA]]="NET MASSIVO",MB25_VOLUMETRIA[[#This Row],[EMPRESA]]="NET PROJETOS"),"NET","EMPRESARIAL"))</f>
        <v>NET</v>
      </c>
    </row>
    <row r="753" spans="1:15" x14ac:dyDescent="0.25">
      <c r="A753" s="32">
        <v>4381067</v>
      </c>
      <c r="B753" s="32" t="s">
        <v>21</v>
      </c>
      <c r="C753" s="33" t="s">
        <v>21</v>
      </c>
      <c r="D753" s="35">
        <v>45447</v>
      </c>
      <c r="E753" s="32" t="s">
        <v>184</v>
      </c>
      <c r="F753" s="32">
        <v>41001590</v>
      </c>
      <c r="G753" s="32" t="s">
        <v>239</v>
      </c>
      <c r="H753" s="26" t="s">
        <v>38</v>
      </c>
      <c r="I753" s="36">
        <v>330</v>
      </c>
      <c r="J753" s="32">
        <f>IF(MB25_VOLUMETRIA[[#This Row],[Reserva]]="","",1)</f>
        <v>1</v>
      </c>
      <c r="K753" s="36" t="str">
        <f>IF(MB25_VOLUMETRIA[[#This Row],[Reserva]]="","",IFERROR(VLOOKUP(MB25_VOLUMETRIA[[#This Row],[UMB]],CHAVE[],2,FALSE),"VERIFICAR"))</f>
        <v>Unidade</v>
      </c>
      <c r="L753" s="32" t="str">
        <f>IF(MB25_VOLUMETRIA[[#This Row],[Reserva]]="","",IFERROR(VLOOKUP(MB25_VOLUMETRIA[[#This Row],[Reserva]],Tabela3[[Reserva]:[Condição para Faturamento]],20,FALSE),"IMPORTADO COM SUCESSO"))</f>
        <v>IMPORTADO</v>
      </c>
      <c r="M753" s="32" t="str">
        <f ca="1">IFERROR(VLOOKUP(MB25_VOLUMETRIA[[#This Row],[Reserva]],RES_AB[],14,FALSE),"")</f>
        <v>RESERVAS EM ATRASO</v>
      </c>
      <c r="N753" s="32" t="str">
        <f>IF(MB25_VOLUMETRIA[[#This Row],[Cen.]]="","",IFERROR(VLOOKUP(MB25_VOLUMETRIA[[#This Row],[Cen.]],Dados_Empresas[],2,FALSE),"Verificar empresa"))</f>
        <v>NET MASSIVO</v>
      </c>
      <c r="O753" s="32" t="str">
        <f>IF(MB25_VOLUMETRIA[[#This Row],[EMPRESA]]="","",IF(OR(MB25_VOLUMETRIA[[#This Row],[EMPRESA]]="NET MASSIVO",MB25_VOLUMETRIA[[#This Row],[EMPRESA]]="NET PROJETOS"),"NET","EMPRESARIAL"))</f>
        <v>NET</v>
      </c>
    </row>
    <row r="754" spans="1:15" x14ac:dyDescent="0.25">
      <c r="A754" s="32">
        <v>4381068</v>
      </c>
      <c r="B754" s="32" t="s">
        <v>21</v>
      </c>
      <c r="C754" s="33" t="s">
        <v>19</v>
      </c>
      <c r="D754" s="35">
        <v>45447</v>
      </c>
      <c r="E754" s="32" t="s">
        <v>185</v>
      </c>
      <c r="F754" s="32">
        <v>22026103</v>
      </c>
      <c r="G754" s="32" t="s">
        <v>322</v>
      </c>
      <c r="H754" s="26" t="s">
        <v>38</v>
      </c>
      <c r="I754" s="36">
        <v>20</v>
      </c>
      <c r="J754" s="32">
        <f>IF(MB25_VOLUMETRIA[[#This Row],[Reserva]]="","",1)</f>
        <v>1</v>
      </c>
      <c r="K754" s="36" t="str">
        <f>IF(MB25_VOLUMETRIA[[#This Row],[Reserva]]="","",IFERROR(VLOOKUP(MB25_VOLUMETRIA[[#This Row],[UMB]],CHAVE[],2,FALSE),"VERIFICAR"))</f>
        <v>Unidade</v>
      </c>
      <c r="L754" s="32" t="str">
        <f>IF(MB25_VOLUMETRIA[[#This Row],[Reserva]]="","",IFERROR(VLOOKUP(MB25_VOLUMETRIA[[#This Row],[Reserva]],Tabela3[[Reserva]:[Condição para Faturamento]],20,FALSE),"IMPORTADO COM SUCESSO"))</f>
        <v>EM RESSUPRIMENTO</v>
      </c>
      <c r="M754" s="32" t="str">
        <f ca="1">IFERROR(VLOOKUP(MB25_VOLUMETRIA[[#This Row],[Reserva]],RES_AB[],14,FALSE),"")</f>
        <v>RESERVAS EM ATRASO</v>
      </c>
      <c r="N754" s="32" t="str">
        <f>IF(MB25_VOLUMETRIA[[#This Row],[Cen.]]="","",IFERROR(VLOOKUP(MB25_VOLUMETRIA[[#This Row],[Cen.]],Dados_Empresas[],2,FALSE),"Verificar empresa"))</f>
        <v>NET MASSIVO</v>
      </c>
      <c r="O754" s="32" t="str">
        <f>IF(MB25_VOLUMETRIA[[#This Row],[EMPRESA]]="","",IF(OR(MB25_VOLUMETRIA[[#This Row],[EMPRESA]]="NET MASSIVO",MB25_VOLUMETRIA[[#This Row],[EMPRESA]]="NET PROJETOS"),"NET","EMPRESARIAL"))</f>
        <v>NET</v>
      </c>
    </row>
    <row r="755" spans="1:15" x14ac:dyDescent="0.25">
      <c r="A755" s="32">
        <v>4381068</v>
      </c>
      <c r="B755" s="32" t="s">
        <v>21</v>
      </c>
      <c r="C755" s="33" t="s">
        <v>19</v>
      </c>
      <c r="D755" s="35">
        <v>45447</v>
      </c>
      <c r="E755" s="32" t="s">
        <v>185</v>
      </c>
      <c r="F755" s="32">
        <v>22026293</v>
      </c>
      <c r="G755" s="32" t="s">
        <v>352</v>
      </c>
      <c r="H755" s="26" t="s">
        <v>38</v>
      </c>
      <c r="I755" s="36">
        <v>250</v>
      </c>
      <c r="J755" s="32">
        <f>IF(MB25_VOLUMETRIA[[#This Row],[Reserva]]="","",1)</f>
        <v>1</v>
      </c>
      <c r="K755" s="36" t="str">
        <f>IF(MB25_VOLUMETRIA[[#This Row],[Reserva]]="","",IFERROR(VLOOKUP(MB25_VOLUMETRIA[[#This Row],[UMB]],CHAVE[],2,FALSE),"VERIFICAR"))</f>
        <v>Unidade</v>
      </c>
      <c r="L755" s="32" t="str">
        <f>IF(MB25_VOLUMETRIA[[#This Row],[Reserva]]="","",IFERROR(VLOOKUP(MB25_VOLUMETRIA[[#This Row],[Reserva]],Tabela3[[Reserva]:[Condição para Faturamento]],20,FALSE),"IMPORTADO COM SUCESSO"))</f>
        <v>EM RESSUPRIMENTO</v>
      </c>
      <c r="M755" s="32" t="str">
        <f ca="1">IFERROR(VLOOKUP(MB25_VOLUMETRIA[[#This Row],[Reserva]],RES_AB[],14,FALSE),"")</f>
        <v>RESERVAS EM ATRASO</v>
      </c>
      <c r="N755" s="32" t="str">
        <f>IF(MB25_VOLUMETRIA[[#This Row],[Cen.]]="","",IFERROR(VLOOKUP(MB25_VOLUMETRIA[[#This Row],[Cen.]],Dados_Empresas[],2,FALSE),"Verificar empresa"))</f>
        <v>NET MASSIVO</v>
      </c>
      <c r="O755" s="32" t="str">
        <f>IF(MB25_VOLUMETRIA[[#This Row],[EMPRESA]]="","",IF(OR(MB25_VOLUMETRIA[[#This Row],[EMPRESA]]="NET MASSIVO",MB25_VOLUMETRIA[[#This Row],[EMPRESA]]="NET PROJETOS"),"NET","EMPRESARIAL"))</f>
        <v>NET</v>
      </c>
    </row>
    <row r="756" spans="1:15" x14ac:dyDescent="0.25">
      <c r="A756" s="32">
        <v>4381068</v>
      </c>
      <c r="B756" s="32" t="s">
        <v>21</v>
      </c>
      <c r="C756" s="33" t="s">
        <v>19</v>
      </c>
      <c r="D756" s="35">
        <v>45447</v>
      </c>
      <c r="E756" s="32" t="s">
        <v>185</v>
      </c>
      <c r="F756" s="32">
        <v>22026297</v>
      </c>
      <c r="G756" s="32" t="s">
        <v>355</v>
      </c>
      <c r="H756" s="26" t="s">
        <v>38</v>
      </c>
      <c r="I756" s="36">
        <v>110</v>
      </c>
      <c r="J756" s="32">
        <f>IF(MB25_VOLUMETRIA[[#This Row],[Reserva]]="","",1)</f>
        <v>1</v>
      </c>
      <c r="K756" s="36" t="str">
        <f>IF(MB25_VOLUMETRIA[[#This Row],[Reserva]]="","",IFERROR(VLOOKUP(MB25_VOLUMETRIA[[#This Row],[UMB]],CHAVE[],2,FALSE),"VERIFICAR"))</f>
        <v>Unidade</v>
      </c>
      <c r="L756" s="32" t="str">
        <f>IF(MB25_VOLUMETRIA[[#This Row],[Reserva]]="","",IFERROR(VLOOKUP(MB25_VOLUMETRIA[[#This Row],[Reserva]],Tabela3[[Reserva]:[Condição para Faturamento]],20,FALSE),"IMPORTADO COM SUCESSO"))</f>
        <v>EM RESSUPRIMENTO</v>
      </c>
      <c r="M756" s="32" t="str">
        <f ca="1">IFERROR(VLOOKUP(MB25_VOLUMETRIA[[#This Row],[Reserva]],RES_AB[],14,FALSE),"")</f>
        <v>RESERVAS EM ATRASO</v>
      </c>
      <c r="N756" s="32" t="str">
        <f>IF(MB25_VOLUMETRIA[[#This Row],[Cen.]]="","",IFERROR(VLOOKUP(MB25_VOLUMETRIA[[#This Row],[Cen.]],Dados_Empresas[],2,FALSE),"Verificar empresa"))</f>
        <v>NET MASSIVO</v>
      </c>
      <c r="O756" s="32" t="str">
        <f>IF(MB25_VOLUMETRIA[[#This Row],[EMPRESA]]="","",IF(OR(MB25_VOLUMETRIA[[#This Row],[EMPRESA]]="NET MASSIVO",MB25_VOLUMETRIA[[#This Row],[EMPRESA]]="NET PROJETOS"),"NET","EMPRESARIAL"))</f>
        <v>NET</v>
      </c>
    </row>
    <row r="757" spans="1:15" x14ac:dyDescent="0.25">
      <c r="A757" s="32">
        <v>4381068</v>
      </c>
      <c r="B757" s="32" t="s">
        <v>21</v>
      </c>
      <c r="C757" s="33" t="s">
        <v>19</v>
      </c>
      <c r="D757" s="35">
        <v>45447</v>
      </c>
      <c r="E757" s="32" t="s">
        <v>185</v>
      </c>
      <c r="F757" s="32">
        <v>22058639</v>
      </c>
      <c r="G757" s="32" t="s">
        <v>290</v>
      </c>
      <c r="H757" s="26" t="s">
        <v>38</v>
      </c>
      <c r="I757" s="36">
        <v>20</v>
      </c>
      <c r="J757" s="32">
        <f>IF(MB25_VOLUMETRIA[[#This Row],[Reserva]]="","",1)</f>
        <v>1</v>
      </c>
      <c r="K757" s="36" t="str">
        <f>IF(MB25_VOLUMETRIA[[#This Row],[Reserva]]="","",IFERROR(VLOOKUP(MB25_VOLUMETRIA[[#This Row],[UMB]],CHAVE[],2,FALSE),"VERIFICAR"))</f>
        <v>Unidade</v>
      </c>
      <c r="L757" s="32" t="str">
        <f>IF(MB25_VOLUMETRIA[[#This Row],[Reserva]]="","",IFERROR(VLOOKUP(MB25_VOLUMETRIA[[#This Row],[Reserva]],Tabela3[[Reserva]:[Condição para Faturamento]],20,FALSE),"IMPORTADO COM SUCESSO"))</f>
        <v>EM RESSUPRIMENTO</v>
      </c>
      <c r="M757" s="32" t="str">
        <f ca="1">IFERROR(VLOOKUP(MB25_VOLUMETRIA[[#This Row],[Reserva]],RES_AB[],14,FALSE),"")</f>
        <v>RESERVAS EM ATRASO</v>
      </c>
      <c r="N757" s="32" t="str">
        <f>IF(MB25_VOLUMETRIA[[#This Row],[Cen.]]="","",IFERROR(VLOOKUP(MB25_VOLUMETRIA[[#This Row],[Cen.]],Dados_Empresas[],2,FALSE),"Verificar empresa"))</f>
        <v>NET MASSIVO</v>
      </c>
      <c r="O757" s="32" t="str">
        <f>IF(MB25_VOLUMETRIA[[#This Row],[EMPRESA]]="","",IF(OR(MB25_VOLUMETRIA[[#This Row],[EMPRESA]]="NET MASSIVO",MB25_VOLUMETRIA[[#This Row],[EMPRESA]]="NET PROJETOS"),"NET","EMPRESARIAL"))</f>
        <v>NET</v>
      </c>
    </row>
    <row r="758" spans="1:15" x14ac:dyDescent="0.25">
      <c r="A758" s="32">
        <v>4381068</v>
      </c>
      <c r="B758" s="32" t="s">
        <v>21</v>
      </c>
      <c r="C758" s="33" t="s">
        <v>21</v>
      </c>
      <c r="D758" s="35">
        <v>45447</v>
      </c>
      <c r="E758" s="32" t="s">
        <v>185</v>
      </c>
      <c r="F758" s="32">
        <v>22060422</v>
      </c>
      <c r="G758" s="32" t="s">
        <v>298</v>
      </c>
      <c r="H758" s="26" t="s">
        <v>38</v>
      </c>
      <c r="I758" s="36">
        <v>110</v>
      </c>
      <c r="J758" s="32">
        <f>IF(MB25_VOLUMETRIA[[#This Row],[Reserva]]="","",1)</f>
        <v>1</v>
      </c>
      <c r="K758" s="36" t="str">
        <f>IF(MB25_VOLUMETRIA[[#This Row],[Reserva]]="","",IFERROR(VLOOKUP(MB25_VOLUMETRIA[[#This Row],[UMB]],CHAVE[],2,FALSE),"VERIFICAR"))</f>
        <v>Unidade</v>
      </c>
      <c r="L758" s="32" t="str">
        <f>IF(MB25_VOLUMETRIA[[#This Row],[Reserva]]="","",IFERROR(VLOOKUP(MB25_VOLUMETRIA[[#This Row],[Reserva]],Tabela3[[Reserva]:[Condição para Faturamento]],20,FALSE),"IMPORTADO COM SUCESSO"))</f>
        <v>EM RESSUPRIMENTO</v>
      </c>
      <c r="M758" s="32" t="str">
        <f ca="1">IFERROR(VLOOKUP(MB25_VOLUMETRIA[[#This Row],[Reserva]],RES_AB[],14,FALSE),"")</f>
        <v>RESERVAS EM ATRASO</v>
      </c>
      <c r="N758" s="32" t="str">
        <f>IF(MB25_VOLUMETRIA[[#This Row],[Cen.]]="","",IFERROR(VLOOKUP(MB25_VOLUMETRIA[[#This Row],[Cen.]],Dados_Empresas[],2,FALSE),"Verificar empresa"))</f>
        <v>NET MASSIVO</v>
      </c>
      <c r="O758" s="32" t="str">
        <f>IF(MB25_VOLUMETRIA[[#This Row],[EMPRESA]]="","",IF(OR(MB25_VOLUMETRIA[[#This Row],[EMPRESA]]="NET MASSIVO",MB25_VOLUMETRIA[[#This Row],[EMPRESA]]="NET PROJETOS"),"NET","EMPRESARIAL"))</f>
        <v>NET</v>
      </c>
    </row>
    <row r="759" spans="1:15" x14ac:dyDescent="0.25">
      <c r="A759" s="32">
        <v>4381068</v>
      </c>
      <c r="B759" s="32" t="s">
        <v>21</v>
      </c>
      <c r="C759" s="33" t="s">
        <v>21</v>
      </c>
      <c r="D759" s="35">
        <v>45447</v>
      </c>
      <c r="E759" s="32" t="s">
        <v>185</v>
      </c>
      <c r="F759" s="32">
        <v>22064554</v>
      </c>
      <c r="G759" s="32" t="s">
        <v>357</v>
      </c>
      <c r="H759" s="26" t="s">
        <v>38</v>
      </c>
      <c r="I759" s="36">
        <v>20</v>
      </c>
      <c r="J759" s="32">
        <f>IF(MB25_VOLUMETRIA[[#This Row],[Reserva]]="","",1)</f>
        <v>1</v>
      </c>
      <c r="K759" s="36" t="str">
        <f>IF(MB25_VOLUMETRIA[[#This Row],[Reserva]]="","",IFERROR(VLOOKUP(MB25_VOLUMETRIA[[#This Row],[UMB]],CHAVE[],2,FALSE),"VERIFICAR"))</f>
        <v>Unidade</v>
      </c>
      <c r="L759" s="32" t="str">
        <f>IF(MB25_VOLUMETRIA[[#This Row],[Reserva]]="","",IFERROR(VLOOKUP(MB25_VOLUMETRIA[[#This Row],[Reserva]],Tabela3[[Reserva]:[Condição para Faturamento]],20,FALSE),"IMPORTADO COM SUCESSO"))</f>
        <v>EM RESSUPRIMENTO</v>
      </c>
      <c r="M759" s="32" t="str">
        <f ca="1">IFERROR(VLOOKUP(MB25_VOLUMETRIA[[#This Row],[Reserva]],RES_AB[],14,FALSE),"")</f>
        <v>RESERVAS EM ATRASO</v>
      </c>
      <c r="N759" s="32" t="str">
        <f>IF(MB25_VOLUMETRIA[[#This Row],[Cen.]]="","",IFERROR(VLOOKUP(MB25_VOLUMETRIA[[#This Row],[Cen.]],Dados_Empresas[],2,FALSE),"Verificar empresa"))</f>
        <v>NET MASSIVO</v>
      </c>
      <c r="O759" s="32" t="str">
        <f>IF(MB25_VOLUMETRIA[[#This Row],[EMPRESA]]="","",IF(OR(MB25_VOLUMETRIA[[#This Row],[EMPRESA]]="NET MASSIVO",MB25_VOLUMETRIA[[#This Row],[EMPRESA]]="NET PROJETOS"),"NET","EMPRESARIAL"))</f>
        <v>NET</v>
      </c>
    </row>
    <row r="760" spans="1:15" x14ac:dyDescent="0.25">
      <c r="A760" s="32">
        <v>4381069</v>
      </c>
      <c r="B760" s="32" t="s">
        <v>21</v>
      </c>
      <c r="C760" s="33" t="s">
        <v>19</v>
      </c>
      <c r="D760" s="35">
        <v>45447</v>
      </c>
      <c r="E760" s="32" t="s">
        <v>184</v>
      </c>
      <c r="F760" s="32">
        <v>41000805</v>
      </c>
      <c r="G760" s="32" t="s">
        <v>188</v>
      </c>
      <c r="H760" s="26" t="s">
        <v>38</v>
      </c>
      <c r="I760" s="36">
        <v>20</v>
      </c>
      <c r="J760" s="32">
        <f>IF(MB25_VOLUMETRIA[[#This Row],[Reserva]]="","",1)</f>
        <v>1</v>
      </c>
      <c r="K760" s="36" t="str">
        <f>IF(MB25_VOLUMETRIA[[#This Row],[Reserva]]="","",IFERROR(VLOOKUP(MB25_VOLUMETRIA[[#This Row],[UMB]],CHAVE[],2,FALSE),"VERIFICAR"))</f>
        <v>Unidade</v>
      </c>
      <c r="L760" s="32" t="str">
        <f>IF(MB25_VOLUMETRIA[[#This Row],[Reserva]]="","",IFERROR(VLOOKUP(MB25_VOLUMETRIA[[#This Row],[Reserva]],Tabela3[[Reserva]:[Condição para Faturamento]],20,FALSE),"IMPORTADO COM SUCESSO"))</f>
        <v>IMPORTADO</v>
      </c>
      <c r="M760" s="32" t="str">
        <f ca="1">IFERROR(VLOOKUP(MB25_VOLUMETRIA[[#This Row],[Reserva]],RES_AB[],14,FALSE),"")</f>
        <v>RESERVAS EM ATRASO</v>
      </c>
      <c r="N760" s="32" t="str">
        <f>IF(MB25_VOLUMETRIA[[#This Row],[Cen.]]="","",IFERROR(VLOOKUP(MB25_VOLUMETRIA[[#This Row],[Cen.]],Dados_Empresas[],2,FALSE),"Verificar empresa"))</f>
        <v>NET MASSIVO</v>
      </c>
      <c r="O760" s="32" t="str">
        <f>IF(MB25_VOLUMETRIA[[#This Row],[EMPRESA]]="","",IF(OR(MB25_VOLUMETRIA[[#This Row],[EMPRESA]]="NET MASSIVO",MB25_VOLUMETRIA[[#This Row],[EMPRESA]]="NET PROJETOS"),"NET","EMPRESARIAL"))</f>
        <v>NET</v>
      </c>
    </row>
    <row r="761" spans="1:15" x14ac:dyDescent="0.25">
      <c r="A761" s="32">
        <v>4381069</v>
      </c>
      <c r="B761" s="32" t="s">
        <v>21</v>
      </c>
      <c r="C761" s="33" t="s">
        <v>19</v>
      </c>
      <c r="D761" s="35">
        <v>45447</v>
      </c>
      <c r="E761" s="32" t="s">
        <v>184</v>
      </c>
      <c r="F761" s="32">
        <v>41001068</v>
      </c>
      <c r="G761" s="32" t="s">
        <v>252</v>
      </c>
      <c r="H761" s="26" t="s">
        <v>38</v>
      </c>
      <c r="I761" s="36">
        <v>20</v>
      </c>
      <c r="J761" s="32">
        <f>IF(MB25_VOLUMETRIA[[#This Row],[Reserva]]="","",1)</f>
        <v>1</v>
      </c>
      <c r="K761" s="36" t="str">
        <f>IF(MB25_VOLUMETRIA[[#This Row],[Reserva]]="","",IFERROR(VLOOKUP(MB25_VOLUMETRIA[[#This Row],[UMB]],CHAVE[],2,FALSE),"VERIFICAR"))</f>
        <v>Unidade</v>
      </c>
      <c r="L761" s="32" t="str">
        <f>IF(MB25_VOLUMETRIA[[#This Row],[Reserva]]="","",IFERROR(VLOOKUP(MB25_VOLUMETRIA[[#This Row],[Reserva]],Tabela3[[Reserva]:[Condição para Faturamento]],20,FALSE),"IMPORTADO COM SUCESSO"))</f>
        <v>IMPORTADO</v>
      </c>
      <c r="M761" s="32" t="str">
        <f ca="1">IFERROR(VLOOKUP(MB25_VOLUMETRIA[[#This Row],[Reserva]],RES_AB[],14,FALSE),"")</f>
        <v>RESERVAS EM ATRASO</v>
      </c>
      <c r="N761" s="32" t="str">
        <f>IF(MB25_VOLUMETRIA[[#This Row],[Cen.]]="","",IFERROR(VLOOKUP(MB25_VOLUMETRIA[[#This Row],[Cen.]],Dados_Empresas[],2,FALSE),"Verificar empresa"))</f>
        <v>NET MASSIVO</v>
      </c>
      <c r="O761" s="32" t="str">
        <f>IF(MB25_VOLUMETRIA[[#This Row],[EMPRESA]]="","",IF(OR(MB25_VOLUMETRIA[[#This Row],[EMPRESA]]="NET MASSIVO",MB25_VOLUMETRIA[[#This Row],[EMPRESA]]="NET PROJETOS"),"NET","EMPRESARIAL"))</f>
        <v>NET</v>
      </c>
    </row>
    <row r="762" spans="1:15" x14ac:dyDescent="0.25">
      <c r="A762" s="32">
        <v>4381069</v>
      </c>
      <c r="B762" s="32" t="s">
        <v>21</v>
      </c>
      <c r="C762" s="33" t="s">
        <v>19</v>
      </c>
      <c r="D762" s="35">
        <v>45447</v>
      </c>
      <c r="E762" s="32" t="s">
        <v>184</v>
      </c>
      <c r="F762" s="32">
        <v>41001234</v>
      </c>
      <c r="G762" s="32" t="s">
        <v>189</v>
      </c>
      <c r="H762" s="26" t="s">
        <v>38</v>
      </c>
      <c r="I762" s="36">
        <v>110</v>
      </c>
      <c r="J762" s="32">
        <f>IF(MB25_VOLUMETRIA[[#This Row],[Reserva]]="","",1)</f>
        <v>1</v>
      </c>
      <c r="K762" s="36" t="str">
        <f>IF(MB25_VOLUMETRIA[[#This Row],[Reserva]]="","",IFERROR(VLOOKUP(MB25_VOLUMETRIA[[#This Row],[UMB]],CHAVE[],2,FALSE),"VERIFICAR"))</f>
        <v>Unidade</v>
      </c>
      <c r="L762" s="32" t="str">
        <f>IF(MB25_VOLUMETRIA[[#This Row],[Reserva]]="","",IFERROR(VLOOKUP(MB25_VOLUMETRIA[[#This Row],[Reserva]],Tabela3[[Reserva]:[Condição para Faturamento]],20,FALSE),"IMPORTADO COM SUCESSO"))</f>
        <v>IMPORTADO</v>
      </c>
      <c r="M762" s="32" t="str">
        <f ca="1">IFERROR(VLOOKUP(MB25_VOLUMETRIA[[#This Row],[Reserva]],RES_AB[],14,FALSE),"")</f>
        <v>RESERVAS EM ATRASO</v>
      </c>
      <c r="N762" s="32" t="str">
        <f>IF(MB25_VOLUMETRIA[[#This Row],[Cen.]]="","",IFERROR(VLOOKUP(MB25_VOLUMETRIA[[#This Row],[Cen.]],Dados_Empresas[],2,FALSE),"Verificar empresa"))</f>
        <v>NET MASSIVO</v>
      </c>
      <c r="O762" s="32" t="str">
        <f>IF(MB25_VOLUMETRIA[[#This Row],[EMPRESA]]="","",IF(OR(MB25_VOLUMETRIA[[#This Row],[EMPRESA]]="NET MASSIVO",MB25_VOLUMETRIA[[#This Row],[EMPRESA]]="NET PROJETOS"),"NET","EMPRESARIAL"))</f>
        <v>NET</v>
      </c>
    </row>
    <row r="763" spans="1:15" x14ac:dyDescent="0.25">
      <c r="A763" s="32">
        <v>4381069</v>
      </c>
      <c r="B763" s="32" t="s">
        <v>21</v>
      </c>
      <c r="C763" s="33" t="s">
        <v>19</v>
      </c>
      <c r="D763" s="35">
        <v>45447</v>
      </c>
      <c r="E763" s="32" t="s">
        <v>184</v>
      </c>
      <c r="F763" s="32">
        <v>41001275</v>
      </c>
      <c r="G763" s="32" t="s">
        <v>356</v>
      </c>
      <c r="H763" s="26" t="s">
        <v>38</v>
      </c>
      <c r="I763" s="36">
        <v>110</v>
      </c>
      <c r="J763" s="32">
        <f>IF(MB25_VOLUMETRIA[[#This Row],[Reserva]]="","",1)</f>
        <v>1</v>
      </c>
      <c r="K763" s="36" t="str">
        <f>IF(MB25_VOLUMETRIA[[#This Row],[Reserva]]="","",IFERROR(VLOOKUP(MB25_VOLUMETRIA[[#This Row],[UMB]],CHAVE[],2,FALSE),"VERIFICAR"))</f>
        <v>Unidade</v>
      </c>
      <c r="L763" s="32" t="str">
        <f>IF(MB25_VOLUMETRIA[[#This Row],[Reserva]]="","",IFERROR(VLOOKUP(MB25_VOLUMETRIA[[#This Row],[Reserva]],Tabela3[[Reserva]:[Condição para Faturamento]],20,FALSE),"IMPORTADO COM SUCESSO"))</f>
        <v>IMPORTADO</v>
      </c>
      <c r="M763" s="32" t="str">
        <f ca="1">IFERROR(VLOOKUP(MB25_VOLUMETRIA[[#This Row],[Reserva]],RES_AB[],14,FALSE),"")</f>
        <v>RESERVAS EM ATRASO</v>
      </c>
      <c r="N763" s="32" t="str">
        <f>IF(MB25_VOLUMETRIA[[#This Row],[Cen.]]="","",IFERROR(VLOOKUP(MB25_VOLUMETRIA[[#This Row],[Cen.]],Dados_Empresas[],2,FALSE),"Verificar empresa"))</f>
        <v>NET MASSIVO</v>
      </c>
      <c r="O763" s="32" t="str">
        <f>IF(MB25_VOLUMETRIA[[#This Row],[EMPRESA]]="","",IF(OR(MB25_VOLUMETRIA[[#This Row],[EMPRESA]]="NET MASSIVO",MB25_VOLUMETRIA[[#This Row],[EMPRESA]]="NET PROJETOS"),"NET","EMPRESARIAL"))</f>
        <v>NET</v>
      </c>
    </row>
    <row r="764" spans="1:15" x14ac:dyDescent="0.25">
      <c r="A764" s="32">
        <v>4381069</v>
      </c>
      <c r="B764" s="32" t="s">
        <v>21</v>
      </c>
      <c r="C764" s="33" t="s">
        <v>19</v>
      </c>
      <c r="D764" s="35">
        <v>45447</v>
      </c>
      <c r="E764" s="32" t="s">
        <v>184</v>
      </c>
      <c r="F764" s="32">
        <v>41001292</v>
      </c>
      <c r="G764" s="32" t="s">
        <v>353</v>
      </c>
      <c r="H764" s="26" t="s">
        <v>38</v>
      </c>
      <c r="I764" s="36">
        <v>250</v>
      </c>
      <c r="J764" s="32">
        <f>IF(MB25_VOLUMETRIA[[#This Row],[Reserva]]="","",1)</f>
        <v>1</v>
      </c>
      <c r="K764" s="36" t="str">
        <f>IF(MB25_VOLUMETRIA[[#This Row],[Reserva]]="","",IFERROR(VLOOKUP(MB25_VOLUMETRIA[[#This Row],[UMB]],CHAVE[],2,FALSE),"VERIFICAR"))</f>
        <v>Unidade</v>
      </c>
      <c r="L764" s="32" t="str">
        <f>IF(MB25_VOLUMETRIA[[#This Row],[Reserva]]="","",IFERROR(VLOOKUP(MB25_VOLUMETRIA[[#This Row],[Reserva]],Tabela3[[Reserva]:[Condição para Faturamento]],20,FALSE),"IMPORTADO COM SUCESSO"))</f>
        <v>IMPORTADO</v>
      </c>
      <c r="M764" s="32" t="str">
        <f ca="1">IFERROR(VLOOKUP(MB25_VOLUMETRIA[[#This Row],[Reserva]],RES_AB[],14,FALSE),"")</f>
        <v>RESERVAS EM ATRASO</v>
      </c>
      <c r="N764" s="32" t="str">
        <f>IF(MB25_VOLUMETRIA[[#This Row],[Cen.]]="","",IFERROR(VLOOKUP(MB25_VOLUMETRIA[[#This Row],[Cen.]],Dados_Empresas[],2,FALSE),"Verificar empresa"))</f>
        <v>NET MASSIVO</v>
      </c>
      <c r="O764" s="32" t="str">
        <f>IF(MB25_VOLUMETRIA[[#This Row],[EMPRESA]]="","",IF(OR(MB25_VOLUMETRIA[[#This Row],[EMPRESA]]="NET MASSIVO",MB25_VOLUMETRIA[[#This Row],[EMPRESA]]="NET PROJETOS"),"NET","EMPRESARIAL"))</f>
        <v>NET</v>
      </c>
    </row>
    <row r="765" spans="1:15" x14ac:dyDescent="0.25">
      <c r="A765" s="32">
        <v>4381071</v>
      </c>
      <c r="B765" s="32" t="s">
        <v>21</v>
      </c>
      <c r="C765" s="33" t="s">
        <v>19</v>
      </c>
      <c r="D765" s="35">
        <v>45447</v>
      </c>
      <c r="E765" s="32" t="s">
        <v>185</v>
      </c>
      <c r="F765" s="32">
        <v>22026293</v>
      </c>
      <c r="G765" s="32" t="s">
        <v>352</v>
      </c>
      <c r="H765" s="26" t="s">
        <v>38</v>
      </c>
      <c r="I765" s="36">
        <v>50</v>
      </c>
      <c r="J765" s="32">
        <f>IF(MB25_VOLUMETRIA[[#This Row],[Reserva]]="","",1)</f>
        <v>1</v>
      </c>
      <c r="K765" s="36" t="str">
        <f>IF(MB25_VOLUMETRIA[[#This Row],[Reserva]]="","",IFERROR(VLOOKUP(MB25_VOLUMETRIA[[#This Row],[UMB]],CHAVE[],2,FALSE),"VERIFICAR"))</f>
        <v>Unidade</v>
      </c>
      <c r="L765" s="32" t="str">
        <f>IF(MB25_VOLUMETRIA[[#This Row],[Reserva]]="","",IFERROR(VLOOKUP(MB25_VOLUMETRIA[[#This Row],[Reserva]],Tabela3[[Reserva]:[Condição para Faturamento]],20,FALSE),"IMPORTADO COM SUCESSO"))</f>
        <v>EM RESSUPRIMENTO</v>
      </c>
      <c r="M765" s="32" t="str">
        <f ca="1">IFERROR(VLOOKUP(MB25_VOLUMETRIA[[#This Row],[Reserva]],RES_AB[],14,FALSE),"")</f>
        <v>RESERVAS EM ATRASO</v>
      </c>
      <c r="N765" s="32" t="str">
        <f>IF(MB25_VOLUMETRIA[[#This Row],[Cen.]]="","",IFERROR(VLOOKUP(MB25_VOLUMETRIA[[#This Row],[Cen.]],Dados_Empresas[],2,FALSE),"Verificar empresa"))</f>
        <v>NET MASSIVO</v>
      </c>
      <c r="O765" s="32" t="str">
        <f>IF(MB25_VOLUMETRIA[[#This Row],[EMPRESA]]="","",IF(OR(MB25_VOLUMETRIA[[#This Row],[EMPRESA]]="NET MASSIVO",MB25_VOLUMETRIA[[#This Row],[EMPRESA]]="NET PROJETOS"),"NET","EMPRESARIAL"))</f>
        <v>NET</v>
      </c>
    </row>
    <row r="766" spans="1:15" x14ac:dyDescent="0.25">
      <c r="A766" s="32">
        <v>4381072</v>
      </c>
      <c r="B766" s="32" t="s">
        <v>21</v>
      </c>
      <c r="C766" s="33" t="s">
        <v>19</v>
      </c>
      <c r="D766" s="35">
        <v>45447</v>
      </c>
      <c r="E766" s="32" t="s">
        <v>184</v>
      </c>
      <c r="F766" s="32">
        <v>41001292</v>
      </c>
      <c r="G766" s="32" t="s">
        <v>353</v>
      </c>
      <c r="H766" s="26" t="s">
        <v>38</v>
      </c>
      <c r="I766" s="36">
        <v>50</v>
      </c>
      <c r="J766" s="32">
        <f>IF(MB25_VOLUMETRIA[[#This Row],[Reserva]]="","",1)</f>
        <v>1</v>
      </c>
      <c r="K766" s="36" t="str">
        <f>IF(MB25_VOLUMETRIA[[#This Row],[Reserva]]="","",IFERROR(VLOOKUP(MB25_VOLUMETRIA[[#This Row],[UMB]],CHAVE[],2,FALSE),"VERIFICAR"))</f>
        <v>Unidade</v>
      </c>
      <c r="L766" s="32" t="str">
        <f>IF(MB25_VOLUMETRIA[[#This Row],[Reserva]]="","",IFERROR(VLOOKUP(MB25_VOLUMETRIA[[#This Row],[Reserva]],Tabela3[[Reserva]:[Condição para Faturamento]],20,FALSE),"IMPORTADO COM SUCESSO"))</f>
        <v>IMPORTADO</v>
      </c>
      <c r="M766" s="32" t="str">
        <f ca="1">IFERROR(VLOOKUP(MB25_VOLUMETRIA[[#This Row],[Reserva]],RES_AB[],14,FALSE),"")</f>
        <v>RESERVAS EM ATRASO</v>
      </c>
      <c r="N766" s="32" t="str">
        <f>IF(MB25_VOLUMETRIA[[#This Row],[Cen.]]="","",IFERROR(VLOOKUP(MB25_VOLUMETRIA[[#This Row],[Cen.]],Dados_Empresas[],2,FALSE),"Verificar empresa"))</f>
        <v>NET MASSIVO</v>
      </c>
      <c r="O766" s="32" t="str">
        <f>IF(MB25_VOLUMETRIA[[#This Row],[EMPRESA]]="","",IF(OR(MB25_VOLUMETRIA[[#This Row],[EMPRESA]]="NET MASSIVO",MB25_VOLUMETRIA[[#This Row],[EMPRESA]]="NET PROJETOS"),"NET","EMPRESARIAL"))</f>
        <v>NET</v>
      </c>
    </row>
    <row r="767" spans="1:15" x14ac:dyDescent="0.25">
      <c r="A767" s="32">
        <v>4381073</v>
      </c>
      <c r="B767" s="32" t="s">
        <v>21</v>
      </c>
      <c r="C767" s="33" t="s">
        <v>19</v>
      </c>
      <c r="D767" s="35">
        <v>45447</v>
      </c>
      <c r="E767" s="32" t="s">
        <v>184</v>
      </c>
      <c r="F767" s="32">
        <v>41000805</v>
      </c>
      <c r="G767" s="32" t="s">
        <v>188</v>
      </c>
      <c r="H767" s="26" t="s">
        <v>38</v>
      </c>
      <c r="I767" s="36">
        <v>50</v>
      </c>
      <c r="J767" s="32">
        <f>IF(MB25_VOLUMETRIA[[#This Row],[Reserva]]="","",1)</f>
        <v>1</v>
      </c>
      <c r="K767" s="36" t="str">
        <f>IF(MB25_VOLUMETRIA[[#This Row],[Reserva]]="","",IFERROR(VLOOKUP(MB25_VOLUMETRIA[[#This Row],[UMB]],CHAVE[],2,FALSE),"VERIFICAR"))</f>
        <v>Unidade</v>
      </c>
      <c r="L767" s="32" t="str">
        <f>IF(MB25_VOLUMETRIA[[#This Row],[Reserva]]="","",IFERROR(VLOOKUP(MB25_VOLUMETRIA[[#This Row],[Reserva]],Tabela3[[Reserva]:[Condição para Faturamento]],20,FALSE),"IMPORTADO COM SUCESSO"))</f>
        <v>EM RESSUPRIMENTO</v>
      </c>
      <c r="M767" s="32" t="str">
        <f ca="1">IFERROR(VLOOKUP(MB25_VOLUMETRIA[[#This Row],[Reserva]],RES_AB[],14,FALSE),"")</f>
        <v>RESERVAS EM ATRASO</v>
      </c>
      <c r="N767" s="32" t="str">
        <f>IF(MB25_VOLUMETRIA[[#This Row],[Cen.]]="","",IFERROR(VLOOKUP(MB25_VOLUMETRIA[[#This Row],[Cen.]],Dados_Empresas[],2,FALSE),"Verificar empresa"))</f>
        <v>NET MASSIVO</v>
      </c>
      <c r="O767" s="32" t="str">
        <f>IF(MB25_VOLUMETRIA[[#This Row],[EMPRESA]]="","",IF(OR(MB25_VOLUMETRIA[[#This Row],[EMPRESA]]="NET MASSIVO",MB25_VOLUMETRIA[[#This Row],[EMPRESA]]="NET PROJETOS"),"NET","EMPRESARIAL"))</f>
        <v>NET</v>
      </c>
    </row>
    <row r="768" spans="1:15" x14ac:dyDescent="0.25">
      <c r="A768" s="32">
        <v>4381073</v>
      </c>
      <c r="B768" s="32" t="s">
        <v>21</v>
      </c>
      <c r="C768" s="33" t="s">
        <v>19</v>
      </c>
      <c r="D768" s="35">
        <v>45447</v>
      </c>
      <c r="E768" s="32" t="s">
        <v>184</v>
      </c>
      <c r="F768" s="32">
        <v>41001047</v>
      </c>
      <c r="G768" s="32" t="s">
        <v>257</v>
      </c>
      <c r="H768" s="26" t="s">
        <v>38</v>
      </c>
      <c r="I768" s="36">
        <v>50</v>
      </c>
      <c r="J768" s="32">
        <f>IF(MB25_VOLUMETRIA[[#This Row],[Reserva]]="","",1)</f>
        <v>1</v>
      </c>
      <c r="K768" s="36" t="str">
        <f>IF(MB25_VOLUMETRIA[[#This Row],[Reserva]]="","",IFERROR(VLOOKUP(MB25_VOLUMETRIA[[#This Row],[UMB]],CHAVE[],2,FALSE),"VERIFICAR"))</f>
        <v>Unidade</v>
      </c>
      <c r="L768" s="32" t="str">
        <f>IF(MB25_VOLUMETRIA[[#This Row],[Reserva]]="","",IFERROR(VLOOKUP(MB25_VOLUMETRIA[[#This Row],[Reserva]],Tabela3[[Reserva]:[Condição para Faturamento]],20,FALSE),"IMPORTADO COM SUCESSO"))</f>
        <v>EM RESSUPRIMENTO</v>
      </c>
      <c r="M768" s="32" t="str">
        <f ca="1">IFERROR(VLOOKUP(MB25_VOLUMETRIA[[#This Row],[Reserva]],RES_AB[],14,FALSE),"")</f>
        <v>RESERVAS EM ATRASO</v>
      </c>
      <c r="N768" s="32" t="str">
        <f>IF(MB25_VOLUMETRIA[[#This Row],[Cen.]]="","",IFERROR(VLOOKUP(MB25_VOLUMETRIA[[#This Row],[Cen.]],Dados_Empresas[],2,FALSE),"Verificar empresa"))</f>
        <v>NET MASSIVO</v>
      </c>
      <c r="O768" s="32" t="str">
        <f>IF(MB25_VOLUMETRIA[[#This Row],[EMPRESA]]="","",IF(OR(MB25_VOLUMETRIA[[#This Row],[EMPRESA]]="NET MASSIVO",MB25_VOLUMETRIA[[#This Row],[EMPRESA]]="NET PROJETOS"),"NET","EMPRESARIAL"))</f>
        <v>NET</v>
      </c>
    </row>
    <row r="769" spans="1:15" x14ac:dyDescent="0.25">
      <c r="A769" s="32">
        <v>4381074</v>
      </c>
      <c r="B769" s="32" t="s">
        <v>21</v>
      </c>
      <c r="C769" s="33" t="s">
        <v>21</v>
      </c>
      <c r="D769" s="35">
        <v>45447</v>
      </c>
      <c r="E769" s="32" t="s">
        <v>185</v>
      </c>
      <c r="F769" s="32">
        <v>22025049</v>
      </c>
      <c r="G769" s="32" t="s">
        <v>198</v>
      </c>
      <c r="H769" s="26" t="s">
        <v>38</v>
      </c>
      <c r="I769" s="36">
        <v>3</v>
      </c>
      <c r="J769" s="32">
        <f>IF(MB25_VOLUMETRIA[[#This Row],[Reserva]]="","",1)</f>
        <v>1</v>
      </c>
      <c r="K769" s="36" t="str">
        <f>IF(MB25_VOLUMETRIA[[#This Row],[Reserva]]="","",IFERROR(VLOOKUP(MB25_VOLUMETRIA[[#This Row],[UMB]],CHAVE[],2,FALSE),"VERIFICAR"))</f>
        <v>Unidade</v>
      </c>
      <c r="L769" s="32" t="str">
        <f>IF(MB25_VOLUMETRIA[[#This Row],[Reserva]]="","",IFERROR(VLOOKUP(MB25_VOLUMETRIA[[#This Row],[Reserva]],Tabela3[[Reserva]:[Condição para Faturamento]],20,FALSE),"IMPORTADO COM SUCESSO"))</f>
        <v>IMPORTADO</v>
      </c>
      <c r="M769" s="32" t="str">
        <f ca="1">IFERROR(VLOOKUP(MB25_VOLUMETRIA[[#This Row],[Reserva]],RES_AB[],14,FALSE),"")</f>
        <v>RESERVAS EM ATRASO</v>
      </c>
      <c r="N769" s="32" t="str">
        <f>IF(MB25_VOLUMETRIA[[#This Row],[Cen.]]="","",IFERROR(VLOOKUP(MB25_VOLUMETRIA[[#This Row],[Cen.]],Dados_Empresas[],2,FALSE),"Verificar empresa"))</f>
        <v>NET MASSIVO</v>
      </c>
      <c r="O769" s="32" t="str">
        <f>IF(MB25_VOLUMETRIA[[#This Row],[EMPRESA]]="","",IF(OR(MB25_VOLUMETRIA[[#This Row],[EMPRESA]]="NET MASSIVO",MB25_VOLUMETRIA[[#This Row],[EMPRESA]]="NET PROJETOS"),"NET","EMPRESARIAL"))</f>
        <v>NET</v>
      </c>
    </row>
    <row r="770" spans="1:15" x14ac:dyDescent="0.25">
      <c r="A770" s="32">
        <v>4381074</v>
      </c>
      <c r="B770" s="32" t="s">
        <v>21</v>
      </c>
      <c r="C770" s="33" t="s">
        <v>21</v>
      </c>
      <c r="D770" s="35">
        <v>45447</v>
      </c>
      <c r="E770" s="32" t="s">
        <v>185</v>
      </c>
      <c r="F770" s="32">
        <v>22026189</v>
      </c>
      <c r="G770" s="32" t="s">
        <v>200</v>
      </c>
      <c r="H770" s="26" t="s">
        <v>38</v>
      </c>
      <c r="I770" s="36">
        <v>1350</v>
      </c>
      <c r="J770" s="32">
        <f>IF(MB25_VOLUMETRIA[[#This Row],[Reserva]]="","",1)</f>
        <v>1</v>
      </c>
      <c r="K770" s="36" t="str">
        <f>IF(MB25_VOLUMETRIA[[#This Row],[Reserva]]="","",IFERROR(VLOOKUP(MB25_VOLUMETRIA[[#This Row],[UMB]],CHAVE[],2,FALSE),"VERIFICAR"))</f>
        <v>Unidade</v>
      </c>
      <c r="L770" s="32" t="str">
        <f>IF(MB25_VOLUMETRIA[[#This Row],[Reserva]]="","",IFERROR(VLOOKUP(MB25_VOLUMETRIA[[#This Row],[Reserva]],Tabela3[[Reserva]:[Condição para Faturamento]],20,FALSE),"IMPORTADO COM SUCESSO"))</f>
        <v>IMPORTADO</v>
      </c>
      <c r="M770" s="32" t="str">
        <f ca="1">IFERROR(VLOOKUP(MB25_VOLUMETRIA[[#This Row],[Reserva]],RES_AB[],14,FALSE),"")</f>
        <v>RESERVAS EM ATRASO</v>
      </c>
      <c r="N770" s="32" t="str">
        <f>IF(MB25_VOLUMETRIA[[#This Row],[Cen.]]="","",IFERROR(VLOOKUP(MB25_VOLUMETRIA[[#This Row],[Cen.]],Dados_Empresas[],2,FALSE),"Verificar empresa"))</f>
        <v>NET MASSIVO</v>
      </c>
      <c r="O770" s="32" t="str">
        <f>IF(MB25_VOLUMETRIA[[#This Row],[EMPRESA]]="","",IF(OR(MB25_VOLUMETRIA[[#This Row],[EMPRESA]]="NET MASSIVO",MB25_VOLUMETRIA[[#This Row],[EMPRESA]]="NET PROJETOS"),"NET","EMPRESARIAL"))</f>
        <v>NET</v>
      </c>
    </row>
    <row r="771" spans="1:15" x14ac:dyDescent="0.25">
      <c r="A771" s="32">
        <v>4381074</v>
      </c>
      <c r="B771" s="32" t="s">
        <v>21</v>
      </c>
      <c r="C771" s="33" t="s">
        <v>21</v>
      </c>
      <c r="D771" s="35">
        <v>45447</v>
      </c>
      <c r="E771" s="32" t="s">
        <v>185</v>
      </c>
      <c r="F771" s="32">
        <v>22026219</v>
      </c>
      <c r="G771" s="32" t="s">
        <v>221</v>
      </c>
      <c r="H771" s="26" t="s">
        <v>38</v>
      </c>
      <c r="I771" s="36">
        <v>3400</v>
      </c>
      <c r="J771" s="32">
        <f>IF(MB25_VOLUMETRIA[[#This Row],[Reserva]]="","",1)</f>
        <v>1</v>
      </c>
      <c r="K771" s="36" t="str">
        <f>IF(MB25_VOLUMETRIA[[#This Row],[Reserva]]="","",IFERROR(VLOOKUP(MB25_VOLUMETRIA[[#This Row],[UMB]],CHAVE[],2,FALSE),"VERIFICAR"))</f>
        <v>Unidade</v>
      </c>
      <c r="L771" s="32" t="str">
        <f>IF(MB25_VOLUMETRIA[[#This Row],[Reserva]]="","",IFERROR(VLOOKUP(MB25_VOLUMETRIA[[#This Row],[Reserva]],Tabela3[[Reserva]:[Condição para Faturamento]],20,FALSE),"IMPORTADO COM SUCESSO"))</f>
        <v>IMPORTADO</v>
      </c>
      <c r="M771" s="32" t="str">
        <f ca="1">IFERROR(VLOOKUP(MB25_VOLUMETRIA[[#This Row],[Reserva]],RES_AB[],14,FALSE),"")</f>
        <v>RESERVAS EM ATRASO</v>
      </c>
      <c r="N771" s="32" t="str">
        <f>IF(MB25_VOLUMETRIA[[#This Row],[Cen.]]="","",IFERROR(VLOOKUP(MB25_VOLUMETRIA[[#This Row],[Cen.]],Dados_Empresas[],2,FALSE),"Verificar empresa"))</f>
        <v>NET MASSIVO</v>
      </c>
      <c r="O771" s="32" t="str">
        <f>IF(MB25_VOLUMETRIA[[#This Row],[EMPRESA]]="","",IF(OR(MB25_VOLUMETRIA[[#This Row],[EMPRESA]]="NET MASSIVO",MB25_VOLUMETRIA[[#This Row],[EMPRESA]]="NET PROJETOS"),"NET","EMPRESARIAL"))</f>
        <v>NET</v>
      </c>
    </row>
    <row r="772" spans="1:15" x14ac:dyDescent="0.25">
      <c r="A772" s="32">
        <v>4381074</v>
      </c>
      <c r="B772" s="32" t="s">
        <v>21</v>
      </c>
      <c r="C772" s="33" t="s">
        <v>21</v>
      </c>
      <c r="D772" s="35">
        <v>45447</v>
      </c>
      <c r="E772" s="32" t="s">
        <v>185</v>
      </c>
      <c r="F772" s="32">
        <v>22026772</v>
      </c>
      <c r="G772" s="32" t="s">
        <v>201</v>
      </c>
      <c r="H772" s="26" t="s">
        <v>38</v>
      </c>
      <c r="I772" s="36">
        <v>25</v>
      </c>
      <c r="J772" s="32">
        <f>IF(MB25_VOLUMETRIA[[#This Row],[Reserva]]="","",1)</f>
        <v>1</v>
      </c>
      <c r="K772" s="36" t="str">
        <f>IF(MB25_VOLUMETRIA[[#This Row],[Reserva]]="","",IFERROR(VLOOKUP(MB25_VOLUMETRIA[[#This Row],[UMB]],CHAVE[],2,FALSE),"VERIFICAR"))</f>
        <v>Unidade</v>
      </c>
      <c r="L772" s="32" t="str">
        <f>IF(MB25_VOLUMETRIA[[#This Row],[Reserva]]="","",IFERROR(VLOOKUP(MB25_VOLUMETRIA[[#This Row],[Reserva]],Tabela3[[Reserva]:[Condição para Faturamento]],20,FALSE),"IMPORTADO COM SUCESSO"))</f>
        <v>IMPORTADO</v>
      </c>
      <c r="M772" s="32" t="str">
        <f ca="1">IFERROR(VLOOKUP(MB25_VOLUMETRIA[[#This Row],[Reserva]],RES_AB[],14,FALSE),"")</f>
        <v>RESERVAS EM ATRASO</v>
      </c>
      <c r="N772" s="32" t="str">
        <f>IF(MB25_VOLUMETRIA[[#This Row],[Cen.]]="","",IFERROR(VLOOKUP(MB25_VOLUMETRIA[[#This Row],[Cen.]],Dados_Empresas[],2,FALSE),"Verificar empresa"))</f>
        <v>NET MASSIVO</v>
      </c>
      <c r="O772" s="32" t="str">
        <f>IF(MB25_VOLUMETRIA[[#This Row],[EMPRESA]]="","",IF(OR(MB25_VOLUMETRIA[[#This Row],[EMPRESA]]="NET MASSIVO",MB25_VOLUMETRIA[[#This Row],[EMPRESA]]="NET PROJETOS"),"NET","EMPRESARIAL"))</f>
        <v>NET</v>
      </c>
    </row>
    <row r="773" spans="1:15" x14ac:dyDescent="0.25">
      <c r="A773" s="32">
        <v>4381074</v>
      </c>
      <c r="B773" s="32" t="s">
        <v>21</v>
      </c>
      <c r="C773" s="33" t="s">
        <v>21</v>
      </c>
      <c r="D773" s="35">
        <v>45447</v>
      </c>
      <c r="E773" s="32" t="s">
        <v>185</v>
      </c>
      <c r="F773" s="32">
        <v>22056331</v>
      </c>
      <c r="G773" s="32" t="s">
        <v>209</v>
      </c>
      <c r="H773" s="26" t="s">
        <v>38</v>
      </c>
      <c r="I773" s="36">
        <v>100</v>
      </c>
      <c r="J773" s="32">
        <f>IF(MB25_VOLUMETRIA[[#This Row],[Reserva]]="","",1)</f>
        <v>1</v>
      </c>
      <c r="K773" s="36" t="str">
        <f>IF(MB25_VOLUMETRIA[[#This Row],[Reserva]]="","",IFERROR(VLOOKUP(MB25_VOLUMETRIA[[#This Row],[UMB]],CHAVE[],2,FALSE),"VERIFICAR"))</f>
        <v>Unidade</v>
      </c>
      <c r="L773" s="32" t="str">
        <f>IF(MB25_VOLUMETRIA[[#This Row],[Reserva]]="","",IFERROR(VLOOKUP(MB25_VOLUMETRIA[[#This Row],[Reserva]],Tabela3[[Reserva]:[Condição para Faturamento]],20,FALSE),"IMPORTADO COM SUCESSO"))</f>
        <v>IMPORTADO</v>
      </c>
      <c r="M773" s="32" t="str">
        <f ca="1">IFERROR(VLOOKUP(MB25_VOLUMETRIA[[#This Row],[Reserva]],RES_AB[],14,FALSE),"")</f>
        <v>RESERVAS EM ATRASO</v>
      </c>
      <c r="N773" s="32" t="str">
        <f>IF(MB25_VOLUMETRIA[[#This Row],[Cen.]]="","",IFERROR(VLOOKUP(MB25_VOLUMETRIA[[#This Row],[Cen.]],Dados_Empresas[],2,FALSE),"Verificar empresa"))</f>
        <v>NET MASSIVO</v>
      </c>
      <c r="O773" s="32" t="str">
        <f>IF(MB25_VOLUMETRIA[[#This Row],[EMPRESA]]="","",IF(OR(MB25_VOLUMETRIA[[#This Row],[EMPRESA]]="NET MASSIVO",MB25_VOLUMETRIA[[#This Row],[EMPRESA]]="NET PROJETOS"),"NET","EMPRESARIAL"))</f>
        <v>NET</v>
      </c>
    </row>
    <row r="774" spans="1:15" x14ac:dyDescent="0.25">
      <c r="A774" s="32">
        <v>4381074</v>
      </c>
      <c r="B774" s="32" t="s">
        <v>21</v>
      </c>
      <c r="C774" s="33" t="s">
        <v>21</v>
      </c>
      <c r="D774" s="35">
        <v>45447</v>
      </c>
      <c r="E774" s="32" t="s">
        <v>185</v>
      </c>
      <c r="F774" s="32">
        <v>22056335</v>
      </c>
      <c r="G774" s="32" t="s">
        <v>242</v>
      </c>
      <c r="H774" s="26" t="s">
        <v>38</v>
      </c>
      <c r="I774" s="36">
        <v>100</v>
      </c>
      <c r="J774" s="32">
        <f>IF(MB25_VOLUMETRIA[[#This Row],[Reserva]]="","",1)</f>
        <v>1</v>
      </c>
      <c r="K774" s="36" t="str">
        <f>IF(MB25_VOLUMETRIA[[#This Row],[Reserva]]="","",IFERROR(VLOOKUP(MB25_VOLUMETRIA[[#This Row],[UMB]],CHAVE[],2,FALSE),"VERIFICAR"))</f>
        <v>Unidade</v>
      </c>
      <c r="L774" s="32" t="str">
        <f>IF(MB25_VOLUMETRIA[[#This Row],[Reserva]]="","",IFERROR(VLOOKUP(MB25_VOLUMETRIA[[#This Row],[Reserva]],Tabela3[[Reserva]:[Condição para Faturamento]],20,FALSE),"IMPORTADO COM SUCESSO"))</f>
        <v>IMPORTADO</v>
      </c>
      <c r="M774" s="32" t="str">
        <f ca="1">IFERROR(VLOOKUP(MB25_VOLUMETRIA[[#This Row],[Reserva]],RES_AB[],14,FALSE),"")</f>
        <v>RESERVAS EM ATRASO</v>
      </c>
      <c r="N774" s="32" t="str">
        <f>IF(MB25_VOLUMETRIA[[#This Row],[Cen.]]="","",IFERROR(VLOOKUP(MB25_VOLUMETRIA[[#This Row],[Cen.]],Dados_Empresas[],2,FALSE),"Verificar empresa"))</f>
        <v>NET MASSIVO</v>
      </c>
      <c r="O774" s="32" t="str">
        <f>IF(MB25_VOLUMETRIA[[#This Row],[EMPRESA]]="","",IF(OR(MB25_VOLUMETRIA[[#This Row],[EMPRESA]]="NET MASSIVO",MB25_VOLUMETRIA[[#This Row],[EMPRESA]]="NET PROJETOS"),"NET","EMPRESARIAL"))</f>
        <v>NET</v>
      </c>
    </row>
    <row r="775" spans="1:15" x14ac:dyDescent="0.25">
      <c r="A775" s="32">
        <v>4381074</v>
      </c>
      <c r="B775" s="32" t="s">
        <v>21</v>
      </c>
      <c r="C775" s="33" t="s">
        <v>21</v>
      </c>
      <c r="D775" s="35">
        <v>45447</v>
      </c>
      <c r="E775" s="32" t="s">
        <v>185</v>
      </c>
      <c r="F775" s="32">
        <v>22056343</v>
      </c>
      <c r="G775" s="32" t="s">
        <v>234</v>
      </c>
      <c r="H775" s="26" t="s">
        <v>38</v>
      </c>
      <c r="I775" s="36">
        <v>100</v>
      </c>
      <c r="J775" s="32">
        <f>IF(MB25_VOLUMETRIA[[#This Row],[Reserva]]="","",1)</f>
        <v>1</v>
      </c>
      <c r="K775" s="36" t="str">
        <f>IF(MB25_VOLUMETRIA[[#This Row],[Reserva]]="","",IFERROR(VLOOKUP(MB25_VOLUMETRIA[[#This Row],[UMB]],CHAVE[],2,FALSE),"VERIFICAR"))</f>
        <v>Unidade</v>
      </c>
      <c r="L775" s="32" t="str">
        <f>IF(MB25_VOLUMETRIA[[#This Row],[Reserva]]="","",IFERROR(VLOOKUP(MB25_VOLUMETRIA[[#This Row],[Reserva]],Tabela3[[Reserva]:[Condição para Faturamento]],20,FALSE),"IMPORTADO COM SUCESSO"))</f>
        <v>IMPORTADO</v>
      </c>
      <c r="M775" s="32" t="str">
        <f ca="1">IFERROR(VLOOKUP(MB25_VOLUMETRIA[[#This Row],[Reserva]],RES_AB[],14,FALSE),"")</f>
        <v>RESERVAS EM ATRASO</v>
      </c>
      <c r="N775" s="32" t="str">
        <f>IF(MB25_VOLUMETRIA[[#This Row],[Cen.]]="","",IFERROR(VLOOKUP(MB25_VOLUMETRIA[[#This Row],[Cen.]],Dados_Empresas[],2,FALSE),"Verificar empresa"))</f>
        <v>NET MASSIVO</v>
      </c>
      <c r="O775" s="32" t="str">
        <f>IF(MB25_VOLUMETRIA[[#This Row],[EMPRESA]]="","",IF(OR(MB25_VOLUMETRIA[[#This Row],[EMPRESA]]="NET MASSIVO",MB25_VOLUMETRIA[[#This Row],[EMPRESA]]="NET PROJETOS"),"NET","EMPRESARIAL"))</f>
        <v>NET</v>
      </c>
    </row>
    <row r="776" spans="1:15" x14ac:dyDescent="0.25">
      <c r="A776" s="32">
        <v>4381074</v>
      </c>
      <c r="B776" s="32" t="s">
        <v>21</v>
      </c>
      <c r="C776" s="33" t="s">
        <v>21</v>
      </c>
      <c r="D776" s="35">
        <v>45447</v>
      </c>
      <c r="E776" s="32" t="s">
        <v>185</v>
      </c>
      <c r="F776" s="32">
        <v>22056344</v>
      </c>
      <c r="G776" s="32" t="s">
        <v>235</v>
      </c>
      <c r="H776" s="26" t="s">
        <v>38</v>
      </c>
      <c r="I776" s="36">
        <v>100</v>
      </c>
      <c r="J776" s="32">
        <f>IF(MB25_VOLUMETRIA[[#This Row],[Reserva]]="","",1)</f>
        <v>1</v>
      </c>
      <c r="K776" s="36" t="str">
        <f>IF(MB25_VOLUMETRIA[[#This Row],[Reserva]]="","",IFERROR(VLOOKUP(MB25_VOLUMETRIA[[#This Row],[UMB]],CHAVE[],2,FALSE),"VERIFICAR"))</f>
        <v>Unidade</v>
      </c>
      <c r="L776" s="32" t="str">
        <f>IF(MB25_VOLUMETRIA[[#This Row],[Reserva]]="","",IFERROR(VLOOKUP(MB25_VOLUMETRIA[[#This Row],[Reserva]],Tabela3[[Reserva]:[Condição para Faturamento]],20,FALSE),"IMPORTADO COM SUCESSO"))</f>
        <v>IMPORTADO</v>
      </c>
      <c r="M776" s="32" t="str">
        <f ca="1">IFERROR(VLOOKUP(MB25_VOLUMETRIA[[#This Row],[Reserva]],RES_AB[],14,FALSE),"")</f>
        <v>RESERVAS EM ATRASO</v>
      </c>
      <c r="N776" s="32" t="str">
        <f>IF(MB25_VOLUMETRIA[[#This Row],[Cen.]]="","",IFERROR(VLOOKUP(MB25_VOLUMETRIA[[#This Row],[Cen.]],Dados_Empresas[],2,FALSE),"Verificar empresa"))</f>
        <v>NET MASSIVO</v>
      </c>
      <c r="O776" s="32" t="str">
        <f>IF(MB25_VOLUMETRIA[[#This Row],[EMPRESA]]="","",IF(OR(MB25_VOLUMETRIA[[#This Row],[EMPRESA]]="NET MASSIVO",MB25_VOLUMETRIA[[#This Row],[EMPRESA]]="NET PROJETOS"),"NET","EMPRESARIAL"))</f>
        <v>NET</v>
      </c>
    </row>
    <row r="777" spans="1:15" x14ac:dyDescent="0.25">
      <c r="A777" s="32">
        <v>4381074</v>
      </c>
      <c r="B777" s="32" t="s">
        <v>21</v>
      </c>
      <c r="C777" s="33" t="s">
        <v>21</v>
      </c>
      <c r="D777" s="35">
        <v>45447</v>
      </c>
      <c r="E777" s="32" t="s">
        <v>185</v>
      </c>
      <c r="F777" s="32">
        <v>22056345</v>
      </c>
      <c r="G777" s="32" t="s">
        <v>255</v>
      </c>
      <c r="H777" s="26" t="s">
        <v>38</v>
      </c>
      <c r="I777" s="36">
        <v>100</v>
      </c>
      <c r="J777" s="32">
        <f>IF(MB25_VOLUMETRIA[[#This Row],[Reserva]]="","",1)</f>
        <v>1</v>
      </c>
      <c r="K777" s="36" t="str">
        <f>IF(MB25_VOLUMETRIA[[#This Row],[Reserva]]="","",IFERROR(VLOOKUP(MB25_VOLUMETRIA[[#This Row],[UMB]],CHAVE[],2,FALSE),"VERIFICAR"))</f>
        <v>Unidade</v>
      </c>
      <c r="L777" s="32" t="str">
        <f>IF(MB25_VOLUMETRIA[[#This Row],[Reserva]]="","",IFERROR(VLOOKUP(MB25_VOLUMETRIA[[#This Row],[Reserva]],Tabela3[[Reserva]:[Condição para Faturamento]],20,FALSE),"IMPORTADO COM SUCESSO"))</f>
        <v>IMPORTADO</v>
      </c>
      <c r="M777" s="32" t="str">
        <f ca="1">IFERROR(VLOOKUP(MB25_VOLUMETRIA[[#This Row],[Reserva]],RES_AB[],14,FALSE),"")</f>
        <v>RESERVAS EM ATRASO</v>
      </c>
      <c r="N777" s="32" t="str">
        <f>IF(MB25_VOLUMETRIA[[#This Row],[Cen.]]="","",IFERROR(VLOOKUP(MB25_VOLUMETRIA[[#This Row],[Cen.]],Dados_Empresas[],2,FALSE),"Verificar empresa"))</f>
        <v>NET MASSIVO</v>
      </c>
      <c r="O777" s="32" t="str">
        <f>IF(MB25_VOLUMETRIA[[#This Row],[EMPRESA]]="","",IF(OR(MB25_VOLUMETRIA[[#This Row],[EMPRESA]]="NET MASSIVO",MB25_VOLUMETRIA[[#This Row],[EMPRESA]]="NET PROJETOS"),"NET","EMPRESARIAL"))</f>
        <v>NET</v>
      </c>
    </row>
    <row r="778" spans="1:15" x14ac:dyDescent="0.25">
      <c r="A778" s="32">
        <v>4381074</v>
      </c>
      <c r="B778" s="32" t="s">
        <v>21</v>
      </c>
      <c r="C778" s="33" t="s">
        <v>21</v>
      </c>
      <c r="D778" s="35">
        <v>45447</v>
      </c>
      <c r="E778" s="32" t="s">
        <v>185</v>
      </c>
      <c r="F778" s="32">
        <v>22056359</v>
      </c>
      <c r="G778" s="32" t="s">
        <v>203</v>
      </c>
      <c r="H778" s="26" t="s">
        <v>38</v>
      </c>
      <c r="I778" s="36">
        <v>2</v>
      </c>
      <c r="J778" s="32">
        <f>IF(MB25_VOLUMETRIA[[#This Row],[Reserva]]="","",1)</f>
        <v>1</v>
      </c>
      <c r="K778" s="36" t="str">
        <f>IF(MB25_VOLUMETRIA[[#This Row],[Reserva]]="","",IFERROR(VLOOKUP(MB25_VOLUMETRIA[[#This Row],[UMB]],CHAVE[],2,FALSE),"VERIFICAR"))</f>
        <v>Unidade</v>
      </c>
      <c r="L778" s="32" t="str">
        <f>IF(MB25_VOLUMETRIA[[#This Row],[Reserva]]="","",IFERROR(VLOOKUP(MB25_VOLUMETRIA[[#This Row],[Reserva]],Tabela3[[Reserva]:[Condição para Faturamento]],20,FALSE),"IMPORTADO COM SUCESSO"))</f>
        <v>IMPORTADO</v>
      </c>
      <c r="M778" s="32" t="str">
        <f ca="1">IFERROR(VLOOKUP(MB25_VOLUMETRIA[[#This Row],[Reserva]],RES_AB[],14,FALSE),"")</f>
        <v>RESERVAS EM ATRASO</v>
      </c>
      <c r="N778" s="32" t="str">
        <f>IF(MB25_VOLUMETRIA[[#This Row],[Cen.]]="","",IFERROR(VLOOKUP(MB25_VOLUMETRIA[[#This Row],[Cen.]],Dados_Empresas[],2,FALSE),"Verificar empresa"))</f>
        <v>NET MASSIVO</v>
      </c>
      <c r="O778" s="32" t="str">
        <f>IF(MB25_VOLUMETRIA[[#This Row],[EMPRESA]]="","",IF(OR(MB25_VOLUMETRIA[[#This Row],[EMPRESA]]="NET MASSIVO",MB25_VOLUMETRIA[[#This Row],[EMPRESA]]="NET PROJETOS"),"NET","EMPRESARIAL"))</f>
        <v>NET</v>
      </c>
    </row>
    <row r="779" spans="1:15" x14ac:dyDescent="0.25">
      <c r="A779" s="32">
        <v>4381074</v>
      </c>
      <c r="B779" s="32" t="s">
        <v>21</v>
      </c>
      <c r="C779" s="33" t="s">
        <v>21</v>
      </c>
      <c r="D779" s="35">
        <v>45447</v>
      </c>
      <c r="E779" s="32" t="s">
        <v>185</v>
      </c>
      <c r="F779" s="32">
        <v>22056364</v>
      </c>
      <c r="G779" s="32" t="s">
        <v>236</v>
      </c>
      <c r="H779" s="26" t="s">
        <v>38</v>
      </c>
      <c r="I779" s="36">
        <v>150</v>
      </c>
      <c r="J779" s="32">
        <f>IF(MB25_VOLUMETRIA[[#This Row],[Reserva]]="","",1)</f>
        <v>1</v>
      </c>
      <c r="K779" s="36" t="str">
        <f>IF(MB25_VOLUMETRIA[[#This Row],[Reserva]]="","",IFERROR(VLOOKUP(MB25_VOLUMETRIA[[#This Row],[UMB]],CHAVE[],2,FALSE),"VERIFICAR"))</f>
        <v>Unidade</v>
      </c>
      <c r="L779" s="32" t="str">
        <f>IF(MB25_VOLUMETRIA[[#This Row],[Reserva]]="","",IFERROR(VLOOKUP(MB25_VOLUMETRIA[[#This Row],[Reserva]],Tabela3[[Reserva]:[Condição para Faturamento]],20,FALSE),"IMPORTADO COM SUCESSO"))</f>
        <v>IMPORTADO</v>
      </c>
      <c r="M779" s="32" t="str">
        <f ca="1">IFERROR(VLOOKUP(MB25_VOLUMETRIA[[#This Row],[Reserva]],RES_AB[],14,FALSE),"")</f>
        <v>RESERVAS EM ATRASO</v>
      </c>
      <c r="N779" s="32" t="str">
        <f>IF(MB25_VOLUMETRIA[[#This Row],[Cen.]]="","",IFERROR(VLOOKUP(MB25_VOLUMETRIA[[#This Row],[Cen.]],Dados_Empresas[],2,FALSE),"Verificar empresa"))</f>
        <v>NET MASSIVO</v>
      </c>
      <c r="O779" s="32" t="str">
        <f>IF(MB25_VOLUMETRIA[[#This Row],[EMPRESA]]="","",IF(OR(MB25_VOLUMETRIA[[#This Row],[EMPRESA]]="NET MASSIVO",MB25_VOLUMETRIA[[#This Row],[EMPRESA]]="NET PROJETOS"),"NET","EMPRESARIAL"))</f>
        <v>NET</v>
      </c>
    </row>
    <row r="780" spans="1:15" x14ac:dyDescent="0.25">
      <c r="A780" s="32">
        <v>4381074</v>
      </c>
      <c r="B780" s="32" t="s">
        <v>21</v>
      </c>
      <c r="C780" s="33" t="s">
        <v>21</v>
      </c>
      <c r="D780" s="35">
        <v>45447</v>
      </c>
      <c r="E780" s="32" t="s">
        <v>185</v>
      </c>
      <c r="F780" s="32">
        <v>22056365</v>
      </c>
      <c r="G780" s="32" t="s">
        <v>244</v>
      </c>
      <c r="H780" s="26" t="s">
        <v>38</v>
      </c>
      <c r="I780" s="36">
        <v>150</v>
      </c>
      <c r="J780" s="32">
        <f>IF(MB25_VOLUMETRIA[[#This Row],[Reserva]]="","",1)</f>
        <v>1</v>
      </c>
      <c r="K780" s="36" t="str">
        <f>IF(MB25_VOLUMETRIA[[#This Row],[Reserva]]="","",IFERROR(VLOOKUP(MB25_VOLUMETRIA[[#This Row],[UMB]],CHAVE[],2,FALSE),"VERIFICAR"))</f>
        <v>Unidade</v>
      </c>
      <c r="L780" s="32" t="str">
        <f>IF(MB25_VOLUMETRIA[[#This Row],[Reserva]]="","",IFERROR(VLOOKUP(MB25_VOLUMETRIA[[#This Row],[Reserva]],Tabela3[[Reserva]:[Condição para Faturamento]],20,FALSE),"IMPORTADO COM SUCESSO"))</f>
        <v>IMPORTADO</v>
      </c>
      <c r="M780" s="32" t="str">
        <f ca="1">IFERROR(VLOOKUP(MB25_VOLUMETRIA[[#This Row],[Reserva]],RES_AB[],14,FALSE),"")</f>
        <v>RESERVAS EM ATRASO</v>
      </c>
      <c r="N780" s="32" t="str">
        <f>IF(MB25_VOLUMETRIA[[#This Row],[Cen.]]="","",IFERROR(VLOOKUP(MB25_VOLUMETRIA[[#This Row],[Cen.]],Dados_Empresas[],2,FALSE),"Verificar empresa"))</f>
        <v>NET MASSIVO</v>
      </c>
      <c r="O780" s="32" t="str">
        <f>IF(MB25_VOLUMETRIA[[#This Row],[EMPRESA]]="","",IF(OR(MB25_VOLUMETRIA[[#This Row],[EMPRESA]]="NET MASSIVO",MB25_VOLUMETRIA[[#This Row],[EMPRESA]]="NET PROJETOS"),"NET","EMPRESARIAL"))</f>
        <v>NET</v>
      </c>
    </row>
    <row r="781" spans="1:15" x14ac:dyDescent="0.25">
      <c r="A781" s="32">
        <v>4381074</v>
      </c>
      <c r="B781" s="32" t="s">
        <v>21</v>
      </c>
      <c r="C781" s="33" t="s">
        <v>21</v>
      </c>
      <c r="D781" s="35">
        <v>45447</v>
      </c>
      <c r="E781" s="32" t="s">
        <v>185</v>
      </c>
      <c r="F781" s="32">
        <v>22057620</v>
      </c>
      <c r="G781" s="32" t="s">
        <v>253</v>
      </c>
      <c r="H781" s="26" t="s">
        <v>38</v>
      </c>
      <c r="I781" s="36">
        <v>200</v>
      </c>
      <c r="J781" s="32">
        <f>IF(MB25_VOLUMETRIA[[#This Row],[Reserva]]="","",1)</f>
        <v>1</v>
      </c>
      <c r="K781" s="36" t="str">
        <f>IF(MB25_VOLUMETRIA[[#This Row],[Reserva]]="","",IFERROR(VLOOKUP(MB25_VOLUMETRIA[[#This Row],[UMB]],CHAVE[],2,FALSE),"VERIFICAR"))</f>
        <v>Unidade</v>
      </c>
      <c r="L781" s="32" t="str">
        <f>IF(MB25_VOLUMETRIA[[#This Row],[Reserva]]="","",IFERROR(VLOOKUP(MB25_VOLUMETRIA[[#This Row],[Reserva]],Tabela3[[Reserva]:[Condição para Faturamento]],20,FALSE),"IMPORTADO COM SUCESSO"))</f>
        <v>IMPORTADO</v>
      </c>
      <c r="M781" s="32" t="str">
        <f ca="1">IFERROR(VLOOKUP(MB25_VOLUMETRIA[[#This Row],[Reserva]],RES_AB[],14,FALSE),"")</f>
        <v>RESERVAS EM ATRASO</v>
      </c>
      <c r="N781" s="32" t="str">
        <f>IF(MB25_VOLUMETRIA[[#This Row],[Cen.]]="","",IFERROR(VLOOKUP(MB25_VOLUMETRIA[[#This Row],[Cen.]],Dados_Empresas[],2,FALSE),"Verificar empresa"))</f>
        <v>NET MASSIVO</v>
      </c>
      <c r="O781" s="32" t="str">
        <f>IF(MB25_VOLUMETRIA[[#This Row],[EMPRESA]]="","",IF(OR(MB25_VOLUMETRIA[[#This Row],[EMPRESA]]="NET MASSIVO",MB25_VOLUMETRIA[[#This Row],[EMPRESA]]="NET PROJETOS"),"NET","EMPRESARIAL"))</f>
        <v>NET</v>
      </c>
    </row>
    <row r="782" spans="1:15" x14ac:dyDescent="0.25">
      <c r="A782" s="32">
        <v>4381074</v>
      </c>
      <c r="B782" s="32" t="s">
        <v>21</v>
      </c>
      <c r="C782" s="33" t="s">
        <v>21</v>
      </c>
      <c r="D782" s="35">
        <v>45447</v>
      </c>
      <c r="E782" s="32" t="s">
        <v>185</v>
      </c>
      <c r="F782" s="32">
        <v>22057658</v>
      </c>
      <c r="G782" s="32" t="s">
        <v>229</v>
      </c>
      <c r="H782" s="26" t="s">
        <v>38</v>
      </c>
      <c r="I782" s="36">
        <v>20</v>
      </c>
      <c r="J782" s="32">
        <f>IF(MB25_VOLUMETRIA[[#This Row],[Reserva]]="","",1)</f>
        <v>1</v>
      </c>
      <c r="K782" s="36" t="str">
        <f>IF(MB25_VOLUMETRIA[[#This Row],[Reserva]]="","",IFERROR(VLOOKUP(MB25_VOLUMETRIA[[#This Row],[UMB]],CHAVE[],2,FALSE),"VERIFICAR"))</f>
        <v>Unidade</v>
      </c>
      <c r="L782" s="32" t="str">
        <f>IF(MB25_VOLUMETRIA[[#This Row],[Reserva]]="","",IFERROR(VLOOKUP(MB25_VOLUMETRIA[[#This Row],[Reserva]],Tabela3[[Reserva]:[Condição para Faturamento]],20,FALSE),"IMPORTADO COM SUCESSO"))</f>
        <v>IMPORTADO</v>
      </c>
      <c r="M782" s="32" t="str">
        <f ca="1">IFERROR(VLOOKUP(MB25_VOLUMETRIA[[#This Row],[Reserva]],RES_AB[],14,FALSE),"")</f>
        <v>RESERVAS EM ATRASO</v>
      </c>
      <c r="N782" s="32" t="str">
        <f>IF(MB25_VOLUMETRIA[[#This Row],[Cen.]]="","",IFERROR(VLOOKUP(MB25_VOLUMETRIA[[#This Row],[Cen.]],Dados_Empresas[],2,FALSE),"Verificar empresa"))</f>
        <v>NET MASSIVO</v>
      </c>
      <c r="O782" s="32" t="str">
        <f>IF(MB25_VOLUMETRIA[[#This Row],[EMPRESA]]="","",IF(OR(MB25_VOLUMETRIA[[#This Row],[EMPRESA]]="NET MASSIVO",MB25_VOLUMETRIA[[#This Row],[EMPRESA]]="NET PROJETOS"),"NET","EMPRESARIAL"))</f>
        <v>NET</v>
      </c>
    </row>
    <row r="783" spans="1:15" x14ac:dyDescent="0.25">
      <c r="A783" s="32">
        <v>4381074</v>
      </c>
      <c r="B783" s="32" t="s">
        <v>21</v>
      </c>
      <c r="C783" s="33" t="s">
        <v>21</v>
      </c>
      <c r="D783" s="35">
        <v>45447</v>
      </c>
      <c r="E783" s="32" t="s">
        <v>185</v>
      </c>
      <c r="F783" s="32">
        <v>22057659</v>
      </c>
      <c r="G783" s="32" t="s">
        <v>224</v>
      </c>
      <c r="H783" s="26" t="s">
        <v>38</v>
      </c>
      <c r="I783" s="36">
        <v>250</v>
      </c>
      <c r="J783" s="32">
        <f>IF(MB25_VOLUMETRIA[[#This Row],[Reserva]]="","",1)</f>
        <v>1</v>
      </c>
      <c r="K783" s="36" t="str">
        <f>IF(MB25_VOLUMETRIA[[#This Row],[Reserva]]="","",IFERROR(VLOOKUP(MB25_VOLUMETRIA[[#This Row],[UMB]],CHAVE[],2,FALSE),"VERIFICAR"))</f>
        <v>Unidade</v>
      </c>
      <c r="L783" s="32" t="str">
        <f>IF(MB25_VOLUMETRIA[[#This Row],[Reserva]]="","",IFERROR(VLOOKUP(MB25_VOLUMETRIA[[#This Row],[Reserva]],Tabela3[[Reserva]:[Condição para Faturamento]],20,FALSE),"IMPORTADO COM SUCESSO"))</f>
        <v>IMPORTADO</v>
      </c>
      <c r="M783" s="32" t="str">
        <f ca="1">IFERROR(VLOOKUP(MB25_VOLUMETRIA[[#This Row],[Reserva]],RES_AB[],14,FALSE),"")</f>
        <v>RESERVAS EM ATRASO</v>
      </c>
      <c r="N783" s="32" t="str">
        <f>IF(MB25_VOLUMETRIA[[#This Row],[Cen.]]="","",IFERROR(VLOOKUP(MB25_VOLUMETRIA[[#This Row],[Cen.]],Dados_Empresas[],2,FALSE),"Verificar empresa"))</f>
        <v>NET MASSIVO</v>
      </c>
      <c r="O783" s="32" t="str">
        <f>IF(MB25_VOLUMETRIA[[#This Row],[EMPRESA]]="","",IF(OR(MB25_VOLUMETRIA[[#This Row],[EMPRESA]]="NET MASSIVO",MB25_VOLUMETRIA[[#This Row],[EMPRESA]]="NET PROJETOS"),"NET","EMPRESARIAL"))</f>
        <v>NET</v>
      </c>
    </row>
    <row r="784" spans="1:15" x14ac:dyDescent="0.25">
      <c r="A784" s="32">
        <v>4381074</v>
      </c>
      <c r="B784" s="32" t="s">
        <v>21</v>
      </c>
      <c r="C784" s="33" t="s">
        <v>21</v>
      </c>
      <c r="D784" s="35">
        <v>45447</v>
      </c>
      <c r="E784" s="32" t="s">
        <v>185</v>
      </c>
      <c r="F784" s="32">
        <v>22060738</v>
      </c>
      <c r="G784" s="32" t="s">
        <v>199</v>
      </c>
      <c r="H784" s="26" t="s">
        <v>38</v>
      </c>
      <c r="I784" s="36">
        <v>600</v>
      </c>
      <c r="J784" s="32">
        <f>IF(MB25_VOLUMETRIA[[#This Row],[Reserva]]="","",1)</f>
        <v>1</v>
      </c>
      <c r="K784" s="36" t="str">
        <f>IF(MB25_VOLUMETRIA[[#This Row],[Reserva]]="","",IFERROR(VLOOKUP(MB25_VOLUMETRIA[[#This Row],[UMB]],CHAVE[],2,FALSE),"VERIFICAR"))</f>
        <v>Unidade</v>
      </c>
      <c r="L784" s="32" t="str">
        <f>IF(MB25_VOLUMETRIA[[#This Row],[Reserva]]="","",IFERROR(VLOOKUP(MB25_VOLUMETRIA[[#This Row],[Reserva]],Tabela3[[Reserva]:[Condição para Faturamento]],20,FALSE),"IMPORTADO COM SUCESSO"))</f>
        <v>IMPORTADO</v>
      </c>
      <c r="M784" s="32" t="str">
        <f ca="1">IFERROR(VLOOKUP(MB25_VOLUMETRIA[[#This Row],[Reserva]],RES_AB[],14,FALSE),"")</f>
        <v>RESERVAS EM ATRASO</v>
      </c>
      <c r="N784" s="32" t="str">
        <f>IF(MB25_VOLUMETRIA[[#This Row],[Cen.]]="","",IFERROR(VLOOKUP(MB25_VOLUMETRIA[[#This Row],[Cen.]],Dados_Empresas[],2,FALSE),"Verificar empresa"))</f>
        <v>NET MASSIVO</v>
      </c>
      <c r="O784" s="32" t="str">
        <f>IF(MB25_VOLUMETRIA[[#This Row],[EMPRESA]]="","",IF(OR(MB25_VOLUMETRIA[[#This Row],[EMPRESA]]="NET MASSIVO",MB25_VOLUMETRIA[[#This Row],[EMPRESA]]="NET PROJETOS"),"NET","EMPRESARIAL"))</f>
        <v>NET</v>
      </c>
    </row>
    <row r="785" spans="1:15" x14ac:dyDescent="0.25">
      <c r="A785" s="32">
        <v>4381074</v>
      </c>
      <c r="B785" s="32" t="s">
        <v>21</v>
      </c>
      <c r="C785" s="33" t="s">
        <v>21</v>
      </c>
      <c r="D785" s="35">
        <v>45447</v>
      </c>
      <c r="E785" s="32" t="s">
        <v>185</v>
      </c>
      <c r="F785" s="32">
        <v>22061736</v>
      </c>
      <c r="G785" s="32" t="s">
        <v>216</v>
      </c>
      <c r="H785" s="26" t="s">
        <v>38</v>
      </c>
      <c r="I785" s="36">
        <v>3000</v>
      </c>
      <c r="J785" s="32">
        <f>IF(MB25_VOLUMETRIA[[#This Row],[Reserva]]="","",1)</f>
        <v>1</v>
      </c>
      <c r="K785" s="36" t="str">
        <f>IF(MB25_VOLUMETRIA[[#This Row],[Reserva]]="","",IFERROR(VLOOKUP(MB25_VOLUMETRIA[[#This Row],[UMB]],CHAVE[],2,FALSE),"VERIFICAR"))</f>
        <v>Unidade</v>
      </c>
      <c r="L785" s="32" t="str">
        <f>IF(MB25_VOLUMETRIA[[#This Row],[Reserva]]="","",IFERROR(VLOOKUP(MB25_VOLUMETRIA[[#This Row],[Reserva]],Tabela3[[Reserva]:[Condição para Faturamento]],20,FALSE),"IMPORTADO COM SUCESSO"))</f>
        <v>IMPORTADO</v>
      </c>
      <c r="M785" s="32" t="str">
        <f ca="1">IFERROR(VLOOKUP(MB25_VOLUMETRIA[[#This Row],[Reserva]],RES_AB[],14,FALSE),"")</f>
        <v>RESERVAS EM ATRASO</v>
      </c>
      <c r="N785" s="32" t="str">
        <f>IF(MB25_VOLUMETRIA[[#This Row],[Cen.]]="","",IFERROR(VLOOKUP(MB25_VOLUMETRIA[[#This Row],[Cen.]],Dados_Empresas[],2,FALSE),"Verificar empresa"))</f>
        <v>NET MASSIVO</v>
      </c>
      <c r="O785" s="32" t="str">
        <f>IF(MB25_VOLUMETRIA[[#This Row],[EMPRESA]]="","",IF(OR(MB25_VOLUMETRIA[[#This Row],[EMPRESA]]="NET MASSIVO",MB25_VOLUMETRIA[[#This Row],[EMPRESA]]="NET PROJETOS"),"NET","EMPRESARIAL"))</f>
        <v>NET</v>
      </c>
    </row>
    <row r="786" spans="1:15" x14ac:dyDescent="0.25">
      <c r="A786" s="32">
        <v>4381074</v>
      </c>
      <c r="B786" s="32" t="s">
        <v>21</v>
      </c>
      <c r="C786" s="33" t="s">
        <v>21</v>
      </c>
      <c r="D786" s="35">
        <v>45447</v>
      </c>
      <c r="E786" s="32" t="s">
        <v>185</v>
      </c>
      <c r="F786" s="32">
        <v>22065718</v>
      </c>
      <c r="G786" s="32" t="s">
        <v>210</v>
      </c>
      <c r="H786" s="26" t="s">
        <v>38</v>
      </c>
      <c r="I786" s="36">
        <v>100</v>
      </c>
      <c r="J786" s="32">
        <f>IF(MB25_VOLUMETRIA[[#This Row],[Reserva]]="","",1)</f>
        <v>1</v>
      </c>
      <c r="K786" s="36" t="str">
        <f>IF(MB25_VOLUMETRIA[[#This Row],[Reserva]]="","",IFERROR(VLOOKUP(MB25_VOLUMETRIA[[#This Row],[UMB]],CHAVE[],2,FALSE),"VERIFICAR"))</f>
        <v>Unidade</v>
      </c>
      <c r="L786" s="32" t="str">
        <f>IF(MB25_VOLUMETRIA[[#This Row],[Reserva]]="","",IFERROR(VLOOKUP(MB25_VOLUMETRIA[[#This Row],[Reserva]],Tabela3[[Reserva]:[Condição para Faturamento]],20,FALSE),"IMPORTADO COM SUCESSO"))</f>
        <v>IMPORTADO</v>
      </c>
      <c r="M786" s="32" t="str">
        <f ca="1">IFERROR(VLOOKUP(MB25_VOLUMETRIA[[#This Row],[Reserva]],RES_AB[],14,FALSE),"")</f>
        <v>RESERVAS EM ATRASO</v>
      </c>
      <c r="N786" s="32" t="str">
        <f>IF(MB25_VOLUMETRIA[[#This Row],[Cen.]]="","",IFERROR(VLOOKUP(MB25_VOLUMETRIA[[#This Row],[Cen.]],Dados_Empresas[],2,FALSE),"Verificar empresa"))</f>
        <v>NET MASSIVO</v>
      </c>
      <c r="O786" s="32" t="str">
        <f>IF(MB25_VOLUMETRIA[[#This Row],[EMPRESA]]="","",IF(OR(MB25_VOLUMETRIA[[#This Row],[EMPRESA]]="NET MASSIVO",MB25_VOLUMETRIA[[#This Row],[EMPRESA]]="NET PROJETOS"),"NET","EMPRESARIAL"))</f>
        <v>NET</v>
      </c>
    </row>
    <row r="787" spans="1:15" x14ac:dyDescent="0.25">
      <c r="A787" s="32">
        <v>4381074</v>
      </c>
      <c r="B787" s="32" t="s">
        <v>21</v>
      </c>
      <c r="C787" s="33" t="s">
        <v>21</v>
      </c>
      <c r="D787" s="35">
        <v>45447</v>
      </c>
      <c r="E787" s="32" t="s">
        <v>185</v>
      </c>
      <c r="F787" s="32">
        <v>22065726</v>
      </c>
      <c r="G787" s="32" t="s">
        <v>251</v>
      </c>
      <c r="H787" s="26" t="s">
        <v>38</v>
      </c>
      <c r="I787" s="36">
        <v>100</v>
      </c>
      <c r="J787" s="32">
        <f>IF(MB25_VOLUMETRIA[[#This Row],[Reserva]]="","",1)</f>
        <v>1</v>
      </c>
      <c r="K787" s="36" t="str">
        <f>IF(MB25_VOLUMETRIA[[#This Row],[Reserva]]="","",IFERROR(VLOOKUP(MB25_VOLUMETRIA[[#This Row],[UMB]],CHAVE[],2,FALSE),"VERIFICAR"))</f>
        <v>Unidade</v>
      </c>
      <c r="L787" s="32" t="str">
        <f>IF(MB25_VOLUMETRIA[[#This Row],[Reserva]]="","",IFERROR(VLOOKUP(MB25_VOLUMETRIA[[#This Row],[Reserva]],Tabela3[[Reserva]:[Condição para Faturamento]],20,FALSE),"IMPORTADO COM SUCESSO"))</f>
        <v>IMPORTADO</v>
      </c>
      <c r="M787" s="32" t="str">
        <f ca="1">IFERROR(VLOOKUP(MB25_VOLUMETRIA[[#This Row],[Reserva]],RES_AB[],14,FALSE),"")</f>
        <v>RESERVAS EM ATRASO</v>
      </c>
      <c r="N787" s="32" t="str">
        <f>IF(MB25_VOLUMETRIA[[#This Row],[Cen.]]="","",IFERROR(VLOOKUP(MB25_VOLUMETRIA[[#This Row],[Cen.]],Dados_Empresas[],2,FALSE),"Verificar empresa"))</f>
        <v>NET MASSIVO</v>
      </c>
      <c r="O787" s="32" t="str">
        <f>IF(MB25_VOLUMETRIA[[#This Row],[EMPRESA]]="","",IF(OR(MB25_VOLUMETRIA[[#This Row],[EMPRESA]]="NET MASSIVO",MB25_VOLUMETRIA[[#This Row],[EMPRESA]]="NET PROJETOS"),"NET","EMPRESARIAL"))</f>
        <v>NET</v>
      </c>
    </row>
    <row r="788" spans="1:15" x14ac:dyDescent="0.25">
      <c r="A788" s="32">
        <v>4381074</v>
      </c>
      <c r="B788" s="32" t="s">
        <v>21</v>
      </c>
      <c r="C788" s="33" t="s">
        <v>21</v>
      </c>
      <c r="D788" s="35">
        <v>45447</v>
      </c>
      <c r="E788" s="32" t="s">
        <v>185</v>
      </c>
      <c r="F788" s="32">
        <v>22066517</v>
      </c>
      <c r="G788" s="32" t="s">
        <v>325</v>
      </c>
      <c r="H788" s="26" t="s">
        <v>38</v>
      </c>
      <c r="I788" s="36">
        <v>100</v>
      </c>
      <c r="J788" s="32">
        <f>IF(MB25_VOLUMETRIA[[#This Row],[Reserva]]="","",1)</f>
        <v>1</v>
      </c>
      <c r="K788" s="36" t="str">
        <f>IF(MB25_VOLUMETRIA[[#This Row],[Reserva]]="","",IFERROR(VLOOKUP(MB25_VOLUMETRIA[[#This Row],[UMB]],CHAVE[],2,FALSE),"VERIFICAR"))</f>
        <v>Unidade</v>
      </c>
      <c r="L788" s="32" t="str">
        <f>IF(MB25_VOLUMETRIA[[#This Row],[Reserva]]="","",IFERROR(VLOOKUP(MB25_VOLUMETRIA[[#This Row],[Reserva]],Tabela3[[Reserva]:[Condição para Faturamento]],20,FALSE),"IMPORTADO COM SUCESSO"))</f>
        <v>IMPORTADO</v>
      </c>
      <c r="M788" s="32" t="str">
        <f ca="1">IFERROR(VLOOKUP(MB25_VOLUMETRIA[[#This Row],[Reserva]],RES_AB[],14,FALSE),"")</f>
        <v>RESERVAS EM ATRASO</v>
      </c>
      <c r="N788" s="32" t="str">
        <f>IF(MB25_VOLUMETRIA[[#This Row],[Cen.]]="","",IFERROR(VLOOKUP(MB25_VOLUMETRIA[[#This Row],[Cen.]],Dados_Empresas[],2,FALSE),"Verificar empresa"))</f>
        <v>NET MASSIVO</v>
      </c>
      <c r="O788" s="32" t="str">
        <f>IF(MB25_VOLUMETRIA[[#This Row],[EMPRESA]]="","",IF(OR(MB25_VOLUMETRIA[[#This Row],[EMPRESA]]="NET MASSIVO",MB25_VOLUMETRIA[[#This Row],[EMPRESA]]="NET PROJETOS"),"NET","EMPRESARIAL"))</f>
        <v>NET</v>
      </c>
    </row>
    <row r="789" spans="1:15" x14ac:dyDescent="0.25">
      <c r="A789" s="32">
        <v>4381075</v>
      </c>
      <c r="B789" s="32" t="s">
        <v>21</v>
      </c>
      <c r="C789" s="33" t="s">
        <v>21</v>
      </c>
      <c r="D789" s="35">
        <v>45447</v>
      </c>
      <c r="E789" s="32" t="s">
        <v>184</v>
      </c>
      <c r="F789" s="32">
        <v>41001590</v>
      </c>
      <c r="G789" s="32" t="s">
        <v>239</v>
      </c>
      <c r="H789" s="26" t="s">
        <v>38</v>
      </c>
      <c r="I789" s="36">
        <v>60</v>
      </c>
      <c r="J789" s="32">
        <f>IF(MB25_VOLUMETRIA[[#This Row],[Reserva]]="","",1)</f>
        <v>1</v>
      </c>
      <c r="K789" s="36" t="str">
        <f>IF(MB25_VOLUMETRIA[[#This Row],[Reserva]]="","",IFERROR(VLOOKUP(MB25_VOLUMETRIA[[#This Row],[UMB]],CHAVE[],2,FALSE),"VERIFICAR"))</f>
        <v>Unidade</v>
      </c>
      <c r="L789" s="32" t="str">
        <f>IF(MB25_VOLUMETRIA[[#This Row],[Reserva]]="","",IFERROR(VLOOKUP(MB25_VOLUMETRIA[[#This Row],[Reserva]],Tabela3[[Reserva]:[Condição para Faturamento]],20,FALSE),"IMPORTADO COM SUCESSO"))</f>
        <v>IMPORTADO</v>
      </c>
      <c r="M789" s="32" t="str">
        <f ca="1">IFERROR(VLOOKUP(MB25_VOLUMETRIA[[#This Row],[Reserva]],RES_AB[],14,FALSE),"")</f>
        <v>RESERVAS EM ATRASO</v>
      </c>
      <c r="N789" s="32" t="str">
        <f>IF(MB25_VOLUMETRIA[[#This Row],[Cen.]]="","",IFERROR(VLOOKUP(MB25_VOLUMETRIA[[#This Row],[Cen.]],Dados_Empresas[],2,FALSE),"Verificar empresa"))</f>
        <v>NET MASSIVO</v>
      </c>
      <c r="O789" s="32" t="str">
        <f>IF(MB25_VOLUMETRIA[[#This Row],[EMPRESA]]="","",IF(OR(MB25_VOLUMETRIA[[#This Row],[EMPRESA]]="NET MASSIVO",MB25_VOLUMETRIA[[#This Row],[EMPRESA]]="NET PROJETOS"),"NET","EMPRESARIAL"))</f>
        <v>NET</v>
      </c>
    </row>
    <row r="790" spans="1:15" x14ac:dyDescent="0.25">
      <c r="A790" s="32">
        <v>4381076</v>
      </c>
      <c r="B790" s="32" t="s">
        <v>21</v>
      </c>
      <c r="C790" s="33" t="s">
        <v>21</v>
      </c>
      <c r="D790" s="35">
        <v>45447</v>
      </c>
      <c r="E790" s="32" t="s">
        <v>184</v>
      </c>
      <c r="F790" s="32">
        <v>41001590</v>
      </c>
      <c r="G790" s="32" t="s">
        <v>239</v>
      </c>
      <c r="H790" s="26" t="s">
        <v>38</v>
      </c>
      <c r="I790" s="36">
        <v>140</v>
      </c>
      <c r="J790" s="32">
        <f>IF(MB25_VOLUMETRIA[[#This Row],[Reserva]]="","",1)</f>
        <v>1</v>
      </c>
      <c r="K790" s="36" t="str">
        <f>IF(MB25_VOLUMETRIA[[#This Row],[Reserva]]="","",IFERROR(VLOOKUP(MB25_VOLUMETRIA[[#This Row],[UMB]],CHAVE[],2,FALSE),"VERIFICAR"))</f>
        <v>Unidade</v>
      </c>
      <c r="L790" s="32" t="str">
        <f>IF(MB25_VOLUMETRIA[[#This Row],[Reserva]]="","",IFERROR(VLOOKUP(MB25_VOLUMETRIA[[#This Row],[Reserva]],Tabela3[[Reserva]:[Condição para Faturamento]],20,FALSE),"IMPORTADO COM SUCESSO"))</f>
        <v>IMPORTADO</v>
      </c>
      <c r="M790" s="32" t="str">
        <f ca="1">IFERROR(VLOOKUP(MB25_VOLUMETRIA[[#This Row],[Reserva]],RES_AB[],14,FALSE),"")</f>
        <v>RESERVAS EM ATRASO</v>
      </c>
      <c r="N790" s="32" t="str">
        <f>IF(MB25_VOLUMETRIA[[#This Row],[Cen.]]="","",IFERROR(VLOOKUP(MB25_VOLUMETRIA[[#This Row],[Cen.]],Dados_Empresas[],2,FALSE),"Verificar empresa"))</f>
        <v>NET MASSIVO</v>
      </c>
      <c r="O790" s="32" t="str">
        <f>IF(MB25_VOLUMETRIA[[#This Row],[EMPRESA]]="","",IF(OR(MB25_VOLUMETRIA[[#This Row],[EMPRESA]]="NET MASSIVO",MB25_VOLUMETRIA[[#This Row],[EMPRESA]]="NET PROJETOS"),"NET","EMPRESARIAL"))</f>
        <v>NET</v>
      </c>
    </row>
    <row r="791" spans="1:15" x14ac:dyDescent="0.25">
      <c r="A791" s="32">
        <v>4381077</v>
      </c>
      <c r="B791" s="32" t="s">
        <v>21</v>
      </c>
      <c r="C791" s="33" t="s">
        <v>19</v>
      </c>
      <c r="D791" s="35">
        <v>45447</v>
      </c>
      <c r="E791" s="32" t="s">
        <v>185</v>
      </c>
      <c r="F791" s="32">
        <v>22026279</v>
      </c>
      <c r="G791" s="32" t="s">
        <v>350</v>
      </c>
      <c r="H791" s="26" t="s">
        <v>38</v>
      </c>
      <c r="I791" s="36">
        <v>230</v>
      </c>
      <c r="J791" s="32">
        <f>IF(MB25_VOLUMETRIA[[#This Row],[Reserva]]="","",1)</f>
        <v>1</v>
      </c>
      <c r="K791" s="36" t="str">
        <f>IF(MB25_VOLUMETRIA[[#This Row],[Reserva]]="","",IFERROR(VLOOKUP(MB25_VOLUMETRIA[[#This Row],[UMB]],CHAVE[],2,FALSE),"VERIFICAR"))</f>
        <v>Unidade</v>
      </c>
      <c r="L791" s="32" t="str">
        <f>IF(MB25_VOLUMETRIA[[#This Row],[Reserva]]="","",IFERROR(VLOOKUP(MB25_VOLUMETRIA[[#This Row],[Reserva]],Tabela3[[Reserva]:[Condição para Faturamento]],20,FALSE),"IMPORTADO COM SUCESSO"))</f>
        <v>EM RESSUPRIMENTO</v>
      </c>
      <c r="M791" s="32" t="str">
        <f ca="1">IFERROR(VLOOKUP(MB25_VOLUMETRIA[[#This Row],[Reserva]],RES_AB[],14,FALSE),"")</f>
        <v>RESERVAS EM ATRASO</v>
      </c>
      <c r="N791" s="32" t="str">
        <f>IF(MB25_VOLUMETRIA[[#This Row],[Cen.]]="","",IFERROR(VLOOKUP(MB25_VOLUMETRIA[[#This Row],[Cen.]],Dados_Empresas[],2,FALSE),"Verificar empresa"))</f>
        <v>NET MASSIVO</v>
      </c>
      <c r="O791" s="32" t="str">
        <f>IF(MB25_VOLUMETRIA[[#This Row],[EMPRESA]]="","",IF(OR(MB25_VOLUMETRIA[[#This Row],[EMPRESA]]="NET MASSIVO",MB25_VOLUMETRIA[[#This Row],[EMPRESA]]="NET PROJETOS"),"NET","EMPRESARIAL"))</f>
        <v>NET</v>
      </c>
    </row>
    <row r="792" spans="1:15" x14ac:dyDescent="0.25">
      <c r="A792" s="32">
        <v>4381077</v>
      </c>
      <c r="B792" s="32" t="s">
        <v>21</v>
      </c>
      <c r="C792" s="33" t="s">
        <v>19</v>
      </c>
      <c r="D792" s="35">
        <v>45447</v>
      </c>
      <c r="E792" s="32" t="s">
        <v>185</v>
      </c>
      <c r="F792" s="32">
        <v>22026293</v>
      </c>
      <c r="G792" s="32" t="s">
        <v>352</v>
      </c>
      <c r="H792" s="26" t="s">
        <v>38</v>
      </c>
      <c r="I792" s="36">
        <v>290</v>
      </c>
      <c r="J792" s="32">
        <f>IF(MB25_VOLUMETRIA[[#This Row],[Reserva]]="","",1)</f>
        <v>1</v>
      </c>
      <c r="K792" s="36" t="str">
        <f>IF(MB25_VOLUMETRIA[[#This Row],[Reserva]]="","",IFERROR(VLOOKUP(MB25_VOLUMETRIA[[#This Row],[UMB]],CHAVE[],2,FALSE),"VERIFICAR"))</f>
        <v>Unidade</v>
      </c>
      <c r="L792" s="32" t="str">
        <f>IF(MB25_VOLUMETRIA[[#This Row],[Reserva]]="","",IFERROR(VLOOKUP(MB25_VOLUMETRIA[[#This Row],[Reserva]],Tabela3[[Reserva]:[Condição para Faturamento]],20,FALSE),"IMPORTADO COM SUCESSO"))</f>
        <v>EM RESSUPRIMENTO</v>
      </c>
      <c r="M792" s="32" t="str">
        <f ca="1">IFERROR(VLOOKUP(MB25_VOLUMETRIA[[#This Row],[Reserva]],RES_AB[],14,FALSE),"")</f>
        <v>RESERVAS EM ATRASO</v>
      </c>
      <c r="N792" s="32" t="str">
        <f>IF(MB25_VOLUMETRIA[[#This Row],[Cen.]]="","",IFERROR(VLOOKUP(MB25_VOLUMETRIA[[#This Row],[Cen.]],Dados_Empresas[],2,FALSE),"Verificar empresa"))</f>
        <v>NET MASSIVO</v>
      </c>
      <c r="O792" s="32" t="str">
        <f>IF(MB25_VOLUMETRIA[[#This Row],[EMPRESA]]="","",IF(OR(MB25_VOLUMETRIA[[#This Row],[EMPRESA]]="NET MASSIVO",MB25_VOLUMETRIA[[#This Row],[EMPRESA]]="NET PROJETOS"),"NET","EMPRESARIAL"))</f>
        <v>NET</v>
      </c>
    </row>
    <row r="793" spans="1:15" x14ac:dyDescent="0.25">
      <c r="A793" s="32">
        <v>4381077</v>
      </c>
      <c r="B793" s="32" t="s">
        <v>21</v>
      </c>
      <c r="C793" s="33" t="s">
        <v>21</v>
      </c>
      <c r="D793" s="35">
        <v>45447</v>
      </c>
      <c r="E793" s="32" t="s">
        <v>185</v>
      </c>
      <c r="F793" s="32">
        <v>22060422</v>
      </c>
      <c r="G793" s="32" t="s">
        <v>298</v>
      </c>
      <c r="H793" s="26" t="s">
        <v>38</v>
      </c>
      <c r="I793" s="36">
        <v>230</v>
      </c>
      <c r="J793" s="32">
        <f>IF(MB25_VOLUMETRIA[[#This Row],[Reserva]]="","",1)</f>
        <v>1</v>
      </c>
      <c r="K793" s="36" t="str">
        <f>IF(MB25_VOLUMETRIA[[#This Row],[Reserva]]="","",IFERROR(VLOOKUP(MB25_VOLUMETRIA[[#This Row],[UMB]],CHAVE[],2,FALSE),"VERIFICAR"))</f>
        <v>Unidade</v>
      </c>
      <c r="L793" s="32" t="str">
        <f>IF(MB25_VOLUMETRIA[[#This Row],[Reserva]]="","",IFERROR(VLOOKUP(MB25_VOLUMETRIA[[#This Row],[Reserva]],Tabela3[[Reserva]:[Condição para Faturamento]],20,FALSE),"IMPORTADO COM SUCESSO"))</f>
        <v>EM RESSUPRIMENTO</v>
      </c>
      <c r="M793" s="32" t="str">
        <f ca="1">IFERROR(VLOOKUP(MB25_VOLUMETRIA[[#This Row],[Reserva]],RES_AB[],14,FALSE),"")</f>
        <v>RESERVAS EM ATRASO</v>
      </c>
      <c r="N793" s="32" t="str">
        <f>IF(MB25_VOLUMETRIA[[#This Row],[Cen.]]="","",IFERROR(VLOOKUP(MB25_VOLUMETRIA[[#This Row],[Cen.]],Dados_Empresas[],2,FALSE),"Verificar empresa"))</f>
        <v>NET MASSIVO</v>
      </c>
      <c r="O793" s="32" t="str">
        <f>IF(MB25_VOLUMETRIA[[#This Row],[EMPRESA]]="","",IF(OR(MB25_VOLUMETRIA[[#This Row],[EMPRESA]]="NET MASSIVO",MB25_VOLUMETRIA[[#This Row],[EMPRESA]]="NET PROJETOS"),"NET","EMPRESARIAL"))</f>
        <v>NET</v>
      </c>
    </row>
    <row r="794" spans="1:15" x14ac:dyDescent="0.25">
      <c r="A794" s="32">
        <v>4381078</v>
      </c>
      <c r="B794" s="32" t="s">
        <v>21</v>
      </c>
      <c r="C794" s="33" t="s">
        <v>19</v>
      </c>
      <c r="D794" s="35">
        <v>45447</v>
      </c>
      <c r="E794" s="32" t="s">
        <v>184</v>
      </c>
      <c r="F794" s="32">
        <v>41001234</v>
      </c>
      <c r="G794" s="32" t="s">
        <v>189</v>
      </c>
      <c r="H794" s="26" t="s">
        <v>38</v>
      </c>
      <c r="I794" s="36">
        <v>230</v>
      </c>
      <c r="J794" s="32">
        <f>IF(MB25_VOLUMETRIA[[#This Row],[Reserva]]="","",1)</f>
        <v>1</v>
      </c>
      <c r="K794" s="36" t="str">
        <f>IF(MB25_VOLUMETRIA[[#This Row],[Reserva]]="","",IFERROR(VLOOKUP(MB25_VOLUMETRIA[[#This Row],[UMB]],CHAVE[],2,FALSE),"VERIFICAR"))</f>
        <v>Unidade</v>
      </c>
      <c r="L794" s="32" t="str">
        <f>IF(MB25_VOLUMETRIA[[#This Row],[Reserva]]="","",IFERROR(VLOOKUP(MB25_VOLUMETRIA[[#This Row],[Reserva]],Tabela3[[Reserva]:[Condição para Faturamento]],20,FALSE),"IMPORTADO COM SUCESSO"))</f>
        <v>IMPORTADO</v>
      </c>
      <c r="M794" s="32" t="str">
        <f ca="1">IFERROR(VLOOKUP(MB25_VOLUMETRIA[[#This Row],[Reserva]],RES_AB[],14,FALSE),"")</f>
        <v>RESERVAS EM ATRASO</v>
      </c>
      <c r="N794" s="32" t="str">
        <f>IF(MB25_VOLUMETRIA[[#This Row],[Cen.]]="","",IFERROR(VLOOKUP(MB25_VOLUMETRIA[[#This Row],[Cen.]],Dados_Empresas[],2,FALSE),"Verificar empresa"))</f>
        <v>NET MASSIVO</v>
      </c>
      <c r="O794" s="32" t="str">
        <f>IF(MB25_VOLUMETRIA[[#This Row],[EMPRESA]]="","",IF(OR(MB25_VOLUMETRIA[[#This Row],[EMPRESA]]="NET MASSIVO",MB25_VOLUMETRIA[[#This Row],[EMPRESA]]="NET PROJETOS"),"NET","EMPRESARIAL"))</f>
        <v>NET</v>
      </c>
    </row>
    <row r="795" spans="1:15" x14ac:dyDescent="0.25">
      <c r="A795" s="32">
        <v>4381078</v>
      </c>
      <c r="B795" s="32" t="s">
        <v>21</v>
      </c>
      <c r="C795" s="33" t="s">
        <v>19</v>
      </c>
      <c r="D795" s="35">
        <v>45447</v>
      </c>
      <c r="E795" s="32" t="s">
        <v>184</v>
      </c>
      <c r="F795" s="32">
        <v>41001276</v>
      </c>
      <c r="G795" s="32" t="s">
        <v>351</v>
      </c>
      <c r="H795" s="26" t="s">
        <v>38</v>
      </c>
      <c r="I795" s="36">
        <v>230</v>
      </c>
      <c r="J795" s="32">
        <f>IF(MB25_VOLUMETRIA[[#This Row],[Reserva]]="","",1)</f>
        <v>1</v>
      </c>
      <c r="K795" s="36" t="str">
        <f>IF(MB25_VOLUMETRIA[[#This Row],[Reserva]]="","",IFERROR(VLOOKUP(MB25_VOLUMETRIA[[#This Row],[UMB]],CHAVE[],2,FALSE),"VERIFICAR"))</f>
        <v>Unidade</v>
      </c>
      <c r="L795" s="32" t="str">
        <f>IF(MB25_VOLUMETRIA[[#This Row],[Reserva]]="","",IFERROR(VLOOKUP(MB25_VOLUMETRIA[[#This Row],[Reserva]],Tabela3[[Reserva]:[Condição para Faturamento]],20,FALSE),"IMPORTADO COM SUCESSO"))</f>
        <v>IMPORTADO</v>
      </c>
      <c r="M795" s="32" t="str">
        <f ca="1">IFERROR(VLOOKUP(MB25_VOLUMETRIA[[#This Row],[Reserva]],RES_AB[],14,FALSE),"")</f>
        <v>RESERVAS EM ATRASO</v>
      </c>
      <c r="N795" s="32" t="str">
        <f>IF(MB25_VOLUMETRIA[[#This Row],[Cen.]]="","",IFERROR(VLOOKUP(MB25_VOLUMETRIA[[#This Row],[Cen.]],Dados_Empresas[],2,FALSE),"Verificar empresa"))</f>
        <v>NET MASSIVO</v>
      </c>
      <c r="O795" s="32" t="str">
        <f>IF(MB25_VOLUMETRIA[[#This Row],[EMPRESA]]="","",IF(OR(MB25_VOLUMETRIA[[#This Row],[EMPRESA]]="NET MASSIVO",MB25_VOLUMETRIA[[#This Row],[EMPRESA]]="NET PROJETOS"),"NET","EMPRESARIAL"))</f>
        <v>NET</v>
      </c>
    </row>
    <row r="796" spans="1:15" x14ac:dyDescent="0.25">
      <c r="A796" s="32">
        <v>4381078</v>
      </c>
      <c r="B796" s="32" t="s">
        <v>21</v>
      </c>
      <c r="C796" s="33" t="s">
        <v>19</v>
      </c>
      <c r="D796" s="35">
        <v>45447</v>
      </c>
      <c r="E796" s="32" t="s">
        <v>184</v>
      </c>
      <c r="F796" s="32">
        <v>41001292</v>
      </c>
      <c r="G796" s="32" t="s">
        <v>353</v>
      </c>
      <c r="H796" s="26" t="s">
        <v>38</v>
      </c>
      <c r="I796" s="36">
        <v>290</v>
      </c>
      <c r="J796" s="32">
        <f>IF(MB25_VOLUMETRIA[[#This Row],[Reserva]]="","",1)</f>
        <v>1</v>
      </c>
      <c r="K796" s="36" t="str">
        <f>IF(MB25_VOLUMETRIA[[#This Row],[Reserva]]="","",IFERROR(VLOOKUP(MB25_VOLUMETRIA[[#This Row],[UMB]],CHAVE[],2,FALSE),"VERIFICAR"))</f>
        <v>Unidade</v>
      </c>
      <c r="L796" s="32" t="str">
        <f>IF(MB25_VOLUMETRIA[[#This Row],[Reserva]]="","",IFERROR(VLOOKUP(MB25_VOLUMETRIA[[#This Row],[Reserva]],Tabela3[[Reserva]:[Condição para Faturamento]],20,FALSE),"IMPORTADO COM SUCESSO"))</f>
        <v>IMPORTADO</v>
      </c>
      <c r="M796" s="32" t="str">
        <f ca="1">IFERROR(VLOOKUP(MB25_VOLUMETRIA[[#This Row],[Reserva]],RES_AB[],14,FALSE),"")</f>
        <v>RESERVAS EM ATRASO</v>
      </c>
      <c r="N796" s="32" t="str">
        <f>IF(MB25_VOLUMETRIA[[#This Row],[Cen.]]="","",IFERROR(VLOOKUP(MB25_VOLUMETRIA[[#This Row],[Cen.]],Dados_Empresas[],2,FALSE),"Verificar empresa"))</f>
        <v>NET MASSIVO</v>
      </c>
      <c r="O796" s="32" t="str">
        <f>IF(MB25_VOLUMETRIA[[#This Row],[EMPRESA]]="","",IF(OR(MB25_VOLUMETRIA[[#This Row],[EMPRESA]]="NET MASSIVO",MB25_VOLUMETRIA[[#This Row],[EMPRESA]]="NET PROJETOS"),"NET","EMPRESARIAL"))</f>
        <v>NET</v>
      </c>
    </row>
    <row r="797" spans="1:15" x14ac:dyDescent="0.25">
      <c r="A797" s="32">
        <v>4381080</v>
      </c>
      <c r="B797" s="32" t="s">
        <v>21</v>
      </c>
      <c r="C797" s="33" t="s">
        <v>19</v>
      </c>
      <c r="D797" s="35">
        <v>45447</v>
      </c>
      <c r="E797" s="32" t="s">
        <v>185</v>
      </c>
      <c r="F797" s="32">
        <v>22026279</v>
      </c>
      <c r="G797" s="32" t="s">
        <v>350</v>
      </c>
      <c r="H797" s="26" t="s">
        <v>38</v>
      </c>
      <c r="I797" s="36">
        <v>90</v>
      </c>
      <c r="J797" s="32">
        <f>IF(MB25_VOLUMETRIA[[#This Row],[Reserva]]="","",1)</f>
        <v>1</v>
      </c>
      <c r="K797" s="36" t="str">
        <f>IF(MB25_VOLUMETRIA[[#This Row],[Reserva]]="","",IFERROR(VLOOKUP(MB25_VOLUMETRIA[[#This Row],[UMB]],CHAVE[],2,FALSE),"VERIFICAR"))</f>
        <v>Unidade</v>
      </c>
      <c r="L797" s="32" t="str">
        <f>IF(MB25_VOLUMETRIA[[#This Row],[Reserva]]="","",IFERROR(VLOOKUP(MB25_VOLUMETRIA[[#This Row],[Reserva]],Tabela3[[Reserva]:[Condição para Faturamento]],20,FALSE),"IMPORTADO COM SUCESSO"))</f>
        <v>EM RESSUPRIMENTO</v>
      </c>
      <c r="M797" s="32" t="str">
        <f ca="1">IFERROR(VLOOKUP(MB25_VOLUMETRIA[[#This Row],[Reserva]],RES_AB[],14,FALSE),"")</f>
        <v>RESERVAS EM ATRASO</v>
      </c>
      <c r="N797" s="32" t="str">
        <f>IF(MB25_VOLUMETRIA[[#This Row],[Cen.]]="","",IFERROR(VLOOKUP(MB25_VOLUMETRIA[[#This Row],[Cen.]],Dados_Empresas[],2,FALSE),"Verificar empresa"))</f>
        <v>NET MASSIVO</v>
      </c>
      <c r="O797" s="32" t="str">
        <f>IF(MB25_VOLUMETRIA[[#This Row],[EMPRESA]]="","",IF(OR(MB25_VOLUMETRIA[[#This Row],[EMPRESA]]="NET MASSIVO",MB25_VOLUMETRIA[[#This Row],[EMPRESA]]="NET PROJETOS"),"NET","EMPRESARIAL"))</f>
        <v>NET</v>
      </c>
    </row>
    <row r="798" spans="1:15" x14ac:dyDescent="0.25">
      <c r="A798" s="32">
        <v>4381080</v>
      </c>
      <c r="B798" s="32" t="s">
        <v>21</v>
      </c>
      <c r="C798" s="33" t="s">
        <v>21</v>
      </c>
      <c r="D798" s="35">
        <v>45447</v>
      </c>
      <c r="E798" s="32" t="s">
        <v>185</v>
      </c>
      <c r="F798" s="32">
        <v>22060422</v>
      </c>
      <c r="G798" s="32" t="s">
        <v>298</v>
      </c>
      <c r="H798" s="26" t="s">
        <v>38</v>
      </c>
      <c r="I798" s="36">
        <v>90</v>
      </c>
      <c r="J798" s="32">
        <f>IF(MB25_VOLUMETRIA[[#This Row],[Reserva]]="","",1)</f>
        <v>1</v>
      </c>
      <c r="K798" s="36" t="str">
        <f>IF(MB25_VOLUMETRIA[[#This Row],[Reserva]]="","",IFERROR(VLOOKUP(MB25_VOLUMETRIA[[#This Row],[UMB]],CHAVE[],2,FALSE),"VERIFICAR"))</f>
        <v>Unidade</v>
      </c>
      <c r="L798" s="32" t="str">
        <f>IF(MB25_VOLUMETRIA[[#This Row],[Reserva]]="","",IFERROR(VLOOKUP(MB25_VOLUMETRIA[[#This Row],[Reserva]],Tabela3[[Reserva]:[Condição para Faturamento]],20,FALSE),"IMPORTADO COM SUCESSO"))</f>
        <v>EM RESSUPRIMENTO</v>
      </c>
      <c r="M798" s="32" t="str">
        <f ca="1">IFERROR(VLOOKUP(MB25_VOLUMETRIA[[#This Row],[Reserva]],RES_AB[],14,FALSE),"")</f>
        <v>RESERVAS EM ATRASO</v>
      </c>
      <c r="N798" s="32" t="str">
        <f>IF(MB25_VOLUMETRIA[[#This Row],[Cen.]]="","",IFERROR(VLOOKUP(MB25_VOLUMETRIA[[#This Row],[Cen.]],Dados_Empresas[],2,FALSE),"Verificar empresa"))</f>
        <v>NET MASSIVO</v>
      </c>
      <c r="O798" s="32" t="str">
        <f>IF(MB25_VOLUMETRIA[[#This Row],[EMPRESA]]="","",IF(OR(MB25_VOLUMETRIA[[#This Row],[EMPRESA]]="NET MASSIVO",MB25_VOLUMETRIA[[#This Row],[EMPRESA]]="NET PROJETOS"),"NET","EMPRESARIAL"))</f>
        <v>NET</v>
      </c>
    </row>
    <row r="799" spans="1:15" x14ac:dyDescent="0.25">
      <c r="A799" s="32">
        <v>4381081</v>
      </c>
      <c r="B799" s="32" t="s">
        <v>21</v>
      </c>
      <c r="C799" s="33" t="s">
        <v>19</v>
      </c>
      <c r="D799" s="35">
        <v>45447</v>
      </c>
      <c r="E799" s="32" t="s">
        <v>184</v>
      </c>
      <c r="F799" s="32">
        <v>41001234</v>
      </c>
      <c r="G799" s="32" t="s">
        <v>189</v>
      </c>
      <c r="H799" s="26" t="s">
        <v>38</v>
      </c>
      <c r="I799" s="36">
        <v>90</v>
      </c>
      <c r="J799" s="32">
        <f>IF(MB25_VOLUMETRIA[[#This Row],[Reserva]]="","",1)</f>
        <v>1</v>
      </c>
      <c r="K799" s="36" t="str">
        <f>IF(MB25_VOLUMETRIA[[#This Row],[Reserva]]="","",IFERROR(VLOOKUP(MB25_VOLUMETRIA[[#This Row],[UMB]],CHAVE[],2,FALSE),"VERIFICAR"))</f>
        <v>Unidade</v>
      </c>
      <c r="L799" s="32" t="str">
        <f>IF(MB25_VOLUMETRIA[[#This Row],[Reserva]]="","",IFERROR(VLOOKUP(MB25_VOLUMETRIA[[#This Row],[Reserva]],Tabela3[[Reserva]:[Condição para Faturamento]],20,FALSE),"IMPORTADO COM SUCESSO"))</f>
        <v>EM RESSUPRIMENTO</v>
      </c>
      <c r="M799" s="32" t="str">
        <f ca="1">IFERROR(VLOOKUP(MB25_VOLUMETRIA[[#This Row],[Reserva]],RES_AB[],14,FALSE),"")</f>
        <v>RESERVAS EM ATRASO</v>
      </c>
      <c r="N799" s="32" t="str">
        <f>IF(MB25_VOLUMETRIA[[#This Row],[Cen.]]="","",IFERROR(VLOOKUP(MB25_VOLUMETRIA[[#This Row],[Cen.]],Dados_Empresas[],2,FALSE),"Verificar empresa"))</f>
        <v>NET MASSIVO</v>
      </c>
      <c r="O799" s="32" t="str">
        <f>IF(MB25_VOLUMETRIA[[#This Row],[EMPRESA]]="","",IF(OR(MB25_VOLUMETRIA[[#This Row],[EMPRESA]]="NET MASSIVO",MB25_VOLUMETRIA[[#This Row],[EMPRESA]]="NET PROJETOS"),"NET","EMPRESARIAL"))</f>
        <v>NET</v>
      </c>
    </row>
    <row r="800" spans="1:15" x14ac:dyDescent="0.25">
      <c r="A800" s="32">
        <v>4381081</v>
      </c>
      <c r="B800" s="32" t="s">
        <v>21</v>
      </c>
      <c r="C800" s="33" t="s">
        <v>19</v>
      </c>
      <c r="D800" s="35">
        <v>45447</v>
      </c>
      <c r="E800" s="32" t="s">
        <v>184</v>
      </c>
      <c r="F800" s="32">
        <v>41001276</v>
      </c>
      <c r="G800" s="32" t="s">
        <v>351</v>
      </c>
      <c r="H800" s="26" t="s">
        <v>38</v>
      </c>
      <c r="I800" s="36">
        <v>90</v>
      </c>
      <c r="J800" s="32">
        <f>IF(MB25_VOLUMETRIA[[#This Row],[Reserva]]="","",1)</f>
        <v>1</v>
      </c>
      <c r="K800" s="36" t="str">
        <f>IF(MB25_VOLUMETRIA[[#This Row],[Reserva]]="","",IFERROR(VLOOKUP(MB25_VOLUMETRIA[[#This Row],[UMB]],CHAVE[],2,FALSE),"VERIFICAR"))</f>
        <v>Unidade</v>
      </c>
      <c r="L800" s="32" t="str">
        <f>IF(MB25_VOLUMETRIA[[#This Row],[Reserva]]="","",IFERROR(VLOOKUP(MB25_VOLUMETRIA[[#This Row],[Reserva]],Tabela3[[Reserva]:[Condição para Faturamento]],20,FALSE),"IMPORTADO COM SUCESSO"))</f>
        <v>EM RESSUPRIMENTO</v>
      </c>
      <c r="M800" s="32" t="str">
        <f ca="1">IFERROR(VLOOKUP(MB25_VOLUMETRIA[[#This Row],[Reserva]],RES_AB[],14,FALSE),"")</f>
        <v>RESERVAS EM ATRASO</v>
      </c>
      <c r="N800" s="32" t="str">
        <f>IF(MB25_VOLUMETRIA[[#This Row],[Cen.]]="","",IFERROR(VLOOKUP(MB25_VOLUMETRIA[[#This Row],[Cen.]],Dados_Empresas[],2,FALSE),"Verificar empresa"))</f>
        <v>NET MASSIVO</v>
      </c>
      <c r="O800" s="32" t="str">
        <f>IF(MB25_VOLUMETRIA[[#This Row],[EMPRESA]]="","",IF(OR(MB25_VOLUMETRIA[[#This Row],[EMPRESA]]="NET MASSIVO",MB25_VOLUMETRIA[[#This Row],[EMPRESA]]="NET PROJETOS"),"NET","EMPRESARIAL"))</f>
        <v>NET</v>
      </c>
    </row>
    <row r="801" spans="1:15" x14ac:dyDescent="0.25">
      <c r="A801" s="32">
        <v>4381081</v>
      </c>
      <c r="B801" s="32" t="s">
        <v>21</v>
      </c>
      <c r="C801" s="33" t="s">
        <v>21</v>
      </c>
      <c r="D801" s="35">
        <v>45447</v>
      </c>
      <c r="E801" s="32" t="s">
        <v>184</v>
      </c>
      <c r="F801" s="32">
        <v>41001590</v>
      </c>
      <c r="G801" s="32" t="s">
        <v>239</v>
      </c>
      <c r="H801" s="26" t="s">
        <v>38</v>
      </c>
      <c r="I801" s="36">
        <v>40</v>
      </c>
      <c r="J801" s="32">
        <f>IF(MB25_VOLUMETRIA[[#This Row],[Reserva]]="","",1)</f>
        <v>1</v>
      </c>
      <c r="K801" s="36" t="str">
        <f>IF(MB25_VOLUMETRIA[[#This Row],[Reserva]]="","",IFERROR(VLOOKUP(MB25_VOLUMETRIA[[#This Row],[UMB]],CHAVE[],2,FALSE),"VERIFICAR"))</f>
        <v>Unidade</v>
      </c>
      <c r="L801" s="32" t="str">
        <f>IF(MB25_VOLUMETRIA[[#This Row],[Reserva]]="","",IFERROR(VLOOKUP(MB25_VOLUMETRIA[[#This Row],[Reserva]],Tabela3[[Reserva]:[Condição para Faturamento]],20,FALSE),"IMPORTADO COM SUCESSO"))</f>
        <v>EM RESSUPRIMENTO</v>
      </c>
      <c r="M801" s="32" t="str">
        <f ca="1">IFERROR(VLOOKUP(MB25_VOLUMETRIA[[#This Row],[Reserva]],RES_AB[],14,FALSE),"")</f>
        <v>RESERVAS EM ATRASO</v>
      </c>
      <c r="N801" s="32" t="str">
        <f>IF(MB25_VOLUMETRIA[[#This Row],[Cen.]]="","",IFERROR(VLOOKUP(MB25_VOLUMETRIA[[#This Row],[Cen.]],Dados_Empresas[],2,FALSE),"Verificar empresa"))</f>
        <v>NET MASSIVO</v>
      </c>
      <c r="O801" s="32" t="str">
        <f>IF(MB25_VOLUMETRIA[[#This Row],[EMPRESA]]="","",IF(OR(MB25_VOLUMETRIA[[#This Row],[EMPRESA]]="NET MASSIVO",MB25_VOLUMETRIA[[#This Row],[EMPRESA]]="NET PROJETOS"),"NET","EMPRESARIAL"))</f>
        <v>NET</v>
      </c>
    </row>
    <row r="802" spans="1:15" x14ac:dyDescent="0.25">
      <c r="A802" s="32">
        <v>4381082</v>
      </c>
      <c r="B802" s="32" t="s">
        <v>21</v>
      </c>
      <c r="C802" s="33" t="s">
        <v>19</v>
      </c>
      <c r="D802" s="35">
        <v>45447</v>
      </c>
      <c r="E802" s="32" t="s">
        <v>185</v>
      </c>
      <c r="F802" s="32">
        <v>22026293</v>
      </c>
      <c r="G802" s="32" t="s">
        <v>352</v>
      </c>
      <c r="H802" s="26" t="s">
        <v>38</v>
      </c>
      <c r="I802" s="36">
        <v>40</v>
      </c>
      <c r="J802" s="32">
        <f>IF(MB25_VOLUMETRIA[[#This Row],[Reserva]]="","",1)</f>
        <v>1</v>
      </c>
      <c r="K802" s="36" t="str">
        <f>IF(MB25_VOLUMETRIA[[#This Row],[Reserva]]="","",IFERROR(VLOOKUP(MB25_VOLUMETRIA[[#This Row],[UMB]],CHAVE[],2,FALSE),"VERIFICAR"))</f>
        <v>Unidade</v>
      </c>
      <c r="L802" s="32" t="str">
        <f>IF(MB25_VOLUMETRIA[[#This Row],[Reserva]]="","",IFERROR(VLOOKUP(MB25_VOLUMETRIA[[#This Row],[Reserva]],Tabela3[[Reserva]:[Condição para Faturamento]],20,FALSE),"IMPORTADO COM SUCESSO"))</f>
        <v>EM RESSUPRIMENTO</v>
      </c>
      <c r="M802" s="32" t="str">
        <f ca="1">IFERROR(VLOOKUP(MB25_VOLUMETRIA[[#This Row],[Reserva]],RES_AB[],14,FALSE),"")</f>
        <v>RESERVAS EM ATRASO</v>
      </c>
      <c r="N802" s="32" t="str">
        <f>IF(MB25_VOLUMETRIA[[#This Row],[Cen.]]="","",IFERROR(VLOOKUP(MB25_VOLUMETRIA[[#This Row],[Cen.]],Dados_Empresas[],2,FALSE),"Verificar empresa"))</f>
        <v>NET MASSIVO</v>
      </c>
      <c r="O802" s="32" t="str">
        <f>IF(MB25_VOLUMETRIA[[#This Row],[EMPRESA]]="","",IF(OR(MB25_VOLUMETRIA[[#This Row],[EMPRESA]]="NET MASSIVO",MB25_VOLUMETRIA[[#This Row],[EMPRESA]]="NET PROJETOS"),"NET","EMPRESARIAL"))</f>
        <v>NET</v>
      </c>
    </row>
    <row r="803" spans="1:15" x14ac:dyDescent="0.25">
      <c r="A803" s="32">
        <v>4381083</v>
      </c>
      <c r="B803" s="32" t="s">
        <v>21</v>
      </c>
      <c r="C803" s="33" t="s">
        <v>19</v>
      </c>
      <c r="D803" s="35">
        <v>45447</v>
      </c>
      <c r="E803" s="32" t="s">
        <v>184</v>
      </c>
      <c r="F803" s="32">
        <v>41001292</v>
      </c>
      <c r="G803" s="32" t="s">
        <v>353</v>
      </c>
      <c r="H803" s="26" t="s">
        <v>38</v>
      </c>
      <c r="I803" s="36">
        <v>40</v>
      </c>
      <c r="J803" s="32">
        <f>IF(MB25_VOLUMETRIA[[#This Row],[Reserva]]="","",1)</f>
        <v>1</v>
      </c>
      <c r="K803" s="36" t="str">
        <f>IF(MB25_VOLUMETRIA[[#This Row],[Reserva]]="","",IFERROR(VLOOKUP(MB25_VOLUMETRIA[[#This Row],[UMB]],CHAVE[],2,FALSE),"VERIFICAR"))</f>
        <v>Unidade</v>
      </c>
      <c r="L803" s="32" t="str">
        <f>IF(MB25_VOLUMETRIA[[#This Row],[Reserva]]="","",IFERROR(VLOOKUP(MB25_VOLUMETRIA[[#This Row],[Reserva]],Tabela3[[Reserva]:[Condição para Faturamento]],20,FALSE),"IMPORTADO COM SUCESSO"))</f>
        <v>IMPORTADO</v>
      </c>
      <c r="M803" s="32" t="str">
        <f ca="1">IFERROR(VLOOKUP(MB25_VOLUMETRIA[[#This Row],[Reserva]],RES_AB[],14,FALSE),"")</f>
        <v>RESERVAS EM ATRASO</v>
      </c>
      <c r="N803" s="32" t="str">
        <f>IF(MB25_VOLUMETRIA[[#This Row],[Cen.]]="","",IFERROR(VLOOKUP(MB25_VOLUMETRIA[[#This Row],[Cen.]],Dados_Empresas[],2,FALSE),"Verificar empresa"))</f>
        <v>NET MASSIVO</v>
      </c>
      <c r="O803" s="32" t="str">
        <f>IF(MB25_VOLUMETRIA[[#This Row],[EMPRESA]]="","",IF(OR(MB25_VOLUMETRIA[[#This Row],[EMPRESA]]="NET MASSIVO",MB25_VOLUMETRIA[[#This Row],[EMPRESA]]="NET PROJETOS"),"NET","EMPRESARIAL"))</f>
        <v>NET</v>
      </c>
    </row>
    <row r="804" spans="1:15" x14ac:dyDescent="0.25">
      <c r="A804" s="32">
        <v>4381083</v>
      </c>
      <c r="B804" s="32" t="s">
        <v>21</v>
      </c>
      <c r="C804" s="33" t="s">
        <v>21</v>
      </c>
      <c r="D804" s="35">
        <v>45447</v>
      </c>
      <c r="E804" s="32" t="s">
        <v>184</v>
      </c>
      <c r="F804" s="32">
        <v>41001590</v>
      </c>
      <c r="G804" s="32" t="s">
        <v>239</v>
      </c>
      <c r="H804" s="26" t="s">
        <v>38</v>
      </c>
      <c r="I804" s="36">
        <v>400</v>
      </c>
      <c r="J804" s="32">
        <f>IF(MB25_VOLUMETRIA[[#This Row],[Reserva]]="","",1)</f>
        <v>1</v>
      </c>
      <c r="K804" s="36" t="str">
        <f>IF(MB25_VOLUMETRIA[[#This Row],[Reserva]]="","",IFERROR(VLOOKUP(MB25_VOLUMETRIA[[#This Row],[UMB]],CHAVE[],2,FALSE),"VERIFICAR"))</f>
        <v>Unidade</v>
      </c>
      <c r="L804" s="32" t="str">
        <f>IF(MB25_VOLUMETRIA[[#This Row],[Reserva]]="","",IFERROR(VLOOKUP(MB25_VOLUMETRIA[[#This Row],[Reserva]],Tabela3[[Reserva]:[Condição para Faturamento]],20,FALSE),"IMPORTADO COM SUCESSO"))</f>
        <v>IMPORTADO</v>
      </c>
      <c r="M804" s="32" t="str">
        <f ca="1">IFERROR(VLOOKUP(MB25_VOLUMETRIA[[#This Row],[Reserva]],RES_AB[],14,FALSE),"")</f>
        <v>RESERVAS EM ATRASO</v>
      </c>
      <c r="N804" s="32" t="str">
        <f>IF(MB25_VOLUMETRIA[[#This Row],[Cen.]]="","",IFERROR(VLOOKUP(MB25_VOLUMETRIA[[#This Row],[Cen.]],Dados_Empresas[],2,FALSE),"Verificar empresa"))</f>
        <v>NET MASSIVO</v>
      </c>
      <c r="O804" s="32" t="str">
        <f>IF(MB25_VOLUMETRIA[[#This Row],[EMPRESA]]="","",IF(OR(MB25_VOLUMETRIA[[#This Row],[EMPRESA]]="NET MASSIVO",MB25_VOLUMETRIA[[#This Row],[EMPRESA]]="NET PROJETOS"),"NET","EMPRESARIAL"))</f>
        <v>NET</v>
      </c>
    </row>
    <row r="805" spans="1:15" x14ac:dyDescent="0.25">
      <c r="A805" s="32">
        <v>4381084</v>
      </c>
      <c r="B805" s="32" t="s">
        <v>21</v>
      </c>
      <c r="C805" s="33" t="s">
        <v>19</v>
      </c>
      <c r="D805" s="35">
        <v>45447</v>
      </c>
      <c r="E805" s="32" t="s">
        <v>185</v>
      </c>
      <c r="F805" s="32">
        <v>22026279</v>
      </c>
      <c r="G805" s="32" t="s">
        <v>350</v>
      </c>
      <c r="H805" s="26" t="s">
        <v>38</v>
      </c>
      <c r="I805" s="36">
        <v>380</v>
      </c>
      <c r="J805" s="32">
        <f>IF(MB25_VOLUMETRIA[[#This Row],[Reserva]]="","",1)</f>
        <v>1</v>
      </c>
      <c r="K805" s="36" t="str">
        <f>IF(MB25_VOLUMETRIA[[#This Row],[Reserva]]="","",IFERROR(VLOOKUP(MB25_VOLUMETRIA[[#This Row],[UMB]],CHAVE[],2,FALSE),"VERIFICAR"))</f>
        <v>Unidade</v>
      </c>
      <c r="L805" s="32" t="str">
        <f>IF(MB25_VOLUMETRIA[[#This Row],[Reserva]]="","",IFERROR(VLOOKUP(MB25_VOLUMETRIA[[#This Row],[Reserva]],Tabela3[[Reserva]:[Condição para Faturamento]],20,FALSE),"IMPORTADO COM SUCESSO"))</f>
        <v>IMPORTADO</v>
      </c>
      <c r="M805" s="32" t="str">
        <f ca="1">IFERROR(VLOOKUP(MB25_VOLUMETRIA[[#This Row],[Reserva]],RES_AB[],14,FALSE),"")</f>
        <v>RESERVAS EM ATRASO</v>
      </c>
      <c r="N805" s="32" t="str">
        <f>IF(MB25_VOLUMETRIA[[#This Row],[Cen.]]="","",IFERROR(VLOOKUP(MB25_VOLUMETRIA[[#This Row],[Cen.]],Dados_Empresas[],2,FALSE),"Verificar empresa"))</f>
        <v>NET MASSIVO</v>
      </c>
      <c r="O805" s="32" t="str">
        <f>IF(MB25_VOLUMETRIA[[#This Row],[EMPRESA]]="","",IF(OR(MB25_VOLUMETRIA[[#This Row],[EMPRESA]]="NET MASSIVO",MB25_VOLUMETRIA[[#This Row],[EMPRESA]]="NET PROJETOS"),"NET","EMPRESARIAL"))</f>
        <v>NET</v>
      </c>
    </row>
    <row r="806" spans="1:15" x14ac:dyDescent="0.25">
      <c r="A806" s="32">
        <v>4381084</v>
      </c>
      <c r="B806" s="32" t="s">
        <v>21</v>
      </c>
      <c r="C806" s="33" t="s">
        <v>21</v>
      </c>
      <c r="D806" s="35">
        <v>45447</v>
      </c>
      <c r="E806" s="32" t="s">
        <v>185</v>
      </c>
      <c r="F806" s="32">
        <v>22060422</v>
      </c>
      <c r="G806" s="32" t="s">
        <v>298</v>
      </c>
      <c r="H806" s="26" t="s">
        <v>38</v>
      </c>
      <c r="I806" s="36">
        <v>380</v>
      </c>
      <c r="J806" s="32">
        <f>IF(MB25_VOLUMETRIA[[#This Row],[Reserva]]="","",1)</f>
        <v>1</v>
      </c>
      <c r="K806" s="36" t="str">
        <f>IF(MB25_VOLUMETRIA[[#This Row],[Reserva]]="","",IFERROR(VLOOKUP(MB25_VOLUMETRIA[[#This Row],[UMB]],CHAVE[],2,FALSE),"VERIFICAR"))</f>
        <v>Unidade</v>
      </c>
      <c r="L806" s="32" t="str">
        <f>IF(MB25_VOLUMETRIA[[#This Row],[Reserva]]="","",IFERROR(VLOOKUP(MB25_VOLUMETRIA[[#This Row],[Reserva]],Tabela3[[Reserva]:[Condição para Faturamento]],20,FALSE),"IMPORTADO COM SUCESSO"))</f>
        <v>IMPORTADO</v>
      </c>
      <c r="M806" s="32" t="str">
        <f ca="1">IFERROR(VLOOKUP(MB25_VOLUMETRIA[[#This Row],[Reserva]],RES_AB[],14,FALSE),"")</f>
        <v>RESERVAS EM ATRASO</v>
      </c>
      <c r="N806" s="32" t="str">
        <f>IF(MB25_VOLUMETRIA[[#This Row],[Cen.]]="","",IFERROR(VLOOKUP(MB25_VOLUMETRIA[[#This Row],[Cen.]],Dados_Empresas[],2,FALSE),"Verificar empresa"))</f>
        <v>NET MASSIVO</v>
      </c>
      <c r="O806" s="32" t="str">
        <f>IF(MB25_VOLUMETRIA[[#This Row],[EMPRESA]]="","",IF(OR(MB25_VOLUMETRIA[[#This Row],[EMPRESA]]="NET MASSIVO",MB25_VOLUMETRIA[[#This Row],[EMPRESA]]="NET PROJETOS"),"NET","EMPRESARIAL"))</f>
        <v>NET</v>
      </c>
    </row>
    <row r="807" spans="1:15" x14ac:dyDescent="0.25">
      <c r="A807" s="32">
        <v>4381085</v>
      </c>
      <c r="B807" s="32" t="s">
        <v>21</v>
      </c>
      <c r="C807" s="33" t="s">
        <v>19</v>
      </c>
      <c r="D807" s="35">
        <v>45447</v>
      </c>
      <c r="E807" s="32" t="s">
        <v>184</v>
      </c>
      <c r="F807" s="32">
        <v>41001234</v>
      </c>
      <c r="G807" s="32" t="s">
        <v>189</v>
      </c>
      <c r="H807" s="26" t="s">
        <v>38</v>
      </c>
      <c r="I807" s="36">
        <v>380</v>
      </c>
      <c r="J807" s="32">
        <f>IF(MB25_VOLUMETRIA[[#This Row],[Reserva]]="","",1)</f>
        <v>1</v>
      </c>
      <c r="K807" s="36" t="str">
        <f>IF(MB25_VOLUMETRIA[[#This Row],[Reserva]]="","",IFERROR(VLOOKUP(MB25_VOLUMETRIA[[#This Row],[UMB]],CHAVE[],2,FALSE),"VERIFICAR"))</f>
        <v>Unidade</v>
      </c>
      <c r="L807" s="32" t="str">
        <f>IF(MB25_VOLUMETRIA[[#This Row],[Reserva]]="","",IFERROR(VLOOKUP(MB25_VOLUMETRIA[[#This Row],[Reserva]],Tabela3[[Reserva]:[Condição para Faturamento]],20,FALSE),"IMPORTADO COM SUCESSO"))</f>
        <v>EM RESSUPRIMENTO</v>
      </c>
      <c r="M807" s="32" t="str">
        <f ca="1">IFERROR(VLOOKUP(MB25_VOLUMETRIA[[#This Row],[Reserva]],RES_AB[],14,FALSE),"")</f>
        <v>RESERVAS EM ATRASO</v>
      </c>
      <c r="N807" s="32" t="str">
        <f>IF(MB25_VOLUMETRIA[[#This Row],[Cen.]]="","",IFERROR(VLOOKUP(MB25_VOLUMETRIA[[#This Row],[Cen.]],Dados_Empresas[],2,FALSE),"Verificar empresa"))</f>
        <v>NET MASSIVO</v>
      </c>
      <c r="O807" s="32" t="str">
        <f>IF(MB25_VOLUMETRIA[[#This Row],[EMPRESA]]="","",IF(OR(MB25_VOLUMETRIA[[#This Row],[EMPRESA]]="NET MASSIVO",MB25_VOLUMETRIA[[#This Row],[EMPRESA]]="NET PROJETOS"),"NET","EMPRESARIAL"))</f>
        <v>NET</v>
      </c>
    </row>
    <row r="808" spans="1:15" x14ac:dyDescent="0.25">
      <c r="A808" s="32">
        <v>4381085</v>
      </c>
      <c r="B808" s="32" t="s">
        <v>21</v>
      </c>
      <c r="C808" s="33" t="s">
        <v>19</v>
      </c>
      <c r="D808" s="35">
        <v>45447</v>
      </c>
      <c r="E808" s="32" t="s">
        <v>184</v>
      </c>
      <c r="F808" s="32">
        <v>41001276</v>
      </c>
      <c r="G808" s="32" t="s">
        <v>351</v>
      </c>
      <c r="H808" s="26" t="s">
        <v>38</v>
      </c>
      <c r="I808" s="36">
        <v>380</v>
      </c>
      <c r="J808" s="32">
        <f>IF(MB25_VOLUMETRIA[[#This Row],[Reserva]]="","",1)</f>
        <v>1</v>
      </c>
      <c r="K808" s="36" t="str">
        <f>IF(MB25_VOLUMETRIA[[#This Row],[Reserva]]="","",IFERROR(VLOOKUP(MB25_VOLUMETRIA[[#This Row],[UMB]],CHAVE[],2,FALSE),"VERIFICAR"))</f>
        <v>Unidade</v>
      </c>
      <c r="L808" s="32" t="str">
        <f>IF(MB25_VOLUMETRIA[[#This Row],[Reserva]]="","",IFERROR(VLOOKUP(MB25_VOLUMETRIA[[#This Row],[Reserva]],Tabela3[[Reserva]:[Condição para Faturamento]],20,FALSE),"IMPORTADO COM SUCESSO"))</f>
        <v>EM RESSUPRIMENTO</v>
      </c>
      <c r="M808" s="32" t="str">
        <f ca="1">IFERROR(VLOOKUP(MB25_VOLUMETRIA[[#This Row],[Reserva]],RES_AB[],14,FALSE),"")</f>
        <v>RESERVAS EM ATRASO</v>
      </c>
      <c r="N808" s="32" t="str">
        <f>IF(MB25_VOLUMETRIA[[#This Row],[Cen.]]="","",IFERROR(VLOOKUP(MB25_VOLUMETRIA[[#This Row],[Cen.]],Dados_Empresas[],2,FALSE),"Verificar empresa"))</f>
        <v>NET MASSIVO</v>
      </c>
      <c r="O808" s="32" t="str">
        <f>IF(MB25_VOLUMETRIA[[#This Row],[EMPRESA]]="","",IF(OR(MB25_VOLUMETRIA[[#This Row],[EMPRESA]]="NET MASSIVO",MB25_VOLUMETRIA[[#This Row],[EMPRESA]]="NET PROJETOS"),"NET","EMPRESARIAL"))</f>
        <v>NET</v>
      </c>
    </row>
    <row r="809" spans="1:15" x14ac:dyDescent="0.25">
      <c r="A809" s="32">
        <v>4381086</v>
      </c>
      <c r="B809" s="32" t="s">
        <v>21</v>
      </c>
      <c r="C809" s="33" t="s">
        <v>19</v>
      </c>
      <c r="D809" s="35">
        <v>45447</v>
      </c>
      <c r="E809" s="32" t="s">
        <v>184</v>
      </c>
      <c r="F809" s="32">
        <v>41000805</v>
      </c>
      <c r="G809" s="32" t="s">
        <v>188</v>
      </c>
      <c r="H809" s="26" t="s">
        <v>38</v>
      </c>
      <c r="I809" s="36">
        <v>100</v>
      </c>
      <c r="J809" s="32">
        <f>IF(MB25_VOLUMETRIA[[#This Row],[Reserva]]="","",1)</f>
        <v>1</v>
      </c>
      <c r="K809" s="36" t="str">
        <f>IF(MB25_VOLUMETRIA[[#This Row],[Reserva]]="","",IFERROR(VLOOKUP(MB25_VOLUMETRIA[[#This Row],[UMB]],CHAVE[],2,FALSE),"VERIFICAR"))</f>
        <v>Unidade</v>
      </c>
      <c r="L809" s="32" t="str">
        <f>IF(MB25_VOLUMETRIA[[#This Row],[Reserva]]="","",IFERROR(VLOOKUP(MB25_VOLUMETRIA[[#This Row],[Reserva]],Tabela3[[Reserva]:[Condição para Faturamento]],20,FALSE),"IMPORTADO COM SUCESSO"))</f>
        <v>EM RESSUPRIMENTO</v>
      </c>
      <c r="M809" s="32" t="str">
        <f ca="1">IFERROR(VLOOKUP(MB25_VOLUMETRIA[[#This Row],[Reserva]],RES_AB[],14,FALSE),"")</f>
        <v>RESERVAS EM ATRASO</v>
      </c>
      <c r="N809" s="32" t="str">
        <f>IF(MB25_VOLUMETRIA[[#This Row],[Cen.]]="","",IFERROR(VLOOKUP(MB25_VOLUMETRIA[[#This Row],[Cen.]],Dados_Empresas[],2,FALSE),"Verificar empresa"))</f>
        <v>NET MASSIVO</v>
      </c>
      <c r="O809" s="32" t="str">
        <f>IF(MB25_VOLUMETRIA[[#This Row],[EMPRESA]]="","",IF(OR(MB25_VOLUMETRIA[[#This Row],[EMPRESA]]="NET MASSIVO",MB25_VOLUMETRIA[[#This Row],[EMPRESA]]="NET PROJETOS"),"NET","EMPRESARIAL"))</f>
        <v>NET</v>
      </c>
    </row>
    <row r="810" spans="1:15" x14ac:dyDescent="0.25">
      <c r="A810" s="32">
        <v>4381086</v>
      </c>
      <c r="B810" s="32" t="s">
        <v>21</v>
      </c>
      <c r="C810" s="33" t="s">
        <v>19</v>
      </c>
      <c r="D810" s="35">
        <v>45447</v>
      </c>
      <c r="E810" s="32" t="s">
        <v>184</v>
      </c>
      <c r="F810" s="32">
        <v>41001047</v>
      </c>
      <c r="G810" s="32" t="s">
        <v>257</v>
      </c>
      <c r="H810" s="26" t="s">
        <v>38</v>
      </c>
      <c r="I810" s="36">
        <v>100</v>
      </c>
      <c r="J810" s="32">
        <f>IF(MB25_VOLUMETRIA[[#This Row],[Reserva]]="","",1)</f>
        <v>1</v>
      </c>
      <c r="K810" s="36" t="str">
        <f>IF(MB25_VOLUMETRIA[[#This Row],[Reserva]]="","",IFERROR(VLOOKUP(MB25_VOLUMETRIA[[#This Row],[UMB]],CHAVE[],2,FALSE),"VERIFICAR"))</f>
        <v>Unidade</v>
      </c>
      <c r="L810" s="32" t="str">
        <f>IF(MB25_VOLUMETRIA[[#This Row],[Reserva]]="","",IFERROR(VLOOKUP(MB25_VOLUMETRIA[[#This Row],[Reserva]],Tabela3[[Reserva]:[Condição para Faturamento]],20,FALSE),"IMPORTADO COM SUCESSO"))</f>
        <v>EM RESSUPRIMENTO</v>
      </c>
      <c r="M810" s="32" t="str">
        <f ca="1">IFERROR(VLOOKUP(MB25_VOLUMETRIA[[#This Row],[Reserva]],RES_AB[],14,FALSE),"")</f>
        <v>RESERVAS EM ATRASO</v>
      </c>
      <c r="N810" s="32" t="str">
        <f>IF(MB25_VOLUMETRIA[[#This Row],[Cen.]]="","",IFERROR(VLOOKUP(MB25_VOLUMETRIA[[#This Row],[Cen.]],Dados_Empresas[],2,FALSE),"Verificar empresa"))</f>
        <v>NET MASSIVO</v>
      </c>
      <c r="O810" s="32" t="str">
        <f>IF(MB25_VOLUMETRIA[[#This Row],[EMPRESA]]="","",IF(OR(MB25_VOLUMETRIA[[#This Row],[EMPRESA]]="NET MASSIVO",MB25_VOLUMETRIA[[#This Row],[EMPRESA]]="NET PROJETOS"),"NET","EMPRESARIAL"))</f>
        <v>NET</v>
      </c>
    </row>
    <row r="811" spans="1:15" x14ac:dyDescent="0.25">
      <c r="A811" s="32">
        <v>4381087</v>
      </c>
      <c r="B811" s="32" t="s">
        <v>21</v>
      </c>
      <c r="C811" s="33" t="s">
        <v>19</v>
      </c>
      <c r="D811" s="35">
        <v>45447</v>
      </c>
      <c r="E811" s="32" t="s">
        <v>185</v>
      </c>
      <c r="F811" s="32">
        <v>22026293</v>
      </c>
      <c r="G811" s="32" t="s">
        <v>352</v>
      </c>
      <c r="H811" s="26" t="s">
        <v>38</v>
      </c>
      <c r="I811" s="36">
        <v>60</v>
      </c>
      <c r="J811" s="32">
        <f>IF(MB25_VOLUMETRIA[[#This Row],[Reserva]]="","",1)</f>
        <v>1</v>
      </c>
      <c r="K811" s="36" t="str">
        <f>IF(MB25_VOLUMETRIA[[#This Row],[Reserva]]="","",IFERROR(VLOOKUP(MB25_VOLUMETRIA[[#This Row],[UMB]],CHAVE[],2,FALSE),"VERIFICAR"))</f>
        <v>Unidade</v>
      </c>
      <c r="L811" s="32" t="str">
        <f>IF(MB25_VOLUMETRIA[[#This Row],[Reserva]]="","",IFERROR(VLOOKUP(MB25_VOLUMETRIA[[#This Row],[Reserva]],Tabela3[[Reserva]:[Condição para Faturamento]],20,FALSE),"IMPORTADO COM SUCESSO"))</f>
        <v>EM RESSUPRIMENTO</v>
      </c>
      <c r="M811" s="32" t="str">
        <f ca="1">IFERROR(VLOOKUP(MB25_VOLUMETRIA[[#This Row],[Reserva]],RES_AB[],14,FALSE),"")</f>
        <v>RESERVAS EM ATRASO</v>
      </c>
      <c r="N811" s="32" t="str">
        <f>IF(MB25_VOLUMETRIA[[#This Row],[Cen.]]="","",IFERROR(VLOOKUP(MB25_VOLUMETRIA[[#This Row],[Cen.]],Dados_Empresas[],2,FALSE),"Verificar empresa"))</f>
        <v>NET MASSIVO</v>
      </c>
      <c r="O811" s="32" t="str">
        <f>IF(MB25_VOLUMETRIA[[#This Row],[EMPRESA]]="","",IF(OR(MB25_VOLUMETRIA[[#This Row],[EMPRESA]]="NET MASSIVO",MB25_VOLUMETRIA[[#This Row],[EMPRESA]]="NET PROJETOS"),"NET","EMPRESARIAL"))</f>
        <v>NET</v>
      </c>
    </row>
    <row r="812" spans="1:15" x14ac:dyDescent="0.25">
      <c r="A812" s="32">
        <v>4381088</v>
      </c>
      <c r="B812" s="32" t="s">
        <v>21</v>
      </c>
      <c r="C812" s="33" t="s">
        <v>19</v>
      </c>
      <c r="D812" s="35">
        <v>45447</v>
      </c>
      <c r="E812" s="32" t="s">
        <v>184</v>
      </c>
      <c r="F812" s="32">
        <v>41001292</v>
      </c>
      <c r="G812" s="32" t="s">
        <v>353</v>
      </c>
      <c r="H812" s="26" t="s">
        <v>38</v>
      </c>
      <c r="I812" s="36">
        <v>60</v>
      </c>
      <c r="J812" s="32">
        <f>IF(MB25_VOLUMETRIA[[#This Row],[Reserva]]="","",1)</f>
        <v>1</v>
      </c>
      <c r="K812" s="36" t="str">
        <f>IF(MB25_VOLUMETRIA[[#This Row],[Reserva]]="","",IFERROR(VLOOKUP(MB25_VOLUMETRIA[[#This Row],[UMB]],CHAVE[],2,FALSE),"VERIFICAR"))</f>
        <v>Unidade</v>
      </c>
      <c r="L812" s="32" t="str">
        <f>IF(MB25_VOLUMETRIA[[#This Row],[Reserva]]="","",IFERROR(VLOOKUP(MB25_VOLUMETRIA[[#This Row],[Reserva]],Tabela3[[Reserva]:[Condição para Faturamento]],20,FALSE),"IMPORTADO COM SUCESSO"))</f>
        <v>EM RESSUPRIMENTO</v>
      </c>
      <c r="M812" s="32" t="str">
        <f ca="1">IFERROR(VLOOKUP(MB25_VOLUMETRIA[[#This Row],[Reserva]],RES_AB[],14,FALSE),"")</f>
        <v>RESERVAS EM ATRASO</v>
      </c>
      <c r="N812" s="32" t="str">
        <f>IF(MB25_VOLUMETRIA[[#This Row],[Cen.]]="","",IFERROR(VLOOKUP(MB25_VOLUMETRIA[[#This Row],[Cen.]],Dados_Empresas[],2,FALSE),"Verificar empresa"))</f>
        <v>NET MASSIVO</v>
      </c>
      <c r="O812" s="32" t="str">
        <f>IF(MB25_VOLUMETRIA[[#This Row],[EMPRESA]]="","",IF(OR(MB25_VOLUMETRIA[[#This Row],[EMPRESA]]="NET MASSIVO",MB25_VOLUMETRIA[[#This Row],[EMPRESA]]="NET PROJETOS"),"NET","EMPRESARIAL"))</f>
        <v>NET</v>
      </c>
    </row>
    <row r="813" spans="1:15" x14ac:dyDescent="0.25">
      <c r="A813" s="32">
        <v>4381088</v>
      </c>
      <c r="B813" s="32" t="s">
        <v>21</v>
      </c>
      <c r="C813" s="33" t="s">
        <v>21</v>
      </c>
      <c r="D813" s="35">
        <v>45447</v>
      </c>
      <c r="E813" s="32" t="s">
        <v>184</v>
      </c>
      <c r="F813" s="32">
        <v>41001567</v>
      </c>
      <c r="G813" s="32" t="s">
        <v>354</v>
      </c>
      <c r="H813" s="26" t="s">
        <v>38</v>
      </c>
      <c r="I813" s="36">
        <v>30</v>
      </c>
      <c r="J813" s="32">
        <f>IF(MB25_VOLUMETRIA[[#This Row],[Reserva]]="","",1)</f>
        <v>1</v>
      </c>
      <c r="K813" s="36" t="str">
        <f>IF(MB25_VOLUMETRIA[[#This Row],[Reserva]]="","",IFERROR(VLOOKUP(MB25_VOLUMETRIA[[#This Row],[UMB]],CHAVE[],2,FALSE),"VERIFICAR"))</f>
        <v>Unidade</v>
      </c>
      <c r="L813" s="32" t="str">
        <f>IF(MB25_VOLUMETRIA[[#This Row],[Reserva]]="","",IFERROR(VLOOKUP(MB25_VOLUMETRIA[[#This Row],[Reserva]],Tabela3[[Reserva]:[Condição para Faturamento]],20,FALSE),"IMPORTADO COM SUCESSO"))</f>
        <v>EM RESSUPRIMENTO</v>
      </c>
      <c r="M813" s="32" t="str">
        <f ca="1">IFERROR(VLOOKUP(MB25_VOLUMETRIA[[#This Row],[Reserva]],RES_AB[],14,FALSE),"")</f>
        <v>RESERVAS EM ATRASO</v>
      </c>
      <c r="N813" s="32" t="str">
        <f>IF(MB25_VOLUMETRIA[[#This Row],[Cen.]]="","",IFERROR(VLOOKUP(MB25_VOLUMETRIA[[#This Row],[Cen.]],Dados_Empresas[],2,FALSE),"Verificar empresa"))</f>
        <v>NET MASSIVO</v>
      </c>
      <c r="O813" s="32" t="str">
        <f>IF(MB25_VOLUMETRIA[[#This Row],[EMPRESA]]="","",IF(OR(MB25_VOLUMETRIA[[#This Row],[EMPRESA]]="NET MASSIVO",MB25_VOLUMETRIA[[#This Row],[EMPRESA]]="NET PROJETOS"),"NET","EMPRESARIAL"))</f>
        <v>NET</v>
      </c>
    </row>
    <row r="814" spans="1:15" x14ac:dyDescent="0.25">
      <c r="A814" s="32">
        <v>4381089</v>
      </c>
      <c r="B814" s="32" t="s">
        <v>21</v>
      </c>
      <c r="C814" s="33" t="s">
        <v>19</v>
      </c>
      <c r="D814" s="35">
        <v>45447</v>
      </c>
      <c r="E814" s="32" t="s">
        <v>185</v>
      </c>
      <c r="F814" s="32">
        <v>22026279</v>
      </c>
      <c r="G814" s="32" t="s">
        <v>350</v>
      </c>
      <c r="H814" s="26" t="s">
        <v>38</v>
      </c>
      <c r="I814" s="36">
        <v>110</v>
      </c>
      <c r="J814" s="32">
        <f>IF(MB25_VOLUMETRIA[[#This Row],[Reserva]]="","",1)</f>
        <v>1</v>
      </c>
      <c r="K814" s="36" t="str">
        <f>IF(MB25_VOLUMETRIA[[#This Row],[Reserva]]="","",IFERROR(VLOOKUP(MB25_VOLUMETRIA[[#This Row],[UMB]],CHAVE[],2,FALSE),"VERIFICAR"))</f>
        <v>Unidade</v>
      </c>
      <c r="L814" s="32" t="str">
        <f>IF(MB25_VOLUMETRIA[[#This Row],[Reserva]]="","",IFERROR(VLOOKUP(MB25_VOLUMETRIA[[#This Row],[Reserva]],Tabela3[[Reserva]:[Condição para Faturamento]],20,FALSE),"IMPORTADO COM SUCESSO"))</f>
        <v>EM RESSUPRIMENTO</v>
      </c>
      <c r="M814" s="32" t="str">
        <f ca="1">IFERROR(VLOOKUP(MB25_VOLUMETRIA[[#This Row],[Reserva]],RES_AB[],14,FALSE),"")</f>
        <v>RESERVAS EM ATRASO</v>
      </c>
      <c r="N814" s="32" t="str">
        <f>IF(MB25_VOLUMETRIA[[#This Row],[Cen.]]="","",IFERROR(VLOOKUP(MB25_VOLUMETRIA[[#This Row],[Cen.]],Dados_Empresas[],2,FALSE),"Verificar empresa"))</f>
        <v>NET MASSIVO</v>
      </c>
      <c r="O814" s="32" t="str">
        <f>IF(MB25_VOLUMETRIA[[#This Row],[EMPRESA]]="","",IF(OR(MB25_VOLUMETRIA[[#This Row],[EMPRESA]]="NET MASSIVO",MB25_VOLUMETRIA[[#This Row],[EMPRESA]]="NET PROJETOS"),"NET","EMPRESARIAL"))</f>
        <v>NET</v>
      </c>
    </row>
    <row r="815" spans="1:15" x14ac:dyDescent="0.25">
      <c r="A815" s="32">
        <v>4381089</v>
      </c>
      <c r="B815" s="32" t="s">
        <v>21</v>
      </c>
      <c r="C815" s="33" t="s">
        <v>19</v>
      </c>
      <c r="D815" s="35">
        <v>45447</v>
      </c>
      <c r="E815" s="32" t="s">
        <v>185</v>
      </c>
      <c r="F815" s="32">
        <v>22026293</v>
      </c>
      <c r="G815" s="32" t="s">
        <v>352</v>
      </c>
      <c r="H815" s="26" t="s">
        <v>38</v>
      </c>
      <c r="I815" s="36">
        <v>50</v>
      </c>
      <c r="J815" s="32">
        <f>IF(MB25_VOLUMETRIA[[#This Row],[Reserva]]="","",1)</f>
        <v>1</v>
      </c>
      <c r="K815" s="36" t="str">
        <f>IF(MB25_VOLUMETRIA[[#This Row],[Reserva]]="","",IFERROR(VLOOKUP(MB25_VOLUMETRIA[[#This Row],[UMB]],CHAVE[],2,FALSE),"VERIFICAR"))</f>
        <v>Unidade</v>
      </c>
      <c r="L815" s="32" t="str">
        <f>IF(MB25_VOLUMETRIA[[#This Row],[Reserva]]="","",IFERROR(VLOOKUP(MB25_VOLUMETRIA[[#This Row],[Reserva]],Tabela3[[Reserva]:[Condição para Faturamento]],20,FALSE),"IMPORTADO COM SUCESSO"))</f>
        <v>EM RESSUPRIMENTO</v>
      </c>
      <c r="M815" s="32" t="str">
        <f ca="1">IFERROR(VLOOKUP(MB25_VOLUMETRIA[[#This Row],[Reserva]],RES_AB[],14,FALSE),"")</f>
        <v>RESERVAS EM ATRASO</v>
      </c>
      <c r="N815" s="32" t="str">
        <f>IF(MB25_VOLUMETRIA[[#This Row],[Cen.]]="","",IFERROR(VLOOKUP(MB25_VOLUMETRIA[[#This Row],[Cen.]],Dados_Empresas[],2,FALSE),"Verificar empresa"))</f>
        <v>NET MASSIVO</v>
      </c>
      <c r="O815" s="32" t="str">
        <f>IF(MB25_VOLUMETRIA[[#This Row],[EMPRESA]]="","",IF(OR(MB25_VOLUMETRIA[[#This Row],[EMPRESA]]="NET MASSIVO",MB25_VOLUMETRIA[[#This Row],[EMPRESA]]="NET PROJETOS"),"NET","EMPRESARIAL"))</f>
        <v>NET</v>
      </c>
    </row>
    <row r="816" spans="1:15" x14ac:dyDescent="0.25">
      <c r="A816" s="32">
        <v>4381089</v>
      </c>
      <c r="B816" s="32" t="s">
        <v>21</v>
      </c>
      <c r="C816" s="33" t="s">
        <v>21</v>
      </c>
      <c r="D816" s="35">
        <v>45447</v>
      </c>
      <c r="E816" s="32" t="s">
        <v>185</v>
      </c>
      <c r="F816" s="32">
        <v>22060422</v>
      </c>
      <c r="G816" s="32" t="s">
        <v>298</v>
      </c>
      <c r="H816" s="26" t="s">
        <v>38</v>
      </c>
      <c r="I816" s="36">
        <v>110</v>
      </c>
      <c r="J816" s="32">
        <f>IF(MB25_VOLUMETRIA[[#This Row],[Reserva]]="","",1)</f>
        <v>1</v>
      </c>
      <c r="K816" s="36" t="str">
        <f>IF(MB25_VOLUMETRIA[[#This Row],[Reserva]]="","",IFERROR(VLOOKUP(MB25_VOLUMETRIA[[#This Row],[UMB]],CHAVE[],2,FALSE),"VERIFICAR"))</f>
        <v>Unidade</v>
      </c>
      <c r="L816" s="32" t="str">
        <f>IF(MB25_VOLUMETRIA[[#This Row],[Reserva]]="","",IFERROR(VLOOKUP(MB25_VOLUMETRIA[[#This Row],[Reserva]],Tabela3[[Reserva]:[Condição para Faturamento]],20,FALSE),"IMPORTADO COM SUCESSO"))</f>
        <v>EM RESSUPRIMENTO</v>
      </c>
      <c r="M816" s="32" t="str">
        <f ca="1">IFERROR(VLOOKUP(MB25_VOLUMETRIA[[#This Row],[Reserva]],RES_AB[],14,FALSE),"")</f>
        <v>RESERVAS EM ATRASO</v>
      </c>
      <c r="N816" s="32" t="str">
        <f>IF(MB25_VOLUMETRIA[[#This Row],[Cen.]]="","",IFERROR(VLOOKUP(MB25_VOLUMETRIA[[#This Row],[Cen.]],Dados_Empresas[],2,FALSE),"Verificar empresa"))</f>
        <v>NET MASSIVO</v>
      </c>
      <c r="O816" s="32" t="str">
        <f>IF(MB25_VOLUMETRIA[[#This Row],[EMPRESA]]="","",IF(OR(MB25_VOLUMETRIA[[#This Row],[EMPRESA]]="NET MASSIVO",MB25_VOLUMETRIA[[#This Row],[EMPRESA]]="NET PROJETOS"),"NET","EMPRESARIAL"))</f>
        <v>NET</v>
      </c>
    </row>
    <row r="817" spans="1:15" x14ac:dyDescent="0.25">
      <c r="A817" s="32">
        <v>4381090</v>
      </c>
      <c r="B817" s="32" t="s">
        <v>21</v>
      </c>
      <c r="C817" s="33" t="s">
        <v>19</v>
      </c>
      <c r="D817" s="35">
        <v>45447</v>
      </c>
      <c r="E817" s="32" t="s">
        <v>184</v>
      </c>
      <c r="F817" s="32">
        <v>41001234</v>
      </c>
      <c r="G817" s="32" t="s">
        <v>189</v>
      </c>
      <c r="H817" s="26" t="s">
        <v>38</v>
      </c>
      <c r="I817" s="36">
        <v>110</v>
      </c>
      <c r="J817" s="32">
        <f>IF(MB25_VOLUMETRIA[[#This Row],[Reserva]]="","",1)</f>
        <v>1</v>
      </c>
      <c r="K817" s="36" t="str">
        <f>IF(MB25_VOLUMETRIA[[#This Row],[Reserva]]="","",IFERROR(VLOOKUP(MB25_VOLUMETRIA[[#This Row],[UMB]],CHAVE[],2,FALSE),"VERIFICAR"))</f>
        <v>Unidade</v>
      </c>
      <c r="L817" s="32" t="str">
        <f>IF(MB25_VOLUMETRIA[[#This Row],[Reserva]]="","",IFERROR(VLOOKUP(MB25_VOLUMETRIA[[#This Row],[Reserva]],Tabela3[[Reserva]:[Condição para Faturamento]],20,FALSE),"IMPORTADO COM SUCESSO"))</f>
        <v>IMPORTADO</v>
      </c>
      <c r="M817" s="32" t="str">
        <f ca="1">IFERROR(VLOOKUP(MB25_VOLUMETRIA[[#This Row],[Reserva]],RES_AB[],14,FALSE),"")</f>
        <v>RESERVAS EM ATRASO</v>
      </c>
      <c r="N817" s="32" t="str">
        <f>IF(MB25_VOLUMETRIA[[#This Row],[Cen.]]="","",IFERROR(VLOOKUP(MB25_VOLUMETRIA[[#This Row],[Cen.]],Dados_Empresas[],2,FALSE),"Verificar empresa"))</f>
        <v>NET MASSIVO</v>
      </c>
      <c r="O817" s="32" t="str">
        <f>IF(MB25_VOLUMETRIA[[#This Row],[EMPRESA]]="","",IF(OR(MB25_VOLUMETRIA[[#This Row],[EMPRESA]]="NET MASSIVO",MB25_VOLUMETRIA[[#This Row],[EMPRESA]]="NET PROJETOS"),"NET","EMPRESARIAL"))</f>
        <v>NET</v>
      </c>
    </row>
    <row r="818" spans="1:15" x14ac:dyDescent="0.25">
      <c r="A818" s="32">
        <v>4381090</v>
      </c>
      <c r="B818" s="32" t="s">
        <v>21</v>
      </c>
      <c r="C818" s="33" t="s">
        <v>19</v>
      </c>
      <c r="D818" s="35">
        <v>45447</v>
      </c>
      <c r="E818" s="32" t="s">
        <v>184</v>
      </c>
      <c r="F818" s="32">
        <v>41001276</v>
      </c>
      <c r="G818" s="32" t="s">
        <v>351</v>
      </c>
      <c r="H818" s="26" t="s">
        <v>38</v>
      </c>
      <c r="I818" s="36">
        <v>110</v>
      </c>
      <c r="J818" s="32">
        <f>IF(MB25_VOLUMETRIA[[#This Row],[Reserva]]="","",1)</f>
        <v>1</v>
      </c>
      <c r="K818" s="36" t="str">
        <f>IF(MB25_VOLUMETRIA[[#This Row],[Reserva]]="","",IFERROR(VLOOKUP(MB25_VOLUMETRIA[[#This Row],[UMB]],CHAVE[],2,FALSE),"VERIFICAR"))</f>
        <v>Unidade</v>
      </c>
      <c r="L818" s="32" t="str">
        <f>IF(MB25_VOLUMETRIA[[#This Row],[Reserva]]="","",IFERROR(VLOOKUP(MB25_VOLUMETRIA[[#This Row],[Reserva]],Tabela3[[Reserva]:[Condição para Faturamento]],20,FALSE),"IMPORTADO COM SUCESSO"))</f>
        <v>IMPORTADO</v>
      </c>
      <c r="M818" s="32" t="str">
        <f ca="1">IFERROR(VLOOKUP(MB25_VOLUMETRIA[[#This Row],[Reserva]],RES_AB[],14,FALSE),"")</f>
        <v>RESERVAS EM ATRASO</v>
      </c>
      <c r="N818" s="32" t="str">
        <f>IF(MB25_VOLUMETRIA[[#This Row],[Cen.]]="","",IFERROR(VLOOKUP(MB25_VOLUMETRIA[[#This Row],[Cen.]],Dados_Empresas[],2,FALSE),"Verificar empresa"))</f>
        <v>NET MASSIVO</v>
      </c>
      <c r="O818" s="32" t="str">
        <f>IF(MB25_VOLUMETRIA[[#This Row],[EMPRESA]]="","",IF(OR(MB25_VOLUMETRIA[[#This Row],[EMPRESA]]="NET MASSIVO",MB25_VOLUMETRIA[[#This Row],[EMPRESA]]="NET PROJETOS"),"NET","EMPRESARIAL"))</f>
        <v>NET</v>
      </c>
    </row>
    <row r="819" spans="1:15" x14ac:dyDescent="0.25">
      <c r="A819" s="32">
        <v>4381090</v>
      </c>
      <c r="B819" s="32" t="s">
        <v>21</v>
      </c>
      <c r="C819" s="33" t="s">
        <v>19</v>
      </c>
      <c r="D819" s="35">
        <v>45447</v>
      </c>
      <c r="E819" s="32" t="s">
        <v>184</v>
      </c>
      <c r="F819" s="32">
        <v>41001292</v>
      </c>
      <c r="G819" s="32" t="s">
        <v>353</v>
      </c>
      <c r="H819" s="26" t="s">
        <v>38</v>
      </c>
      <c r="I819" s="36">
        <v>50</v>
      </c>
      <c r="J819" s="32">
        <f>IF(MB25_VOLUMETRIA[[#This Row],[Reserva]]="","",1)</f>
        <v>1</v>
      </c>
      <c r="K819" s="36" t="str">
        <f>IF(MB25_VOLUMETRIA[[#This Row],[Reserva]]="","",IFERROR(VLOOKUP(MB25_VOLUMETRIA[[#This Row],[UMB]],CHAVE[],2,FALSE),"VERIFICAR"))</f>
        <v>Unidade</v>
      </c>
      <c r="L819" s="32" t="str">
        <f>IF(MB25_VOLUMETRIA[[#This Row],[Reserva]]="","",IFERROR(VLOOKUP(MB25_VOLUMETRIA[[#This Row],[Reserva]],Tabela3[[Reserva]:[Condição para Faturamento]],20,FALSE),"IMPORTADO COM SUCESSO"))</f>
        <v>IMPORTADO</v>
      </c>
      <c r="M819" s="32" t="str">
        <f ca="1">IFERROR(VLOOKUP(MB25_VOLUMETRIA[[#This Row],[Reserva]],RES_AB[],14,FALSE),"")</f>
        <v>RESERVAS EM ATRASO</v>
      </c>
      <c r="N819" s="32" t="str">
        <f>IF(MB25_VOLUMETRIA[[#This Row],[Cen.]]="","",IFERROR(VLOOKUP(MB25_VOLUMETRIA[[#This Row],[Cen.]],Dados_Empresas[],2,FALSE),"Verificar empresa"))</f>
        <v>NET MASSIVO</v>
      </c>
      <c r="O819" s="32" t="str">
        <f>IF(MB25_VOLUMETRIA[[#This Row],[EMPRESA]]="","",IF(OR(MB25_VOLUMETRIA[[#This Row],[EMPRESA]]="NET MASSIVO",MB25_VOLUMETRIA[[#This Row],[EMPRESA]]="NET PROJETOS"),"NET","EMPRESARIAL"))</f>
        <v>NET</v>
      </c>
    </row>
    <row r="820" spans="1:15" x14ac:dyDescent="0.25">
      <c r="A820" s="32">
        <v>4381091</v>
      </c>
      <c r="B820" s="32" t="s">
        <v>21</v>
      </c>
      <c r="C820" s="33" t="s">
        <v>19</v>
      </c>
      <c r="D820" s="35">
        <v>45447</v>
      </c>
      <c r="E820" s="32" t="s">
        <v>185</v>
      </c>
      <c r="F820" s="32">
        <v>22026279</v>
      </c>
      <c r="G820" s="32" t="s">
        <v>350</v>
      </c>
      <c r="H820" s="26" t="s">
        <v>38</v>
      </c>
      <c r="I820" s="36">
        <v>100</v>
      </c>
      <c r="J820" s="32">
        <f>IF(MB25_VOLUMETRIA[[#This Row],[Reserva]]="","",1)</f>
        <v>1</v>
      </c>
      <c r="K820" s="36" t="str">
        <f>IF(MB25_VOLUMETRIA[[#This Row],[Reserva]]="","",IFERROR(VLOOKUP(MB25_VOLUMETRIA[[#This Row],[UMB]],CHAVE[],2,FALSE),"VERIFICAR"))</f>
        <v>Unidade</v>
      </c>
      <c r="L820" s="32" t="str">
        <f>IF(MB25_VOLUMETRIA[[#This Row],[Reserva]]="","",IFERROR(VLOOKUP(MB25_VOLUMETRIA[[#This Row],[Reserva]],Tabela3[[Reserva]:[Condição para Faturamento]],20,FALSE),"IMPORTADO COM SUCESSO"))</f>
        <v>EM RESSUPRIMENTO</v>
      </c>
      <c r="M820" s="32" t="str">
        <f ca="1">IFERROR(VLOOKUP(MB25_VOLUMETRIA[[#This Row],[Reserva]],RES_AB[],14,FALSE),"")</f>
        <v>RESERVAS EM ATRASO</v>
      </c>
      <c r="N820" s="32" t="str">
        <f>IF(MB25_VOLUMETRIA[[#This Row],[Cen.]]="","",IFERROR(VLOOKUP(MB25_VOLUMETRIA[[#This Row],[Cen.]],Dados_Empresas[],2,FALSE),"Verificar empresa"))</f>
        <v>NET MASSIVO</v>
      </c>
      <c r="O820" s="32" t="str">
        <f>IF(MB25_VOLUMETRIA[[#This Row],[EMPRESA]]="","",IF(OR(MB25_VOLUMETRIA[[#This Row],[EMPRESA]]="NET MASSIVO",MB25_VOLUMETRIA[[#This Row],[EMPRESA]]="NET PROJETOS"),"NET","EMPRESARIAL"))</f>
        <v>NET</v>
      </c>
    </row>
    <row r="821" spans="1:15" x14ac:dyDescent="0.25">
      <c r="A821" s="32">
        <v>4381091</v>
      </c>
      <c r="B821" s="32" t="s">
        <v>21</v>
      </c>
      <c r="C821" s="33" t="s">
        <v>19</v>
      </c>
      <c r="D821" s="35">
        <v>45447</v>
      </c>
      <c r="E821" s="32" t="s">
        <v>185</v>
      </c>
      <c r="F821" s="32">
        <v>22026293</v>
      </c>
      <c r="G821" s="32" t="s">
        <v>352</v>
      </c>
      <c r="H821" s="26" t="s">
        <v>38</v>
      </c>
      <c r="I821" s="36">
        <v>160</v>
      </c>
      <c r="J821" s="32">
        <f>IF(MB25_VOLUMETRIA[[#This Row],[Reserva]]="","",1)</f>
        <v>1</v>
      </c>
      <c r="K821" s="36" t="str">
        <f>IF(MB25_VOLUMETRIA[[#This Row],[Reserva]]="","",IFERROR(VLOOKUP(MB25_VOLUMETRIA[[#This Row],[UMB]],CHAVE[],2,FALSE),"VERIFICAR"))</f>
        <v>Unidade</v>
      </c>
      <c r="L821" s="32" t="str">
        <f>IF(MB25_VOLUMETRIA[[#This Row],[Reserva]]="","",IFERROR(VLOOKUP(MB25_VOLUMETRIA[[#This Row],[Reserva]],Tabela3[[Reserva]:[Condição para Faturamento]],20,FALSE),"IMPORTADO COM SUCESSO"))</f>
        <v>EM RESSUPRIMENTO</v>
      </c>
      <c r="M821" s="32" t="str">
        <f ca="1">IFERROR(VLOOKUP(MB25_VOLUMETRIA[[#This Row],[Reserva]],RES_AB[],14,FALSE),"")</f>
        <v>RESERVAS EM ATRASO</v>
      </c>
      <c r="N821" s="32" t="str">
        <f>IF(MB25_VOLUMETRIA[[#This Row],[Cen.]]="","",IFERROR(VLOOKUP(MB25_VOLUMETRIA[[#This Row],[Cen.]],Dados_Empresas[],2,FALSE),"Verificar empresa"))</f>
        <v>NET MASSIVO</v>
      </c>
      <c r="O821" s="32" t="str">
        <f>IF(MB25_VOLUMETRIA[[#This Row],[EMPRESA]]="","",IF(OR(MB25_VOLUMETRIA[[#This Row],[EMPRESA]]="NET MASSIVO",MB25_VOLUMETRIA[[#This Row],[EMPRESA]]="NET PROJETOS"),"NET","EMPRESARIAL"))</f>
        <v>NET</v>
      </c>
    </row>
    <row r="822" spans="1:15" x14ac:dyDescent="0.25">
      <c r="A822" s="32">
        <v>4381091</v>
      </c>
      <c r="B822" s="32" t="s">
        <v>21</v>
      </c>
      <c r="C822" s="33" t="s">
        <v>21</v>
      </c>
      <c r="D822" s="35">
        <v>45447</v>
      </c>
      <c r="E822" s="32" t="s">
        <v>185</v>
      </c>
      <c r="F822" s="32">
        <v>22060422</v>
      </c>
      <c r="G822" s="32" t="s">
        <v>298</v>
      </c>
      <c r="H822" s="26" t="s">
        <v>38</v>
      </c>
      <c r="I822" s="36">
        <v>100</v>
      </c>
      <c r="J822" s="32">
        <f>IF(MB25_VOLUMETRIA[[#This Row],[Reserva]]="","",1)</f>
        <v>1</v>
      </c>
      <c r="K822" s="36" t="str">
        <f>IF(MB25_VOLUMETRIA[[#This Row],[Reserva]]="","",IFERROR(VLOOKUP(MB25_VOLUMETRIA[[#This Row],[UMB]],CHAVE[],2,FALSE),"VERIFICAR"))</f>
        <v>Unidade</v>
      </c>
      <c r="L822" s="32" t="str">
        <f>IF(MB25_VOLUMETRIA[[#This Row],[Reserva]]="","",IFERROR(VLOOKUP(MB25_VOLUMETRIA[[#This Row],[Reserva]],Tabela3[[Reserva]:[Condição para Faturamento]],20,FALSE),"IMPORTADO COM SUCESSO"))</f>
        <v>EM RESSUPRIMENTO</v>
      </c>
      <c r="M822" s="32" t="str">
        <f ca="1">IFERROR(VLOOKUP(MB25_VOLUMETRIA[[#This Row],[Reserva]],RES_AB[],14,FALSE),"")</f>
        <v>RESERVAS EM ATRASO</v>
      </c>
      <c r="N822" s="32" t="str">
        <f>IF(MB25_VOLUMETRIA[[#This Row],[Cen.]]="","",IFERROR(VLOOKUP(MB25_VOLUMETRIA[[#This Row],[Cen.]],Dados_Empresas[],2,FALSE),"Verificar empresa"))</f>
        <v>NET MASSIVO</v>
      </c>
      <c r="O822" s="32" t="str">
        <f>IF(MB25_VOLUMETRIA[[#This Row],[EMPRESA]]="","",IF(OR(MB25_VOLUMETRIA[[#This Row],[EMPRESA]]="NET MASSIVO",MB25_VOLUMETRIA[[#This Row],[EMPRESA]]="NET PROJETOS"),"NET","EMPRESARIAL"))</f>
        <v>NET</v>
      </c>
    </row>
    <row r="823" spans="1:15" x14ac:dyDescent="0.25">
      <c r="A823" s="32">
        <v>4381092</v>
      </c>
      <c r="B823" s="32" t="s">
        <v>21</v>
      </c>
      <c r="C823" s="33" t="s">
        <v>19</v>
      </c>
      <c r="D823" s="35">
        <v>45447</v>
      </c>
      <c r="E823" s="32" t="s">
        <v>184</v>
      </c>
      <c r="F823" s="32">
        <v>41001234</v>
      </c>
      <c r="G823" s="32" t="s">
        <v>189</v>
      </c>
      <c r="H823" s="26" t="s">
        <v>38</v>
      </c>
      <c r="I823" s="36">
        <v>100</v>
      </c>
      <c r="J823" s="32">
        <f>IF(MB25_VOLUMETRIA[[#This Row],[Reserva]]="","",1)</f>
        <v>1</v>
      </c>
      <c r="K823" s="36" t="str">
        <f>IF(MB25_VOLUMETRIA[[#This Row],[Reserva]]="","",IFERROR(VLOOKUP(MB25_VOLUMETRIA[[#This Row],[UMB]],CHAVE[],2,FALSE),"VERIFICAR"))</f>
        <v>Unidade</v>
      </c>
      <c r="L823" s="32" t="str">
        <f>IF(MB25_VOLUMETRIA[[#This Row],[Reserva]]="","",IFERROR(VLOOKUP(MB25_VOLUMETRIA[[#This Row],[Reserva]],Tabela3[[Reserva]:[Condição para Faturamento]],20,FALSE),"IMPORTADO COM SUCESSO"))</f>
        <v>IMPORTADO</v>
      </c>
      <c r="M823" s="32" t="str">
        <f ca="1">IFERROR(VLOOKUP(MB25_VOLUMETRIA[[#This Row],[Reserva]],RES_AB[],14,FALSE),"")</f>
        <v>RESERVAS EM ATRASO</v>
      </c>
      <c r="N823" s="32" t="str">
        <f>IF(MB25_VOLUMETRIA[[#This Row],[Cen.]]="","",IFERROR(VLOOKUP(MB25_VOLUMETRIA[[#This Row],[Cen.]],Dados_Empresas[],2,FALSE),"Verificar empresa"))</f>
        <v>NET MASSIVO</v>
      </c>
      <c r="O823" s="32" t="str">
        <f>IF(MB25_VOLUMETRIA[[#This Row],[EMPRESA]]="","",IF(OR(MB25_VOLUMETRIA[[#This Row],[EMPRESA]]="NET MASSIVO",MB25_VOLUMETRIA[[#This Row],[EMPRESA]]="NET PROJETOS"),"NET","EMPRESARIAL"))</f>
        <v>NET</v>
      </c>
    </row>
    <row r="824" spans="1:15" x14ac:dyDescent="0.25">
      <c r="A824" s="32">
        <v>4381092</v>
      </c>
      <c r="B824" s="32" t="s">
        <v>21</v>
      </c>
      <c r="C824" s="33" t="s">
        <v>19</v>
      </c>
      <c r="D824" s="35">
        <v>45447</v>
      </c>
      <c r="E824" s="32" t="s">
        <v>184</v>
      </c>
      <c r="F824" s="32">
        <v>41001276</v>
      </c>
      <c r="G824" s="32" t="s">
        <v>351</v>
      </c>
      <c r="H824" s="26" t="s">
        <v>38</v>
      </c>
      <c r="I824" s="36">
        <v>100</v>
      </c>
      <c r="J824" s="32">
        <f>IF(MB25_VOLUMETRIA[[#This Row],[Reserva]]="","",1)</f>
        <v>1</v>
      </c>
      <c r="K824" s="36" t="str">
        <f>IF(MB25_VOLUMETRIA[[#This Row],[Reserva]]="","",IFERROR(VLOOKUP(MB25_VOLUMETRIA[[#This Row],[UMB]],CHAVE[],2,FALSE),"VERIFICAR"))</f>
        <v>Unidade</v>
      </c>
      <c r="L824" s="32" t="str">
        <f>IF(MB25_VOLUMETRIA[[#This Row],[Reserva]]="","",IFERROR(VLOOKUP(MB25_VOLUMETRIA[[#This Row],[Reserva]],Tabela3[[Reserva]:[Condição para Faturamento]],20,FALSE),"IMPORTADO COM SUCESSO"))</f>
        <v>IMPORTADO</v>
      </c>
      <c r="M824" s="32" t="str">
        <f ca="1">IFERROR(VLOOKUP(MB25_VOLUMETRIA[[#This Row],[Reserva]],RES_AB[],14,FALSE),"")</f>
        <v>RESERVAS EM ATRASO</v>
      </c>
      <c r="N824" s="32" t="str">
        <f>IF(MB25_VOLUMETRIA[[#This Row],[Cen.]]="","",IFERROR(VLOOKUP(MB25_VOLUMETRIA[[#This Row],[Cen.]],Dados_Empresas[],2,FALSE),"Verificar empresa"))</f>
        <v>NET MASSIVO</v>
      </c>
      <c r="O824" s="32" t="str">
        <f>IF(MB25_VOLUMETRIA[[#This Row],[EMPRESA]]="","",IF(OR(MB25_VOLUMETRIA[[#This Row],[EMPRESA]]="NET MASSIVO",MB25_VOLUMETRIA[[#This Row],[EMPRESA]]="NET PROJETOS"),"NET","EMPRESARIAL"))</f>
        <v>NET</v>
      </c>
    </row>
    <row r="825" spans="1:15" x14ac:dyDescent="0.25">
      <c r="A825" s="32">
        <v>4381092</v>
      </c>
      <c r="B825" s="32" t="s">
        <v>21</v>
      </c>
      <c r="C825" s="33" t="s">
        <v>19</v>
      </c>
      <c r="D825" s="35">
        <v>45447</v>
      </c>
      <c r="E825" s="32" t="s">
        <v>184</v>
      </c>
      <c r="F825" s="32">
        <v>41001292</v>
      </c>
      <c r="G825" s="32" t="s">
        <v>353</v>
      </c>
      <c r="H825" s="26" t="s">
        <v>38</v>
      </c>
      <c r="I825" s="36">
        <v>160</v>
      </c>
      <c r="J825" s="32">
        <f>IF(MB25_VOLUMETRIA[[#This Row],[Reserva]]="","",1)</f>
        <v>1</v>
      </c>
      <c r="K825" s="36" t="str">
        <f>IF(MB25_VOLUMETRIA[[#This Row],[Reserva]]="","",IFERROR(VLOOKUP(MB25_VOLUMETRIA[[#This Row],[UMB]],CHAVE[],2,FALSE),"VERIFICAR"))</f>
        <v>Unidade</v>
      </c>
      <c r="L825" s="32" t="str">
        <f>IF(MB25_VOLUMETRIA[[#This Row],[Reserva]]="","",IFERROR(VLOOKUP(MB25_VOLUMETRIA[[#This Row],[Reserva]],Tabela3[[Reserva]:[Condição para Faturamento]],20,FALSE),"IMPORTADO COM SUCESSO"))</f>
        <v>IMPORTADO</v>
      </c>
      <c r="M825" s="32" t="str">
        <f ca="1">IFERROR(VLOOKUP(MB25_VOLUMETRIA[[#This Row],[Reserva]],RES_AB[],14,FALSE),"")</f>
        <v>RESERVAS EM ATRASO</v>
      </c>
      <c r="N825" s="32" t="str">
        <f>IF(MB25_VOLUMETRIA[[#This Row],[Cen.]]="","",IFERROR(VLOOKUP(MB25_VOLUMETRIA[[#This Row],[Cen.]],Dados_Empresas[],2,FALSE),"Verificar empresa"))</f>
        <v>NET MASSIVO</v>
      </c>
      <c r="O825" s="32" t="str">
        <f>IF(MB25_VOLUMETRIA[[#This Row],[EMPRESA]]="","",IF(OR(MB25_VOLUMETRIA[[#This Row],[EMPRESA]]="NET MASSIVO",MB25_VOLUMETRIA[[#This Row],[EMPRESA]]="NET PROJETOS"),"NET","EMPRESARIAL"))</f>
        <v>NET</v>
      </c>
    </row>
    <row r="826" spans="1:15" x14ac:dyDescent="0.25">
      <c r="A826" s="32">
        <v>4381094</v>
      </c>
      <c r="B826" s="32" t="s">
        <v>21</v>
      </c>
      <c r="C826" s="33" t="s">
        <v>19</v>
      </c>
      <c r="D826" s="35">
        <v>45447</v>
      </c>
      <c r="E826" s="32" t="s">
        <v>185</v>
      </c>
      <c r="F826" s="32">
        <v>22026103</v>
      </c>
      <c r="G826" s="32" t="s">
        <v>322</v>
      </c>
      <c r="H826" s="26" t="s">
        <v>38</v>
      </c>
      <c r="I826" s="36">
        <v>60</v>
      </c>
      <c r="J826" s="32">
        <f>IF(MB25_VOLUMETRIA[[#This Row],[Reserva]]="","",1)</f>
        <v>1</v>
      </c>
      <c r="K826" s="36" t="str">
        <f>IF(MB25_VOLUMETRIA[[#This Row],[Reserva]]="","",IFERROR(VLOOKUP(MB25_VOLUMETRIA[[#This Row],[UMB]],CHAVE[],2,FALSE),"VERIFICAR"))</f>
        <v>Unidade</v>
      </c>
      <c r="L826" s="32" t="str">
        <f>IF(MB25_VOLUMETRIA[[#This Row],[Reserva]]="","",IFERROR(VLOOKUP(MB25_VOLUMETRIA[[#This Row],[Reserva]],Tabela3[[Reserva]:[Condição para Faturamento]],20,FALSE),"IMPORTADO COM SUCESSO"))</f>
        <v>IMPORTADO</v>
      </c>
      <c r="M826" s="32" t="str">
        <f ca="1">IFERROR(VLOOKUP(MB25_VOLUMETRIA[[#This Row],[Reserva]],RES_AB[],14,FALSE),"")</f>
        <v>RESERVAS EM ATRASO</v>
      </c>
      <c r="N826" s="32" t="str">
        <f>IF(MB25_VOLUMETRIA[[#This Row],[Cen.]]="","",IFERROR(VLOOKUP(MB25_VOLUMETRIA[[#This Row],[Cen.]],Dados_Empresas[],2,FALSE),"Verificar empresa"))</f>
        <v>NET MASSIVO</v>
      </c>
      <c r="O826" s="32" t="str">
        <f>IF(MB25_VOLUMETRIA[[#This Row],[EMPRESA]]="","",IF(OR(MB25_VOLUMETRIA[[#This Row],[EMPRESA]]="NET MASSIVO",MB25_VOLUMETRIA[[#This Row],[EMPRESA]]="NET PROJETOS"),"NET","EMPRESARIAL"))</f>
        <v>NET</v>
      </c>
    </row>
    <row r="827" spans="1:15" x14ac:dyDescent="0.25">
      <c r="A827" s="32">
        <v>4381094</v>
      </c>
      <c r="B827" s="32" t="s">
        <v>21</v>
      </c>
      <c r="C827" s="33" t="s">
        <v>19</v>
      </c>
      <c r="D827" s="35">
        <v>45447</v>
      </c>
      <c r="E827" s="32" t="s">
        <v>185</v>
      </c>
      <c r="F827" s="32">
        <v>22026279</v>
      </c>
      <c r="G827" s="32" t="s">
        <v>350</v>
      </c>
      <c r="H827" s="26" t="s">
        <v>38</v>
      </c>
      <c r="I827" s="36">
        <v>390</v>
      </c>
      <c r="J827" s="32">
        <f>IF(MB25_VOLUMETRIA[[#This Row],[Reserva]]="","",1)</f>
        <v>1</v>
      </c>
      <c r="K827" s="36" t="str">
        <f>IF(MB25_VOLUMETRIA[[#This Row],[Reserva]]="","",IFERROR(VLOOKUP(MB25_VOLUMETRIA[[#This Row],[UMB]],CHAVE[],2,FALSE),"VERIFICAR"))</f>
        <v>Unidade</v>
      </c>
      <c r="L827" s="32" t="str">
        <f>IF(MB25_VOLUMETRIA[[#This Row],[Reserva]]="","",IFERROR(VLOOKUP(MB25_VOLUMETRIA[[#This Row],[Reserva]],Tabela3[[Reserva]:[Condição para Faturamento]],20,FALSE),"IMPORTADO COM SUCESSO"))</f>
        <v>IMPORTADO</v>
      </c>
      <c r="M827" s="32" t="str">
        <f ca="1">IFERROR(VLOOKUP(MB25_VOLUMETRIA[[#This Row],[Reserva]],RES_AB[],14,FALSE),"")</f>
        <v>RESERVAS EM ATRASO</v>
      </c>
      <c r="N827" s="32" t="str">
        <f>IF(MB25_VOLUMETRIA[[#This Row],[Cen.]]="","",IFERROR(VLOOKUP(MB25_VOLUMETRIA[[#This Row],[Cen.]],Dados_Empresas[],2,FALSE),"Verificar empresa"))</f>
        <v>NET MASSIVO</v>
      </c>
      <c r="O827" s="32" t="str">
        <f>IF(MB25_VOLUMETRIA[[#This Row],[EMPRESA]]="","",IF(OR(MB25_VOLUMETRIA[[#This Row],[EMPRESA]]="NET MASSIVO",MB25_VOLUMETRIA[[#This Row],[EMPRESA]]="NET PROJETOS"),"NET","EMPRESARIAL"))</f>
        <v>NET</v>
      </c>
    </row>
    <row r="828" spans="1:15" x14ac:dyDescent="0.25">
      <c r="A828" s="32">
        <v>4381094</v>
      </c>
      <c r="B828" s="32" t="s">
        <v>21</v>
      </c>
      <c r="C828" s="33" t="s">
        <v>19</v>
      </c>
      <c r="D828" s="35">
        <v>45447</v>
      </c>
      <c r="E828" s="32" t="s">
        <v>185</v>
      </c>
      <c r="F828" s="32">
        <v>22026293</v>
      </c>
      <c r="G828" s="32" t="s">
        <v>352</v>
      </c>
      <c r="H828" s="26" t="s">
        <v>38</v>
      </c>
      <c r="I828" s="36">
        <v>100</v>
      </c>
      <c r="J828" s="32">
        <f>IF(MB25_VOLUMETRIA[[#This Row],[Reserva]]="","",1)</f>
        <v>1</v>
      </c>
      <c r="K828" s="36" t="str">
        <f>IF(MB25_VOLUMETRIA[[#This Row],[Reserva]]="","",IFERROR(VLOOKUP(MB25_VOLUMETRIA[[#This Row],[UMB]],CHAVE[],2,FALSE),"VERIFICAR"))</f>
        <v>Unidade</v>
      </c>
      <c r="L828" s="32" t="str">
        <f>IF(MB25_VOLUMETRIA[[#This Row],[Reserva]]="","",IFERROR(VLOOKUP(MB25_VOLUMETRIA[[#This Row],[Reserva]],Tabela3[[Reserva]:[Condição para Faturamento]],20,FALSE),"IMPORTADO COM SUCESSO"))</f>
        <v>IMPORTADO</v>
      </c>
      <c r="M828" s="32" t="str">
        <f ca="1">IFERROR(VLOOKUP(MB25_VOLUMETRIA[[#This Row],[Reserva]],RES_AB[],14,FALSE),"")</f>
        <v>RESERVAS EM ATRASO</v>
      </c>
      <c r="N828" s="32" t="str">
        <f>IF(MB25_VOLUMETRIA[[#This Row],[Cen.]]="","",IFERROR(VLOOKUP(MB25_VOLUMETRIA[[#This Row],[Cen.]],Dados_Empresas[],2,FALSE),"Verificar empresa"))</f>
        <v>NET MASSIVO</v>
      </c>
      <c r="O828" s="32" t="str">
        <f>IF(MB25_VOLUMETRIA[[#This Row],[EMPRESA]]="","",IF(OR(MB25_VOLUMETRIA[[#This Row],[EMPRESA]]="NET MASSIVO",MB25_VOLUMETRIA[[#This Row],[EMPRESA]]="NET PROJETOS"),"NET","EMPRESARIAL"))</f>
        <v>NET</v>
      </c>
    </row>
    <row r="829" spans="1:15" x14ac:dyDescent="0.25">
      <c r="A829" s="32">
        <v>4381094</v>
      </c>
      <c r="B829" s="32" t="s">
        <v>21</v>
      </c>
      <c r="C829" s="33" t="s">
        <v>19</v>
      </c>
      <c r="D829" s="35">
        <v>45447</v>
      </c>
      <c r="E829" s="32" t="s">
        <v>185</v>
      </c>
      <c r="F829" s="32">
        <v>22058639</v>
      </c>
      <c r="G829" s="32" t="s">
        <v>290</v>
      </c>
      <c r="H829" s="26" t="s">
        <v>38</v>
      </c>
      <c r="I829" s="36">
        <v>60</v>
      </c>
      <c r="J829" s="32">
        <f>IF(MB25_VOLUMETRIA[[#This Row],[Reserva]]="","",1)</f>
        <v>1</v>
      </c>
      <c r="K829" s="36" t="str">
        <f>IF(MB25_VOLUMETRIA[[#This Row],[Reserva]]="","",IFERROR(VLOOKUP(MB25_VOLUMETRIA[[#This Row],[UMB]],CHAVE[],2,FALSE),"VERIFICAR"))</f>
        <v>Unidade</v>
      </c>
      <c r="L829" s="32" t="str">
        <f>IF(MB25_VOLUMETRIA[[#This Row],[Reserva]]="","",IFERROR(VLOOKUP(MB25_VOLUMETRIA[[#This Row],[Reserva]],Tabela3[[Reserva]:[Condição para Faturamento]],20,FALSE),"IMPORTADO COM SUCESSO"))</f>
        <v>IMPORTADO</v>
      </c>
      <c r="M829" s="32" t="str">
        <f ca="1">IFERROR(VLOOKUP(MB25_VOLUMETRIA[[#This Row],[Reserva]],RES_AB[],14,FALSE),"")</f>
        <v>RESERVAS EM ATRASO</v>
      </c>
      <c r="N829" s="32" t="str">
        <f>IF(MB25_VOLUMETRIA[[#This Row],[Cen.]]="","",IFERROR(VLOOKUP(MB25_VOLUMETRIA[[#This Row],[Cen.]],Dados_Empresas[],2,FALSE),"Verificar empresa"))</f>
        <v>NET MASSIVO</v>
      </c>
      <c r="O829" s="32" t="str">
        <f>IF(MB25_VOLUMETRIA[[#This Row],[EMPRESA]]="","",IF(OR(MB25_VOLUMETRIA[[#This Row],[EMPRESA]]="NET MASSIVO",MB25_VOLUMETRIA[[#This Row],[EMPRESA]]="NET PROJETOS"),"NET","EMPRESARIAL"))</f>
        <v>NET</v>
      </c>
    </row>
    <row r="830" spans="1:15" x14ac:dyDescent="0.25">
      <c r="A830" s="32">
        <v>4381094</v>
      </c>
      <c r="B830" s="32" t="s">
        <v>21</v>
      </c>
      <c r="C830" s="33" t="s">
        <v>21</v>
      </c>
      <c r="D830" s="35">
        <v>45447</v>
      </c>
      <c r="E830" s="32" t="s">
        <v>185</v>
      </c>
      <c r="F830" s="32">
        <v>22060422</v>
      </c>
      <c r="G830" s="32" t="s">
        <v>298</v>
      </c>
      <c r="H830" s="26" t="s">
        <v>38</v>
      </c>
      <c r="I830" s="36">
        <v>390</v>
      </c>
      <c r="J830" s="32">
        <f>IF(MB25_VOLUMETRIA[[#This Row],[Reserva]]="","",1)</f>
        <v>1</v>
      </c>
      <c r="K830" s="36" t="str">
        <f>IF(MB25_VOLUMETRIA[[#This Row],[Reserva]]="","",IFERROR(VLOOKUP(MB25_VOLUMETRIA[[#This Row],[UMB]],CHAVE[],2,FALSE),"VERIFICAR"))</f>
        <v>Unidade</v>
      </c>
      <c r="L830" s="32" t="str">
        <f>IF(MB25_VOLUMETRIA[[#This Row],[Reserva]]="","",IFERROR(VLOOKUP(MB25_VOLUMETRIA[[#This Row],[Reserva]],Tabela3[[Reserva]:[Condição para Faturamento]],20,FALSE),"IMPORTADO COM SUCESSO"))</f>
        <v>IMPORTADO</v>
      </c>
      <c r="M830" s="32" t="str">
        <f ca="1">IFERROR(VLOOKUP(MB25_VOLUMETRIA[[#This Row],[Reserva]],RES_AB[],14,FALSE),"")</f>
        <v>RESERVAS EM ATRASO</v>
      </c>
      <c r="N830" s="32" t="str">
        <f>IF(MB25_VOLUMETRIA[[#This Row],[Cen.]]="","",IFERROR(VLOOKUP(MB25_VOLUMETRIA[[#This Row],[Cen.]],Dados_Empresas[],2,FALSE),"Verificar empresa"))</f>
        <v>NET MASSIVO</v>
      </c>
      <c r="O830" s="32" t="str">
        <f>IF(MB25_VOLUMETRIA[[#This Row],[EMPRESA]]="","",IF(OR(MB25_VOLUMETRIA[[#This Row],[EMPRESA]]="NET MASSIVO",MB25_VOLUMETRIA[[#This Row],[EMPRESA]]="NET PROJETOS"),"NET","EMPRESARIAL"))</f>
        <v>NET</v>
      </c>
    </row>
    <row r="831" spans="1:15" x14ac:dyDescent="0.25">
      <c r="A831" s="32">
        <v>4381094</v>
      </c>
      <c r="B831" s="32" t="s">
        <v>21</v>
      </c>
      <c r="C831" s="33" t="s">
        <v>21</v>
      </c>
      <c r="D831" s="35">
        <v>45447</v>
      </c>
      <c r="E831" s="32" t="s">
        <v>185</v>
      </c>
      <c r="F831" s="32">
        <v>22064554</v>
      </c>
      <c r="G831" s="32" t="s">
        <v>357</v>
      </c>
      <c r="H831" s="26" t="s">
        <v>38</v>
      </c>
      <c r="I831" s="36">
        <v>60</v>
      </c>
      <c r="J831" s="32">
        <f>IF(MB25_VOLUMETRIA[[#This Row],[Reserva]]="","",1)</f>
        <v>1</v>
      </c>
      <c r="K831" s="36" t="str">
        <f>IF(MB25_VOLUMETRIA[[#This Row],[Reserva]]="","",IFERROR(VLOOKUP(MB25_VOLUMETRIA[[#This Row],[UMB]],CHAVE[],2,FALSE),"VERIFICAR"))</f>
        <v>Unidade</v>
      </c>
      <c r="L831" s="32" t="str">
        <f>IF(MB25_VOLUMETRIA[[#This Row],[Reserva]]="","",IFERROR(VLOOKUP(MB25_VOLUMETRIA[[#This Row],[Reserva]],Tabela3[[Reserva]:[Condição para Faturamento]],20,FALSE),"IMPORTADO COM SUCESSO"))</f>
        <v>IMPORTADO</v>
      </c>
      <c r="M831" s="32" t="str">
        <f ca="1">IFERROR(VLOOKUP(MB25_VOLUMETRIA[[#This Row],[Reserva]],RES_AB[],14,FALSE),"")</f>
        <v>RESERVAS EM ATRASO</v>
      </c>
      <c r="N831" s="32" t="str">
        <f>IF(MB25_VOLUMETRIA[[#This Row],[Cen.]]="","",IFERROR(VLOOKUP(MB25_VOLUMETRIA[[#This Row],[Cen.]],Dados_Empresas[],2,FALSE),"Verificar empresa"))</f>
        <v>NET MASSIVO</v>
      </c>
      <c r="O831" s="32" t="str">
        <f>IF(MB25_VOLUMETRIA[[#This Row],[EMPRESA]]="","",IF(OR(MB25_VOLUMETRIA[[#This Row],[EMPRESA]]="NET MASSIVO",MB25_VOLUMETRIA[[#This Row],[EMPRESA]]="NET PROJETOS"),"NET","EMPRESARIAL"))</f>
        <v>NET</v>
      </c>
    </row>
    <row r="832" spans="1:15" x14ac:dyDescent="0.25">
      <c r="A832" s="32">
        <v>4381095</v>
      </c>
      <c r="B832" s="32" t="s">
        <v>21</v>
      </c>
      <c r="C832" s="33" t="s">
        <v>19</v>
      </c>
      <c r="D832" s="35">
        <v>45447</v>
      </c>
      <c r="E832" s="32" t="s">
        <v>184</v>
      </c>
      <c r="F832" s="32">
        <v>41000805</v>
      </c>
      <c r="G832" s="32" t="s">
        <v>188</v>
      </c>
      <c r="H832" s="26" t="s">
        <v>38</v>
      </c>
      <c r="I832" s="36">
        <v>60</v>
      </c>
      <c r="J832" s="32">
        <f>IF(MB25_VOLUMETRIA[[#This Row],[Reserva]]="","",1)</f>
        <v>1</v>
      </c>
      <c r="K832" s="36" t="str">
        <f>IF(MB25_VOLUMETRIA[[#This Row],[Reserva]]="","",IFERROR(VLOOKUP(MB25_VOLUMETRIA[[#This Row],[UMB]],CHAVE[],2,FALSE),"VERIFICAR"))</f>
        <v>Unidade</v>
      </c>
      <c r="L832" s="32" t="str">
        <f>IF(MB25_VOLUMETRIA[[#This Row],[Reserva]]="","",IFERROR(VLOOKUP(MB25_VOLUMETRIA[[#This Row],[Reserva]],Tabela3[[Reserva]:[Condição para Faturamento]],20,FALSE),"IMPORTADO COM SUCESSO"))</f>
        <v>IMPORTADO</v>
      </c>
      <c r="M832" s="32" t="str">
        <f ca="1">IFERROR(VLOOKUP(MB25_VOLUMETRIA[[#This Row],[Reserva]],RES_AB[],14,FALSE),"")</f>
        <v>RESERVAS EM ATRASO</v>
      </c>
      <c r="N832" s="32" t="str">
        <f>IF(MB25_VOLUMETRIA[[#This Row],[Cen.]]="","",IFERROR(VLOOKUP(MB25_VOLUMETRIA[[#This Row],[Cen.]],Dados_Empresas[],2,FALSE),"Verificar empresa"))</f>
        <v>NET MASSIVO</v>
      </c>
      <c r="O832" s="32" t="str">
        <f>IF(MB25_VOLUMETRIA[[#This Row],[EMPRESA]]="","",IF(OR(MB25_VOLUMETRIA[[#This Row],[EMPRESA]]="NET MASSIVO",MB25_VOLUMETRIA[[#This Row],[EMPRESA]]="NET PROJETOS"),"NET","EMPRESARIAL"))</f>
        <v>NET</v>
      </c>
    </row>
    <row r="833" spans="1:15" x14ac:dyDescent="0.25">
      <c r="A833" s="32">
        <v>4381095</v>
      </c>
      <c r="B833" s="32" t="s">
        <v>21</v>
      </c>
      <c r="C833" s="33" t="s">
        <v>19</v>
      </c>
      <c r="D833" s="35">
        <v>45447</v>
      </c>
      <c r="E833" s="32" t="s">
        <v>184</v>
      </c>
      <c r="F833" s="32">
        <v>41001068</v>
      </c>
      <c r="G833" s="32" t="s">
        <v>252</v>
      </c>
      <c r="H833" s="26" t="s">
        <v>38</v>
      </c>
      <c r="I833" s="36">
        <v>60</v>
      </c>
      <c r="J833" s="32">
        <f>IF(MB25_VOLUMETRIA[[#This Row],[Reserva]]="","",1)</f>
        <v>1</v>
      </c>
      <c r="K833" s="36" t="str">
        <f>IF(MB25_VOLUMETRIA[[#This Row],[Reserva]]="","",IFERROR(VLOOKUP(MB25_VOLUMETRIA[[#This Row],[UMB]],CHAVE[],2,FALSE),"VERIFICAR"))</f>
        <v>Unidade</v>
      </c>
      <c r="L833" s="32" t="str">
        <f>IF(MB25_VOLUMETRIA[[#This Row],[Reserva]]="","",IFERROR(VLOOKUP(MB25_VOLUMETRIA[[#This Row],[Reserva]],Tabela3[[Reserva]:[Condição para Faturamento]],20,FALSE),"IMPORTADO COM SUCESSO"))</f>
        <v>IMPORTADO</v>
      </c>
      <c r="M833" s="32" t="str">
        <f ca="1">IFERROR(VLOOKUP(MB25_VOLUMETRIA[[#This Row],[Reserva]],RES_AB[],14,FALSE),"")</f>
        <v>RESERVAS EM ATRASO</v>
      </c>
      <c r="N833" s="32" t="str">
        <f>IF(MB25_VOLUMETRIA[[#This Row],[Cen.]]="","",IFERROR(VLOOKUP(MB25_VOLUMETRIA[[#This Row],[Cen.]],Dados_Empresas[],2,FALSE),"Verificar empresa"))</f>
        <v>NET MASSIVO</v>
      </c>
      <c r="O833" s="32" t="str">
        <f>IF(MB25_VOLUMETRIA[[#This Row],[EMPRESA]]="","",IF(OR(MB25_VOLUMETRIA[[#This Row],[EMPRESA]]="NET MASSIVO",MB25_VOLUMETRIA[[#This Row],[EMPRESA]]="NET PROJETOS"),"NET","EMPRESARIAL"))</f>
        <v>NET</v>
      </c>
    </row>
    <row r="834" spans="1:15" x14ac:dyDescent="0.25">
      <c r="A834" s="32">
        <v>4381095</v>
      </c>
      <c r="B834" s="32" t="s">
        <v>21</v>
      </c>
      <c r="C834" s="33" t="s">
        <v>19</v>
      </c>
      <c r="D834" s="35">
        <v>45447</v>
      </c>
      <c r="E834" s="32" t="s">
        <v>184</v>
      </c>
      <c r="F834" s="32">
        <v>41001234</v>
      </c>
      <c r="G834" s="32" t="s">
        <v>189</v>
      </c>
      <c r="H834" s="26" t="s">
        <v>38</v>
      </c>
      <c r="I834" s="36">
        <v>390</v>
      </c>
      <c r="J834" s="32">
        <f>IF(MB25_VOLUMETRIA[[#This Row],[Reserva]]="","",1)</f>
        <v>1</v>
      </c>
      <c r="K834" s="36" t="str">
        <f>IF(MB25_VOLUMETRIA[[#This Row],[Reserva]]="","",IFERROR(VLOOKUP(MB25_VOLUMETRIA[[#This Row],[UMB]],CHAVE[],2,FALSE),"VERIFICAR"))</f>
        <v>Unidade</v>
      </c>
      <c r="L834" s="32" t="str">
        <f>IF(MB25_VOLUMETRIA[[#This Row],[Reserva]]="","",IFERROR(VLOOKUP(MB25_VOLUMETRIA[[#This Row],[Reserva]],Tabela3[[Reserva]:[Condição para Faturamento]],20,FALSE),"IMPORTADO COM SUCESSO"))</f>
        <v>IMPORTADO</v>
      </c>
      <c r="M834" s="32" t="str">
        <f ca="1">IFERROR(VLOOKUP(MB25_VOLUMETRIA[[#This Row],[Reserva]],RES_AB[],14,FALSE),"")</f>
        <v>RESERVAS EM ATRASO</v>
      </c>
      <c r="N834" s="32" t="str">
        <f>IF(MB25_VOLUMETRIA[[#This Row],[Cen.]]="","",IFERROR(VLOOKUP(MB25_VOLUMETRIA[[#This Row],[Cen.]],Dados_Empresas[],2,FALSE),"Verificar empresa"))</f>
        <v>NET MASSIVO</v>
      </c>
      <c r="O834" s="32" t="str">
        <f>IF(MB25_VOLUMETRIA[[#This Row],[EMPRESA]]="","",IF(OR(MB25_VOLUMETRIA[[#This Row],[EMPRESA]]="NET MASSIVO",MB25_VOLUMETRIA[[#This Row],[EMPRESA]]="NET PROJETOS"),"NET","EMPRESARIAL"))</f>
        <v>NET</v>
      </c>
    </row>
    <row r="835" spans="1:15" x14ac:dyDescent="0.25">
      <c r="A835" s="32">
        <v>4381095</v>
      </c>
      <c r="B835" s="32" t="s">
        <v>21</v>
      </c>
      <c r="C835" s="33" t="s">
        <v>19</v>
      </c>
      <c r="D835" s="35">
        <v>45447</v>
      </c>
      <c r="E835" s="32" t="s">
        <v>184</v>
      </c>
      <c r="F835" s="32">
        <v>41001276</v>
      </c>
      <c r="G835" s="32" t="s">
        <v>351</v>
      </c>
      <c r="H835" s="26" t="s">
        <v>38</v>
      </c>
      <c r="I835" s="36">
        <v>390</v>
      </c>
      <c r="J835" s="32">
        <f>IF(MB25_VOLUMETRIA[[#This Row],[Reserva]]="","",1)</f>
        <v>1</v>
      </c>
      <c r="K835" s="36" t="str">
        <f>IF(MB25_VOLUMETRIA[[#This Row],[Reserva]]="","",IFERROR(VLOOKUP(MB25_VOLUMETRIA[[#This Row],[UMB]],CHAVE[],2,FALSE),"VERIFICAR"))</f>
        <v>Unidade</v>
      </c>
      <c r="L835" s="32" t="str">
        <f>IF(MB25_VOLUMETRIA[[#This Row],[Reserva]]="","",IFERROR(VLOOKUP(MB25_VOLUMETRIA[[#This Row],[Reserva]],Tabela3[[Reserva]:[Condição para Faturamento]],20,FALSE),"IMPORTADO COM SUCESSO"))</f>
        <v>IMPORTADO</v>
      </c>
      <c r="M835" s="32" t="str">
        <f ca="1">IFERROR(VLOOKUP(MB25_VOLUMETRIA[[#This Row],[Reserva]],RES_AB[],14,FALSE),"")</f>
        <v>RESERVAS EM ATRASO</v>
      </c>
      <c r="N835" s="32" t="str">
        <f>IF(MB25_VOLUMETRIA[[#This Row],[Cen.]]="","",IFERROR(VLOOKUP(MB25_VOLUMETRIA[[#This Row],[Cen.]],Dados_Empresas[],2,FALSE),"Verificar empresa"))</f>
        <v>NET MASSIVO</v>
      </c>
      <c r="O835" s="32" t="str">
        <f>IF(MB25_VOLUMETRIA[[#This Row],[EMPRESA]]="","",IF(OR(MB25_VOLUMETRIA[[#This Row],[EMPRESA]]="NET MASSIVO",MB25_VOLUMETRIA[[#This Row],[EMPRESA]]="NET PROJETOS"),"NET","EMPRESARIAL"))</f>
        <v>NET</v>
      </c>
    </row>
    <row r="836" spans="1:15" x14ac:dyDescent="0.25">
      <c r="A836" s="32">
        <v>4381095</v>
      </c>
      <c r="B836" s="32" t="s">
        <v>21</v>
      </c>
      <c r="C836" s="33" t="s">
        <v>19</v>
      </c>
      <c r="D836" s="35">
        <v>45447</v>
      </c>
      <c r="E836" s="32" t="s">
        <v>184</v>
      </c>
      <c r="F836" s="32">
        <v>41001292</v>
      </c>
      <c r="G836" s="32" t="s">
        <v>353</v>
      </c>
      <c r="H836" s="26" t="s">
        <v>38</v>
      </c>
      <c r="I836" s="36">
        <v>100</v>
      </c>
      <c r="J836" s="32">
        <f>IF(MB25_VOLUMETRIA[[#This Row],[Reserva]]="","",1)</f>
        <v>1</v>
      </c>
      <c r="K836" s="36" t="str">
        <f>IF(MB25_VOLUMETRIA[[#This Row],[Reserva]]="","",IFERROR(VLOOKUP(MB25_VOLUMETRIA[[#This Row],[UMB]],CHAVE[],2,FALSE),"VERIFICAR"))</f>
        <v>Unidade</v>
      </c>
      <c r="L836" s="32" t="str">
        <f>IF(MB25_VOLUMETRIA[[#This Row],[Reserva]]="","",IFERROR(VLOOKUP(MB25_VOLUMETRIA[[#This Row],[Reserva]],Tabela3[[Reserva]:[Condição para Faturamento]],20,FALSE),"IMPORTADO COM SUCESSO"))</f>
        <v>IMPORTADO</v>
      </c>
      <c r="M836" s="32" t="str">
        <f ca="1">IFERROR(VLOOKUP(MB25_VOLUMETRIA[[#This Row],[Reserva]],RES_AB[],14,FALSE),"")</f>
        <v>RESERVAS EM ATRASO</v>
      </c>
      <c r="N836" s="32" t="str">
        <f>IF(MB25_VOLUMETRIA[[#This Row],[Cen.]]="","",IFERROR(VLOOKUP(MB25_VOLUMETRIA[[#This Row],[Cen.]],Dados_Empresas[],2,FALSE),"Verificar empresa"))</f>
        <v>NET MASSIVO</v>
      </c>
      <c r="O836" s="32" t="str">
        <f>IF(MB25_VOLUMETRIA[[#This Row],[EMPRESA]]="","",IF(OR(MB25_VOLUMETRIA[[#This Row],[EMPRESA]]="NET MASSIVO",MB25_VOLUMETRIA[[#This Row],[EMPRESA]]="NET PROJETOS"),"NET","EMPRESARIAL"))</f>
        <v>NET</v>
      </c>
    </row>
    <row r="837" spans="1:15" x14ac:dyDescent="0.25">
      <c r="A837" s="32">
        <v>4381100</v>
      </c>
      <c r="B837" s="32" t="s">
        <v>21</v>
      </c>
      <c r="C837" s="33" t="s">
        <v>21</v>
      </c>
      <c r="D837" s="35">
        <v>45447</v>
      </c>
      <c r="E837" s="32" t="s">
        <v>184</v>
      </c>
      <c r="F837" s="32">
        <v>41001590</v>
      </c>
      <c r="G837" s="32" t="s">
        <v>239</v>
      </c>
      <c r="H837" s="26" t="s">
        <v>38</v>
      </c>
      <c r="I837" s="36">
        <v>410</v>
      </c>
      <c r="J837" s="32">
        <f>IF(MB25_VOLUMETRIA[[#This Row],[Reserva]]="","",1)</f>
        <v>1</v>
      </c>
      <c r="K837" s="36" t="str">
        <f>IF(MB25_VOLUMETRIA[[#This Row],[Reserva]]="","",IFERROR(VLOOKUP(MB25_VOLUMETRIA[[#This Row],[UMB]],CHAVE[],2,FALSE),"VERIFICAR"))</f>
        <v>Unidade</v>
      </c>
      <c r="L837" s="32" t="str">
        <f>IF(MB25_VOLUMETRIA[[#This Row],[Reserva]]="","",IFERROR(VLOOKUP(MB25_VOLUMETRIA[[#This Row],[Reserva]],Tabela3[[Reserva]:[Condição para Faturamento]],20,FALSE),"IMPORTADO COM SUCESSO"))</f>
        <v>IMPORTADO</v>
      </c>
      <c r="M837" s="32" t="str">
        <f ca="1">IFERROR(VLOOKUP(MB25_VOLUMETRIA[[#This Row],[Reserva]],RES_AB[],14,FALSE),"")</f>
        <v>RESERVAS EM ATRASO</v>
      </c>
      <c r="N837" s="32" t="str">
        <f>IF(MB25_VOLUMETRIA[[#This Row],[Cen.]]="","",IFERROR(VLOOKUP(MB25_VOLUMETRIA[[#This Row],[Cen.]],Dados_Empresas[],2,FALSE),"Verificar empresa"))</f>
        <v>NET MASSIVO</v>
      </c>
      <c r="O837" s="32" t="str">
        <f>IF(MB25_VOLUMETRIA[[#This Row],[EMPRESA]]="","",IF(OR(MB25_VOLUMETRIA[[#This Row],[EMPRESA]]="NET MASSIVO",MB25_VOLUMETRIA[[#This Row],[EMPRESA]]="NET PROJETOS"),"NET","EMPRESARIAL"))</f>
        <v>NET</v>
      </c>
    </row>
    <row r="838" spans="1:15" x14ac:dyDescent="0.25">
      <c r="A838" s="32">
        <v>4381101</v>
      </c>
      <c r="B838" s="32" t="s">
        <v>21</v>
      </c>
      <c r="C838" s="33" t="s">
        <v>19</v>
      </c>
      <c r="D838" s="35">
        <v>45447</v>
      </c>
      <c r="E838" s="32" t="s">
        <v>185</v>
      </c>
      <c r="F838" s="32">
        <v>22026279</v>
      </c>
      <c r="G838" s="32" t="s">
        <v>350</v>
      </c>
      <c r="H838" s="26" t="s">
        <v>38</v>
      </c>
      <c r="I838" s="36">
        <v>30</v>
      </c>
      <c r="J838" s="32">
        <f>IF(MB25_VOLUMETRIA[[#This Row],[Reserva]]="","",1)</f>
        <v>1</v>
      </c>
      <c r="K838" s="36" t="str">
        <f>IF(MB25_VOLUMETRIA[[#This Row],[Reserva]]="","",IFERROR(VLOOKUP(MB25_VOLUMETRIA[[#This Row],[UMB]],CHAVE[],2,FALSE),"VERIFICAR"))</f>
        <v>Unidade</v>
      </c>
      <c r="L838" s="32" t="str">
        <f>IF(MB25_VOLUMETRIA[[#This Row],[Reserva]]="","",IFERROR(VLOOKUP(MB25_VOLUMETRIA[[#This Row],[Reserva]],Tabela3[[Reserva]:[Condição para Faturamento]],20,FALSE),"IMPORTADO COM SUCESSO"))</f>
        <v>EM RESSUPRIMENTO</v>
      </c>
      <c r="M838" s="32" t="str">
        <f ca="1">IFERROR(VLOOKUP(MB25_VOLUMETRIA[[#This Row],[Reserva]],RES_AB[],14,FALSE),"")</f>
        <v>RESERVAS EM ATRASO</v>
      </c>
      <c r="N838" s="32" t="str">
        <f>IF(MB25_VOLUMETRIA[[#This Row],[Cen.]]="","",IFERROR(VLOOKUP(MB25_VOLUMETRIA[[#This Row],[Cen.]],Dados_Empresas[],2,FALSE),"Verificar empresa"))</f>
        <v>NET MASSIVO</v>
      </c>
      <c r="O838" s="32" t="str">
        <f>IF(MB25_VOLUMETRIA[[#This Row],[EMPRESA]]="","",IF(OR(MB25_VOLUMETRIA[[#This Row],[EMPRESA]]="NET MASSIVO",MB25_VOLUMETRIA[[#This Row],[EMPRESA]]="NET PROJETOS"),"NET","EMPRESARIAL"))</f>
        <v>NET</v>
      </c>
    </row>
    <row r="839" spans="1:15" x14ac:dyDescent="0.25">
      <c r="A839" s="32">
        <v>4381101</v>
      </c>
      <c r="B839" s="32" t="s">
        <v>21</v>
      </c>
      <c r="C839" s="33" t="s">
        <v>19</v>
      </c>
      <c r="D839" s="35">
        <v>45447</v>
      </c>
      <c r="E839" s="32" t="s">
        <v>185</v>
      </c>
      <c r="F839" s="32">
        <v>22026293</v>
      </c>
      <c r="G839" s="32" t="s">
        <v>352</v>
      </c>
      <c r="H839" s="26" t="s">
        <v>38</v>
      </c>
      <c r="I839" s="36">
        <v>50</v>
      </c>
      <c r="J839" s="32">
        <f>IF(MB25_VOLUMETRIA[[#This Row],[Reserva]]="","",1)</f>
        <v>1</v>
      </c>
      <c r="K839" s="36" t="str">
        <f>IF(MB25_VOLUMETRIA[[#This Row],[Reserva]]="","",IFERROR(VLOOKUP(MB25_VOLUMETRIA[[#This Row],[UMB]],CHAVE[],2,FALSE),"VERIFICAR"))</f>
        <v>Unidade</v>
      </c>
      <c r="L839" s="32" t="str">
        <f>IF(MB25_VOLUMETRIA[[#This Row],[Reserva]]="","",IFERROR(VLOOKUP(MB25_VOLUMETRIA[[#This Row],[Reserva]],Tabela3[[Reserva]:[Condição para Faturamento]],20,FALSE),"IMPORTADO COM SUCESSO"))</f>
        <v>EM RESSUPRIMENTO</v>
      </c>
      <c r="M839" s="32" t="str">
        <f ca="1">IFERROR(VLOOKUP(MB25_VOLUMETRIA[[#This Row],[Reserva]],RES_AB[],14,FALSE),"")</f>
        <v>RESERVAS EM ATRASO</v>
      </c>
      <c r="N839" s="32" t="str">
        <f>IF(MB25_VOLUMETRIA[[#This Row],[Cen.]]="","",IFERROR(VLOOKUP(MB25_VOLUMETRIA[[#This Row],[Cen.]],Dados_Empresas[],2,FALSE),"Verificar empresa"))</f>
        <v>NET MASSIVO</v>
      </c>
      <c r="O839" s="32" t="str">
        <f>IF(MB25_VOLUMETRIA[[#This Row],[EMPRESA]]="","",IF(OR(MB25_VOLUMETRIA[[#This Row],[EMPRESA]]="NET MASSIVO",MB25_VOLUMETRIA[[#This Row],[EMPRESA]]="NET PROJETOS"),"NET","EMPRESARIAL"))</f>
        <v>NET</v>
      </c>
    </row>
    <row r="840" spans="1:15" x14ac:dyDescent="0.25">
      <c r="A840" s="32">
        <v>4381101</v>
      </c>
      <c r="B840" s="32" t="s">
        <v>21</v>
      </c>
      <c r="C840" s="33" t="s">
        <v>21</v>
      </c>
      <c r="D840" s="35">
        <v>45447</v>
      </c>
      <c r="E840" s="32" t="s">
        <v>185</v>
      </c>
      <c r="F840" s="32">
        <v>22060422</v>
      </c>
      <c r="G840" s="32" t="s">
        <v>298</v>
      </c>
      <c r="H840" s="26" t="s">
        <v>38</v>
      </c>
      <c r="I840" s="36">
        <v>30</v>
      </c>
      <c r="J840" s="32">
        <f>IF(MB25_VOLUMETRIA[[#This Row],[Reserva]]="","",1)</f>
        <v>1</v>
      </c>
      <c r="K840" s="36" t="str">
        <f>IF(MB25_VOLUMETRIA[[#This Row],[Reserva]]="","",IFERROR(VLOOKUP(MB25_VOLUMETRIA[[#This Row],[UMB]],CHAVE[],2,FALSE),"VERIFICAR"))</f>
        <v>Unidade</v>
      </c>
      <c r="L840" s="32" t="str">
        <f>IF(MB25_VOLUMETRIA[[#This Row],[Reserva]]="","",IFERROR(VLOOKUP(MB25_VOLUMETRIA[[#This Row],[Reserva]],Tabela3[[Reserva]:[Condição para Faturamento]],20,FALSE),"IMPORTADO COM SUCESSO"))</f>
        <v>EM RESSUPRIMENTO</v>
      </c>
      <c r="M840" s="32" t="str">
        <f ca="1">IFERROR(VLOOKUP(MB25_VOLUMETRIA[[#This Row],[Reserva]],RES_AB[],14,FALSE),"")</f>
        <v>RESERVAS EM ATRASO</v>
      </c>
      <c r="N840" s="32" t="str">
        <f>IF(MB25_VOLUMETRIA[[#This Row],[Cen.]]="","",IFERROR(VLOOKUP(MB25_VOLUMETRIA[[#This Row],[Cen.]],Dados_Empresas[],2,FALSE),"Verificar empresa"))</f>
        <v>NET MASSIVO</v>
      </c>
      <c r="O840" s="32" t="str">
        <f>IF(MB25_VOLUMETRIA[[#This Row],[EMPRESA]]="","",IF(OR(MB25_VOLUMETRIA[[#This Row],[EMPRESA]]="NET MASSIVO",MB25_VOLUMETRIA[[#This Row],[EMPRESA]]="NET PROJETOS"),"NET","EMPRESARIAL"))</f>
        <v>NET</v>
      </c>
    </row>
    <row r="841" spans="1:15" x14ac:dyDescent="0.25">
      <c r="A841" s="32">
        <v>4381102</v>
      </c>
      <c r="B841" s="32" t="s">
        <v>21</v>
      </c>
      <c r="C841" s="33" t="s">
        <v>19</v>
      </c>
      <c r="D841" s="35">
        <v>45447</v>
      </c>
      <c r="E841" s="32" t="s">
        <v>184</v>
      </c>
      <c r="F841" s="32">
        <v>41001234</v>
      </c>
      <c r="G841" s="32" t="s">
        <v>189</v>
      </c>
      <c r="H841" s="26" t="s">
        <v>38</v>
      </c>
      <c r="I841" s="36">
        <v>30</v>
      </c>
      <c r="J841" s="32">
        <f>IF(MB25_VOLUMETRIA[[#This Row],[Reserva]]="","",1)</f>
        <v>1</v>
      </c>
      <c r="K841" s="36" t="str">
        <f>IF(MB25_VOLUMETRIA[[#This Row],[Reserva]]="","",IFERROR(VLOOKUP(MB25_VOLUMETRIA[[#This Row],[UMB]],CHAVE[],2,FALSE),"VERIFICAR"))</f>
        <v>Unidade</v>
      </c>
      <c r="L841" s="32" t="str">
        <f>IF(MB25_VOLUMETRIA[[#This Row],[Reserva]]="","",IFERROR(VLOOKUP(MB25_VOLUMETRIA[[#This Row],[Reserva]],Tabela3[[Reserva]:[Condição para Faturamento]],20,FALSE),"IMPORTADO COM SUCESSO"))</f>
        <v>IMPORTADO</v>
      </c>
      <c r="M841" s="32" t="str">
        <f ca="1">IFERROR(VLOOKUP(MB25_VOLUMETRIA[[#This Row],[Reserva]],RES_AB[],14,FALSE),"")</f>
        <v>RESERVAS EM ATRASO</v>
      </c>
      <c r="N841" s="32" t="str">
        <f>IF(MB25_VOLUMETRIA[[#This Row],[Cen.]]="","",IFERROR(VLOOKUP(MB25_VOLUMETRIA[[#This Row],[Cen.]],Dados_Empresas[],2,FALSE),"Verificar empresa"))</f>
        <v>NET MASSIVO</v>
      </c>
      <c r="O841" s="32" t="str">
        <f>IF(MB25_VOLUMETRIA[[#This Row],[EMPRESA]]="","",IF(OR(MB25_VOLUMETRIA[[#This Row],[EMPRESA]]="NET MASSIVO",MB25_VOLUMETRIA[[#This Row],[EMPRESA]]="NET PROJETOS"),"NET","EMPRESARIAL"))</f>
        <v>NET</v>
      </c>
    </row>
    <row r="842" spans="1:15" x14ac:dyDescent="0.25">
      <c r="A842" s="32">
        <v>4381102</v>
      </c>
      <c r="B842" s="32" t="s">
        <v>21</v>
      </c>
      <c r="C842" s="33" t="s">
        <v>19</v>
      </c>
      <c r="D842" s="35">
        <v>45447</v>
      </c>
      <c r="E842" s="32" t="s">
        <v>184</v>
      </c>
      <c r="F842" s="32">
        <v>41001276</v>
      </c>
      <c r="G842" s="32" t="s">
        <v>351</v>
      </c>
      <c r="H842" s="26" t="s">
        <v>38</v>
      </c>
      <c r="I842" s="36">
        <v>30</v>
      </c>
      <c r="J842" s="32">
        <f>IF(MB25_VOLUMETRIA[[#This Row],[Reserva]]="","",1)</f>
        <v>1</v>
      </c>
      <c r="K842" s="36" t="str">
        <f>IF(MB25_VOLUMETRIA[[#This Row],[Reserva]]="","",IFERROR(VLOOKUP(MB25_VOLUMETRIA[[#This Row],[UMB]],CHAVE[],2,FALSE),"VERIFICAR"))</f>
        <v>Unidade</v>
      </c>
      <c r="L842" s="32" t="str">
        <f>IF(MB25_VOLUMETRIA[[#This Row],[Reserva]]="","",IFERROR(VLOOKUP(MB25_VOLUMETRIA[[#This Row],[Reserva]],Tabela3[[Reserva]:[Condição para Faturamento]],20,FALSE),"IMPORTADO COM SUCESSO"))</f>
        <v>IMPORTADO</v>
      </c>
      <c r="M842" s="32" t="str">
        <f ca="1">IFERROR(VLOOKUP(MB25_VOLUMETRIA[[#This Row],[Reserva]],RES_AB[],14,FALSE),"")</f>
        <v>RESERVAS EM ATRASO</v>
      </c>
      <c r="N842" s="32" t="str">
        <f>IF(MB25_VOLUMETRIA[[#This Row],[Cen.]]="","",IFERROR(VLOOKUP(MB25_VOLUMETRIA[[#This Row],[Cen.]],Dados_Empresas[],2,FALSE),"Verificar empresa"))</f>
        <v>NET MASSIVO</v>
      </c>
      <c r="O842" s="32" t="str">
        <f>IF(MB25_VOLUMETRIA[[#This Row],[EMPRESA]]="","",IF(OR(MB25_VOLUMETRIA[[#This Row],[EMPRESA]]="NET MASSIVO",MB25_VOLUMETRIA[[#This Row],[EMPRESA]]="NET PROJETOS"),"NET","EMPRESARIAL"))</f>
        <v>NET</v>
      </c>
    </row>
    <row r="843" spans="1:15" x14ac:dyDescent="0.25">
      <c r="A843" s="32">
        <v>4381102</v>
      </c>
      <c r="B843" s="32" t="s">
        <v>21</v>
      </c>
      <c r="C843" s="33" t="s">
        <v>19</v>
      </c>
      <c r="D843" s="35">
        <v>45447</v>
      </c>
      <c r="E843" s="32" t="s">
        <v>184</v>
      </c>
      <c r="F843" s="32">
        <v>41001292</v>
      </c>
      <c r="G843" s="32" t="s">
        <v>353</v>
      </c>
      <c r="H843" s="26" t="s">
        <v>38</v>
      </c>
      <c r="I843" s="36">
        <v>50</v>
      </c>
      <c r="J843" s="32">
        <f>IF(MB25_VOLUMETRIA[[#This Row],[Reserva]]="","",1)</f>
        <v>1</v>
      </c>
      <c r="K843" s="36" t="str">
        <f>IF(MB25_VOLUMETRIA[[#This Row],[Reserva]]="","",IFERROR(VLOOKUP(MB25_VOLUMETRIA[[#This Row],[UMB]],CHAVE[],2,FALSE),"VERIFICAR"))</f>
        <v>Unidade</v>
      </c>
      <c r="L843" s="32" t="str">
        <f>IF(MB25_VOLUMETRIA[[#This Row],[Reserva]]="","",IFERROR(VLOOKUP(MB25_VOLUMETRIA[[#This Row],[Reserva]],Tabela3[[Reserva]:[Condição para Faturamento]],20,FALSE),"IMPORTADO COM SUCESSO"))</f>
        <v>IMPORTADO</v>
      </c>
      <c r="M843" s="32" t="str">
        <f ca="1">IFERROR(VLOOKUP(MB25_VOLUMETRIA[[#This Row],[Reserva]],RES_AB[],14,FALSE),"")</f>
        <v>RESERVAS EM ATRASO</v>
      </c>
      <c r="N843" s="32" t="str">
        <f>IF(MB25_VOLUMETRIA[[#This Row],[Cen.]]="","",IFERROR(VLOOKUP(MB25_VOLUMETRIA[[#This Row],[Cen.]],Dados_Empresas[],2,FALSE),"Verificar empresa"))</f>
        <v>NET MASSIVO</v>
      </c>
      <c r="O843" s="32" t="str">
        <f>IF(MB25_VOLUMETRIA[[#This Row],[EMPRESA]]="","",IF(OR(MB25_VOLUMETRIA[[#This Row],[EMPRESA]]="NET MASSIVO",MB25_VOLUMETRIA[[#This Row],[EMPRESA]]="NET PROJETOS"),"NET","EMPRESARIAL"))</f>
        <v>NET</v>
      </c>
    </row>
    <row r="844" spans="1:15" x14ac:dyDescent="0.25">
      <c r="A844" s="32">
        <v>4381103</v>
      </c>
      <c r="B844" s="32" t="s">
        <v>21</v>
      </c>
      <c r="C844" s="33" t="s">
        <v>19</v>
      </c>
      <c r="D844" s="35">
        <v>45447</v>
      </c>
      <c r="E844" s="32" t="s">
        <v>185</v>
      </c>
      <c r="F844" s="32">
        <v>22026279</v>
      </c>
      <c r="G844" s="32" t="s">
        <v>350</v>
      </c>
      <c r="H844" s="26" t="s">
        <v>38</v>
      </c>
      <c r="I844" s="36">
        <v>20</v>
      </c>
      <c r="J844" s="32">
        <f>IF(MB25_VOLUMETRIA[[#This Row],[Reserva]]="","",1)</f>
        <v>1</v>
      </c>
      <c r="K844" s="36" t="str">
        <f>IF(MB25_VOLUMETRIA[[#This Row],[Reserva]]="","",IFERROR(VLOOKUP(MB25_VOLUMETRIA[[#This Row],[UMB]],CHAVE[],2,FALSE),"VERIFICAR"))</f>
        <v>Unidade</v>
      </c>
      <c r="L844" s="32" t="str">
        <f>IF(MB25_VOLUMETRIA[[#This Row],[Reserva]]="","",IFERROR(VLOOKUP(MB25_VOLUMETRIA[[#This Row],[Reserva]],Tabela3[[Reserva]:[Condição para Faturamento]],20,FALSE),"IMPORTADO COM SUCESSO"))</f>
        <v>EM RESSUPRIMENTO</v>
      </c>
      <c r="M844" s="32" t="str">
        <f ca="1">IFERROR(VLOOKUP(MB25_VOLUMETRIA[[#This Row],[Reserva]],RES_AB[],14,FALSE),"")</f>
        <v>RESERVAS EM ATRASO</v>
      </c>
      <c r="N844" s="32" t="str">
        <f>IF(MB25_VOLUMETRIA[[#This Row],[Cen.]]="","",IFERROR(VLOOKUP(MB25_VOLUMETRIA[[#This Row],[Cen.]],Dados_Empresas[],2,FALSE),"Verificar empresa"))</f>
        <v>NET MASSIVO</v>
      </c>
      <c r="O844" s="32" t="str">
        <f>IF(MB25_VOLUMETRIA[[#This Row],[EMPRESA]]="","",IF(OR(MB25_VOLUMETRIA[[#This Row],[EMPRESA]]="NET MASSIVO",MB25_VOLUMETRIA[[#This Row],[EMPRESA]]="NET PROJETOS"),"NET","EMPRESARIAL"))</f>
        <v>NET</v>
      </c>
    </row>
    <row r="845" spans="1:15" x14ac:dyDescent="0.25">
      <c r="A845" s="32">
        <v>4381103</v>
      </c>
      <c r="B845" s="32" t="s">
        <v>21</v>
      </c>
      <c r="C845" s="33" t="s">
        <v>21</v>
      </c>
      <c r="D845" s="35">
        <v>45447</v>
      </c>
      <c r="E845" s="32" t="s">
        <v>185</v>
      </c>
      <c r="F845" s="32">
        <v>22060422</v>
      </c>
      <c r="G845" s="32" t="s">
        <v>298</v>
      </c>
      <c r="H845" s="26" t="s">
        <v>38</v>
      </c>
      <c r="I845" s="36">
        <v>20</v>
      </c>
      <c r="J845" s="32">
        <f>IF(MB25_VOLUMETRIA[[#This Row],[Reserva]]="","",1)</f>
        <v>1</v>
      </c>
      <c r="K845" s="36" t="str">
        <f>IF(MB25_VOLUMETRIA[[#This Row],[Reserva]]="","",IFERROR(VLOOKUP(MB25_VOLUMETRIA[[#This Row],[UMB]],CHAVE[],2,FALSE),"VERIFICAR"))</f>
        <v>Unidade</v>
      </c>
      <c r="L845" s="32" t="str">
        <f>IF(MB25_VOLUMETRIA[[#This Row],[Reserva]]="","",IFERROR(VLOOKUP(MB25_VOLUMETRIA[[#This Row],[Reserva]],Tabela3[[Reserva]:[Condição para Faturamento]],20,FALSE),"IMPORTADO COM SUCESSO"))</f>
        <v>EM RESSUPRIMENTO</v>
      </c>
      <c r="M845" s="32" t="str">
        <f ca="1">IFERROR(VLOOKUP(MB25_VOLUMETRIA[[#This Row],[Reserva]],RES_AB[],14,FALSE),"")</f>
        <v>RESERVAS EM ATRASO</v>
      </c>
      <c r="N845" s="32" t="str">
        <f>IF(MB25_VOLUMETRIA[[#This Row],[Cen.]]="","",IFERROR(VLOOKUP(MB25_VOLUMETRIA[[#This Row],[Cen.]],Dados_Empresas[],2,FALSE),"Verificar empresa"))</f>
        <v>NET MASSIVO</v>
      </c>
      <c r="O845" s="32" t="str">
        <f>IF(MB25_VOLUMETRIA[[#This Row],[EMPRESA]]="","",IF(OR(MB25_VOLUMETRIA[[#This Row],[EMPRESA]]="NET MASSIVO",MB25_VOLUMETRIA[[#This Row],[EMPRESA]]="NET PROJETOS"),"NET","EMPRESARIAL"))</f>
        <v>NET</v>
      </c>
    </row>
    <row r="846" spans="1:15" x14ac:dyDescent="0.25">
      <c r="A846" s="32">
        <v>4381104</v>
      </c>
      <c r="B846" s="32" t="s">
        <v>21</v>
      </c>
      <c r="C846" s="33" t="s">
        <v>19</v>
      </c>
      <c r="D846" s="35">
        <v>45447</v>
      </c>
      <c r="E846" s="32" t="s">
        <v>184</v>
      </c>
      <c r="F846" s="32">
        <v>41001234</v>
      </c>
      <c r="G846" s="32" t="s">
        <v>189</v>
      </c>
      <c r="H846" s="26" t="s">
        <v>38</v>
      </c>
      <c r="I846" s="36">
        <v>20</v>
      </c>
      <c r="J846" s="32">
        <f>IF(MB25_VOLUMETRIA[[#This Row],[Reserva]]="","",1)</f>
        <v>1</v>
      </c>
      <c r="K846" s="36" t="str">
        <f>IF(MB25_VOLUMETRIA[[#This Row],[Reserva]]="","",IFERROR(VLOOKUP(MB25_VOLUMETRIA[[#This Row],[UMB]],CHAVE[],2,FALSE),"VERIFICAR"))</f>
        <v>Unidade</v>
      </c>
      <c r="L846" s="32" t="str">
        <f>IF(MB25_VOLUMETRIA[[#This Row],[Reserva]]="","",IFERROR(VLOOKUP(MB25_VOLUMETRIA[[#This Row],[Reserva]],Tabela3[[Reserva]:[Condição para Faturamento]],20,FALSE),"IMPORTADO COM SUCESSO"))</f>
        <v>EM RESSUPRIMENTO</v>
      </c>
      <c r="M846" s="32" t="str">
        <f ca="1">IFERROR(VLOOKUP(MB25_VOLUMETRIA[[#This Row],[Reserva]],RES_AB[],14,FALSE),"")</f>
        <v>RESERVAS EM ATRASO</v>
      </c>
      <c r="N846" s="32" t="str">
        <f>IF(MB25_VOLUMETRIA[[#This Row],[Cen.]]="","",IFERROR(VLOOKUP(MB25_VOLUMETRIA[[#This Row],[Cen.]],Dados_Empresas[],2,FALSE),"Verificar empresa"))</f>
        <v>NET MASSIVO</v>
      </c>
      <c r="O846" s="32" t="str">
        <f>IF(MB25_VOLUMETRIA[[#This Row],[EMPRESA]]="","",IF(OR(MB25_VOLUMETRIA[[#This Row],[EMPRESA]]="NET MASSIVO",MB25_VOLUMETRIA[[#This Row],[EMPRESA]]="NET PROJETOS"),"NET","EMPRESARIAL"))</f>
        <v>NET</v>
      </c>
    </row>
    <row r="847" spans="1:15" x14ac:dyDescent="0.25">
      <c r="A847" s="32">
        <v>4381104</v>
      </c>
      <c r="B847" s="32" t="s">
        <v>21</v>
      </c>
      <c r="C847" s="33" t="s">
        <v>19</v>
      </c>
      <c r="D847" s="35">
        <v>45447</v>
      </c>
      <c r="E847" s="32" t="s">
        <v>184</v>
      </c>
      <c r="F847" s="32">
        <v>41001276</v>
      </c>
      <c r="G847" s="32" t="s">
        <v>351</v>
      </c>
      <c r="H847" s="26" t="s">
        <v>38</v>
      </c>
      <c r="I847" s="36">
        <v>20</v>
      </c>
      <c r="J847" s="32">
        <f>IF(MB25_VOLUMETRIA[[#This Row],[Reserva]]="","",1)</f>
        <v>1</v>
      </c>
      <c r="K847" s="36" t="str">
        <f>IF(MB25_VOLUMETRIA[[#This Row],[Reserva]]="","",IFERROR(VLOOKUP(MB25_VOLUMETRIA[[#This Row],[UMB]],CHAVE[],2,FALSE),"VERIFICAR"))</f>
        <v>Unidade</v>
      </c>
      <c r="L847" s="32" t="str">
        <f>IF(MB25_VOLUMETRIA[[#This Row],[Reserva]]="","",IFERROR(VLOOKUP(MB25_VOLUMETRIA[[#This Row],[Reserva]],Tabela3[[Reserva]:[Condição para Faturamento]],20,FALSE),"IMPORTADO COM SUCESSO"))</f>
        <v>EM RESSUPRIMENTO</v>
      </c>
      <c r="M847" s="32" t="str">
        <f ca="1">IFERROR(VLOOKUP(MB25_VOLUMETRIA[[#This Row],[Reserva]],RES_AB[],14,FALSE),"")</f>
        <v>RESERVAS EM ATRASO</v>
      </c>
      <c r="N847" s="32" t="str">
        <f>IF(MB25_VOLUMETRIA[[#This Row],[Cen.]]="","",IFERROR(VLOOKUP(MB25_VOLUMETRIA[[#This Row],[Cen.]],Dados_Empresas[],2,FALSE),"Verificar empresa"))</f>
        <v>NET MASSIVO</v>
      </c>
      <c r="O847" s="32" t="str">
        <f>IF(MB25_VOLUMETRIA[[#This Row],[EMPRESA]]="","",IF(OR(MB25_VOLUMETRIA[[#This Row],[EMPRESA]]="NET MASSIVO",MB25_VOLUMETRIA[[#This Row],[EMPRESA]]="NET PROJETOS"),"NET","EMPRESARIAL"))</f>
        <v>NET</v>
      </c>
    </row>
    <row r="848" spans="1:15" x14ac:dyDescent="0.25">
      <c r="A848" s="32">
        <v>4381104</v>
      </c>
      <c r="B848" s="32" t="s">
        <v>21</v>
      </c>
      <c r="C848" s="33" t="s">
        <v>21</v>
      </c>
      <c r="D848" s="35">
        <v>45447</v>
      </c>
      <c r="E848" s="32" t="s">
        <v>184</v>
      </c>
      <c r="F848" s="32">
        <v>41001567</v>
      </c>
      <c r="G848" s="32" t="s">
        <v>354</v>
      </c>
      <c r="H848" s="26" t="s">
        <v>38</v>
      </c>
      <c r="I848" s="36">
        <v>20</v>
      </c>
      <c r="J848" s="32">
        <f>IF(MB25_VOLUMETRIA[[#This Row],[Reserva]]="","",1)</f>
        <v>1</v>
      </c>
      <c r="K848" s="36" t="str">
        <f>IF(MB25_VOLUMETRIA[[#This Row],[Reserva]]="","",IFERROR(VLOOKUP(MB25_VOLUMETRIA[[#This Row],[UMB]],CHAVE[],2,FALSE),"VERIFICAR"))</f>
        <v>Unidade</v>
      </c>
      <c r="L848" s="32" t="str">
        <f>IF(MB25_VOLUMETRIA[[#This Row],[Reserva]]="","",IFERROR(VLOOKUP(MB25_VOLUMETRIA[[#This Row],[Reserva]],Tabela3[[Reserva]:[Condição para Faturamento]],20,FALSE),"IMPORTADO COM SUCESSO"))</f>
        <v>EM RESSUPRIMENTO</v>
      </c>
      <c r="M848" s="32" t="str">
        <f ca="1">IFERROR(VLOOKUP(MB25_VOLUMETRIA[[#This Row],[Reserva]],RES_AB[],14,FALSE),"")</f>
        <v>RESERVAS EM ATRASO</v>
      </c>
      <c r="N848" s="32" t="str">
        <f>IF(MB25_VOLUMETRIA[[#This Row],[Cen.]]="","",IFERROR(VLOOKUP(MB25_VOLUMETRIA[[#This Row],[Cen.]],Dados_Empresas[],2,FALSE),"Verificar empresa"))</f>
        <v>NET MASSIVO</v>
      </c>
      <c r="O848" s="32" t="str">
        <f>IF(MB25_VOLUMETRIA[[#This Row],[EMPRESA]]="","",IF(OR(MB25_VOLUMETRIA[[#This Row],[EMPRESA]]="NET MASSIVO",MB25_VOLUMETRIA[[#This Row],[EMPRESA]]="NET PROJETOS"),"NET","EMPRESARIAL"))</f>
        <v>NET</v>
      </c>
    </row>
    <row r="849" spans="1:15" x14ac:dyDescent="0.25">
      <c r="A849" s="32">
        <v>4381104</v>
      </c>
      <c r="B849" s="32" t="s">
        <v>21</v>
      </c>
      <c r="C849" s="33" t="s">
        <v>21</v>
      </c>
      <c r="D849" s="35">
        <v>45447</v>
      </c>
      <c r="E849" s="32" t="s">
        <v>184</v>
      </c>
      <c r="F849" s="32">
        <v>41001573</v>
      </c>
      <c r="G849" s="32" t="s">
        <v>259</v>
      </c>
      <c r="H849" s="26" t="s">
        <v>38</v>
      </c>
      <c r="I849" s="36">
        <v>20</v>
      </c>
      <c r="J849" s="32">
        <f>IF(MB25_VOLUMETRIA[[#This Row],[Reserva]]="","",1)</f>
        <v>1</v>
      </c>
      <c r="K849" s="36" t="str">
        <f>IF(MB25_VOLUMETRIA[[#This Row],[Reserva]]="","",IFERROR(VLOOKUP(MB25_VOLUMETRIA[[#This Row],[UMB]],CHAVE[],2,FALSE),"VERIFICAR"))</f>
        <v>Unidade</v>
      </c>
      <c r="L849" s="32" t="str">
        <f>IF(MB25_VOLUMETRIA[[#This Row],[Reserva]]="","",IFERROR(VLOOKUP(MB25_VOLUMETRIA[[#This Row],[Reserva]],Tabela3[[Reserva]:[Condição para Faturamento]],20,FALSE),"IMPORTADO COM SUCESSO"))</f>
        <v>EM RESSUPRIMENTO</v>
      </c>
      <c r="M849" s="32" t="str">
        <f ca="1">IFERROR(VLOOKUP(MB25_VOLUMETRIA[[#This Row],[Reserva]],RES_AB[],14,FALSE),"")</f>
        <v>RESERVAS EM ATRASO</v>
      </c>
      <c r="N849" s="32" t="str">
        <f>IF(MB25_VOLUMETRIA[[#This Row],[Cen.]]="","",IFERROR(VLOOKUP(MB25_VOLUMETRIA[[#This Row],[Cen.]],Dados_Empresas[],2,FALSE),"Verificar empresa"))</f>
        <v>NET MASSIVO</v>
      </c>
      <c r="O849" s="32" t="str">
        <f>IF(MB25_VOLUMETRIA[[#This Row],[EMPRESA]]="","",IF(OR(MB25_VOLUMETRIA[[#This Row],[EMPRESA]]="NET MASSIVO",MB25_VOLUMETRIA[[#This Row],[EMPRESA]]="NET PROJETOS"),"NET","EMPRESARIAL"))</f>
        <v>NET</v>
      </c>
    </row>
    <row r="850" spans="1:15" x14ac:dyDescent="0.25">
      <c r="A850" s="32">
        <v>4381104</v>
      </c>
      <c r="B850" s="32" t="s">
        <v>21</v>
      </c>
      <c r="C850" s="33" t="s">
        <v>21</v>
      </c>
      <c r="D850" s="35">
        <v>45447</v>
      </c>
      <c r="E850" s="32" t="s">
        <v>184</v>
      </c>
      <c r="F850" s="32">
        <v>41001590</v>
      </c>
      <c r="G850" s="32" t="s">
        <v>239</v>
      </c>
      <c r="H850" s="26" t="s">
        <v>38</v>
      </c>
      <c r="I850" s="36">
        <v>30</v>
      </c>
      <c r="J850" s="32">
        <f>IF(MB25_VOLUMETRIA[[#This Row],[Reserva]]="","",1)</f>
        <v>1</v>
      </c>
      <c r="K850" s="36" t="str">
        <f>IF(MB25_VOLUMETRIA[[#This Row],[Reserva]]="","",IFERROR(VLOOKUP(MB25_VOLUMETRIA[[#This Row],[UMB]],CHAVE[],2,FALSE),"VERIFICAR"))</f>
        <v>Unidade</v>
      </c>
      <c r="L850" s="32" t="str">
        <f>IF(MB25_VOLUMETRIA[[#This Row],[Reserva]]="","",IFERROR(VLOOKUP(MB25_VOLUMETRIA[[#This Row],[Reserva]],Tabela3[[Reserva]:[Condição para Faturamento]],20,FALSE),"IMPORTADO COM SUCESSO"))</f>
        <v>EM RESSUPRIMENTO</v>
      </c>
      <c r="M850" s="32" t="str">
        <f ca="1">IFERROR(VLOOKUP(MB25_VOLUMETRIA[[#This Row],[Reserva]],RES_AB[],14,FALSE),"")</f>
        <v>RESERVAS EM ATRASO</v>
      </c>
      <c r="N850" s="32" t="str">
        <f>IF(MB25_VOLUMETRIA[[#This Row],[Cen.]]="","",IFERROR(VLOOKUP(MB25_VOLUMETRIA[[#This Row],[Cen.]],Dados_Empresas[],2,FALSE),"Verificar empresa"))</f>
        <v>NET MASSIVO</v>
      </c>
      <c r="O850" s="32" t="str">
        <f>IF(MB25_VOLUMETRIA[[#This Row],[EMPRESA]]="","",IF(OR(MB25_VOLUMETRIA[[#This Row],[EMPRESA]]="NET MASSIVO",MB25_VOLUMETRIA[[#This Row],[EMPRESA]]="NET PROJETOS"),"NET","EMPRESARIAL"))</f>
        <v>NET</v>
      </c>
    </row>
    <row r="851" spans="1:15" x14ac:dyDescent="0.25">
      <c r="A851" s="32">
        <v>4381106</v>
      </c>
      <c r="B851" s="32" t="s">
        <v>21</v>
      </c>
      <c r="C851" s="33" t="s">
        <v>19</v>
      </c>
      <c r="D851" s="35">
        <v>45447</v>
      </c>
      <c r="E851" s="32" t="s">
        <v>185</v>
      </c>
      <c r="F851" s="32">
        <v>22026279</v>
      </c>
      <c r="G851" s="32" t="s">
        <v>350</v>
      </c>
      <c r="H851" s="26" t="s">
        <v>38</v>
      </c>
      <c r="I851" s="36">
        <v>70</v>
      </c>
      <c r="J851" s="32">
        <f>IF(MB25_VOLUMETRIA[[#This Row],[Reserva]]="","",1)</f>
        <v>1</v>
      </c>
      <c r="K851" s="36" t="str">
        <f>IF(MB25_VOLUMETRIA[[#This Row],[Reserva]]="","",IFERROR(VLOOKUP(MB25_VOLUMETRIA[[#This Row],[UMB]],CHAVE[],2,FALSE),"VERIFICAR"))</f>
        <v>Unidade</v>
      </c>
      <c r="L851" s="32" t="str">
        <f>IF(MB25_VOLUMETRIA[[#This Row],[Reserva]]="","",IFERROR(VLOOKUP(MB25_VOLUMETRIA[[#This Row],[Reserva]],Tabela3[[Reserva]:[Condição para Faturamento]],20,FALSE),"IMPORTADO COM SUCESSO"))</f>
        <v>IMPORTADO</v>
      </c>
      <c r="M851" s="32" t="str">
        <f ca="1">IFERROR(VLOOKUP(MB25_VOLUMETRIA[[#This Row],[Reserva]],RES_AB[],14,FALSE),"")</f>
        <v>RESERVAS EM ATRASO</v>
      </c>
      <c r="N851" s="32" t="str">
        <f>IF(MB25_VOLUMETRIA[[#This Row],[Cen.]]="","",IFERROR(VLOOKUP(MB25_VOLUMETRIA[[#This Row],[Cen.]],Dados_Empresas[],2,FALSE),"Verificar empresa"))</f>
        <v>NET MASSIVO</v>
      </c>
      <c r="O851" s="32" t="str">
        <f>IF(MB25_VOLUMETRIA[[#This Row],[EMPRESA]]="","",IF(OR(MB25_VOLUMETRIA[[#This Row],[EMPRESA]]="NET MASSIVO",MB25_VOLUMETRIA[[#This Row],[EMPRESA]]="NET PROJETOS"),"NET","EMPRESARIAL"))</f>
        <v>NET</v>
      </c>
    </row>
    <row r="852" spans="1:15" x14ac:dyDescent="0.25">
      <c r="A852" s="32">
        <v>4381106</v>
      </c>
      <c r="B852" s="32" t="s">
        <v>21</v>
      </c>
      <c r="C852" s="33" t="s">
        <v>19</v>
      </c>
      <c r="D852" s="35">
        <v>45447</v>
      </c>
      <c r="E852" s="32" t="s">
        <v>185</v>
      </c>
      <c r="F852" s="32">
        <v>22026293</v>
      </c>
      <c r="G852" s="32" t="s">
        <v>352</v>
      </c>
      <c r="H852" s="26" t="s">
        <v>38</v>
      </c>
      <c r="I852" s="36">
        <v>20</v>
      </c>
      <c r="J852" s="32">
        <f>IF(MB25_VOLUMETRIA[[#This Row],[Reserva]]="","",1)</f>
        <v>1</v>
      </c>
      <c r="K852" s="36" t="str">
        <f>IF(MB25_VOLUMETRIA[[#This Row],[Reserva]]="","",IFERROR(VLOOKUP(MB25_VOLUMETRIA[[#This Row],[UMB]],CHAVE[],2,FALSE),"VERIFICAR"))</f>
        <v>Unidade</v>
      </c>
      <c r="L852" s="32" t="str">
        <f>IF(MB25_VOLUMETRIA[[#This Row],[Reserva]]="","",IFERROR(VLOOKUP(MB25_VOLUMETRIA[[#This Row],[Reserva]],Tabela3[[Reserva]:[Condição para Faturamento]],20,FALSE),"IMPORTADO COM SUCESSO"))</f>
        <v>IMPORTADO</v>
      </c>
      <c r="M852" s="32" t="str">
        <f ca="1">IFERROR(VLOOKUP(MB25_VOLUMETRIA[[#This Row],[Reserva]],RES_AB[],14,FALSE),"")</f>
        <v>RESERVAS EM ATRASO</v>
      </c>
      <c r="N852" s="32" t="str">
        <f>IF(MB25_VOLUMETRIA[[#This Row],[Cen.]]="","",IFERROR(VLOOKUP(MB25_VOLUMETRIA[[#This Row],[Cen.]],Dados_Empresas[],2,FALSE),"Verificar empresa"))</f>
        <v>NET MASSIVO</v>
      </c>
      <c r="O852" s="32" t="str">
        <f>IF(MB25_VOLUMETRIA[[#This Row],[EMPRESA]]="","",IF(OR(MB25_VOLUMETRIA[[#This Row],[EMPRESA]]="NET MASSIVO",MB25_VOLUMETRIA[[#This Row],[EMPRESA]]="NET PROJETOS"),"NET","EMPRESARIAL"))</f>
        <v>NET</v>
      </c>
    </row>
    <row r="853" spans="1:15" x14ac:dyDescent="0.25">
      <c r="A853" s="32">
        <v>4381106</v>
      </c>
      <c r="B853" s="32" t="s">
        <v>21</v>
      </c>
      <c r="C853" s="33" t="s">
        <v>21</v>
      </c>
      <c r="D853" s="35">
        <v>45447</v>
      </c>
      <c r="E853" s="32" t="s">
        <v>185</v>
      </c>
      <c r="F853" s="32">
        <v>22060422</v>
      </c>
      <c r="G853" s="32" t="s">
        <v>298</v>
      </c>
      <c r="H853" s="26" t="s">
        <v>38</v>
      </c>
      <c r="I853" s="36">
        <v>70</v>
      </c>
      <c r="J853" s="32">
        <f>IF(MB25_VOLUMETRIA[[#This Row],[Reserva]]="","",1)</f>
        <v>1</v>
      </c>
      <c r="K853" s="36" t="str">
        <f>IF(MB25_VOLUMETRIA[[#This Row],[Reserva]]="","",IFERROR(VLOOKUP(MB25_VOLUMETRIA[[#This Row],[UMB]],CHAVE[],2,FALSE),"VERIFICAR"))</f>
        <v>Unidade</v>
      </c>
      <c r="L853" s="32" t="str">
        <f>IF(MB25_VOLUMETRIA[[#This Row],[Reserva]]="","",IFERROR(VLOOKUP(MB25_VOLUMETRIA[[#This Row],[Reserva]],Tabela3[[Reserva]:[Condição para Faturamento]],20,FALSE),"IMPORTADO COM SUCESSO"))</f>
        <v>IMPORTADO</v>
      </c>
      <c r="M853" s="32" t="str">
        <f ca="1">IFERROR(VLOOKUP(MB25_VOLUMETRIA[[#This Row],[Reserva]],RES_AB[],14,FALSE),"")</f>
        <v>RESERVAS EM ATRASO</v>
      </c>
      <c r="N853" s="32" t="str">
        <f>IF(MB25_VOLUMETRIA[[#This Row],[Cen.]]="","",IFERROR(VLOOKUP(MB25_VOLUMETRIA[[#This Row],[Cen.]],Dados_Empresas[],2,FALSE),"Verificar empresa"))</f>
        <v>NET MASSIVO</v>
      </c>
      <c r="O853" s="32" t="str">
        <f>IF(MB25_VOLUMETRIA[[#This Row],[EMPRESA]]="","",IF(OR(MB25_VOLUMETRIA[[#This Row],[EMPRESA]]="NET MASSIVO",MB25_VOLUMETRIA[[#This Row],[EMPRESA]]="NET PROJETOS"),"NET","EMPRESARIAL"))</f>
        <v>NET</v>
      </c>
    </row>
    <row r="854" spans="1:15" x14ac:dyDescent="0.25">
      <c r="A854" s="32">
        <v>4381107</v>
      </c>
      <c r="B854" s="32" t="s">
        <v>21</v>
      </c>
      <c r="C854" s="33" t="s">
        <v>19</v>
      </c>
      <c r="D854" s="35">
        <v>45447</v>
      </c>
      <c r="E854" s="32" t="s">
        <v>184</v>
      </c>
      <c r="F854" s="32">
        <v>41001234</v>
      </c>
      <c r="G854" s="32" t="s">
        <v>189</v>
      </c>
      <c r="H854" s="26" t="s">
        <v>38</v>
      </c>
      <c r="I854" s="36">
        <v>70</v>
      </c>
      <c r="J854" s="32">
        <f>IF(MB25_VOLUMETRIA[[#This Row],[Reserva]]="","",1)</f>
        <v>1</v>
      </c>
      <c r="K854" s="36" t="str">
        <f>IF(MB25_VOLUMETRIA[[#This Row],[Reserva]]="","",IFERROR(VLOOKUP(MB25_VOLUMETRIA[[#This Row],[UMB]],CHAVE[],2,FALSE),"VERIFICAR"))</f>
        <v>Unidade</v>
      </c>
      <c r="L854" s="32" t="str">
        <f>IF(MB25_VOLUMETRIA[[#This Row],[Reserva]]="","",IFERROR(VLOOKUP(MB25_VOLUMETRIA[[#This Row],[Reserva]],Tabela3[[Reserva]:[Condição para Faturamento]],20,FALSE),"IMPORTADO COM SUCESSO"))</f>
        <v>IMPORTADO</v>
      </c>
      <c r="M854" s="32" t="str">
        <f ca="1">IFERROR(VLOOKUP(MB25_VOLUMETRIA[[#This Row],[Reserva]],RES_AB[],14,FALSE),"")</f>
        <v>RESERVAS EM ATRASO</v>
      </c>
      <c r="N854" s="32" t="str">
        <f>IF(MB25_VOLUMETRIA[[#This Row],[Cen.]]="","",IFERROR(VLOOKUP(MB25_VOLUMETRIA[[#This Row],[Cen.]],Dados_Empresas[],2,FALSE),"Verificar empresa"))</f>
        <v>NET MASSIVO</v>
      </c>
      <c r="O854" s="32" t="str">
        <f>IF(MB25_VOLUMETRIA[[#This Row],[EMPRESA]]="","",IF(OR(MB25_VOLUMETRIA[[#This Row],[EMPRESA]]="NET MASSIVO",MB25_VOLUMETRIA[[#This Row],[EMPRESA]]="NET PROJETOS"),"NET","EMPRESARIAL"))</f>
        <v>NET</v>
      </c>
    </row>
    <row r="855" spans="1:15" x14ac:dyDescent="0.25">
      <c r="A855" s="32">
        <v>4381107</v>
      </c>
      <c r="B855" s="32" t="s">
        <v>21</v>
      </c>
      <c r="C855" s="33" t="s">
        <v>19</v>
      </c>
      <c r="D855" s="35">
        <v>45447</v>
      </c>
      <c r="E855" s="32" t="s">
        <v>184</v>
      </c>
      <c r="F855" s="32">
        <v>41001276</v>
      </c>
      <c r="G855" s="32" t="s">
        <v>351</v>
      </c>
      <c r="H855" s="26" t="s">
        <v>38</v>
      </c>
      <c r="I855" s="36">
        <v>70</v>
      </c>
      <c r="J855" s="32">
        <f>IF(MB25_VOLUMETRIA[[#This Row],[Reserva]]="","",1)</f>
        <v>1</v>
      </c>
      <c r="K855" s="36" t="str">
        <f>IF(MB25_VOLUMETRIA[[#This Row],[Reserva]]="","",IFERROR(VLOOKUP(MB25_VOLUMETRIA[[#This Row],[UMB]],CHAVE[],2,FALSE),"VERIFICAR"))</f>
        <v>Unidade</v>
      </c>
      <c r="L855" s="32" t="str">
        <f>IF(MB25_VOLUMETRIA[[#This Row],[Reserva]]="","",IFERROR(VLOOKUP(MB25_VOLUMETRIA[[#This Row],[Reserva]],Tabela3[[Reserva]:[Condição para Faturamento]],20,FALSE),"IMPORTADO COM SUCESSO"))</f>
        <v>IMPORTADO</v>
      </c>
      <c r="M855" s="32" t="str">
        <f ca="1">IFERROR(VLOOKUP(MB25_VOLUMETRIA[[#This Row],[Reserva]],RES_AB[],14,FALSE),"")</f>
        <v>RESERVAS EM ATRASO</v>
      </c>
      <c r="N855" s="32" t="str">
        <f>IF(MB25_VOLUMETRIA[[#This Row],[Cen.]]="","",IFERROR(VLOOKUP(MB25_VOLUMETRIA[[#This Row],[Cen.]],Dados_Empresas[],2,FALSE),"Verificar empresa"))</f>
        <v>NET MASSIVO</v>
      </c>
      <c r="O855" s="32" t="str">
        <f>IF(MB25_VOLUMETRIA[[#This Row],[EMPRESA]]="","",IF(OR(MB25_VOLUMETRIA[[#This Row],[EMPRESA]]="NET MASSIVO",MB25_VOLUMETRIA[[#This Row],[EMPRESA]]="NET PROJETOS"),"NET","EMPRESARIAL"))</f>
        <v>NET</v>
      </c>
    </row>
    <row r="856" spans="1:15" x14ac:dyDescent="0.25">
      <c r="A856" s="32">
        <v>4381107</v>
      </c>
      <c r="B856" s="32" t="s">
        <v>21</v>
      </c>
      <c r="C856" s="33" t="s">
        <v>19</v>
      </c>
      <c r="D856" s="35">
        <v>45447</v>
      </c>
      <c r="E856" s="32" t="s">
        <v>184</v>
      </c>
      <c r="F856" s="32">
        <v>41001292</v>
      </c>
      <c r="G856" s="32" t="s">
        <v>353</v>
      </c>
      <c r="H856" s="26" t="s">
        <v>38</v>
      </c>
      <c r="I856" s="36">
        <v>20</v>
      </c>
      <c r="J856" s="32">
        <f>IF(MB25_VOLUMETRIA[[#This Row],[Reserva]]="","",1)</f>
        <v>1</v>
      </c>
      <c r="K856" s="36" t="str">
        <f>IF(MB25_VOLUMETRIA[[#This Row],[Reserva]]="","",IFERROR(VLOOKUP(MB25_VOLUMETRIA[[#This Row],[UMB]],CHAVE[],2,FALSE),"VERIFICAR"))</f>
        <v>Unidade</v>
      </c>
      <c r="L856" s="32" t="str">
        <f>IF(MB25_VOLUMETRIA[[#This Row],[Reserva]]="","",IFERROR(VLOOKUP(MB25_VOLUMETRIA[[#This Row],[Reserva]],Tabela3[[Reserva]:[Condição para Faturamento]],20,FALSE),"IMPORTADO COM SUCESSO"))</f>
        <v>IMPORTADO</v>
      </c>
      <c r="M856" s="32" t="str">
        <f ca="1">IFERROR(VLOOKUP(MB25_VOLUMETRIA[[#This Row],[Reserva]],RES_AB[],14,FALSE),"")</f>
        <v>RESERVAS EM ATRASO</v>
      </c>
      <c r="N856" s="32" t="str">
        <f>IF(MB25_VOLUMETRIA[[#This Row],[Cen.]]="","",IFERROR(VLOOKUP(MB25_VOLUMETRIA[[#This Row],[Cen.]],Dados_Empresas[],2,FALSE),"Verificar empresa"))</f>
        <v>NET MASSIVO</v>
      </c>
      <c r="O856" s="32" t="str">
        <f>IF(MB25_VOLUMETRIA[[#This Row],[EMPRESA]]="","",IF(OR(MB25_VOLUMETRIA[[#This Row],[EMPRESA]]="NET MASSIVO",MB25_VOLUMETRIA[[#This Row],[EMPRESA]]="NET PROJETOS"),"NET","EMPRESARIAL"))</f>
        <v>NET</v>
      </c>
    </row>
    <row r="857" spans="1:15" x14ac:dyDescent="0.25">
      <c r="A857" s="32">
        <v>4381109</v>
      </c>
      <c r="B857" s="32" t="s">
        <v>21</v>
      </c>
      <c r="C857" s="33" t="s">
        <v>19</v>
      </c>
      <c r="D857" s="35">
        <v>45447</v>
      </c>
      <c r="E857" s="32" t="s">
        <v>184</v>
      </c>
      <c r="F857" s="32">
        <v>41000805</v>
      </c>
      <c r="G857" s="32" t="s">
        <v>188</v>
      </c>
      <c r="H857" s="26" t="s">
        <v>38</v>
      </c>
      <c r="I857" s="36">
        <v>20</v>
      </c>
      <c r="J857" s="32">
        <f>IF(MB25_VOLUMETRIA[[#This Row],[Reserva]]="","",1)</f>
        <v>1</v>
      </c>
      <c r="K857" s="36" t="str">
        <f>IF(MB25_VOLUMETRIA[[#This Row],[Reserva]]="","",IFERROR(VLOOKUP(MB25_VOLUMETRIA[[#This Row],[UMB]],CHAVE[],2,FALSE),"VERIFICAR"))</f>
        <v>Unidade</v>
      </c>
      <c r="L857" s="32" t="str">
        <f>IF(MB25_VOLUMETRIA[[#This Row],[Reserva]]="","",IFERROR(VLOOKUP(MB25_VOLUMETRIA[[#This Row],[Reserva]],Tabela3[[Reserva]:[Condição para Faturamento]],20,FALSE),"IMPORTADO COM SUCESSO"))</f>
        <v>IMPORTADO</v>
      </c>
      <c r="M857" s="32" t="str">
        <f ca="1">IFERROR(VLOOKUP(MB25_VOLUMETRIA[[#This Row],[Reserva]],RES_AB[],14,FALSE),"")</f>
        <v>RESERVAS EM ATRASO</v>
      </c>
      <c r="N857" s="32" t="str">
        <f>IF(MB25_VOLUMETRIA[[#This Row],[Cen.]]="","",IFERROR(VLOOKUP(MB25_VOLUMETRIA[[#This Row],[Cen.]],Dados_Empresas[],2,FALSE),"Verificar empresa"))</f>
        <v>NET MASSIVO</v>
      </c>
      <c r="O857" s="32" t="str">
        <f>IF(MB25_VOLUMETRIA[[#This Row],[EMPRESA]]="","",IF(OR(MB25_VOLUMETRIA[[#This Row],[EMPRESA]]="NET MASSIVO",MB25_VOLUMETRIA[[#This Row],[EMPRESA]]="NET PROJETOS"),"NET","EMPRESARIAL"))</f>
        <v>NET</v>
      </c>
    </row>
    <row r="858" spans="1:15" x14ac:dyDescent="0.25">
      <c r="A858" s="32">
        <v>4381109</v>
      </c>
      <c r="B858" s="32" t="s">
        <v>21</v>
      </c>
      <c r="C858" s="33" t="s">
        <v>19</v>
      </c>
      <c r="D858" s="35">
        <v>45447</v>
      </c>
      <c r="E858" s="32" t="s">
        <v>184</v>
      </c>
      <c r="F858" s="32">
        <v>41001234</v>
      </c>
      <c r="G858" s="32" t="s">
        <v>189</v>
      </c>
      <c r="H858" s="26" t="s">
        <v>38</v>
      </c>
      <c r="I858" s="36">
        <v>60</v>
      </c>
      <c r="J858" s="32">
        <f>IF(MB25_VOLUMETRIA[[#This Row],[Reserva]]="","",1)</f>
        <v>1</v>
      </c>
      <c r="K858" s="36" t="str">
        <f>IF(MB25_VOLUMETRIA[[#This Row],[Reserva]]="","",IFERROR(VLOOKUP(MB25_VOLUMETRIA[[#This Row],[UMB]],CHAVE[],2,FALSE),"VERIFICAR"))</f>
        <v>Unidade</v>
      </c>
      <c r="L858" s="32" t="str">
        <f>IF(MB25_VOLUMETRIA[[#This Row],[Reserva]]="","",IFERROR(VLOOKUP(MB25_VOLUMETRIA[[#This Row],[Reserva]],Tabela3[[Reserva]:[Condição para Faturamento]],20,FALSE),"IMPORTADO COM SUCESSO"))</f>
        <v>IMPORTADO</v>
      </c>
      <c r="M858" s="32" t="str">
        <f ca="1">IFERROR(VLOOKUP(MB25_VOLUMETRIA[[#This Row],[Reserva]],RES_AB[],14,FALSE),"")</f>
        <v>RESERVAS EM ATRASO</v>
      </c>
      <c r="N858" s="32" t="str">
        <f>IF(MB25_VOLUMETRIA[[#This Row],[Cen.]]="","",IFERROR(VLOOKUP(MB25_VOLUMETRIA[[#This Row],[Cen.]],Dados_Empresas[],2,FALSE),"Verificar empresa"))</f>
        <v>NET MASSIVO</v>
      </c>
      <c r="O858" s="32" t="str">
        <f>IF(MB25_VOLUMETRIA[[#This Row],[EMPRESA]]="","",IF(OR(MB25_VOLUMETRIA[[#This Row],[EMPRESA]]="NET MASSIVO",MB25_VOLUMETRIA[[#This Row],[EMPRESA]]="NET PROJETOS"),"NET","EMPRESARIAL"))</f>
        <v>NET</v>
      </c>
    </row>
    <row r="859" spans="1:15" x14ac:dyDescent="0.25">
      <c r="A859" s="32">
        <v>4381109</v>
      </c>
      <c r="B859" s="32" t="s">
        <v>21</v>
      </c>
      <c r="C859" s="33" t="s">
        <v>19</v>
      </c>
      <c r="D859" s="35">
        <v>45447</v>
      </c>
      <c r="E859" s="32" t="s">
        <v>184</v>
      </c>
      <c r="F859" s="32">
        <v>41001276</v>
      </c>
      <c r="G859" s="32" t="s">
        <v>351</v>
      </c>
      <c r="H859" s="26" t="s">
        <v>38</v>
      </c>
      <c r="I859" s="36">
        <v>60</v>
      </c>
      <c r="J859" s="32">
        <f>IF(MB25_VOLUMETRIA[[#This Row],[Reserva]]="","",1)</f>
        <v>1</v>
      </c>
      <c r="K859" s="36" t="str">
        <f>IF(MB25_VOLUMETRIA[[#This Row],[Reserva]]="","",IFERROR(VLOOKUP(MB25_VOLUMETRIA[[#This Row],[UMB]],CHAVE[],2,FALSE),"VERIFICAR"))</f>
        <v>Unidade</v>
      </c>
      <c r="L859" s="32" t="str">
        <f>IF(MB25_VOLUMETRIA[[#This Row],[Reserva]]="","",IFERROR(VLOOKUP(MB25_VOLUMETRIA[[#This Row],[Reserva]],Tabela3[[Reserva]:[Condição para Faturamento]],20,FALSE),"IMPORTADO COM SUCESSO"))</f>
        <v>IMPORTADO</v>
      </c>
      <c r="M859" s="32" t="str">
        <f ca="1">IFERROR(VLOOKUP(MB25_VOLUMETRIA[[#This Row],[Reserva]],RES_AB[],14,FALSE),"")</f>
        <v>RESERVAS EM ATRASO</v>
      </c>
      <c r="N859" s="32" t="str">
        <f>IF(MB25_VOLUMETRIA[[#This Row],[Cen.]]="","",IFERROR(VLOOKUP(MB25_VOLUMETRIA[[#This Row],[Cen.]],Dados_Empresas[],2,FALSE),"Verificar empresa"))</f>
        <v>NET MASSIVO</v>
      </c>
      <c r="O859" s="32" t="str">
        <f>IF(MB25_VOLUMETRIA[[#This Row],[EMPRESA]]="","",IF(OR(MB25_VOLUMETRIA[[#This Row],[EMPRESA]]="NET MASSIVO",MB25_VOLUMETRIA[[#This Row],[EMPRESA]]="NET PROJETOS"),"NET","EMPRESARIAL"))</f>
        <v>NET</v>
      </c>
    </row>
    <row r="860" spans="1:15" x14ac:dyDescent="0.25">
      <c r="A860" s="32">
        <v>4381109</v>
      </c>
      <c r="B860" s="32" t="s">
        <v>21</v>
      </c>
      <c r="C860" s="33" t="s">
        <v>19</v>
      </c>
      <c r="D860" s="35">
        <v>45447</v>
      </c>
      <c r="E860" s="32" t="s">
        <v>184</v>
      </c>
      <c r="F860" s="32">
        <v>41001484</v>
      </c>
      <c r="G860" s="32" t="s">
        <v>292</v>
      </c>
      <c r="H860" s="26" t="s">
        <v>38</v>
      </c>
      <c r="I860" s="36">
        <v>20</v>
      </c>
      <c r="J860" s="32">
        <f>IF(MB25_VOLUMETRIA[[#This Row],[Reserva]]="","",1)</f>
        <v>1</v>
      </c>
      <c r="K860" s="36" t="str">
        <f>IF(MB25_VOLUMETRIA[[#This Row],[Reserva]]="","",IFERROR(VLOOKUP(MB25_VOLUMETRIA[[#This Row],[UMB]],CHAVE[],2,FALSE),"VERIFICAR"))</f>
        <v>Unidade</v>
      </c>
      <c r="L860" s="32" t="str">
        <f>IF(MB25_VOLUMETRIA[[#This Row],[Reserva]]="","",IFERROR(VLOOKUP(MB25_VOLUMETRIA[[#This Row],[Reserva]],Tabela3[[Reserva]:[Condição para Faturamento]],20,FALSE),"IMPORTADO COM SUCESSO"))</f>
        <v>IMPORTADO</v>
      </c>
      <c r="M860" s="32" t="str">
        <f ca="1">IFERROR(VLOOKUP(MB25_VOLUMETRIA[[#This Row],[Reserva]],RES_AB[],14,FALSE),"")</f>
        <v>RESERVAS EM ATRASO</v>
      </c>
      <c r="N860" s="32" t="str">
        <f>IF(MB25_VOLUMETRIA[[#This Row],[Cen.]]="","",IFERROR(VLOOKUP(MB25_VOLUMETRIA[[#This Row],[Cen.]],Dados_Empresas[],2,FALSE),"Verificar empresa"))</f>
        <v>NET MASSIVO</v>
      </c>
      <c r="O860" s="32" t="str">
        <f>IF(MB25_VOLUMETRIA[[#This Row],[EMPRESA]]="","",IF(OR(MB25_VOLUMETRIA[[#This Row],[EMPRESA]]="NET MASSIVO",MB25_VOLUMETRIA[[#This Row],[EMPRESA]]="NET PROJETOS"),"NET","EMPRESARIAL"))</f>
        <v>NET</v>
      </c>
    </row>
    <row r="861" spans="1:15" x14ac:dyDescent="0.25">
      <c r="A861" s="32">
        <v>4381110</v>
      </c>
      <c r="B861" s="32" t="s">
        <v>21</v>
      </c>
      <c r="C861" s="33" t="s">
        <v>19</v>
      </c>
      <c r="D861" s="35">
        <v>45447</v>
      </c>
      <c r="E861" s="32" t="s">
        <v>185</v>
      </c>
      <c r="F861" s="32">
        <v>22026279</v>
      </c>
      <c r="G861" s="32" t="s">
        <v>350</v>
      </c>
      <c r="H861" s="26" t="s">
        <v>38</v>
      </c>
      <c r="I861" s="36">
        <v>40</v>
      </c>
      <c r="J861" s="32">
        <f>IF(MB25_VOLUMETRIA[[#This Row],[Reserva]]="","",1)</f>
        <v>1</v>
      </c>
      <c r="K861" s="36" t="str">
        <f>IF(MB25_VOLUMETRIA[[#This Row],[Reserva]]="","",IFERROR(VLOOKUP(MB25_VOLUMETRIA[[#This Row],[UMB]],CHAVE[],2,FALSE),"VERIFICAR"))</f>
        <v>Unidade</v>
      </c>
      <c r="L861" s="32" t="str">
        <f>IF(MB25_VOLUMETRIA[[#This Row],[Reserva]]="","",IFERROR(VLOOKUP(MB25_VOLUMETRIA[[#This Row],[Reserva]],Tabela3[[Reserva]:[Condição para Faturamento]],20,FALSE),"IMPORTADO COM SUCESSO"))</f>
        <v>EM RESSUPRIMENTO</v>
      </c>
      <c r="M861" s="32" t="str">
        <f ca="1">IFERROR(VLOOKUP(MB25_VOLUMETRIA[[#This Row],[Reserva]],RES_AB[],14,FALSE),"")</f>
        <v>RESERVAS EM ATRASO</v>
      </c>
      <c r="N861" s="32" t="str">
        <f>IF(MB25_VOLUMETRIA[[#This Row],[Cen.]]="","",IFERROR(VLOOKUP(MB25_VOLUMETRIA[[#This Row],[Cen.]],Dados_Empresas[],2,FALSE),"Verificar empresa"))</f>
        <v>NET MASSIVO</v>
      </c>
      <c r="O861" s="32" t="str">
        <f>IF(MB25_VOLUMETRIA[[#This Row],[EMPRESA]]="","",IF(OR(MB25_VOLUMETRIA[[#This Row],[EMPRESA]]="NET MASSIVO",MB25_VOLUMETRIA[[#This Row],[EMPRESA]]="NET PROJETOS"),"NET","EMPRESARIAL"))</f>
        <v>NET</v>
      </c>
    </row>
    <row r="862" spans="1:15" x14ac:dyDescent="0.25">
      <c r="A862" s="32">
        <v>4381110</v>
      </c>
      <c r="B862" s="32" t="s">
        <v>21</v>
      </c>
      <c r="C862" s="33" t="s">
        <v>19</v>
      </c>
      <c r="D862" s="35">
        <v>45447</v>
      </c>
      <c r="E862" s="32" t="s">
        <v>185</v>
      </c>
      <c r="F862" s="32">
        <v>22026293</v>
      </c>
      <c r="G862" s="32" t="s">
        <v>352</v>
      </c>
      <c r="H862" s="26" t="s">
        <v>38</v>
      </c>
      <c r="I862" s="36">
        <v>70</v>
      </c>
      <c r="J862" s="32">
        <f>IF(MB25_VOLUMETRIA[[#This Row],[Reserva]]="","",1)</f>
        <v>1</v>
      </c>
      <c r="K862" s="36" t="str">
        <f>IF(MB25_VOLUMETRIA[[#This Row],[Reserva]]="","",IFERROR(VLOOKUP(MB25_VOLUMETRIA[[#This Row],[UMB]],CHAVE[],2,FALSE),"VERIFICAR"))</f>
        <v>Unidade</v>
      </c>
      <c r="L862" s="32" t="str">
        <f>IF(MB25_VOLUMETRIA[[#This Row],[Reserva]]="","",IFERROR(VLOOKUP(MB25_VOLUMETRIA[[#This Row],[Reserva]],Tabela3[[Reserva]:[Condição para Faturamento]],20,FALSE),"IMPORTADO COM SUCESSO"))</f>
        <v>EM RESSUPRIMENTO</v>
      </c>
      <c r="M862" s="32" t="str">
        <f ca="1">IFERROR(VLOOKUP(MB25_VOLUMETRIA[[#This Row],[Reserva]],RES_AB[],14,FALSE),"")</f>
        <v>RESERVAS EM ATRASO</v>
      </c>
      <c r="N862" s="32" t="str">
        <f>IF(MB25_VOLUMETRIA[[#This Row],[Cen.]]="","",IFERROR(VLOOKUP(MB25_VOLUMETRIA[[#This Row],[Cen.]],Dados_Empresas[],2,FALSE),"Verificar empresa"))</f>
        <v>NET MASSIVO</v>
      </c>
      <c r="O862" s="32" t="str">
        <f>IF(MB25_VOLUMETRIA[[#This Row],[EMPRESA]]="","",IF(OR(MB25_VOLUMETRIA[[#This Row],[EMPRESA]]="NET MASSIVO",MB25_VOLUMETRIA[[#This Row],[EMPRESA]]="NET PROJETOS"),"NET","EMPRESARIAL"))</f>
        <v>NET</v>
      </c>
    </row>
    <row r="863" spans="1:15" x14ac:dyDescent="0.25">
      <c r="A863" s="32">
        <v>4381110</v>
      </c>
      <c r="B863" s="32" t="s">
        <v>21</v>
      </c>
      <c r="C863" s="33" t="s">
        <v>21</v>
      </c>
      <c r="D863" s="35">
        <v>45447</v>
      </c>
      <c r="E863" s="32" t="s">
        <v>185</v>
      </c>
      <c r="F863" s="32">
        <v>22060422</v>
      </c>
      <c r="G863" s="32" t="s">
        <v>298</v>
      </c>
      <c r="H863" s="26" t="s">
        <v>38</v>
      </c>
      <c r="I863" s="36">
        <v>40</v>
      </c>
      <c r="J863" s="32">
        <f>IF(MB25_VOLUMETRIA[[#This Row],[Reserva]]="","",1)</f>
        <v>1</v>
      </c>
      <c r="K863" s="36" t="str">
        <f>IF(MB25_VOLUMETRIA[[#This Row],[Reserva]]="","",IFERROR(VLOOKUP(MB25_VOLUMETRIA[[#This Row],[UMB]],CHAVE[],2,FALSE),"VERIFICAR"))</f>
        <v>Unidade</v>
      </c>
      <c r="L863" s="32" t="str">
        <f>IF(MB25_VOLUMETRIA[[#This Row],[Reserva]]="","",IFERROR(VLOOKUP(MB25_VOLUMETRIA[[#This Row],[Reserva]],Tabela3[[Reserva]:[Condição para Faturamento]],20,FALSE),"IMPORTADO COM SUCESSO"))</f>
        <v>EM RESSUPRIMENTO</v>
      </c>
      <c r="M863" s="32" t="str">
        <f ca="1">IFERROR(VLOOKUP(MB25_VOLUMETRIA[[#This Row],[Reserva]],RES_AB[],14,FALSE),"")</f>
        <v>RESERVAS EM ATRASO</v>
      </c>
      <c r="N863" s="32" t="str">
        <f>IF(MB25_VOLUMETRIA[[#This Row],[Cen.]]="","",IFERROR(VLOOKUP(MB25_VOLUMETRIA[[#This Row],[Cen.]],Dados_Empresas[],2,FALSE),"Verificar empresa"))</f>
        <v>NET MASSIVO</v>
      </c>
      <c r="O863" s="32" t="str">
        <f>IF(MB25_VOLUMETRIA[[#This Row],[EMPRESA]]="","",IF(OR(MB25_VOLUMETRIA[[#This Row],[EMPRESA]]="NET MASSIVO",MB25_VOLUMETRIA[[#This Row],[EMPRESA]]="NET PROJETOS"),"NET","EMPRESARIAL"))</f>
        <v>NET</v>
      </c>
    </row>
    <row r="864" spans="1:15" x14ac:dyDescent="0.25">
      <c r="A864" s="32">
        <v>4381111</v>
      </c>
      <c r="B864" s="32" t="s">
        <v>21</v>
      </c>
      <c r="C864" s="33" t="s">
        <v>19</v>
      </c>
      <c r="D864" s="35">
        <v>45447</v>
      </c>
      <c r="E864" s="32" t="s">
        <v>184</v>
      </c>
      <c r="F864" s="32">
        <v>41001234</v>
      </c>
      <c r="G864" s="32" t="s">
        <v>189</v>
      </c>
      <c r="H864" s="26" t="s">
        <v>38</v>
      </c>
      <c r="I864" s="36">
        <v>40</v>
      </c>
      <c r="J864" s="32">
        <f>IF(MB25_VOLUMETRIA[[#This Row],[Reserva]]="","",1)</f>
        <v>1</v>
      </c>
      <c r="K864" s="36" t="str">
        <f>IF(MB25_VOLUMETRIA[[#This Row],[Reserva]]="","",IFERROR(VLOOKUP(MB25_VOLUMETRIA[[#This Row],[UMB]],CHAVE[],2,FALSE),"VERIFICAR"))</f>
        <v>Unidade</v>
      </c>
      <c r="L864" s="32" t="str">
        <f>IF(MB25_VOLUMETRIA[[#This Row],[Reserva]]="","",IFERROR(VLOOKUP(MB25_VOLUMETRIA[[#This Row],[Reserva]],Tabela3[[Reserva]:[Condição para Faturamento]],20,FALSE),"IMPORTADO COM SUCESSO"))</f>
        <v>IMPORTADO</v>
      </c>
      <c r="M864" s="32" t="str">
        <f ca="1">IFERROR(VLOOKUP(MB25_VOLUMETRIA[[#This Row],[Reserva]],RES_AB[],14,FALSE),"")</f>
        <v>RESERVAS EM ATRASO</v>
      </c>
      <c r="N864" s="32" t="str">
        <f>IF(MB25_VOLUMETRIA[[#This Row],[Cen.]]="","",IFERROR(VLOOKUP(MB25_VOLUMETRIA[[#This Row],[Cen.]],Dados_Empresas[],2,FALSE),"Verificar empresa"))</f>
        <v>NET MASSIVO</v>
      </c>
      <c r="O864" s="32" t="str">
        <f>IF(MB25_VOLUMETRIA[[#This Row],[EMPRESA]]="","",IF(OR(MB25_VOLUMETRIA[[#This Row],[EMPRESA]]="NET MASSIVO",MB25_VOLUMETRIA[[#This Row],[EMPRESA]]="NET PROJETOS"),"NET","EMPRESARIAL"))</f>
        <v>NET</v>
      </c>
    </row>
    <row r="865" spans="1:15" x14ac:dyDescent="0.25">
      <c r="A865" s="32">
        <v>4381111</v>
      </c>
      <c r="B865" s="32" t="s">
        <v>21</v>
      </c>
      <c r="C865" s="33" t="s">
        <v>19</v>
      </c>
      <c r="D865" s="35">
        <v>45447</v>
      </c>
      <c r="E865" s="32" t="s">
        <v>184</v>
      </c>
      <c r="F865" s="32">
        <v>41001276</v>
      </c>
      <c r="G865" s="32" t="s">
        <v>351</v>
      </c>
      <c r="H865" s="26" t="s">
        <v>38</v>
      </c>
      <c r="I865" s="36">
        <v>40</v>
      </c>
      <c r="J865" s="32">
        <f>IF(MB25_VOLUMETRIA[[#This Row],[Reserva]]="","",1)</f>
        <v>1</v>
      </c>
      <c r="K865" s="36" t="str">
        <f>IF(MB25_VOLUMETRIA[[#This Row],[Reserva]]="","",IFERROR(VLOOKUP(MB25_VOLUMETRIA[[#This Row],[UMB]],CHAVE[],2,FALSE),"VERIFICAR"))</f>
        <v>Unidade</v>
      </c>
      <c r="L865" s="32" t="str">
        <f>IF(MB25_VOLUMETRIA[[#This Row],[Reserva]]="","",IFERROR(VLOOKUP(MB25_VOLUMETRIA[[#This Row],[Reserva]],Tabela3[[Reserva]:[Condição para Faturamento]],20,FALSE),"IMPORTADO COM SUCESSO"))</f>
        <v>IMPORTADO</v>
      </c>
      <c r="M865" s="32" t="str">
        <f ca="1">IFERROR(VLOOKUP(MB25_VOLUMETRIA[[#This Row],[Reserva]],RES_AB[],14,FALSE),"")</f>
        <v>RESERVAS EM ATRASO</v>
      </c>
      <c r="N865" s="32" t="str">
        <f>IF(MB25_VOLUMETRIA[[#This Row],[Cen.]]="","",IFERROR(VLOOKUP(MB25_VOLUMETRIA[[#This Row],[Cen.]],Dados_Empresas[],2,FALSE),"Verificar empresa"))</f>
        <v>NET MASSIVO</v>
      </c>
      <c r="O865" s="32" t="str">
        <f>IF(MB25_VOLUMETRIA[[#This Row],[EMPRESA]]="","",IF(OR(MB25_VOLUMETRIA[[#This Row],[EMPRESA]]="NET MASSIVO",MB25_VOLUMETRIA[[#This Row],[EMPRESA]]="NET PROJETOS"),"NET","EMPRESARIAL"))</f>
        <v>NET</v>
      </c>
    </row>
    <row r="866" spans="1:15" x14ac:dyDescent="0.25">
      <c r="A866" s="32">
        <v>4381111</v>
      </c>
      <c r="B866" s="32" t="s">
        <v>21</v>
      </c>
      <c r="C866" s="33" t="s">
        <v>19</v>
      </c>
      <c r="D866" s="35">
        <v>45447</v>
      </c>
      <c r="E866" s="32" t="s">
        <v>184</v>
      </c>
      <c r="F866" s="32">
        <v>41001292</v>
      </c>
      <c r="G866" s="32" t="s">
        <v>353</v>
      </c>
      <c r="H866" s="26" t="s">
        <v>38</v>
      </c>
      <c r="I866" s="36">
        <v>70</v>
      </c>
      <c r="J866" s="32">
        <f>IF(MB25_VOLUMETRIA[[#This Row],[Reserva]]="","",1)</f>
        <v>1</v>
      </c>
      <c r="K866" s="36" t="str">
        <f>IF(MB25_VOLUMETRIA[[#This Row],[Reserva]]="","",IFERROR(VLOOKUP(MB25_VOLUMETRIA[[#This Row],[UMB]],CHAVE[],2,FALSE),"VERIFICAR"))</f>
        <v>Unidade</v>
      </c>
      <c r="L866" s="32" t="str">
        <f>IF(MB25_VOLUMETRIA[[#This Row],[Reserva]]="","",IFERROR(VLOOKUP(MB25_VOLUMETRIA[[#This Row],[Reserva]],Tabela3[[Reserva]:[Condição para Faturamento]],20,FALSE),"IMPORTADO COM SUCESSO"))</f>
        <v>IMPORTADO</v>
      </c>
      <c r="M866" s="32" t="str">
        <f ca="1">IFERROR(VLOOKUP(MB25_VOLUMETRIA[[#This Row],[Reserva]],RES_AB[],14,FALSE),"")</f>
        <v>RESERVAS EM ATRASO</v>
      </c>
      <c r="N866" s="32" t="str">
        <f>IF(MB25_VOLUMETRIA[[#This Row],[Cen.]]="","",IFERROR(VLOOKUP(MB25_VOLUMETRIA[[#This Row],[Cen.]],Dados_Empresas[],2,FALSE),"Verificar empresa"))</f>
        <v>NET MASSIVO</v>
      </c>
      <c r="O866" s="32" t="str">
        <f>IF(MB25_VOLUMETRIA[[#This Row],[EMPRESA]]="","",IF(OR(MB25_VOLUMETRIA[[#This Row],[EMPRESA]]="NET MASSIVO",MB25_VOLUMETRIA[[#This Row],[EMPRESA]]="NET PROJETOS"),"NET","EMPRESARIAL"))</f>
        <v>NET</v>
      </c>
    </row>
    <row r="867" spans="1:15" x14ac:dyDescent="0.25">
      <c r="A867" s="32">
        <v>4381112</v>
      </c>
      <c r="B867" s="32" t="s">
        <v>21</v>
      </c>
      <c r="C867" s="33" t="s">
        <v>21</v>
      </c>
      <c r="D867" s="35">
        <v>45447</v>
      </c>
      <c r="E867" s="32" t="s">
        <v>185</v>
      </c>
      <c r="F867" s="32">
        <v>22023400</v>
      </c>
      <c r="G867" s="32" t="s">
        <v>219</v>
      </c>
      <c r="H867" s="26" t="s">
        <v>38</v>
      </c>
      <c r="I867" s="36">
        <v>400</v>
      </c>
      <c r="J867" s="32">
        <f>IF(MB25_VOLUMETRIA[[#This Row],[Reserva]]="","",1)</f>
        <v>1</v>
      </c>
      <c r="K867" s="36" t="str">
        <f>IF(MB25_VOLUMETRIA[[#This Row],[Reserva]]="","",IFERROR(VLOOKUP(MB25_VOLUMETRIA[[#This Row],[UMB]],CHAVE[],2,FALSE),"VERIFICAR"))</f>
        <v>Unidade</v>
      </c>
      <c r="L867" s="32" t="str">
        <f>IF(MB25_VOLUMETRIA[[#This Row],[Reserva]]="","",IFERROR(VLOOKUP(MB25_VOLUMETRIA[[#This Row],[Reserva]],Tabela3[[Reserva]:[Condição para Faturamento]],20,FALSE),"IMPORTADO COM SUCESSO"))</f>
        <v>EM RESSUPRIMENTO</v>
      </c>
      <c r="M867" s="32" t="str">
        <f ca="1">IFERROR(VLOOKUP(MB25_VOLUMETRIA[[#This Row],[Reserva]],RES_AB[],14,FALSE),"")</f>
        <v>RESERVAS EM ATRASO</v>
      </c>
      <c r="N867" s="32" t="str">
        <f>IF(MB25_VOLUMETRIA[[#This Row],[Cen.]]="","",IFERROR(VLOOKUP(MB25_VOLUMETRIA[[#This Row],[Cen.]],Dados_Empresas[],2,FALSE),"Verificar empresa"))</f>
        <v>NET MASSIVO</v>
      </c>
      <c r="O867" s="32" t="str">
        <f>IF(MB25_VOLUMETRIA[[#This Row],[EMPRESA]]="","",IF(OR(MB25_VOLUMETRIA[[#This Row],[EMPRESA]]="NET MASSIVO",MB25_VOLUMETRIA[[#This Row],[EMPRESA]]="NET PROJETOS"),"NET","EMPRESARIAL"))</f>
        <v>NET</v>
      </c>
    </row>
    <row r="868" spans="1:15" x14ac:dyDescent="0.25">
      <c r="A868" s="32">
        <v>4381112</v>
      </c>
      <c r="B868" s="32" t="s">
        <v>21</v>
      </c>
      <c r="C868" s="33" t="s">
        <v>21</v>
      </c>
      <c r="D868" s="35">
        <v>45447</v>
      </c>
      <c r="E868" s="32" t="s">
        <v>185</v>
      </c>
      <c r="F868" s="32">
        <v>22025242</v>
      </c>
      <c r="G868" s="32" t="s">
        <v>329</v>
      </c>
      <c r="H868" s="26" t="s">
        <v>38</v>
      </c>
      <c r="I868" s="36">
        <v>100</v>
      </c>
      <c r="J868" s="32">
        <f>IF(MB25_VOLUMETRIA[[#This Row],[Reserva]]="","",1)</f>
        <v>1</v>
      </c>
      <c r="K868" s="36" t="str">
        <f>IF(MB25_VOLUMETRIA[[#This Row],[Reserva]]="","",IFERROR(VLOOKUP(MB25_VOLUMETRIA[[#This Row],[UMB]],CHAVE[],2,FALSE),"VERIFICAR"))</f>
        <v>Unidade</v>
      </c>
      <c r="L868" s="32" t="str">
        <f>IF(MB25_VOLUMETRIA[[#This Row],[Reserva]]="","",IFERROR(VLOOKUP(MB25_VOLUMETRIA[[#This Row],[Reserva]],Tabela3[[Reserva]:[Condição para Faturamento]],20,FALSE),"IMPORTADO COM SUCESSO"))</f>
        <v>EM RESSUPRIMENTO</v>
      </c>
      <c r="M868" s="32" t="str">
        <f ca="1">IFERROR(VLOOKUP(MB25_VOLUMETRIA[[#This Row],[Reserva]],RES_AB[],14,FALSE),"")</f>
        <v>RESERVAS EM ATRASO</v>
      </c>
      <c r="N868" s="32" t="str">
        <f>IF(MB25_VOLUMETRIA[[#This Row],[Cen.]]="","",IFERROR(VLOOKUP(MB25_VOLUMETRIA[[#This Row],[Cen.]],Dados_Empresas[],2,FALSE),"Verificar empresa"))</f>
        <v>NET MASSIVO</v>
      </c>
      <c r="O868" s="32" t="str">
        <f>IF(MB25_VOLUMETRIA[[#This Row],[EMPRESA]]="","",IF(OR(MB25_VOLUMETRIA[[#This Row],[EMPRESA]]="NET MASSIVO",MB25_VOLUMETRIA[[#This Row],[EMPRESA]]="NET PROJETOS"),"NET","EMPRESARIAL"))</f>
        <v>NET</v>
      </c>
    </row>
    <row r="869" spans="1:15" x14ac:dyDescent="0.25">
      <c r="A869" s="32">
        <v>4381112</v>
      </c>
      <c r="B869" s="32" t="s">
        <v>21</v>
      </c>
      <c r="C869" s="33" t="s">
        <v>19</v>
      </c>
      <c r="D869" s="35">
        <v>45447</v>
      </c>
      <c r="E869" s="32" t="s">
        <v>185</v>
      </c>
      <c r="F869" s="32">
        <v>22026095</v>
      </c>
      <c r="G869" s="32" t="s">
        <v>299</v>
      </c>
      <c r="H869" s="26" t="s">
        <v>38</v>
      </c>
      <c r="I869" s="36">
        <v>100</v>
      </c>
      <c r="J869" s="32">
        <f>IF(MB25_VOLUMETRIA[[#This Row],[Reserva]]="","",1)</f>
        <v>1</v>
      </c>
      <c r="K869" s="36" t="str">
        <f>IF(MB25_VOLUMETRIA[[#This Row],[Reserva]]="","",IFERROR(VLOOKUP(MB25_VOLUMETRIA[[#This Row],[UMB]],CHAVE[],2,FALSE),"VERIFICAR"))</f>
        <v>Unidade</v>
      </c>
      <c r="L869" s="32" t="str">
        <f>IF(MB25_VOLUMETRIA[[#This Row],[Reserva]]="","",IFERROR(VLOOKUP(MB25_VOLUMETRIA[[#This Row],[Reserva]],Tabela3[[Reserva]:[Condição para Faturamento]],20,FALSE),"IMPORTADO COM SUCESSO"))</f>
        <v>EM RESSUPRIMENTO</v>
      </c>
      <c r="M869" s="32" t="str">
        <f ca="1">IFERROR(VLOOKUP(MB25_VOLUMETRIA[[#This Row],[Reserva]],RES_AB[],14,FALSE),"")</f>
        <v>RESERVAS EM ATRASO</v>
      </c>
      <c r="N869" s="32" t="str">
        <f>IF(MB25_VOLUMETRIA[[#This Row],[Cen.]]="","",IFERROR(VLOOKUP(MB25_VOLUMETRIA[[#This Row],[Cen.]],Dados_Empresas[],2,FALSE),"Verificar empresa"))</f>
        <v>NET MASSIVO</v>
      </c>
      <c r="O869" s="32" t="str">
        <f>IF(MB25_VOLUMETRIA[[#This Row],[EMPRESA]]="","",IF(OR(MB25_VOLUMETRIA[[#This Row],[EMPRESA]]="NET MASSIVO",MB25_VOLUMETRIA[[#This Row],[EMPRESA]]="NET PROJETOS"),"NET","EMPRESARIAL"))</f>
        <v>NET</v>
      </c>
    </row>
    <row r="870" spans="1:15" x14ac:dyDescent="0.25">
      <c r="A870" s="32">
        <v>4381112</v>
      </c>
      <c r="B870" s="32" t="s">
        <v>21</v>
      </c>
      <c r="C870" s="33" t="s">
        <v>19</v>
      </c>
      <c r="D870" s="35">
        <v>45447</v>
      </c>
      <c r="E870" s="32" t="s">
        <v>185</v>
      </c>
      <c r="F870" s="32">
        <v>22026293</v>
      </c>
      <c r="G870" s="32" t="s">
        <v>352</v>
      </c>
      <c r="H870" s="26" t="s">
        <v>38</v>
      </c>
      <c r="I870" s="36">
        <v>20</v>
      </c>
      <c r="J870" s="32">
        <f>IF(MB25_VOLUMETRIA[[#This Row],[Reserva]]="","",1)</f>
        <v>1</v>
      </c>
      <c r="K870" s="36" t="str">
        <f>IF(MB25_VOLUMETRIA[[#This Row],[Reserva]]="","",IFERROR(VLOOKUP(MB25_VOLUMETRIA[[#This Row],[UMB]],CHAVE[],2,FALSE),"VERIFICAR"))</f>
        <v>Unidade</v>
      </c>
      <c r="L870" s="32" t="str">
        <f>IF(MB25_VOLUMETRIA[[#This Row],[Reserva]]="","",IFERROR(VLOOKUP(MB25_VOLUMETRIA[[#This Row],[Reserva]],Tabela3[[Reserva]:[Condição para Faturamento]],20,FALSE),"IMPORTADO COM SUCESSO"))</f>
        <v>EM RESSUPRIMENTO</v>
      </c>
      <c r="M870" s="32" t="str">
        <f ca="1">IFERROR(VLOOKUP(MB25_VOLUMETRIA[[#This Row],[Reserva]],RES_AB[],14,FALSE),"")</f>
        <v>RESERVAS EM ATRASO</v>
      </c>
      <c r="N870" s="32" t="str">
        <f>IF(MB25_VOLUMETRIA[[#This Row],[Cen.]]="","",IFERROR(VLOOKUP(MB25_VOLUMETRIA[[#This Row],[Cen.]],Dados_Empresas[],2,FALSE),"Verificar empresa"))</f>
        <v>NET MASSIVO</v>
      </c>
      <c r="O870" s="32" t="str">
        <f>IF(MB25_VOLUMETRIA[[#This Row],[EMPRESA]]="","",IF(OR(MB25_VOLUMETRIA[[#This Row],[EMPRESA]]="NET MASSIVO",MB25_VOLUMETRIA[[#This Row],[EMPRESA]]="NET PROJETOS"),"NET","EMPRESARIAL"))</f>
        <v>NET</v>
      </c>
    </row>
    <row r="871" spans="1:15" x14ac:dyDescent="0.25">
      <c r="A871" s="32">
        <v>4381113</v>
      </c>
      <c r="B871" s="32" t="s">
        <v>21</v>
      </c>
      <c r="C871" s="33" t="s">
        <v>19</v>
      </c>
      <c r="D871" s="35">
        <v>45447</v>
      </c>
      <c r="E871" s="32" t="s">
        <v>184</v>
      </c>
      <c r="F871" s="32">
        <v>41001292</v>
      </c>
      <c r="G871" s="32" t="s">
        <v>353</v>
      </c>
      <c r="H871" s="26" t="s">
        <v>38</v>
      </c>
      <c r="I871" s="36">
        <v>20</v>
      </c>
      <c r="J871" s="32">
        <f>IF(MB25_VOLUMETRIA[[#This Row],[Reserva]]="","",1)</f>
        <v>1</v>
      </c>
      <c r="K871" s="36" t="str">
        <f>IF(MB25_VOLUMETRIA[[#This Row],[Reserva]]="","",IFERROR(VLOOKUP(MB25_VOLUMETRIA[[#This Row],[UMB]],CHAVE[],2,FALSE),"VERIFICAR"))</f>
        <v>Unidade</v>
      </c>
      <c r="L871" s="32" t="str">
        <f>IF(MB25_VOLUMETRIA[[#This Row],[Reserva]]="","",IFERROR(VLOOKUP(MB25_VOLUMETRIA[[#This Row],[Reserva]],Tabela3[[Reserva]:[Condição para Faturamento]],20,FALSE),"IMPORTADO COM SUCESSO"))</f>
        <v>IMPORTADO</v>
      </c>
      <c r="M871" s="32" t="str">
        <f ca="1">IFERROR(VLOOKUP(MB25_VOLUMETRIA[[#This Row],[Reserva]],RES_AB[],14,FALSE),"")</f>
        <v>RESERVAS EM ATRASO</v>
      </c>
      <c r="N871" s="32" t="str">
        <f>IF(MB25_VOLUMETRIA[[#This Row],[Cen.]]="","",IFERROR(VLOOKUP(MB25_VOLUMETRIA[[#This Row],[Cen.]],Dados_Empresas[],2,FALSE),"Verificar empresa"))</f>
        <v>NET MASSIVO</v>
      </c>
      <c r="O871" s="32" t="str">
        <f>IF(MB25_VOLUMETRIA[[#This Row],[EMPRESA]]="","",IF(OR(MB25_VOLUMETRIA[[#This Row],[EMPRESA]]="NET MASSIVO",MB25_VOLUMETRIA[[#This Row],[EMPRESA]]="NET PROJETOS"),"NET","EMPRESARIAL"))</f>
        <v>NET</v>
      </c>
    </row>
    <row r="872" spans="1:15" x14ac:dyDescent="0.25">
      <c r="A872" s="32">
        <v>4381113</v>
      </c>
      <c r="B872" s="32" t="s">
        <v>21</v>
      </c>
      <c r="C872" s="33" t="s">
        <v>21</v>
      </c>
      <c r="D872" s="35">
        <v>45447</v>
      </c>
      <c r="E872" s="32" t="s">
        <v>184</v>
      </c>
      <c r="F872" s="32">
        <v>41001567</v>
      </c>
      <c r="G872" s="32" t="s">
        <v>354</v>
      </c>
      <c r="H872" s="26" t="s">
        <v>38</v>
      </c>
      <c r="I872" s="36">
        <v>80</v>
      </c>
      <c r="J872" s="32">
        <f>IF(MB25_VOLUMETRIA[[#This Row],[Reserva]]="","",1)</f>
        <v>1</v>
      </c>
      <c r="K872" s="36" t="str">
        <f>IF(MB25_VOLUMETRIA[[#This Row],[Reserva]]="","",IFERROR(VLOOKUP(MB25_VOLUMETRIA[[#This Row],[UMB]],CHAVE[],2,FALSE),"VERIFICAR"))</f>
        <v>Unidade</v>
      </c>
      <c r="L872" s="32" t="str">
        <f>IF(MB25_VOLUMETRIA[[#This Row],[Reserva]]="","",IFERROR(VLOOKUP(MB25_VOLUMETRIA[[#This Row],[Reserva]],Tabela3[[Reserva]:[Condição para Faturamento]],20,FALSE),"IMPORTADO COM SUCESSO"))</f>
        <v>IMPORTADO</v>
      </c>
      <c r="M872" s="32" t="str">
        <f ca="1">IFERROR(VLOOKUP(MB25_VOLUMETRIA[[#This Row],[Reserva]],RES_AB[],14,FALSE),"")</f>
        <v>RESERVAS EM ATRASO</v>
      </c>
      <c r="N872" s="32" t="str">
        <f>IF(MB25_VOLUMETRIA[[#This Row],[Cen.]]="","",IFERROR(VLOOKUP(MB25_VOLUMETRIA[[#This Row],[Cen.]],Dados_Empresas[],2,FALSE),"Verificar empresa"))</f>
        <v>NET MASSIVO</v>
      </c>
      <c r="O872" s="32" t="str">
        <f>IF(MB25_VOLUMETRIA[[#This Row],[EMPRESA]]="","",IF(OR(MB25_VOLUMETRIA[[#This Row],[EMPRESA]]="NET MASSIVO",MB25_VOLUMETRIA[[#This Row],[EMPRESA]]="NET PROJETOS"),"NET","EMPRESARIAL"))</f>
        <v>NET</v>
      </c>
    </row>
    <row r="873" spans="1:15" x14ac:dyDescent="0.25">
      <c r="A873" s="32">
        <v>4381113</v>
      </c>
      <c r="B873" s="32" t="s">
        <v>21</v>
      </c>
      <c r="C873" s="33" t="s">
        <v>21</v>
      </c>
      <c r="D873" s="35">
        <v>45447</v>
      </c>
      <c r="E873" s="32" t="s">
        <v>184</v>
      </c>
      <c r="F873" s="32">
        <v>41001590</v>
      </c>
      <c r="G873" s="32" t="s">
        <v>239</v>
      </c>
      <c r="H873" s="26" t="s">
        <v>38</v>
      </c>
      <c r="I873" s="36">
        <v>120</v>
      </c>
      <c r="J873" s="32">
        <f>IF(MB25_VOLUMETRIA[[#This Row],[Reserva]]="","",1)</f>
        <v>1</v>
      </c>
      <c r="K873" s="36" t="str">
        <f>IF(MB25_VOLUMETRIA[[#This Row],[Reserva]]="","",IFERROR(VLOOKUP(MB25_VOLUMETRIA[[#This Row],[UMB]],CHAVE[],2,FALSE),"VERIFICAR"))</f>
        <v>Unidade</v>
      </c>
      <c r="L873" s="32" t="str">
        <f>IF(MB25_VOLUMETRIA[[#This Row],[Reserva]]="","",IFERROR(VLOOKUP(MB25_VOLUMETRIA[[#This Row],[Reserva]],Tabela3[[Reserva]:[Condição para Faturamento]],20,FALSE),"IMPORTADO COM SUCESSO"))</f>
        <v>IMPORTADO</v>
      </c>
      <c r="M873" s="32" t="str">
        <f ca="1">IFERROR(VLOOKUP(MB25_VOLUMETRIA[[#This Row],[Reserva]],RES_AB[],14,FALSE),"")</f>
        <v>RESERVAS EM ATRASO</v>
      </c>
      <c r="N873" s="32" t="str">
        <f>IF(MB25_VOLUMETRIA[[#This Row],[Cen.]]="","",IFERROR(VLOOKUP(MB25_VOLUMETRIA[[#This Row],[Cen.]],Dados_Empresas[],2,FALSE),"Verificar empresa"))</f>
        <v>NET MASSIVO</v>
      </c>
      <c r="O873" s="32" t="str">
        <f>IF(MB25_VOLUMETRIA[[#This Row],[EMPRESA]]="","",IF(OR(MB25_VOLUMETRIA[[#This Row],[EMPRESA]]="NET MASSIVO",MB25_VOLUMETRIA[[#This Row],[EMPRESA]]="NET PROJETOS"),"NET","EMPRESARIAL"))</f>
        <v>NET</v>
      </c>
    </row>
    <row r="874" spans="1:15" x14ac:dyDescent="0.25">
      <c r="A874" s="32">
        <v>4381116</v>
      </c>
      <c r="B874" s="32" t="s">
        <v>21</v>
      </c>
      <c r="C874" s="33" t="s">
        <v>19</v>
      </c>
      <c r="D874" s="35">
        <v>45447</v>
      </c>
      <c r="E874" s="32" t="s">
        <v>185</v>
      </c>
      <c r="F874" s="32">
        <v>22026279</v>
      </c>
      <c r="G874" s="32" t="s">
        <v>350</v>
      </c>
      <c r="H874" s="26" t="s">
        <v>38</v>
      </c>
      <c r="I874" s="36">
        <v>90</v>
      </c>
      <c r="J874" s="32">
        <f>IF(MB25_VOLUMETRIA[[#This Row],[Reserva]]="","",1)</f>
        <v>1</v>
      </c>
      <c r="K874" s="36" t="str">
        <f>IF(MB25_VOLUMETRIA[[#This Row],[Reserva]]="","",IFERROR(VLOOKUP(MB25_VOLUMETRIA[[#This Row],[UMB]],CHAVE[],2,FALSE),"VERIFICAR"))</f>
        <v>Unidade</v>
      </c>
      <c r="L874" s="32" t="str">
        <f>IF(MB25_VOLUMETRIA[[#This Row],[Reserva]]="","",IFERROR(VLOOKUP(MB25_VOLUMETRIA[[#This Row],[Reserva]],Tabela3[[Reserva]:[Condição para Faturamento]],20,FALSE),"IMPORTADO COM SUCESSO"))</f>
        <v>IMPORTADO</v>
      </c>
      <c r="M874" s="32" t="str">
        <f ca="1">IFERROR(VLOOKUP(MB25_VOLUMETRIA[[#This Row],[Reserva]],RES_AB[],14,FALSE),"")</f>
        <v>RESERVAS EM ATRASO</v>
      </c>
      <c r="N874" s="32" t="str">
        <f>IF(MB25_VOLUMETRIA[[#This Row],[Cen.]]="","",IFERROR(VLOOKUP(MB25_VOLUMETRIA[[#This Row],[Cen.]],Dados_Empresas[],2,FALSE),"Verificar empresa"))</f>
        <v>NET MASSIVO</v>
      </c>
      <c r="O874" s="32" t="str">
        <f>IF(MB25_VOLUMETRIA[[#This Row],[EMPRESA]]="","",IF(OR(MB25_VOLUMETRIA[[#This Row],[EMPRESA]]="NET MASSIVO",MB25_VOLUMETRIA[[#This Row],[EMPRESA]]="NET PROJETOS"),"NET","EMPRESARIAL"))</f>
        <v>NET</v>
      </c>
    </row>
    <row r="875" spans="1:15" x14ac:dyDescent="0.25">
      <c r="A875" s="32">
        <v>4381116</v>
      </c>
      <c r="B875" s="32" t="s">
        <v>21</v>
      </c>
      <c r="C875" s="33" t="s">
        <v>19</v>
      </c>
      <c r="D875" s="35">
        <v>45447</v>
      </c>
      <c r="E875" s="32" t="s">
        <v>185</v>
      </c>
      <c r="F875" s="32">
        <v>22026293</v>
      </c>
      <c r="G875" s="32" t="s">
        <v>352</v>
      </c>
      <c r="H875" s="26" t="s">
        <v>38</v>
      </c>
      <c r="I875" s="36">
        <v>50</v>
      </c>
      <c r="J875" s="32">
        <f>IF(MB25_VOLUMETRIA[[#This Row],[Reserva]]="","",1)</f>
        <v>1</v>
      </c>
      <c r="K875" s="36" t="str">
        <f>IF(MB25_VOLUMETRIA[[#This Row],[Reserva]]="","",IFERROR(VLOOKUP(MB25_VOLUMETRIA[[#This Row],[UMB]],CHAVE[],2,FALSE),"VERIFICAR"))</f>
        <v>Unidade</v>
      </c>
      <c r="L875" s="32" t="str">
        <f>IF(MB25_VOLUMETRIA[[#This Row],[Reserva]]="","",IFERROR(VLOOKUP(MB25_VOLUMETRIA[[#This Row],[Reserva]],Tabela3[[Reserva]:[Condição para Faturamento]],20,FALSE),"IMPORTADO COM SUCESSO"))</f>
        <v>IMPORTADO</v>
      </c>
      <c r="M875" s="32" t="str">
        <f ca="1">IFERROR(VLOOKUP(MB25_VOLUMETRIA[[#This Row],[Reserva]],RES_AB[],14,FALSE),"")</f>
        <v>RESERVAS EM ATRASO</v>
      </c>
      <c r="N875" s="32" t="str">
        <f>IF(MB25_VOLUMETRIA[[#This Row],[Cen.]]="","",IFERROR(VLOOKUP(MB25_VOLUMETRIA[[#This Row],[Cen.]],Dados_Empresas[],2,FALSE),"Verificar empresa"))</f>
        <v>NET MASSIVO</v>
      </c>
      <c r="O875" s="32" t="str">
        <f>IF(MB25_VOLUMETRIA[[#This Row],[EMPRESA]]="","",IF(OR(MB25_VOLUMETRIA[[#This Row],[EMPRESA]]="NET MASSIVO",MB25_VOLUMETRIA[[#This Row],[EMPRESA]]="NET PROJETOS"),"NET","EMPRESARIAL"))</f>
        <v>NET</v>
      </c>
    </row>
    <row r="876" spans="1:15" x14ac:dyDescent="0.25">
      <c r="A876" s="32">
        <v>4381116</v>
      </c>
      <c r="B876" s="32" t="s">
        <v>21</v>
      </c>
      <c r="C876" s="33" t="s">
        <v>21</v>
      </c>
      <c r="D876" s="35">
        <v>45447</v>
      </c>
      <c r="E876" s="32" t="s">
        <v>185</v>
      </c>
      <c r="F876" s="32">
        <v>22060422</v>
      </c>
      <c r="G876" s="32" t="s">
        <v>298</v>
      </c>
      <c r="H876" s="26" t="s">
        <v>38</v>
      </c>
      <c r="I876" s="36">
        <v>90</v>
      </c>
      <c r="J876" s="32">
        <f>IF(MB25_VOLUMETRIA[[#This Row],[Reserva]]="","",1)</f>
        <v>1</v>
      </c>
      <c r="K876" s="36" t="str">
        <f>IF(MB25_VOLUMETRIA[[#This Row],[Reserva]]="","",IFERROR(VLOOKUP(MB25_VOLUMETRIA[[#This Row],[UMB]],CHAVE[],2,FALSE),"VERIFICAR"))</f>
        <v>Unidade</v>
      </c>
      <c r="L876" s="32" t="str">
        <f>IF(MB25_VOLUMETRIA[[#This Row],[Reserva]]="","",IFERROR(VLOOKUP(MB25_VOLUMETRIA[[#This Row],[Reserva]],Tabela3[[Reserva]:[Condição para Faturamento]],20,FALSE),"IMPORTADO COM SUCESSO"))</f>
        <v>IMPORTADO</v>
      </c>
      <c r="M876" s="32" t="str">
        <f ca="1">IFERROR(VLOOKUP(MB25_VOLUMETRIA[[#This Row],[Reserva]],RES_AB[],14,FALSE),"")</f>
        <v>RESERVAS EM ATRASO</v>
      </c>
      <c r="N876" s="32" t="str">
        <f>IF(MB25_VOLUMETRIA[[#This Row],[Cen.]]="","",IFERROR(VLOOKUP(MB25_VOLUMETRIA[[#This Row],[Cen.]],Dados_Empresas[],2,FALSE),"Verificar empresa"))</f>
        <v>NET MASSIVO</v>
      </c>
      <c r="O876" s="32" t="str">
        <f>IF(MB25_VOLUMETRIA[[#This Row],[EMPRESA]]="","",IF(OR(MB25_VOLUMETRIA[[#This Row],[EMPRESA]]="NET MASSIVO",MB25_VOLUMETRIA[[#This Row],[EMPRESA]]="NET PROJETOS"),"NET","EMPRESARIAL"))</f>
        <v>NET</v>
      </c>
    </row>
    <row r="877" spans="1:15" x14ac:dyDescent="0.25">
      <c r="A877" s="32">
        <v>4381117</v>
      </c>
      <c r="B877" s="32" t="s">
        <v>21</v>
      </c>
      <c r="C877" s="33" t="s">
        <v>19</v>
      </c>
      <c r="D877" s="35">
        <v>45447</v>
      </c>
      <c r="E877" s="32" t="s">
        <v>184</v>
      </c>
      <c r="F877" s="32">
        <v>41001234</v>
      </c>
      <c r="G877" s="32" t="s">
        <v>189</v>
      </c>
      <c r="H877" s="26" t="s">
        <v>38</v>
      </c>
      <c r="I877" s="36">
        <v>90</v>
      </c>
      <c r="J877" s="32">
        <f>IF(MB25_VOLUMETRIA[[#This Row],[Reserva]]="","",1)</f>
        <v>1</v>
      </c>
      <c r="K877" s="36" t="str">
        <f>IF(MB25_VOLUMETRIA[[#This Row],[Reserva]]="","",IFERROR(VLOOKUP(MB25_VOLUMETRIA[[#This Row],[UMB]],CHAVE[],2,FALSE),"VERIFICAR"))</f>
        <v>Unidade</v>
      </c>
      <c r="L877" s="32" t="str">
        <f>IF(MB25_VOLUMETRIA[[#This Row],[Reserva]]="","",IFERROR(VLOOKUP(MB25_VOLUMETRIA[[#This Row],[Reserva]],Tabela3[[Reserva]:[Condição para Faturamento]],20,FALSE),"IMPORTADO COM SUCESSO"))</f>
        <v>IMPORTADO</v>
      </c>
      <c r="M877" s="32" t="str">
        <f ca="1">IFERROR(VLOOKUP(MB25_VOLUMETRIA[[#This Row],[Reserva]],RES_AB[],14,FALSE),"")</f>
        <v>RESERVAS EM ATRASO</v>
      </c>
      <c r="N877" s="32" t="str">
        <f>IF(MB25_VOLUMETRIA[[#This Row],[Cen.]]="","",IFERROR(VLOOKUP(MB25_VOLUMETRIA[[#This Row],[Cen.]],Dados_Empresas[],2,FALSE),"Verificar empresa"))</f>
        <v>NET MASSIVO</v>
      </c>
      <c r="O877" s="32" t="str">
        <f>IF(MB25_VOLUMETRIA[[#This Row],[EMPRESA]]="","",IF(OR(MB25_VOLUMETRIA[[#This Row],[EMPRESA]]="NET MASSIVO",MB25_VOLUMETRIA[[#This Row],[EMPRESA]]="NET PROJETOS"),"NET","EMPRESARIAL"))</f>
        <v>NET</v>
      </c>
    </row>
    <row r="878" spans="1:15" x14ac:dyDescent="0.25">
      <c r="A878" s="32">
        <v>4381117</v>
      </c>
      <c r="B878" s="32" t="s">
        <v>21</v>
      </c>
      <c r="C878" s="33" t="s">
        <v>19</v>
      </c>
      <c r="D878" s="35">
        <v>45447</v>
      </c>
      <c r="E878" s="32" t="s">
        <v>184</v>
      </c>
      <c r="F878" s="32">
        <v>41001276</v>
      </c>
      <c r="G878" s="32" t="s">
        <v>351</v>
      </c>
      <c r="H878" s="26" t="s">
        <v>38</v>
      </c>
      <c r="I878" s="36">
        <v>90</v>
      </c>
      <c r="J878" s="32">
        <f>IF(MB25_VOLUMETRIA[[#This Row],[Reserva]]="","",1)</f>
        <v>1</v>
      </c>
      <c r="K878" s="36" t="str">
        <f>IF(MB25_VOLUMETRIA[[#This Row],[Reserva]]="","",IFERROR(VLOOKUP(MB25_VOLUMETRIA[[#This Row],[UMB]],CHAVE[],2,FALSE),"VERIFICAR"))</f>
        <v>Unidade</v>
      </c>
      <c r="L878" s="32" t="str">
        <f>IF(MB25_VOLUMETRIA[[#This Row],[Reserva]]="","",IFERROR(VLOOKUP(MB25_VOLUMETRIA[[#This Row],[Reserva]],Tabela3[[Reserva]:[Condição para Faturamento]],20,FALSE),"IMPORTADO COM SUCESSO"))</f>
        <v>IMPORTADO</v>
      </c>
      <c r="M878" s="32" t="str">
        <f ca="1">IFERROR(VLOOKUP(MB25_VOLUMETRIA[[#This Row],[Reserva]],RES_AB[],14,FALSE),"")</f>
        <v>RESERVAS EM ATRASO</v>
      </c>
      <c r="N878" s="32" t="str">
        <f>IF(MB25_VOLUMETRIA[[#This Row],[Cen.]]="","",IFERROR(VLOOKUP(MB25_VOLUMETRIA[[#This Row],[Cen.]],Dados_Empresas[],2,FALSE),"Verificar empresa"))</f>
        <v>NET MASSIVO</v>
      </c>
      <c r="O878" s="32" t="str">
        <f>IF(MB25_VOLUMETRIA[[#This Row],[EMPRESA]]="","",IF(OR(MB25_VOLUMETRIA[[#This Row],[EMPRESA]]="NET MASSIVO",MB25_VOLUMETRIA[[#This Row],[EMPRESA]]="NET PROJETOS"),"NET","EMPRESARIAL"))</f>
        <v>NET</v>
      </c>
    </row>
    <row r="879" spans="1:15" x14ac:dyDescent="0.25">
      <c r="A879" s="32">
        <v>4381117</v>
      </c>
      <c r="B879" s="32" t="s">
        <v>21</v>
      </c>
      <c r="C879" s="33" t="s">
        <v>19</v>
      </c>
      <c r="D879" s="35">
        <v>45447</v>
      </c>
      <c r="E879" s="32" t="s">
        <v>184</v>
      </c>
      <c r="F879" s="32">
        <v>41001292</v>
      </c>
      <c r="G879" s="32" t="s">
        <v>353</v>
      </c>
      <c r="H879" s="26" t="s">
        <v>38</v>
      </c>
      <c r="I879" s="36">
        <v>50</v>
      </c>
      <c r="J879" s="32">
        <f>IF(MB25_VOLUMETRIA[[#This Row],[Reserva]]="","",1)</f>
        <v>1</v>
      </c>
      <c r="K879" s="36" t="str">
        <f>IF(MB25_VOLUMETRIA[[#This Row],[Reserva]]="","",IFERROR(VLOOKUP(MB25_VOLUMETRIA[[#This Row],[UMB]],CHAVE[],2,FALSE),"VERIFICAR"))</f>
        <v>Unidade</v>
      </c>
      <c r="L879" s="32" t="str">
        <f>IF(MB25_VOLUMETRIA[[#This Row],[Reserva]]="","",IFERROR(VLOOKUP(MB25_VOLUMETRIA[[#This Row],[Reserva]],Tabela3[[Reserva]:[Condição para Faturamento]],20,FALSE),"IMPORTADO COM SUCESSO"))</f>
        <v>IMPORTADO</v>
      </c>
      <c r="M879" s="32" t="str">
        <f ca="1">IFERROR(VLOOKUP(MB25_VOLUMETRIA[[#This Row],[Reserva]],RES_AB[],14,FALSE),"")</f>
        <v>RESERVAS EM ATRASO</v>
      </c>
      <c r="N879" s="32" t="str">
        <f>IF(MB25_VOLUMETRIA[[#This Row],[Cen.]]="","",IFERROR(VLOOKUP(MB25_VOLUMETRIA[[#This Row],[Cen.]],Dados_Empresas[],2,FALSE),"Verificar empresa"))</f>
        <v>NET MASSIVO</v>
      </c>
      <c r="O879" s="32" t="str">
        <f>IF(MB25_VOLUMETRIA[[#This Row],[EMPRESA]]="","",IF(OR(MB25_VOLUMETRIA[[#This Row],[EMPRESA]]="NET MASSIVO",MB25_VOLUMETRIA[[#This Row],[EMPRESA]]="NET PROJETOS"),"NET","EMPRESARIAL"))</f>
        <v>NET</v>
      </c>
    </row>
    <row r="880" spans="1:15" x14ac:dyDescent="0.25">
      <c r="A880" s="32">
        <v>4381117</v>
      </c>
      <c r="B880" s="32" t="s">
        <v>21</v>
      </c>
      <c r="C880" s="33" t="s">
        <v>21</v>
      </c>
      <c r="D880" s="35">
        <v>45447</v>
      </c>
      <c r="E880" s="32" t="s">
        <v>184</v>
      </c>
      <c r="F880" s="32">
        <v>41001567</v>
      </c>
      <c r="G880" s="32" t="s">
        <v>354</v>
      </c>
      <c r="H880" s="26" t="s">
        <v>38</v>
      </c>
      <c r="I880" s="36">
        <v>90</v>
      </c>
      <c r="J880" s="32">
        <f>IF(MB25_VOLUMETRIA[[#This Row],[Reserva]]="","",1)</f>
        <v>1</v>
      </c>
      <c r="K880" s="36" t="str">
        <f>IF(MB25_VOLUMETRIA[[#This Row],[Reserva]]="","",IFERROR(VLOOKUP(MB25_VOLUMETRIA[[#This Row],[UMB]],CHAVE[],2,FALSE),"VERIFICAR"))</f>
        <v>Unidade</v>
      </c>
      <c r="L880" s="32" t="str">
        <f>IF(MB25_VOLUMETRIA[[#This Row],[Reserva]]="","",IFERROR(VLOOKUP(MB25_VOLUMETRIA[[#This Row],[Reserva]],Tabela3[[Reserva]:[Condição para Faturamento]],20,FALSE),"IMPORTADO COM SUCESSO"))</f>
        <v>IMPORTADO</v>
      </c>
      <c r="M880" s="32" t="str">
        <f ca="1">IFERROR(VLOOKUP(MB25_VOLUMETRIA[[#This Row],[Reserva]],RES_AB[],14,FALSE),"")</f>
        <v>RESERVAS EM ATRASO</v>
      </c>
      <c r="N880" s="32" t="str">
        <f>IF(MB25_VOLUMETRIA[[#This Row],[Cen.]]="","",IFERROR(VLOOKUP(MB25_VOLUMETRIA[[#This Row],[Cen.]],Dados_Empresas[],2,FALSE),"Verificar empresa"))</f>
        <v>NET MASSIVO</v>
      </c>
      <c r="O880" s="32" t="str">
        <f>IF(MB25_VOLUMETRIA[[#This Row],[EMPRESA]]="","",IF(OR(MB25_VOLUMETRIA[[#This Row],[EMPRESA]]="NET MASSIVO",MB25_VOLUMETRIA[[#This Row],[EMPRESA]]="NET PROJETOS"),"NET","EMPRESARIAL"))</f>
        <v>NET</v>
      </c>
    </row>
    <row r="881" spans="1:15" x14ac:dyDescent="0.25">
      <c r="A881" s="32">
        <v>4381117</v>
      </c>
      <c r="B881" s="32" t="s">
        <v>21</v>
      </c>
      <c r="C881" s="33" t="s">
        <v>21</v>
      </c>
      <c r="D881" s="35">
        <v>45447</v>
      </c>
      <c r="E881" s="32" t="s">
        <v>184</v>
      </c>
      <c r="F881" s="32">
        <v>41001590</v>
      </c>
      <c r="G881" s="32" t="s">
        <v>239</v>
      </c>
      <c r="H881" s="26" t="s">
        <v>38</v>
      </c>
      <c r="I881" s="36">
        <v>40</v>
      </c>
      <c r="J881" s="32">
        <f>IF(MB25_VOLUMETRIA[[#This Row],[Reserva]]="","",1)</f>
        <v>1</v>
      </c>
      <c r="K881" s="36" t="str">
        <f>IF(MB25_VOLUMETRIA[[#This Row],[Reserva]]="","",IFERROR(VLOOKUP(MB25_VOLUMETRIA[[#This Row],[UMB]],CHAVE[],2,FALSE),"VERIFICAR"))</f>
        <v>Unidade</v>
      </c>
      <c r="L881" s="32" t="str">
        <f>IF(MB25_VOLUMETRIA[[#This Row],[Reserva]]="","",IFERROR(VLOOKUP(MB25_VOLUMETRIA[[#This Row],[Reserva]],Tabela3[[Reserva]:[Condição para Faturamento]],20,FALSE),"IMPORTADO COM SUCESSO"))</f>
        <v>IMPORTADO</v>
      </c>
      <c r="M881" s="32" t="str">
        <f ca="1">IFERROR(VLOOKUP(MB25_VOLUMETRIA[[#This Row],[Reserva]],RES_AB[],14,FALSE),"")</f>
        <v>RESERVAS EM ATRASO</v>
      </c>
      <c r="N881" s="32" t="str">
        <f>IF(MB25_VOLUMETRIA[[#This Row],[Cen.]]="","",IFERROR(VLOOKUP(MB25_VOLUMETRIA[[#This Row],[Cen.]],Dados_Empresas[],2,FALSE),"Verificar empresa"))</f>
        <v>NET MASSIVO</v>
      </c>
      <c r="O881" s="32" t="str">
        <f>IF(MB25_VOLUMETRIA[[#This Row],[EMPRESA]]="","",IF(OR(MB25_VOLUMETRIA[[#This Row],[EMPRESA]]="NET MASSIVO",MB25_VOLUMETRIA[[#This Row],[EMPRESA]]="NET PROJETOS"),"NET","EMPRESARIAL"))</f>
        <v>NET</v>
      </c>
    </row>
    <row r="882" spans="1:15" x14ac:dyDescent="0.25">
      <c r="A882" s="32">
        <v>4381118</v>
      </c>
      <c r="B882" s="32" t="s">
        <v>21</v>
      </c>
      <c r="C882" s="33" t="s">
        <v>19</v>
      </c>
      <c r="D882" s="35">
        <v>45447</v>
      </c>
      <c r="E882" s="32" t="s">
        <v>184</v>
      </c>
      <c r="F882" s="32">
        <v>41000805</v>
      </c>
      <c r="G882" s="32" t="s">
        <v>188</v>
      </c>
      <c r="H882" s="26" t="s">
        <v>38</v>
      </c>
      <c r="I882" s="36">
        <v>160</v>
      </c>
      <c r="J882" s="32">
        <f>IF(MB25_VOLUMETRIA[[#This Row],[Reserva]]="","",1)</f>
        <v>1</v>
      </c>
      <c r="K882" s="36" t="str">
        <f>IF(MB25_VOLUMETRIA[[#This Row],[Reserva]]="","",IFERROR(VLOOKUP(MB25_VOLUMETRIA[[#This Row],[UMB]],CHAVE[],2,FALSE),"VERIFICAR"))</f>
        <v>Unidade</v>
      </c>
      <c r="L882" s="32" t="str">
        <f>IF(MB25_VOLUMETRIA[[#This Row],[Reserva]]="","",IFERROR(VLOOKUP(MB25_VOLUMETRIA[[#This Row],[Reserva]],Tabela3[[Reserva]:[Condição para Faturamento]],20,FALSE),"IMPORTADO COM SUCESSO"))</f>
        <v>EM RESSUPRIMENTO</v>
      </c>
      <c r="M882" s="32" t="str">
        <f ca="1">IFERROR(VLOOKUP(MB25_VOLUMETRIA[[#This Row],[Reserva]],RES_AB[],14,FALSE),"")</f>
        <v>RESERVAS EM ATRASO</v>
      </c>
      <c r="N882" s="32" t="str">
        <f>IF(MB25_VOLUMETRIA[[#This Row],[Cen.]]="","",IFERROR(VLOOKUP(MB25_VOLUMETRIA[[#This Row],[Cen.]],Dados_Empresas[],2,FALSE),"Verificar empresa"))</f>
        <v>NET MASSIVO</v>
      </c>
      <c r="O882" s="32" t="str">
        <f>IF(MB25_VOLUMETRIA[[#This Row],[EMPRESA]]="","",IF(OR(MB25_VOLUMETRIA[[#This Row],[EMPRESA]]="NET MASSIVO",MB25_VOLUMETRIA[[#This Row],[EMPRESA]]="NET PROJETOS"),"NET","EMPRESARIAL"))</f>
        <v>NET</v>
      </c>
    </row>
    <row r="883" spans="1:15" x14ac:dyDescent="0.25">
      <c r="A883" s="32">
        <v>4381118</v>
      </c>
      <c r="B883" s="32" t="s">
        <v>21</v>
      </c>
      <c r="C883" s="33" t="s">
        <v>19</v>
      </c>
      <c r="D883" s="35">
        <v>45447</v>
      </c>
      <c r="E883" s="32" t="s">
        <v>184</v>
      </c>
      <c r="F883" s="32">
        <v>41001047</v>
      </c>
      <c r="G883" s="32" t="s">
        <v>257</v>
      </c>
      <c r="H883" s="26" t="s">
        <v>38</v>
      </c>
      <c r="I883" s="36">
        <v>160</v>
      </c>
      <c r="J883" s="32">
        <f>IF(MB25_VOLUMETRIA[[#This Row],[Reserva]]="","",1)</f>
        <v>1</v>
      </c>
      <c r="K883" s="36" t="str">
        <f>IF(MB25_VOLUMETRIA[[#This Row],[Reserva]]="","",IFERROR(VLOOKUP(MB25_VOLUMETRIA[[#This Row],[UMB]],CHAVE[],2,FALSE),"VERIFICAR"))</f>
        <v>Unidade</v>
      </c>
      <c r="L883" s="32" t="str">
        <f>IF(MB25_VOLUMETRIA[[#This Row],[Reserva]]="","",IFERROR(VLOOKUP(MB25_VOLUMETRIA[[#This Row],[Reserva]],Tabela3[[Reserva]:[Condição para Faturamento]],20,FALSE),"IMPORTADO COM SUCESSO"))</f>
        <v>EM RESSUPRIMENTO</v>
      </c>
      <c r="M883" s="32" t="str">
        <f ca="1">IFERROR(VLOOKUP(MB25_VOLUMETRIA[[#This Row],[Reserva]],RES_AB[],14,FALSE),"")</f>
        <v>RESERVAS EM ATRASO</v>
      </c>
      <c r="N883" s="32" t="str">
        <f>IF(MB25_VOLUMETRIA[[#This Row],[Cen.]]="","",IFERROR(VLOOKUP(MB25_VOLUMETRIA[[#This Row],[Cen.]],Dados_Empresas[],2,FALSE),"Verificar empresa"))</f>
        <v>NET MASSIVO</v>
      </c>
      <c r="O883" s="32" t="str">
        <f>IF(MB25_VOLUMETRIA[[#This Row],[EMPRESA]]="","",IF(OR(MB25_VOLUMETRIA[[#This Row],[EMPRESA]]="NET MASSIVO",MB25_VOLUMETRIA[[#This Row],[EMPRESA]]="NET PROJETOS"),"NET","EMPRESARIAL"))</f>
        <v>NET</v>
      </c>
    </row>
    <row r="884" spans="1:15" x14ac:dyDescent="0.25">
      <c r="A884" s="32">
        <v>4381120</v>
      </c>
      <c r="B884" s="32" t="s">
        <v>21</v>
      </c>
      <c r="C884" s="33" t="s">
        <v>19</v>
      </c>
      <c r="D884" s="35">
        <v>45447</v>
      </c>
      <c r="E884" s="32" t="s">
        <v>185</v>
      </c>
      <c r="F884" s="32">
        <v>22026279</v>
      </c>
      <c r="G884" s="32" t="s">
        <v>350</v>
      </c>
      <c r="H884" s="26" t="s">
        <v>38</v>
      </c>
      <c r="I884" s="36">
        <v>40</v>
      </c>
      <c r="J884" s="32">
        <f>IF(MB25_VOLUMETRIA[[#This Row],[Reserva]]="","",1)</f>
        <v>1</v>
      </c>
      <c r="K884" s="36" t="str">
        <f>IF(MB25_VOLUMETRIA[[#This Row],[Reserva]]="","",IFERROR(VLOOKUP(MB25_VOLUMETRIA[[#This Row],[UMB]],CHAVE[],2,FALSE),"VERIFICAR"))</f>
        <v>Unidade</v>
      </c>
      <c r="L884" s="32" t="str">
        <f>IF(MB25_VOLUMETRIA[[#This Row],[Reserva]]="","",IFERROR(VLOOKUP(MB25_VOLUMETRIA[[#This Row],[Reserva]],Tabela3[[Reserva]:[Condição para Faturamento]],20,FALSE),"IMPORTADO COM SUCESSO"))</f>
        <v>IMPORTADO</v>
      </c>
      <c r="M884" s="32" t="str">
        <f ca="1">IFERROR(VLOOKUP(MB25_VOLUMETRIA[[#This Row],[Reserva]],RES_AB[],14,FALSE),"")</f>
        <v>RESERVAS EM ATRASO</v>
      </c>
      <c r="N884" s="32" t="str">
        <f>IF(MB25_VOLUMETRIA[[#This Row],[Cen.]]="","",IFERROR(VLOOKUP(MB25_VOLUMETRIA[[#This Row],[Cen.]],Dados_Empresas[],2,FALSE),"Verificar empresa"))</f>
        <v>NET MASSIVO</v>
      </c>
      <c r="O884" s="32" t="str">
        <f>IF(MB25_VOLUMETRIA[[#This Row],[EMPRESA]]="","",IF(OR(MB25_VOLUMETRIA[[#This Row],[EMPRESA]]="NET MASSIVO",MB25_VOLUMETRIA[[#This Row],[EMPRESA]]="NET PROJETOS"),"NET","EMPRESARIAL"))</f>
        <v>NET</v>
      </c>
    </row>
    <row r="885" spans="1:15" x14ac:dyDescent="0.25">
      <c r="A885" s="32">
        <v>4381120</v>
      </c>
      <c r="B885" s="32" t="s">
        <v>21</v>
      </c>
      <c r="C885" s="33" t="s">
        <v>21</v>
      </c>
      <c r="D885" s="35">
        <v>45447</v>
      </c>
      <c r="E885" s="32" t="s">
        <v>185</v>
      </c>
      <c r="F885" s="32">
        <v>22056332</v>
      </c>
      <c r="G885" s="32" t="s">
        <v>207</v>
      </c>
      <c r="H885" s="26" t="s">
        <v>38</v>
      </c>
      <c r="I885" s="36">
        <v>14</v>
      </c>
      <c r="J885" s="32">
        <f>IF(MB25_VOLUMETRIA[[#This Row],[Reserva]]="","",1)</f>
        <v>1</v>
      </c>
      <c r="K885" s="36" t="str">
        <f>IF(MB25_VOLUMETRIA[[#This Row],[Reserva]]="","",IFERROR(VLOOKUP(MB25_VOLUMETRIA[[#This Row],[UMB]],CHAVE[],2,FALSE),"VERIFICAR"))</f>
        <v>Unidade</v>
      </c>
      <c r="L885" s="32" t="str">
        <f>IF(MB25_VOLUMETRIA[[#This Row],[Reserva]]="","",IFERROR(VLOOKUP(MB25_VOLUMETRIA[[#This Row],[Reserva]],Tabela3[[Reserva]:[Condição para Faturamento]],20,FALSE),"IMPORTADO COM SUCESSO"))</f>
        <v>IMPORTADO</v>
      </c>
      <c r="M885" s="32" t="str">
        <f ca="1">IFERROR(VLOOKUP(MB25_VOLUMETRIA[[#This Row],[Reserva]],RES_AB[],14,FALSE),"")</f>
        <v>RESERVAS EM ATRASO</v>
      </c>
      <c r="N885" s="32" t="str">
        <f>IF(MB25_VOLUMETRIA[[#This Row],[Cen.]]="","",IFERROR(VLOOKUP(MB25_VOLUMETRIA[[#This Row],[Cen.]],Dados_Empresas[],2,FALSE),"Verificar empresa"))</f>
        <v>NET MASSIVO</v>
      </c>
      <c r="O885" s="32" t="str">
        <f>IF(MB25_VOLUMETRIA[[#This Row],[EMPRESA]]="","",IF(OR(MB25_VOLUMETRIA[[#This Row],[EMPRESA]]="NET MASSIVO",MB25_VOLUMETRIA[[#This Row],[EMPRESA]]="NET PROJETOS"),"NET","EMPRESARIAL"))</f>
        <v>NET</v>
      </c>
    </row>
    <row r="886" spans="1:15" x14ac:dyDescent="0.25">
      <c r="A886" s="32">
        <v>4381120</v>
      </c>
      <c r="B886" s="32" t="s">
        <v>21</v>
      </c>
      <c r="C886" s="33" t="s">
        <v>21</v>
      </c>
      <c r="D886" s="35">
        <v>45447</v>
      </c>
      <c r="E886" s="32" t="s">
        <v>185</v>
      </c>
      <c r="F886" s="32">
        <v>22060422</v>
      </c>
      <c r="G886" s="32" t="s">
        <v>298</v>
      </c>
      <c r="H886" s="26" t="s">
        <v>38</v>
      </c>
      <c r="I886" s="36">
        <v>40</v>
      </c>
      <c r="J886" s="32">
        <f>IF(MB25_VOLUMETRIA[[#This Row],[Reserva]]="","",1)</f>
        <v>1</v>
      </c>
      <c r="K886" s="36" t="str">
        <f>IF(MB25_VOLUMETRIA[[#This Row],[Reserva]]="","",IFERROR(VLOOKUP(MB25_VOLUMETRIA[[#This Row],[UMB]],CHAVE[],2,FALSE),"VERIFICAR"))</f>
        <v>Unidade</v>
      </c>
      <c r="L886" s="32" t="str">
        <f>IF(MB25_VOLUMETRIA[[#This Row],[Reserva]]="","",IFERROR(VLOOKUP(MB25_VOLUMETRIA[[#This Row],[Reserva]],Tabela3[[Reserva]:[Condição para Faturamento]],20,FALSE),"IMPORTADO COM SUCESSO"))</f>
        <v>IMPORTADO</v>
      </c>
      <c r="M886" s="32" t="str">
        <f ca="1">IFERROR(VLOOKUP(MB25_VOLUMETRIA[[#This Row],[Reserva]],RES_AB[],14,FALSE),"")</f>
        <v>RESERVAS EM ATRASO</v>
      </c>
      <c r="N886" s="32" t="str">
        <f>IF(MB25_VOLUMETRIA[[#This Row],[Cen.]]="","",IFERROR(VLOOKUP(MB25_VOLUMETRIA[[#This Row],[Cen.]],Dados_Empresas[],2,FALSE),"Verificar empresa"))</f>
        <v>NET MASSIVO</v>
      </c>
      <c r="O886" s="32" t="str">
        <f>IF(MB25_VOLUMETRIA[[#This Row],[EMPRESA]]="","",IF(OR(MB25_VOLUMETRIA[[#This Row],[EMPRESA]]="NET MASSIVO",MB25_VOLUMETRIA[[#This Row],[EMPRESA]]="NET PROJETOS"),"NET","EMPRESARIAL"))</f>
        <v>NET</v>
      </c>
    </row>
    <row r="887" spans="1:15" x14ac:dyDescent="0.25">
      <c r="A887" s="32">
        <v>4381121</v>
      </c>
      <c r="B887" s="32" t="s">
        <v>21</v>
      </c>
      <c r="C887" s="33" t="s">
        <v>19</v>
      </c>
      <c r="D887" s="35">
        <v>45447</v>
      </c>
      <c r="E887" s="32" t="s">
        <v>184</v>
      </c>
      <c r="F887" s="32">
        <v>41001234</v>
      </c>
      <c r="G887" s="32" t="s">
        <v>189</v>
      </c>
      <c r="H887" s="26" t="s">
        <v>38</v>
      </c>
      <c r="I887" s="36">
        <v>40</v>
      </c>
      <c r="J887" s="32">
        <f>IF(MB25_VOLUMETRIA[[#This Row],[Reserva]]="","",1)</f>
        <v>1</v>
      </c>
      <c r="K887" s="36" t="str">
        <f>IF(MB25_VOLUMETRIA[[#This Row],[Reserva]]="","",IFERROR(VLOOKUP(MB25_VOLUMETRIA[[#This Row],[UMB]],CHAVE[],2,FALSE),"VERIFICAR"))</f>
        <v>Unidade</v>
      </c>
      <c r="L887" s="32" t="str">
        <f>IF(MB25_VOLUMETRIA[[#This Row],[Reserva]]="","",IFERROR(VLOOKUP(MB25_VOLUMETRIA[[#This Row],[Reserva]],Tabela3[[Reserva]:[Condição para Faturamento]],20,FALSE),"IMPORTADO COM SUCESSO"))</f>
        <v>IMPORTADO</v>
      </c>
      <c r="M887" s="32" t="str">
        <f ca="1">IFERROR(VLOOKUP(MB25_VOLUMETRIA[[#This Row],[Reserva]],RES_AB[],14,FALSE),"")</f>
        <v>RESERVAS EM ATRASO</v>
      </c>
      <c r="N887" s="32" t="str">
        <f>IF(MB25_VOLUMETRIA[[#This Row],[Cen.]]="","",IFERROR(VLOOKUP(MB25_VOLUMETRIA[[#This Row],[Cen.]],Dados_Empresas[],2,FALSE),"Verificar empresa"))</f>
        <v>NET MASSIVO</v>
      </c>
      <c r="O887" s="32" t="str">
        <f>IF(MB25_VOLUMETRIA[[#This Row],[EMPRESA]]="","",IF(OR(MB25_VOLUMETRIA[[#This Row],[EMPRESA]]="NET MASSIVO",MB25_VOLUMETRIA[[#This Row],[EMPRESA]]="NET PROJETOS"),"NET","EMPRESARIAL"))</f>
        <v>NET</v>
      </c>
    </row>
    <row r="888" spans="1:15" x14ac:dyDescent="0.25">
      <c r="A888" s="32">
        <v>4381121</v>
      </c>
      <c r="B888" s="32" t="s">
        <v>21</v>
      </c>
      <c r="C888" s="33" t="s">
        <v>19</v>
      </c>
      <c r="D888" s="35">
        <v>45447</v>
      </c>
      <c r="E888" s="32" t="s">
        <v>184</v>
      </c>
      <c r="F888" s="32">
        <v>41001276</v>
      </c>
      <c r="G888" s="32" t="s">
        <v>351</v>
      </c>
      <c r="H888" s="26" t="s">
        <v>38</v>
      </c>
      <c r="I888" s="36">
        <v>40</v>
      </c>
      <c r="J888" s="32">
        <f>IF(MB25_VOLUMETRIA[[#This Row],[Reserva]]="","",1)</f>
        <v>1</v>
      </c>
      <c r="K888" s="36" t="str">
        <f>IF(MB25_VOLUMETRIA[[#This Row],[Reserva]]="","",IFERROR(VLOOKUP(MB25_VOLUMETRIA[[#This Row],[UMB]],CHAVE[],2,FALSE),"VERIFICAR"))</f>
        <v>Unidade</v>
      </c>
      <c r="L888" s="32" t="str">
        <f>IF(MB25_VOLUMETRIA[[#This Row],[Reserva]]="","",IFERROR(VLOOKUP(MB25_VOLUMETRIA[[#This Row],[Reserva]],Tabela3[[Reserva]:[Condição para Faturamento]],20,FALSE),"IMPORTADO COM SUCESSO"))</f>
        <v>IMPORTADO</v>
      </c>
      <c r="M888" s="32" t="str">
        <f ca="1">IFERROR(VLOOKUP(MB25_VOLUMETRIA[[#This Row],[Reserva]],RES_AB[],14,FALSE),"")</f>
        <v>RESERVAS EM ATRASO</v>
      </c>
      <c r="N888" s="32" t="str">
        <f>IF(MB25_VOLUMETRIA[[#This Row],[Cen.]]="","",IFERROR(VLOOKUP(MB25_VOLUMETRIA[[#This Row],[Cen.]],Dados_Empresas[],2,FALSE),"Verificar empresa"))</f>
        <v>NET MASSIVO</v>
      </c>
      <c r="O888" s="32" t="str">
        <f>IF(MB25_VOLUMETRIA[[#This Row],[EMPRESA]]="","",IF(OR(MB25_VOLUMETRIA[[#This Row],[EMPRESA]]="NET MASSIVO",MB25_VOLUMETRIA[[#This Row],[EMPRESA]]="NET PROJETOS"),"NET","EMPRESARIAL"))</f>
        <v>NET</v>
      </c>
    </row>
    <row r="889" spans="1:15" x14ac:dyDescent="0.25">
      <c r="A889" s="32">
        <v>4381123</v>
      </c>
      <c r="B889" s="32" t="s">
        <v>21</v>
      </c>
      <c r="C889" s="33" t="s">
        <v>19</v>
      </c>
      <c r="D889" s="35">
        <v>45447</v>
      </c>
      <c r="E889" s="32" t="s">
        <v>185</v>
      </c>
      <c r="F889" s="32">
        <v>22026279</v>
      </c>
      <c r="G889" s="32" t="s">
        <v>350</v>
      </c>
      <c r="H889" s="26" t="s">
        <v>38</v>
      </c>
      <c r="I889" s="36">
        <v>110</v>
      </c>
      <c r="J889" s="32">
        <f>IF(MB25_VOLUMETRIA[[#This Row],[Reserva]]="","",1)</f>
        <v>1</v>
      </c>
      <c r="K889" s="36" t="str">
        <f>IF(MB25_VOLUMETRIA[[#This Row],[Reserva]]="","",IFERROR(VLOOKUP(MB25_VOLUMETRIA[[#This Row],[UMB]],CHAVE[],2,FALSE),"VERIFICAR"))</f>
        <v>Unidade</v>
      </c>
      <c r="L889" s="32" t="str">
        <f>IF(MB25_VOLUMETRIA[[#This Row],[Reserva]]="","",IFERROR(VLOOKUP(MB25_VOLUMETRIA[[#This Row],[Reserva]],Tabela3[[Reserva]:[Condição para Faturamento]],20,FALSE),"IMPORTADO COM SUCESSO"))</f>
        <v>IMPORTADO</v>
      </c>
      <c r="M889" s="32" t="str">
        <f ca="1">IFERROR(VLOOKUP(MB25_VOLUMETRIA[[#This Row],[Reserva]],RES_AB[],14,FALSE),"")</f>
        <v>RESERVAS EM ATRASO</v>
      </c>
      <c r="N889" s="32" t="str">
        <f>IF(MB25_VOLUMETRIA[[#This Row],[Cen.]]="","",IFERROR(VLOOKUP(MB25_VOLUMETRIA[[#This Row],[Cen.]],Dados_Empresas[],2,FALSE),"Verificar empresa"))</f>
        <v>NET MASSIVO</v>
      </c>
      <c r="O889" s="32" t="str">
        <f>IF(MB25_VOLUMETRIA[[#This Row],[EMPRESA]]="","",IF(OR(MB25_VOLUMETRIA[[#This Row],[EMPRESA]]="NET MASSIVO",MB25_VOLUMETRIA[[#This Row],[EMPRESA]]="NET PROJETOS"),"NET","EMPRESARIAL"))</f>
        <v>NET</v>
      </c>
    </row>
    <row r="890" spans="1:15" x14ac:dyDescent="0.25">
      <c r="A890" s="32">
        <v>4381123</v>
      </c>
      <c r="B890" s="32" t="s">
        <v>21</v>
      </c>
      <c r="C890" s="33" t="s">
        <v>21</v>
      </c>
      <c r="D890" s="35">
        <v>45447</v>
      </c>
      <c r="E890" s="32" t="s">
        <v>185</v>
      </c>
      <c r="F890" s="32">
        <v>22060422</v>
      </c>
      <c r="G890" s="32" t="s">
        <v>298</v>
      </c>
      <c r="H890" s="26" t="s">
        <v>38</v>
      </c>
      <c r="I890" s="36">
        <v>110</v>
      </c>
      <c r="J890" s="32">
        <f>IF(MB25_VOLUMETRIA[[#This Row],[Reserva]]="","",1)</f>
        <v>1</v>
      </c>
      <c r="K890" s="36" t="str">
        <f>IF(MB25_VOLUMETRIA[[#This Row],[Reserva]]="","",IFERROR(VLOOKUP(MB25_VOLUMETRIA[[#This Row],[UMB]],CHAVE[],2,FALSE),"VERIFICAR"))</f>
        <v>Unidade</v>
      </c>
      <c r="L890" s="32" t="str">
        <f>IF(MB25_VOLUMETRIA[[#This Row],[Reserva]]="","",IFERROR(VLOOKUP(MB25_VOLUMETRIA[[#This Row],[Reserva]],Tabela3[[Reserva]:[Condição para Faturamento]],20,FALSE),"IMPORTADO COM SUCESSO"))</f>
        <v>IMPORTADO</v>
      </c>
      <c r="M890" s="32" t="str">
        <f ca="1">IFERROR(VLOOKUP(MB25_VOLUMETRIA[[#This Row],[Reserva]],RES_AB[],14,FALSE),"")</f>
        <v>RESERVAS EM ATRASO</v>
      </c>
      <c r="N890" s="32" t="str">
        <f>IF(MB25_VOLUMETRIA[[#This Row],[Cen.]]="","",IFERROR(VLOOKUP(MB25_VOLUMETRIA[[#This Row],[Cen.]],Dados_Empresas[],2,FALSE),"Verificar empresa"))</f>
        <v>NET MASSIVO</v>
      </c>
      <c r="O890" s="32" t="str">
        <f>IF(MB25_VOLUMETRIA[[#This Row],[EMPRESA]]="","",IF(OR(MB25_VOLUMETRIA[[#This Row],[EMPRESA]]="NET MASSIVO",MB25_VOLUMETRIA[[#This Row],[EMPRESA]]="NET PROJETOS"),"NET","EMPRESARIAL"))</f>
        <v>NET</v>
      </c>
    </row>
    <row r="891" spans="1:15" x14ac:dyDescent="0.25">
      <c r="A891" s="32">
        <v>4381124</v>
      </c>
      <c r="B891" s="32" t="s">
        <v>21</v>
      </c>
      <c r="C891" s="33" t="s">
        <v>19</v>
      </c>
      <c r="D891" s="35">
        <v>45447</v>
      </c>
      <c r="E891" s="32" t="s">
        <v>184</v>
      </c>
      <c r="F891" s="32">
        <v>41001234</v>
      </c>
      <c r="G891" s="32" t="s">
        <v>189</v>
      </c>
      <c r="H891" s="26" t="s">
        <v>38</v>
      </c>
      <c r="I891" s="36">
        <v>110</v>
      </c>
      <c r="J891" s="32">
        <f>IF(MB25_VOLUMETRIA[[#This Row],[Reserva]]="","",1)</f>
        <v>1</v>
      </c>
      <c r="K891" s="36" t="str">
        <f>IF(MB25_VOLUMETRIA[[#This Row],[Reserva]]="","",IFERROR(VLOOKUP(MB25_VOLUMETRIA[[#This Row],[UMB]],CHAVE[],2,FALSE),"VERIFICAR"))</f>
        <v>Unidade</v>
      </c>
      <c r="L891" s="32" t="str">
        <f>IF(MB25_VOLUMETRIA[[#This Row],[Reserva]]="","",IFERROR(VLOOKUP(MB25_VOLUMETRIA[[#This Row],[Reserva]],Tabela3[[Reserva]:[Condição para Faturamento]],20,FALSE),"IMPORTADO COM SUCESSO"))</f>
        <v>IMPORTADO</v>
      </c>
      <c r="M891" s="32" t="str">
        <f ca="1">IFERROR(VLOOKUP(MB25_VOLUMETRIA[[#This Row],[Reserva]],RES_AB[],14,FALSE),"")</f>
        <v>RESERVAS EM ATRASO</v>
      </c>
      <c r="N891" s="32" t="str">
        <f>IF(MB25_VOLUMETRIA[[#This Row],[Cen.]]="","",IFERROR(VLOOKUP(MB25_VOLUMETRIA[[#This Row],[Cen.]],Dados_Empresas[],2,FALSE),"Verificar empresa"))</f>
        <v>NET MASSIVO</v>
      </c>
      <c r="O891" s="32" t="str">
        <f>IF(MB25_VOLUMETRIA[[#This Row],[EMPRESA]]="","",IF(OR(MB25_VOLUMETRIA[[#This Row],[EMPRESA]]="NET MASSIVO",MB25_VOLUMETRIA[[#This Row],[EMPRESA]]="NET PROJETOS"),"NET","EMPRESARIAL"))</f>
        <v>NET</v>
      </c>
    </row>
    <row r="892" spans="1:15" x14ac:dyDescent="0.25">
      <c r="A892" s="32">
        <v>4381124</v>
      </c>
      <c r="B892" s="32" t="s">
        <v>21</v>
      </c>
      <c r="C892" s="33" t="s">
        <v>19</v>
      </c>
      <c r="D892" s="35">
        <v>45447</v>
      </c>
      <c r="E892" s="32" t="s">
        <v>184</v>
      </c>
      <c r="F892" s="32">
        <v>41001276</v>
      </c>
      <c r="G892" s="32" t="s">
        <v>351</v>
      </c>
      <c r="H892" s="26" t="s">
        <v>38</v>
      </c>
      <c r="I892" s="36">
        <v>110</v>
      </c>
      <c r="J892" s="32">
        <f>IF(MB25_VOLUMETRIA[[#This Row],[Reserva]]="","",1)</f>
        <v>1</v>
      </c>
      <c r="K892" s="36" t="str">
        <f>IF(MB25_VOLUMETRIA[[#This Row],[Reserva]]="","",IFERROR(VLOOKUP(MB25_VOLUMETRIA[[#This Row],[UMB]],CHAVE[],2,FALSE),"VERIFICAR"))</f>
        <v>Unidade</v>
      </c>
      <c r="L892" s="32" t="str">
        <f>IF(MB25_VOLUMETRIA[[#This Row],[Reserva]]="","",IFERROR(VLOOKUP(MB25_VOLUMETRIA[[#This Row],[Reserva]],Tabela3[[Reserva]:[Condição para Faturamento]],20,FALSE),"IMPORTADO COM SUCESSO"))</f>
        <v>IMPORTADO</v>
      </c>
      <c r="M892" s="32" t="str">
        <f ca="1">IFERROR(VLOOKUP(MB25_VOLUMETRIA[[#This Row],[Reserva]],RES_AB[],14,FALSE),"")</f>
        <v>RESERVAS EM ATRASO</v>
      </c>
      <c r="N892" s="32" t="str">
        <f>IF(MB25_VOLUMETRIA[[#This Row],[Cen.]]="","",IFERROR(VLOOKUP(MB25_VOLUMETRIA[[#This Row],[Cen.]],Dados_Empresas[],2,FALSE),"Verificar empresa"))</f>
        <v>NET MASSIVO</v>
      </c>
      <c r="O892" s="32" t="str">
        <f>IF(MB25_VOLUMETRIA[[#This Row],[EMPRESA]]="","",IF(OR(MB25_VOLUMETRIA[[#This Row],[EMPRESA]]="NET MASSIVO",MB25_VOLUMETRIA[[#This Row],[EMPRESA]]="NET PROJETOS"),"NET","EMPRESARIAL"))</f>
        <v>NET</v>
      </c>
    </row>
    <row r="893" spans="1:15" x14ac:dyDescent="0.25">
      <c r="A893" s="32">
        <v>4381124</v>
      </c>
      <c r="B893" s="32" t="s">
        <v>21</v>
      </c>
      <c r="C893" s="33" t="s">
        <v>21</v>
      </c>
      <c r="D893" s="35">
        <v>45447</v>
      </c>
      <c r="E893" s="32" t="s">
        <v>184</v>
      </c>
      <c r="F893" s="32">
        <v>41001567</v>
      </c>
      <c r="G893" s="32" t="s">
        <v>354</v>
      </c>
      <c r="H893" s="26" t="s">
        <v>38</v>
      </c>
      <c r="I893" s="36">
        <v>90</v>
      </c>
      <c r="J893" s="32">
        <f>IF(MB25_VOLUMETRIA[[#This Row],[Reserva]]="","",1)</f>
        <v>1</v>
      </c>
      <c r="K893" s="36" t="str">
        <f>IF(MB25_VOLUMETRIA[[#This Row],[Reserva]]="","",IFERROR(VLOOKUP(MB25_VOLUMETRIA[[#This Row],[UMB]],CHAVE[],2,FALSE),"VERIFICAR"))</f>
        <v>Unidade</v>
      </c>
      <c r="L893" s="32" t="str">
        <f>IF(MB25_VOLUMETRIA[[#This Row],[Reserva]]="","",IFERROR(VLOOKUP(MB25_VOLUMETRIA[[#This Row],[Reserva]],Tabela3[[Reserva]:[Condição para Faturamento]],20,FALSE),"IMPORTADO COM SUCESSO"))</f>
        <v>IMPORTADO</v>
      </c>
      <c r="M893" s="32" t="str">
        <f ca="1">IFERROR(VLOOKUP(MB25_VOLUMETRIA[[#This Row],[Reserva]],RES_AB[],14,FALSE),"")</f>
        <v>RESERVAS EM ATRASO</v>
      </c>
      <c r="N893" s="32" t="str">
        <f>IF(MB25_VOLUMETRIA[[#This Row],[Cen.]]="","",IFERROR(VLOOKUP(MB25_VOLUMETRIA[[#This Row],[Cen.]],Dados_Empresas[],2,FALSE),"Verificar empresa"))</f>
        <v>NET MASSIVO</v>
      </c>
      <c r="O893" s="32" t="str">
        <f>IF(MB25_VOLUMETRIA[[#This Row],[EMPRESA]]="","",IF(OR(MB25_VOLUMETRIA[[#This Row],[EMPRESA]]="NET MASSIVO",MB25_VOLUMETRIA[[#This Row],[EMPRESA]]="NET PROJETOS"),"NET","EMPRESARIAL"))</f>
        <v>NET</v>
      </c>
    </row>
    <row r="894" spans="1:15" x14ac:dyDescent="0.25">
      <c r="A894" s="32">
        <v>4381124</v>
      </c>
      <c r="B894" s="32" t="s">
        <v>21</v>
      </c>
      <c r="C894" s="33" t="s">
        <v>21</v>
      </c>
      <c r="D894" s="35">
        <v>45447</v>
      </c>
      <c r="E894" s="32" t="s">
        <v>184</v>
      </c>
      <c r="F894" s="32">
        <v>41001590</v>
      </c>
      <c r="G894" s="32" t="s">
        <v>239</v>
      </c>
      <c r="H894" s="26" t="s">
        <v>38</v>
      </c>
      <c r="I894" s="36">
        <v>370</v>
      </c>
      <c r="J894" s="32">
        <f>IF(MB25_VOLUMETRIA[[#This Row],[Reserva]]="","",1)</f>
        <v>1</v>
      </c>
      <c r="K894" s="36" t="str">
        <f>IF(MB25_VOLUMETRIA[[#This Row],[Reserva]]="","",IFERROR(VLOOKUP(MB25_VOLUMETRIA[[#This Row],[UMB]],CHAVE[],2,FALSE),"VERIFICAR"))</f>
        <v>Unidade</v>
      </c>
      <c r="L894" s="32" t="str">
        <f>IF(MB25_VOLUMETRIA[[#This Row],[Reserva]]="","",IFERROR(VLOOKUP(MB25_VOLUMETRIA[[#This Row],[Reserva]],Tabela3[[Reserva]:[Condição para Faturamento]],20,FALSE),"IMPORTADO COM SUCESSO"))</f>
        <v>IMPORTADO</v>
      </c>
      <c r="M894" s="32" t="str">
        <f ca="1">IFERROR(VLOOKUP(MB25_VOLUMETRIA[[#This Row],[Reserva]],RES_AB[],14,FALSE),"")</f>
        <v>RESERVAS EM ATRASO</v>
      </c>
      <c r="N894" s="32" t="str">
        <f>IF(MB25_VOLUMETRIA[[#This Row],[Cen.]]="","",IFERROR(VLOOKUP(MB25_VOLUMETRIA[[#This Row],[Cen.]],Dados_Empresas[],2,FALSE),"Verificar empresa"))</f>
        <v>NET MASSIVO</v>
      </c>
      <c r="O894" s="32" t="str">
        <f>IF(MB25_VOLUMETRIA[[#This Row],[EMPRESA]]="","",IF(OR(MB25_VOLUMETRIA[[#This Row],[EMPRESA]]="NET MASSIVO",MB25_VOLUMETRIA[[#This Row],[EMPRESA]]="NET PROJETOS"),"NET","EMPRESARIAL"))</f>
        <v>NET</v>
      </c>
    </row>
    <row r="895" spans="1:15" x14ac:dyDescent="0.25">
      <c r="A895" s="32">
        <v>4381125</v>
      </c>
      <c r="B895" s="32" t="s">
        <v>21</v>
      </c>
      <c r="C895" s="33" t="s">
        <v>19</v>
      </c>
      <c r="D895" s="35">
        <v>45447</v>
      </c>
      <c r="E895" s="32" t="s">
        <v>185</v>
      </c>
      <c r="F895" s="32">
        <v>22026279</v>
      </c>
      <c r="G895" s="32" t="s">
        <v>350</v>
      </c>
      <c r="H895" s="26" t="s">
        <v>38</v>
      </c>
      <c r="I895" s="36">
        <v>200</v>
      </c>
      <c r="J895" s="32">
        <f>IF(MB25_VOLUMETRIA[[#This Row],[Reserva]]="","",1)</f>
        <v>1</v>
      </c>
      <c r="K895" s="36" t="str">
        <f>IF(MB25_VOLUMETRIA[[#This Row],[Reserva]]="","",IFERROR(VLOOKUP(MB25_VOLUMETRIA[[#This Row],[UMB]],CHAVE[],2,FALSE),"VERIFICAR"))</f>
        <v>Unidade</v>
      </c>
      <c r="L895" s="32" t="str">
        <f>IF(MB25_VOLUMETRIA[[#This Row],[Reserva]]="","",IFERROR(VLOOKUP(MB25_VOLUMETRIA[[#This Row],[Reserva]],Tabela3[[Reserva]:[Condição para Faturamento]],20,FALSE),"IMPORTADO COM SUCESSO"))</f>
        <v>IMPORTADO</v>
      </c>
      <c r="M895" s="32" t="str">
        <f ca="1">IFERROR(VLOOKUP(MB25_VOLUMETRIA[[#This Row],[Reserva]],RES_AB[],14,FALSE),"")</f>
        <v>RESERVAS EM ATRASO</v>
      </c>
      <c r="N895" s="32" t="str">
        <f>IF(MB25_VOLUMETRIA[[#This Row],[Cen.]]="","",IFERROR(VLOOKUP(MB25_VOLUMETRIA[[#This Row],[Cen.]],Dados_Empresas[],2,FALSE),"Verificar empresa"))</f>
        <v>NET MASSIVO</v>
      </c>
      <c r="O895" s="32" t="str">
        <f>IF(MB25_VOLUMETRIA[[#This Row],[EMPRESA]]="","",IF(OR(MB25_VOLUMETRIA[[#This Row],[EMPRESA]]="NET MASSIVO",MB25_VOLUMETRIA[[#This Row],[EMPRESA]]="NET PROJETOS"),"NET","EMPRESARIAL"))</f>
        <v>NET</v>
      </c>
    </row>
    <row r="896" spans="1:15" x14ac:dyDescent="0.25">
      <c r="A896" s="32">
        <v>4381125</v>
      </c>
      <c r="B896" s="32" t="s">
        <v>21</v>
      </c>
      <c r="C896" s="33" t="s">
        <v>19</v>
      </c>
      <c r="D896" s="35">
        <v>45447</v>
      </c>
      <c r="E896" s="32" t="s">
        <v>185</v>
      </c>
      <c r="F896" s="32">
        <v>22026293</v>
      </c>
      <c r="G896" s="32" t="s">
        <v>352</v>
      </c>
      <c r="H896" s="26" t="s">
        <v>38</v>
      </c>
      <c r="I896" s="36">
        <v>30</v>
      </c>
      <c r="J896" s="32">
        <f>IF(MB25_VOLUMETRIA[[#This Row],[Reserva]]="","",1)</f>
        <v>1</v>
      </c>
      <c r="K896" s="36" t="str">
        <f>IF(MB25_VOLUMETRIA[[#This Row],[Reserva]]="","",IFERROR(VLOOKUP(MB25_VOLUMETRIA[[#This Row],[UMB]],CHAVE[],2,FALSE),"VERIFICAR"))</f>
        <v>Unidade</v>
      </c>
      <c r="L896" s="32" t="str">
        <f>IF(MB25_VOLUMETRIA[[#This Row],[Reserva]]="","",IFERROR(VLOOKUP(MB25_VOLUMETRIA[[#This Row],[Reserva]],Tabela3[[Reserva]:[Condição para Faturamento]],20,FALSE),"IMPORTADO COM SUCESSO"))</f>
        <v>IMPORTADO</v>
      </c>
      <c r="M896" s="32" t="str">
        <f ca="1">IFERROR(VLOOKUP(MB25_VOLUMETRIA[[#This Row],[Reserva]],RES_AB[],14,FALSE),"")</f>
        <v>RESERVAS EM ATRASO</v>
      </c>
      <c r="N896" s="32" t="str">
        <f>IF(MB25_VOLUMETRIA[[#This Row],[Cen.]]="","",IFERROR(VLOOKUP(MB25_VOLUMETRIA[[#This Row],[Cen.]],Dados_Empresas[],2,FALSE),"Verificar empresa"))</f>
        <v>NET MASSIVO</v>
      </c>
      <c r="O896" s="32" t="str">
        <f>IF(MB25_VOLUMETRIA[[#This Row],[EMPRESA]]="","",IF(OR(MB25_VOLUMETRIA[[#This Row],[EMPRESA]]="NET MASSIVO",MB25_VOLUMETRIA[[#This Row],[EMPRESA]]="NET PROJETOS"),"NET","EMPRESARIAL"))</f>
        <v>NET</v>
      </c>
    </row>
    <row r="897" spans="1:15" x14ac:dyDescent="0.25">
      <c r="A897" s="32">
        <v>4381125</v>
      </c>
      <c r="B897" s="32" t="s">
        <v>21</v>
      </c>
      <c r="C897" s="33" t="s">
        <v>21</v>
      </c>
      <c r="D897" s="35">
        <v>45447</v>
      </c>
      <c r="E897" s="32" t="s">
        <v>185</v>
      </c>
      <c r="F897" s="32">
        <v>22060422</v>
      </c>
      <c r="G897" s="32" t="s">
        <v>298</v>
      </c>
      <c r="H897" s="26" t="s">
        <v>38</v>
      </c>
      <c r="I897" s="36">
        <v>200</v>
      </c>
      <c r="J897" s="32">
        <f>IF(MB25_VOLUMETRIA[[#This Row],[Reserva]]="","",1)</f>
        <v>1</v>
      </c>
      <c r="K897" s="36" t="str">
        <f>IF(MB25_VOLUMETRIA[[#This Row],[Reserva]]="","",IFERROR(VLOOKUP(MB25_VOLUMETRIA[[#This Row],[UMB]],CHAVE[],2,FALSE),"VERIFICAR"))</f>
        <v>Unidade</v>
      </c>
      <c r="L897" s="32" t="str">
        <f>IF(MB25_VOLUMETRIA[[#This Row],[Reserva]]="","",IFERROR(VLOOKUP(MB25_VOLUMETRIA[[#This Row],[Reserva]],Tabela3[[Reserva]:[Condição para Faturamento]],20,FALSE),"IMPORTADO COM SUCESSO"))</f>
        <v>IMPORTADO</v>
      </c>
      <c r="M897" s="32" t="str">
        <f ca="1">IFERROR(VLOOKUP(MB25_VOLUMETRIA[[#This Row],[Reserva]],RES_AB[],14,FALSE),"")</f>
        <v>RESERVAS EM ATRASO</v>
      </c>
      <c r="N897" s="32" t="str">
        <f>IF(MB25_VOLUMETRIA[[#This Row],[Cen.]]="","",IFERROR(VLOOKUP(MB25_VOLUMETRIA[[#This Row],[Cen.]],Dados_Empresas[],2,FALSE),"Verificar empresa"))</f>
        <v>NET MASSIVO</v>
      </c>
      <c r="O897" s="32" t="str">
        <f>IF(MB25_VOLUMETRIA[[#This Row],[EMPRESA]]="","",IF(OR(MB25_VOLUMETRIA[[#This Row],[EMPRESA]]="NET MASSIVO",MB25_VOLUMETRIA[[#This Row],[EMPRESA]]="NET PROJETOS"),"NET","EMPRESARIAL"))</f>
        <v>NET</v>
      </c>
    </row>
    <row r="898" spans="1:15" x14ac:dyDescent="0.25">
      <c r="A898" s="32">
        <v>4381126</v>
      </c>
      <c r="B898" s="32" t="s">
        <v>21</v>
      </c>
      <c r="C898" s="33" t="s">
        <v>19</v>
      </c>
      <c r="D898" s="35">
        <v>45447</v>
      </c>
      <c r="E898" s="32" t="s">
        <v>184</v>
      </c>
      <c r="F898" s="32">
        <v>41001234</v>
      </c>
      <c r="G898" s="32" t="s">
        <v>189</v>
      </c>
      <c r="H898" s="26" t="s">
        <v>38</v>
      </c>
      <c r="I898" s="36">
        <v>200</v>
      </c>
      <c r="J898" s="32">
        <f>IF(MB25_VOLUMETRIA[[#This Row],[Reserva]]="","",1)</f>
        <v>1</v>
      </c>
      <c r="K898" s="36" t="str">
        <f>IF(MB25_VOLUMETRIA[[#This Row],[Reserva]]="","",IFERROR(VLOOKUP(MB25_VOLUMETRIA[[#This Row],[UMB]],CHAVE[],2,FALSE),"VERIFICAR"))</f>
        <v>Unidade</v>
      </c>
      <c r="L898" s="32" t="str">
        <f>IF(MB25_VOLUMETRIA[[#This Row],[Reserva]]="","",IFERROR(VLOOKUP(MB25_VOLUMETRIA[[#This Row],[Reserva]],Tabela3[[Reserva]:[Condição para Faturamento]],20,FALSE),"IMPORTADO COM SUCESSO"))</f>
        <v>IMPORTADO</v>
      </c>
      <c r="M898" s="32" t="str">
        <f ca="1">IFERROR(VLOOKUP(MB25_VOLUMETRIA[[#This Row],[Reserva]],RES_AB[],14,FALSE),"")</f>
        <v>RESERVAS EM ATRASO</v>
      </c>
      <c r="N898" s="32" t="str">
        <f>IF(MB25_VOLUMETRIA[[#This Row],[Cen.]]="","",IFERROR(VLOOKUP(MB25_VOLUMETRIA[[#This Row],[Cen.]],Dados_Empresas[],2,FALSE),"Verificar empresa"))</f>
        <v>NET MASSIVO</v>
      </c>
      <c r="O898" s="32" t="str">
        <f>IF(MB25_VOLUMETRIA[[#This Row],[EMPRESA]]="","",IF(OR(MB25_VOLUMETRIA[[#This Row],[EMPRESA]]="NET MASSIVO",MB25_VOLUMETRIA[[#This Row],[EMPRESA]]="NET PROJETOS"),"NET","EMPRESARIAL"))</f>
        <v>NET</v>
      </c>
    </row>
    <row r="899" spans="1:15" x14ac:dyDescent="0.25">
      <c r="A899" s="32">
        <v>4381126</v>
      </c>
      <c r="B899" s="32" t="s">
        <v>21</v>
      </c>
      <c r="C899" s="33" t="s">
        <v>19</v>
      </c>
      <c r="D899" s="35">
        <v>45447</v>
      </c>
      <c r="E899" s="32" t="s">
        <v>184</v>
      </c>
      <c r="F899" s="32">
        <v>41001276</v>
      </c>
      <c r="G899" s="32" t="s">
        <v>351</v>
      </c>
      <c r="H899" s="26" t="s">
        <v>38</v>
      </c>
      <c r="I899" s="36">
        <v>200</v>
      </c>
      <c r="J899" s="32">
        <f>IF(MB25_VOLUMETRIA[[#This Row],[Reserva]]="","",1)</f>
        <v>1</v>
      </c>
      <c r="K899" s="36" t="str">
        <f>IF(MB25_VOLUMETRIA[[#This Row],[Reserva]]="","",IFERROR(VLOOKUP(MB25_VOLUMETRIA[[#This Row],[UMB]],CHAVE[],2,FALSE),"VERIFICAR"))</f>
        <v>Unidade</v>
      </c>
      <c r="L899" s="32" t="str">
        <f>IF(MB25_VOLUMETRIA[[#This Row],[Reserva]]="","",IFERROR(VLOOKUP(MB25_VOLUMETRIA[[#This Row],[Reserva]],Tabela3[[Reserva]:[Condição para Faturamento]],20,FALSE),"IMPORTADO COM SUCESSO"))</f>
        <v>IMPORTADO</v>
      </c>
      <c r="M899" s="32" t="str">
        <f ca="1">IFERROR(VLOOKUP(MB25_VOLUMETRIA[[#This Row],[Reserva]],RES_AB[],14,FALSE),"")</f>
        <v>RESERVAS EM ATRASO</v>
      </c>
      <c r="N899" s="32" t="str">
        <f>IF(MB25_VOLUMETRIA[[#This Row],[Cen.]]="","",IFERROR(VLOOKUP(MB25_VOLUMETRIA[[#This Row],[Cen.]],Dados_Empresas[],2,FALSE),"Verificar empresa"))</f>
        <v>NET MASSIVO</v>
      </c>
      <c r="O899" s="32" t="str">
        <f>IF(MB25_VOLUMETRIA[[#This Row],[EMPRESA]]="","",IF(OR(MB25_VOLUMETRIA[[#This Row],[EMPRESA]]="NET MASSIVO",MB25_VOLUMETRIA[[#This Row],[EMPRESA]]="NET PROJETOS"),"NET","EMPRESARIAL"))</f>
        <v>NET</v>
      </c>
    </row>
    <row r="900" spans="1:15" x14ac:dyDescent="0.25">
      <c r="A900" s="32">
        <v>4381126</v>
      </c>
      <c r="B900" s="32" t="s">
        <v>21</v>
      </c>
      <c r="C900" s="33" t="s">
        <v>19</v>
      </c>
      <c r="D900" s="35">
        <v>45447</v>
      </c>
      <c r="E900" s="32" t="s">
        <v>184</v>
      </c>
      <c r="F900" s="32">
        <v>41001292</v>
      </c>
      <c r="G900" s="32" t="s">
        <v>353</v>
      </c>
      <c r="H900" s="26" t="s">
        <v>38</v>
      </c>
      <c r="I900" s="36">
        <v>30</v>
      </c>
      <c r="J900" s="32">
        <f>IF(MB25_VOLUMETRIA[[#This Row],[Reserva]]="","",1)</f>
        <v>1</v>
      </c>
      <c r="K900" s="36" t="str">
        <f>IF(MB25_VOLUMETRIA[[#This Row],[Reserva]]="","",IFERROR(VLOOKUP(MB25_VOLUMETRIA[[#This Row],[UMB]],CHAVE[],2,FALSE),"VERIFICAR"))</f>
        <v>Unidade</v>
      </c>
      <c r="L900" s="32" t="str">
        <f>IF(MB25_VOLUMETRIA[[#This Row],[Reserva]]="","",IFERROR(VLOOKUP(MB25_VOLUMETRIA[[#This Row],[Reserva]],Tabela3[[Reserva]:[Condição para Faturamento]],20,FALSE),"IMPORTADO COM SUCESSO"))</f>
        <v>IMPORTADO</v>
      </c>
      <c r="M900" s="32" t="str">
        <f ca="1">IFERROR(VLOOKUP(MB25_VOLUMETRIA[[#This Row],[Reserva]],RES_AB[],14,FALSE),"")</f>
        <v>RESERVAS EM ATRASO</v>
      </c>
      <c r="N900" s="32" t="str">
        <f>IF(MB25_VOLUMETRIA[[#This Row],[Cen.]]="","",IFERROR(VLOOKUP(MB25_VOLUMETRIA[[#This Row],[Cen.]],Dados_Empresas[],2,FALSE),"Verificar empresa"))</f>
        <v>NET MASSIVO</v>
      </c>
      <c r="O900" s="32" t="str">
        <f>IF(MB25_VOLUMETRIA[[#This Row],[EMPRESA]]="","",IF(OR(MB25_VOLUMETRIA[[#This Row],[EMPRESA]]="NET MASSIVO",MB25_VOLUMETRIA[[#This Row],[EMPRESA]]="NET PROJETOS"),"NET","EMPRESARIAL"))</f>
        <v>NET</v>
      </c>
    </row>
    <row r="901" spans="1:15" x14ac:dyDescent="0.25">
      <c r="A901" s="32">
        <v>4381126</v>
      </c>
      <c r="B901" s="32" t="s">
        <v>21</v>
      </c>
      <c r="C901" s="33" t="s">
        <v>21</v>
      </c>
      <c r="D901" s="35">
        <v>45447</v>
      </c>
      <c r="E901" s="32" t="s">
        <v>184</v>
      </c>
      <c r="F901" s="32">
        <v>41001567</v>
      </c>
      <c r="G901" s="32" t="s">
        <v>354</v>
      </c>
      <c r="H901" s="26" t="s">
        <v>38</v>
      </c>
      <c r="I901" s="36">
        <v>50</v>
      </c>
      <c r="J901" s="32">
        <f>IF(MB25_VOLUMETRIA[[#This Row],[Reserva]]="","",1)</f>
        <v>1</v>
      </c>
      <c r="K901" s="36" t="str">
        <f>IF(MB25_VOLUMETRIA[[#This Row],[Reserva]]="","",IFERROR(VLOOKUP(MB25_VOLUMETRIA[[#This Row],[UMB]],CHAVE[],2,FALSE),"VERIFICAR"))</f>
        <v>Unidade</v>
      </c>
      <c r="L901" s="32" t="str">
        <f>IF(MB25_VOLUMETRIA[[#This Row],[Reserva]]="","",IFERROR(VLOOKUP(MB25_VOLUMETRIA[[#This Row],[Reserva]],Tabela3[[Reserva]:[Condição para Faturamento]],20,FALSE),"IMPORTADO COM SUCESSO"))</f>
        <v>IMPORTADO</v>
      </c>
      <c r="M901" s="32" t="str">
        <f ca="1">IFERROR(VLOOKUP(MB25_VOLUMETRIA[[#This Row],[Reserva]],RES_AB[],14,FALSE),"")</f>
        <v>RESERVAS EM ATRASO</v>
      </c>
      <c r="N901" s="32" t="str">
        <f>IF(MB25_VOLUMETRIA[[#This Row],[Cen.]]="","",IFERROR(VLOOKUP(MB25_VOLUMETRIA[[#This Row],[Cen.]],Dados_Empresas[],2,FALSE),"Verificar empresa"))</f>
        <v>NET MASSIVO</v>
      </c>
      <c r="O901" s="32" t="str">
        <f>IF(MB25_VOLUMETRIA[[#This Row],[EMPRESA]]="","",IF(OR(MB25_VOLUMETRIA[[#This Row],[EMPRESA]]="NET MASSIVO",MB25_VOLUMETRIA[[#This Row],[EMPRESA]]="NET PROJETOS"),"NET","EMPRESARIAL"))</f>
        <v>NET</v>
      </c>
    </row>
    <row r="902" spans="1:15" x14ac:dyDescent="0.25">
      <c r="A902" s="32">
        <v>4381126</v>
      </c>
      <c r="B902" s="32" t="s">
        <v>21</v>
      </c>
      <c r="C902" s="33" t="s">
        <v>21</v>
      </c>
      <c r="D902" s="35">
        <v>45447</v>
      </c>
      <c r="E902" s="32" t="s">
        <v>184</v>
      </c>
      <c r="F902" s="32">
        <v>41001590</v>
      </c>
      <c r="G902" s="32" t="s">
        <v>239</v>
      </c>
      <c r="H902" s="26" t="s">
        <v>38</v>
      </c>
      <c r="I902" s="36">
        <v>180</v>
      </c>
      <c r="J902" s="32">
        <f>IF(MB25_VOLUMETRIA[[#This Row],[Reserva]]="","",1)</f>
        <v>1</v>
      </c>
      <c r="K902" s="36" t="str">
        <f>IF(MB25_VOLUMETRIA[[#This Row],[Reserva]]="","",IFERROR(VLOOKUP(MB25_VOLUMETRIA[[#This Row],[UMB]],CHAVE[],2,FALSE),"VERIFICAR"))</f>
        <v>Unidade</v>
      </c>
      <c r="L902" s="32" t="str">
        <f>IF(MB25_VOLUMETRIA[[#This Row],[Reserva]]="","",IFERROR(VLOOKUP(MB25_VOLUMETRIA[[#This Row],[Reserva]],Tabela3[[Reserva]:[Condição para Faturamento]],20,FALSE),"IMPORTADO COM SUCESSO"))</f>
        <v>IMPORTADO</v>
      </c>
      <c r="M902" s="32" t="str">
        <f ca="1">IFERROR(VLOOKUP(MB25_VOLUMETRIA[[#This Row],[Reserva]],RES_AB[],14,FALSE),"")</f>
        <v>RESERVAS EM ATRASO</v>
      </c>
      <c r="N902" s="32" t="str">
        <f>IF(MB25_VOLUMETRIA[[#This Row],[Cen.]]="","",IFERROR(VLOOKUP(MB25_VOLUMETRIA[[#This Row],[Cen.]],Dados_Empresas[],2,FALSE),"Verificar empresa"))</f>
        <v>NET MASSIVO</v>
      </c>
      <c r="O902" s="32" t="str">
        <f>IF(MB25_VOLUMETRIA[[#This Row],[EMPRESA]]="","",IF(OR(MB25_VOLUMETRIA[[#This Row],[EMPRESA]]="NET MASSIVO",MB25_VOLUMETRIA[[#This Row],[EMPRESA]]="NET PROJETOS"),"NET","EMPRESARIAL"))</f>
        <v>NET</v>
      </c>
    </row>
    <row r="903" spans="1:15" x14ac:dyDescent="0.25">
      <c r="A903" s="32">
        <v>4381127</v>
      </c>
      <c r="B903" s="32" t="s">
        <v>21</v>
      </c>
      <c r="C903" s="33" t="s">
        <v>19</v>
      </c>
      <c r="D903" s="35">
        <v>45447</v>
      </c>
      <c r="E903" s="32" t="s">
        <v>185</v>
      </c>
      <c r="F903" s="32">
        <v>22026279</v>
      </c>
      <c r="G903" s="32" t="s">
        <v>350</v>
      </c>
      <c r="H903" s="26" t="s">
        <v>38</v>
      </c>
      <c r="I903" s="36">
        <v>50</v>
      </c>
      <c r="J903" s="32">
        <f>IF(MB25_VOLUMETRIA[[#This Row],[Reserva]]="","",1)</f>
        <v>1</v>
      </c>
      <c r="K903" s="36" t="str">
        <f>IF(MB25_VOLUMETRIA[[#This Row],[Reserva]]="","",IFERROR(VLOOKUP(MB25_VOLUMETRIA[[#This Row],[UMB]],CHAVE[],2,FALSE),"VERIFICAR"))</f>
        <v>Unidade</v>
      </c>
      <c r="L903" s="32" t="str">
        <f>IF(MB25_VOLUMETRIA[[#This Row],[Reserva]]="","",IFERROR(VLOOKUP(MB25_VOLUMETRIA[[#This Row],[Reserva]],Tabela3[[Reserva]:[Condição para Faturamento]],20,FALSE),"IMPORTADO COM SUCESSO"))</f>
        <v>IMPORTADO</v>
      </c>
      <c r="M903" s="32" t="str">
        <f ca="1">IFERROR(VLOOKUP(MB25_VOLUMETRIA[[#This Row],[Reserva]],RES_AB[],14,FALSE),"")</f>
        <v>RESERVAS EM ATRASO</v>
      </c>
      <c r="N903" s="32" t="str">
        <f>IF(MB25_VOLUMETRIA[[#This Row],[Cen.]]="","",IFERROR(VLOOKUP(MB25_VOLUMETRIA[[#This Row],[Cen.]],Dados_Empresas[],2,FALSE),"Verificar empresa"))</f>
        <v>NET MASSIVO</v>
      </c>
      <c r="O903" s="32" t="str">
        <f>IF(MB25_VOLUMETRIA[[#This Row],[EMPRESA]]="","",IF(OR(MB25_VOLUMETRIA[[#This Row],[EMPRESA]]="NET MASSIVO",MB25_VOLUMETRIA[[#This Row],[EMPRESA]]="NET PROJETOS"),"NET","EMPRESARIAL"))</f>
        <v>NET</v>
      </c>
    </row>
    <row r="904" spans="1:15" x14ac:dyDescent="0.25">
      <c r="A904" s="32">
        <v>4381127</v>
      </c>
      <c r="B904" s="32" t="s">
        <v>21</v>
      </c>
      <c r="C904" s="33" t="s">
        <v>21</v>
      </c>
      <c r="D904" s="35">
        <v>45447</v>
      </c>
      <c r="E904" s="32" t="s">
        <v>185</v>
      </c>
      <c r="F904" s="32">
        <v>22060422</v>
      </c>
      <c r="G904" s="32" t="s">
        <v>298</v>
      </c>
      <c r="H904" s="26" t="s">
        <v>38</v>
      </c>
      <c r="I904" s="36">
        <v>50</v>
      </c>
      <c r="J904" s="32">
        <f>IF(MB25_VOLUMETRIA[[#This Row],[Reserva]]="","",1)</f>
        <v>1</v>
      </c>
      <c r="K904" s="36" t="str">
        <f>IF(MB25_VOLUMETRIA[[#This Row],[Reserva]]="","",IFERROR(VLOOKUP(MB25_VOLUMETRIA[[#This Row],[UMB]],CHAVE[],2,FALSE),"VERIFICAR"))</f>
        <v>Unidade</v>
      </c>
      <c r="L904" s="32" t="str">
        <f>IF(MB25_VOLUMETRIA[[#This Row],[Reserva]]="","",IFERROR(VLOOKUP(MB25_VOLUMETRIA[[#This Row],[Reserva]],Tabela3[[Reserva]:[Condição para Faturamento]],20,FALSE),"IMPORTADO COM SUCESSO"))</f>
        <v>IMPORTADO</v>
      </c>
      <c r="M904" s="32" t="str">
        <f ca="1">IFERROR(VLOOKUP(MB25_VOLUMETRIA[[#This Row],[Reserva]],RES_AB[],14,FALSE),"")</f>
        <v>RESERVAS EM ATRASO</v>
      </c>
      <c r="N904" s="32" t="str">
        <f>IF(MB25_VOLUMETRIA[[#This Row],[Cen.]]="","",IFERROR(VLOOKUP(MB25_VOLUMETRIA[[#This Row],[Cen.]],Dados_Empresas[],2,FALSE),"Verificar empresa"))</f>
        <v>NET MASSIVO</v>
      </c>
      <c r="O904" s="32" t="str">
        <f>IF(MB25_VOLUMETRIA[[#This Row],[EMPRESA]]="","",IF(OR(MB25_VOLUMETRIA[[#This Row],[EMPRESA]]="NET MASSIVO",MB25_VOLUMETRIA[[#This Row],[EMPRESA]]="NET PROJETOS"),"NET","EMPRESARIAL"))</f>
        <v>NET</v>
      </c>
    </row>
    <row r="905" spans="1:15" x14ac:dyDescent="0.25">
      <c r="A905" s="32">
        <v>4381128</v>
      </c>
      <c r="B905" s="32" t="s">
        <v>21</v>
      </c>
      <c r="C905" s="33" t="s">
        <v>19</v>
      </c>
      <c r="D905" s="35">
        <v>45447</v>
      </c>
      <c r="E905" s="32" t="s">
        <v>184</v>
      </c>
      <c r="F905" s="32">
        <v>41001234</v>
      </c>
      <c r="G905" s="32" t="s">
        <v>189</v>
      </c>
      <c r="H905" s="26" t="s">
        <v>38</v>
      </c>
      <c r="I905" s="36">
        <v>50</v>
      </c>
      <c r="J905" s="32">
        <f>IF(MB25_VOLUMETRIA[[#This Row],[Reserva]]="","",1)</f>
        <v>1</v>
      </c>
      <c r="K905" s="36" t="str">
        <f>IF(MB25_VOLUMETRIA[[#This Row],[Reserva]]="","",IFERROR(VLOOKUP(MB25_VOLUMETRIA[[#This Row],[UMB]],CHAVE[],2,FALSE),"VERIFICAR"))</f>
        <v>Unidade</v>
      </c>
      <c r="L905" s="32" t="str">
        <f>IF(MB25_VOLUMETRIA[[#This Row],[Reserva]]="","",IFERROR(VLOOKUP(MB25_VOLUMETRIA[[#This Row],[Reserva]],Tabela3[[Reserva]:[Condição para Faturamento]],20,FALSE),"IMPORTADO COM SUCESSO"))</f>
        <v>IMPORTADO</v>
      </c>
      <c r="M905" s="32" t="str">
        <f ca="1">IFERROR(VLOOKUP(MB25_VOLUMETRIA[[#This Row],[Reserva]],RES_AB[],14,FALSE),"")</f>
        <v>RESERVAS EM ATRASO</v>
      </c>
      <c r="N905" s="32" t="str">
        <f>IF(MB25_VOLUMETRIA[[#This Row],[Cen.]]="","",IFERROR(VLOOKUP(MB25_VOLUMETRIA[[#This Row],[Cen.]],Dados_Empresas[],2,FALSE),"Verificar empresa"))</f>
        <v>NET MASSIVO</v>
      </c>
      <c r="O905" s="32" t="str">
        <f>IF(MB25_VOLUMETRIA[[#This Row],[EMPRESA]]="","",IF(OR(MB25_VOLUMETRIA[[#This Row],[EMPRESA]]="NET MASSIVO",MB25_VOLUMETRIA[[#This Row],[EMPRESA]]="NET PROJETOS"),"NET","EMPRESARIAL"))</f>
        <v>NET</v>
      </c>
    </row>
    <row r="906" spans="1:15" x14ac:dyDescent="0.25">
      <c r="A906" s="32">
        <v>4381128</v>
      </c>
      <c r="B906" s="32" t="s">
        <v>21</v>
      </c>
      <c r="C906" s="33" t="s">
        <v>19</v>
      </c>
      <c r="D906" s="35">
        <v>45447</v>
      </c>
      <c r="E906" s="32" t="s">
        <v>184</v>
      </c>
      <c r="F906" s="32">
        <v>41001276</v>
      </c>
      <c r="G906" s="32" t="s">
        <v>351</v>
      </c>
      <c r="H906" s="26" t="s">
        <v>38</v>
      </c>
      <c r="I906" s="36">
        <v>50</v>
      </c>
      <c r="J906" s="32">
        <f>IF(MB25_VOLUMETRIA[[#This Row],[Reserva]]="","",1)</f>
        <v>1</v>
      </c>
      <c r="K906" s="36" t="str">
        <f>IF(MB25_VOLUMETRIA[[#This Row],[Reserva]]="","",IFERROR(VLOOKUP(MB25_VOLUMETRIA[[#This Row],[UMB]],CHAVE[],2,FALSE),"VERIFICAR"))</f>
        <v>Unidade</v>
      </c>
      <c r="L906" s="32" t="str">
        <f>IF(MB25_VOLUMETRIA[[#This Row],[Reserva]]="","",IFERROR(VLOOKUP(MB25_VOLUMETRIA[[#This Row],[Reserva]],Tabela3[[Reserva]:[Condição para Faturamento]],20,FALSE),"IMPORTADO COM SUCESSO"))</f>
        <v>IMPORTADO</v>
      </c>
      <c r="M906" s="32" t="str">
        <f ca="1">IFERROR(VLOOKUP(MB25_VOLUMETRIA[[#This Row],[Reserva]],RES_AB[],14,FALSE),"")</f>
        <v>RESERVAS EM ATRASO</v>
      </c>
      <c r="N906" s="32" t="str">
        <f>IF(MB25_VOLUMETRIA[[#This Row],[Cen.]]="","",IFERROR(VLOOKUP(MB25_VOLUMETRIA[[#This Row],[Cen.]],Dados_Empresas[],2,FALSE),"Verificar empresa"))</f>
        <v>NET MASSIVO</v>
      </c>
      <c r="O906" s="32" t="str">
        <f>IF(MB25_VOLUMETRIA[[#This Row],[EMPRESA]]="","",IF(OR(MB25_VOLUMETRIA[[#This Row],[EMPRESA]]="NET MASSIVO",MB25_VOLUMETRIA[[#This Row],[EMPRESA]]="NET PROJETOS"),"NET","EMPRESARIAL"))</f>
        <v>NET</v>
      </c>
    </row>
    <row r="907" spans="1:15" x14ac:dyDescent="0.25">
      <c r="A907" s="32">
        <v>4381128</v>
      </c>
      <c r="B907" s="32" t="s">
        <v>21</v>
      </c>
      <c r="C907" s="33" t="s">
        <v>21</v>
      </c>
      <c r="D907" s="35">
        <v>45447</v>
      </c>
      <c r="E907" s="32" t="s">
        <v>184</v>
      </c>
      <c r="F907" s="32">
        <v>41001590</v>
      </c>
      <c r="G907" s="32" t="s">
        <v>239</v>
      </c>
      <c r="H907" s="26" t="s">
        <v>38</v>
      </c>
      <c r="I907" s="36">
        <v>120</v>
      </c>
      <c r="J907" s="32">
        <f>IF(MB25_VOLUMETRIA[[#This Row],[Reserva]]="","",1)</f>
        <v>1</v>
      </c>
      <c r="K907" s="36" t="str">
        <f>IF(MB25_VOLUMETRIA[[#This Row],[Reserva]]="","",IFERROR(VLOOKUP(MB25_VOLUMETRIA[[#This Row],[UMB]],CHAVE[],2,FALSE),"VERIFICAR"))</f>
        <v>Unidade</v>
      </c>
      <c r="L907" s="32" t="str">
        <f>IF(MB25_VOLUMETRIA[[#This Row],[Reserva]]="","",IFERROR(VLOOKUP(MB25_VOLUMETRIA[[#This Row],[Reserva]],Tabela3[[Reserva]:[Condição para Faturamento]],20,FALSE),"IMPORTADO COM SUCESSO"))</f>
        <v>IMPORTADO</v>
      </c>
      <c r="M907" s="32" t="str">
        <f ca="1">IFERROR(VLOOKUP(MB25_VOLUMETRIA[[#This Row],[Reserva]],RES_AB[],14,FALSE),"")</f>
        <v>RESERVAS EM ATRASO</v>
      </c>
      <c r="N907" s="32" t="str">
        <f>IF(MB25_VOLUMETRIA[[#This Row],[Cen.]]="","",IFERROR(VLOOKUP(MB25_VOLUMETRIA[[#This Row],[Cen.]],Dados_Empresas[],2,FALSE),"Verificar empresa"))</f>
        <v>NET MASSIVO</v>
      </c>
      <c r="O907" s="32" t="str">
        <f>IF(MB25_VOLUMETRIA[[#This Row],[EMPRESA]]="","",IF(OR(MB25_VOLUMETRIA[[#This Row],[EMPRESA]]="NET MASSIVO",MB25_VOLUMETRIA[[#This Row],[EMPRESA]]="NET PROJETOS"),"NET","EMPRESARIAL"))</f>
        <v>NET</v>
      </c>
    </row>
    <row r="908" spans="1:15" x14ac:dyDescent="0.25">
      <c r="A908" s="32">
        <v>4381129</v>
      </c>
      <c r="B908" s="32" t="s">
        <v>21</v>
      </c>
      <c r="C908" s="33" t="s">
        <v>19</v>
      </c>
      <c r="D908" s="35">
        <v>45447</v>
      </c>
      <c r="E908" s="32" t="s">
        <v>185</v>
      </c>
      <c r="F908" s="32">
        <v>22026279</v>
      </c>
      <c r="G908" s="32" t="s">
        <v>350</v>
      </c>
      <c r="H908" s="26" t="s">
        <v>38</v>
      </c>
      <c r="I908" s="36">
        <v>70</v>
      </c>
      <c r="J908" s="32">
        <f>IF(MB25_VOLUMETRIA[[#This Row],[Reserva]]="","",1)</f>
        <v>1</v>
      </c>
      <c r="K908" s="36" t="str">
        <f>IF(MB25_VOLUMETRIA[[#This Row],[Reserva]]="","",IFERROR(VLOOKUP(MB25_VOLUMETRIA[[#This Row],[UMB]],CHAVE[],2,FALSE),"VERIFICAR"))</f>
        <v>Unidade</v>
      </c>
      <c r="L908" s="32" t="str">
        <f>IF(MB25_VOLUMETRIA[[#This Row],[Reserva]]="","",IFERROR(VLOOKUP(MB25_VOLUMETRIA[[#This Row],[Reserva]],Tabela3[[Reserva]:[Condição para Faturamento]],20,FALSE),"IMPORTADO COM SUCESSO"))</f>
        <v>IMPORTADO</v>
      </c>
      <c r="M908" s="32" t="str">
        <f ca="1">IFERROR(VLOOKUP(MB25_VOLUMETRIA[[#This Row],[Reserva]],RES_AB[],14,FALSE),"")</f>
        <v>RESERVAS EM ATRASO</v>
      </c>
      <c r="N908" s="32" t="str">
        <f>IF(MB25_VOLUMETRIA[[#This Row],[Cen.]]="","",IFERROR(VLOOKUP(MB25_VOLUMETRIA[[#This Row],[Cen.]],Dados_Empresas[],2,FALSE),"Verificar empresa"))</f>
        <v>NET MASSIVO</v>
      </c>
      <c r="O908" s="32" t="str">
        <f>IF(MB25_VOLUMETRIA[[#This Row],[EMPRESA]]="","",IF(OR(MB25_VOLUMETRIA[[#This Row],[EMPRESA]]="NET MASSIVO",MB25_VOLUMETRIA[[#This Row],[EMPRESA]]="NET PROJETOS"),"NET","EMPRESARIAL"))</f>
        <v>NET</v>
      </c>
    </row>
    <row r="909" spans="1:15" x14ac:dyDescent="0.25">
      <c r="A909" s="32">
        <v>4381129</v>
      </c>
      <c r="B909" s="32" t="s">
        <v>21</v>
      </c>
      <c r="C909" s="33" t="s">
        <v>21</v>
      </c>
      <c r="D909" s="35">
        <v>45447</v>
      </c>
      <c r="E909" s="32" t="s">
        <v>185</v>
      </c>
      <c r="F909" s="32">
        <v>22060422</v>
      </c>
      <c r="G909" s="32" t="s">
        <v>298</v>
      </c>
      <c r="H909" s="26" t="s">
        <v>38</v>
      </c>
      <c r="I909" s="36">
        <v>70</v>
      </c>
      <c r="J909" s="32">
        <f>IF(MB25_VOLUMETRIA[[#This Row],[Reserva]]="","",1)</f>
        <v>1</v>
      </c>
      <c r="K909" s="36" t="str">
        <f>IF(MB25_VOLUMETRIA[[#This Row],[Reserva]]="","",IFERROR(VLOOKUP(MB25_VOLUMETRIA[[#This Row],[UMB]],CHAVE[],2,FALSE),"VERIFICAR"))</f>
        <v>Unidade</v>
      </c>
      <c r="L909" s="32" t="str">
        <f>IF(MB25_VOLUMETRIA[[#This Row],[Reserva]]="","",IFERROR(VLOOKUP(MB25_VOLUMETRIA[[#This Row],[Reserva]],Tabela3[[Reserva]:[Condição para Faturamento]],20,FALSE),"IMPORTADO COM SUCESSO"))</f>
        <v>IMPORTADO</v>
      </c>
      <c r="M909" s="32" t="str">
        <f ca="1">IFERROR(VLOOKUP(MB25_VOLUMETRIA[[#This Row],[Reserva]],RES_AB[],14,FALSE),"")</f>
        <v>RESERVAS EM ATRASO</v>
      </c>
      <c r="N909" s="32" t="str">
        <f>IF(MB25_VOLUMETRIA[[#This Row],[Cen.]]="","",IFERROR(VLOOKUP(MB25_VOLUMETRIA[[#This Row],[Cen.]],Dados_Empresas[],2,FALSE),"Verificar empresa"))</f>
        <v>NET MASSIVO</v>
      </c>
      <c r="O909" s="32" t="str">
        <f>IF(MB25_VOLUMETRIA[[#This Row],[EMPRESA]]="","",IF(OR(MB25_VOLUMETRIA[[#This Row],[EMPRESA]]="NET MASSIVO",MB25_VOLUMETRIA[[#This Row],[EMPRESA]]="NET PROJETOS"),"NET","EMPRESARIAL"))</f>
        <v>NET</v>
      </c>
    </row>
    <row r="910" spans="1:15" x14ac:dyDescent="0.25">
      <c r="A910" s="32">
        <v>4381130</v>
      </c>
      <c r="B910" s="32" t="s">
        <v>21</v>
      </c>
      <c r="C910" s="33" t="s">
        <v>19</v>
      </c>
      <c r="D910" s="35">
        <v>45447</v>
      </c>
      <c r="E910" s="32" t="s">
        <v>184</v>
      </c>
      <c r="F910" s="32">
        <v>41001234</v>
      </c>
      <c r="G910" s="32" t="s">
        <v>189</v>
      </c>
      <c r="H910" s="26" t="s">
        <v>38</v>
      </c>
      <c r="I910" s="36">
        <v>70</v>
      </c>
      <c r="J910" s="32">
        <f>IF(MB25_VOLUMETRIA[[#This Row],[Reserva]]="","",1)</f>
        <v>1</v>
      </c>
      <c r="K910" s="36" t="str">
        <f>IF(MB25_VOLUMETRIA[[#This Row],[Reserva]]="","",IFERROR(VLOOKUP(MB25_VOLUMETRIA[[#This Row],[UMB]],CHAVE[],2,FALSE),"VERIFICAR"))</f>
        <v>Unidade</v>
      </c>
      <c r="L910" s="32" t="str">
        <f>IF(MB25_VOLUMETRIA[[#This Row],[Reserva]]="","",IFERROR(VLOOKUP(MB25_VOLUMETRIA[[#This Row],[Reserva]],Tabela3[[Reserva]:[Condição para Faturamento]],20,FALSE),"IMPORTADO COM SUCESSO"))</f>
        <v>IMPORTADO</v>
      </c>
      <c r="M910" s="32" t="str">
        <f ca="1">IFERROR(VLOOKUP(MB25_VOLUMETRIA[[#This Row],[Reserva]],RES_AB[],14,FALSE),"")</f>
        <v>RESERVAS EM ATRASO</v>
      </c>
      <c r="N910" s="32" t="str">
        <f>IF(MB25_VOLUMETRIA[[#This Row],[Cen.]]="","",IFERROR(VLOOKUP(MB25_VOLUMETRIA[[#This Row],[Cen.]],Dados_Empresas[],2,FALSE),"Verificar empresa"))</f>
        <v>NET MASSIVO</v>
      </c>
      <c r="O910" s="32" t="str">
        <f>IF(MB25_VOLUMETRIA[[#This Row],[EMPRESA]]="","",IF(OR(MB25_VOLUMETRIA[[#This Row],[EMPRESA]]="NET MASSIVO",MB25_VOLUMETRIA[[#This Row],[EMPRESA]]="NET PROJETOS"),"NET","EMPRESARIAL"))</f>
        <v>NET</v>
      </c>
    </row>
    <row r="911" spans="1:15" x14ac:dyDescent="0.25">
      <c r="A911" s="32">
        <v>4381130</v>
      </c>
      <c r="B911" s="32" t="s">
        <v>21</v>
      </c>
      <c r="C911" s="33" t="s">
        <v>19</v>
      </c>
      <c r="D911" s="35">
        <v>45447</v>
      </c>
      <c r="E911" s="32" t="s">
        <v>184</v>
      </c>
      <c r="F911" s="32">
        <v>41001276</v>
      </c>
      <c r="G911" s="32" t="s">
        <v>351</v>
      </c>
      <c r="H911" s="26" t="s">
        <v>38</v>
      </c>
      <c r="I911" s="36">
        <v>70</v>
      </c>
      <c r="J911" s="32">
        <f>IF(MB25_VOLUMETRIA[[#This Row],[Reserva]]="","",1)</f>
        <v>1</v>
      </c>
      <c r="K911" s="36" t="str">
        <f>IF(MB25_VOLUMETRIA[[#This Row],[Reserva]]="","",IFERROR(VLOOKUP(MB25_VOLUMETRIA[[#This Row],[UMB]],CHAVE[],2,FALSE),"VERIFICAR"))</f>
        <v>Unidade</v>
      </c>
      <c r="L911" s="32" t="str">
        <f>IF(MB25_VOLUMETRIA[[#This Row],[Reserva]]="","",IFERROR(VLOOKUP(MB25_VOLUMETRIA[[#This Row],[Reserva]],Tabela3[[Reserva]:[Condição para Faturamento]],20,FALSE),"IMPORTADO COM SUCESSO"))</f>
        <v>IMPORTADO</v>
      </c>
      <c r="M911" s="32" t="str">
        <f ca="1">IFERROR(VLOOKUP(MB25_VOLUMETRIA[[#This Row],[Reserva]],RES_AB[],14,FALSE),"")</f>
        <v>RESERVAS EM ATRASO</v>
      </c>
      <c r="N911" s="32" t="str">
        <f>IF(MB25_VOLUMETRIA[[#This Row],[Cen.]]="","",IFERROR(VLOOKUP(MB25_VOLUMETRIA[[#This Row],[Cen.]],Dados_Empresas[],2,FALSE),"Verificar empresa"))</f>
        <v>NET MASSIVO</v>
      </c>
      <c r="O911" s="32" t="str">
        <f>IF(MB25_VOLUMETRIA[[#This Row],[EMPRESA]]="","",IF(OR(MB25_VOLUMETRIA[[#This Row],[EMPRESA]]="NET MASSIVO",MB25_VOLUMETRIA[[#This Row],[EMPRESA]]="NET PROJETOS"),"NET","EMPRESARIAL"))</f>
        <v>NET</v>
      </c>
    </row>
    <row r="912" spans="1:15" x14ac:dyDescent="0.25">
      <c r="A912" s="32">
        <v>4381130</v>
      </c>
      <c r="B912" s="32" t="s">
        <v>21</v>
      </c>
      <c r="C912" s="33" t="s">
        <v>21</v>
      </c>
      <c r="D912" s="35">
        <v>45447</v>
      </c>
      <c r="E912" s="32" t="s">
        <v>184</v>
      </c>
      <c r="F912" s="32">
        <v>41001590</v>
      </c>
      <c r="G912" s="32" t="s">
        <v>239</v>
      </c>
      <c r="H912" s="26" t="s">
        <v>38</v>
      </c>
      <c r="I912" s="36">
        <v>20</v>
      </c>
      <c r="J912" s="32">
        <f>IF(MB25_VOLUMETRIA[[#This Row],[Reserva]]="","",1)</f>
        <v>1</v>
      </c>
      <c r="K912" s="36" t="str">
        <f>IF(MB25_VOLUMETRIA[[#This Row],[Reserva]]="","",IFERROR(VLOOKUP(MB25_VOLUMETRIA[[#This Row],[UMB]],CHAVE[],2,FALSE),"VERIFICAR"))</f>
        <v>Unidade</v>
      </c>
      <c r="L912" s="32" t="str">
        <f>IF(MB25_VOLUMETRIA[[#This Row],[Reserva]]="","",IFERROR(VLOOKUP(MB25_VOLUMETRIA[[#This Row],[Reserva]],Tabela3[[Reserva]:[Condição para Faturamento]],20,FALSE),"IMPORTADO COM SUCESSO"))</f>
        <v>IMPORTADO</v>
      </c>
      <c r="M912" s="32" t="str">
        <f ca="1">IFERROR(VLOOKUP(MB25_VOLUMETRIA[[#This Row],[Reserva]],RES_AB[],14,FALSE),"")</f>
        <v>RESERVAS EM ATRASO</v>
      </c>
      <c r="N912" s="32" t="str">
        <f>IF(MB25_VOLUMETRIA[[#This Row],[Cen.]]="","",IFERROR(VLOOKUP(MB25_VOLUMETRIA[[#This Row],[Cen.]],Dados_Empresas[],2,FALSE),"Verificar empresa"))</f>
        <v>NET MASSIVO</v>
      </c>
      <c r="O912" s="32" t="str">
        <f>IF(MB25_VOLUMETRIA[[#This Row],[EMPRESA]]="","",IF(OR(MB25_VOLUMETRIA[[#This Row],[EMPRESA]]="NET MASSIVO",MB25_VOLUMETRIA[[#This Row],[EMPRESA]]="NET PROJETOS"),"NET","EMPRESARIAL"))</f>
        <v>NET</v>
      </c>
    </row>
    <row r="913" spans="1:15" x14ac:dyDescent="0.25">
      <c r="A913" s="32">
        <v>4381133</v>
      </c>
      <c r="B913" s="32" t="s">
        <v>21</v>
      </c>
      <c r="C913" s="33" t="s">
        <v>19</v>
      </c>
      <c r="D913" s="35">
        <v>45447</v>
      </c>
      <c r="E913" s="32" t="s">
        <v>185</v>
      </c>
      <c r="F913" s="32">
        <v>22026279</v>
      </c>
      <c r="G913" s="32" t="s">
        <v>350</v>
      </c>
      <c r="H913" s="26" t="s">
        <v>38</v>
      </c>
      <c r="I913" s="36">
        <v>230</v>
      </c>
      <c r="J913" s="32">
        <f>IF(MB25_VOLUMETRIA[[#This Row],[Reserva]]="","",1)</f>
        <v>1</v>
      </c>
      <c r="K913" s="36" t="str">
        <f>IF(MB25_VOLUMETRIA[[#This Row],[Reserva]]="","",IFERROR(VLOOKUP(MB25_VOLUMETRIA[[#This Row],[UMB]],CHAVE[],2,FALSE),"VERIFICAR"))</f>
        <v>Unidade</v>
      </c>
      <c r="L913" s="32" t="str">
        <f>IF(MB25_VOLUMETRIA[[#This Row],[Reserva]]="","",IFERROR(VLOOKUP(MB25_VOLUMETRIA[[#This Row],[Reserva]],Tabela3[[Reserva]:[Condição para Faturamento]],20,FALSE),"IMPORTADO COM SUCESSO"))</f>
        <v>IMPORTADO</v>
      </c>
      <c r="M913" s="32" t="str">
        <f ca="1">IFERROR(VLOOKUP(MB25_VOLUMETRIA[[#This Row],[Reserva]],RES_AB[],14,FALSE),"")</f>
        <v>RESERVAS EM ATRASO</v>
      </c>
      <c r="N913" s="32" t="str">
        <f>IF(MB25_VOLUMETRIA[[#This Row],[Cen.]]="","",IFERROR(VLOOKUP(MB25_VOLUMETRIA[[#This Row],[Cen.]],Dados_Empresas[],2,FALSE),"Verificar empresa"))</f>
        <v>NET MASSIVO</v>
      </c>
      <c r="O913" s="32" t="str">
        <f>IF(MB25_VOLUMETRIA[[#This Row],[EMPRESA]]="","",IF(OR(MB25_VOLUMETRIA[[#This Row],[EMPRESA]]="NET MASSIVO",MB25_VOLUMETRIA[[#This Row],[EMPRESA]]="NET PROJETOS"),"NET","EMPRESARIAL"))</f>
        <v>NET</v>
      </c>
    </row>
    <row r="914" spans="1:15" x14ac:dyDescent="0.25">
      <c r="A914" s="32">
        <v>4381133</v>
      </c>
      <c r="B914" s="32" t="s">
        <v>21</v>
      </c>
      <c r="C914" s="33" t="s">
        <v>19</v>
      </c>
      <c r="D914" s="35">
        <v>45447</v>
      </c>
      <c r="E914" s="32" t="s">
        <v>185</v>
      </c>
      <c r="F914" s="32">
        <v>22026293</v>
      </c>
      <c r="G914" s="32" t="s">
        <v>352</v>
      </c>
      <c r="H914" s="26" t="s">
        <v>38</v>
      </c>
      <c r="I914" s="36">
        <v>50</v>
      </c>
      <c r="J914" s="32">
        <f>IF(MB25_VOLUMETRIA[[#This Row],[Reserva]]="","",1)</f>
        <v>1</v>
      </c>
      <c r="K914" s="36" t="str">
        <f>IF(MB25_VOLUMETRIA[[#This Row],[Reserva]]="","",IFERROR(VLOOKUP(MB25_VOLUMETRIA[[#This Row],[UMB]],CHAVE[],2,FALSE),"VERIFICAR"))</f>
        <v>Unidade</v>
      </c>
      <c r="L914" s="32" t="str">
        <f>IF(MB25_VOLUMETRIA[[#This Row],[Reserva]]="","",IFERROR(VLOOKUP(MB25_VOLUMETRIA[[#This Row],[Reserva]],Tabela3[[Reserva]:[Condição para Faturamento]],20,FALSE),"IMPORTADO COM SUCESSO"))</f>
        <v>IMPORTADO</v>
      </c>
      <c r="M914" s="32" t="str">
        <f ca="1">IFERROR(VLOOKUP(MB25_VOLUMETRIA[[#This Row],[Reserva]],RES_AB[],14,FALSE),"")</f>
        <v>RESERVAS EM ATRASO</v>
      </c>
      <c r="N914" s="32" t="str">
        <f>IF(MB25_VOLUMETRIA[[#This Row],[Cen.]]="","",IFERROR(VLOOKUP(MB25_VOLUMETRIA[[#This Row],[Cen.]],Dados_Empresas[],2,FALSE),"Verificar empresa"))</f>
        <v>NET MASSIVO</v>
      </c>
      <c r="O914" s="32" t="str">
        <f>IF(MB25_VOLUMETRIA[[#This Row],[EMPRESA]]="","",IF(OR(MB25_VOLUMETRIA[[#This Row],[EMPRESA]]="NET MASSIVO",MB25_VOLUMETRIA[[#This Row],[EMPRESA]]="NET PROJETOS"),"NET","EMPRESARIAL"))</f>
        <v>NET</v>
      </c>
    </row>
    <row r="915" spans="1:15" x14ac:dyDescent="0.25">
      <c r="A915" s="32">
        <v>4381133</v>
      </c>
      <c r="B915" s="32" t="s">
        <v>21</v>
      </c>
      <c r="C915" s="33" t="s">
        <v>21</v>
      </c>
      <c r="D915" s="35">
        <v>45447</v>
      </c>
      <c r="E915" s="32" t="s">
        <v>185</v>
      </c>
      <c r="F915" s="32">
        <v>22060422</v>
      </c>
      <c r="G915" s="32" t="s">
        <v>298</v>
      </c>
      <c r="H915" s="26" t="s">
        <v>38</v>
      </c>
      <c r="I915" s="36">
        <v>230</v>
      </c>
      <c r="J915" s="32">
        <f>IF(MB25_VOLUMETRIA[[#This Row],[Reserva]]="","",1)</f>
        <v>1</v>
      </c>
      <c r="K915" s="36" t="str">
        <f>IF(MB25_VOLUMETRIA[[#This Row],[Reserva]]="","",IFERROR(VLOOKUP(MB25_VOLUMETRIA[[#This Row],[UMB]],CHAVE[],2,FALSE),"VERIFICAR"))</f>
        <v>Unidade</v>
      </c>
      <c r="L915" s="32" t="str">
        <f>IF(MB25_VOLUMETRIA[[#This Row],[Reserva]]="","",IFERROR(VLOOKUP(MB25_VOLUMETRIA[[#This Row],[Reserva]],Tabela3[[Reserva]:[Condição para Faturamento]],20,FALSE),"IMPORTADO COM SUCESSO"))</f>
        <v>IMPORTADO</v>
      </c>
      <c r="M915" s="32" t="str">
        <f ca="1">IFERROR(VLOOKUP(MB25_VOLUMETRIA[[#This Row],[Reserva]],RES_AB[],14,FALSE),"")</f>
        <v>RESERVAS EM ATRASO</v>
      </c>
      <c r="N915" s="32" t="str">
        <f>IF(MB25_VOLUMETRIA[[#This Row],[Cen.]]="","",IFERROR(VLOOKUP(MB25_VOLUMETRIA[[#This Row],[Cen.]],Dados_Empresas[],2,FALSE),"Verificar empresa"))</f>
        <v>NET MASSIVO</v>
      </c>
      <c r="O915" s="32" t="str">
        <f>IF(MB25_VOLUMETRIA[[#This Row],[EMPRESA]]="","",IF(OR(MB25_VOLUMETRIA[[#This Row],[EMPRESA]]="NET MASSIVO",MB25_VOLUMETRIA[[#This Row],[EMPRESA]]="NET PROJETOS"),"NET","EMPRESARIAL"))</f>
        <v>NET</v>
      </c>
    </row>
    <row r="916" spans="1:15" x14ac:dyDescent="0.25">
      <c r="A916" s="32">
        <v>4381134</v>
      </c>
      <c r="B916" s="32" t="s">
        <v>21</v>
      </c>
      <c r="C916" s="33" t="s">
        <v>19</v>
      </c>
      <c r="D916" s="35">
        <v>45447</v>
      </c>
      <c r="E916" s="32" t="s">
        <v>184</v>
      </c>
      <c r="F916" s="32">
        <v>41001234</v>
      </c>
      <c r="G916" s="32" t="s">
        <v>189</v>
      </c>
      <c r="H916" s="26" t="s">
        <v>38</v>
      </c>
      <c r="I916" s="36">
        <v>230</v>
      </c>
      <c r="J916" s="32">
        <f>IF(MB25_VOLUMETRIA[[#This Row],[Reserva]]="","",1)</f>
        <v>1</v>
      </c>
      <c r="K916" s="36" t="str">
        <f>IF(MB25_VOLUMETRIA[[#This Row],[Reserva]]="","",IFERROR(VLOOKUP(MB25_VOLUMETRIA[[#This Row],[UMB]],CHAVE[],2,FALSE),"VERIFICAR"))</f>
        <v>Unidade</v>
      </c>
      <c r="L916" s="32" t="str">
        <f>IF(MB25_VOLUMETRIA[[#This Row],[Reserva]]="","",IFERROR(VLOOKUP(MB25_VOLUMETRIA[[#This Row],[Reserva]],Tabela3[[Reserva]:[Condição para Faturamento]],20,FALSE),"IMPORTADO COM SUCESSO"))</f>
        <v>IMPORTADO</v>
      </c>
      <c r="M916" s="32" t="str">
        <f ca="1">IFERROR(VLOOKUP(MB25_VOLUMETRIA[[#This Row],[Reserva]],RES_AB[],14,FALSE),"")</f>
        <v>RESERVAS EM ATRASO</v>
      </c>
      <c r="N916" s="32" t="str">
        <f>IF(MB25_VOLUMETRIA[[#This Row],[Cen.]]="","",IFERROR(VLOOKUP(MB25_VOLUMETRIA[[#This Row],[Cen.]],Dados_Empresas[],2,FALSE),"Verificar empresa"))</f>
        <v>NET MASSIVO</v>
      </c>
      <c r="O916" s="32" t="str">
        <f>IF(MB25_VOLUMETRIA[[#This Row],[EMPRESA]]="","",IF(OR(MB25_VOLUMETRIA[[#This Row],[EMPRESA]]="NET MASSIVO",MB25_VOLUMETRIA[[#This Row],[EMPRESA]]="NET PROJETOS"),"NET","EMPRESARIAL"))</f>
        <v>NET</v>
      </c>
    </row>
    <row r="917" spans="1:15" x14ac:dyDescent="0.25">
      <c r="A917" s="32">
        <v>4381134</v>
      </c>
      <c r="B917" s="32" t="s">
        <v>21</v>
      </c>
      <c r="C917" s="33" t="s">
        <v>19</v>
      </c>
      <c r="D917" s="35">
        <v>45447</v>
      </c>
      <c r="E917" s="32" t="s">
        <v>184</v>
      </c>
      <c r="F917" s="32">
        <v>41001276</v>
      </c>
      <c r="G917" s="32" t="s">
        <v>351</v>
      </c>
      <c r="H917" s="26" t="s">
        <v>38</v>
      </c>
      <c r="I917" s="36">
        <v>230</v>
      </c>
      <c r="J917" s="32">
        <f>IF(MB25_VOLUMETRIA[[#This Row],[Reserva]]="","",1)</f>
        <v>1</v>
      </c>
      <c r="K917" s="36" t="str">
        <f>IF(MB25_VOLUMETRIA[[#This Row],[Reserva]]="","",IFERROR(VLOOKUP(MB25_VOLUMETRIA[[#This Row],[UMB]],CHAVE[],2,FALSE),"VERIFICAR"))</f>
        <v>Unidade</v>
      </c>
      <c r="L917" s="32" t="str">
        <f>IF(MB25_VOLUMETRIA[[#This Row],[Reserva]]="","",IFERROR(VLOOKUP(MB25_VOLUMETRIA[[#This Row],[Reserva]],Tabela3[[Reserva]:[Condição para Faturamento]],20,FALSE),"IMPORTADO COM SUCESSO"))</f>
        <v>IMPORTADO</v>
      </c>
      <c r="M917" s="32" t="str">
        <f ca="1">IFERROR(VLOOKUP(MB25_VOLUMETRIA[[#This Row],[Reserva]],RES_AB[],14,FALSE),"")</f>
        <v>RESERVAS EM ATRASO</v>
      </c>
      <c r="N917" s="32" t="str">
        <f>IF(MB25_VOLUMETRIA[[#This Row],[Cen.]]="","",IFERROR(VLOOKUP(MB25_VOLUMETRIA[[#This Row],[Cen.]],Dados_Empresas[],2,FALSE),"Verificar empresa"))</f>
        <v>NET MASSIVO</v>
      </c>
      <c r="O917" s="32" t="str">
        <f>IF(MB25_VOLUMETRIA[[#This Row],[EMPRESA]]="","",IF(OR(MB25_VOLUMETRIA[[#This Row],[EMPRESA]]="NET MASSIVO",MB25_VOLUMETRIA[[#This Row],[EMPRESA]]="NET PROJETOS"),"NET","EMPRESARIAL"))</f>
        <v>NET</v>
      </c>
    </row>
    <row r="918" spans="1:15" x14ac:dyDescent="0.25">
      <c r="A918" s="32">
        <v>4381134</v>
      </c>
      <c r="B918" s="32" t="s">
        <v>21</v>
      </c>
      <c r="C918" s="33" t="s">
        <v>19</v>
      </c>
      <c r="D918" s="35">
        <v>45447</v>
      </c>
      <c r="E918" s="32" t="s">
        <v>184</v>
      </c>
      <c r="F918" s="32">
        <v>41001292</v>
      </c>
      <c r="G918" s="32" t="s">
        <v>353</v>
      </c>
      <c r="H918" s="26" t="s">
        <v>38</v>
      </c>
      <c r="I918" s="36">
        <v>50</v>
      </c>
      <c r="J918" s="32">
        <f>IF(MB25_VOLUMETRIA[[#This Row],[Reserva]]="","",1)</f>
        <v>1</v>
      </c>
      <c r="K918" s="36" t="str">
        <f>IF(MB25_VOLUMETRIA[[#This Row],[Reserva]]="","",IFERROR(VLOOKUP(MB25_VOLUMETRIA[[#This Row],[UMB]],CHAVE[],2,FALSE),"VERIFICAR"))</f>
        <v>Unidade</v>
      </c>
      <c r="L918" s="32" t="str">
        <f>IF(MB25_VOLUMETRIA[[#This Row],[Reserva]]="","",IFERROR(VLOOKUP(MB25_VOLUMETRIA[[#This Row],[Reserva]],Tabela3[[Reserva]:[Condição para Faturamento]],20,FALSE),"IMPORTADO COM SUCESSO"))</f>
        <v>IMPORTADO</v>
      </c>
      <c r="M918" s="32" t="str">
        <f ca="1">IFERROR(VLOOKUP(MB25_VOLUMETRIA[[#This Row],[Reserva]],RES_AB[],14,FALSE),"")</f>
        <v>RESERVAS EM ATRASO</v>
      </c>
      <c r="N918" s="32" t="str">
        <f>IF(MB25_VOLUMETRIA[[#This Row],[Cen.]]="","",IFERROR(VLOOKUP(MB25_VOLUMETRIA[[#This Row],[Cen.]],Dados_Empresas[],2,FALSE),"Verificar empresa"))</f>
        <v>NET MASSIVO</v>
      </c>
      <c r="O918" s="32" t="str">
        <f>IF(MB25_VOLUMETRIA[[#This Row],[EMPRESA]]="","",IF(OR(MB25_VOLUMETRIA[[#This Row],[EMPRESA]]="NET MASSIVO",MB25_VOLUMETRIA[[#This Row],[EMPRESA]]="NET PROJETOS"),"NET","EMPRESARIAL"))</f>
        <v>NET</v>
      </c>
    </row>
    <row r="919" spans="1:15" x14ac:dyDescent="0.25">
      <c r="A919" s="32">
        <v>4381135</v>
      </c>
      <c r="B919" s="32" t="s">
        <v>21</v>
      </c>
      <c r="C919" s="33" t="s">
        <v>19</v>
      </c>
      <c r="D919" s="35">
        <v>45447</v>
      </c>
      <c r="E919" s="32" t="s">
        <v>185</v>
      </c>
      <c r="F919" s="32">
        <v>22026279</v>
      </c>
      <c r="G919" s="32" t="s">
        <v>350</v>
      </c>
      <c r="H919" s="26" t="s">
        <v>38</v>
      </c>
      <c r="I919" s="36">
        <v>40</v>
      </c>
      <c r="J919" s="32">
        <f>IF(MB25_VOLUMETRIA[[#This Row],[Reserva]]="","",1)</f>
        <v>1</v>
      </c>
      <c r="K919" s="36" t="str">
        <f>IF(MB25_VOLUMETRIA[[#This Row],[Reserva]]="","",IFERROR(VLOOKUP(MB25_VOLUMETRIA[[#This Row],[UMB]],CHAVE[],2,FALSE),"VERIFICAR"))</f>
        <v>Unidade</v>
      </c>
      <c r="L919" s="32" t="str">
        <f>IF(MB25_VOLUMETRIA[[#This Row],[Reserva]]="","",IFERROR(VLOOKUP(MB25_VOLUMETRIA[[#This Row],[Reserva]],Tabela3[[Reserva]:[Condição para Faturamento]],20,FALSE),"IMPORTADO COM SUCESSO"))</f>
        <v>IMPORTADO</v>
      </c>
      <c r="M919" s="32" t="str">
        <f ca="1">IFERROR(VLOOKUP(MB25_VOLUMETRIA[[#This Row],[Reserva]],RES_AB[],14,FALSE),"")</f>
        <v>RESERVAS EM ATRASO</v>
      </c>
      <c r="N919" s="32" t="str">
        <f>IF(MB25_VOLUMETRIA[[#This Row],[Cen.]]="","",IFERROR(VLOOKUP(MB25_VOLUMETRIA[[#This Row],[Cen.]],Dados_Empresas[],2,FALSE),"Verificar empresa"))</f>
        <v>NET MASSIVO</v>
      </c>
      <c r="O919" s="32" t="str">
        <f>IF(MB25_VOLUMETRIA[[#This Row],[EMPRESA]]="","",IF(OR(MB25_VOLUMETRIA[[#This Row],[EMPRESA]]="NET MASSIVO",MB25_VOLUMETRIA[[#This Row],[EMPRESA]]="NET PROJETOS"),"NET","EMPRESARIAL"))</f>
        <v>NET</v>
      </c>
    </row>
    <row r="920" spans="1:15" x14ac:dyDescent="0.25">
      <c r="A920" s="32">
        <v>4381135</v>
      </c>
      <c r="B920" s="32" t="s">
        <v>21</v>
      </c>
      <c r="C920" s="33" t="s">
        <v>19</v>
      </c>
      <c r="D920" s="35">
        <v>45447</v>
      </c>
      <c r="E920" s="32" t="s">
        <v>185</v>
      </c>
      <c r="F920" s="32">
        <v>22026293</v>
      </c>
      <c r="G920" s="32" t="s">
        <v>352</v>
      </c>
      <c r="H920" s="26" t="s">
        <v>38</v>
      </c>
      <c r="I920" s="36">
        <v>50</v>
      </c>
      <c r="J920" s="32">
        <f>IF(MB25_VOLUMETRIA[[#This Row],[Reserva]]="","",1)</f>
        <v>1</v>
      </c>
      <c r="K920" s="36" t="str">
        <f>IF(MB25_VOLUMETRIA[[#This Row],[Reserva]]="","",IFERROR(VLOOKUP(MB25_VOLUMETRIA[[#This Row],[UMB]],CHAVE[],2,FALSE),"VERIFICAR"))</f>
        <v>Unidade</v>
      </c>
      <c r="L920" s="32" t="str">
        <f>IF(MB25_VOLUMETRIA[[#This Row],[Reserva]]="","",IFERROR(VLOOKUP(MB25_VOLUMETRIA[[#This Row],[Reserva]],Tabela3[[Reserva]:[Condição para Faturamento]],20,FALSE),"IMPORTADO COM SUCESSO"))</f>
        <v>IMPORTADO</v>
      </c>
      <c r="M920" s="32" t="str">
        <f ca="1">IFERROR(VLOOKUP(MB25_VOLUMETRIA[[#This Row],[Reserva]],RES_AB[],14,FALSE),"")</f>
        <v>RESERVAS EM ATRASO</v>
      </c>
      <c r="N920" s="32" t="str">
        <f>IF(MB25_VOLUMETRIA[[#This Row],[Cen.]]="","",IFERROR(VLOOKUP(MB25_VOLUMETRIA[[#This Row],[Cen.]],Dados_Empresas[],2,FALSE),"Verificar empresa"))</f>
        <v>NET MASSIVO</v>
      </c>
      <c r="O920" s="32" t="str">
        <f>IF(MB25_VOLUMETRIA[[#This Row],[EMPRESA]]="","",IF(OR(MB25_VOLUMETRIA[[#This Row],[EMPRESA]]="NET MASSIVO",MB25_VOLUMETRIA[[#This Row],[EMPRESA]]="NET PROJETOS"),"NET","EMPRESARIAL"))</f>
        <v>NET</v>
      </c>
    </row>
    <row r="921" spans="1:15" x14ac:dyDescent="0.25">
      <c r="A921" s="32">
        <v>4381135</v>
      </c>
      <c r="B921" s="32" t="s">
        <v>21</v>
      </c>
      <c r="C921" s="33" t="s">
        <v>21</v>
      </c>
      <c r="D921" s="35">
        <v>45447</v>
      </c>
      <c r="E921" s="32" t="s">
        <v>185</v>
      </c>
      <c r="F921" s="32">
        <v>22060422</v>
      </c>
      <c r="G921" s="32" t="s">
        <v>298</v>
      </c>
      <c r="H921" s="26" t="s">
        <v>38</v>
      </c>
      <c r="I921" s="36">
        <v>40</v>
      </c>
      <c r="J921" s="32">
        <f>IF(MB25_VOLUMETRIA[[#This Row],[Reserva]]="","",1)</f>
        <v>1</v>
      </c>
      <c r="K921" s="36" t="str">
        <f>IF(MB25_VOLUMETRIA[[#This Row],[Reserva]]="","",IFERROR(VLOOKUP(MB25_VOLUMETRIA[[#This Row],[UMB]],CHAVE[],2,FALSE),"VERIFICAR"))</f>
        <v>Unidade</v>
      </c>
      <c r="L921" s="32" t="str">
        <f>IF(MB25_VOLUMETRIA[[#This Row],[Reserva]]="","",IFERROR(VLOOKUP(MB25_VOLUMETRIA[[#This Row],[Reserva]],Tabela3[[Reserva]:[Condição para Faturamento]],20,FALSE),"IMPORTADO COM SUCESSO"))</f>
        <v>IMPORTADO</v>
      </c>
      <c r="M921" s="32" t="str">
        <f ca="1">IFERROR(VLOOKUP(MB25_VOLUMETRIA[[#This Row],[Reserva]],RES_AB[],14,FALSE),"")</f>
        <v>RESERVAS EM ATRASO</v>
      </c>
      <c r="N921" s="32" t="str">
        <f>IF(MB25_VOLUMETRIA[[#This Row],[Cen.]]="","",IFERROR(VLOOKUP(MB25_VOLUMETRIA[[#This Row],[Cen.]],Dados_Empresas[],2,FALSE),"Verificar empresa"))</f>
        <v>NET MASSIVO</v>
      </c>
      <c r="O921" s="32" t="str">
        <f>IF(MB25_VOLUMETRIA[[#This Row],[EMPRESA]]="","",IF(OR(MB25_VOLUMETRIA[[#This Row],[EMPRESA]]="NET MASSIVO",MB25_VOLUMETRIA[[#This Row],[EMPRESA]]="NET PROJETOS"),"NET","EMPRESARIAL"))</f>
        <v>NET</v>
      </c>
    </row>
    <row r="922" spans="1:15" x14ac:dyDescent="0.25">
      <c r="A922" s="32">
        <v>4381136</v>
      </c>
      <c r="B922" s="32" t="s">
        <v>21</v>
      </c>
      <c r="C922" s="33" t="s">
        <v>19</v>
      </c>
      <c r="D922" s="35">
        <v>45447</v>
      </c>
      <c r="E922" s="32" t="s">
        <v>184</v>
      </c>
      <c r="F922" s="32">
        <v>41001234</v>
      </c>
      <c r="G922" s="32" t="s">
        <v>189</v>
      </c>
      <c r="H922" s="26" t="s">
        <v>38</v>
      </c>
      <c r="I922" s="36">
        <v>40</v>
      </c>
      <c r="J922" s="32">
        <f>IF(MB25_VOLUMETRIA[[#This Row],[Reserva]]="","",1)</f>
        <v>1</v>
      </c>
      <c r="K922" s="36" t="str">
        <f>IF(MB25_VOLUMETRIA[[#This Row],[Reserva]]="","",IFERROR(VLOOKUP(MB25_VOLUMETRIA[[#This Row],[UMB]],CHAVE[],2,FALSE),"VERIFICAR"))</f>
        <v>Unidade</v>
      </c>
      <c r="L922" s="32" t="str">
        <f>IF(MB25_VOLUMETRIA[[#This Row],[Reserva]]="","",IFERROR(VLOOKUP(MB25_VOLUMETRIA[[#This Row],[Reserva]],Tabela3[[Reserva]:[Condição para Faturamento]],20,FALSE),"IMPORTADO COM SUCESSO"))</f>
        <v>IMPORTADO</v>
      </c>
      <c r="M922" s="32" t="str">
        <f ca="1">IFERROR(VLOOKUP(MB25_VOLUMETRIA[[#This Row],[Reserva]],RES_AB[],14,FALSE),"")</f>
        <v>RESERVAS EM ATRASO</v>
      </c>
      <c r="N922" s="32" t="str">
        <f>IF(MB25_VOLUMETRIA[[#This Row],[Cen.]]="","",IFERROR(VLOOKUP(MB25_VOLUMETRIA[[#This Row],[Cen.]],Dados_Empresas[],2,FALSE),"Verificar empresa"))</f>
        <v>NET MASSIVO</v>
      </c>
      <c r="O922" s="32" t="str">
        <f>IF(MB25_VOLUMETRIA[[#This Row],[EMPRESA]]="","",IF(OR(MB25_VOLUMETRIA[[#This Row],[EMPRESA]]="NET MASSIVO",MB25_VOLUMETRIA[[#This Row],[EMPRESA]]="NET PROJETOS"),"NET","EMPRESARIAL"))</f>
        <v>NET</v>
      </c>
    </row>
    <row r="923" spans="1:15" x14ac:dyDescent="0.25">
      <c r="A923" s="32">
        <v>4381136</v>
      </c>
      <c r="B923" s="32" t="s">
        <v>21</v>
      </c>
      <c r="C923" s="33" t="s">
        <v>19</v>
      </c>
      <c r="D923" s="35">
        <v>45447</v>
      </c>
      <c r="E923" s="32" t="s">
        <v>184</v>
      </c>
      <c r="F923" s="32">
        <v>41001276</v>
      </c>
      <c r="G923" s="32" t="s">
        <v>351</v>
      </c>
      <c r="H923" s="26" t="s">
        <v>38</v>
      </c>
      <c r="I923" s="36">
        <v>40</v>
      </c>
      <c r="J923" s="32">
        <f>IF(MB25_VOLUMETRIA[[#This Row],[Reserva]]="","",1)</f>
        <v>1</v>
      </c>
      <c r="K923" s="36" t="str">
        <f>IF(MB25_VOLUMETRIA[[#This Row],[Reserva]]="","",IFERROR(VLOOKUP(MB25_VOLUMETRIA[[#This Row],[UMB]],CHAVE[],2,FALSE),"VERIFICAR"))</f>
        <v>Unidade</v>
      </c>
      <c r="L923" s="32" t="str">
        <f>IF(MB25_VOLUMETRIA[[#This Row],[Reserva]]="","",IFERROR(VLOOKUP(MB25_VOLUMETRIA[[#This Row],[Reserva]],Tabela3[[Reserva]:[Condição para Faturamento]],20,FALSE),"IMPORTADO COM SUCESSO"))</f>
        <v>IMPORTADO</v>
      </c>
      <c r="M923" s="32" t="str">
        <f ca="1">IFERROR(VLOOKUP(MB25_VOLUMETRIA[[#This Row],[Reserva]],RES_AB[],14,FALSE),"")</f>
        <v>RESERVAS EM ATRASO</v>
      </c>
      <c r="N923" s="32" t="str">
        <f>IF(MB25_VOLUMETRIA[[#This Row],[Cen.]]="","",IFERROR(VLOOKUP(MB25_VOLUMETRIA[[#This Row],[Cen.]],Dados_Empresas[],2,FALSE),"Verificar empresa"))</f>
        <v>NET MASSIVO</v>
      </c>
      <c r="O923" s="32" t="str">
        <f>IF(MB25_VOLUMETRIA[[#This Row],[EMPRESA]]="","",IF(OR(MB25_VOLUMETRIA[[#This Row],[EMPRESA]]="NET MASSIVO",MB25_VOLUMETRIA[[#This Row],[EMPRESA]]="NET PROJETOS"),"NET","EMPRESARIAL"))</f>
        <v>NET</v>
      </c>
    </row>
    <row r="924" spans="1:15" x14ac:dyDescent="0.25">
      <c r="A924" s="32">
        <v>4381136</v>
      </c>
      <c r="B924" s="32" t="s">
        <v>21</v>
      </c>
      <c r="C924" s="33" t="s">
        <v>19</v>
      </c>
      <c r="D924" s="35">
        <v>45447</v>
      </c>
      <c r="E924" s="32" t="s">
        <v>184</v>
      </c>
      <c r="F924" s="32">
        <v>41001292</v>
      </c>
      <c r="G924" s="32" t="s">
        <v>353</v>
      </c>
      <c r="H924" s="26" t="s">
        <v>38</v>
      </c>
      <c r="I924" s="36">
        <v>50</v>
      </c>
      <c r="J924" s="32">
        <f>IF(MB25_VOLUMETRIA[[#This Row],[Reserva]]="","",1)</f>
        <v>1</v>
      </c>
      <c r="K924" s="36" t="str">
        <f>IF(MB25_VOLUMETRIA[[#This Row],[Reserva]]="","",IFERROR(VLOOKUP(MB25_VOLUMETRIA[[#This Row],[UMB]],CHAVE[],2,FALSE),"VERIFICAR"))</f>
        <v>Unidade</v>
      </c>
      <c r="L924" s="32" t="str">
        <f>IF(MB25_VOLUMETRIA[[#This Row],[Reserva]]="","",IFERROR(VLOOKUP(MB25_VOLUMETRIA[[#This Row],[Reserva]],Tabela3[[Reserva]:[Condição para Faturamento]],20,FALSE),"IMPORTADO COM SUCESSO"))</f>
        <v>IMPORTADO</v>
      </c>
      <c r="M924" s="32" t="str">
        <f ca="1">IFERROR(VLOOKUP(MB25_VOLUMETRIA[[#This Row],[Reserva]],RES_AB[],14,FALSE),"")</f>
        <v>RESERVAS EM ATRASO</v>
      </c>
      <c r="N924" s="32" t="str">
        <f>IF(MB25_VOLUMETRIA[[#This Row],[Cen.]]="","",IFERROR(VLOOKUP(MB25_VOLUMETRIA[[#This Row],[Cen.]],Dados_Empresas[],2,FALSE),"Verificar empresa"))</f>
        <v>NET MASSIVO</v>
      </c>
      <c r="O924" s="32" t="str">
        <f>IF(MB25_VOLUMETRIA[[#This Row],[EMPRESA]]="","",IF(OR(MB25_VOLUMETRIA[[#This Row],[EMPRESA]]="NET MASSIVO",MB25_VOLUMETRIA[[#This Row],[EMPRESA]]="NET PROJETOS"),"NET","EMPRESARIAL"))</f>
        <v>NET</v>
      </c>
    </row>
    <row r="925" spans="1:15" x14ac:dyDescent="0.25">
      <c r="A925" s="32">
        <v>4381136</v>
      </c>
      <c r="B925" s="32" t="s">
        <v>21</v>
      </c>
      <c r="C925" s="33" t="s">
        <v>21</v>
      </c>
      <c r="D925" s="35">
        <v>45447</v>
      </c>
      <c r="E925" s="32" t="s">
        <v>184</v>
      </c>
      <c r="F925" s="32">
        <v>41001590</v>
      </c>
      <c r="G925" s="32" t="s">
        <v>239</v>
      </c>
      <c r="H925" s="26" t="s">
        <v>38</v>
      </c>
      <c r="I925" s="36">
        <v>60</v>
      </c>
      <c r="J925" s="32">
        <f>IF(MB25_VOLUMETRIA[[#This Row],[Reserva]]="","",1)</f>
        <v>1</v>
      </c>
      <c r="K925" s="36" t="str">
        <f>IF(MB25_VOLUMETRIA[[#This Row],[Reserva]]="","",IFERROR(VLOOKUP(MB25_VOLUMETRIA[[#This Row],[UMB]],CHAVE[],2,FALSE),"VERIFICAR"))</f>
        <v>Unidade</v>
      </c>
      <c r="L925" s="32" t="str">
        <f>IF(MB25_VOLUMETRIA[[#This Row],[Reserva]]="","",IFERROR(VLOOKUP(MB25_VOLUMETRIA[[#This Row],[Reserva]],Tabela3[[Reserva]:[Condição para Faturamento]],20,FALSE),"IMPORTADO COM SUCESSO"))</f>
        <v>IMPORTADO</v>
      </c>
      <c r="M925" s="32" t="str">
        <f ca="1">IFERROR(VLOOKUP(MB25_VOLUMETRIA[[#This Row],[Reserva]],RES_AB[],14,FALSE),"")</f>
        <v>RESERVAS EM ATRASO</v>
      </c>
      <c r="N925" s="32" t="str">
        <f>IF(MB25_VOLUMETRIA[[#This Row],[Cen.]]="","",IFERROR(VLOOKUP(MB25_VOLUMETRIA[[#This Row],[Cen.]],Dados_Empresas[],2,FALSE),"Verificar empresa"))</f>
        <v>NET MASSIVO</v>
      </c>
      <c r="O925" s="32" t="str">
        <f>IF(MB25_VOLUMETRIA[[#This Row],[EMPRESA]]="","",IF(OR(MB25_VOLUMETRIA[[#This Row],[EMPRESA]]="NET MASSIVO",MB25_VOLUMETRIA[[#This Row],[EMPRESA]]="NET PROJETOS"),"NET","EMPRESARIAL"))</f>
        <v>NET</v>
      </c>
    </row>
    <row r="926" spans="1:15" x14ac:dyDescent="0.25">
      <c r="A926" s="32">
        <v>4381137</v>
      </c>
      <c r="B926" s="32" t="s">
        <v>21</v>
      </c>
      <c r="C926" s="33" t="s">
        <v>19</v>
      </c>
      <c r="D926" s="35">
        <v>45447</v>
      </c>
      <c r="E926" s="32" t="s">
        <v>185</v>
      </c>
      <c r="F926" s="32">
        <v>22025114</v>
      </c>
      <c r="G926" s="32" t="s">
        <v>358</v>
      </c>
      <c r="H926" s="26" t="s">
        <v>38</v>
      </c>
      <c r="I926" s="36">
        <v>50</v>
      </c>
      <c r="J926" s="32">
        <f>IF(MB25_VOLUMETRIA[[#This Row],[Reserva]]="","",1)</f>
        <v>1</v>
      </c>
      <c r="K926" s="36" t="str">
        <f>IF(MB25_VOLUMETRIA[[#This Row],[Reserva]]="","",IFERROR(VLOOKUP(MB25_VOLUMETRIA[[#This Row],[UMB]],CHAVE[],2,FALSE),"VERIFICAR"))</f>
        <v>Unidade</v>
      </c>
      <c r="L926" s="32" t="str">
        <f>IF(MB25_VOLUMETRIA[[#This Row],[Reserva]]="","",IFERROR(VLOOKUP(MB25_VOLUMETRIA[[#This Row],[Reserva]],Tabela3[[Reserva]:[Condição para Faturamento]],20,FALSE),"IMPORTADO COM SUCESSO"))</f>
        <v>EM RESSUPRIMENTO</v>
      </c>
      <c r="M926" s="32" t="str">
        <f ca="1">IFERROR(VLOOKUP(MB25_VOLUMETRIA[[#This Row],[Reserva]],RES_AB[],14,FALSE),"")</f>
        <v>RESERVAS EM ATRASO</v>
      </c>
      <c r="N926" s="32" t="str">
        <f>IF(MB25_VOLUMETRIA[[#This Row],[Cen.]]="","",IFERROR(VLOOKUP(MB25_VOLUMETRIA[[#This Row],[Cen.]],Dados_Empresas[],2,FALSE),"Verificar empresa"))</f>
        <v>NET MASSIVO</v>
      </c>
      <c r="O926" s="32" t="str">
        <f>IF(MB25_VOLUMETRIA[[#This Row],[EMPRESA]]="","",IF(OR(MB25_VOLUMETRIA[[#This Row],[EMPRESA]]="NET MASSIVO",MB25_VOLUMETRIA[[#This Row],[EMPRESA]]="NET PROJETOS"),"NET","EMPRESARIAL"))</f>
        <v>NET</v>
      </c>
    </row>
    <row r="927" spans="1:15" x14ac:dyDescent="0.25">
      <c r="A927" s="32">
        <v>4381137</v>
      </c>
      <c r="B927" s="32" t="s">
        <v>21</v>
      </c>
      <c r="C927" s="33" t="s">
        <v>21</v>
      </c>
      <c r="D927" s="35">
        <v>45447</v>
      </c>
      <c r="E927" s="32" t="s">
        <v>185</v>
      </c>
      <c r="F927" s="32">
        <v>22025139</v>
      </c>
      <c r="G927" s="32" t="s">
        <v>199</v>
      </c>
      <c r="H927" s="26" t="s">
        <v>38</v>
      </c>
      <c r="I927" s="36">
        <v>1000</v>
      </c>
      <c r="J927" s="32">
        <f>IF(MB25_VOLUMETRIA[[#This Row],[Reserva]]="","",1)</f>
        <v>1</v>
      </c>
      <c r="K927" s="36" t="str">
        <f>IF(MB25_VOLUMETRIA[[#This Row],[Reserva]]="","",IFERROR(VLOOKUP(MB25_VOLUMETRIA[[#This Row],[UMB]],CHAVE[],2,FALSE),"VERIFICAR"))</f>
        <v>Unidade</v>
      </c>
      <c r="L927" s="32" t="str">
        <f>IF(MB25_VOLUMETRIA[[#This Row],[Reserva]]="","",IFERROR(VLOOKUP(MB25_VOLUMETRIA[[#This Row],[Reserva]],Tabela3[[Reserva]:[Condição para Faturamento]],20,FALSE),"IMPORTADO COM SUCESSO"))</f>
        <v>EM RESSUPRIMENTO</v>
      </c>
      <c r="M927" s="32" t="str">
        <f ca="1">IFERROR(VLOOKUP(MB25_VOLUMETRIA[[#This Row],[Reserva]],RES_AB[],14,FALSE),"")</f>
        <v>RESERVAS EM ATRASO</v>
      </c>
      <c r="N927" s="32" t="str">
        <f>IF(MB25_VOLUMETRIA[[#This Row],[Cen.]]="","",IFERROR(VLOOKUP(MB25_VOLUMETRIA[[#This Row],[Cen.]],Dados_Empresas[],2,FALSE),"Verificar empresa"))</f>
        <v>NET MASSIVO</v>
      </c>
      <c r="O927" s="32" t="str">
        <f>IF(MB25_VOLUMETRIA[[#This Row],[EMPRESA]]="","",IF(OR(MB25_VOLUMETRIA[[#This Row],[EMPRESA]]="NET MASSIVO",MB25_VOLUMETRIA[[#This Row],[EMPRESA]]="NET PROJETOS"),"NET","EMPRESARIAL"))</f>
        <v>NET</v>
      </c>
    </row>
    <row r="928" spans="1:15" x14ac:dyDescent="0.25">
      <c r="A928" s="32">
        <v>4381137</v>
      </c>
      <c r="B928" s="32" t="s">
        <v>21</v>
      </c>
      <c r="C928" s="33" t="s">
        <v>19</v>
      </c>
      <c r="D928" s="35">
        <v>45447</v>
      </c>
      <c r="E928" s="32" t="s">
        <v>185</v>
      </c>
      <c r="F928" s="32">
        <v>22026103</v>
      </c>
      <c r="G928" s="32" t="s">
        <v>322</v>
      </c>
      <c r="H928" s="26" t="s">
        <v>38</v>
      </c>
      <c r="I928" s="36">
        <v>5</v>
      </c>
      <c r="J928" s="32">
        <f>IF(MB25_VOLUMETRIA[[#This Row],[Reserva]]="","",1)</f>
        <v>1</v>
      </c>
      <c r="K928" s="36" t="str">
        <f>IF(MB25_VOLUMETRIA[[#This Row],[Reserva]]="","",IFERROR(VLOOKUP(MB25_VOLUMETRIA[[#This Row],[UMB]],CHAVE[],2,FALSE),"VERIFICAR"))</f>
        <v>Unidade</v>
      </c>
      <c r="L928" s="32" t="str">
        <f>IF(MB25_VOLUMETRIA[[#This Row],[Reserva]]="","",IFERROR(VLOOKUP(MB25_VOLUMETRIA[[#This Row],[Reserva]],Tabela3[[Reserva]:[Condição para Faturamento]],20,FALSE),"IMPORTADO COM SUCESSO"))</f>
        <v>EM RESSUPRIMENTO</v>
      </c>
      <c r="M928" s="32" t="str">
        <f ca="1">IFERROR(VLOOKUP(MB25_VOLUMETRIA[[#This Row],[Reserva]],RES_AB[],14,FALSE),"")</f>
        <v>RESERVAS EM ATRASO</v>
      </c>
      <c r="N928" s="32" t="str">
        <f>IF(MB25_VOLUMETRIA[[#This Row],[Cen.]]="","",IFERROR(VLOOKUP(MB25_VOLUMETRIA[[#This Row],[Cen.]],Dados_Empresas[],2,FALSE),"Verificar empresa"))</f>
        <v>NET MASSIVO</v>
      </c>
      <c r="O928" s="32" t="str">
        <f>IF(MB25_VOLUMETRIA[[#This Row],[EMPRESA]]="","",IF(OR(MB25_VOLUMETRIA[[#This Row],[EMPRESA]]="NET MASSIVO",MB25_VOLUMETRIA[[#This Row],[EMPRESA]]="NET PROJETOS"),"NET","EMPRESARIAL"))</f>
        <v>NET</v>
      </c>
    </row>
    <row r="929" spans="1:15" x14ac:dyDescent="0.25">
      <c r="A929" s="32">
        <v>4381137</v>
      </c>
      <c r="B929" s="32" t="s">
        <v>21</v>
      </c>
      <c r="C929" s="33" t="s">
        <v>21</v>
      </c>
      <c r="D929" s="35">
        <v>45447</v>
      </c>
      <c r="E929" s="32" t="s">
        <v>185</v>
      </c>
      <c r="F929" s="32">
        <v>22026189</v>
      </c>
      <c r="G929" s="32" t="s">
        <v>200</v>
      </c>
      <c r="H929" s="26" t="s">
        <v>38</v>
      </c>
      <c r="I929" s="36">
        <v>2650</v>
      </c>
      <c r="J929" s="32">
        <f>IF(MB25_VOLUMETRIA[[#This Row],[Reserva]]="","",1)</f>
        <v>1</v>
      </c>
      <c r="K929" s="36" t="str">
        <f>IF(MB25_VOLUMETRIA[[#This Row],[Reserva]]="","",IFERROR(VLOOKUP(MB25_VOLUMETRIA[[#This Row],[UMB]],CHAVE[],2,FALSE),"VERIFICAR"))</f>
        <v>Unidade</v>
      </c>
      <c r="L929" s="32" t="str">
        <f>IF(MB25_VOLUMETRIA[[#This Row],[Reserva]]="","",IFERROR(VLOOKUP(MB25_VOLUMETRIA[[#This Row],[Reserva]],Tabela3[[Reserva]:[Condição para Faturamento]],20,FALSE),"IMPORTADO COM SUCESSO"))</f>
        <v>EM RESSUPRIMENTO</v>
      </c>
      <c r="M929" s="32" t="str">
        <f ca="1">IFERROR(VLOOKUP(MB25_VOLUMETRIA[[#This Row],[Reserva]],RES_AB[],14,FALSE),"")</f>
        <v>RESERVAS EM ATRASO</v>
      </c>
      <c r="N929" s="32" t="str">
        <f>IF(MB25_VOLUMETRIA[[#This Row],[Cen.]]="","",IFERROR(VLOOKUP(MB25_VOLUMETRIA[[#This Row],[Cen.]],Dados_Empresas[],2,FALSE),"Verificar empresa"))</f>
        <v>NET MASSIVO</v>
      </c>
      <c r="O929" s="32" t="str">
        <f>IF(MB25_VOLUMETRIA[[#This Row],[EMPRESA]]="","",IF(OR(MB25_VOLUMETRIA[[#This Row],[EMPRESA]]="NET MASSIVO",MB25_VOLUMETRIA[[#This Row],[EMPRESA]]="NET PROJETOS"),"NET","EMPRESARIAL"))</f>
        <v>NET</v>
      </c>
    </row>
    <row r="930" spans="1:15" x14ac:dyDescent="0.25">
      <c r="A930" s="32">
        <v>4381137</v>
      </c>
      <c r="B930" s="32" t="s">
        <v>21</v>
      </c>
      <c r="C930" s="33" t="s">
        <v>21</v>
      </c>
      <c r="D930" s="35">
        <v>45447</v>
      </c>
      <c r="E930" s="32" t="s">
        <v>185</v>
      </c>
      <c r="F930" s="32">
        <v>22026746</v>
      </c>
      <c r="G930" s="32" t="s">
        <v>205</v>
      </c>
      <c r="H930" s="26" t="s">
        <v>38</v>
      </c>
      <c r="I930" s="36">
        <v>150</v>
      </c>
      <c r="J930" s="32">
        <f>IF(MB25_VOLUMETRIA[[#This Row],[Reserva]]="","",1)</f>
        <v>1</v>
      </c>
      <c r="K930" s="36" t="str">
        <f>IF(MB25_VOLUMETRIA[[#This Row],[Reserva]]="","",IFERROR(VLOOKUP(MB25_VOLUMETRIA[[#This Row],[UMB]],CHAVE[],2,FALSE),"VERIFICAR"))</f>
        <v>Unidade</v>
      </c>
      <c r="L930" s="32" t="str">
        <f>IF(MB25_VOLUMETRIA[[#This Row],[Reserva]]="","",IFERROR(VLOOKUP(MB25_VOLUMETRIA[[#This Row],[Reserva]],Tabela3[[Reserva]:[Condição para Faturamento]],20,FALSE),"IMPORTADO COM SUCESSO"))</f>
        <v>EM RESSUPRIMENTO</v>
      </c>
      <c r="M930" s="32" t="str">
        <f ca="1">IFERROR(VLOOKUP(MB25_VOLUMETRIA[[#This Row],[Reserva]],RES_AB[],14,FALSE),"")</f>
        <v>RESERVAS EM ATRASO</v>
      </c>
      <c r="N930" s="32" t="str">
        <f>IF(MB25_VOLUMETRIA[[#This Row],[Cen.]]="","",IFERROR(VLOOKUP(MB25_VOLUMETRIA[[#This Row],[Cen.]],Dados_Empresas[],2,FALSE),"Verificar empresa"))</f>
        <v>NET MASSIVO</v>
      </c>
      <c r="O930" s="32" t="str">
        <f>IF(MB25_VOLUMETRIA[[#This Row],[EMPRESA]]="","",IF(OR(MB25_VOLUMETRIA[[#This Row],[EMPRESA]]="NET MASSIVO",MB25_VOLUMETRIA[[#This Row],[EMPRESA]]="NET PROJETOS"),"NET","EMPRESARIAL"))</f>
        <v>NET</v>
      </c>
    </row>
    <row r="931" spans="1:15" x14ac:dyDescent="0.25">
      <c r="A931" s="32">
        <v>4381137</v>
      </c>
      <c r="B931" s="32" t="s">
        <v>21</v>
      </c>
      <c r="C931" s="33" t="s">
        <v>21</v>
      </c>
      <c r="D931" s="35">
        <v>45447</v>
      </c>
      <c r="E931" s="32" t="s">
        <v>185</v>
      </c>
      <c r="F931" s="32">
        <v>22026792</v>
      </c>
      <c r="G931" s="32" t="s">
        <v>202</v>
      </c>
      <c r="H931" s="26" t="s">
        <v>38</v>
      </c>
      <c r="I931" s="36">
        <v>50</v>
      </c>
      <c r="J931" s="32">
        <f>IF(MB25_VOLUMETRIA[[#This Row],[Reserva]]="","",1)</f>
        <v>1</v>
      </c>
      <c r="K931" s="36" t="str">
        <f>IF(MB25_VOLUMETRIA[[#This Row],[Reserva]]="","",IFERROR(VLOOKUP(MB25_VOLUMETRIA[[#This Row],[UMB]],CHAVE[],2,FALSE),"VERIFICAR"))</f>
        <v>Unidade</v>
      </c>
      <c r="L931" s="32" t="str">
        <f>IF(MB25_VOLUMETRIA[[#This Row],[Reserva]]="","",IFERROR(VLOOKUP(MB25_VOLUMETRIA[[#This Row],[Reserva]],Tabela3[[Reserva]:[Condição para Faturamento]],20,FALSE),"IMPORTADO COM SUCESSO"))</f>
        <v>EM RESSUPRIMENTO</v>
      </c>
      <c r="M931" s="32" t="str">
        <f ca="1">IFERROR(VLOOKUP(MB25_VOLUMETRIA[[#This Row],[Reserva]],RES_AB[],14,FALSE),"")</f>
        <v>RESERVAS EM ATRASO</v>
      </c>
      <c r="N931" s="32" t="str">
        <f>IF(MB25_VOLUMETRIA[[#This Row],[Cen.]]="","",IFERROR(VLOOKUP(MB25_VOLUMETRIA[[#This Row],[Cen.]],Dados_Empresas[],2,FALSE),"Verificar empresa"))</f>
        <v>NET MASSIVO</v>
      </c>
      <c r="O931" s="32" t="str">
        <f>IF(MB25_VOLUMETRIA[[#This Row],[EMPRESA]]="","",IF(OR(MB25_VOLUMETRIA[[#This Row],[EMPRESA]]="NET MASSIVO",MB25_VOLUMETRIA[[#This Row],[EMPRESA]]="NET PROJETOS"),"NET","EMPRESARIAL"))</f>
        <v>NET</v>
      </c>
    </row>
    <row r="932" spans="1:15" x14ac:dyDescent="0.25">
      <c r="A932" s="32">
        <v>4381137</v>
      </c>
      <c r="B932" s="32" t="s">
        <v>21</v>
      </c>
      <c r="C932" s="33" t="s">
        <v>21</v>
      </c>
      <c r="D932" s="35">
        <v>45447</v>
      </c>
      <c r="E932" s="32" t="s">
        <v>185</v>
      </c>
      <c r="F932" s="32">
        <v>22026795</v>
      </c>
      <c r="G932" s="32" t="s">
        <v>261</v>
      </c>
      <c r="H932" s="26" t="s">
        <v>38</v>
      </c>
      <c r="I932" s="36">
        <v>50</v>
      </c>
      <c r="J932" s="32">
        <f>IF(MB25_VOLUMETRIA[[#This Row],[Reserva]]="","",1)</f>
        <v>1</v>
      </c>
      <c r="K932" s="36" t="str">
        <f>IF(MB25_VOLUMETRIA[[#This Row],[Reserva]]="","",IFERROR(VLOOKUP(MB25_VOLUMETRIA[[#This Row],[UMB]],CHAVE[],2,FALSE),"VERIFICAR"))</f>
        <v>Unidade</v>
      </c>
      <c r="L932" s="32" t="str">
        <f>IF(MB25_VOLUMETRIA[[#This Row],[Reserva]]="","",IFERROR(VLOOKUP(MB25_VOLUMETRIA[[#This Row],[Reserva]],Tabela3[[Reserva]:[Condição para Faturamento]],20,FALSE),"IMPORTADO COM SUCESSO"))</f>
        <v>EM RESSUPRIMENTO</v>
      </c>
      <c r="M932" s="32" t="str">
        <f ca="1">IFERROR(VLOOKUP(MB25_VOLUMETRIA[[#This Row],[Reserva]],RES_AB[],14,FALSE),"")</f>
        <v>RESERVAS EM ATRASO</v>
      </c>
      <c r="N932" s="32" t="str">
        <f>IF(MB25_VOLUMETRIA[[#This Row],[Cen.]]="","",IFERROR(VLOOKUP(MB25_VOLUMETRIA[[#This Row],[Cen.]],Dados_Empresas[],2,FALSE),"Verificar empresa"))</f>
        <v>NET MASSIVO</v>
      </c>
      <c r="O932" s="32" t="str">
        <f>IF(MB25_VOLUMETRIA[[#This Row],[EMPRESA]]="","",IF(OR(MB25_VOLUMETRIA[[#This Row],[EMPRESA]]="NET MASSIVO",MB25_VOLUMETRIA[[#This Row],[EMPRESA]]="NET PROJETOS"),"NET","EMPRESARIAL"))</f>
        <v>NET</v>
      </c>
    </row>
    <row r="933" spans="1:15" x14ac:dyDescent="0.25">
      <c r="A933" s="32">
        <v>4381137</v>
      </c>
      <c r="B933" s="32" t="s">
        <v>21</v>
      </c>
      <c r="C933" s="33" t="s">
        <v>21</v>
      </c>
      <c r="D933" s="35">
        <v>45447</v>
      </c>
      <c r="E933" s="32" t="s">
        <v>185</v>
      </c>
      <c r="F933" s="32">
        <v>22056331</v>
      </c>
      <c r="G933" s="32" t="s">
        <v>209</v>
      </c>
      <c r="H933" s="26" t="s">
        <v>38</v>
      </c>
      <c r="I933" s="36">
        <v>100</v>
      </c>
      <c r="J933" s="32">
        <f>IF(MB25_VOLUMETRIA[[#This Row],[Reserva]]="","",1)</f>
        <v>1</v>
      </c>
      <c r="K933" s="36" t="str">
        <f>IF(MB25_VOLUMETRIA[[#This Row],[Reserva]]="","",IFERROR(VLOOKUP(MB25_VOLUMETRIA[[#This Row],[UMB]],CHAVE[],2,FALSE),"VERIFICAR"))</f>
        <v>Unidade</v>
      </c>
      <c r="L933" s="32" t="str">
        <f>IF(MB25_VOLUMETRIA[[#This Row],[Reserva]]="","",IFERROR(VLOOKUP(MB25_VOLUMETRIA[[#This Row],[Reserva]],Tabela3[[Reserva]:[Condição para Faturamento]],20,FALSE),"IMPORTADO COM SUCESSO"))</f>
        <v>EM RESSUPRIMENTO</v>
      </c>
      <c r="M933" s="32" t="str">
        <f ca="1">IFERROR(VLOOKUP(MB25_VOLUMETRIA[[#This Row],[Reserva]],RES_AB[],14,FALSE),"")</f>
        <v>RESERVAS EM ATRASO</v>
      </c>
      <c r="N933" s="32" t="str">
        <f>IF(MB25_VOLUMETRIA[[#This Row],[Cen.]]="","",IFERROR(VLOOKUP(MB25_VOLUMETRIA[[#This Row],[Cen.]],Dados_Empresas[],2,FALSE),"Verificar empresa"))</f>
        <v>NET MASSIVO</v>
      </c>
      <c r="O933" s="32" t="str">
        <f>IF(MB25_VOLUMETRIA[[#This Row],[EMPRESA]]="","",IF(OR(MB25_VOLUMETRIA[[#This Row],[EMPRESA]]="NET MASSIVO",MB25_VOLUMETRIA[[#This Row],[EMPRESA]]="NET PROJETOS"),"NET","EMPRESARIAL"))</f>
        <v>NET</v>
      </c>
    </row>
    <row r="934" spans="1:15" x14ac:dyDescent="0.25">
      <c r="A934" s="32">
        <v>4381137</v>
      </c>
      <c r="B934" s="32" t="s">
        <v>21</v>
      </c>
      <c r="C934" s="33" t="s">
        <v>21</v>
      </c>
      <c r="D934" s="35">
        <v>45447</v>
      </c>
      <c r="E934" s="32" t="s">
        <v>185</v>
      </c>
      <c r="F934" s="32">
        <v>22056332</v>
      </c>
      <c r="G934" s="32" t="s">
        <v>207</v>
      </c>
      <c r="H934" s="26" t="s">
        <v>38</v>
      </c>
      <c r="I934" s="36">
        <v>4</v>
      </c>
      <c r="J934" s="32">
        <f>IF(MB25_VOLUMETRIA[[#This Row],[Reserva]]="","",1)</f>
        <v>1</v>
      </c>
      <c r="K934" s="36" t="str">
        <f>IF(MB25_VOLUMETRIA[[#This Row],[Reserva]]="","",IFERROR(VLOOKUP(MB25_VOLUMETRIA[[#This Row],[UMB]],CHAVE[],2,FALSE),"VERIFICAR"))</f>
        <v>Unidade</v>
      </c>
      <c r="L934" s="32" t="str">
        <f>IF(MB25_VOLUMETRIA[[#This Row],[Reserva]]="","",IFERROR(VLOOKUP(MB25_VOLUMETRIA[[#This Row],[Reserva]],Tabela3[[Reserva]:[Condição para Faturamento]],20,FALSE),"IMPORTADO COM SUCESSO"))</f>
        <v>EM RESSUPRIMENTO</v>
      </c>
      <c r="M934" s="32" t="str">
        <f ca="1">IFERROR(VLOOKUP(MB25_VOLUMETRIA[[#This Row],[Reserva]],RES_AB[],14,FALSE),"")</f>
        <v>RESERVAS EM ATRASO</v>
      </c>
      <c r="N934" s="32" t="str">
        <f>IF(MB25_VOLUMETRIA[[#This Row],[Cen.]]="","",IFERROR(VLOOKUP(MB25_VOLUMETRIA[[#This Row],[Cen.]],Dados_Empresas[],2,FALSE),"Verificar empresa"))</f>
        <v>NET MASSIVO</v>
      </c>
      <c r="O934" s="32" t="str">
        <f>IF(MB25_VOLUMETRIA[[#This Row],[EMPRESA]]="","",IF(OR(MB25_VOLUMETRIA[[#This Row],[EMPRESA]]="NET MASSIVO",MB25_VOLUMETRIA[[#This Row],[EMPRESA]]="NET PROJETOS"),"NET","EMPRESARIAL"))</f>
        <v>NET</v>
      </c>
    </row>
    <row r="935" spans="1:15" x14ac:dyDescent="0.25">
      <c r="A935" s="32">
        <v>4381137</v>
      </c>
      <c r="B935" s="32" t="s">
        <v>21</v>
      </c>
      <c r="C935" s="33" t="s">
        <v>21</v>
      </c>
      <c r="D935" s="35">
        <v>45447</v>
      </c>
      <c r="E935" s="32" t="s">
        <v>185</v>
      </c>
      <c r="F935" s="32">
        <v>22056336</v>
      </c>
      <c r="G935" s="32" t="s">
        <v>324</v>
      </c>
      <c r="H935" s="26" t="s">
        <v>38</v>
      </c>
      <c r="I935" s="36">
        <v>100</v>
      </c>
      <c r="J935" s="32">
        <f>IF(MB25_VOLUMETRIA[[#This Row],[Reserva]]="","",1)</f>
        <v>1</v>
      </c>
      <c r="K935" s="36" t="str">
        <f>IF(MB25_VOLUMETRIA[[#This Row],[Reserva]]="","",IFERROR(VLOOKUP(MB25_VOLUMETRIA[[#This Row],[UMB]],CHAVE[],2,FALSE),"VERIFICAR"))</f>
        <v>Unidade</v>
      </c>
      <c r="L935" s="32" t="str">
        <f>IF(MB25_VOLUMETRIA[[#This Row],[Reserva]]="","",IFERROR(VLOOKUP(MB25_VOLUMETRIA[[#This Row],[Reserva]],Tabela3[[Reserva]:[Condição para Faturamento]],20,FALSE),"IMPORTADO COM SUCESSO"))</f>
        <v>EM RESSUPRIMENTO</v>
      </c>
      <c r="M935" s="32" t="str">
        <f ca="1">IFERROR(VLOOKUP(MB25_VOLUMETRIA[[#This Row],[Reserva]],RES_AB[],14,FALSE),"")</f>
        <v>RESERVAS EM ATRASO</v>
      </c>
      <c r="N935" s="32" t="str">
        <f>IF(MB25_VOLUMETRIA[[#This Row],[Cen.]]="","",IFERROR(VLOOKUP(MB25_VOLUMETRIA[[#This Row],[Cen.]],Dados_Empresas[],2,FALSE),"Verificar empresa"))</f>
        <v>NET MASSIVO</v>
      </c>
      <c r="O935" s="32" t="str">
        <f>IF(MB25_VOLUMETRIA[[#This Row],[EMPRESA]]="","",IF(OR(MB25_VOLUMETRIA[[#This Row],[EMPRESA]]="NET MASSIVO",MB25_VOLUMETRIA[[#This Row],[EMPRESA]]="NET PROJETOS"),"NET","EMPRESARIAL"))</f>
        <v>NET</v>
      </c>
    </row>
    <row r="936" spans="1:15" x14ac:dyDescent="0.25">
      <c r="A936" s="32">
        <v>4381137</v>
      </c>
      <c r="B936" s="32" t="s">
        <v>21</v>
      </c>
      <c r="C936" s="33" t="s">
        <v>21</v>
      </c>
      <c r="D936" s="35">
        <v>45447</v>
      </c>
      <c r="E936" s="32" t="s">
        <v>185</v>
      </c>
      <c r="F936" s="32">
        <v>22056337</v>
      </c>
      <c r="G936" s="32" t="s">
        <v>361</v>
      </c>
      <c r="H936" s="26" t="s">
        <v>38</v>
      </c>
      <c r="I936" s="36">
        <v>100</v>
      </c>
      <c r="J936" s="32">
        <f>IF(MB25_VOLUMETRIA[[#This Row],[Reserva]]="","",1)</f>
        <v>1</v>
      </c>
      <c r="K936" s="36" t="str">
        <f>IF(MB25_VOLUMETRIA[[#This Row],[Reserva]]="","",IFERROR(VLOOKUP(MB25_VOLUMETRIA[[#This Row],[UMB]],CHAVE[],2,FALSE),"VERIFICAR"))</f>
        <v>Unidade</v>
      </c>
      <c r="L936" s="32" t="str">
        <f>IF(MB25_VOLUMETRIA[[#This Row],[Reserva]]="","",IFERROR(VLOOKUP(MB25_VOLUMETRIA[[#This Row],[Reserva]],Tabela3[[Reserva]:[Condição para Faturamento]],20,FALSE),"IMPORTADO COM SUCESSO"))</f>
        <v>EM RESSUPRIMENTO</v>
      </c>
      <c r="M936" s="32" t="str">
        <f ca="1">IFERROR(VLOOKUP(MB25_VOLUMETRIA[[#This Row],[Reserva]],RES_AB[],14,FALSE),"")</f>
        <v>RESERVAS EM ATRASO</v>
      </c>
      <c r="N936" s="32" t="str">
        <f>IF(MB25_VOLUMETRIA[[#This Row],[Cen.]]="","",IFERROR(VLOOKUP(MB25_VOLUMETRIA[[#This Row],[Cen.]],Dados_Empresas[],2,FALSE),"Verificar empresa"))</f>
        <v>NET MASSIVO</v>
      </c>
      <c r="O936" s="32" t="str">
        <f>IF(MB25_VOLUMETRIA[[#This Row],[EMPRESA]]="","",IF(OR(MB25_VOLUMETRIA[[#This Row],[EMPRESA]]="NET MASSIVO",MB25_VOLUMETRIA[[#This Row],[EMPRESA]]="NET PROJETOS"),"NET","EMPRESARIAL"))</f>
        <v>NET</v>
      </c>
    </row>
    <row r="937" spans="1:15" x14ac:dyDescent="0.25">
      <c r="A937" s="32">
        <v>4381137</v>
      </c>
      <c r="B937" s="32" t="s">
        <v>21</v>
      </c>
      <c r="C937" s="33" t="s">
        <v>21</v>
      </c>
      <c r="D937" s="35">
        <v>45447</v>
      </c>
      <c r="E937" s="32" t="s">
        <v>185</v>
      </c>
      <c r="F937" s="32">
        <v>22056339</v>
      </c>
      <c r="G937" s="32" t="s">
        <v>243</v>
      </c>
      <c r="H937" s="26" t="s">
        <v>38</v>
      </c>
      <c r="I937" s="36">
        <v>100</v>
      </c>
      <c r="J937" s="32">
        <f>IF(MB25_VOLUMETRIA[[#This Row],[Reserva]]="","",1)</f>
        <v>1</v>
      </c>
      <c r="K937" s="36" t="str">
        <f>IF(MB25_VOLUMETRIA[[#This Row],[Reserva]]="","",IFERROR(VLOOKUP(MB25_VOLUMETRIA[[#This Row],[UMB]],CHAVE[],2,FALSE),"VERIFICAR"))</f>
        <v>Unidade</v>
      </c>
      <c r="L937" s="32" t="str">
        <f>IF(MB25_VOLUMETRIA[[#This Row],[Reserva]]="","",IFERROR(VLOOKUP(MB25_VOLUMETRIA[[#This Row],[Reserva]],Tabela3[[Reserva]:[Condição para Faturamento]],20,FALSE),"IMPORTADO COM SUCESSO"))</f>
        <v>EM RESSUPRIMENTO</v>
      </c>
      <c r="M937" s="32" t="str">
        <f ca="1">IFERROR(VLOOKUP(MB25_VOLUMETRIA[[#This Row],[Reserva]],RES_AB[],14,FALSE),"")</f>
        <v>RESERVAS EM ATRASO</v>
      </c>
      <c r="N937" s="32" t="str">
        <f>IF(MB25_VOLUMETRIA[[#This Row],[Cen.]]="","",IFERROR(VLOOKUP(MB25_VOLUMETRIA[[#This Row],[Cen.]],Dados_Empresas[],2,FALSE),"Verificar empresa"))</f>
        <v>NET MASSIVO</v>
      </c>
      <c r="O937" s="32" t="str">
        <f>IF(MB25_VOLUMETRIA[[#This Row],[EMPRESA]]="","",IF(OR(MB25_VOLUMETRIA[[#This Row],[EMPRESA]]="NET MASSIVO",MB25_VOLUMETRIA[[#This Row],[EMPRESA]]="NET PROJETOS"),"NET","EMPRESARIAL"))</f>
        <v>NET</v>
      </c>
    </row>
    <row r="938" spans="1:15" x14ac:dyDescent="0.25">
      <c r="A938" s="32">
        <v>4381137</v>
      </c>
      <c r="B938" s="32" t="s">
        <v>21</v>
      </c>
      <c r="C938" s="33" t="s">
        <v>21</v>
      </c>
      <c r="D938" s="35">
        <v>45447</v>
      </c>
      <c r="E938" s="32" t="s">
        <v>185</v>
      </c>
      <c r="F938" s="32">
        <v>22056343</v>
      </c>
      <c r="G938" s="32" t="s">
        <v>234</v>
      </c>
      <c r="H938" s="26" t="s">
        <v>38</v>
      </c>
      <c r="I938" s="36">
        <v>100</v>
      </c>
      <c r="J938" s="32">
        <f>IF(MB25_VOLUMETRIA[[#This Row],[Reserva]]="","",1)</f>
        <v>1</v>
      </c>
      <c r="K938" s="36" t="str">
        <f>IF(MB25_VOLUMETRIA[[#This Row],[Reserva]]="","",IFERROR(VLOOKUP(MB25_VOLUMETRIA[[#This Row],[UMB]],CHAVE[],2,FALSE),"VERIFICAR"))</f>
        <v>Unidade</v>
      </c>
      <c r="L938" s="32" t="str">
        <f>IF(MB25_VOLUMETRIA[[#This Row],[Reserva]]="","",IFERROR(VLOOKUP(MB25_VOLUMETRIA[[#This Row],[Reserva]],Tabela3[[Reserva]:[Condição para Faturamento]],20,FALSE),"IMPORTADO COM SUCESSO"))</f>
        <v>EM RESSUPRIMENTO</v>
      </c>
      <c r="M938" s="32" t="str">
        <f ca="1">IFERROR(VLOOKUP(MB25_VOLUMETRIA[[#This Row],[Reserva]],RES_AB[],14,FALSE),"")</f>
        <v>RESERVAS EM ATRASO</v>
      </c>
      <c r="N938" s="32" t="str">
        <f>IF(MB25_VOLUMETRIA[[#This Row],[Cen.]]="","",IFERROR(VLOOKUP(MB25_VOLUMETRIA[[#This Row],[Cen.]],Dados_Empresas[],2,FALSE),"Verificar empresa"))</f>
        <v>NET MASSIVO</v>
      </c>
      <c r="O938" s="32" t="str">
        <f>IF(MB25_VOLUMETRIA[[#This Row],[EMPRESA]]="","",IF(OR(MB25_VOLUMETRIA[[#This Row],[EMPRESA]]="NET MASSIVO",MB25_VOLUMETRIA[[#This Row],[EMPRESA]]="NET PROJETOS"),"NET","EMPRESARIAL"))</f>
        <v>NET</v>
      </c>
    </row>
    <row r="939" spans="1:15" x14ac:dyDescent="0.25">
      <c r="A939" s="32">
        <v>4381137</v>
      </c>
      <c r="B939" s="32" t="s">
        <v>21</v>
      </c>
      <c r="C939" s="33" t="s">
        <v>21</v>
      </c>
      <c r="D939" s="35">
        <v>45447</v>
      </c>
      <c r="E939" s="32" t="s">
        <v>185</v>
      </c>
      <c r="F939" s="32">
        <v>22056344</v>
      </c>
      <c r="G939" s="32" t="s">
        <v>235</v>
      </c>
      <c r="H939" s="26" t="s">
        <v>38</v>
      </c>
      <c r="I939" s="36">
        <v>100</v>
      </c>
      <c r="J939" s="32">
        <f>IF(MB25_VOLUMETRIA[[#This Row],[Reserva]]="","",1)</f>
        <v>1</v>
      </c>
      <c r="K939" s="36" t="str">
        <f>IF(MB25_VOLUMETRIA[[#This Row],[Reserva]]="","",IFERROR(VLOOKUP(MB25_VOLUMETRIA[[#This Row],[UMB]],CHAVE[],2,FALSE),"VERIFICAR"))</f>
        <v>Unidade</v>
      </c>
      <c r="L939" s="32" t="str">
        <f>IF(MB25_VOLUMETRIA[[#This Row],[Reserva]]="","",IFERROR(VLOOKUP(MB25_VOLUMETRIA[[#This Row],[Reserva]],Tabela3[[Reserva]:[Condição para Faturamento]],20,FALSE),"IMPORTADO COM SUCESSO"))</f>
        <v>EM RESSUPRIMENTO</v>
      </c>
      <c r="M939" s="32" t="str">
        <f ca="1">IFERROR(VLOOKUP(MB25_VOLUMETRIA[[#This Row],[Reserva]],RES_AB[],14,FALSE),"")</f>
        <v>RESERVAS EM ATRASO</v>
      </c>
      <c r="N939" s="32" t="str">
        <f>IF(MB25_VOLUMETRIA[[#This Row],[Cen.]]="","",IFERROR(VLOOKUP(MB25_VOLUMETRIA[[#This Row],[Cen.]],Dados_Empresas[],2,FALSE),"Verificar empresa"))</f>
        <v>NET MASSIVO</v>
      </c>
      <c r="O939" s="32" t="str">
        <f>IF(MB25_VOLUMETRIA[[#This Row],[EMPRESA]]="","",IF(OR(MB25_VOLUMETRIA[[#This Row],[EMPRESA]]="NET MASSIVO",MB25_VOLUMETRIA[[#This Row],[EMPRESA]]="NET PROJETOS"),"NET","EMPRESARIAL"))</f>
        <v>NET</v>
      </c>
    </row>
    <row r="940" spans="1:15" x14ac:dyDescent="0.25">
      <c r="A940" s="32">
        <v>4381137</v>
      </c>
      <c r="B940" s="32" t="s">
        <v>21</v>
      </c>
      <c r="C940" s="33" t="s">
        <v>21</v>
      </c>
      <c r="D940" s="35">
        <v>45447</v>
      </c>
      <c r="E940" s="32" t="s">
        <v>185</v>
      </c>
      <c r="F940" s="32">
        <v>22056345</v>
      </c>
      <c r="G940" s="32" t="s">
        <v>255</v>
      </c>
      <c r="H940" s="26" t="s">
        <v>38</v>
      </c>
      <c r="I940" s="36">
        <v>100</v>
      </c>
      <c r="J940" s="32">
        <f>IF(MB25_VOLUMETRIA[[#This Row],[Reserva]]="","",1)</f>
        <v>1</v>
      </c>
      <c r="K940" s="36" t="str">
        <f>IF(MB25_VOLUMETRIA[[#This Row],[Reserva]]="","",IFERROR(VLOOKUP(MB25_VOLUMETRIA[[#This Row],[UMB]],CHAVE[],2,FALSE),"VERIFICAR"))</f>
        <v>Unidade</v>
      </c>
      <c r="L940" s="32" t="str">
        <f>IF(MB25_VOLUMETRIA[[#This Row],[Reserva]]="","",IFERROR(VLOOKUP(MB25_VOLUMETRIA[[#This Row],[Reserva]],Tabela3[[Reserva]:[Condição para Faturamento]],20,FALSE),"IMPORTADO COM SUCESSO"))</f>
        <v>EM RESSUPRIMENTO</v>
      </c>
      <c r="M940" s="32" t="str">
        <f ca="1">IFERROR(VLOOKUP(MB25_VOLUMETRIA[[#This Row],[Reserva]],RES_AB[],14,FALSE),"")</f>
        <v>RESERVAS EM ATRASO</v>
      </c>
      <c r="N940" s="32" t="str">
        <f>IF(MB25_VOLUMETRIA[[#This Row],[Cen.]]="","",IFERROR(VLOOKUP(MB25_VOLUMETRIA[[#This Row],[Cen.]],Dados_Empresas[],2,FALSE),"Verificar empresa"))</f>
        <v>NET MASSIVO</v>
      </c>
      <c r="O940" s="32" t="str">
        <f>IF(MB25_VOLUMETRIA[[#This Row],[EMPRESA]]="","",IF(OR(MB25_VOLUMETRIA[[#This Row],[EMPRESA]]="NET MASSIVO",MB25_VOLUMETRIA[[#This Row],[EMPRESA]]="NET PROJETOS"),"NET","EMPRESARIAL"))</f>
        <v>NET</v>
      </c>
    </row>
    <row r="941" spans="1:15" x14ac:dyDescent="0.25">
      <c r="A941" s="32">
        <v>4381137</v>
      </c>
      <c r="B941" s="32" t="s">
        <v>21</v>
      </c>
      <c r="C941" s="33" t="s">
        <v>21</v>
      </c>
      <c r="D941" s="35">
        <v>45447</v>
      </c>
      <c r="E941" s="32" t="s">
        <v>185</v>
      </c>
      <c r="F941" s="32">
        <v>22056369</v>
      </c>
      <c r="G941" s="32" t="s">
        <v>194</v>
      </c>
      <c r="H941" s="26" t="s">
        <v>38</v>
      </c>
      <c r="I941" s="36">
        <v>200</v>
      </c>
      <c r="J941" s="32">
        <f>IF(MB25_VOLUMETRIA[[#This Row],[Reserva]]="","",1)</f>
        <v>1</v>
      </c>
      <c r="K941" s="36" t="str">
        <f>IF(MB25_VOLUMETRIA[[#This Row],[Reserva]]="","",IFERROR(VLOOKUP(MB25_VOLUMETRIA[[#This Row],[UMB]],CHAVE[],2,FALSE),"VERIFICAR"))</f>
        <v>Unidade</v>
      </c>
      <c r="L941" s="32" t="str">
        <f>IF(MB25_VOLUMETRIA[[#This Row],[Reserva]]="","",IFERROR(VLOOKUP(MB25_VOLUMETRIA[[#This Row],[Reserva]],Tabela3[[Reserva]:[Condição para Faturamento]],20,FALSE),"IMPORTADO COM SUCESSO"))</f>
        <v>EM RESSUPRIMENTO</v>
      </c>
      <c r="M941" s="32" t="str">
        <f ca="1">IFERROR(VLOOKUP(MB25_VOLUMETRIA[[#This Row],[Reserva]],RES_AB[],14,FALSE),"")</f>
        <v>RESERVAS EM ATRASO</v>
      </c>
      <c r="N941" s="32" t="str">
        <f>IF(MB25_VOLUMETRIA[[#This Row],[Cen.]]="","",IFERROR(VLOOKUP(MB25_VOLUMETRIA[[#This Row],[Cen.]],Dados_Empresas[],2,FALSE),"Verificar empresa"))</f>
        <v>NET MASSIVO</v>
      </c>
      <c r="O941" s="32" t="str">
        <f>IF(MB25_VOLUMETRIA[[#This Row],[EMPRESA]]="","",IF(OR(MB25_VOLUMETRIA[[#This Row],[EMPRESA]]="NET MASSIVO",MB25_VOLUMETRIA[[#This Row],[EMPRESA]]="NET PROJETOS"),"NET","EMPRESARIAL"))</f>
        <v>NET</v>
      </c>
    </row>
    <row r="942" spans="1:15" x14ac:dyDescent="0.25">
      <c r="A942" s="32">
        <v>4381137</v>
      </c>
      <c r="B942" s="32" t="s">
        <v>21</v>
      </c>
      <c r="C942" s="33" t="s">
        <v>21</v>
      </c>
      <c r="D942" s="35">
        <v>45447</v>
      </c>
      <c r="E942" s="32" t="s">
        <v>185</v>
      </c>
      <c r="F942" s="32">
        <v>22057635</v>
      </c>
      <c r="G942" s="32" t="s">
        <v>223</v>
      </c>
      <c r="H942" s="26" t="s">
        <v>38</v>
      </c>
      <c r="I942" s="36">
        <v>500</v>
      </c>
      <c r="J942" s="32">
        <f>IF(MB25_VOLUMETRIA[[#This Row],[Reserva]]="","",1)</f>
        <v>1</v>
      </c>
      <c r="K942" s="36" t="str">
        <f>IF(MB25_VOLUMETRIA[[#This Row],[Reserva]]="","",IFERROR(VLOOKUP(MB25_VOLUMETRIA[[#This Row],[UMB]],CHAVE[],2,FALSE),"VERIFICAR"))</f>
        <v>Unidade</v>
      </c>
      <c r="L942" s="32" t="str">
        <f>IF(MB25_VOLUMETRIA[[#This Row],[Reserva]]="","",IFERROR(VLOOKUP(MB25_VOLUMETRIA[[#This Row],[Reserva]],Tabela3[[Reserva]:[Condição para Faturamento]],20,FALSE),"IMPORTADO COM SUCESSO"))</f>
        <v>EM RESSUPRIMENTO</v>
      </c>
      <c r="M942" s="32" t="str">
        <f ca="1">IFERROR(VLOOKUP(MB25_VOLUMETRIA[[#This Row],[Reserva]],RES_AB[],14,FALSE),"")</f>
        <v>RESERVAS EM ATRASO</v>
      </c>
      <c r="N942" s="32" t="str">
        <f>IF(MB25_VOLUMETRIA[[#This Row],[Cen.]]="","",IFERROR(VLOOKUP(MB25_VOLUMETRIA[[#This Row],[Cen.]],Dados_Empresas[],2,FALSE),"Verificar empresa"))</f>
        <v>NET MASSIVO</v>
      </c>
      <c r="O942" s="32" t="str">
        <f>IF(MB25_VOLUMETRIA[[#This Row],[EMPRESA]]="","",IF(OR(MB25_VOLUMETRIA[[#This Row],[EMPRESA]]="NET MASSIVO",MB25_VOLUMETRIA[[#This Row],[EMPRESA]]="NET PROJETOS"),"NET","EMPRESARIAL"))</f>
        <v>NET</v>
      </c>
    </row>
    <row r="943" spans="1:15" x14ac:dyDescent="0.25">
      <c r="A943" s="32">
        <v>4381137</v>
      </c>
      <c r="B943" s="32" t="s">
        <v>21</v>
      </c>
      <c r="C943" s="33" t="s">
        <v>19</v>
      </c>
      <c r="D943" s="35">
        <v>45447</v>
      </c>
      <c r="E943" s="32" t="s">
        <v>185</v>
      </c>
      <c r="F943" s="32">
        <v>22057705</v>
      </c>
      <c r="G943" s="32" t="s">
        <v>241</v>
      </c>
      <c r="H943" s="26" t="s">
        <v>38</v>
      </c>
      <c r="I943" s="36">
        <v>2</v>
      </c>
      <c r="J943" s="32">
        <f>IF(MB25_VOLUMETRIA[[#This Row],[Reserva]]="","",1)</f>
        <v>1</v>
      </c>
      <c r="K943" s="36" t="str">
        <f>IF(MB25_VOLUMETRIA[[#This Row],[Reserva]]="","",IFERROR(VLOOKUP(MB25_VOLUMETRIA[[#This Row],[UMB]],CHAVE[],2,FALSE),"VERIFICAR"))</f>
        <v>Unidade</v>
      </c>
      <c r="L943" s="32" t="str">
        <f>IF(MB25_VOLUMETRIA[[#This Row],[Reserva]]="","",IFERROR(VLOOKUP(MB25_VOLUMETRIA[[#This Row],[Reserva]],Tabela3[[Reserva]:[Condição para Faturamento]],20,FALSE),"IMPORTADO COM SUCESSO"))</f>
        <v>EM RESSUPRIMENTO</v>
      </c>
      <c r="M943" s="32" t="str">
        <f ca="1">IFERROR(VLOOKUP(MB25_VOLUMETRIA[[#This Row],[Reserva]],RES_AB[],14,FALSE),"")</f>
        <v>RESERVAS EM ATRASO</v>
      </c>
      <c r="N943" s="32" t="str">
        <f>IF(MB25_VOLUMETRIA[[#This Row],[Cen.]]="","",IFERROR(VLOOKUP(MB25_VOLUMETRIA[[#This Row],[Cen.]],Dados_Empresas[],2,FALSE),"Verificar empresa"))</f>
        <v>NET MASSIVO</v>
      </c>
      <c r="O943" s="32" t="str">
        <f>IF(MB25_VOLUMETRIA[[#This Row],[EMPRESA]]="","",IF(OR(MB25_VOLUMETRIA[[#This Row],[EMPRESA]]="NET MASSIVO",MB25_VOLUMETRIA[[#This Row],[EMPRESA]]="NET PROJETOS"),"NET","EMPRESARIAL"))</f>
        <v>NET</v>
      </c>
    </row>
    <row r="944" spans="1:15" x14ac:dyDescent="0.25">
      <c r="A944" s="32">
        <v>4381137</v>
      </c>
      <c r="B944" s="32" t="s">
        <v>21</v>
      </c>
      <c r="C944" s="33" t="s">
        <v>21</v>
      </c>
      <c r="D944" s="35">
        <v>45447</v>
      </c>
      <c r="E944" s="32" t="s">
        <v>185</v>
      </c>
      <c r="F944" s="32">
        <v>22060738</v>
      </c>
      <c r="G944" s="32" t="s">
        <v>199</v>
      </c>
      <c r="H944" s="26" t="s">
        <v>38</v>
      </c>
      <c r="I944" s="36">
        <v>200</v>
      </c>
      <c r="J944" s="32">
        <f>IF(MB25_VOLUMETRIA[[#This Row],[Reserva]]="","",1)</f>
        <v>1</v>
      </c>
      <c r="K944" s="36" t="str">
        <f>IF(MB25_VOLUMETRIA[[#This Row],[Reserva]]="","",IFERROR(VLOOKUP(MB25_VOLUMETRIA[[#This Row],[UMB]],CHAVE[],2,FALSE),"VERIFICAR"))</f>
        <v>Unidade</v>
      </c>
      <c r="L944" s="32" t="str">
        <f>IF(MB25_VOLUMETRIA[[#This Row],[Reserva]]="","",IFERROR(VLOOKUP(MB25_VOLUMETRIA[[#This Row],[Reserva]],Tabela3[[Reserva]:[Condição para Faturamento]],20,FALSE),"IMPORTADO COM SUCESSO"))</f>
        <v>EM RESSUPRIMENTO</v>
      </c>
      <c r="M944" s="32" t="str">
        <f ca="1">IFERROR(VLOOKUP(MB25_VOLUMETRIA[[#This Row],[Reserva]],RES_AB[],14,FALSE),"")</f>
        <v>RESERVAS EM ATRASO</v>
      </c>
      <c r="N944" s="32" t="str">
        <f>IF(MB25_VOLUMETRIA[[#This Row],[Cen.]]="","",IFERROR(VLOOKUP(MB25_VOLUMETRIA[[#This Row],[Cen.]],Dados_Empresas[],2,FALSE),"Verificar empresa"))</f>
        <v>NET MASSIVO</v>
      </c>
      <c r="O944" s="32" t="str">
        <f>IF(MB25_VOLUMETRIA[[#This Row],[EMPRESA]]="","",IF(OR(MB25_VOLUMETRIA[[#This Row],[EMPRESA]]="NET MASSIVO",MB25_VOLUMETRIA[[#This Row],[EMPRESA]]="NET PROJETOS"),"NET","EMPRESARIAL"))</f>
        <v>NET</v>
      </c>
    </row>
    <row r="945" spans="1:15" x14ac:dyDescent="0.25">
      <c r="A945" s="32">
        <v>4381137</v>
      </c>
      <c r="B945" s="32" t="s">
        <v>21</v>
      </c>
      <c r="C945" s="33" t="s">
        <v>21</v>
      </c>
      <c r="D945" s="35">
        <v>45447</v>
      </c>
      <c r="E945" s="32" t="s">
        <v>185</v>
      </c>
      <c r="F945" s="32">
        <v>22061811</v>
      </c>
      <c r="G945" s="32" t="s">
        <v>226</v>
      </c>
      <c r="H945" s="26" t="s">
        <v>38</v>
      </c>
      <c r="I945" s="36">
        <v>100</v>
      </c>
      <c r="J945" s="32">
        <f>IF(MB25_VOLUMETRIA[[#This Row],[Reserva]]="","",1)</f>
        <v>1</v>
      </c>
      <c r="K945" s="36" t="str">
        <f>IF(MB25_VOLUMETRIA[[#This Row],[Reserva]]="","",IFERROR(VLOOKUP(MB25_VOLUMETRIA[[#This Row],[UMB]],CHAVE[],2,FALSE),"VERIFICAR"))</f>
        <v>Unidade</v>
      </c>
      <c r="L945" s="32" t="str">
        <f>IF(MB25_VOLUMETRIA[[#This Row],[Reserva]]="","",IFERROR(VLOOKUP(MB25_VOLUMETRIA[[#This Row],[Reserva]],Tabela3[[Reserva]:[Condição para Faturamento]],20,FALSE),"IMPORTADO COM SUCESSO"))</f>
        <v>EM RESSUPRIMENTO</v>
      </c>
      <c r="M945" s="32" t="str">
        <f ca="1">IFERROR(VLOOKUP(MB25_VOLUMETRIA[[#This Row],[Reserva]],RES_AB[],14,FALSE),"")</f>
        <v>RESERVAS EM ATRASO</v>
      </c>
      <c r="N945" s="32" t="str">
        <f>IF(MB25_VOLUMETRIA[[#This Row],[Cen.]]="","",IFERROR(VLOOKUP(MB25_VOLUMETRIA[[#This Row],[Cen.]],Dados_Empresas[],2,FALSE),"Verificar empresa"))</f>
        <v>NET MASSIVO</v>
      </c>
      <c r="O945" s="32" t="str">
        <f>IF(MB25_VOLUMETRIA[[#This Row],[EMPRESA]]="","",IF(OR(MB25_VOLUMETRIA[[#This Row],[EMPRESA]]="NET MASSIVO",MB25_VOLUMETRIA[[#This Row],[EMPRESA]]="NET PROJETOS"),"NET","EMPRESARIAL"))</f>
        <v>NET</v>
      </c>
    </row>
    <row r="946" spans="1:15" x14ac:dyDescent="0.25">
      <c r="A946" s="32">
        <v>4381137</v>
      </c>
      <c r="B946" s="32" t="s">
        <v>21</v>
      </c>
      <c r="C946" s="33" t="s">
        <v>21</v>
      </c>
      <c r="D946" s="35">
        <v>45447</v>
      </c>
      <c r="E946" s="32" t="s">
        <v>185</v>
      </c>
      <c r="F946" s="32">
        <v>22065718</v>
      </c>
      <c r="G946" s="32" t="s">
        <v>210</v>
      </c>
      <c r="H946" s="26" t="s">
        <v>38</v>
      </c>
      <c r="I946" s="36">
        <v>100</v>
      </c>
      <c r="J946" s="32">
        <f>IF(MB25_VOLUMETRIA[[#This Row],[Reserva]]="","",1)</f>
        <v>1</v>
      </c>
      <c r="K946" s="36" t="str">
        <f>IF(MB25_VOLUMETRIA[[#This Row],[Reserva]]="","",IFERROR(VLOOKUP(MB25_VOLUMETRIA[[#This Row],[UMB]],CHAVE[],2,FALSE),"VERIFICAR"))</f>
        <v>Unidade</v>
      </c>
      <c r="L946" s="32" t="str">
        <f>IF(MB25_VOLUMETRIA[[#This Row],[Reserva]]="","",IFERROR(VLOOKUP(MB25_VOLUMETRIA[[#This Row],[Reserva]],Tabela3[[Reserva]:[Condição para Faturamento]],20,FALSE),"IMPORTADO COM SUCESSO"))</f>
        <v>EM RESSUPRIMENTO</v>
      </c>
      <c r="M946" s="32" t="str">
        <f ca="1">IFERROR(VLOOKUP(MB25_VOLUMETRIA[[#This Row],[Reserva]],RES_AB[],14,FALSE),"")</f>
        <v>RESERVAS EM ATRASO</v>
      </c>
      <c r="N946" s="32" t="str">
        <f>IF(MB25_VOLUMETRIA[[#This Row],[Cen.]]="","",IFERROR(VLOOKUP(MB25_VOLUMETRIA[[#This Row],[Cen.]],Dados_Empresas[],2,FALSE),"Verificar empresa"))</f>
        <v>NET MASSIVO</v>
      </c>
      <c r="O946" s="32" t="str">
        <f>IF(MB25_VOLUMETRIA[[#This Row],[EMPRESA]]="","",IF(OR(MB25_VOLUMETRIA[[#This Row],[EMPRESA]]="NET MASSIVO",MB25_VOLUMETRIA[[#This Row],[EMPRESA]]="NET PROJETOS"),"NET","EMPRESARIAL"))</f>
        <v>NET</v>
      </c>
    </row>
    <row r="947" spans="1:15" x14ac:dyDescent="0.25">
      <c r="A947" s="32">
        <v>4381137</v>
      </c>
      <c r="B947" s="32" t="s">
        <v>21</v>
      </c>
      <c r="C947" s="33" t="s">
        <v>21</v>
      </c>
      <c r="D947" s="35">
        <v>45447</v>
      </c>
      <c r="E947" s="32" t="s">
        <v>185</v>
      </c>
      <c r="F947" s="32">
        <v>22065722</v>
      </c>
      <c r="G947" s="32" t="s">
        <v>196</v>
      </c>
      <c r="H947" s="26" t="s">
        <v>38</v>
      </c>
      <c r="I947" s="36">
        <v>100</v>
      </c>
      <c r="J947" s="32">
        <f>IF(MB25_VOLUMETRIA[[#This Row],[Reserva]]="","",1)</f>
        <v>1</v>
      </c>
      <c r="K947" s="36" t="str">
        <f>IF(MB25_VOLUMETRIA[[#This Row],[Reserva]]="","",IFERROR(VLOOKUP(MB25_VOLUMETRIA[[#This Row],[UMB]],CHAVE[],2,FALSE),"VERIFICAR"))</f>
        <v>Unidade</v>
      </c>
      <c r="L947" s="32" t="str">
        <f>IF(MB25_VOLUMETRIA[[#This Row],[Reserva]]="","",IFERROR(VLOOKUP(MB25_VOLUMETRIA[[#This Row],[Reserva]],Tabela3[[Reserva]:[Condição para Faturamento]],20,FALSE),"IMPORTADO COM SUCESSO"))</f>
        <v>EM RESSUPRIMENTO</v>
      </c>
      <c r="M947" s="32" t="str">
        <f ca="1">IFERROR(VLOOKUP(MB25_VOLUMETRIA[[#This Row],[Reserva]],RES_AB[],14,FALSE),"")</f>
        <v>RESERVAS EM ATRASO</v>
      </c>
      <c r="N947" s="32" t="str">
        <f>IF(MB25_VOLUMETRIA[[#This Row],[Cen.]]="","",IFERROR(VLOOKUP(MB25_VOLUMETRIA[[#This Row],[Cen.]],Dados_Empresas[],2,FALSE),"Verificar empresa"))</f>
        <v>NET MASSIVO</v>
      </c>
      <c r="O947" s="32" t="str">
        <f>IF(MB25_VOLUMETRIA[[#This Row],[EMPRESA]]="","",IF(OR(MB25_VOLUMETRIA[[#This Row],[EMPRESA]]="NET MASSIVO",MB25_VOLUMETRIA[[#This Row],[EMPRESA]]="NET PROJETOS"),"NET","EMPRESARIAL"))</f>
        <v>NET</v>
      </c>
    </row>
    <row r="948" spans="1:15" x14ac:dyDescent="0.25">
      <c r="A948" s="32">
        <v>4381137</v>
      </c>
      <c r="B948" s="32" t="s">
        <v>21</v>
      </c>
      <c r="C948" s="33" t="s">
        <v>21</v>
      </c>
      <c r="D948" s="35">
        <v>45447</v>
      </c>
      <c r="E948" s="32" t="s">
        <v>185</v>
      </c>
      <c r="F948" s="32">
        <v>22065725</v>
      </c>
      <c r="G948" s="32" t="s">
        <v>197</v>
      </c>
      <c r="H948" s="26" t="s">
        <v>38</v>
      </c>
      <c r="I948" s="36">
        <v>100</v>
      </c>
      <c r="J948" s="32">
        <f>IF(MB25_VOLUMETRIA[[#This Row],[Reserva]]="","",1)</f>
        <v>1</v>
      </c>
      <c r="K948" s="36" t="str">
        <f>IF(MB25_VOLUMETRIA[[#This Row],[Reserva]]="","",IFERROR(VLOOKUP(MB25_VOLUMETRIA[[#This Row],[UMB]],CHAVE[],2,FALSE),"VERIFICAR"))</f>
        <v>Unidade</v>
      </c>
      <c r="L948" s="32" t="str">
        <f>IF(MB25_VOLUMETRIA[[#This Row],[Reserva]]="","",IFERROR(VLOOKUP(MB25_VOLUMETRIA[[#This Row],[Reserva]],Tabela3[[Reserva]:[Condição para Faturamento]],20,FALSE),"IMPORTADO COM SUCESSO"))</f>
        <v>EM RESSUPRIMENTO</v>
      </c>
      <c r="M948" s="32" t="str">
        <f ca="1">IFERROR(VLOOKUP(MB25_VOLUMETRIA[[#This Row],[Reserva]],RES_AB[],14,FALSE),"")</f>
        <v>RESERVAS EM ATRASO</v>
      </c>
      <c r="N948" s="32" t="str">
        <f>IF(MB25_VOLUMETRIA[[#This Row],[Cen.]]="","",IFERROR(VLOOKUP(MB25_VOLUMETRIA[[#This Row],[Cen.]],Dados_Empresas[],2,FALSE),"Verificar empresa"))</f>
        <v>NET MASSIVO</v>
      </c>
      <c r="O948" s="32" t="str">
        <f>IF(MB25_VOLUMETRIA[[#This Row],[EMPRESA]]="","",IF(OR(MB25_VOLUMETRIA[[#This Row],[EMPRESA]]="NET MASSIVO",MB25_VOLUMETRIA[[#This Row],[EMPRESA]]="NET PROJETOS"),"NET","EMPRESARIAL"))</f>
        <v>NET</v>
      </c>
    </row>
    <row r="949" spans="1:15" x14ac:dyDescent="0.25">
      <c r="A949" s="32">
        <v>4381137</v>
      </c>
      <c r="B949" s="32" t="s">
        <v>21</v>
      </c>
      <c r="C949" s="33" t="s">
        <v>21</v>
      </c>
      <c r="D949" s="35">
        <v>45447</v>
      </c>
      <c r="E949" s="32" t="s">
        <v>185</v>
      </c>
      <c r="F949" s="32">
        <v>22065726</v>
      </c>
      <c r="G949" s="32" t="s">
        <v>251</v>
      </c>
      <c r="H949" s="26" t="s">
        <v>38</v>
      </c>
      <c r="I949" s="36">
        <v>100</v>
      </c>
      <c r="J949" s="32">
        <f>IF(MB25_VOLUMETRIA[[#This Row],[Reserva]]="","",1)</f>
        <v>1</v>
      </c>
      <c r="K949" s="36" t="str">
        <f>IF(MB25_VOLUMETRIA[[#This Row],[Reserva]]="","",IFERROR(VLOOKUP(MB25_VOLUMETRIA[[#This Row],[UMB]],CHAVE[],2,FALSE),"VERIFICAR"))</f>
        <v>Unidade</v>
      </c>
      <c r="L949" s="32" t="str">
        <f>IF(MB25_VOLUMETRIA[[#This Row],[Reserva]]="","",IFERROR(VLOOKUP(MB25_VOLUMETRIA[[#This Row],[Reserva]],Tabela3[[Reserva]:[Condição para Faturamento]],20,FALSE),"IMPORTADO COM SUCESSO"))</f>
        <v>EM RESSUPRIMENTO</v>
      </c>
      <c r="M949" s="32" t="str">
        <f ca="1">IFERROR(VLOOKUP(MB25_VOLUMETRIA[[#This Row],[Reserva]],RES_AB[],14,FALSE),"")</f>
        <v>RESERVAS EM ATRASO</v>
      </c>
      <c r="N949" s="32" t="str">
        <f>IF(MB25_VOLUMETRIA[[#This Row],[Cen.]]="","",IFERROR(VLOOKUP(MB25_VOLUMETRIA[[#This Row],[Cen.]],Dados_Empresas[],2,FALSE),"Verificar empresa"))</f>
        <v>NET MASSIVO</v>
      </c>
      <c r="O949" s="32" t="str">
        <f>IF(MB25_VOLUMETRIA[[#This Row],[EMPRESA]]="","",IF(OR(MB25_VOLUMETRIA[[#This Row],[EMPRESA]]="NET MASSIVO",MB25_VOLUMETRIA[[#This Row],[EMPRESA]]="NET PROJETOS"),"NET","EMPRESARIAL"))</f>
        <v>NET</v>
      </c>
    </row>
    <row r="950" spans="1:15" x14ac:dyDescent="0.25">
      <c r="A950" s="32">
        <v>4381138</v>
      </c>
      <c r="B950" s="32" t="s">
        <v>21</v>
      </c>
      <c r="C950" s="33" t="s">
        <v>19</v>
      </c>
      <c r="D950" s="35">
        <v>45447</v>
      </c>
      <c r="E950" s="32" t="s">
        <v>184</v>
      </c>
      <c r="F950" s="32">
        <v>41000805</v>
      </c>
      <c r="G950" s="32" t="s">
        <v>188</v>
      </c>
      <c r="H950" s="26" t="s">
        <v>38</v>
      </c>
      <c r="I950" s="36">
        <v>230</v>
      </c>
      <c r="J950" s="32">
        <f>IF(MB25_VOLUMETRIA[[#This Row],[Reserva]]="","",1)</f>
        <v>1</v>
      </c>
      <c r="K950" s="36" t="str">
        <f>IF(MB25_VOLUMETRIA[[#This Row],[Reserva]]="","",IFERROR(VLOOKUP(MB25_VOLUMETRIA[[#This Row],[UMB]],CHAVE[],2,FALSE),"VERIFICAR"))</f>
        <v>Unidade</v>
      </c>
      <c r="L950" s="32" t="str">
        <f>IF(MB25_VOLUMETRIA[[#This Row],[Reserva]]="","",IFERROR(VLOOKUP(MB25_VOLUMETRIA[[#This Row],[Reserva]],Tabela3[[Reserva]:[Condição para Faturamento]],20,FALSE),"IMPORTADO COM SUCESSO"))</f>
        <v>EM RESSUPRIMENTO</v>
      </c>
      <c r="M950" s="32" t="str">
        <f ca="1">IFERROR(VLOOKUP(MB25_VOLUMETRIA[[#This Row],[Reserva]],RES_AB[],14,FALSE),"")</f>
        <v>RESERVAS EM ATRASO</v>
      </c>
      <c r="N950" s="32" t="str">
        <f>IF(MB25_VOLUMETRIA[[#This Row],[Cen.]]="","",IFERROR(VLOOKUP(MB25_VOLUMETRIA[[#This Row],[Cen.]],Dados_Empresas[],2,FALSE),"Verificar empresa"))</f>
        <v>NET MASSIVO</v>
      </c>
      <c r="O950" s="32" t="str">
        <f>IF(MB25_VOLUMETRIA[[#This Row],[EMPRESA]]="","",IF(OR(MB25_VOLUMETRIA[[#This Row],[EMPRESA]]="NET MASSIVO",MB25_VOLUMETRIA[[#This Row],[EMPRESA]]="NET PROJETOS"),"NET","EMPRESARIAL"))</f>
        <v>NET</v>
      </c>
    </row>
    <row r="951" spans="1:15" x14ac:dyDescent="0.25">
      <c r="A951" s="32">
        <v>4381138</v>
      </c>
      <c r="B951" s="32" t="s">
        <v>21</v>
      </c>
      <c r="C951" s="33" t="s">
        <v>19</v>
      </c>
      <c r="D951" s="35">
        <v>45447</v>
      </c>
      <c r="E951" s="32" t="s">
        <v>184</v>
      </c>
      <c r="F951" s="32">
        <v>41001047</v>
      </c>
      <c r="G951" s="32" t="s">
        <v>257</v>
      </c>
      <c r="H951" s="26" t="s">
        <v>38</v>
      </c>
      <c r="I951" s="36">
        <v>230</v>
      </c>
      <c r="J951" s="32">
        <f>IF(MB25_VOLUMETRIA[[#This Row],[Reserva]]="","",1)</f>
        <v>1</v>
      </c>
      <c r="K951" s="36" t="str">
        <f>IF(MB25_VOLUMETRIA[[#This Row],[Reserva]]="","",IFERROR(VLOOKUP(MB25_VOLUMETRIA[[#This Row],[UMB]],CHAVE[],2,FALSE),"VERIFICAR"))</f>
        <v>Unidade</v>
      </c>
      <c r="L951" s="32" t="str">
        <f>IF(MB25_VOLUMETRIA[[#This Row],[Reserva]]="","",IFERROR(VLOOKUP(MB25_VOLUMETRIA[[#This Row],[Reserva]],Tabela3[[Reserva]:[Condição para Faturamento]],20,FALSE),"IMPORTADO COM SUCESSO"))</f>
        <v>EM RESSUPRIMENTO</v>
      </c>
      <c r="M951" s="32" t="str">
        <f ca="1">IFERROR(VLOOKUP(MB25_VOLUMETRIA[[#This Row],[Reserva]],RES_AB[],14,FALSE),"")</f>
        <v>RESERVAS EM ATRASO</v>
      </c>
      <c r="N951" s="32" t="str">
        <f>IF(MB25_VOLUMETRIA[[#This Row],[Cen.]]="","",IFERROR(VLOOKUP(MB25_VOLUMETRIA[[#This Row],[Cen.]],Dados_Empresas[],2,FALSE),"Verificar empresa"))</f>
        <v>NET MASSIVO</v>
      </c>
      <c r="O951" s="32" t="str">
        <f>IF(MB25_VOLUMETRIA[[#This Row],[EMPRESA]]="","",IF(OR(MB25_VOLUMETRIA[[#This Row],[EMPRESA]]="NET MASSIVO",MB25_VOLUMETRIA[[#This Row],[EMPRESA]]="NET PROJETOS"),"NET","EMPRESARIAL"))</f>
        <v>NET</v>
      </c>
    </row>
    <row r="952" spans="1:15" x14ac:dyDescent="0.25">
      <c r="A952" s="32">
        <v>4381139</v>
      </c>
      <c r="B952" s="32" t="s">
        <v>21</v>
      </c>
      <c r="C952" s="33" t="s">
        <v>19</v>
      </c>
      <c r="D952" s="35">
        <v>45447</v>
      </c>
      <c r="E952" s="32" t="s">
        <v>185</v>
      </c>
      <c r="F952" s="32">
        <v>22026279</v>
      </c>
      <c r="G952" s="32" t="s">
        <v>350</v>
      </c>
      <c r="H952" s="26" t="s">
        <v>38</v>
      </c>
      <c r="I952" s="36">
        <v>90</v>
      </c>
      <c r="J952" s="32">
        <f>IF(MB25_VOLUMETRIA[[#This Row],[Reserva]]="","",1)</f>
        <v>1</v>
      </c>
      <c r="K952" s="36" t="str">
        <f>IF(MB25_VOLUMETRIA[[#This Row],[Reserva]]="","",IFERROR(VLOOKUP(MB25_VOLUMETRIA[[#This Row],[UMB]],CHAVE[],2,FALSE),"VERIFICAR"))</f>
        <v>Unidade</v>
      </c>
      <c r="L952" s="32" t="str">
        <f>IF(MB25_VOLUMETRIA[[#This Row],[Reserva]]="","",IFERROR(VLOOKUP(MB25_VOLUMETRIA[[#This Row],[Reserva]],Tabela3[[Reserva]:[Condição para Faturamento]],20,FALSE),"IMPORTADO COM SUCESSO"))</f>
        <v>IMPORTADO</v>
      </c>
      <c r="M952" s="32" t="str">
        <f ca="1">IFERROR(VLOOKUP(MB25_VOLUMETRIA[[#This Row],[Reserva]],RES_AB[],14,FALSE),"")</f>
        <v>RESERVAS EM ATRASO</v>
      </c>
      <c r="N952" s="32" t="str">
        <f>IF(MB25_VOLUMETRIA[[#This Row],[Cen.]]="","",IFERROR(VLOOKUP(MB25_VOLUMETRIA[[#This Row],[Cen.]],Dados_Empresas[],2,FALSE),"Verificar empresa"))</f>
        <v>NET MASSIVO</v>
      </c>
      <c r="O952" s="32" t="str">
        <f>IF(MB25_VOLUMETRIA[[#This Row],[EMPRESA]]="","",IF(OR(MB25_VOLUMETRIA[[#This Row],[EMPRESA]]="NET MASSIVO",MB25_VOLUMETRIA[[#This Row],[EMPRESA]]="NET PROJETOS"),"NET","EMPRESARIAL"))</f>
        <v>NET</v>
      </c>
    </row>
    <row r="953" spans="1:15" x14ac:dyDescent="0.25">
      <c r="A953" s="32">
        <v>4381139</v>
      </c>
      <c r="B953" s="32" t="s">
        <v>21</v>
      </c>
      <c r="C953" s="33" t="s">
        <v>21</v>
      </c>
      <c r="D953" s="35">
        <v>45447</v>
      </c>
      <c r="E953" s="32" t="s">
        <v>185</v>
      </c>
      <c r="F953" s="32">
        <v>22060422</v>
      </c>
      <c r="G953" s="32" t="s">
        <v>298</v>
      </c>
      <c r="H953" s="26" t="s">
        <v>38</v>
      </c>
      <c r="I953" s="36">
        <v>90</v>
      </c>
      <c r="J953" s="32">
        <f>IF(MB25_VOLUMETRIA[[#This Row],[Reserva]]="","",1)</f>
        <v>1</v>
      </c>
      <c r="K953" s="36" t="str">
        <f>IF(MB25_VOLUMETRIA[[#This Row],[Reserva]]="","",IFERROR(VLOOKUP(MB25_VOLUMETRIA[[#This Row],[UMB]],CHAVE[],2,FALSE),"VERIFICAR"))</f>
        <v>Unidade</v>
      </c>
      <c r="L953" s="32" t="str">
        <f>IF(MB25_VOLUMETRIA[[#This Row],[Reserva]]="","",IFERROR(VLOOKUP(MB25_VOLUMETRIA[[#This Row],[Reserva]],Tabela3[[Reserva]:[Condição para Faturamento]],20,FALSE),"IMPORTADO COM SUCESSO"))</f>
        <v>IMPORTADO</v>
      </c>
      <c r="M953" s="32" t="str">
        <f ca="1">IFERROR(VLOOKUP(MB25_VOLUMETRIA[[#This Row],[Reserva]],RES_AB[],14,FALSE),"")</f>
        <v>RESERVAS EM ATRASO</v>
      </c>
      <c r="N953" s="32" t="str">
        <f>IF(MB25_VOLUMETRIA[[#This Row],[Cen.]]="","",IFERROR(VLOOKUP(MB25_VOLUMETRIA[[#This Row],[Cen.]],Dados_Empresas[],2,FALSE),"Verificar empresa"))</f>
        <v>NET MASSIVO</v>
      </c>
      <c r="O953" s="32" t="str">
        <f>IF(MB25_VOLUMETRIA[[#This Row],[EMPRESA]]="","",IF(OR(MB25_VOLUMETRIA[[#This Row],[EMPRESA]]="NET MASSIVO",MB25_VOLUMETRIA[[#This Row],[EMPRESA]]="NET PROJETOS"),"NET","EMPRESARIAL"))</f>
        <v>NET</v>
      </c>
    </row>
    <row r="954" spans="1:15" x14ac:dyDescent="0.25">
      <c r="A954" s="32">
        <v>4381140</v>
      </c>
      <c r="B954" s="32" t="s">
        <v>21</v>
      </c>
      <c r="C954" s="33" t="s">
        <v>19</v>
      </c>
      <c r="D954" s="35">
        <v>45447</v>
      </c>
      <c r="E954" s="32" t="s">
        <v>184</v>
      </c>
      <c r="F954" s="32">
        <v>41001234</v>
      </c>
      <c r="G954" s="32" t="s">
        <v>189</v>
      </c>
      <c r="H954" s="26" t="s">
        <v>38</v>
      </c>
      <c r="I954" s="36">
        <v>90</v>
      </c>
      <c r="J954" s="32">
        <f>IF(MB25_VOLUMETRIA[[#This Row],[Reserva]]="","",1)</f>
        <v>1</v>
      </c>
      <c r="K954" s="36" t="str">
        <f>IF(MB25_VOLUMETRIA[[#This Row],[Reserva]]="","",IFERROR(VLOOKUP(MB25_VOLUMETRIA[[#This Row],[UMB]],CHAVE[],2,FALSE),"VERIFICAR"))</f>
        <v>Unidade</v>
      </c>
      <c r="L954" s="32" t="str">
        <f>IF(MB25_VOLUMETRIA[[#This Row],[Reserva]]="","",IFERROR(VLOOKUP(MB25_VOLUMETRIA[[#This Row],[Reserva]],Tabela3[[Reserva]:[Condição para Faturamento]],20,FALSE),"IMPORTADO COM SUCESSO"))</f>
        <v>IMPORTADO</v>
      </c>
      <c r="M954" s="32" t="str">
        <f ca="1">IFERROR(VLOOKUP(MB25_VOLUMETRIA[[#This Row],[Reserva]],RES_AB[],14,FALSE),"")</f>
        <v>RESERVAS EM ATRASO</v>
      </c>
      <c r="N954" s="32" t="str">
        <f>IF(MB25_VOLUMETRIA[[#This Row],[Cen.]]="","",IFERROR(VLOOKUP(MB25_VOLUMETRIA[[#This Row],[Cen.]],Dados_Empresas[],2,FALSE),"Verificar empresa"))</f>
        <v>NET MASSIVO</v>
      </c>
      <c r="O954" s="32" t="str">
        <f>IF(MB25_VOLUMETRIA[[#This Row],[EMPRESA]]="","",IF(OR(MB25_VOLUMETRIA[[#This Row],[EMPRESA]]="NET MASSIVO",MB25_VOLUMETRIA[[#This Row],[EMPRESA]]="NET PROJETOS"),"NET","EMPRESARIAL"))</f>
        <v>NET</v>
      </c>
    </row>
    <row r="955" spans="1:15" x14ac:dyDescent="0.25">
      <c r="A955" s="32">
        <v>4381140</v>
      </c>
      <c r="B955" s="32" t="s">
        <v>21</v>
      </c>
      <c r="C955" s="33" t="s">
        <v>19</v>
      </c>
      <c r="D955" s="35">
        <v>45447</v>
      </c>
      <c r="E955" s="32" t="s">
        <v>184</v>
      </c>
      <c r="F955" s="32">
        <v>41001276</v>
      </c>
      <c r="G955" s="32" t="s">
        <v>351</v>
      </c>
      <c r="H955" s="26" t="s">
        <v>38</v>
      </c>
      <c r="I955" s="36">
        <v>90</v>
      </c>
      <c r="J955" s="32">
        <f>IF(MB25_VOLUMETRIA[[#This Row],[Reserva]]="","",1)</f>
        <v>1</v>
      </c>
      <c r="K955" s="36" t="str">
        <f>IF(MB25_VOLUMETRIA[[#This Row],[Reserva]]="","",IFERROR(VLOOKUP(MB25_VOLUMETRIA[[#This Row],[UMB]],CHAVE[],2,FALSE),"VERIFICAR"))</f>
        <v>Unidade</v>
      </c>
      <c r="L955" s="32" t="str">
        <f>IF(MB25_VOLUMETRIA[[#This Row],[Reserva]]="","",IFERROR(VLOOKUP(MB25_VOLUMETRIA[[#This Row],[Reserva]],Tabela3[[Reserva]:[Condição para Faturamento]],20,FALSE),"IMPORTADO COM SUCESSO"))</f>
        <v>IMPORTADO</v>
      </c>
      <c r="M955" s="32" t="str">
        <f ca="1">IFERROR(VLOOKUP(MB25_VOLUMETRIA[[#This Row],[Reserva]],RES_AB[],14,FALSE),"")</f>
        <v>RESERVAS EM ATRASO</v>
      </c>
      <c r="N955" s="32" t="str">
        <f>IF(MB25_VOLUMETRIA[[#This Row],[Cen.]]="","",IFERROR(VLOOKUP(MB25_VOLUMETRIA[[#This Row],[Cen.]],Dados_Empresas[],2,FALSE),"Verificar empresa"))</f>
        <v>NET MASSIVO</v>
      </c>
      <c r="O955" s="32" t="str">
        <f>IF(MB25_VOLUMETRIA[[#This Row],[EMPRESA]]="","",IF(OR(MB25_VOLUMETRIA[[#This Row],[EMPRESA]]="NET MASSIVO",MB25_VOLUMETRIA[[#This Row],[EMPRESA]]="NET PROJETOS"),"NET","EMPRESARIAL"))</f>
        <v>NET</v>
      </c>
    </row>
    <row r="956" spans="1:15" x14ac:dyDescent="0.25">
      <c r="A956" s="32">
        <v>4381140</v>
      </c>
      <c r="B956" s="32" t="s">
        <v>21</v>
      </c>
      <c r="C956" s="33" t="s">
        <v>21</v>
      </c>
      <c r="D956" s="35">
        <v>45447</v>
      </c>
      <c r="E956" s="32" t="s">
        <v>184</v>
      </c>
      <c r="F956" s="32">
        <v>41001590</v>
      </c>
      <c r="G956" s="32" t="s">
        <v>239</v>
      </c>
      <c r="H956" s="26" t="s">
        <v>38</v>
      </c>
      <c r="I956" s="36">
        <v>260</v>
      </c>
      <c r="J956" s="32">
        <f>IF(MB25_VOLUMETRIA[[#This Row],[Reserva]]="","",1)</f>
        <v>1</v>
      </c>
      <c r="K956" s="36" t="str">
        <f>IF(MB25_VOLUMETRIA[[#This Row],[Reserva]]="","",IFERROR(VLOOKUP(MB25_VOLUMETRIA[[#This Row],[UMB]],CHAVE[],2,FALSE),"VERIFICAR"))</f>
        <v>Unidade</v>
      </c>
      <c r="L956" s="32" t="str">
        <f>IF(MB25_VOLUMETRIA[[#This Row],[Reserva]]="","",IFERROR(VLOOKUP(MB25_VOLUMETRIA[[#This Row],[Reserva]],Tabela3[[Reserva]:[Condição para Faturamento]],20,FALSE),"IMPORTADO COM SUCESSO"))</f>
        <v>IMPORTADO</v>
      </c>
      <c r="M956" s="32" t="str">
        <f ca="1">IFERROR(VLOOKUP(MB25_VOLUMETRIA[[#This Row],[Reserva]],RES_AB[],14,FALSE),"")</f>
        <v>RESERVAS EM ATRASO</v>
      </c>
      <c r="N956" s="32" t="str">
        <f>IF(MB25_VOLUMETRIA[[#This Row],[Cen.]]="","",IFERROR(VLOOKUP(MB25_VOLUMETRIA[[#This Row],[Cen.]],Dados_Empresas[],2,FALSE),"Verificar empresa"))</f>
        <v>NET MASSIVO</v>
      </c>
      <c r="O956" s="32" t="str">
        <f>IF(MB25_VOLUMETRIA[[#This Row],[EMPRESA]]="","",IF(OR(MB25_VOLUMETRIA[[#This Row],[EMPRESA]]="NET MASSIVO",MB25_VOLUMETRIA[[#This Row],[EMPRESA]]="NET PROJETOS"),"NET","EMPRESARIAL"))</f>
        <v>NET</v>
      </c>
    </row>
    <row r="957" spans="1:15" x14ac:dyDescent="0.25">
      <c r="A957" s="32">
        <v>4381141</v>
      </c>
      <c r="B957" s="32" t="s">
        <v>21</v>
      </c>
      <c r="C957" s="33" t="s">
        <v>19</v>
      </c>
      <c r="D957" s="35">
        <v>45447</v>
      </c>
      <c r="E957" s="32" t="s">
        <v>184</v>
      </c>
      <c r="F957" s="32">
        <v>41000805</v>
      </c>
      <c r="G957" s="32" t="s">
        <v>188</v>
      </c>
      <c r="H957" s="26" t="s">
        <v>38</v>
      </c>
      <c r="I957" s="36">
        <v>280</v>
      </c>
      <c r="J957" s="32">
        <f>IF(MB25_VOLUMETRIA[[#This Row],[Reserva]]="","",1)</f>
        <v>1</v>
      </c>
      <c r="K957" s="36" t="str">
        <f>IF(MB25_VOLUMETRIA[[#This Row],[Reserva]]="","",IFERROR(VLOOKUP(MB25_VOLUMETRIA[[#This Row],[UMB]],CHAVE[],2,FALSE),"VERIFICAR"))</f>
        <v>Unidade</v>
      </c>
      <c r="L957" s="32" t="str">
        <f>IF(MB25_VOLUMETRIA[[#This Row],[Reserva]]="","",IFERROR(VLOOKUP(MB25_VOLUMETRIA[[#This Row],[Reserva]],Tabela3[[Reserva]:[Condição para Faturamento]],20,FALSE),"IMPORTADO COM SUCESSO"))</f>
        <v>EM RESSUPRIMENTO</v>
      </c>
      <c r="M957" s="32" t="str">
        <f ca="1">IFERROR(VLOOKUP(MB25_VOLUMETRIA[[#This Row],[Reserva]],RES_AB[],14,FALSE),"")</f>
        <v>RESERVAS EM ATRASO</v>
      </c>
      <c r="N957" s="32" t="str">
        <f>IF(MB25_VOLUMETRIA[[#This Row],[Cen.]]="","",IFERROR(VLOOKUP(MB25_VOLUMETRIA[[#This Row],[Cen.]],Dados_Empresas[],2,FALSE),"Verificar empresa"))</f>
        <v>NET MASSIVO</v>
      </c>
      <c r="O957" s="32" t="str">
        <f>IF(MB25_VOLUMETRIA[[#This Row],[EMPRESA]]="","",IF(OR(MB25_VOLUMETRIA[[#This Row],[EMPRESA]]="NET MASSIVO",MB25_VOLUMETRIA[[#This Row],[EMPRESA]]="NET PROJETOS"),"NET","EMPRESARIAL"))</f>
        <v>NET</v>
      </c>
    </row>
    <row r="958" spans="1:15" x14ac:dyDescent="0.25">
      <c r="A958" s="32">
        <v>4381141</v>
      </c>
      <c r="B958" s="32" t="s">
        <v>21</v>
      </c>
      <c r="C958" s="33" t="s">
        <v>19</v>
      </c>
      <c r="D958" s="35">
        <v>45447</v>
      </c>
      <c r="E958" s="32" t="s">
        <v>184</v>
      </c>
      <c r="F958" s="32">
        <v>41001047</v>
      </c>
      <c r="G958" s="32" t="s">
        <v>257</v>
      </c>
      <c r="H958" s="26" t="s">
        <v>38</v>
      </c>
      <c r="I958" s="36">
        <v>260</v>
      </c>
      <c r="J958" s="32">
        <f>IF(MB25_VOLUMETRIA[[#This Row],[Reserva]]="","",1)</f>
        <v>1</v>
      </c>
      <c r="K958" s="36" t="str">
        <f>IF(MB25_VOLUMETRIA[[#This Row],[Reserva]]="","",IFERROR(VLOOKUP(MB25_VOLUMETRIA[[#This Row],[UMB]],CHAVE[],2,FALSE),"VERIFICAR"))</f>
        <v>Unidade</v>
      </c>
      <c r="L958" s="32" t="str">
        <f>IF(MB25_VOLUMETRIA[[#This Row],[Reserva]]="","",IFERROR(VLOOKUP(MB25_VOLUMETRIA[[#This Row],[Reserva]],Tabela3[[Reserva]:[Condição para Faturamento]],20,FALSE),"IMPORTADO COM SUCESSO"))</f>
        <v>EM RESSUPRIMENTO</v>
      </c>
      <c r="M958" s="32" t="str">
        <f ca="1">IFERROR(VLOOKUP(MB25_VOLUMETRIA[[#This Row],[Reserva]],RES_AB[],14,FALSE),"")</f>
        <v>RESERVAS EM ATRASO</v>
      </c>
      <c r="N958" s="32" t="str">
        <f>IF(MB25_VOLUMETRIA[[#This Row],[Cen.]]="","",IFERROR(VLOOKUP(MB25_VOLUMETRIA[[#This Row],[Cen.]],Dados_Empresas[],2,FALSE),"Verificar empresa"))</f>
        <v>NET MASSIVO</v>
      </c>
      <c r="O958" s="32" t="str">
        <f>IF(MB25_VOLUMETRIA[[#This Row],[EMPRESA]]="","",IF(OR(MB25_VOLUMETRIA[[#This Row],[EMPRESA]]="NET MASSIVO",MB25_VOLUMETRIA[[#This Row],[EMPRESA]]="NET PROJETOS"),"NET","EMPRESARIAL"))</f>
        <v>NET</v>
      </c>
    </row>
    <row r="959" spans="1:15" x14ac:dyDescent="0.25">
      <c r="A959" s="32">
        <v>4381141</v>
      </c>
      <c r="B959" s="32" t="s">
        <v>21</v>
      </c>
      <c r="C959" s="33" t="s">
        <v>19</v>
      </c>
      <c r="D959" s="35">
        <v>45447</v>
      </c>
      <c r="E959" s="32" t="s">
        <v>184</v>
      </c>
      <c r="F959" s="32">
        <v>41001484</v>
      </c>
      <c r="G959" s="32" t="s">
        <v>292</v>
      </c>
      <c r="H959" s="26" t="s">
        <v>38</v>
      </c>
      <c r="I959" s="36">
        <v>20</v>
      </c>
      <c r="J959" s="32">
        <f>IF(MB25_VOLUMETRIA[[#This Row],[Reserva]]="","",1)</f>
        <v>1</v>
      </c>
      <c r="K959" s="36" t="str">
        <f>IF(MB25_VOLUMETRIA[[#This Row],[Reserva]]="","",IFERROR(VLOOKUP(MB25_VOLUMETRIA[[#This Row],[UMB]],CHAVE[],2,FALSE),"VERIFICAR"))</f>
        <v>Unidade</v>
      </c>
      <c r="L959" s="32" t="str">
        <f>IF(MB25_VOLUMETRIA[[#This Row],[Reserva]]="","",IFERROR(VLOOKUP(MB25_VOLUMETRIA[[#This Row],[Reserva]],Tabela3[[Reserva]:[Condição para Faturamento]],20,FALSE),"IMPORTADO COM SUCESSO"))</f>
        <v>EM RESSUPRIMENTO</v>
      </c>
      <c r="M959" s="32" t="str">
        <f ca="1">IFERROR(VLOOKUP(MB25_VOLUMETRIA[[#This Row],[Reserva]],RES_AB[],14,FALSE),"")</f>
        <v>RESERVAS EM ATRASO</v>
      </c>
      <c r="N959" s="32" t="str">
        <f>IF(MB25_VOLUMETRIA[[#This Row],[Cen.]]="","",IFERROR(VLOOKUP(MB25_VOLUMETRIA[[#This Row],[Cen.]],Dados_Empresas[],2,FALSE),"Verificar empresa"))</f>
        <v>NET MASSIVO</v>
      </c>
      <c r="O959" s="32" t="str">
        <f>IF(MB25_VOLUMETRIA[[#This Row],[EMPRESA]]="","",IF(OR(MB25_VOLUMETRIA[[#This Row],[EMPRESA]]="NET MASSIVO",MB25_VOLUMETRIA[[#This Row],[EMPRESA]]="NET PROJETOS"),"NET","EMPRESARIAL"))</f>
        <v>NET</v>
      </c>
    </row>
    <row r="960" spans="1:15" x14ac:dyDescent="0.25">
      <c r="A960" s="32">
        <v>4381142</v>
      </c>
      <c r="B960" s="32" t="s">
        <v>21</v>
      </c>
      <c r="C960" s="33" t="s">
        <v>19</v>
      </c>
      <c r="D960" s="35">
        <v>45447</v>
      </c>
      <c r="E960" s="32" t="s">
        <v>185</v>
      </c>
      <c r="F960" s="32">
        <v>22025116</v>
      </c>
      <c r="G960" s="32" t="s">
        <v>362</v>
      </c>
      <c r="H960" s="26" t="s">
        <v>38</v>
      </c>
      <c r="I960" s="36">
        <v>30</v>
      </c>
      <c r="J960" s="32">
        <f>IF(MB25_VOLUMETRIA[[#This Row],[Reserva]]="","",1)</f>
        <v>1</v>
      </c>
      <c r="K960" s="36" t="str">
        <f>IF(MB25_VOLUMETRIA[[#This Row],[Reserva]]="","",IFERROR(VLOOKUP(MB25_VOLUMETRIA[[#This Row],[UMB]],CHAVE[],2,FALSE),"VERIFICAR"))</f>
        <v>Unidade</v>
      </c>
      <c r="L960" s="32" t="str">
        <f>IF(MB25_VOLUMETRIA[[#This Row],[Reserva]]="","",IFERROR(VLOOKUP(MB25_VOLUMETRIA[[#This Row],[Reserva]],Tabela3[[Reserva]:[Condição para Faturamento]],20,FALSE),"IMPORTADO COM SUCESSO"))</f>
        <v>EM RESSUPRIMENTO</v>
      </c>
      <c r="M960" s="32" t="str">
        <f ca="1">IFERROR(VLOOKUP(MB25_VOLUMETRIA[[#This Row],[Reserva]],RES_AB[],14,FALSE),"")</f>
        <v>RESERVAS EM ATRASO</v>
      </c>
      <c r="N960" s="32" t="str">
        <f>IF(MB25_VOLUMETRIA[[#This Row],[Cen.]]="","",IFERROR(VLOOKUP(MB25_VOLUMETRIA[[#This Row],[Cen.]],Dados_Empresas[],2,FALSE),"Verificar empresa"))</f>
        <v>NET MASSIVO</v>
      </c>
      <c r="O960" s="32" t="str">
        <f>IF(MB25_VOLUMETRIA[[#This Row],[EMPRESA]]="","",IF(OR(MB25_VOLUMETRIA[[#This Row],[EMPRESA]]="NET MASSIVO",MB25_VOLUMETRIA[[#This Row],[EMPRESA]]="NET PROJETOS"),"NET","EMPRESARIAL"))</f>
        <v>NET</v>
      </c>
    </row>
    <row r="961" spans="1:15" x14ac:dyDescent="0.25">
      <c r="A961" s="32">
        <v>4381142</v>
      </c>
      <c r="B961" s="32" t="s">
        <v>21</v>
      </c>
      <c r="C961" s="33" t="s">
        <v>21</v>
      </c>
      <c r="D961" s="35">
        <v>45447</v>
      </c>
      <c r="E961" s="32" t="s">
        <v>185</v>
      </c>
      <c r="F961" s="32">
        <v>22025136</v>
      </c>
      <c r="G961" s="32" t="s">
        <v>215</v>
      </c>
      <c r="H961" s="26" t="s">
        <v>38</v>
      </c>
      <c r="I961" s="36">
        <v>100</v>
      </c>
      <c r="J961" s="32">
        <f>IF(MB25_VOLUMETRIA[[#This Row],[Reserva]]="","",1)</f>
        <v>1</v>
      </c>
      <c r="K961" s="36" t="str">
        <f>IF(MB25_VOLUMETRIA[[#This Row],[Reserva]]="","",IFERROR(VLOOKUP(MB25_VOLUMETRIA[[#This Row],[UMB]],CHAVE[],2,FALSE),"VERIFICAR"))</f>
        <v>Unidade</v>
      </c>
      <c r="L961" s="32" t="str">
        <f>IF(MB25_VOLUMETRIA[[#This Row],[Reserva]]="","",IFERROR(VLOOKUP(MB25_VOLUMETRIA[[#This Row],[Reserva]],Tabela3[[Reserva]:[Condição para Faturamento]],20,FALSE),"IMPORTADO COM SUCESSO"))</f>
        <v>EM RESSUPRIMENTO</v>
      </c>
      <c r="M961" s="32" t="str">
        <f ca="1">IFERROR(VLOOKUP(MB25_VOLUMETRIA[[#This Row],[Reserva]],RES_AB[],14,FALSE),"")</f>
        <v>RESERVAS EM ATRASO</v>
      </c>
      <c r="N961" s="32" t="str">
        <f>IF(MB25_VOLUMETRIA[[#This Row],[Cen.]]="","",IFERROR(VLOOKUP(MB25_VOLUMETRIA[[#This Row],[Cen.]],Dados_Empresas[],2,FALSE),"Verificar empresa"))</f>
        <v>NET MASSIVO</v>
      </c>
      <c r="O961" s="32" t="str">
        <f>IF(MB25_VOLUMETRIA[[#This Row],[EMPRESA]]="","",IF(OR(MB25_VOLUMETRIA[[#This Row],[EMPRESA]]="NET MASSIVO",MB25_VOLUMETRIA[[#This Row],[EMPRESA]]="NET PROJETOS"),"NET","EMPRESARIAL"))</f>
        <v>NET</v>
      </c>
    </row>
    <row r="962" spans="1:15" x14ac:dyDescent="0.25">
      <c r="A962" s="32">
        <v>4381142</v>
      </c>
      <c r="B962" s="32" t="s">
        <v>21</v>
      </c>
      <c r="C962" s="33" t="s">
        <v>21</v>
      </c>
      <c r="D962" s="35">
        <v>45447</v>
      </c>
      <c r="E962" s="32" t="s">
        <v>185</v>
      </c>
      <c r="F962" s="32">
        <v>22025139</v>
      </c>
      <c r="G962" s="32" t="s">
        <v>199</v>
      </c>
      <c r="H962" s="26" t="s">
        <v>38</v>
      </c>
      <c r="I962" s="36">
        <v>700</v>
      </c>
      <c r="J962" s="32">
        <f>IF(MB25_VOLUMETRIA[[#This Row],[Reserva]]="","",1)</f>
        <v>1</v>
      </c>
      <c r="K962" s="36" t="str">
        <f>IF(MB25_VOLUMETRIA[[#This Row],[Reserva]]="","",IFERROR(VLOOKUP(MB25_VOLUMETRIA[[#This Row],[UMB]],CHAVE[],2,FALSE),"VERIFICAR"))</f>
        <v>Unidade</v>
      </c>
      <c r="L962" s="32" t="str">
        <f>IF(MB25_VOLUMETRIA[[#This Row],[Reserva]]="","",IFERROR(VLOOKUP(MB25_VOLUMETRIA[[#This Row],[Reserva]],Tabela3[[Reserva]:[Condição para Faturamento]],20,FALSE),"IMPORTADO COM SUCESSO"))</f>
        <v>EM RESSUPRIMENTO</v>
      </c>
      <c r="M962" s="32" t="str">
        <f ca="1">IFERROR(VLOOKUP(MB25_VOLUMETRIA[[#This Row],[Reserva]],RES_AB[],14,FALSE),"")</f>
        <v>RESERVAS EM ATRASO</v>
      </c>
      <c r="N962" s="32" t="str">
        <f>IF(MB25_VOLUMETRIA[[#This Row],[Cen.]]="","",IFERROR(VLOOKUP(MB25_VOLUMETRIA[[#This Row],[Cen.]],Dados_Empresas[],2,FALSE),"Verificar empresa"))</f>
        <v>NET MASSIVO</v>
      </c>
      <c r="O962" s="32" t="str">
        <f>IF(MB25_VOLUMETRIA[[#This Row],[EMPRESA]]="","",IF(OR(MB25_VOLUMETRIA[[#This Row],[EMPRESA]]="NET MASSIVO",MB25_VOLUMETRIA[[#This Row],[EMPRESA]]="NET PROJETOS"),"NET","EMPRESARIAL"))</f>
        <v>NET</v>
      </c>
    </row>
    <row r="963" spans="1:15" x14ac:dyDescent="0.25">
      <c r="A963" s="32">
        <v>4381142</v>
      </c>
      <c r="B963" s="32" t="s">
        <v>21</v>
      </c>
      <c r="C963" s="33" t="s">
        <v>21</v>
      </c>
      <c r="D963" s="35">
        <v>45447</v>
      </c>
      <c r="E963" s="32" t="s">
        <v>185</v>
      </c>
      <c r="F963" s="32">
        <v>22025162</v>
      </c>
      <c r="G963" s="32" t="s">
        <v>211</v>
      </c>
      <c r="H963" s="26" t="s">
        <v>38</v>
      </c>
      <c r="I963" s="36">
        <v>100</v>
      </c>
      <c r="J963" s="32">
        <f>IF(MB25_VOLUMETRIA[[#This Row],[Reserva]]="","",1)</f>
        <v>1</v>
      </c>
      <c r="K963" s="36" t="str">
        <f>IF(MB25_VOLUMETRIA[[#This Row],[Reserva]]="","",IFERROR(VLOOKUP(MB25_VOLUMETRIA[[#This Row],[UMB]],CHAVE[],2,FALSE),"VERIFICAR"))</f>
        <v>Unidade</v>
      </c>
      <c r="L963" s="32" t="str">
        <f>IF(MB25_VOLUMETRIA[[#This Row],[Reserva]]="","",IFERROR(VLOOKUP(MB25_VOLUMETRIA[[#This Row],[Reserva]],Tabela3[[Reserva]:[Condição para Faturamento]],20,FALSE),"IMPORTADO COM SUCESSO"))</f>
        <v>EM RESSUPRIMENTO</v>
      </c>
      <c r="M963" s="32" t="str">
        <f ca="1">IFERROR(VLOOKUP(MB25_VOLUMETRIA[[#This Row],[Reserva]],RES_AB[],14,FALSE),"")</f>
        <v>RESERVAS EM ATRASO</v>
      </c>
      <c r="N963" s="32" t="str">
        <f>IF(MB25_VOLUMETRIA[[#This Row],[Cen.]]="","",IFERROR(VLOOKUP(MB25_VOLUMETRIA[[#This Row],[Cen.]],Dados_Empresas[],2,FALSE),"Verificar empresa"))</f>
        <v>NET MASSIVO</v>
      </c>
      <c r="O963" s="32" t="str">
        <f>IF(MB25_VOLUMETRIA[[#This Row],[EMPRESA]]="","",IF(OR(MB25_VOLUMETRIA[[#This Row],[EMPRESA]]="NET MASSIVO",MB25_VOLUMETRIA[[#This Row],[EMPRESA]]="NET PROJETOS"),"NET","EMPRESARIAL"))</f>
        <v>NET</v>
      </c>
    </row>
    <row r="964" spans="1:15" x14ac:dyDescent="0.25">
      <c r="A964" s="32">
        <v>4381142</v>
      </c>
      <c r="B964" s="32" t="s">
        <v>21</v>
      </c>
      <c r="C964" s="33" t="s">
        <v>21</v>
      </c>
      <c r="D964" s="35">
        <v>45447</v>
      </c>
      <c r="E964" s="32" t="s">
        <v>185</v>
      </c>
      <c r="F964" s="32">
        <v>22025241</v>
      </c>
      <c r="G964" s="32" t="s">
        <v>212</v>
      </c>
      <c r="H964" s="26" t="s">
        <v>38</v>
      </c>
      <c r="I964" s="36">
        <v>100</v>
      </c>
      <c r="J964" s="32">
        <f>IF(MB25_VOLUMETRIA[[#This Row],[Reserva]]="","",1)</f>
        <v>1</v>
      </c>
      <c r="K964" s="36" t="str">
        <f>IF(MB25_VOLUMETRIA[[#This Row],[Reserva]]="","",IFERROR(VLOOKUP(MB25_VOLUMETRIA[[#This Row],[UMB]],CHAVE[],2,FALSE),"VERIFICAR"))</f>
        <v>Unidade</v>
      </c>
      <c r="L964" s="32" t="str">
        <f>IF(MB25_VOLUMETRIA[[#This Row],[Reserva]]="","",IFERROR(VLOOKUP(MB25_VOLUMETRIA[[#This Row],[Reserva]],Tabela3[[Reserva]:[Condição para Faturamento]],20,FALSE),"IMPORTADO COM SUCESSO"))</f>
        <v>EM RESSUPRIMENTO</v>
      </c>
      <c r="M964" s="32" t="str">
        <f ca="1">IFERROR(VLOOKUP(MB25_VOLUMETRIA[[#This Row],[Reserva]],RES_AB[],14,FALSE),"")</f>
        <v>RESERVAS EM ATRASO</v>
      </c>
      <c r="N964" s="32" t="str">
        <f>IF(MB25_VOLUMETRIA[[#This Row],[Cen.]]="","",IFERROR(VLOOKUP(MB25_VOLUMETRIA[[#This Row],[Cen.]],Dados_Empresas[],2,FALSE),"Verificar empresa"))</f>
        <v>NET MASSIVO</v>
      </c>
      <c r="O964" s="32" t="str">
        <f>IF(MB25_VOLUMETRIA[[#This Row],[EMPRESA]]="","",IF(OR(MB25_VOLUMETRIA[[#This Row],[EMPRESA]]="NET MASSIVO",MB25_VOLUMETRIA[[#This Row],[EMPRESA]]="NET PROJETOS"),"NET","EMPRESARIAL"))</f>
        <v>NET</v>
      </c>
    </row>
    <row r="965" spans="1:15" x14ac:dyDescent="0.25">
      <c r="A965" s="32">
        <v>4381142</v>
      </c>
      <c r="B965" s="32" t="s">
        <v>21</v>
      </c>
      <c r="C965" s="33" t="s">
        <v>21</v>
      </c>
      <c r="D965" s="35">
        <v>45447</v>
      </c>
      <c r="E965" s="32" t="s">
        <v>185</v>
      </c>
      <c r="F965" s="32">
        <v>22025250</v>
      </c>
      <c r="G965" s="32" t="s">
        <v>213</v>
      </c>
      <c r="H965" s="26" t="s">
        <v>38</v>
      </c>
      <c r="I965" s="36">
        <v>100</v>
      </c>
      <c r="J965" s="32">
        <f>IF(MB25_VOLUMETRIA[[#This Row],[Reserva]]="","",1)</f>
        <v>1</v>
      </c>
      <c r="K965" s="36" t="str">
        <f>IF(MB25_VOLUMETRIA[[#This Row],[Reserva]]="","",IFERROR(VLOOKUP(MB25_VOLUMETRIA[[#This Row],[UMB]],CHAVE[],2,FALSE),"VERIFICAR"))</f>
        <v>Unidade</v>
      </c>
      <c r="L965" s="32" t="str">
        <f>IF(MB25_VOLUMETRIA[[#This Row],[Reserva]]="","",IFERROR(VLOOKUP(MB25_VOLUMETRIA[[#This Row],[Reserva]],Tabela3[[Reserva]:[Condição para Faturamento]],20,FALSE),"IMPORTADO COM SUCESSO"))</f>
        <v>EM RESSUPRIMENTO</v>
      </c>
      <c r="M965" s="32" t="str">
        <f ca="1">IFERROR(VLOOKUP(MB25_VOLUMETRIA[[#This Row],[Reserva]],RES_AB[],14,FALSE),"")</f>
        <v>RESERVAS EM ATRASO</v>
      </c>
      <c r="N965" s="32" t="str">
        <f>IF(MB25_VOLUMETRIA[[#This Row],[Cen.]]="","",IFERROR(VLOOKUP(MB25_VOLUMETRIA[[#This Row],[Cen.]],Dados_Empresas[],2,FALSE),"Verificar empresa"))</f>
        <v>NET MASSIVO</v>
      </c>
      <c r="O965" s="32" t="str">
        <f>IF(MB25_VOLUMETRIA[[#This Row],[EMPRESA]]="","",IF(OR(MB25_VOLUMETRIA[[#This Row],[EMPRESA]]="NET MASSIVO",MB25_VOLUMETRIA[[#This Row],[EMPRESA]]="NET PROJETOS"),"NET","EMPRESARIAL"))</f>
        <v>NET</v>
      </c>
    </row>
    <row r="966" spans="1:15" x14ac:dyDescent="0.25">
      <c r="A966" s="32">
        <v>4381142</v>
      </c>
      <c r="B966" s="32" t="s">
        <v>21</v>
      </c>
      <c r="C966" s="33" t="s">
        <v>19</v>
      </c>
      <c r="D966" s="35">
        <v>45447</v>
      </c>
      <c r="E966" s="32" t="s">
        <v>185</v>
      </c>
      <c r="F966" s="32">
        <v>22026103</v>
      </c>
      <c r="G966" s="32" t="s">
        <v>322</v>
      </c>
      <c r="H966" s="26" t="s">
        <v>38</v>
      </c>
      <c r="I966" s="36">
        <v>5</v>
      </c>
      <c r="J966" s="32">
        <f>IF(MB25_VOLUMETRIA[[#This Row],[Reserva]]="","",1)</f>
        <v>1</v>
      </c>
      <c r="K966" s="36" t="str">
        <f>IF(MB25_VOLUMETRIA[[#This Row],[Reserva]]="","",IFERROR(VLOOKUP(MB25_VOLUMETRIA[[#This Row],[UMB]],CHAVE[],2,FALSE),"VERIFICAR"))</f>
        <v>Unidade</v>
      </c>
      <c r="L966" s="32" t="str">
        <f>IF(MB25_VOLUMETRIA[[#This Row],[Reserva]]="","",IFERROR(VLOOKUP(MB25_VOLUMETRIA[[#This Row],[Reserva]],Tabela3[[Reserva]:[Condição para Faturamento]],20,FALSE),"IMPORTADO COM SUCESSO"))</f>
        <v>EM RESSUPRIMENTO</v>
      </c>
      <c r="M966" s="32" t="str">
        <f ca="1">IFERROR(VLOOKUP(MB25_VOLUMETRIA[[#This Row],[Reserva]],RES_AB[],14,FALSE),"")</f>
        <v>RESERVAS EM ATRASO</v>
      </c>
      <c r="N966" s="32" t="str">
        <f>IF(MB25_VOLUMETRIA[[#This Row],[Cen.]]="","",IFERROR(VLOOKUP(MB25_VOLUMETRIA[[#This Row],[Cen.]],Dados_Empresas[],2,FALSE),"Verificar empresa"))</f>
        <v>NET MASSIVO</v>
      </c>
      <c r="O966" s="32" t="str">
        <f>IF(MB25_VOLUMETRIA[[#This Row],[EMPRESA]]="","",IF(OR(MB25_VOLUMETRIA[[#This Row],[EMPRESA]]="NET MASSIVO",MB25_VOLUMETRIA[[#This Row],[EMPRESA]]="NET PROJETOS"),"NET","EMPRESARIAL"))</f>
        <v>NET</v>
      </c>
    </row>
    <row r="967" spans="1:15" x14ac:dyDescent="0.25">
      <c r="A967" s="32">
        <v>4381142</v>
      </c>
      <c r="B967" s="32" t="s">
        <v>21</v>
      </c>
      <c r="C967" s="33" t="s">
        <v>21</v>
      </c>
      <c r="D967" s="35">
        <v>45447</v>
      </c>
      <c r="E967" s="32" t="s">
        <v>185</v>
      </c>
      <c r="F967" s="32">
        <v>22026544</v>
      </c>
      <c r="G967" s="32" t="s">
        <v>206</v>
      </c>
      <c r="H967" s="26" t="s">
        <v>38</v>
      </c>
      <c r="I967" s="36">
        <v>50</v>
      </c>
      <c r="J967" s="32">
        <f>IF(MB25_VOLUMETRIA[[#This Row],[Reserva]]="","",1)</f>
        <v>1</v>
      </c>
      <c r="K967" s="36" t="str">
        <f>IF(MB25_VOLUMETRIA[[#This Row],[Reserva]]="","",IFERROR(VLOOKUP(MB25_VOLUMETRIA[[#This Row],[UMB]],CHAVE[],2,FALSE),"VERIFICAR"))</f>
        <v>Unidade</v>
      </c>
      <c r="L967" s="32" t="str">
        <f>IF(MB25_VOLUMETRIA[[#This Row],[Reserva]]="","",IFERROR(VLOOKUP(MB25_VOLUMETRIA[[#This Row],[Reserva]],Tabela3[[Reserva]:[Condição para Faturamento]],20,FALSE),"IMPORTADO COM SUCESSO"))</f>
        <v>EM RESSUPRIMENTO</v>
      </c>
      <c r="M967" s="32" t="str">
        <f ca="1">IFERROR(VLOOKUP(MB25_VOLUMETRIA[[#This Row],[Reserva]],RES_AB[],14,FALSE),"")</f>
        <v>RESERVAS EM ATRASO</v>
      </c>
      <c r="N967" s="32" t="str">
        <f>IF(MB25_VOLUMETRIA[[#This Row],[Cen.]]="","",IFERROR(VLOOKUP(MB25_VOLUMETRIA[[#This Row],[Cen.]],Dados_Empresas[],2,FALSE),"Verificar empresa"))</f>
        <v>NET MASSIVO</v>
      </c>
      <c r="O967" s="32" t="str">
        <f>IF(MB25_VOLUMETRIA[[#This Row],[EMPRESA]]="","",IF(OR(MB25_VOLUMETRIA[[#This Row],[EMPRESA]]="NET MASSIVO",MB25_VOLUMETRIA[[#This Row],[EMPRESA]]="NET PROJETOS"),"NET","EMPRESARIAL"))</f>
        <v>NET</v>
      </c>
    </row>
    <row r="968" spans="1:15" x14ac:dyDescent="0.25">
      <c r="A968" s="32">
        <v>4381142</v>
      </c>
      <c r="B968" s="32" t="s">
        <v>21</v>
      </c>
      <c r="C968" s="33" t="s">
        <v>21</v>
      </c>
      <c r="D968" s="35">
        <v>45447</v>
      </c>
      <c r="E968" s="32" t="s">
        <v>185</v>
      </c>
      <c r="F968" s="32">
        <v>22026792</v>
      </c>
      <c r="G968" s="32" t="s">
        <v>202</v>
      </c>
      <c r="H968" s="26" t="s">
        <v>38</v>
      </c>
      <c r="I968" s="36">
        <v>50</v>
      </c>
      <c r="J968" s="32">
        <f>IF(MB25_VOLUMETRIA[[#This Row],[Reserva]]="","",1)</f>
        <v>1</v>
      </c>
      <c r="K968" s="36" t="str">
        <f>IF(MB25_VOLUMETRIA[[#This Row],[Reserva]]="","",IFERROR(VLOOKUP(MB25_VOLUMETRIA[[#This Row],[UMB]],CHAVE[],2,FALSE),"VERIFICAR"))</f>
        <v>Unidade</v>
      </c>
      <c r="L968" s="32" t="str">
        <f>IF(MB25_VOLUMETRIA[[#This Row],[Reserva]]="","",IFERROR(VLOOKUP(MB25_VOLUMETRIA[[#This Row],[Reserva]],Tabela3[[Reserva]:[Condição para Faturamento]],20,FALSE),"IMPORTADO COM SUCESSO"))</f>
        <v>EM RESSUPRIMENTO</v>
      </c>
      <c r="M968" s="32" t="str">
        <f ca="1">IFERROR(VLOOKUP(MB25_VOLUMETRIA[[#This Row],[Reserva]],RES_AB[],14,FALSE),"")</f>
        <v>RESERVAS EM ATRASO</v>
      </c>
      <c r="N968" s="32" t="str">
        <f>IF(MB25_VOLUMETRIA[[#This Row],[Cen.]]="","",IFERROR(VLOOKUP(MB25_VOLUMETRIA[[#This Row],[Cen.]],Dados_Empresas[],2,FALSE),"Verificar empresa"))</f>
        <v>NET MASSIVO</v>
      </c>
      <c r="O968" s="32" t="str">
        <f>IF(MB25_VOLUMETRIA[[#This Row],[EMPRESA]]="","",IF(OR(MB25_VOLUMETRIA[[#This Row],[EMPRESA]]="NET MASSIVO",MB25_VOLUMETRIA[[#This Row],[EMPRESA]]="NET PROJETOS"),"NET","EMPRESARIAL"))</f>
        <v>NET</v>
      </c>
    </row>
    <row r="969" spans="1:15" x14ac:dyDescent="0.25">
      <c r="A969" s="32">
        <v>4381142</v>
      </c>
      <c r="B969" s="32" t="s">
        <v>21</v>
      </c>
      <c r="C969" s="33" t="s">
        <v>21</v>
      </c>
      <c r="D969" s="35">
        <v>45447</v>
      </c>
      <c r="E969" s="32" t="s">
        <v>185</v>
      </c>
      <c r="F969" s="32">
        <v>22026795</v>
      </c>
      <c r="G969" s="32" t="s">
        <v>261</v>
      </c>
      <c r="H969" s="26" t="s">
        <v>38</v>
      </c>
      <c r="I969" s="36">
        <v>50</v>
      </c>
      <c r="J969" s="32">
        <f>IF(MB25_VOLUMETRIA[[#This Row],[Reserva]]="","",1)</f>
        <v>1</v>
      </c>
      <c r="K969" s="36" t="str">
        <f>IF(MB25_VOLUMETRIA[[#This Row],[Reserva]]="","",IFERROR(VLOOKUP(MB25_VOLUMETRIA[[#This Row],[UMB]],CHAVE[],2,FALSE),"VERIFICAR"))</f>
        <v>Unidade</v>
      </c>
      <c r="L969" s="32" t="str">
        <f>IF(MB25_VOLUMETRIA[[#This Row],[Reserva]]="","",IFERROR(VLOOKUP(MB25_VOLUMETRIA[[#This Row],[Reserva]],Tabela3[[Reserva]:[Condição para Faturamento]],20,FALSE),"IMPORTADO COM SUCESSO"))</f>
        <v>EM RESSUPRIMENTO</v>
      </c>
      <c r="M969" s="32" t="str">
        <f ca="1">IFERROR(VLOOKUP(MB25_VOLUMETRIA[[#This Row],[Reserva]],RES_AB[],14,FALSE),"")</f>
        <v>RESERVAS EM ATRASO</v>
      </c>
      <c r="N969" s="32" t="str">
        <f>IF(MB25_VOLUMETRIA[[#This Row],[Cen.]]="","",IFERROR(VLOOKUP(MB25_VOLUMETRIA[[#This Row],[Cen.]],Dados_Empresas[],2,FALSE),"Verificar empresa"))</f>
        <v>NET MASSIVO</v>
      </c>
      <c r="O969" s="32" t="str">
        <f>IF(MB25_VOLUMETRIA[[#This Row],[EMPRESA]]="","",IF(OR(MB25_VOLUMETRIA[[#This Row],[EMPRESA]]="NET MASSIVO",MB25_VOLUMETRIA[[#This Row],[EMPRESA]]="NET PROJETOS"),"NET","EMPRESARIAL"))</f>
        <v>NET</v>
      </c>
    </row>
    <row r="970" spans="1:15" x14ac:dyDescent="0.25">
      <c r="A970" s="32">
        <v>4381142</v>
      </c>
      <c r="B970" s="32" t="s">
        <v>21</v>
      </c>
      <c r="C970" s="33" t="s">
        <v>21</v>
      </c>
      <c r="D970" s="35">
        <v>45447</v>
      </c>
      <c r="E970" s="32" t="s">
        <v>185</v>
      </c>
      <c r="F970" s="32">
        <v>22026809</v>
      </c>
      <c r="G970" s="32" t="s">
        <v>231</v>
      </c>
      <c r="H970" s="26" t="s">
        <v>38</v>
      </c>
      <c r="I970" s="36">
        <v>100</v>
      </c>
      <c r="J970" s="32">
        <f>IF(MB25_VOLUMETRIA[[#This Row],[Reserva]]="","",1)</f>
        <v>1</v>
      </c>
      <c r="K970" s="36" t="str">
        <f>IF(MB25_VOLUMETRIA[[#This Row],[Reserva]]="","",IFERROR(VLOOKUP(MB25_VOLUMETRIA[[#This Row],[UMB]],CHAVE[],2,FALSE),"VERIFICAR"))</f>
        <v>Unidade</v>
      </c>
      <c r="L970" s="32" t="str">
        <f>IF(MB25_VOLUMETRIA[[#This Row],[Reserva]]="","",IFERROR(VLOOKUP(MB25_VOLUMETRIA[[#This Row],[Reserva]],Tabela3[[Reserva]:[Condição para Faturamento]],20,FALSE),"IMPORTADO COM SUCESSO"))</f>
        <v>EM RESSUPRIMENTO</v>
      </c>
      <c r="M970" s="32" t="str">
        <f ca="1">IFERROR(VLOOKUP(MB25_VOLUMETRIA[[#This Row],[Reserva]],RES_AB[],14,FALSE),"")</f>
        <v>RESERVAS EM ATRASO</v>
      </c>
      <c r="N970" s="32" t="str">
        <f>IF(MB25_VOLUMETRIA[[#This Row],[Cen.]]="","",IFERROR(VLOOKUP(MB25_VOLUMETRIA[[#This Row],[Cen.]],Dados_Empresas[],2,FALSE),"Verificar empresa"))</f>
        <v>NET MASSIVO</v>
      </c>
      <c r="O970" s="32" t="str">
        <f>IF(MB25_VOLUMETRIA[[#This Row],[EMPRESA]]="","",IF(OR(MB25_VOLUMETRIA[[#This Row],[EMPRESA]]="NET MASSIVO",MB25_VOLUMETRIA[[#This Row],[EMPRESA]]="NET PROJETOS"),"NET","EMPRESARIAL"))</f>
        <v>NET</v>
      </c>
    </row>
    <row r="971" spans="1:15" x14ac:dyDescent="0.25">
      <c r="A971" s="32">
        <v>4381142</v>
      </c>
      <c r="B971" s="32" t="s">
        <v>21</v>
      </c>
      <c r="C971" s="33" t="s">
        <v>21</v>
      </c>
      <c r="D971" s="35">
        <v>45447</v>
      </c>
      <c r="E971" s="32" t="s">
        <v>185</v>
      </c>
      <c r="F971" s="32">
        <v>22056331</v>
      </c>
      <c r="G971" s="32" t="s">
        <v>209</v>
      </c>
      <c r="H971" s="26" t="s">
        <v>38</v>
      </c>
      <c r="I971" s="36">
        <v>100</v>
      </c>
      <c r="J971" s="32">
        <f>IF(MB25_VOLUMETRIA[[#This Row],[Reserva]]="","",1)</f>
        <v>1</v>
      </c>
      <c r="K971" s="36" t="str">
        <f>IF(MB25_VOLUMETRIA[[#This Row],[Reserva]]="","",IFERROR(VLOOKUP(MB25_VOLUMETRIA[[#This Row],[UMB]],CHAVE[],2,FALSE),"VERIFICAR"))</f>
        <v>Unidade</v>
      </c>
      <c r="L971" s="32" t="str">
        <f>IF(MB25_VOLUMETRIA[[#This Row],[Reserva]]="","",IFERROR(VLOOKUP(MB25_VOLUMETRIA[[#This Row],[Reserva]],Tabela3[[Reserva]:[Condição para Faturamento]],20,FALSE),"IMPORTADO COM SUCESSO"))</f>
        <v>EM RESSUPRIMENTO</v>
      </c>
      <c r="M971" s="32" t="str">
        <f ca="1">IFERROR(VLOOKUP(MB25_VOLUMETRIA[[#This Row],[Reserva]],RES_AB[],14,FALSE),"")</f>
        <v>RESERVAS EM ATRASO</v>
      </c>
      <c r="N971" s="32" t="str">
        <f>IF(MB25_VOLUMETRIA[[#This Row],[Cen.]]="","",IFERROR(VLOOKUP(MB25_VOLUMETRIA[[#This Row],[Cen.]],Dados_Empresas[],2,FALSE),"Verificar empresa"))</f>
        <v>NET MASSIVO</v>
      </c>
      <c r="O971" s="32" t="str">
        <f>IF(MB25_VOLUMETRIA[[#This Row],[EMPRESA]]="","",IF(OR(MB25_VOLUMETRIA[[#This Row],[EMPRESA]]="NET MASSIVO",MB25_VOLUMETRIA[[#This Row],[EMPRESA]]="NET PROJETOS"),"NET","EMPRESARIAL"))</f>
        <v>NET</v>
      </c>
    </row>
    <row r="972" spans="1:15" x14ac:dyDescent="0.25">
      <c r="A972" s="32">
        <v>4381142</v>
      </c>
      <c r="B972" s="32" t="s">
        <v>21</v>
      </c>
      <c r="C972" s="33" t="s">
        <v>21</v>
      </c>
      <c r="D972" s="35">
        <v>45447</v>
      </c>
      <c r="E972" s="32" t="s">
        <v>185</v>
      </c>
      <c r="F972" s="32">
        <v>22056336</v>
      </c>
      <c r="G972" s="32" t="s">
        <v>324</v>
      </c>
      <c r="H972" s="26" t="s">
        <v>38</v>
      </c>
      <c r="I972" s="36">
        <v>100</v>
      </c>
      <c r="J972" s="32">
        <f>IF(MB25_VOLUMETRIA[[#This Row],[Reserva]]="","",1)</f>
        <v>1</v>
      </c>
      <c r="K972" s="36" t="str">
        <f>IF(MB25_VOLUMETRIA[[#This Row],[Reserva]]="","",IFERROR(VLOOKUP(MB25_VOLUMETRIA[[#This Row],[UMB]],CHAVE[],2,FALSE),"VERIFICAR"))</f>
        <v>Unidade</v>
      </c>
      <c r="L972" s="32" t="str">
        <f>IF(MB25_VOLUMETRIA[[#This Row],[Reserva]]="","",IFERROR(VLOOKUP(MB25_VOLUMETRIA[[#This Row],[Reserva]],Tabela3[[Reserva]:[Condição para Faturamento]],20,FALSE),"IMPORTADO COM SUCESSO"))</f>
        <v>EM RESSUPRIMENTO</v>
      </c>
      <c r="M972" s="32" t="str">
        <f ca="1">IFERROR(VLOOKUP(MB25_VOLUMETRIA[[#This Row],[Reserva]],RES_AB[],14,FALSE),"")</f>
        <v>RESERVAS EM ATRASO</v>
      </c>
      <c r="N972" s="32" t="str">
        <f>IF(MB25_VOLUMETRIA[[#This Row],[Cen.]]="","",IFERROR(VLOOKUP(MB25_VOLUMETRIA[[#This Row],[Cen.]],Dados_Empresas[],2,FALSE),"Verificar empresa"))</f>
        <v>NET MASSIVO</v>
      </c>
      <c r="O972" s="32" t="str">
        <f>IF(MB25_VOLUMETRIA[[#This Row],[EMPRESA]]="","",IF(OR(MB25_VOLUMETRIA[[#This Row],[EMPRESA]]="NET MASSIVO",MB25_VOLUMETRIA[[#This Row],[EMPRESA]]="NET PROJETOS"),"NET","EMPRESARIAL"))</f>
        <v>NET</v>
      </c>
    </row>
    <row r="973" spans="1:15" x14ac:dyDescent="0.25">
      <c r="A973" s="32">
        <v>4381142</v>
      </c>
      <c r="B973" s="32" t="s">
        <v>21</v>
      </c>
      <c r="C973" s="33" t="s">
        <v>21</v>
      </c>
      <c r="D973" s="35">
        <v>45447</v>
      </c>
      <c r="E973" s="32" t="s">
        <v>185</v>
      </c>
      <c r="F973" s="32">
        <v>22056337</v>
      </c>
      <c r="G973" s="32" t="s">
        <v>361</v>
      </c>
      <c r="H973" s="26" t="s">
        <v>38</v>
      </c>
      <c r="I973" s="36">
        <v>100</v>
      </c>
      <c r="J973" s="32">
        <f>IF(MB25_VOLUMETRIA[[#This Row],[Reserva]]="","",1)</f>
        <v>1</v>
      </c>
      <c r="K973" s="36" t="str">
        <f>IF(MB25_VOLUMETRIA[[#This Row],[Reserva]]="","",IFERROR(VLOOKUP(MB25_VOLUMETRIA[[#This Row],[UMB]],CHAVE[],2,FALSE),"VERIFICAR"))</f>
        <v>Unidade</v>
      </c>
      <c r="L973" s="32" t="str">
        <f>IF(MB25_VOLUMETRIA[[#This Row],[Reserva]]="","",IFERROR(VLOOKUP(MB25_VOLUMETRIA[[#This Row],[Reserva]],Tabela3[[Reserva]:[Condição para Faturamento]],20,FALSE),"IMPORTADO COM SUCESSO"))</f>
        <v>EM RESSUPRIMENTO</v>
      </c>
      <c r="M973" s="32" t="str">
        <f ca="1">IFERROR(VLOOKUP(MB25_VOLUMETRIA[[#This Row],[Reserva]],RES_AB[],14,FALSE),"")</f>
        <v>RESERVAS EM ATRASO</v>
      </c>
      <c r="N973" s="32" t="str">
        <f>IF(MB25_VOLUMETRIA[[#This Row],[Cen.]]="","",IFERROR(VLOOKUP(MB25_VOLUMETRIA[[#This Row],[Cen.]],Dados_Empresas[],2,FALSE),"Verificar empresa"))</f>
        <v>NET MASSIVO</v>
      </c>
      <c r="O973" s="32" t="str">
        <f>IF(MB25_VOLUMETRIA[[#This Row],[EMPRESA]]="","",IF(OR(MB25_VOLUMETRIA[[#This Row],[EMPRESA]]="NET MASSIVO",MB25_VOLUMETRIA[[#This Row],[EMPRESA]]="NET PROJETOS"),"NET","EMPRESARIAL"))</f>
        <v>NET</v>
      </c>
    </row>
    <row r="974" spans="1:15" x14ac:dyDescent="0.25">
      <c r="A974" s="32">
        <v>4381142</v>
      </c>
      <c r="B974" s="32" t="s">
        <v>21</v>
      </c>
      <c r="C974" s="33" t="s">
        <v>21</v>
      </c>
      <c r="D974" s="35">
        <v>45447</v>
      </c>
      <c r="E974" s="32" t="s">
        <v>185</v>
      </c>
      <c r="F974" s="32">
        <v>22056339</v>
      </c>
      <c r="G974" s="32" t="s">
        <v>243</v>
      </c>
      <c r="H974" s="26" t="s">
        <v>38</v>
      </c>
      <c r="I974" s="36">
        <v>100</v>
      </c>
      <c r="J974" s="32">
        <f>IF(MB25_VOLUMETRIA[[#This Row],[Reserva]]="","",1)</f>
        <v>1</v>
      </c>
      <c r="K974" s="36" t="str">
        <f>IF(MB25_VOLUMETRIA[[#This Row],[Reserva]]="","",IFERROR(VLOOKUP(MB25_VOLUMETRIA[[#This Row],[UMB]],CHAVE[],2,FALSE),"VERIFICAR"))</f>
        <v>Unidade</v>
      </c>
      <c r="L974" s="32" t="str">
        <f>IF(MB25_VOLUMETRIA[[#This Row],[Reserva]]="","",IFERROR(VLOOKUP(MB25_VOLUMETRIA[[#This Row],[Reserva]],Tabela3[[Reserva]:[Condição para Faturamento]],20,FALSE),"IMPORTADO COM SUCESSO"))</f>
        <v>EM RESSUPRIMENTO</v>
      </c>
      <c r="M974" s="32" t="str">
        <f ca="1">IFERROR(VLOOKUP(MB25_VOLUMETRIA[[#This Row],[Reserva]],RES_AB[],14,FALSE),"")</f>
        <v>RESERVAS EM ATRASO</v>
      </c>
      <c r="N974" s="32" t="str">
        <f>IF(MB25_VOLUMETRIA[[#This Row],[Cen.]]="","",IFERROR(VLOOKUP(MB25_VOLUMETRIA[[#This Row],[Cen.]],Dados_Empresas[],2,FALSE),"Verificar empresa"))</f>
        <v>NET MASSIVO</v>
      </c>
      <c r="O974" s="32" t="str">
        <f>IF(MB25_VOLUMETRIA[[#This Row],[EMPRESA]]="","",IF(OR(MB25_VOLUMETRIA[[#This Row],[EMPRESA]]="NET MASSIVO",MB25_VOLUMETRIA[[#This Row],[EMPRESA]]="NET PROJETOS"),"NET","EMPRESARIAL"))</f>
        <v>NET</v>
      </c>
    </row>
    <row r="975" spans="1:15" x14ac:dyDescent="0.25">
      <c r="A975" s="32">
        <v>4381142</v>
      </c>
      <c r="B975" s="32" t="s">
        <v>21</v>
      </c>
      <c r="C975" s="33" t="s">
        <v>21</v>
      </c>
      <c r="D975" s="35">
        <v>45447</v>
      </c>
      <c r="E975" s="32" t="s">
        <v>185</v>
      </c>
      <c r="F975" s="32">
        <v>22056343</v>
      </c>
      <c r="G975" s="32" t="s">
        <v>234</v>
      </c>
      <c r="H975" s="26" t="s">
        <v>38</v>
      </c>
      <c r="I975" s="36">
        <v>150</v>
      </c>
      <c r="J975" s="32">
        <f>IF(MB25_VOLUMETRIA[[#This Row],[Reserva]]="","",1)</f>
        <v>1</v>
      </c>
      <c r="K975" s="36" t="str">
        <f>IF(MB25_VOLUMETRIA[[#This Row],[Reserva]]="","",IFERROR(VLOOKUP(MB25_VOLUMETRIA[[#This Row],[UMB]],CHAVE[],2,FALSE),"VERIFICAR"))</f>
        <v>Unidade</v>
      </c>
      <c r="L975" s="32" t="str">
        <f>IF(MB25_VOLUMETRIA[[#This Row],[Reserva]]="","",IFERROR(VLOOKUP(MB25_VOLUMETRIA[[#This Row],[Reserva]],Tabela3[[Reserva]:[Condição para Faturamento]],20,FALSE),"IMPORTADO COM SUCESSO"))</f>
        <v>EM RESSUPRIMENTO</v>
      </c>
      <c r="M975" s="32" t="str">
        <f ca="1">IFERROR(VLOOKUP(MB25_VOLUMETRIA[[#This Row],[Reserva]],RES_AB[],14,FALSE),"")</f>
        <v>RESERVAS EM ATRASO</v>
      </c>
      <c r="N975" s="32" t="str">
        <f>IF(MB25_VOLUMETRIA[[#This Row],[Cen.]]="","",IFERROR(VLOOKUP(MB25_VOLUMETRIA[[#This Row],[Cen.]],Dados_Empresas[],2,FALSE),"Verificar empresa"))</f>
        <v>NET MASSIVO</v>
      </c>
      <c r="O975" s="32" t="str">
        <f>IF(MB25_VOLUMETRIA[[#This Row],[EMPRESA]]="","",IF(OR(MB25_VOLUMETRIA[[#This Row],[EMPRESA]]="NET MASSIVO",MB25_VOLUMETRIA[[#This Row],[EMPRESA]]="NET PROJETOS"),"NET","EMPRESARIAL"))</f>
        <v>NET</v>
      </c>
    </row>
    <row r="976" spans="1:15" x14ac:dyDescent="0.25">
      <c r="A976" s="32">
        <v>4381142</v>
      </c>
      <c r="B976" s="32" t="s">
        <v>21</v>
      </c>
      <c r="C976" s="33" t="s">
        <v>21</v>
      </c>
      <c r="D976" s="35">
        <v>45447</v>
      </c>
      <c r="E976" s="32" t="s">
        <v>185</v>
      </c>
      <c r="F976" s="32">
        <v>22056344</v>
      </c>
      <c r="G976" s="32" t="s">
        <v>235</v>
      </c>
      <c r="H976" s="26" t="s">
        <v>38</v>
      </c>
      <c r="I976" s="36">
        <v>100</v>
      </c>
      <c r="J976" s="32">
        <f>IF(MB25_VOLUMETRIA[[#This Row],[Reserva]]="","",1)</f>
        <v>1</v>
      </c>
      <c r="K976" s="36" t="str">
        <f>IF(MB25_VOLUMETRIA[[#This Row],[Reserva]]="","",IFERROR(VLOOKUP(MB25_VOLUMETRIA[[#This Row],[UMB]],CHAVE[],2,FALSE),"VERIFICAR"))</f>
        <v>Unidade</v>
      </c>
      <c r="L976" s="32" t="str">
        <f>IF(MB25_VOLUMETRIA[[#This Row],[Reserva]]="","",IFERROR(VLOOKUP(MB25_VOLUMETRIA[[#This Row],[Reserva]],Tabela3[[Reserva]:[Condição para Faturamento]],20,FALSE),"IMPORTADO COM SUCESSO"))</f>
        <v>EM RESSUPRIMENTO</v>
      </c>
      <c r="M976" s="32" t="str">
        <f ca="1">IFERROR(VLOOKUP(MB25_VOLUMETRIA[[#This Row],[Reserva]],RES_AB[],14,FALSE),"")</f>
        <v>RESERVAS EM ATRASO</v>
      </c>
      <c r="N976" s="32" t="str">
        <f>IF(MB25_VOLUMETRIA[[#This Row],[Cen.]]="","",IFERROR(VLOOKUP(MB25_VOLUMETRIA[[#This Row],[Cen.]],Dados_Empresas[],2,FALSE),"Verificar empresa"))</f>
        <v>NET MASSIVO</v>
      </c>
      <c r="O976" s="32" t="str">
        <f>IF(MB25_VOLUMETRIA[[#This Row],[EMPRESA]]="","",IF(OR(MB25_VOLUMETRIA[[#This Row],[EMPRESA]]="NET MASSIVO",MB25_VOLUMETRIA[[#This Row],[EMPRESA]]="NET PROJETOS"),"NET","EMPRESARIAL"))</f>
        <v>NET</v>
      </c>
    </row>
    <row r="977" spans="1:15" x14ac:dyDescent="0.25">
      <c r="A977" s="32">
        <v>4381142</v>
      </c>
      <c r="B977" s="32" t="s">
        <v>21</v>
      </c>
      <c r="C977" s="33" t="s">
        <v>21</v>
      </c>
      <c r="D977" s="35">
        <v>45447</v>
      </c>
      <c r="E977" s="32" t="s">
        <v>185</v>
      </c>
      <c r="F977" s="32">
        <v>22056345</v>
      </c>
      <c r="G977" s="32" t="s">
        <v>255</v>
      </c>
      <c r="H977" s="26" t="s">
        <v>38</v>
      </c>
      <c r="I977" s="36">
        <v>100</v>
      </c>
      <c r="J977" s="32">
        <f>IF(MB25_VOLUMETRIA[[#This Row],[Reserva]]="","",1)</f>
        <v>1</v>
      </c>
      <c r="K977" s="36" t="str">
        <f>IF(MB25_VOLUMETRIA[[#This Row],[Reserva]]="","",IFERROR(VLOOKUP(MB25_VOLUMETRIA[[#This Row],[UMB]],CHAVE[],2,FALSE),"VERIFICAR"))</f>
        <v>Unidade</v>
      </c>
      <c r="L977" s="32" t="str">
        <f>IF(MB25_VOLUMETRIA[[#This Row],[Reserva]]="","",IFERROR(VLOOKUP(MB25_VOLUMETRIA[[#This Row],[Reserva]],Tabela3[[Reserva]:[Condição para Faturamento]],20,FALSE),"IMPORTADO COM SUCESSO"))</f>
        <v>EM RESSUPRIMENTO</v>
      </c>
      <c r="M977" s="32" t="str">
        <f ca="1">IFERROR(VLOOKUP(MB25_VOLUMETRIA[[#This Row],[Reserva]],RES_AB[],14,FALSE),"")</f>
        <v>RESERVAS EM ATRASO</v>
      </c>
      <c r="N977" s="32" t="str">
        <f>IF(MB25_VOLUMETRIA[[#This Row],[Cen.]]="","",IFERROR(VLOOKUP(MB25_VOLUMETRIA[[#This Row],[Cen.]],Dados_Empresas[],2,FALSE),"Verificar empresa"))</f>
        <v>NET MASSIVO</v>
      </c>
      <c r="O977" s="32" t="str">
        <f>IF(MB25_VOLUMETRIA[[#This Row],[EMPRESA]]="","",IF(OR(MB25_VOLUMETRIA[[#This Row],[EMPRESA]]="NET MASSIVO",MB25_VOLUMETRIA[[#This Row],[EMPRESA]]="NET PROJETOS"),"NET","EMPRESARIAL"))</f>
        <v>NET</v>
      </c>
    </row>
    <row r="978" spans="1:15" x14ac:dyDescent="0.25">
      <c r="A978" s="32">
        <v>4381142</v>
      </c>
      <c r="B978" s="32" t="s">
        <v>21</v>
      </c>
      <c r="C978" s="33" t="s">
        <v>21</v>
      </c>
      <c r="D978" s="35">
        <v>45447</v>
      </c>
      <c r="E978" s="32" t="s">
        <v>185</v>
      </c>
      <c r="F978" s="32">
        <v>22056369</v>
      </c>
      <c r="G978" s="32" t="s">
        <v>194</v>
      </c>
      <c r="H978" s="26" t="s">
        <v>38</v>
      </c>
      <c r="I978" s="36">
        <v>300</v>
      </c>
      <c r="J978" s="32">
        <f>IF(MB25_VOLUMETRIA[[#This Row],[Reserva]]="","",1)</f>
        <v>1</v>
      </c>
      <c r="K978" s="36" t="str">
        <f>IF(MB25_VOLUMETRIA[[#This Row],[Reserva]]="","",IFERROR(VLOOKUP(MB25_VOLUMETRIA[[#This Row],[UMB]],CHAVE[],2,FALSE),"VERIFICAR"))</f>
        <v>Unidade</v>
      </c>
      <c r="L978" s="32" t="str">
        <f>IF(MB25_VOLUMETRIA[[#This Row],[Reserva]]="","",IFERROR(VLOOKUP(MB25_VOLUMETRIA[[#This Row],[Reserva]],Tabela3[[Reserva]:[Condição para Faturamento]],20,FALSE),"IMPORTADO COM SUCESSO"))</f>
        <v>EM RESSUPRIMENTO</v>
      </c>
      <c r="M978" s="32" t="str">
        <f ca="1">IFERROR(VLOOKUP(MB25_VOLUMETRIA[[#This Row],[Reserva]],RES_AB[],14,FALSE),"")</f>
        <v>RESERVAS EM ATRASO</v>
      </c>
      <c r="N978" s="32" t="str">
        <f>IF(MB25_VOLUMETRIA[[#This Row],[Cen.]]="","",IFERROR(VLOOKUP(MB25_VOLUMETRIA[[#This Row],[Cen.]],Dados_Empresas[],2,FALSE),"Verificar empresa"))</f>
        <v>NET MASSIVO</v>
      </c>
      <c r="O978" s="32" t="str">
        <f>IF(MB25_VOLUMETRIA[[#This Row],[EMPRESA]]="","",IF(OR(MB25_VOLUMETRIA[[#This Row],[EMPRESA]]="NET MASSIVO",MB25_VOLUMETRIA[[#This Row],[EMPRESA]]="NET PROJETOS"),"NET","EMPRESARIAL"))</f>
        <v>NET</v>
      </c>
    </row>
    <row r="979" spans="1:15" x14ac:dyDescent="0.25">
      <c r="A979" s="32">
        <v>4381142</v>
      </c>
      <c r="B979" s="32" t="s">
        <v>21</v>
      </c>
      <c r="C979" s="33" t="s">
        <v>21</v>
      </c>
      <c r="D979" s="35">
        <v>45447</v>
      </c>
      <c r="E979" s="32" t="s">
        <v>185</v>
      </c>
      <c r="F979" s="32">
        <v>22057635</v>
      </c>
      <c r="G979" s="32" t="s">
        <v>223</v>
      </c>
      <c r="H979" s="26" t="s">
        <v>38</v>
      </c>
      <c r="I979" s="36">
        <v>500</v>
      </c>
      <c r="J979" s="32">
        <f>IF(MB25_VOLUMETRIA[[#This Row],[Reserva]]="","",1)</f>
        <v>1</v>
      </c>
      <c r="K979" s="36" t="str">
        <f>IF(MB25_VOLUMETRIA[[#This Row],[Reserva]]="","",IFERROR(VLOOKUP(MB25_VOLUMETRIA[[#This Row],[UMB]],CHAVE[],2,FALSE),"VERIFICAR"))</f>
        <v>Unidade</v>
      </c>
      <c r="L979" s="32" t="str">
        <f>IF(MB25_VOLUMETRIA[[#This Row],[Reserva]]="","",IFERROR(VLOOKUP(MB25_VOLUMETRIA[[#This Row],[Reserva]],Tabela3[[Reserva]:[Condição para Faturamento]],20,FALSE),"IMPORTADO COM SUCESSO"))</f>
        <v>EM RESSUPRIMENTO</v>
      </c>
      <c r="M979" s="32" t="str">
        <f ca="1">IFERROR(VLOOKUP(MB25_VOLUMETRIA[[#This Row],[Reserva]],RES_AB[],14,FALSE),"")</f>
        <v>RESERVAS EM ATRASO</v>
      </c>
      <c r="N979" s="32" t="str">
        <f>IF(MB25_VOLUMETRIA[[#This Row],[Cen.]]="","",IFERROR(VLOOKUP(MB25_VOLUMETRIA[[#This Row],[Cen.]],Dados_Empresas[],2,FALSE),"Verificar empresa"))</f>
        <v>NET MASSIVO</v>
      </c>
      <c r="O979" s="32" t="str">
        <f>IF(MB25_VOLUMETRIA[[#This Row],[EMPRESA]]="","",IF(OR(MB25_VOLUMETRIA[[#This Row],[EMPRESA]]="NET MASSIVO",MB25_VOLUMETRIA[[#This Row],[EMPRESA]]="NET PROJETOS"),"NET","EMPRESARIAL"))</f>
        <v>NET</v>
      </c>
    </row>
    <row r="980" spans="1:15" x14ac:dyDescent="0.25">
      <c r="A980" s="32">
        <v>4381142</v>
      </c>
      <c r="B980" s="32" t="s">
        <v>21</v>
      </c>
      <c r="C980" s="33" t="s">
        <v>19</v>
      </c>
      <c r="D980" s="35">
        <v>45447</v>
      </c>
      <c r="E980" s="32" t="s">
        <v>185</v>
      </c>
      <c r="F980" s="32">
        <v>22057705</v>
      </c>
      <c r="G980" s="32" t="s">
        <v>241</v>
      </c>
      <c r="H980" s="26" t="s">
        <v>38</v>
      </c>
      <c r="I980" s="36">
        <v>2</v>
      </c>
      <c r="J980" s="32">
        <f>IF(MB25_VOLUMETRIA[[#This Row],[Reserva]]="","",1)</f>
        <v>1</v>
      </c>
      <c r="K980" s="36" t="str">
        <f>IF(MB25_VOLUMETRIA[[#This Row],[Reserva]]="","",IFERROR(VLOOKUP(MB25_VOLUMETRIA[[#This Row],[UMB]],CHAVE[],2,FALSE),"VERIFICAR"))</f>
        <v>Unidade</v>
      </c>
      <c r="L980" s="32" t="str">
        <f>IF(MB25_VOLUMETRIA[[#This Row],[Reserva]]="","",IFERROR(VLOOKUP(MB25_VOLUMETRIA[[#This Row],[Reserva]],Tabela3[[Reserva]:[Condição para Faturamento]],20,FALSE),"IMPORTADO COM SUCESSO"))</f>
        <v>EM RESSUPRIMENTO</v>
      </c>
      <c r="M980" s="32" t="str">
        <f ca="1">IFERROR(VLOOKUP(MB25_VOLUMETRIA[[#This Row],[Reserva]],RES_AB[],14,FALSE),"")</f>
        <v>RESERVAS EM ATRASO</v>
      </c>
      <c r="N980" s="32" t="str">
        <f>IF(MB25_VOLUMETRIA[[#This Row],[Cen.]]="","",IFERROR(VLOOKUP(MB25_VOLUMETRIA[[#This Row],[Cen.]],Dados_Empresas[],2,FALSE),"Verificar empresa"))</f>
        <v>NET MASSIVO</v>
      </c>
      <c r="O980" s="32" t="str">
        <f>IF(MB25_VOLUMETRIA[[#This Row],[EMPRESA]]="","",IF(OR(MB25_VOLUMETRIA[[#This Row],[EMPRESA]]="NET MASSIVO",MB25_VOLUMETRIA[[#This Row],[EMPRESA]]="NET PROJETOS"),"NET","EMPRESARIAL"))</f>
        <v>NET</v>
      </c>
    </row>
    <row r="981" spans="1:15" x14ac:dyDescent="0.25">
      <c r="A981" s="32">
        <v>4381142</v>
      </c>
      <c r="B981" s="32" t="s">
        <v>21</v>
      </c>
      <c r="C981" s="33" t="s">
        <v>21</v>
      </c>
      <c r="D981" s="35">
        <v>45447</v>
      </c>
      <c r="E981" s="32" t="s">
        <v>185</v>
      </c>
      <c r="F981" s="32">
        <v>22061811</v>
      </c>
      <c r="G981" s="32" t="s">
        <v>226</v>
      </c>
      <c r="H981" s="26" t="s">
        <v>38</v>
      </c>
      <c r="I981" s="36">
        <v>100</v>
      </c>
      <c r="J981" s="32">
        <f>IF(MB25_VOLUMETRIA[[#This Row],[Reserva]]="","",1)</f>
        <v>1</v>
      </c>
      <c r="K981" s="36" t="str">
        <f>IF(MB25_VOLUMETRIA[[#This Row],[Reserva]]="","",IFERROR(VLOOKUP(MB25_VOLUMETRIA[[#This Row],[UMB]],CHAVE[],2,FALSE),"VERIFICAR"))</f>
        <v>Unidade</v>
      </c>
      <c r="L981" s="32" t="str">
        <f>IF(MB25_VOLUMETRIA[[#This Row],[Reserva]]="","",IFERROR(VLOOKUP(MB25_VOLUMETRIA[[#This Row],[Reserva]],Tabela3[[Reserva]:[Condição para Faturamento]],20,FALSE),"IMPORTADO COM SUCESSO"))</f>
        <v>EM RESSUPRIMENTO</v>
      </c>
      <c r="M981" s="32" t="str">
        <f ca="1">IFERROR(VLOOKUP(MB25_VOLUMETRIA[[#This Row],[Reserva]],RES_AB[],14,FALSE),"")</f>
        <v>RESERVAS EM ATRASO</v>
      </c>
      <c r="N981" s="32" t="str">
        <f>IF(MB25_VOLUMETRIA[[#This Row],[Cen.]]="","",IFERROR(VLOOKUP(MB25_VOLUMETRIA[[#This Row],[Cen.]],Dados_Empresas[],2,FALSE),"Verificar empresa"))</f>
        <v>NET MASSIVO</v>
      </c>
      <c r="O981" s="32" t="str">
        <f>IF(MB25_VOLUMETRIA[[#This Row],[EMPRESA]]="","",IF(OR(MB25_VOLUMETRIA[[#This Row],[EMPRESA]]="NET MASSIVO",MB25_VOLUMETRIA[[#This Row],[EMPRESA]]="NET PROJETOS"),"NET","EMPRESARIAL"))</f>
        <v>NET</v>
      </c>
    </row>
    <row r="982" spans="1:15" x14ac:dyDescent="0.25">
      <c r="A982" s="32">
        <v>4381142</v>
      </c>
      <c r="B982" s="32" t="s">
        <v>21</v>
      </c>
      <c r="C982" s="33" t="s">
        <v>21</v>
      </c>
      <c r="D982" s="35">
        <v>45447</v>
      </c>
      <c r="E982" s="32" t="s">
        <v>185</v>
      </c>
      <c r="F982" s="32">
        <v>22065718</v>
      </c>
      <c r="G982" s="32" t="s">
        <v>210</v>
      </c>
      <c r="H982" s="26" t="s">
        <v>38</v>
      </c>
      <c r="I982" s="36">
        <v>100</v>
      </c>
      <c r="J982" s="32">
        <f>IF(MB25_VOLUMETRIA[[#This Row],[Reserva]]="","",1)</f>
        <v>1</v>
      </c>
      <c r="K982" s="36" t="str">
        <f>IF(MB25_VOLUMETRIA[[#This Row],[Reserva]]="","",IFERROR(VLOOKUP(MB25_VOLUMETRIA[[#This Row],[UMB]],CHAVE[],2,FALSE),"VERIFICAR"))</f>
        <v>Unidade</v>
      </c>
      <c r="L982" s="32" t="str">
        <f>IF(MB25_VOLUMETRIA[[#This Row],[Reserva]]="","",IFERROR(VLOOKUP(MB25_VOLUMETRIA[[#This Row],[Reserva]],Tabela3[[Reserva]:[Condição para Faturamento]],20,FALSE),"IMPORTADO COM SUCESSO"))</f>
        <v>EM RESSUPRIMENTO</v>
      </c>
      <c r="M982" s="32" t="str">
        <f ca="1">IFERROR(VLOOKUP(MB25_VOLUMETRIA[[#This Row],[Reserva]],RES_AB[],14,FALSE),"")</f>
        <v>RESERVAS EM ATRASO</v>
      </c>
      <c r="N982" s="32" t="str">
        <f>IF(MB25_VOLUMETRIA[[#This Row],[Cen.]]="","",IFERROR(VLOOKUP(MB25_VOLUMETRIA[[#This Row],[Cen.]],Dados_Empresas[],2,FALSE),"Verificar empresa"))</f>
        <v>NET MASSIVO</v>
      </c>
      <c r="O982" s="32" t="str">
        <f>IF(MB25_VOLUMETRIA[[#This Row],[EMPRESA]]="","",IF(OR(MB25_VOLUMETRIA[[#This Row],[EMPRESA]]="NET MASSIVO",MB25_VOLUMETRIA[[#This Row],[EMPRESA]]="NET PROJETOS"),"NET","EMPRESARIAL"))</f>
        <v>NET</v>
      </c>
    </row>
    <row r="983" spans="1:15" x14ac:dyDescent="0.25">
      <c r="A983" s="32">
        <v>4381142</v>
      </c>
      <c r="B983" s="32" t="s">
        <v>21</v>
      </c>
      <c r="C983" s="33" t="s">
        <v>21</v>
      </c>
      <c r="D983" s="35">
        <v>45447</v>
      </c>
      <c r="E983" s="32" t="s">
        <v>185</v>
      </c>
      <c r="F983" s="32">
        <v>22065720</v>
      </c>
      <c r="G983" s="32" t="s">
        <v>245</v>
      </c>
      <c r="H983" s="26" t="s">
        <v>38</v>
      </c>
      <c r="I983" s="36">
        <v>100</v>
      </c>
      <c r="J983" s="32">
        <f>IF(MB25_VOLUMETRIA[[#This Row],[Reserva]]="","",1)</f>
        <v>1</v>
      </c>
      <c r="K983" s="36" t="str">
        <f>IF(MB25_VOLUMETRIA[[#This Row],[Reserva]]="","",IFERROR(VLOOKUP(MB25_VOLUMETRIA[[#This Row],[UMB]],CHAVE[],2,FALSE),"VERIFICAR"))</f>
        <v>Unidade</v>
      </c>
      <c r="L983" s="32" t="str">
        <f>IF(MB25_VOLUMETRIA[[#This Row],[Reserva]]="","",IFERROR(VLOOKUP(MB25_VOLUMETRIA[[#This Row],[Reserva]],Tabela3[[Reserva]:[Condição para Faturamento]],20,FALSE),"IMPORTADO COM SUCESSO"))</f>
        <v>EM RESSUPRIMENTO</v>
      </c>
      <c r="M983" s="32" t="str">
        <f ca="1">IFERROR(VLOOKUP(MB25_VOLUMETRIA[[#This Row],[Reserva]],RES_AB[],14,FALSE),"")</f>
        <v>RESERVAS EM ATRASO</v>
      </c>
      <c r="N983" s="32" t="str">
        <f>IF(MB25_VOLUMETRIA[[#This Row],[Cen.]]="","",IFERROR(VLOOKUP(MB25_VOLUMETRIA[[#This Row],[Cen.]],Dados_Empresas[],2,FALSE),"Verificar empresa"))</f>
        <v>NET MASSIVO</v>
      </c>
      <c r="O983" s="32" t="str">
        <f>IF(MB25_VOLUMETRIA[[#This Row],[EMPRESA]]="","",IF(OR(MB25_VOLUMETRIA[[#This Row],[EMPRESA]]="NET MASSIVO",MB25_VOLUMETRIA[[#This Row],[EMPRESA]]="NET PROJETOS"),"NET","EMPRESARIAL"))</f>
        <v>NET</v>
      </c>
    </row>
    <row r="984" spans="1:15" x14ac:dyDescent="0.25">
      <c r="A984" s="32">
        <v>4381142</v>
      </c>
      <c r="B984" s="32" t="s">
        <v>21</v>
      </c>
      <c r="C984" s="33" t="s">
        <v>21</v>
      </c>
      <c r="D984" s="35">
        <v>45447</v>
      </c>
      <c r="E984" s="32" t="s">
        <v>185</v>
      </c>
      <c r="F984" s="32">
        <v>22065722</v>
      </c>
      <c r="G984" s="32" t="s">
        <v>196</v>
      </c>
      <c r="H984" s="26" t="s">
        <v>38</v>
      </c>
      <c r="I984" s="36">
        <v>100</v>
      </c>
      <c r="J984" s="32">
        <f>IF(MB25_VOLUMETRIA[[#This Row],[Reserva]]="","",1)</f>
        <v>1</v>
      </c>
      <c r="K984" s="36" t="str">
        <f>IF(MB25_VOLUMETRIA[[#This Row],[Reserva]]="","",IFERROR(VLOOKUP(MB25_VOLUMETRIA[[#This Row],[UMB]],CHAVE[],2,FALSE),"VERIFICAR"))</f>
        <v>Unidade</v>
      </c>
      <c r="L984" s="32" t="str">
        <f>IF(MB25_VOLUMETRIA[[#This Row],[Reserva]]="","",IFERROR(VLOOKUP(MB25_VOLUMETRIA[[#This Row],[Reserva]],Tabela3[[Reserva]:[Condição para Faturamento]],20,FALSE),"IMPORTADO COM SUCESSO"))</f>
        <v>EM RESSUPRIMENTO</v>
      </c>
      <c r="M984" s="32" t="str">
        <f ca="1">IFERROR(VLOOKUP(MB25_VOLUMETRIA[[#This Row],[Reserva]],RES_AB[],14,FALSE),"")</f>
        <v>RESERVAS EM ATRASO</v>
      </c>
      <c r="N984" s="32" t="str">
        <f>IF(MB25_VOLUMETRIA[[#This Row],[Cen.]]="","",IFERROR(VLOOKUP(MB25_VOLUMETRIA[[#This Row],[Cen.]],Dados_Empresas[],2,FALSE),"Verificar empresa"))</f>
        <v>NET MASSIVO</v>
      </c>
      <c r="O984" s="32" t="str">
        <f>IF(MB25_VOLUMETRIA[[#This Row],[EMPRESA]]="","",IF(OR(MB25_VOLUMETRIA[[#This Row],[EMPRESA]]="NET MASSIVO",MB25_VOLUMETRIA[[#This Row],[EMPRESA]]="NET PROJETOS"),"NET","EMPRESARIAL"))</f>
        <v>NET</v>
      </c>
    </row>
    <row r="985" spans="1:15" x14ac:dyDescent="0.25">
      <c r="A985" s="32">
        <v>4381142</v>
      </c>
      <c r="B985" s="32" t="s">
        <v>21</v>
      </c>
      <c r="C985" s="33" t="s">
        <v>21</v>
      </c>
      <c r="D985" s="35">
        <v>45447</v>
      </c>
      <c r="E985" s="32" t="s">
        <v>185</v>
      </c>
      <c r="F985" s="32">
        <v>22065725</v>
      </c>
      <c r="G985" s="32" t="s">
        <v>197</v>
      </c>
      <c r="H985" s="26" t="s">
        <v>38</v>
      </c>
      <c r="I985" s="36">
        <v>100</v>
      </c>
      <c r="J985" s="32">
        <f>IF(MB25_VOLUMETRIA[[#This Row],[Reserva]]="","",1)</f>
        <v>1</v>
      </c>
      <c r="K985" s="36" t="str">
        <f>IF(MB25_VOLUMETRIA[[#This Row],[Reserva]]="","",IFERROR(VLOOKUP(MB25_VOLUMETRIA[[#This Row],[UMB]],CHAVE[],2,FALSE),"VERIFICAR"))</f>
        <v>Unidade</v>
      </c>
      <c r="L985" s="32" t="str">
        <f>IF(MB25_VOLUMETRIA[[#This Row],[Reserva]]="","",IFERROR(VLOOKUP(MB25_VOLUMETRIA[[#This Row],[Reserva]],Tabela3[[Reserva]:[Condição para Faturamento]],20,FALSE),"IMPORTADO COM SUCESSO"))</f>
        <v>EM RESSUPRIMENTO</v>
      </c>
      <c r="M985" s="32" t="str">
        <f ca="1">IFERROR(VLOOKUP(MB25_VOLUMETRIA[[#This Row],[Reserva]],RES_AB[],14,FALSE),"")</f>
        <v>RESERVAS EM ATRASO</v>
      </c>
      <c r="N985" s="32" t="str">
        <f>IF(MB25_VOLUMETRIA[[#This Row],[Cen.]]="","",IFERROR(VLOOKUP(MB25_VOLUMETRIA[[#This Row],[Cen.]],Dados_Empresas[],2,FALSE),"Verificar empresa"))</f>
        <v>NET MASSIVO</v>
      </c>
      <c r="O985" s="32" t="str">
        <f>IF(MB25_VOLUMETRIA[[#This Row],[EMPRESA]]="","",IF(OR(MB25_VOLUMETRIA[[#This Row],[EMPRESA]]="NET MASSIVO",MB25_VOLUMETRIA[[#This Row],[EMPRESA]]="NET PROJETOS"),"NET","EMPRESARIAL"))</f>
        <v>NET</v>
      </c>
    </row>
    <row r="986" spans="1:15" x14ac:dyDescent="0.25">
      <c r="A986" s="32">
        <v>4381143</v>
      </c>
      <c r="B986" s="32" t="s">
        <v>21</v>
      </c>
      <c r="C986" s="33" t="s">
        <v>19</v>
      </c>
      <c r="D986" s="35">
        <v>45447</v>
      </c>
      <c r="E986" s="32" t="s">
        <v>184</v>
      </c>
      <c r="F986" s="32">
        <v>41000805</v>
      </c>
      <c r="G986" s="32" t="s">
        <v>188</v>
      </c>
      <c r="H986" s="26" t="s">
        <v>38</v>
      </c>
      <c r="I986" s="36">
        <v>140</v>
      </c>
      <c r="J986" s="32">
        <f>IF(MB25_VOLUMETRIA[[#This Row],[Reserva]]="","",1)</f>
        <v>1</v>
      </c>
      <c r="K986" s="36" t="str">
        <f>IF(MB25_VOLUMETRIA[[#This Row],[Reserva]]="","",IFERROR(VLOOKUP(MB25_VOLUMETRIA[[#This Row],[UMB]],CHAVE[],2,FALSE),"VERIFICAR"))</f>
        <v>Unidade</v>
      </c>
      <c r="L986" s="32" t="str">
        <f>IF(MB25_VOLUMETRIA[[#This Row],[Reserva]]="","",IFERROR(VLOOKUP(MB25_VOLUMETRIA[[#This Row],[Reserva]],Tabela3[[Reserva]:[Condição para Faturamento]],20,FALSE),"IMPORTADO COM SUCESSO"))</f>
        <v>EM RESSUPRIMENTO</v>
      </c>
      <c r="M986" s="32" t="str">
        <f ca="1">IFERROR(VLOOKUP(MB25_VOLUMETRIA[[#This Row],[Reserva]],RES_AB[],14,FALSE),"")</f>
        <v>RESERVAS EM ATRASO</v>
      </c>
      <c r="N986" s="32" t="str">
        <f>IF(MB25_VOLUMETRIA[[#This Row],[Cen.]]="","",IFERROR(VLOOKUP(MB25_VOLUMETRIA[[#This Row],[Cen.]],Dados_Empresas[],2,FALSE),"Verificar empresa"))</f>
        <v>NET MASSIVO</v>
      </c>
      <c r="O986" s="32" t="str">
        <f>IF(MB25_VOLUMETRIA[[#This Row],[EMPRESA]]="","",IF(OR(MB25_VOLUMETRIA[[#This Row],[EMPRESA]]="NET MASSIVO",MB25_VOLUMETRIA[[#This Row],[EMPRESA]]="NET PROJETOS"),"NET","EMPRESARIAL"))</f>
        <v>NET</v>
      </c>
    </row>
    <row r="987" spans="1:15" x14ac:dyDescent="0.25">
      <c r="A987" s="32">
        <v>4381143</v>
      </c>
      <c r="B987" s="32" t="s">
        <v>21</v>
      </c>
      <c r="C987" s="33" t="s">
        <v>19</v>
      </c>
      <c r="D987" s="35">
        <v>45447</v>
      </c>
      <c r="E987" s="32" t="s">
        <v>184</v>
      </c>
      <c r="F987" s="32">
        <v>41001047</v>
      </c>
      <c r="G987" s="32" t="s">
        <v>257</v>
      </c>
      <c r="H987" s="26" t="s">
        <v>38</v>
      </c>
      <c r="I987" s="36">
        <v>120</v>
      </c>
      <c r="J987" s="32">
        <f>IF(MB25_VOLUMETRIA[[#This Row],[Reserva]]="","",1)</f>
        <v>1</v>
      </c>
      <c r="K987" s="36" t="str">
        <f>IF(MB25_VOLUMETRIA[[#This Row],[Reserva]]="","",IFERROR(VLOOKUP(MB25_VOLUMETRIA[[#This Row],[UMB]],CHAVE[],2,FALSE),"VERIFICAR"))</f>
        <v>Unidade</v>
      </c>
      <c r="L987" s="32" t="str">
        <f>IF(MB25_VOLUMETRIA[[#This Row],[Reserva]]="","",IFERROR(VLOOKUP(MB25_VOLUMETRIA[[#This Row],[Reserva]],Tabela3[[Reserva]:[Condição para Faturamento]],20,FALSE),"IMPORTADO COM SUCESSO"))</f>
        <v>EM RESSUPRIMENTO</v>
      </c>
      <c r="M987" s="32" t="str">
        <f ca="1">IFERROR(VLOOKUP(MB25_VOLUMETRIA[[#This Row],[Reserva]],RES_AB[],14,FALSE),"")</f>
        <v>RESERVAS EM ATRASO</v>
      </c>
      <c r="N987" s="32" t="str">
        <f>IF(MB25_VOLUMETRIA[[#This Row],[Cen.]]="","",IFERROR(VLOOKUP(MB25_VOLUMETRIA[[#This Row],[Cen.]],Dados_Empresas[],2,FALSE),"Verificar empresa"))</f>
        <v>NET MASSIVO</v>
      </c>
      <c r="O987" s="32" t="str">
        <f>IF(MB25_VOLUMETRIA[[#This Row],[EMPRESA]]="","",IF(OR(MB25_VOLUMETRIA[[#This Row],[EMPRESA]]="NET MASSIVO",MB25_VOLUMETRIA[[#This Row],[EMPRESA]]="NET PROJETOS"),"NET","EMPRESARIAL"))</f>
        <v>NET</v>
      </c>
    </row>
    <row r="988" spans="1:15" x14ac:dyDescent="0.25">
      <c r="A988" s="32">
        <v>4381143</v>
      </c>
      <c r="B988" s="32" t="s">
        <v>21</v>
      </c>
      <c r="C988" s="33" t="s">
        <v>19</v>
      </c>
      <c r="D988" s="35">
        <v>45447</v>
      </c>
      <c r="E988" s="32" t="s">
        <v>184</v>
      </c>
      <c r="F988" s="32">
        <v>41001484</v>
      </c>
      <c r="G988" s="32" t="s">
        <v>292</v>
      </c>
      <c r="H988" s="26" t="s">
        <v>38</v>
      </c>
      <c r="I988" s="36">
        <v>20</v>
      </c>
      <c r="J988" s="32">
        <f>IF(MB25_VOLUMETRIA[[#This Row],[Reserva]]="","",1)</f>
        <v>1</v>
      </c>
      <c r="K988" s="36" t="str">
        <f>IF(MB25_VOLUMETRIA[[#This Row],[Reserva]]="","",IFERROR(VLOOKUP(MB25_VOLUMETRIA[[#This Row],[UMB]],CHAVE[],2,FALSE),"VERIFICAR"))</f>
        <v>Unidade</v>
      </c>
      <c r="L988" s="32" t="str">
        <f>IF(MB25_VOLUMETRIA[[#This Row],[Reserva]]="","",IFERROR(VLOOKUP(MB25_VOLUMETRIA[[#This Row],[Reserva]],Tabela3[[Reserva]:[Condição para Faturamento]],20,FALSE),"IMPORTADO COM SUCESSO"))</f>
        <v>EM RESSUPRIMENTO</v>
      </c>
      <c r="M988" s="32" t="str">
        <f ca="1">IFERROR(VLOOKUP(MB25_VOLUMETRIA[[#This Row],[Reserva]],RES_AB[],14,FALSE),"")</f>
        <v>RESERVAS EM ATRASO</v>
      </c>
      <c r="N988" s="32" t="str">
        <f>IF(MB25_VOLUMETRIA[[#This Row],[Cen.]]="","",IFERROR(VLOOKUP(MB25_VOLUMETRIA[[#This Row],[Cen.]],Dados_Empresas[],2,FALSE),"Verificar empresa"))</f>
        <v>NET MASSIVO</v>
      </c>
      <c r="O988" s="32" t="str">
        <f>IF(MB25_VOLUMETRIA[[#This Row],[EMPRESA]]="","",IF(OR(MB25_VOLUMETRIA[[#This Row],[EMPRESA]]="NET MASSIVO",MB25_VOLUMETRIA[[#This Row],[EMPRESA]]="NET PROJETOS"),"NET","EMPRESARIAL"))</f>
        <v>NET</v>
      </c>
    </row>
    <row r="989" spans="1:15" x14ac:dyDescent="0.25">
      <c r="A989" s="32">
        <v>4381144</v>
      </c>
      <c r="B989" s="32" t="s">
        <v>21</v>
      </c>
      <c r="C989" s="33" t="s">
        <v>19</v>
      </c>
      <c r="D989" s="35">
        <v>45447</v>
      </c>
      <c r="E989" s="32" t="s">
        <v>185</v>
      </c>
      <c r="F989" s="32">
        <v>22026279</v>
      </c>
      <c r="G989" s="32" t="s">
        <v>350</v>
      </c>
      <c r="H989" s="26" t="s">
        <v>38</v>
      </c>
      <c r="I989" s="36">
        <v>110</v>
      </c>
      <c r="J989" s="32">
        <f>IF(MB25_VOLUMETRIA[[#This Row],[Reserva]]="","",1)</f>
        <v>1</v>
      </c>
      <c r="K989" s="36" t="str">
        <f>IF(MB25_VOLUMETRIA[[#This Row],[Reserva]]="","",IFERROR(VLOOKUP(MB25_VOLUMETRIA[[#This Row],[UMB]],CHAVE[],2,FALSE),"VERIFICAR"))</f>
        <v>Unidade</v>
      </c>
      <c r="L989" s="32" t="str">
        <f>IF(MB25_VOLUMETRIA[[#This Row],[Reserva]]="","",IFERROR(VLOOKUP(MB25_VOLUMETRIA[[#This Row],[Reserva]],Tabela3[[Reserva]:[Condição para Faturamento]],20,FALSE),"IMPORTADO COM SUCESSO"))</f>
        <v>IMPORTADO</v>
      </c>
      <c r="M989" s="32" t="str">
        <f ca="1">IFERROR(VLOOKUP(MB25_VOLUMETRIA[[#This Row],[Reserva]],RES_AB[],14,FALSE),"")</f>
        <v>RESERVAS EM ATRASO</v>
      </c>
      <c r="N989" s="32" t="str">
        <f>IF(MB25_VOLUMETRIA[[#This Row],[Cen.]]="","",IFERROR(VLOOKUP(MB25_VOLUMETRIA[[#This Row],[Cen.]],Dados_Empresas[],2,FALSE),"Verificar empresa"))</f>
        <v>NET MASSIVO</v>
      </c>
      <c r="O989" s="32" t="str">
        <f>IF(MB25_VOLUMETRIA[[#This Row],[EMPRESA]]="","",IF(OR(MB25_VOLUMETRIA[[#This Row],[EMPRESA]]="NET MASSIVO",MB25_VOLUMETRIA[[#This Row],[EMPRESA]]="NET PROJETOS"),"NET","EMPRESARIAL"))</f>
        <v>NET</v>
      </c>
    </row>
    <row r="990" spans="1:15" x14ac:dyDescent="0.25">
      <c r="A990" s="32">
        <v>4381144</v>
      </c>
      <c r="B990" s="32" t="s">
        <v>21</v>
      </c>
      <c r="C990" s="33" t="s">
        <v>19</v>
      </c>
      <c r="D990" s="35">
        <v>45447</v>
      </c>
      <c r="E990" s="32" t="s">
        <v>185</v>
      </c>
      <c r="F990" s="32">
        <v>22026293</v>
      </c>
      <c r="G990" s="32" t="s">
        <v>352</v>
      </c>
      <c r="H990" s="26" t="s">
        <v>38</v>
      </c>
      <c r="I990" s="36">
        <v>70</v>
      </c>
      <c r="J990" s="32">
        <f>IF(MB25_VOLUMETRIA[[#This Row],[Reserva]]="","",1)</f>
        <v>1</v>
      </c>
      <c r="K990" s="36" t="str">
        <f>IF(MB25_VOLUMETRIA[[#This Row],[Reserva]]="","",IFERROR(VLOOKUP(MB25_VOLUMETRIA[[#This Row],[UMB]],CHAVE[],2,FALSE),"VERIFICAR"))</f>
        <v>Unidade</v>
      </c>
      <c r="L990" s="32" t="str">
        <f>IF(MB25_VOLUMETRIA[[#This Row],[Reserva]]="","",IFERROR(VLOOKUP(MB25_VOLUMETRIA[[#This Row],[Reserva]],Tabela3[[Reserva]:[Condição para Faturamento]],20,FALSE),"IMPORTADO COM SUCESSO"))</f>
        <v>IMPORTADO</v>
      </c>
      <c r="M990" s="32" t="str">
        <f ca="1">IFERROR(VLOOKUP(MB25_VOLUMETRIA[[#This Row],[Reserva]],RES_AB[],14,FALSE),"")</f>
        <v>RESERVAS EM ATRASO</v>
      </c>
      <c r="N990" s="32" t="str">
        <f>IF(MB25_VOLUMETRIA[[#This Row],[Cen.]]="","",IFERROR(VLOOKUP(MB25_VOLUMETRIA[[#This Row],[Cen.]],Dados_Empresas[],2,FALSE),"Verificar empresa"))</f>
        <v>NET MASSIVO</v>
      </c>
      <c r="O990" s="32" t="str">
        <f>IF(MB25_VOLUMETRIA[[#This Row],[EMPRESA]]="","",IF(OR(MB25_VOLUMETRIA[[#This Row],[EMPRESA]]="NET MASSIVO",MB25_VOLUMETRIA[[#This Row],[EMPRESA]]="NET PROJETOS"),"NET","EMPRESARIAL"))</f>
        <v>NET</v>
      </c>
    </row>
    <row r="991" spans="1:15" x14ac:dyDescent="0.25">
      <c r="A991" s="32">
        <v>4381144</v>
      </c>
      <c r="B991" s="32" t="s">
        <v>21</v>
      </c>
      <c r="C991" s="33" t="s">
        <v>21</v>
      </c>
      <c r="D991" s="35">
        <v>45447</v>
      </c>
      <c r="E991" s="32" t="s">
        <v>185</v>
      </c>
      <c r="F991" s="32">
        <v>22060422</v>
      </c>
      <c r="G991" s="32" t="s">
        <v>298</v>
      </c>
      <c r="H991" s="26" t="s">
        <v>38</v>
      </c>
      <c r="I991" s="36">
        <v>110</v>
      </c>
      <c r="J991" s="32">
        <f>IF(MB25_VOLUMETRIA[[#This Row],[Reserva]]="","",1)</f>
        <v>1</v>
      </c>
      <c r="K991" s="36" t="str">
        <f>IF(MB25_VOLUMETRIA[[#This Row],[Reserva]]="","",IFERROR(VLOOKUP(MB25_VOLUMETRIA[[#This Row],[UMB]],CHAVE[],2,FALSE),"VERIFICAR"))</f>
        <v>Unidade</v>
      </c>
      <c r="L991" s="32" t="str">
        <f>IF(MB25_VOLUMETRIA[[#This Row],[Reserva]]="","",IFERROR(VLOOKUP(MB25_VOLUMETRIA[[#This Row],[Reserva]],Tabela3[[Reserva]:[Condição para Faturamento]],20,FALSE),"IMPORTADO COM SUCESSO"))</f>
        <v>IMPORTADO</v>
      </c>
      <c r="M991" s="32" t="str">
        <f ca="1">IFERROR(VLOOKUP(MB25_VOLUMETRIA[[#This Row],[Reserva]],RES_AB[],14,FALSE),"")</f>
        <v>RESERVAS EM ATRASO</v>
      </c>
      <c r="N991" s="32" t="str">
        <f>IF(MB25_VOLUMETRIA[[#This Row],[Cen.]]="","",IFERROR(VLOOKUP(MB25_VOLUMETRIA[[#This Row],[Cen.]],Dados_Empresas[],2,FALSE),"Verificar empresa"))</f>
        <v>NET MASSIVO</v>
      </c>
      <c r="O991" s="32" t="str">
        <f>IF(MB25_VOLUMETRIA[[#This Row],[EMPRESA]]="","",IF(OR(MB25_VOLUMETRIA[[#This Row],[EMPRESA]]="NET MASSIVO",MB25_VOLUMETRIA[[#This Row],[EMPRESA]]="NET PROJETOS"),"NET","EMPRESARIAL"))</f>
        <v>NET</v>
      </c>
    </row>
    <row r="992" spans="1:15" x14ac:dyDescent="0.25">
      <c r="A992" s="32">
        <v>4381145</v>
      </c>
      <c r="B992" s="32" t="s">
        <v>21</v>
      </c>
      <c r="C992" s="33" t="s">
        <v>19</v>
      </c>
      <c r="D992" s="35">
        <v>45447</v>
      </c>
      <c r="E992" s="32" t="s">
        <v>184</v>
      </c>
      <c r="F992" s="32">
        <v>41001234</v>
      </c>
      <c r="G992" s="32" t="s">
        <v>189</v>
      </c>
      <c r="H992" s="26" t="s">
        <v>38</v>
      </c>
      <c r="I992" s="36">
        <v>110</v>
      </c>
      <c r="J992" s="32">
        <f>IF(MB25_VOLUMETRIA[[#This Row],[Reserva]]="","",1)</f>
        <v>1</v>
      </c>
      <c r="K992" s="36" t="str">
        <f>IF(MB25_VOLUMETRIA[[#This Row],[Reserva]]="","",IFERROR(VLOOKUP(MB25_VOLUMETRIA[[#This Row],[UMB]],CHAVE[],2,FALSE),"VERIFICAR"))</f>
        <v>Unidade</v>
      </c>
      <c r="L992" s="32" t="str">
        <f>IF(MB25_VOLUMETRIA[[#This Row],[Reserva]]="","",IFERROR(VLOOKUP(MB25_VOLUMETRIA[[#This Row],[Reserva]],Tabela3[[Reserva]:[Condição para Faturamento]],20,FALSE),"IMPORTADO COM SUCESSO"))</f>
        <v>IMPORTADO</v>
      </c>
      <c r="M992" s="32" t="str">
        <f ca="1">IFERROR(VLOOKUP(MB25_VOLUMETRIA[[#This Row],[Reserva]],RES_AB[],14,FALSE),"")</f>
        <v>RESERVAS EM ATRASO</v>
      </c>
      <c r="N992" s="32" t="str">
        <f>IF(MB25_VOLUMETRIA[[#This Row],[Cen.]]="","",IFERROR(VLOOKUP(MB25_VOLUMETRIA[[#This Row],[Cen.]],Dados_Empresas[],2,FALSE),"Verificar empresa"))</f>
        <v>NET MASSIVO</v>
      </c>
      <c r="O992" s="32" t="str">
        <f>IF(MB25_VOLUMETRIA[[#This Row],[EMPRESA]]="","",IF(OR(MB25_VOLUMETRIA[[#This Row],[EMPRESA]]="NET MASSIVO",MB25_VOLUMETRIA[[#This Row],[EMPRESA]]="NET PROJETOS"),"NET","EMPRESARIAL"))</f>
        <v>NET</v>
      </c>
    </row>
    <row r="993" spans="1:15" x14ac:dyDescent="0.25">
      <c r="A993" s="32">
        <v>4381145</v>
      </c>
      <c r="B993" s="32" t="s">
        <v>21</v>
      </c>
      <c r="C993" s="33" t="s">
        <v>19</v>
      </c>
      <c r="D993" s="35">
        <v>45447</v>
      </c>
      <c r="E993" s="32" t="s">
        <v>184</v>
      </c>
      <c r="F993" s="32">
        <v>41001276</v>
      </c>
      <c r="G993" s="32" t="s">
        <v>351</v>
      </c>
      <c r="H993" s="26" t="s">
        <v>38</v>
      </c>
      <c r="I993" s="36">
        <v>110</v>
      </c>
      <c r="J993" s="32">
        <f>IF(MB25_VOLUMETRIA[[#This Row],[Reserva]]="","",1)</f>
        <v>1</v>
      </c>
      <c r="K993" s="36" t="str">
        <f>IF(MB25_VOLUMETRIA[[#This Row],[Reserva]]="","",IFERROR(VLOOKUP(MB25_VOLUMETRIA[[#This Row],[UMB]],CHAVE[],2,FALSE),"VERIFICAR"))</f>
        <v>Unidade</v>
      </c>
      <c r="L993" s="32" t="str">
        <f>IF(MB25_VOLUMETRIA[[#This Row],[Reserva]]="","",IFERROR(VLOOKUP(MB25_VOLUMETRIA[[#This Row],[Reserva]],Tabela3[[Reserva]:[Condição para Faturamento]],20,FALSE),"IMPORTADO COM SUCESSO"))</f>
        <v>IMPORTADO</v>
      </c>
      <c r="M993" s="32" t="str">
        <f ca="1">IFERROR(VLOOKUP(MB25_VOLUMETRIA[[#This Row],[Reserva]],RES_AB[],14,FALSE),"")</f>
        <v>RESERVAS EM ATRASO</v>
      </c>
      <c r="N993" s="32" t="str">
        <f>IF(MB25_VOLUMETRIA[[#This Row],[Cen.]]="","",IFERROR(VLOOKUP(MB25_VOLUMETRIA[[#This Row],[Cen.]],Dados_Empresas[],2,FALSE),"Verificar empresa"))</f>
        <v>NET MASSIVO</v>
      </c>
      <c r="O993" s="32" t="str">
        <f>IF(MB25_VOLUMETRIA[[#This Row],[EMPRESA]]="","",IF(OR(MB25_VOLUMETRIA[[#This Row],[EMPRESA]]="NET MASSIVO",MB25_VOLUMETRIA[[#This Row],[EMPRESA]]="NET PROJETOS"),"NET","EMPRESARIAL"))</f>
        <v>NET</v>
      </c>
    </row>
    <row r="994" spans="1:15" x14ac:dyDescent="0.25">
      <c r="A994" s="32">
        <v>4381145</v>
      </c>
      <c r="B994" s="32" t="s">
        <v>21</v>
      </c>
      <c r="C994" s="33" t="s">
        <v>19</v>
      </c>
      <c r="D994" s="35">
        <v>45447</v>
      </c>
      <c r="E994" s="32" t="s">
        <v>184</v>
      </c>
      <c r="F994" s="32">
        <v>41001292</v>
      </c>
      <c r="G994" s="32" t="s">
        <v>353</v>
      </c>
      <c r="H994" s="26" t="s">
        <v>38</v>
      </c>
      <c r="I994" s="36">
        <v>70</v>
      </c>
      <c r="J994" s="32">
        <f>IF(MB25_VOLUMETRIA[[#This Row],[Reserva]]="","",1)</f>
        <v>1</v>
      </c>
      <c r="K994" s="36" t="str">
        <f>IF(MB25_VOLUMETRIA[[#This Row],[Reserva]]="","",IFERROR(VLOOKUP(MB25_VOLUMETRIA[[#This Row],[UMB]],CHAVE[],2,FALSE),"VERIFICAR"))</f>
        <v>Unidade</v>
      </c>
      <c r="L994" s="32" t="str">
        <f>IF(MB25_VOLUMETRIA[[#This Row],[Reserva]]="","",IFERROR(VLOOKUP(MB25_VOLUMETRIA[[#This Row],[Reserva]],Tabela3[[Reserva]:[Condição para Faturamento]],20,FALSE),"IMPORTADO COM SUCESSO"))</f>
        <v>IMPORTADO</v>
      </c>
      <c r="M994" s="32" t="str">
        <f ca="1">IFERROR(VLOOKUP(MB25_VOLUMETRIA[[#This Row],[Reserva]],RES_AB[],14,FALSE),"")</f>
        <v>RESERVAS EM ATRASO</v>
      </c>
      <c r="N994" s="32" t="str">
        <f>IF(MB25_VOLUMETRIA[[#This Row],[Cen.]]="","",IFERROR(VLOOKUP(MB25_VOLUMETRIA[[#This Row],[Cen.]],Dados_Empresas[],2,FALSE),"Verificar empresa"))</f>
        <v>NET MASSIVO</v>
      </c>
      <c r="O994" s="32" t="str">
        <f>IF(MB25_VOLUMETRIA[[#This Row],[EMPRESA]]="","",IF(OR(MB25_VOLUMETRIA[[#This Row],[EMPRESA]]="NET MASSIVO",MB25_VOLUMETRIA[[#This Row],[EMPRESA]]="NET PROJETOS"),"NET","EMPRESARIAL"))</f>
        <v>NET</v>
      </c>
    </row>
    <row r="995" spans="1:15" x14ac:dyDescent="0.25">
      <c r="A995" s="32">
        <v>4381145</v>
      </c>
      <c r="B995" s="32" t="s">
        <v>21</v>
      </c>
      <c r="C995" s="33" t="s">
        <v>21</v>
      </c>
      <c r="D995" s="35">
        <v>45447</v>
      </c>
      <c r="E995" s="32" t="s">
        <v>184</v>
      </c>
      <c r="F995" s="32">
        <v>41001567</v>
      </c>
      <c r="G995" s="32" t="s">
        <v>354</v>
      </c>
      <c r="H995" s="26" t="s">
        <v>38</v>
      </c>
      <c r="I995" s="36">
        <v>100</v>
      </c>
      <c r="J995" s="32">
        <f>IF(MB25_VOLUMETRIA[[#This Row],[Reserva]]="","",1)</f>
        <v>1</v>
      </c>
      <c r="K995" s="36" t="str">
        <f>IF(MB25_VOLUMETRIA[[#This Row],[Reserva]]="","",IFERROR(VLOOKUP(MB25_VOLUMETRIA[[#This Row],[UMB]],CHAVE[],2,FALSE),"VERIFICAR"))</f>
        <v>Unidade</v>
      </c>
      <c r="L995" s="32" t="str">
        <f>IF(MB25_VOLUMETRIA[[#This Row],[Reserva]]="","",IFERROR(VLOOKUP(MB25_VOLUMETRIA[[#This Row],[Reserva]],Tabela3[[Reserva]:[Condição para Faturamento]],20,FALSE),"IMPORTADO COM SUCESSO"))</f>
        <v>IMPORTADO</v>
      </c>
      <c r="M995" s="32" t="str">
        <f ca="1">IFERROR(VLOOKUP(MB25_VOLUMETRIA[[#This Row],[Reserva]],RES_AB[],14,FALSE),"")</f>
        <v>RESERVAS EM ATRASO</v>
      </c>
      <c r="N995" s="32" t="str">
        <f>IF(MB25_VOLUMETRIA[[#This Row],[Cen.]]="","",IFERROR(VLOOKUP(MB25_VOLUMETRIA[[#This Row],[Cen.]],Dados_Empresas[],2,FALSE),"Verificar empresa"))</f>
        <v>NET MASSIVO</v>
      </c>
      <c r="O995" s="32" t="str">
        <f>IF(MB25_VOLUMETRIA[[#This Row],[EMPRESA]]="","",IF(OR(MB25_VOLUMETRIA[[#This Row],[EMPRESA]]="NET MASSIVO",MB25_VOLUMETRIA[[#This Row],[EMPRESA]]="NET PROJETOS"),"NET","EMPRESARIAL"))</f>
        <v>NET</v>
      </c>
    </row>
    <row r="996" spans="1:15" x14ac:dyDescent="0.25">
      <c r="A996" s="32">
        <v>4381145</v>
      </c>
      <c r="B996" s="32" t="s">
        <v>21</v>
      </c>
      <c r="C996" s="33" t="s">
        <v>21</v>
      </c>
      <c r="D996" s="35">
        <v>45447</v>
      </c>
      <c r="E996" s="32" t="s">
        <v>184</v>
      </c>
      <c r="F996" s="32">
        <v>41001590</v>
      </c>
      <c r="G996" s="32" t="s">
        <v>239</v>
      </c>
      <c r="H996" s="26" t="s">
        <v>38</v>
      </c>
      <c r="I996" s="36">
        <v>180</v>
      </c>
      <c r="J996" s="32">
        <f>IF(MB25_VOLUMETRIA[[#This Row],[Reserva]]="","",1)</f>
        <v>1</v>
      </c>
      <c r="K996" s="36" t="str">
        <f>IF(MB25_VOLUMETRIA[[#This Row],[Reserva]]="","",IFERROR(VLOOKUP(MB25_VOLUMETRIA[[#This Row],[UMB]],CHAVE[],2,FALSE),"VERIFICAR"))</f>
        <v>Unidade</v>
      </c>
      <c r="L996" s="32" t="str">
        <f>IF(MB25_VOLUMETRIA[[#This Row],[Reserva]]="","",IFERROR(VLOOKUP(MB25_VOLUMETRIA[[#This Row],[Reserva]],Tabela3[[Reserva]:[Condição para Faturamento]],20,FALSE),"IMPORTADO COM SUCESSO"))</f>
        <v>IMPORTADO</v>
      </c>
      <c r="M996" s="32" t="str">
        <f ca="1">IFERROR(VLOOKUP(MB25_VOLUMETRIA[[#This Row],[Reserva]],RES_AB[],14,FALSE),"")</f>
        <v>RESERVAS EM ATRASO</v>
      </c>
      <c r="N996" s="32" t="str">
        <f>IF(MB25_VOLUMETRIA[[#This Row],[Cen.]]="","",IFERROR(VLOOKUP(MB25_VOLUMETRIA[[#This Row],[Cen.]],Dados_Empresas[],2,FALSE),"Verificar empresa"))</f>
        <v>NET MASSIVO</v>
      </c>
      <c r="O996" s="32" t="str">
        <f>IF(MB25_VOLUMETRIA[[#This Row],[EMPRESA]]="","",IF(OR(MB25_VOLUMETRIA[[#This Row],[EMPRESA]]="NET MASSIVO",MB25_VOLUMETRIA[[#This Row],[EMPRESA]]="NET PROJETOS"),"NET","EMPRESARIAL"))</f>
        <v>NET</v>
      </c>
    </row>
    <row r="997" spans="1:15" x14ac:dyDescent="0.25">
      <c r="A997" s="32">
        <v>4381146</v>
      </c>
      <c r="B997" s="32" t="s">
        <v>21</v>
      </c>
      <c r="C997" s="33" t="s">
        <v>19</v>
      </c>
      <c r="D997" s="35">
        <v>45447</v>
      </c>
      <c r="E997" s="32" t="s">
        <v>192</v>
      </c>
      <c r="F997" s="32">
        <v>41000805</v>
      </c>
      <c r="G997" s="32" t="s">
        <v>188</v>
      </c>
      <c r="H997" s="26" t="s">
        <v>38</v>
      </c>
      <c r="I997" s="36">
        <v>40</v>
      </c>
      <c r="J997" s="32">
        <f>IF(MB25_VOLUMETRIA[[#This Row],[Reserva]]="","",1)</f>
        <v>1</v>
      </c>
      <c r="K997" s="36" t="str">
        <f>IF(MB25_VOLUMETRIA[[#This Row],[Reserva]]="","",IFERROR(VLOOKUP(MB25_VOLUMETRIA[[#This Row],[UMB]],CHAVE[],2,FALSE),"VERIFICAR"))</f>
        <v>Unidade</v>
      </c>
      <c r="L997" s="32" t="str">
        <f>IF(MB25_VOLUMETRIA[[#This Row],[Reserva]]="","",IFERROR(VLOOKUP(MB25_VOLUMETRIA[[#This Row],[Reserva]],Tabela3[[Reserva]:[Condição para Faturamento]],20,FALSE),"IMPORTADO COM SUCESSO"))</f>
        <v>IMPORTADO</v>
      </c>
      <c r="M997" s="32" t="str">
        <f ca="1">IFERROR(VLOOKUP(MB25_VOLUMETRIA[[#This Row],[Reserva]],RES_AB[],14,FALSE),"")</f>
        <v>RESERVAS EM ATRASO</v>
      </c>
      <c r="N997" s="32" t="str">
        <f>IF(MB25_VOLUMETRIA[[#This Row],[Cen.]]="","",IFERROR(VLOOKUP(MB25_VOLUMETRIA[[#This Row],[Cen.]],Dados_Empresas[],2,FALSE),"Verificar empresa"))</f>
        <v>NET MASSIVO</v>
      </c>
      <c r="O997" s="32" t="str">
        <f>IF(MB25_VOLUMETRIA[[#This Row],[EMPRESA]]="","",IF(OR(MB25_VOLUMETRIA[[#This Row],[EMPRESA]]="NET MASSIVO",MB25_VOLUMETRIA[[#This Row],[EMPRESA]]="NET PROJETOS"),"NET","EMPRESARIAL"))</f>
        <v>NET</v>
      </c>
    </row>
    <row r="998" spans="1:15" x14ac:dyDescent="0.25">
      <c r="A998" s="32">
        <v>4381146</v>
      </c>
      <c r="B998" s="32" t="s">
        <v>21</v>
      </c>
      <c r="C998" s="33" t="s">
        <v>19</v>
      </c>
      <c r="D998" s="35">
        <v>45447</v>
      </c>
      <c r="E998" s="32" t="s">
        <v>192</v>
      </c>
      <c r="F998" s="32">
        <v>41001047</v>
      </c>
      <c r="G998" s="32" t="s">
        <v>257</v>
      </c>
      <c r="H998" s="26" t="s">
        <v>38</v>
      </c>
      <c r="I998" s="36">
        <v>40</v>
      </c>
      <c r="J998" s="32">
        <f>IF(MB25_VOLUMETRIA[[#This Row],[Reserva]]="","",1)</f>
        <v>1</v>
      </c>
      <c r="K998" s="36" t="str">
        <f>IF(MB25_VOLUMETRIA[[#This Row],[Reserva]]="","",IFERROR(VLOOKUP(MB25_VOLUMETRIA[[#This Row],[UMB]],CHAVE[],2,FALSE),"VERIFICAR"))</f>
        <v>Unidade</v>
      </c>
      <c r="L998" s="32" t="str">
        <f>IF(MB25_VOLUMETRIA[[#This Row],[Reserva]]="","",IFERROR(VLOOKUP(MB25_VOLUMETRIA[[#This Row],[Reserva]],Tabela3[[Reserva]:[Condição para Faturamento]],20,FALSE),"IMPORTADO COM SUCESSO"))</f>
        <v>IMPORTADO</v>
      </c>
      <c r="M998" s="32" t="str">
        <f ca="1">IFERROR(VLOOKUP(MB25_VOLUMETRIA[[#This Row],[Reserva]],RES_AB[],14,FALSE),"")</f>
        <v>RESERVAS EM ATRASO</v>
      </c>
      <c r="N998" s="32" t="str">
        <f>IF(MB25_VOLUMETRIA[[#This Row],[Cen.]]="","",IFERROR(VLOOKUP(MB25_VOLUMETRIA[[#This Row],[Cen.]],Dados_Empresas[],2,FALSE),"Verificar empresa"))</f>
        <v>NET MASSIVO</v>
      </c>
      <c r="O998" s="32" t="str">
        <f>IF(MB25_VOLUMETRIA[[#This Row],[EMPRESA]]="","",IF(OR(MB25_VOLUMETRIA[[#This Row],[EMPRESA]]="NET MASSIVO",MB25_VOLUMETRIA[[#This Row],[EMPRESA]]="NET PROJETOS"),"NET","EMPRESARIAL"))</f>
        <v>NET</v>
      </c>
    </row>
    <row r="999" spans="1:15" x14ac:dyDescent="0.25">
      <c r="A999" s="32">
        <v>4381147</v>
      </c>
      <c r="B999" s="32" t="s">
        <v>21</v>
      </c>
      <c r="C999" s="33" t="s">
        <v>19</v>
      </c>
      <c r="D999" s="35">
        <v>45447</v>
      </c>
      <c r="E999" s="32" t="s">
        <v>185</v>
      </c>
      <c r="F999" s="32">
        <v>22025114</v>
      </c>
      <c r="G999" s="32" t="s">
        <v>358</v>
      </c>
      <c r="H999" s="26" t="s">
        <v>38</v>
      </c>
      <c r="I999" s="36">
        <v>20</v>
      </c>
      <c r="J999" s="32">
        <f>IF(MB25_VOLUMETRIA[[#This Row],[Reserva]]="","",1)</f>
        <v>1</v>
      </c>
      <c r="K999" s="36" t="str">
        <f>IF(MB25_VOLUMETRIA[[#This Row],[Reserva]]="","",IFERROR(VLOOKUP(MB25_VOLUMETRIA[[#This Row],[UMB]],CHAVE[],2,FALSE),"VERIFICAR"))</f>
        <v>Unidade</v>
      </c>
      <c r="L999" s="32" t="str">
        <f>IF(MB25_VOLUMETRIA[[#This Row],[Reserva]]="","",IFERROR(VLOOKUP(MB25_VOLUMETRIA[[#This Row],[Reserva]],Tabela3[[Reserva]:[Condição para Faturamento]],20,FALSE),"IMPORTADO COM SUCESSO"))</f>
        <v>EM RESSUPRIMENTO</v>
      </c>
      <c r="M999" s="32" t="str">
        <f ca="1">IFERROR(VLOOKUP(MB25_VOLUMETRIA[[#This Row],[Reserva]],RES_AB[],14,FALSE),"")</f>
        <v>RESERVAS EM ATRASO</v>
      </c>
      <c r="N999" s="32" t="str">
        <f>IF(MB25_VOLUMETRIA[[#This Row],[Cen.]]="","",IFERROR(VLOOKUP(MB25_VOLUMETRIA[[#This Row],[Cen.]],Dados_Empresas[],2,FALSE),"Verificar empresa"))</f>
        <v>NET MASSIVO</v>
      </c>
      <c r="O999" s="32" t="str">
        <f>IF(MB25_VOLUMETRIA[[#This Row],[EMPRESA]]="","",IF(OR(MB25_VOLUMETRIA[[#This Row],[EMPRESA]]="NET MASSIVO",MB25_VOLUMETRIA[[#This Row],[EMPRESA]]="NET PROJETOS"),"NET","EMPRESARIAL"))</f>
        <v>NET</v>
      </c>
    </row>
    <row r="1000" spans="1:15" x14ac:dyDescent="0.25">
      <c r="A1000" s="32">
        <v>4381147</v>
      </c>
      <c r="B1000" s="32" t="s">
        <v>21</v>
      </c>
      <c r="C1000" s="33" t="s">
        <v>19</v>
      </c>
      <c r="D1000" s="35">
        <v>45447</v>
      </c>
      <c r="E1000" s="32" t="s">
        <v>185</v>
      </c>
      <c r="F1000" s="32">
        <v>22025135</v>
      </c>
      <c r="G1000" s="32" t="s">
        <v>339</v>
      </c>
      <c r="H1000" s="26" t="s">
        <v>38</v>
      </c>
      <c r="I1000" s="36">
        <v>30</v>
      </c>
      <c r="J1000" s="32">
        <f>IF(MB25_VOLUMETRIA[[#This Row],[Reserva]]="","",1)</f>
        <v>1</v>
      </c>
      <c r="K1000" s="36" t="str">
        <f>IF(MB25_VOLUMETRIA[[#This Row],[Reserva]]="","",IFERROR(VLOOKUP(MB25_VOLUMETRIA[[#This Row],[UMB]],CHAVE[],2,FALSE),"VERIFICAR"))</f>
        <v>Unidade</v>
      </c>
      <c r="L100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0" s="32" t="str">
        <f ca="1">IFERROR(VLOOKUP(MB25_VOLUMETRIA[[#This Row],[Reserva]],RES_AB[],14,FALSE),"")</f>
        <v>RESERVAS EM ATRASO</v>
      </c>
      <c r="N1000" s="32" t="str">
        <f>IF(MB25_VOLUMETRIA[[#This Row],[Cen.]]="","",IFERROR(VLOOKUP(MB25_VOLUMETRIA[[#This Row],[Cen.]],Dados_Empresas[],2,FALSE),"Verificar empresa"))</f>
        <v>NET MASSIVO</v>
      </c>
      <c r="O1000" s="32" t="str">
        <f>IF(MB25_VOLUMETRIA[[#This Row],[EMPRESA]]="","",IF(OR(MB25_VOLUMETRIA[[#This Row],[EMPRESA]]="NET MASSIVO",MB25_VOLUMETRIA[[#This Row],[EMPRESA]]="NET PROJETOS"),"NET","EMPRESARIAL"))</f>
        <v>NET</v>
      </c>
    </row>
    <row r="1001" spans="1:15" x14ac:dyDescent="0.25">
      <c r="A1001" s="32">
        <v>4381147</v>
      </c>
      <c r="B1001" s="32" t="s">
        <v>21</v>
      </c>
      <c r="C1001" s="33" t="s">
        <v>19</v>
      </c>
      <c r="D1001" s="35">
        <v>45447</v>
      </c>
      <c r="E1001" s="32" t="s">
        <v>185</v>
      </c>
      <c r="F1001" s="32">
        <v>22025239</v>
      </c>
      <c r="G1001" s="32" t="s">
        <v>335</v>
      </c>
      <c r="H1001" s="26" t="s">
        <v>38</v>
      </c>
      <c r="I1001" s="36">
        <v>20</v>
      </c>
      <c r="J1001" s="32">
        <f>IF(MB25_VOLUMETRIA[[#This Row],[Reserva]]="","",1)</f>
        <v>1</v>
      </c>
      <c r="K1001" s="36" t="str">
        <f>IF(MB25_VOLUMETRIA[[#This Row],[Reserva]]="","",IFERROR(VLOOKUP(MB25_VOLUMETRIA[[#This Row],[UMB]],CHAVE[],2,FALSE),"VERIFICAR"))</f>
        <v>Unidade</v>
      </c>
      <c r="L100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1" s="32" t="str">
        <f ca="1">IFERROR(VLOOKUP(MB25_VOLUMETRIA[[#This Row],[Reserva]],RES_AB[],14,FALSE),"")</f>
        <v>RESERVAS EM ATRASO</v>
      </c>
      <c r="N1001" s="32" t="str">
        <f>IF(MB25_VOLUMETRIA[[#This Row],[Cen.]]="","",IFERROR(VLOOKUP(MB25_VOLUMETRIA[[#This Row],[Cen.]],Dados_Empresas[],2,FALSE),"Verificar empresa"))</f>
        <v>NET MASSIVO</v>
      </c>
      <c r="O1001" s="32" t="str">
        <f>IF(MB25_VOLUMETRIA[[#This Row],[EMPRESA]]="","",IF(OR(MB25_VOLUMETRIA[[#This Row],[EMPRESA]]="NET MASSIVO",MB25_VOLUMETRIA[[#This Row],[EMPRESA]]="NET PROJETOS"),"NET","EMPRESARIAL"))</f>
        <v>NET</v>
      </c>
    </row>
    <row r="1002" spans="1:15" x14ac:dyDescent="0.25">
      <c r="A1002" s="32">
        <v>4381147</v>
      </c>
      <c r="B1002" s="32" t="s">
        <v>21</v>
      </c>
      <c r="C1002" s="33" t="s">
        <v>19</v>
      </c>
      <c r="D1002" s="35">
        <v>45447</v>
      </c>
      <c r="E1002" s="32" t="s">
        <v>185</v>
      </c>
      <c r="F1002" s="32">
        <v>22025240</v>
      </c>
      <c r="G1002" s="32" t="s">
        <v>359</v>
      </c>
      <c r="H1002" s="26" t="s">
        <v>38</v>
      </c>
      <c r="I1002" s="36">
        <v>20</v>
      </c>
      <c r="J1002" s="32">
        <f>IF(MB25_VOLUMETRIA[[#This Row],[Reserva]]="","",1)</f>
        <v>1</v>
      </c>
      <c r="K1002" s="36" t="str">
        <f>IF(MB25_VOLUMETRIA[[#This Row],[Reserva]]="","",IFERROR(VLOOKUP(MB25_VOLUMETRIA[[#This Row],[UMB]],CHAVE[],2,FALSE),"VERIFICAR"))</f>
        <v>Unidade</v>
      </c>
      <c r="L100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2" s="32" t="str">
        <f ca="1">IFERROR(VLOOKUP(MB25_VOLUMETRIA[[#This Row],[Reserva]],RES_AB[],14,FALSE),"")</f>
        <v>RESERVAS EM ATRASO</v>
      </c>
      <c r="N1002" s="32" t="str">
        <f>IF(MB25_VOLUMETRIA[[#This Row],[Cen.]]="","",IFERROR(VLOOKUP(MB25_VOLUMETRIA[[#This Row],[Cen.]],Dados_Empresas[],2,FALSE),"Verificar empresa"))</f>
        <v>NET MASSIVO</v>
      </c>
      <c r="O1002" s="32" t="str">
        <f>IF(MB25_VOLUMETRIA[[#This Row],[EMPRESA]]="","",IF(OR(MB25_VOLUMETRIA[[#This Row],[EMPRESA]]="NET MASSIVO",MB25_VOLUMETRIA[[#This Row],[EMPRESA]]="NET PROJETOS"),"NET","EMPRESARIAL"))</f>
        <v>NET</v>
      </c>
    </row>
    <row r="1003" spans="1:15" x14ac:dyDescent="0.25">
      <c r="A1003" s="32">
        <v>4381147</v>
      </c>
      <c r="B1003" s="32" t="s">
        <v>21</v>
      </c>
      <c r="C1003" s="33" t="s">
        <v>19</v>
      </c>
      <c r="D1003" s="35">
        <v>45447</v>
      </c>
      <c r="E1003" s="32" t="s">
        <v>185</v>
      </c>
      <c r="F1003" s="32">
        <v>22026147</v>
      </c>
      <c r="G1003" s="32" t="s">
        <v>254</v>
      </c>
      <c r="H1003" s="26" t="s">
        <v>38</v>
      </c>
      <c r="I1003" s="36">
        <v>25</v>
      </c>
      <c r="J1003" s="32">
        <f>IF(MB25_VOLUMETRIA[[#This Row],[Reserva]]="","",1)</f>
        <v>1</v>
      </c>
      <c r="K1003" s="36" t="str">
        <f>IF(MB25_VOLUMETRIA[[#This Row],[Reserva]]="","",IFERROR(VLOOKUP(MB25_VOLUMETRIA[[#This Row],[UMB]],CHAVE[],2,FALSE),"VERIFICAR"))</f>
        <v>Unidade</v>
      </c>
      <c r="L100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3" s="32" t="str">
        <f ca="1">IFERROR(VLOOKUP(MB25_VOLUMETRIA[[#This Row],[Reserva]],RES_AB[],14,FALSE),"")</f>
        <v>RESERVAS EM ATRASO</v>
      </c>
      <c r="N1003" s="32" t="str">
        <f>IF(MB25_VOLUMETRIA[[#This Row],[Cen.]]="","",IFERROR(VLOOKUP(MB25_VOLUMETRIA[[#This Row],[Cen.]],Dados_Empresas[],2,FALSE),"Verificar empresa"))</f>
        <v>NET MASSIVO</v>
      </c>
      <c r="O1003" s="32" t="str">
        <f>IF(MB25_VOLUMETRIA[[#This Row],[EMPRESA]]="","",IF(OR(MB25_VOLUMETRIA[[#This Row],[EMPRESA]]="NET MASSIVO",MB25_VOLUMETRIA[[#This Row],[EMPRESA]]="NET PROJETOS"),"NET","EMPRESARIAL"))</f>
        <v>NET</v>
      </c>
    </row>
    <row r="1004" spans="1:15" x14ac:dyDescent="0.25">
      <c r="A1004" s="32">
        <v>4381147</v>
      </c>
      <c r="B1004" s="32" t="s">
        <v>21</v>
      </c>
      <c r="C1004" s="33" t="s">
        <v>21</v>
      </c>
      <c r="D1004" s="35">
        <v>45447</v>
      </c>
      <c r="E1004" s="32" t="s">
        <v>185</v>
      </c>
      <c r="F1004" s="32">
        <v>22026189</v>
      </c>
      <c r="G1004" s="32" t="s">
        <v>200</v>
      </c>
      <c r="H1004" s="26" t="s">
        <v>38</v>
      </c>
      <c r="I1004" s="36">
        <v>700</v>
      </c>
      <c r="J1004" s="32">
        <f>IF(MB25_VOLUMETRIA[[#This Row],[Reserva]]="","",1)</f>
        <v>1</v>
      </c>
      <c r="K1004" s="36" t="str">
        <f>IF(MB25_VOLUMETRIA[[#This Row],[Reserva]]="","",IFERROR(VLOOKUP(MB25_VOLUMETRIA[[#This Row],[UMB]],CHAVE[],2,FALSE),"VERIFICAR"))</f>
        <v>Unidade</v>
      </c>
      <c r="L100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4" s="32" t="str">
        <f ca="1">IFERROR(VLOOKUP(MB25_VOLUMETRIA[[#This Row],[Reserva]],RES_AB[],14,FALSE),"")</f>
        <v>RESERVAS EM ATRASO</v>
      </c>
      <c r="N1004" s="32" t="str">
        <f>IF(MB25_VOLUMETRIA[[#This Row],[Cen.]]="","",IFERROR(VLOOKUP(MB25_VOLUMETRIA[[#This Row],[Cen.]],Dados_Empresas[],2,FALSE),"Verificar empresa"))</f>
        <v>NET MASSIVO</v>
      </c>
      <c r="O1004" s="32" t="str">
        <f>IF(MB25_VOLUMETRIA[[#This Row],[EMPRESA]]="","",IF(OR(MB25_VOLUMETRIA[[#This Row],[EMPRESA]]="NET MASSIVO",MB25_VOLUMETRIA[[#This Row],[EMPRESA]]="NET PROJETOS"),"NET","EMPRESARIAL"))</f>
        <v>NET</v>
      </c>
    </row>
    <row r="1005" spans="1:15" x14ac:dyDescent="0.25">
      <c r="A1005" s="32">
        <v>4381147</v>
      </c>
      <c r="B1005" s="32" t="s">
        <v>21</v>
      </c>
      <c r="C1005" s="33" t="s">
        <v>21</v>
      </c>
      <c r="D1005" s="35">
        <v>45447</v>
      </c>
      <c r="E1005" s="32" t="s">
        <v>185</v>
      </c>
      <c r="F1005" s="32">
        <v>22026219</v>
      </c>
      <c r="G1005" s="32" t="s">
        <v>221</v>
      </c>
      <c r="H1005" s="26" t="s">
        <v>38</v>
      </c>
      <c r="I1005" s="36">
        <v>200</v>
      </c>
      <c r="J1005" s="32">
        <f>IF(MB25_VOLUMETRIA[[#This Row],[Reserva]]="","",1)</f>
        <v>1</v>
      </c>
      <c r="K1005" s="36" t="str">
        <f>IF(MB25_VOLUMETRIA[[#This Row],[Reserva]]="","",IFERROR(VLOOKUP(MB25_VOLUMETRIA[[#This Row],[UMB]],CHAVE[],2,FALSE),"VERIFICAR"))</f>
        <v>Unidade</v>
      </c>
      <c r="L100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5" s="32" t="str">
        <f ca="1">IFERROR(VLOOKUP(MB25_VOLUMETRIA[[#This Row],[Reserva]],RES_AB[],14,FALSE),"")</f>
        <v>RESERVAS EM ATRASO</v>
      </c>
      <c r="N1005" s="32" t="str">
        <f>IF(MB25_VOLUMETRIA[[#This Row],[Cen.]]="","",IFERROR(VLOOKUP(MB25_VOLUMETRIA[[#This Row],[Cen.]],Dados_Empresas[],2,FALSE),"Verificar empresa"))</f>
        <v>NET MASSIVO</v>
      </c>
      <c r="O1005" s="32" t="str">
        <f>IF(MB25_VOLUMETRIA[[#This Row],[EMPRESA]]="","",IF(OR(MB25_VOLUMETRIA[[#This Row],[EMPRESA]]="NET MASSIVO",MB25_VOLUMETRIA[[#This Row],[EMPRESA]]="NET PROJETOS"),"NET","EMPRESARIAL"))</f>
        <v>NET</v>
      </c>
    </row>
    <row r="1006" spans="1:15" x14ac:dyDescent="0.25">
      <c r="A1006" s="32">
        <v>4381147</v>
      </c>
      <c r="B1006" s="32" t="s">
        <v>21</v>
      </c>
      <c r="C1006" s="33" t="s">
        <v>21</v>
      </c>
      <c r="D1006" s="35">
        <v>45447</v>
      </c>
      <c r="E1006" s="32" t="s">
        <v>185</v>
      </c>
      <c r="F1006" s="32">
        <v>22026223</v>
      </c>
      <c r="G1006" s="32" t="s">
        <v>195</v>
      </c>
      <c r="H1006" s="26" t="s">
        <v>38</v>
      </c>
      <c r="I1006" s="36">
        <v>915</v>
      </c>
      <c r="J1006" s="32">
        <f>IF(MB25_VOLUMETRIA[[#This Row],[Reserva]]="","",1)</f>
        <v>1</v>
      </c>
      <c r="K1006" s="36" t="str">
        <f>IF(MB25_VOLUMETRIA[[#This Row],[Reserva]]="","",IFERROR(VLOOKUP(MB25_VOLUMETRIA[[#This Row],[UMB]],CHAVE[],2,FALSE),"VERIFICAR"))</f>
        <v>Unidade</v>
      </c>
      <c r="L100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6" s="32" t="str">
        <f ca="1">IFERROR(VLOOKUP(MB25_VOLUMETRIA[[#This Row],[Reserva]],RES_AB[],14,FALSE),"")</f>
        <v>RESERVAS EM ATRASO</v>
      </c>
      <c r="N1006" s="32" t="str">
        <f>IF(MB25_VOLUMETRIA[[#This Row],[Cen.]]="","",IFERROR(VLOOKUP(MB25_VOLUMETRIA[[#This Row],[Cen.]],Dados_Empresas[],2,FALSE),"Verificar empresa"))</f>
        <v>NET MASSIVO</v>
      </c>
      <c r="O1006" s="32" t="str">
        <f>IF(MB25_VOLUMETRIA[[#This Row],[EMPRESA]]="","",IF(OR(MB25_VOLUMETRIA[[#This Row],[EMPRESA]]="NET MASSIVO",MB25_VOLUMETRIA[[#This Row],[EMPRESA]]="NET PROJETOS"),"NET","EMPRESARIAL"))</f>
        <v>NET</v>
      </c>
    </row>
    <row r="1007" spans="1:15" x14ac:dyDescent="0.25">
      <c r="A1007" s="32">
        <v>4381147</v>
      </c>
      <c r="B1007" s="32" t="s">
        <v>21</v>
      </c>
      <c r="C1007" s="33" t="s">
        <v>19</v>
      </c>
      <c r="D1007" s="35">
        <v>45447</v>
      </c>
      <c r="E1007" s="32" t="s">
        <v>185</v>
      </c>
      <c r="F1007" s="32">
        <v>22026251</v>
      </c>
      <c r="G1007" s="32" t="s">
        <v>247</v>
      </c>
      <c r="H1007" s="26" t="s">
        <v>38</v>
      </c>
      <c r="I1007" s="36">
        <v>12</v>
      </c>
      <c r="J1007" s="32">
        <f>IF(MB25_VOLUMETRIA[[#This Row],[Reserva]]="","",1)</f>
        <v>1</v>
      </c>
      <c r="K1007" s="36" t="str">
        <f>IF(MB25_VOLUMETRIA[[#This Row],[Reserva]]="","",IFERROR(VLOOKUP(MB25_VOLUMETRIA[[#This Row],[UMB]],CHAVE[],2,FALSE),"VERIFICAR"))</f>
        <v>Unidade</v>
      </c>
      <c r="L100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7" s="32" t="str">
        <f ca="1">IFERROR(VLOOKUP(MB25_VOLUMETRIA[[#This Row],[Reserva]],RES_AB[],14,FALSE),"")</f>
        <v>RESERVAS EM ATRASO</v>
      </c>
      <c r="N1007" s="32" t="str">
        <f>IF(MB25_VOLUMETRIA[[#This Row],[Cen.]]="","",IFERROR(VLOOKUP(MB25_VOLUMETRIA[[#This Row],[Cen.]],Dados_Empresas[],2,FALSE),"Verificar empresa"))</f>
        <v>NET MASSIVO</v>
      </c>
      <c r="O1007" s="32" t="str">
        <f>IF(MB25_VOLUMETRIA[[#This Row],[EMPRESA]]="","",IF(OR(MB25_VOLUMETRIA[[#This Row],[EMPRESA]]="NET MASSIVO",MB25_VOLUMETRIA[[#This Row],[EMPRESA]]="NET PROJETOS"),"NET","EMPRESARIAL"))</f>
        <v>NET</v>
      </c>
    </row>
    <row r="1008" spans="1:15" x14ac:dyDescent="0.25">
      <c r="A1008" s="32">
        <v>4381147</v>
      </c>
      <c r="B1008" s="32" t="s">
        <v>21</v>
      </c>
      <c r="C1008" s="33" t="s">
        <v>21</v>
      </c>
      <c r="D1008" s="35">
        <v>45447</v>
      </c>
      <c r="E1008" s="32" t="s">
        <v>185</v>
      </c>
      <c r="F1008" s="32">
        <v>22026746</v>
      </c>
      <c r="G1008" s="32" t="s">
        <v>205</v>
      </c>
      <c r="H1008" s="26" t="s">
        <v>38</v>
      </c>
      <c r="I1008" s="36">
        <v>50</v>
      </c>
      <c r="J1008" s="32">
        <f>IF(MB25_VOLUMETRIA[[#This Row],[Reserva]]="","",1)</f>
        <v>1</v>
      </c>
      <c r="K1008" s="36" t="str">
        <f>IF(MB25_VOLUMETRIA[[#This Row],[Reserva]]="","",IFERROR(VLOOKUP(MB25_VOLUMETRIA[[#This Row],[UMB]],CHAVE[],2,FALSE),"VERIFICAR"))</f>
        <v>Unidade</v>
      </c>
      <c r="L100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8" s="32" t="str">
        <f ca="1">IFERROR(VLOOKUP(MB25_VOLUMETRIA[[#This Row],[Reserva]],RES_AB[],14,FALSE),"")</f>
        <v>RESERVAS EM ATRASO</v>
      </c>
      <c r="N1008" s="32" t="str">
        <f>IF(MB25_VOLUMETRIA[[#This Row],[Cen.]]="","",IFERROR(VLOOKUP(MB25_VOLUMETRIA[[#This Row],[Cen.]],Dados_Empresas[],2,FALSE),"Verificar empresa"))</f>
        <v>NET MASSIVO</v>
      </c>
      <c r="O1008" s="32" t="str">
        <f>IF(MB25_VOLUMETRIA[[#This Row],[EMPRESA]]="","",IF(OR(MB25_VOLUMETRIA[[#This Row],[EMPRESA]]="NET MASSIVO",MB25_VOLUMETRIA[[#This Row],[EMPRESA]]="NET PROJETOS"),"NET","EMPRESARIAL"))</f>
        <v>NET</v>
      </c>
    </row>
    <row r="1009" spans="1:15" x14ac:dyDescent="0.25">
      <c r="A1009" s="32">
        <v>4381147</v>
      </c>
      <c r="B1009" s="32" t="s">
        <v>21</v>
      </c>
      <c r="C1009" s="33" t="s">
        <v>21</v>
      </c>
      <c r="D1009" s="35">
        <v>45447</v>
      </c>
      <c r="E1009" s="32" t="s">
        <v>185</v>
      </c>
      <c r="F1009" s="32">
        <v>22026772</v>
      </c>
      <c r="G1009" s="32" t="s">
        <v>201</v>
      </c>
      <c r="H1009" s="26" t="s">
        <v>38</v>
      </c>
      <c r="I1009" s="36">
        <v>75</v>
      </c>
      <c r="J1009" s="32">
        <f>IF(MB25_VOLUMETRIA[[#This Row],[Reserva]]="","",1)</f>
        <v>1</v>
      </c>
      <c r="K1009" s="36" t="str">
        <f>IF(MB25_VOLUMETRIA[[#This Row],[Reserva]]="","",IFERROR(VLOOKUP(MB25_VOLUMETRIA[[#This Row],[UMB]],CHAVE[],2,FALSE),"VERIFICAR"))</f>
        <v>Unidade</v>
      </c>
      <c r="L100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09" s="32" t="str">
        <f ca="1">IFERROR(VLOOKUP(MB25_VOLUMETRIA[[#This Row],[Reserva]],RES_AB[],14,FALSE),"")</f>
        <v>RESERVAS EM ATRASO</v>
      </c>
      <c r="N1009" s="32" t="str">
        <f>IF(MB25_VOLUMETRIA[[#This Row],[Cen.]]="","",IFERROR(VLOOKUP(MB25_VOLUMETRIA[[#This Row],[Cen.]],Dados_Empresas[],2,FALSE),"Verificar empresa"))</f>
        <v>NET MASSIVO</v>
      </c>
      <c r="O1009" s="32" t="str">
        <f>IF(MB25_VOLUMETRIA[[#This Row],[EMPRESA]]="","",IF(OR(MB25_VOLUMETRIA[[#This Row],[EMPRESA]]="NET MASSIVO",MB25_VOLUMETRIA[[#This Row],[EMPRESA]]="NET PROJETOS"),"NET","EMPRESARIAL"))</f>
        <v>NET</v>
      </c>
    </row>
    <row r="1010" spans="1:15" x14ac:dyDescent="0.25">
      <c r="A1010" s="32">
        <v>4381147</v>
      </c>
      <c r="B1010" s="32" t="s">
        <v>21</v>
      </c>
      <c r="C1010" s="33" t="s">
        <v>21</v>
      </c>
      <c r="D1010" s="35">
        <v>45447</v>
      </c>
      <c r="E1010" s="32" t="s">
        <v>185</v>
      </c>
      <c r="F1010" s="32">
        <v>22026795</v>
      </c>
      <c r="G1010" s="32" t="s">
        <v>261</v>
      </c>
      <c r="H1010" s="26" t="s">
        <v>38</v>
      </c>
      <c r="I1010" s="36">
        <v>25</v>
      </c>
      <c r="J1010" s="32">
        <f>IF(MB25_VOLUMETRIA[[#This Row],[Reserva]]="","",1)</f>
        <v>1</v>
      </c>
      <c r="K1010" s="36" t="str">
        <f>IF(MB25_VOLUMETRIA[[#This Row],[Reserva]]="","",IFERROR(VLOOKUP(MB25_VOLUMETRIA[[#This Row],[UMB]],CHAVE[],2,FALSE),"VERIFICAR"))</f>
        <v>Unidade</v>
      </c>
      <c r="L101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0" s="32" t="str">
        <f ca="1">IFERROR(VLOOKUP(MB25_VOLUMETRIA[[#This Row],[Reserva]],RES_AB[],14,FALSE),"")</f>
        <v>RESERVAS EM ATRASO</v>
      </c>
      <c r="N1010" s="32" t="str">
        <f>IF(MB25_VOLUMETRIA[[#This Row],[Cen.]]="","",IFERROR(VLOOKUP(MB25_VOLUMETRIA[[#This Row],[Cen.]],Dados_Empresas[],2,FALSE),"Verificar empresa"))</f>
        <v>NET MASSIVO</v>
      </c>
      <c r="O1010" s="32" t="str">
        <f>IF(MB25_VOLUMETRIA[[#This Row],[EMPRESA]]="","",IF(OR(MB25_VOLUMETRIA[[#This Row],[EMPRESA]]="NET MASSIVO",MB25_VOLUMETRIA[[#This Row],[EMPRESA]]="NET PROJETOS"),"NET","EMPRESARIAL"))</f>
        <v>NET</v>
      </c>
    </row>
    <row r="1011" spans="1:15" x14ac:dyDescent="0.25">
      <c r="A1011" s="32">
        <v>4381148</v>
      </c>
      <c r="B1011" s="32" t="s">
        <v>21</v>
      </c>
      <c r="C1011" s="33" t="s">
        <v>21</v>
      </c>
      <c r="D1011" s="35">
        <v>45447</v>
      </c>
      <c r="E1011" s="32" t="s">
        <v>192</v>
      </c>
      <c r="F1011" s="32">
        <v>41001567</v>
      </c>
      <c r="G1011" s="32" t="s">
        <v>354</v>
      </c>
      <c r="H1011" s="26" t="s">
        <v>38</v>
      </c>
      <c r="I1011" s="36">
        <v>20</v>
      </c>
      <c r="J1011" s="32">
        <f>IF(MB25_VOLUMETRIA[[#This Row],[Reserva]]="","",1)</f>
        <v>1</v>
      </c>
      <c r="K1011" s="36" t="str">
        <f>IF(MB25_VOLUMETRIA[[#This Row],[Reserva]]="","",IFERROR(VLOOKUP(MB25_VOLUMETRIA[[#This Row],[UMB]],CHAVE[],2,FALSE),"VERIFICAR"))</f>
        <v>Unidade</v>
      </c>
      <c r="L1011" s="32" t="str">
        <f>IF(MB25_VOLUMETRIA[[#This Row],[Reserva]]="","",IFERROR(VLOOKUP(MB25_VOLUMETRIA[[#This Row],[Reserva]],Tabela3[[Reserva]:[Condição para Faturamento]],20,FALSE),"IMPORTADO COM SUCESSO"))</f>
        <v>IMPORTADO</v>
      </c>
      <c r="M1011" s="32" t="str">
        <f ca="1">IFERROR(VLOOKUP(MB25_VOLUMETRIA[[#This Row],[Reserva]],RES_AB[],14,FALSE),"")</f>
        <v>RESERVAS EM ATRASO</v>
      </c>
      <c r="N1011" s="32" t="str">
        <f>IF(MB25_VOLUMETRIA[[#This Row],[Cen.]]="","",IFERROR(VLOOKUP(MB25_VOLUMETRIA[[#This Row],[Cen.]],Dados_Empresas[],2,FALSE),"Verificar empresa"))</f>
        <v>NET MASSIVO</v>
      </c>
      <c r="O1011" s="32" t="str">
        <f>IF(MB25_VOLUMETRIA[[#This Row],[EMPRESA]]="","",IF(OR(MB25_VOLUMETRIA[[#This Row],[EMPRESA]]="NET MASSIVO",MB25_VOLUMETRIA[[#This Row],[EMPRESA]]="NET PROJETOS"),"NET","EMPRESARIAL"))</f>
        <v>NET</v>
      </c>
    </row>
    <row r="1012" spans="1:15" x14ac:dyDescent="0.25">
      <c r="A1012" s="32">
        <v>4381149</v>
      </c>
      <c r="B1012" s="32" t="s">
        <v>21</v>
      </c>
      <c r="C1012" s="33" t="s">
        <v>21</v>
      </c>
      <c r="D1012" s="35">
        <v>45447</v>
      </c>
      <c r="E1012" s="32" t="s">
        <v>192</v>
      </c>
      <c r="F1012" s="32">
        <v>41001573</v>
      </c>
      <c r="G1012" s="32" t="s">
        <v>259</v>
      </c>
      <c r="H1012" s="26" t="s">
        <v>38</v>
      </c>
      <c r="I1012" s="36">
        <v>5</v>
      </c>
      <c r="J1012" s="32">
        <f>IF(MB25_VOLUMETRIA[[#This Row],[Reserva]]="","",1)</f>
        <v>1</v>
      </c>
      <c r="K1012" s="36" t="str">
        <f>IF(MB25_VOLUMETRIA[[#This Row],[Reserva]]="","",IFERROR(VLOOKUP(MB25_VOLUMETRIA[[#This Row],[UMB]],CHAVE[],2,FALSE),"VERIFICAR"))</f>
        <v>Unidade</v>
      </c>
      <c r="L101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2" s="32" t="str">
        <f ca="1">IFERROR(VLOOKUP(MB25_VOLUMETRIA[[#This Row],[Reserva]],RES_AB[],14,FALSE),"")</f>
        <v>RESERVAS EM ATRASO</v>
      </c>
      <c r="N1012" s="32" t="str">
        <f>IF(MB25_VOLUMETRIA[[#This Row],[Cen.]]="","",IFERROR(VLOOKUP(MB25_VOLUMETRIA[[#This Row],[Cen.]],Dados_Empresas[],2,FALSE),"Verificar empresa"))</f>
        <v>NET MASSIVO</v>
      </c>
      <c r="O1012" s="32" t="str">
        <f>IF(MB25_VOLUMETRIA[[#This Row],[EMPRESA]]="","",IF(OR(MB25_VOLUMETRIA[[#This Row],[EMPRESA]]="NET MASSIVO",MB25_VOLUMETRIA[[#This Row],[EMPRESA]]="NET PROJETOS"),"NET","EMPRESARIAL"))</f>
        <v>NET</v>
      </c>
    </row>
    <row r="1013" spans="1:15" x14ac:dyDescent="0.25">
      <c r="A1013" s="32">
        <v>4381150</v>
      </c>
      <c r="B1013" s="32" t="s">
        <v>21</v>
      </c>
      <c r="C1013" s="33" t="s">
        <v>19</v>
      </c>
      <c r="D1013" s="35">
        <v>45447</v>
      </c>
      <c r="E1013" s="32" t="s">
        <v>192</v>
      </c>
      <c r="F1013" s="32">
        <v>41000805</v>
      </c>
      <c r="G1013" s="32" t="s">
        <v>188</v>
      </c>
      <c r="H1013" s="26" t="s">
        <v>38</v>
      </c>
      <c r="I1013" s="36">
        <v>120</v>
      </c>
      <c r="J1013" s="32">
        <f>IF(MB25_VOLUMETRIA[[#This Row],[Reserva]]="","",1)</f>
        <v>1</v>
      </c>
      <c r="K1013" s="36" t="str">
        <f>IF(MB25_VOLUMETRIA[[#This Row],[Reserva]]="","",IFERROR(VLOOKUP(MB25_VOLUMETRIA[[#This Row],[UMB]],CHAVE[],2,FALSE),"VERIFICAR"))</f>
        <v>Unidade</v>
      </c>
      <c r="L1013" s="32" t="str">
        <f>IF(MB25_VOLUMETRIA[[#This Row],[Reserva]]="","",IFERROR(VLOOKUP(MB25_VOLUMETRIA[[#This Row],[Reserva]],Tabela3[[Reserva]:[Condição para Faturamento]],20,FALSE),"IMPORTADO COM SUCESSO"))</f>
        <v>IMPORTADO</v>
      </c>
      <c r="M1013" s="32" t="str">
        <f ca="1">IFERROR(VLOOKUP(MB25_VOLUMETRIA[[#This Row],[Reserva]],RES_AB[],14,FALSE),"")</f>
        <v>RESERVAS EM ATRASO</v>
      </c>
      <c r="N1013" s="32" t="str">
        <f>IF(MB25_VOLUMETRIA[[#This Row],[Cen.]]="","",IFERROR(VLOOKUP(MB25_VOLUMETRIA[[#This Row],[Cen.]],Dados_Empresas[],2,FALSE),"Verificar empresa"))</f>
        <v>NET MASSIVO</v>
      </c>
      <c r="O1013" s="32" t="str">
        <f>IF(MB25_VOLUMETRIA[[#This Row],[EMPRESA]]="","",IF(OR(MB25_VOLUMETRIA[[#This Row],[EMPRESA]]="NET MASSIVO",MB25_VOLUMETRIA[[#This Row],[EMPRESA]]="NET PROJETOS"),"NET","EMPRESARIAL"))</f>
        <v>NET</v>
      </c>
    </row>
    <row r="1014" spans="1:15" x14ac:dyDescent="0.25">
      <c r="A1014" s="32">
        <v>4381150</v>
      </c>
      <c r="B1014" s="32" t="s">
        <v>21</v>
      </c>
      <c r="C1014" s="33" t="s">
        <v>19</v>
      </c>
      <c r="D1014" s="35">
        <v>45447</v>
      </c>
      <c r="E1014" s="32" t="s">
        <v>192</v>
      </c>
      <c r="F1014" s="32">
        <v>41001047</v>
      </c>
      <c r="G1014" s="32" t="s">
        <v>257</v>
      </c>
      <c r="H1014" s="26" t="s">
        <v>38</v>
      </c>
      <c r="I1014" s="36">
        <v>100</v>
      </c>
      <c r="J1014" s="32">
        <f>IF(MB25_VOLUMETRIA[[#This Row],[Reserva]]="","",1)</f>
        <v>1</v>
      </c>
      <c r="K1014" s="36" t="str">
        <f>IF(MB25_VOLUMETRIA[[#This Row],[Reserva]]="","",IFERROR(VLOOKUP(MB25_VOLUMETRIA[[#This Row],[UMB]],CHAVE[],2,FALSE),"VERIFICAR"))</f>
        <v>Unidade</v>
      </c>
      <c r="L1014" s="32" t="str">
        <f>IF(MB25_VOLUMETRIA[[#This Row],[Reserva]]="","",IFERROR(VLOOKUP(MB25_VOLUMETRIA[[#This Row],[Reserva]],Tabela3[[Reserva]:[Condição para Faturamento]],20,FALSE),"IMPORTADO COM SUCESSO"))</f>
        <v>IMPORTADO</v>
      </c>
      <c r="M1014" s="32" t="str">
        <f ca="1">IFERROR(VLOOKUP(MB25_VOLUMETRIA[[#This Row],[Reserva]],RES_AB[],14,FALSE),"")</f>
        <v>RESERVAS EM ATRASO</v>
      </c>
      <c r="N1014" s="32" t="str">
        <f>IF(MB25_VOLUMETRIA[[#This Row],[Cen.]]="","",IFERROR(VLOOKUP(MB25_VOLUMETRIA[[#This Row],[Cen.]],Dados_Empresas[],2,FALSE),"Verificar empresa"))</f>
        <v>NET MASSIVO</v>
      </c>
      <c r="O1014" s="32" t="str">
        <f>IF(MB25_VOLUMETRIA[[#This Row],[EMPRESA]]="","",IF(OR(MB25_VOLUMETRIA[[#This Row],[EMPRESA]]="NET MASSIVO",MB25_VOLUMETRIA[[#This Row],[EMPRESA]]="NET PROJETOS"),"NET","EMPRESARIAL"))</f>
        <v>NET</v>
      </c>
    </row>
    <row r="1015" spans="1:15" x14ac:dyDescent="0.25">
      <c r="A1015" s="32">
        <v>4381150</v>
      </c>
      <c r="B1015" s="32" t="s">
        <v>21</v>
      </c>
      <c r="C1015" s="33" t="s">
        <v>19</v>
      </c>
      <c r="D1015" s="35">
        <v>45447</v>
      </c>
      <c r="E1015" s="32" t="s">
        <v>192</v>
      </c>
      <c r="F1015" s="32">
        <v>41001484</v>
      </c>
      <c r="G1015" s="32" t="s">
        <v>292</v>
      </c>
      <c r="H1015" s="26" t="s">
        <v>38</v>
      </c>
      <c r="I1015" s="36">
        <v>20</v>
      </c>
      <c r="J1015" s="32">
        <f>IF(MB25_VOLUMETRIA[[#This Row],[Reserva]]="","",1)</f>
        <v>1</v>
      </c>
      <c r="K1015" s="36" t="str">
        <f>IF(MB25_VOLUMETRIA[[#This Row],[Reserva]]="","",IFERROR(VLOOKUP(MB25_VOLUMETRIA[[#This Row],[UMB]],CHAVE[],2,FALSE),"VERIFICAR"))</f>
        <v>Unidade</v>
      </c>
      <c r="L1015" s="32" t="str">
        <f>IF(MB25_VOLUMETRIA[[#This Row],[Reserva]]="","",IFERROR(VLOOKUP(MB25_VOLUMETRIA[[#This Row],[Reserva]],Tabela3[[Reserva]:[Condição para Faturamento]],20,FALSE),"IMPORTADO COM SUCESSO"))</f>
        <v>IMPORTADO</v>
      </c>
      <c r="M1015" s="32" t="str">
        <f ca="1">IFERROR(VLOOKUP(MB25_VOLUMETRIA[[#This Row],[Reserva]],RES_AB[],14,FALSE),"")</f>
        <v>RESERVAS EM ATRASO</v>
      </c>
      <c r="N1015" s="32" t="str">
        <f>IF(MB25_VOLUMETRIA[[#This Row],[Cen.]]="","",IFERROR(VLOOKUP(MB25_VOLUMETRIA[[#This Row],[Cen.]],Dados_Empresas[],2,FALSE),"Verificar empresa"))</f>
        <v>NET MASSIVO</v>
      </c>
      <c r="O1015" s="32" t="str">
        <f>IF(MB25_VOLUMETRIA[[#This Row],[EMPRESA]]="","",IF(OR(MB25_VOLUMETRIA[[#This Row],[EMPRESA]]="NET MASSIVO",MB25_VOLUMETRIA[[#This Row],[EMPRESA]]="NET PROJETOS"),"NET","EMPRESARIAL"))</f>
        <v>NET</v>
      </c>
    </row>
    <row r="1016" spans="1:15" x14ac:dyDescent="0.25">
      <c r="A1016" s="32">
        <v>4381151</v>
      </c>
      <c r="B1016" s="32" t="s">
        <v>21</v>
      </c>
      <c r="C1016" s="33" t="s">
        <v>19</v>
      </c>
      <c r="D1016" s="35">
        <v>45447</v>
      </c>
      <c r="E1016" s="32" t="s">
        <v>185</v>
      </c>
      <c r="F1016" s="32">
        <v>22026199</v>
      </c>
      <c r="G1016" s="32" t="s">
        <v>233</v>
      </c>
      <c r="H1016" s="26" t="s">
        <v>38</v>
      </c>
      <c r="I1016" s="36">
        <v>10</v>
      </c>
      <c r="J1016" s="32">
        <f>IF(MB25_VOLUMETRIA[[#This Row],[Reserva]]="","",1)</f>
        <v>1</v>
      </c>
      <c r="K1016" s="36" t="str">
        <f>IF(MB25_VOLUMETRIA[[#This Row],[Reserva]]="","",IFERROR(VLOOKUP(MB25_VOLUMETRIA[[#This Row],[UMB]],CHAVE[],2,FALSE),"VERIFICAR"))</f>
        <v>Unidade</v>
      </c>
      <c r="L101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6" s="32" t="str">
        <f ca="1">IFERROR(VLOOKUP(MB25_VOLUMETRIA[[#This Row],[Reserva]],RES_AB[],14,FALSE),"")</f>
        <v>RESERVAS EM ATRASO</v>
      </c>
      <c r="N1016" s="32" t="str">
        <f>IF(MB25_VOLUMETRIA[[#This Row],[Cen.]]="","",IFERROR(VLOOKUP(MB25_VOLUMETRIA[[#This Row],[Cen.]],Dados_Empresas[],2,FALSE),"Verificar empresa"))</f>
        <v>NET MASSIVO</v>
      </c>
      <c r="O1016" s="32" t="str">
        <f>IF(MB25_VOLUMETRIA[[#This Row],[EMPRESA]]="","",IF(OR(MB25_VOLUMETRIA[[#This Row],[EMPRESA]]="NET MASSIVO",MB25_VOLUMETRIA[[#This Row],[EMPRESA]]="NET PROJETOS"),"NET","EMPRESARIAL"))</f>
        <v>NET</v>
      </c>
    </row>
    <row r="1017" spans="1:15" x14ac:dyDescent="0.25">
      <c r="A1017" s="32">
        <v>4381151</v>
      </c>
      <c r="B1017" s="32" t="s">
        <v>21</v>
      </c>
      <c r="C1017" s="33" t="s">
        <v>21</v>
      </c>
      <c r="D1017" s="35">
        <v>45447</v>
      </c>
      <c r="E1017" s="32" t="s">
        <v>185</v>
      </c>
      <c r="F1017" s="32">
        <v>22026809</v>
      </c>
      <c r="G1017" s="32" t="s">
        <v>231</v>
      </c>
      <c r="H1017" s="26" t="s">
        <v>38</v>
      </c>
      <c r="I1017" s="36">
        <v>25</v>
      </c>
      <c r="J1017" s="32">
        <f>IF(MB25_VOLUMETRIA[[#This Row],[Reserva]]="","",1)</f>
        <v>1</v>
      </c>
      <c r="K1017" s="36" t="str">
        <f>IF(MB25_VOLUMETRIA[[#This Row],[Reserva]]="","",IFERROR(VLOOKUP(MB25_VOLUMETRIA[[#This Row],[UMB]],CHAVE[],2,FALSE),"VERIFICAR"))</f>
        <v>Unidade</v>
      </c>
      <c r="L101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7" s="32" t="str">
        <f ca="1">IFERROR(VLOOKUP(MB25_VOLUMETRIA[[#This Row],[Reserva]],RES_AB[],14,FALSE),"")</f>
        <v>RESERVAS EM ATRASO</v>
      </c>
      <c r="N1017" s="32" t="str">
        <f>IF(MB25_VOLUMETRIA[[#This Row],[Cen.]]="","",IFERROR(VLOOKUP(MB25_VOLUMETRIA[[#This Row],[Cen.]],Dados_Empresas[],2,FALSE),"Verificar empresa"))</f>
        <v>NET MASSIVO</v>
      </c>
      <c r="O1017" s="32" t="str">
        <f>IF(MB25_VOLUMETRIA[[#This Row],[EMPRESA]]="","",IF(OR(MB25_VOLUMETRIA[[#This Row],[EMPRESA]]="NET MASSIVO",MB25_VOLUMETRIA[[#This Row],[EMPRESA]]="NET PROJETOS"),"NET","EMPRESARIAL"))</f>
        <v>NET</v>
      </c>
    </row>
    <row r="1018" spans="1:15" x14ac:dyDescent="0.25">
      <c r="A1018" s="32">
        <v>4381151</v>
      </c>
      <c r="B1018" s="32" t="s">
        <v>21</v>
      </c>
      <c r="C1018" s="33" t="s">
        <v>21</v>
      </c>
      <c r="D1018" s="35">
        <v>45447</v>
      </c>
      <c r="E1018" s="32" t="s">
        <v>185</v>
      </c>
      <c r="F1018" s="32">
        <v>22056333</v>
      </c>
      <c r="G1018" s="32" t="s">
        <v>363</v>
      </c>
      <c r="H1018" s="26" t="s">
        <v>38</v>
      </c>
      <c r="I1018" s="36">
        <v>20</v>
      </c>
      <c r="J1018" s="32">
        <f>IF(MB25_VOLUMETRIA[[#This Row],[Reserva]]="","",1)</f>
        <v>1</v>
      </c>
      <c r="K1018" s="36" t="str">
        <f>IF(MB25_VOLUMETRIA[[#This Row],[Reserva]]="","",IFERROR(VLOOKUP(MB25_VOLUMETRIA[[#This Row],[UMB]],CHAVE[],2,FALSE),"VERIFICAR"))</f>
        <v>Unidade</v>
      </c>
      <c r="L101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8" s="32" t="str">
        <f ca="1">IFERROR(VLOOKUP(MB25_VOLUMETRIA[[#This Row],[Reserva]],RES_AB[],14,FALSE),"")</f>
        <v>RESERVAS EM ATRASO</v>
      </c>
      <c r="N1018" s="32" t="str">
        <f>IF(MB25_VOLUMETRIA[[#This Row],[Cen.]]="","",IFERROR(VLOOKUP(MB25_VOLUMETRIA[[#This Row],[Cen.]],Dados_Empresas[],2,FALSE),"Verificar empresa"))</f>
        <v>NET MASSIVO</v>
      </c>
      <c r="O1018" s="32" t="str">
        <f>IF(MB25_VOLUMETRIA[[#This Row],[EMPRESA]]="","",IF(OR(MB25_VOLUMETRIA[[#This Row],[EMPRESA]]="NET MASSIVO",MB25_VOLUMETRIA[[#This Row],[EMPRESA]]="NET PROJETOS"),"NET","EMPRESARIAL"))</f>
        <v>NET</v>
      </c>
    </row>
    <row r="1019" spans="1:15" x14ac:dyDescent="0.25">
      <c r="A1019" s="32">
        <v>4381151</v>
      </c>
      <c r="B1019" s="32" t="s">
        <v>21</v>
      </c>
      <c r="C1019" s="33" t="s">
        <v>19</v>
      </c>
      <c r="D1019" s="35">
        <v>45447</v>
      </c>
      <c r="E1019" s="32" t="s">
        <v>185</v>
      </c>
      <c r="F1019" s="32">
        <v>22058174</v>
      </c>
      <c r="G1019" s="32" t="s">
        <v>364</v>
      </c>
      <c r="H1019" s="26" t="s">
        <v>38</v>
      </c>
      <c r="I1019" s="36">
        <v>3</v>
      </c>
      <c r="J1019" s="32">
        <f>IF(MB25_VOLUMETRIA[[#This Row],[Reserva]]="","",1)</f>
        <v>1</v>
      </c>
      <c r="K1019" s="36" t="str">
        <f>IF(MB25_VOLUMETRIA[[#This Row],[Reserva]]="","",IFERROR(VLOOKUP(MB25_VOLUMETRIA[[#This Row],[UMB]],CHAVE[],2,FALSE),"VERIFICAR"))</f>
        <v>Unidade</v>
      </c>
      <c r="L101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19" s="32" t="str">
        <f ca="1">IFERROR(VLOOKUP(MB25_VOLUMETRIA[[#This Row],[Reserva]],RES_AB[],14,FALSE),"")</f>
        <v>RESERVAS EM ATRASO</v>
      </c>
      <c r="N1019" s="32" t="str">
        <f>IF(MB25_VOLUMETRIA[[#This Row],[Cen.]]="","",IFERROR(VLOOKUP(MB25_VOLUMETRIA[[#This Row],[Cen.]],Dados_Empresas[],2,FALSE),"Verificar empresa"))</f>
        <v>NET MASSIVO</v>
      </c>
      <c r="O1019" s="32" t="str">
        <f>IF(MB25_VOLUMETRIA[[#This Row],[EMPRESA]]="","",IF(OR(MB25_VOLUMETRIA[[#This Row],[EMPRESA]]="NET MASSIVO",MB25_VOLUMETRIA[[#This Row],[EMPRESA]]="NET PROJETOS"),"NET","EMPRESARIAL"))</f>
        <v>NET</v>
      </c>
    </row>
    <row r="1020" spans="1:15" x14ac:dyDescent="0.25">
      <c r="A1020" s="32">
        <v>4381152</v>
      </c>
      <c r="B1020" s="32" t="s">
        <v>21</v>
      </c>
      <c r="C1020" s="33" t="s">
        <v>19</v>
      </c>
      <c r="D1020" s="35">
        <v>45447</v>
      </c>
      <c r="E1020" s="32" t="s">
        <v>192</v>
      </c>
      <c r="F1020" s="32">
        <v>41000805</v>
      </c>
      <c r="G1020" s="32" t="s">
        <v>188</v>
      </c>
      <c r="H1020" s="26" t="s">
        <v>38</v>
      </c>
      <c r="I1020" s="36">
        <v>50</v>
      </c>
      <c r="J1020" s="32">
        <f>IF(MB25_VOLUMETRIA[[#This Row],[Reserva]]="","",1)</f>
        <v>1</v>
      </c>
      <c r="K1020" s="36" t="str">
        <f>IF(MB25_VOLUMETRIA[[#This Row],[Reserva]]="","",IFERROR(VLOOKUP(MB25_VOLUMETRIA[[#This Row],[UMB]],CHAVE[],2,FALSE),"VERIFICAR"))</f>
        <v>Unidade</v>
      </c>
      <c r="L1020" s="32" t="str">
        <f>IF(MB25_VOLUMETRIA[[#This Row],[Reserva]]="","",IFERROR(VLOOKUP(MB25_VOLUMETRIA[[#This Row],[Reserva]],Tabela3[[Reserva]:[Condição para Faturamento]],20,FALSE),"IMPORTADO COM SUCESSO"))</f>
        <v>IMPORTADO</v>
      </c>
      <c r="M1020" s="32" t="str">
        <f ca="1">IFERROR(VLOOKUP(MB25_VOLUMETRIA[[#This Row],[Reserva]],RES_AB[],14,FALSE),"")</f>
        <v>RESERVAS EM ATRASO</v>
      </c>
      <c r="N1020" s="32" t="str">
        <f>IF(MB25_VOLUMETRIA[[#This Row],[Cen.]]="","",IFERROR(VLOOKUP(MB25_VOLUMETRIA[[#This Row],[Cen.]],Dados_Empresas[],2,FALSE),"Verificar empresa"))</f>
        <v>NET MASSIVO</v>
      </c>
      <c r="O1020" s="32" t="str">
        <f>IF(MB25_VOLUMETRIA[[#This Row],[EMPRESA]]="","",IF(OR(MB25_VOLUMETRIA[[#This Row],[EMPRESA]]="NET MASSIVO",MB25_VOLUMETRIA[[#This Row],[EMPRESA]]="NET PROJETOS"),"NET","EMPRESARIAL"))</f>
        <v>NET</v>
      </c>
    </row>
    <row r="1021" spans="1:15" x14ac:dyDescent="0.25">
      <c r="A1021" s="32">
        <v>4381152</v>
      </c>
      <c r="B1021" s="32" t="s">
        <v>21</v>
      </c>
      <c r="C1021" s="33" t="s">
        <v>19</v>
      </c>
      <c r="D1021" s="35">
        <v>45447</v>
      </c>
      <c r="E1021" s="32" t="s">
        <v>192</v>
      </c>
      <c r="F1021" s="32">
        <v>41001047</v>
      </c>
      <c r="G1021" s="32" t="s">
        <v>257</v>
      </c>
      <c r="H1021" s="26" t="s">
        <v>38</v>
      </c>
      <c r="I1021" s="36">
        <v>50</v>
      </c>
      <c r="J1021" s="32">
        <f>IF(MB25_VOLUMETRIA[[#This Row],[Reserva]]="","",1)</f>
        <v>1</v>
      </c>
      <c r="K1021" s="36" t="str">
        <f>IF(MB25_VOLUMETRIA[[#This Row],[Reserva]]="","",IFERROR(VLOOKUP(MB25_VOLUMETRIA[[#This Row],[UMB]],CHAVE[],2,FALSE),"VERIFICAR"))</f>
        <v>Unidade</v>
      </c>
      <c r="L1021" s="32" t="str">
        <f>IF(MB25_VOLUMETRIA[[#This Row],[Reserva]]="","",IFERROR(VLOOKUP(MB25_VOLUMETRIA[[#This Row],[Reserva]],Tabela3[[Reserva]:[Condição para Faturamento]],20,FALSE),"IMPORTADO COM SUCESSO"))</f>
        <v>IMPORTADO</v>
      </c>
      <c r="M1021" s="32" t="str">
        <f ca="1">IFERROR(VLOOKUP(MB25_VOLUMETRIA[[#This Row],[Reserva]],RES_AB[],14,FALSE),"")</f>
        <v>RESERVAS EM ATRASO</v>
      </c>
      <c r="N1021" s="32" t="str">
        <f>IF(MB25_VOLUMETRIA[[#This Row],[Cen.]]="","",IFERROR(VLOOKUP(MB25_VOLUMETRIA[[#This Row],[Cen.]],Dados_Empresas[],2,FALSE),"Verificar empresa"))</f>
        <v>NET MASSIVO</v>
      </c>
      <c r="O1021" s="32" t="str">
        <f>IF(MB25_VOLUMETRIA[[#This Row],[EMPRESA]]="","",IF(OR(MB25_VOLUMETRIA[[#This Row],[EMPRESA]]="NET MASSIVO",MB25_VOLUMETRIA[[#This Row],[EMPRESA]]="NET PROJETOS"),"NET","EMPRESARIAL"))</f>
        <v>NET</v>
      </c>
    </row>
    <row r="1022" spans="1:15" x14ac:dyDescent="0.25">
      <c r="A1022" s="32">
        <v>4381153</v>
      </c>
      <c r="B1022" s="32" t="s">
        <v>21</v>
      </c>
      <c r="C1022" s="33" t="s">
        <v>21</v>
      </c>
      <c r="D1022" s="35">
        <v>45447</v>
      </c>
      <c r="E1022" s="32" t="s">
        <v>185</v>
      </c>
      <c r="F1022" s="32">
        <v>22056369</v>
      </c>
      <c r="G1022" s="32" t="s">
        <v>194</v>
      </c>
      <c r="H1022" s="26" t="s">
        <v>38</v>
      </c>
      <c r="I1022" s="36">
        <v>100</v>
      </c>
      <c r="J1022" s="32">
        <f>IF(MB25_VOLUMETRIA[[#This Row],[Reserva]]="","",1)</f>
        <v>1</v>
      </c>
      <c r="K1022" s="36" t="str">
        <f>IF(MB25_VOLUMETRIA[[#This Row],[Reserva]]="","",IFERROR(VLOOKUP(MB25_VOLUMETRIA[[#This Row],[UMB]],CHAVE[],2,FALSE),"VERIFICAR"))</f>
        <v>Unidade</v>
      </c>
      <c r="L102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2" s="32" t="str">
        <f ca="1">IFERROR(VLOOKUP(MB25_VOLUMETRIA[[#This Row],[Reserva]],RES_AB[],14,FALSE),"")</f>
        <v>RESERVAS EM ATRASO</v>
      </c>
      <c r="N1022" s="32" t="str">
        <f>IF(MB25_VOLUMETRIA[[#This Row],[Cen.]]="","",IFERROR(VLOOKUP(MB25_VOLUMETRIA[[#This Row],[Cen.]],Dados_Empresas[],2,FALSE),"Verificar empresa"))</f>
        <v>NET MASSIVO</v>
      </c>
      <c r="O1022" s="32" t="str">
        <f>IF(MB25_VOLUMETRIA[[#This Row],[EMPRESA]]="","",IF(OR(MB25_VOLUMETRIA[[#This Row],[EMPRESA]]="NET MASSIVO",MB25_VOLUMETRIA[[#This Row],[EMPRESA]]="NET PROJETOS"),"NET","EMPRESARIAL"))</f>
        <v>NET</v>
      </c>
    </row>
    <row r="1023" spans="1:15" x14ac:dyDescent="0.25">
      <c r="A1023" s="32">
        <v>4381154</v>
      </c>
      <c r="B1023" s="32" t="s">
        <v>21</v>
      </c>
      <c r="C1023" s="33" t="s">
        <v>19</v>
      </c>
      <c r="D1023" s="35">
        <v>45447</v>
      </c>
      <c r="E1023" s="32" t="s">
        <v>192</v>
      </c>
      <c r="F1023" s="32">
        <v>41000805</v>
      </c>
      <c r="G1023" s="32" t="s">
        <v>188</v>
      </c>
      <c r="H1023" s="26" t="s">
        <v>38</v>
      </c>
      <c r="I1023" s="36">
        <v>20</v>
      </c>
      <c r="J1023" s="32">
        <f>IF(MB25_VOLUMETRIA[[#This Row],[Reserva]]="","",1)</f>
        <v>1</v>
      </c>
      <c r="K1023" s="36" t="str">
        <f>IF(MB25_VOLUMETRIA[[#This Row],[Reserva]]="","",IFERROR(VLOOKUP(MB25_VOLUMETRIA[[#This Row],[UMB]],CHAVE[],2,FALSE),"VERIFICAR"))</f>
        <v>Unidade</v>
      </c>
      <c r="L1023" s="32" t="str">
        <f>IF(MB25_VOLUMETRIA[[#This Row],[Reserva]]="","",IFERROR(VLOOKUP(MB25_VOLUMETRIA[[#This Row],[Reserva]],Tabela3[[Reserva]:[Condição para Faturamento]],20,FALSE),"IMPORTADO COM SUCESSO"))</f>
        <v>IMPORTADO</v>
      </c>
      <c r="M1023" s="32" t="str">
        <f ca="1">IFERROR(VLOOKUP(MB25_VOLUMETRIA[[#This Row],[Reserva]],RES_AB[],14,FALSE),"")</f>
        <v>RESERVAS EM ATRASO</v>
      </c>
      <c r="N1023" s="32" t="str">
        <f>IF(MB25_VOLUMETRIA[[#This Row],[Cen.]]="","",IFERROR(VLOOKUP(MB25_VOLUMETRIA[[#This Row],[Cen.]],Dados_Empresas[],2,FALSE),"Verificar empresa"))</f>
        <v>NET MASSIVO</v>
      </c>
      <c r="O1023" s="32" t="str">
        <f>IF(MB25_VOLUMETRIA[[#This Row],[EMPRESA]]="","",IF(OR(MB25_VOLUMETRIA[[#This Row],[EMPRESA]]="NET MASSIVO",MB25_VOLUMETRIA[[#This Row],[EMPRESA]]="NET PROJETOS"),"NET","EMPRESARIAL"))</f>
        <v>NET</v>
      </c>
    </row>
    <row r="1024" spans="1:15" x14ac:dyDescent="0.25">
      <c r="A1024" s="32">
        <v>4381154</v>
      </c>
      <c r="B1024" s="32" t="s">
        <v>21</v>
      </c>
      <c r="C1024" s="33" t="s">
        <v>19</v>
      </c>
      <c r="D1024" s="35">
        <v>45447</v>
      </c>
      <c r="E1024" s="32" t="s">
        <v>192</v>
      </c>
      <c r="F1024" s="32">
        <v>41001047</v>
      </c>
      <c r="G1024" s="32" t="s">
        <v>257</v>
      </c>
      <c r="H1024" s="26" t="s">
        <v>38</v>
      </c>
      <c r="I1024" s="36">
        <v>20</v>
      </c>
      <c r="J1024" s="32">
        <f>IF(MB25_VOLUMETRIA[[#This Row],[Reserva]]="","",1)</f>
        <v>1</v>
      </c>
      <c r="K1024" s="36" t="str">
        <f>IF(MB25_VOLUMETRIA[[#This Row],[Reserva]]="","",IFERROR(VLOOKUP(MB25_VOLUMETRIA[[#This Row],[UMB]],CHAVE[],2,FALSE),"VERIFICAR"))</f>
        <v>Unidade</v>
      </c>
      <c r="L1024" s="32" t="str">
        <f>IF(MB25_VOLUMETRIA[[#This Row],[Reserva]]="","",IFERROR(VLOOKUP(MB25_VOLUMETRIA[[#This Row],[Reserva]],Tabela3[[Reserva]:[Condição para Faturamento]],20,FALSE),"IMPORTADO COM SUCESSO"))</f>
        <v>IMPORTADO</v>
      </c>
      <c r="M1024" s="32" t="str">
        <f ca="1">IFERROR(VLOOKUP(MB25_VOLUMETRIA[[#This Row],[Reserva]],RES_AB[],14,FALSE),"")</f>
        <v>RESERVAS EM ATRASO</v>
      </c>
      <c r="N1024" s="32" t="str">
        <f>IF(MB25_VOLUMETRIA[[#This Row],[Cen.]]="","",IFERROR(VLOOKUP(MB25_VOLUMETRIA[[#This Row],[Cen.]],Dados_Empresas[],2,FALSE),"Verificar empresa"))</f>
        <v>NET MASSIVO</v>
      </c>
      <c r="O1024" s="32" t="str">
        <f>IF(MB25_VOLUMETRIA[[#This Row],[EMPRESA]]="","",IF(OR(MB25_VOLUMETRIA[[#This Row],[EMPRESA]]="NET MASSIVO",MB25_VOLUMETRIA[[#This Row],[EMPRESA]]="NET PROJETOS"),"NET","EMPRESARIAL"))</f>
        <v>NET</v>
      </c>
    </row>
    <row r="1025" spans="1:15" x14ac:dyDescent="0.25">
      <c r="A1025" s="32">
        <v>4381155</v>
      </c>
      <c r="B1025" s="32" t="s">
        <v>21</v>
      </c>
      <c r="C1025" s="33" t="s">
        <v>19</v>
      </c>
      <c r="D1025" s="35">
        <v>45447</v>
      </c>
      <c r="E1025" s="32" t="s">
        <v>192</v>
      </c>
      <c r="F1025" s="32">
        <v>41000805</v>
      </c>
      <c r="G1025" s="32" t="s">
        <v>188</v>
      </c>
      <c r="H1025" s="26" t="s">
        <v>38</v>
      </c>
      <c r="I1025" s="36">
        <v>30</v>
      </c>
      <c r="J1025" s="32">
        <f>IF(MB25_VOLUMETRIA[[#This Row],[Reserva]]="","",1)</f>
        <v>1</v>
      </c>
      <c r="K1025" s="36" t="str">
        <f>IF(MB25_VOLUMETRIA[[#This Row],[Reserva]]="","",IFERROR(VLOOKUP(MB25_VOLUMETRIA[[#This Row],[UMB]],CHAVE[],2,FALSE),"VERIFICAR"))</f>
        <v>Unidade</v>
      </c>
      <c r="L1025" s="32" t="str">
        <f>IF(MB25_VOLUMETRIA[[#This Row],[Reserva]]="","",IFERROR(VLOOKUP(MB25_VOLUMETRIA[[#This Row],[Reserva]],Tabela3[[Reserva]:[Condição para Faturamento]],20,FALSE),"IMPORTADO COM SUCESSO"))</f>
        <v>IMPORTADO</v>
      </c>
      <c r="M1025" s="32" t="str">
        <f ca="1">IFERROR(VLOOKUP(MB25_VOLUMETRIA[[#This Row],[Reserva]],RES_AB[],14,FALSE),"")</f>
        <v>RESERVAS EM ATRASO</v>
      </c>
      <c r="N1025" s="32" t="str">
        <f>IF(MB25_VOLUMETRIA[[#This Row],[Cen.]]="","",IFERROR(VLOOKUP(MB25_VOLUMETRIA[[#This Row],[Cen.]],Dados_Empresas[],2,FALSE),"Verificar empresa"))</f>
        <v>NET MASSIVO</v>
      </c>
      <c r="O1025" s="32" t="str">
        <f>IF(MB25_VOLUMETRIA[[#This Row],[EMPRESA]]="","",IF(OR(MB25_VOLUMETRIA[[#This Row],[EMPRESA]]="NET MASSIVO",MB25_VOLUMETRIA[[#This Row],[EMPRESA]]="NET PROJETOS"),"NET","EMPRESARIAL"))</f>
        <v>NET</v>
      </c>
    </row>
    <row r="1026" spans="1:15" x14ac:dyDescent="0.25">
      <c r="A1026" s="32">
        <v>4381155</v>
      </c>
      <c r="B1026" s="32" t="s">
        <v>21</v>
      </c>
      <c r="C1026" s="33" t="s">
        <v>19</v>
      </c>
      <c r="D1026" s="35">
        <v>45447</v>
      </c>
      <c r="E1026" s="32" t="s">
        <v>192</v>
      </c>
      <c r="F1026" s="32">
        <v>41001047</v>
      </c>
      <c r="G1026" s="32" t="s">
        <v>257</v>
      </c>
      <c r="H1026" s="26" t="s">
        <v>38</v>
      </c>
      <c r="I1026" s="36">
        <v>30</v>
      </c>
      <c r="J1026" s="32">
        <f>IF(MB25_VOLUMETRIA[[#This Row],[Reserva]]="","",1)</f>
        <v>1</v>
      </c>
      <c r="K1026" s="36" t="str">
        <f>IF(MB25_VOLUMETRIA[[#This Row],[Reserva]]="","",IFERROR(VLOOKUP(MB25_VOLUMETRIA[[#This Row],[UMB]],CHAVE[],2,FALSE),"VERIFICAR"))</f>
        <v>Unidade</v>
      </c>
      <c r="L1026" s="32" t="str">
        <f>IF(MB25_VOLUMETRIA[[#This Row],[Reserva]]="","",IFERROR(VLOOKUP(MB25_VOLUMETRIA[[#This Row],[Reserva]],Tabela3[[Reserva]:[Condição para Faturamento]],20,FALSE),"IMPORTADO COM SUCESSO"))</f>
        <v>IMPORTADO</v>
      </c>
      <c r="M1026" s="32" t="str">
        <f ca="1">IFERROR(VLOOKUP(MB25_VOLUMETRIA[[#This Row],[Reserva]],RES_AB[],14,FALSE),"")</f>
        <v>RESERVAS EM ATRASO</v>
      </c>
      <c r="N1026" s="32" t="str">
        <f>IF(MB25_VOLUMETRIA[[#This Row],[Cen.]]="","",IFERROR(VLOOKUP(MB25_VOLUMETRIA[[#This Row],[Cen.]],Dados_Empresas[],2,FALSE),"Verificar empresa"))</f>
        <v>NET MASSIVO</v>
      </c>
      <c r="O1026" s="32" t="str">
        <f>IF(MB25_VOLUMETRIA[[#This Row],[EMPRESA]]="","",IF(OR(MB25_VOLUMETRIA[[#This Row],[EMPRESA]]="NET MASSIVO",MB25_VOLUMETRIA[[#This Row],[EMPRESA]]="NET PROJETOS"),"NET","EMPRESARIAL"))</f>
        <v>NET</v>
      </c>
    </row>
    <row r="1027" spans="1:15" x14ac:dyDescent="0.25">
      <c r="A1027" s="32">
        <v>4381156</v>
      </c>
      <c r="B1027" s="32" t="s">
        <v>21</v>
      </c>
      <c r="C1027" s="33" t="s">
        <v>21</v>
      </c>
      <c r="D1027" s="35">
        <v>45447</v>
      </c>
      <c r="E1027" s="32" t="s">
        <v>185</v>
      </c>
      <c r="F1027" s="32">
        <v>22026158</v>
      </c>
      <c r="G1027" s="32" t="s">
        <v>232</v>
      </c>
      <c r="H1027" s="26" t="s">
        <v>38</v>
      </c>
      <c r="I1027" s="36">
        <v>20</v>
      </c>
      <c r="J1027" s="32">
        <f>IF(MB25_VOLUMETRIA[[#This Row],[Reserva]]="","",1)</f>
        <v>1</v>
      </c>
      <c r="K1027" s="36" t="str">
        <f>IF(MB25_VOLUMETRIA[[#This Row],[Reserva]]="","",IFERROR(VLOOKUP(MB25_VOLUMETRIA[[#This Row],[UMB]],CHAVE[],2,FALSE),"VERIFICAR"))</f>
        <v>Unidade</v>
      </c>
      <c r="L102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7" s="32" t="str">
        <f ca="1">IFERROR(VLOOKUP(MB25_VOLUMETRIA[[#This Row],[Reserva]],RES_AB[],14,FALSE),"")</f>
        <v>RESERVAS EM ATRASO</v>
      </c>
      <c r="N1027" s="32" t="str">
        <f>IF(MB25_VOLUMETRIA[[#This Row],[Cen.]]="","",IFERROR(VLOOKUP(MB25_VOLUMETRIA[[#This Row],[Cen.]],Dados_Empresas[],2,FALSE),"Verificar empresa"))</f>
        <v>NET MASSIVO</v>
      </c>
      <c r="O1027" s="32" t="str">
        <f>IF(MB25_VOLUMETRIA[[#This Row],[EMPRESA]]="","",IF(OR(MB25_VOLUMETRIA[[#This Row],[EMPRESA]]="NET MASSIVO",MB25_VOLUMETRIA[[#This Row],[EMPRESA]]="NET PROJETOS"),"NET","EMPRESARIAL"))</f>
        <v>NET</v>
      </c>
    </row>
    <row r="1028" spans="1:15" x14ac:dyDescent="0.25">
      <c r="A1028" s="32">
        <v>4381156</v>
      </c>
      <c r="B1028" s="32" t="s">
        <v>21</v>
      </c>
      <c r="C1028" s="33" t="s">
        <v>21</v>
      </c>
      <c r="D1028" s="35">
        <v>45447</v>
      </c>
      <c r="E1028" s="32" t="s">
        <v>185</v>
      </c>
      <c r="F1028" s="32">
        <v>22026223</v>
      </c>
      <c r="G1028" s="32" t="s">
        <v>195</v>
      </c>
      <c r="H1028" s="26" t="s">
        <v>38</v>
      </c>
      <c r="I1028" s="36">
        <v>305</v>
      </c>
      <c r="J1028" s="32">
        <f>IF(MB25_VOLUMETRIA[[#This Row],[Reserva]]="","",1)</f>
        <v>1</v>
      </c>
      <c r="K1028" s="36" t="str">
        <f>IF(MB25_VOLUMETRIA[[#This Row],[Reserva]]="","",IFERROR(VLOOKUP(MB25_VOLUMETRIA[[#This Row],[UMB]],CHAVE[],2,FALSE),"VERIFICAR"))</f>
        <v>Unidade</v>
      </c>
      <c r="L102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8" s="32" t="str">
        <f ca="1">IFERROR(VLOOKUP(MB25_VOLUMETRIA[[#This Row],[Reserva]],RES_AB[],14,FALSE),"")</f>
        <v>RESERVAS EM ATRASO</v>
      </c>
      <c r="N1028" s="32" t="str">
        <f>IF(MB25_VOLUMETRIA[[#This Row],[Cen.]]="","",IFERROR(VLOOKUP(MB25_VOLUMETRIA[[#This Row],[Cen.]],Dados_Empresas[],2,FALSE),"Verificar empresa"))</f>
        <v>NET MASSIVO</v>
      </c>
      <c r="O1028" s="32" t="str">
        <f>IF(MB25_VOLUMETRIA[[#This Row],[EMPRESA]]="","",IF(OR(MB25_VOLUMETRIA[[#This Row],[EMPRESA]]="NET MASSIVO",MB25_VOLUMETRIA[[#This Row],[EMPRESA]]="NET PROJETOS"),"NET","EMPRESARIAL"))</f>
        <v>NET</v>
      </c>
    </row>
    <row r="1029" spans="1:15" x14ac:dyDescent="0.25">
      <c r="A1029" s="32">
        <v>4381156</v>
      </c>
      <c r="B1029" s="32" t="s">
        <v>21</v>
      </c>
      <c r="C1029" s="33" t="s">
        <v>19</v>
      </c>
      <c r="D1029" s="35">
        <v>45447</v>
      </c>
      <c r="E1029" s="32" t="s">
        <v>185</v>
      </c>
      <c r="F1029" s="32">
        <v>22026251</v>
      </c>
      <c r="G1029" s="32" t="s">
        <v>247</v>
      </c>
      <c r="H1029" s="26" t="s">
        <v>38</v>
      </c>
      <c r="I1029" s="36">
        <v>30</v>
      </c>
      <c r="J1029" s="32">
        <f>IF(MB25_VOLUMETRIA[[#This Row],[Reserva]]="","",1)</f>
        <v>1</v>
      </c>
      <c r="K1029" s="36" t="str">
        <f>IF(MB25_VOLUMETRIA[[#This Row],[Reserva]]="","",IFERROR(VLOOKUP(MB25_VOLUMETRIA[[#This Row],[UMB]],CHAVE[],2,FALSE),"VERIFICAR"))</f>
        <v>Unidade</v>
      </c>
      <c r="L102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29" s="32" t="str">
        <f ca="1">IFERROR(VLOOKUP(MB25_VOLUMETRIA[[#This Row],[Reserva]],RES_AB[],14,FALSE),"")</f>
        <v>RESERVAS EM ATRASO</v>
      </c>
      <c r="N1029" s="32" t="str">
        <f>IF(MB25_VOLUMETRIA[[#This Row],[Cen.]]="","",IFERROR(VLOOKUP(MB25_VOLUMETRIA[[#This Row],[Cen.]],Dados_Empresas[],2,FALSE),"Verificar empresa"))</f>
        <v>NET MASSIVO</v>
      </c>
      <c r="O1029" s="32" t="str">
        <f>IF(MB25_VOLUMETRIA[[#This Row],[EMPRESA]]="","",IF(OR(MB25_VOLUMETRIA[[#This Row],[EMPRESA]]="NET MASSIVO",MB25_VOLUMETRIA[[#This Row],[EMPRESA]]="NET PROJETOS"),"NET","EMPRESARIAL"))</f>
        <v>NET</v>
      </c>
    </row>
    <row r="1030" spans="1:15" x14ac:dyDescent="0.25">
      <c r="A1030" s="32">
        <v>4381156</v>
      </c>
      <c r="B1030" s="32" t="s">
        <v>21</v>
      </c>
      <c r="C1030" s="33" t="s">
        <v>21</v>
      </c>
      <c r="D1030" s="35">
        <v>45447</v>
      </c>
      <c r="E1030" s="32" t="s">
        <v>185</v>
      </c>
      <c r="F1030" s="32">
        <v>22056366</v>
      </c>
      <c r="G1030" s="32" t="s">
        <v>237</v>
      </c>
      <c r="H1030" s="26" t="s">
        <v>38</v>
      </c>
      <c r="I1030" s="36">
        <v>100</v>
      </c>
      <c r="J1030" s="32">
        <f>IF(MB25_VOLUMETRIA[[#This Row],[Reserva]]="","",1)</f>
        <v>1</v>
      </c>
      <c r="K1030" s="36" t="str">
        <f>IF(MB25_VOLUMETRIA[[#This Row],[Reserva]]="","",IFERROR(VLOOKUP(MB25_VOLUMETRIA[[#This Row],[UMB]],CHAVE[],2,FALSE),"VERIFICAR"))</f>
        <v>Unidade</v>
      </c>
      <c r="L103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0" s="32" t="str">
        <f ca="1">IFERROR(VLOOKUP(MB25_VOLUMETRIA[[#This Row],[Reserva]],RES_AB[],14,FALSE),"")</f>
        <v>RESERVAS EM ATRASO</v>
      </c>
      <c r="N1030" s="32" t="str">
        <f>IF(MB25_VOLUMETRIA[[#This Row],[Cen.]]="","",IFERROR(VLOOKUP(MB25_VOLUMETRIA[[#This Row],[Cen.]],Dados_Empresas[],2,FALSE),"Verificar empresa"))</f>
        <v>NET MASSIVO</v>
      </c>
      <c r="O1030" s="32" t="str">
        <f>IF(MB25_VOLUMETRIA[[#This Row],[EMPRESA]]="","",IF(OR(MB25_VOLUMETRIA[[#This Row],[EMPRESA]]="NET MASSIVO",MB25_VOLUMETRIA[[#This Row],[EMPRESA]]="NET PROJETOS"),"NET","EMPRESARIAL"))</f>
        <v>NET</v>
      </c>
    </row>
    <row r="1031" spans="1:15" x14ac:dyDescent="0.25">
      <c r="A1031" s="32">
        <v>4381157</v>
      </c>
      <c r="B1031" s="32" t="s">
        <v>21</v>
      </c>
      <c r="C1031" s="33" t="s">
        <v>19</v>
      </c>
      <c r="D1031" s="35">
        <v>45447</v>
      </c>
      <c r="E1031" s="32" t="s">
        <v>185</v>
      </c>
      <c r="F1031" s="32">
        <v>22025119</v>
      </c>
      <c r="G1031" s="32" t="s">
        <v>365</v>
      </c>
      <c r="H1031" s="26" t="s">
        <v>38</v>
      </c>
      <c r="I1031" s="36">
        <v>20</v>
      </c>
      <c r="J1031" s="32">
        <f>IF(MB25_VOLUMETRIA[[#This Row],[Reserva]]="","",1)</f>
        <v>1</v>
      </c>
      <c r="K1031" s="36" t="str">
        <f>IF(MB25_VOLUMETRIA[[#This Row],[Reserva]]="","",IFERROR(VLOOKUP(MB25_VOLUMETRIA[[#This Row],[UMB]],CHAVE[],2,FALSE),"VERIFICAR"))</f>
        <v>Unidade</v>
      </c>
      <c r="L103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1" s="32" t="str">
        <f ca="1">IFERROR(VLOOKUP(MB25_VOLUMETRIA[[#This Row],[Reserva]],RES_AB[],14,FALSE),"")</f>
        <v>RESERVAS EM ATRASO</v>
      </c>
      <c r="N1031" s="32" t="str">
        <f>IF(MB25_VOLUMETRIA[[#This Row],[Cen.]]="","",IFERROR(VLOOKUP(MB25_VOLUMETRIA[[#This Row],[Cen.]],Dados_Empresas[],2,FALSE),"Verificar empresa"))</f>
        <v>NET MASSIVO</v>
      </c>
      <c r="O1031" s="32" t="str">
        <f>IF(MB25_VOLUMETRIA[[#This Row],[EMPRESA]]="","",IF(OR(MB25_VOLUMETRIA[[#This Row],[EMPRESA]]="NET MASSIVO",MB25_VOLUMETRIA[[#This Row],[EMPRESA]]="NET PROJETOS"),"NET","EMPRESARIAL"))</f>
        <v>NET</v>
      </c>
    </row>
    <row r="1032" spans="1:15" x14ac:dyDescent="0.25">
      <c r="A1032" s="32">
        <v>4381157</v>
      </c>
      <c r="B1032" s="32" t="s">
        <v>21</v>
      </c>
      <c r="C1032" s="33" t="s">
        <v>19</v>
      </c>
      <c r="D1032" s="35">
        <v>45447</v>
      </c>
      <c r="E1032" s="32" t="s">
        <v>185</v>
      </c>
      <c r="F1032" s="32">
        <v>22025181</v>
      </c>
      <c r="G1032" s="32" t="s">
        <v>366</v>
      </c>
      <c r="H1032" s="26" t="s">
        <v>38</v>
      </c>
      <c r="I1032" s="36">
        <v>20</v>
      </c>
      <c r="J1032" s="32">
        <f>IF(MB25_VOLUMETRIA[[#This Row],[Reserva]]="","",1)</f>
        <v>1</v>
      </c>
      <c r="K1032" s="36" t="str">
        <f>IF(MB25_VOLUMETRIA[[#This Row],[Reserva]]="","",IFERROR(VLOOKUP(MB25_VOLUMETRIA[[#This Row],[UMB]],CHAVE[],2,FALSE),"VERIFICAR"))</f>
        <v>Unidade</v>
      </c>
      <c r="L103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2" s="32" t="str">
        <f ca="1">IFERROR(VLOOKUP(MB25_VOLUMETRIA[[#This Row],[Reserva]],RES_AB[],14,FALSE),"")</f>
        <v>RESERVAS EM ATRASO</v>
      </c>
      <c r="N1032" s="32" t="str">
        <f>IF(MB25_VOLUMETRIA[[#This Row],[Cen.]]="","",IFERROR(VLOOKUP(MB25_VOLUMETRIA[[#This Row],[Cen.]],Dados_Empresas[],2,FALSE),"Verificar empresa"))</f>
        <v>NET MASSIVO</v>
      </c>
      <c r="O1032" s="32" t="str">
        <f>IF(MB25_VOLUMETRIA[[#This Row],[EMPRESA]]="","",IF(OR(MB25_VOLUMETRIA[[#This Row],[EMPRESA]]="NET MASSIVO",MB25_VOLUMETRIA[[#This Row],[EMPRESA]]="NET PROJETOS"),"NET","EMPRESARIAL"))</f>
        <v>NET</v>
      </c>
    </row>
    <row r="1033" spans="1:15" x14ac:dyDescent="0.25">
      <c r="A1033" s="32">
        <v>4381157</v>
      </c>
      <c r="B1033" s="32" t="s">
        <v>21</v>
      </c>
      <c r="C1033" s="33" t="s">
        <v>19</v>
      </c>
      <c r="D1033" s="35">
        <v>45447</v>
      </c>
      <c r="E1033" s="32" t="s">
        <v>185</v>
      </c>
      <c r="F1033" s="32">
        <v>22025348</v>
      </c>
      <c r="G1033" s="32" t="s">
        <v>218</v>
      </c>
      <c r="H1033" s="26" t="s">
        <v>38</v>
      </c>
      <c r="I1033" s="36">
        <v>20</v>
      </c>
      <c r="J1033" s="32">
        <f>IF(MB25_VOLUMETRIA[[#This Row],[Reserva]]="","",1)</f>
        <v>1</v>
      </c>
      <c r="K1033" s="36" t="str">
        <f>IF(MB25_VOLUMETRIA[[#This Row],[Reserva]]="","",IFERROR(VLOOKUP(MB25_VOLUMETRIA[[#This Row],[UMB]],CHAVE[],2,FALSE),"VERIFICAR"))</f>
        <v>Unidade</v>
      </c>
      <c r="L103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3" s="32" t="str">
        <f ca="1">IFERROR(VLOOKUP(MB25_VOLUMETRIA[[#This Row],[Reserva]],RES_AB[],14,FALSE),"")</f>
        <v>RESERVAS EM ATRASO</v>
      </c>
      <c r="N1033" s="32" t="str">
        <f>IF(MB25_VOLUMETRIA[[#This Row],[Cen.]]="","",IFERROR(VLOOKUP(MB25_VOLUMETRIA[[#This Row],[Cen.]],Dados_Empresas[],2,FALSE),"Verificar empresa"))</f>
        <v>NET MASSIVO</v>
      </c>
      <c r="O1033" s="32" t="str">
        <f>IF(MB25_VOLUMETRIA[[#This Row],[EMPRESA]]="","",IF(OR(MB25_VOLUMETRIA[[#This Row],[EMPRESA]]="NET MASSIVO",MB25_VOLUMETRIA[[#This Row],[EMPRESA]]="NET PROJETOS"),"NET","EMPRESARIAL"))</f>
        <v>NET</v>
      </c>
    </row>
    <row r="1034" spans="1:15" x14ac:dyDescent="0.25">
      <c r="A1034" s="32">
        <v>4381157</v>
      </c>
      <c r="B1034" s="32" t="s">
        <v>21</v>
      </c>
      <c r="C1034" s="33" t="s">
        <v>21</v>
      </c>
      <c r="D1034" s="35">
        <v>45447</v>
      </c>
      <c r="E1034" s="32" t="s">
        <v>185</v>
      </c>
      <c r="F1034" s="32">
        <v>22056335</v>
      </c>
      <c r="G1034" s="32" t="s">
        <v>242</v>
      </c>
      <c r="H1034" s="26" t="s">
        <v>38</v>
      </c>
      <c r="I1034" s="36">
        <v>100</v>
      </c>
      <c r="J1034" s="32">
        <f>IF(MB25_VOLUMETRIA[[#This Row],[Reserva]]="","",1)</f>
        <v>1</v>
      </c>
      <c r="K1034" s="36" t="str">
        <f>IF(MB25_VOLUMETRIA[[#This Row],[Reserva]]="","",IFERROR(VLOOKUP(MB25_VOLUMETRIA[[#This Row],[UMB]],CHAVE[],2,FALSE),"VERIFICAR"))</f>
        <v>Unidade</v>
      </c>
      <c r="L103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4" s="32" t="str">
        <f ca="1">IFERROR(VLOOKUP(MB25_VOLUMETRIA[[#This Row],[Reserva]],RES_AB[],14,FALSE),"")</f>
        <v>RESERVAS EM ATRASO</v>
      </c>
      <c r="N1034" s="32" t="str">
        <f>IF(MB25_VOLUMETRIA[[#This Row],[Cen.]]="","",IFERROR(VLOOKUP(MB25_VOLUMETRIA[[#This Row],[Cen.]],Dados_Empresas[],2,FALSE),"Verificar empresa"))</f>
        <v>NET MASSIVO</v>
      </c>
      <c r="O1034" s="32" t="str">
        <f>IF(MB25_VOLUMETRIA[[#This Row],[EMPRESA]]="","",IF(OR(MB25_VOLUMETRIA[[#This Row],[EMPRESA]]="NET MASSIVO",MB25_VOLUMETRIA[[#This Row],[EMPRESA]]="NET PROJETOS"),"NET","EMPRESARIAL"))</f>
        <v>NET</v>
      </c>
    </row>
    <row r="1035" spans="1:15" x14ac:dyDescent="0.25">
      <c r="A1035" s="32">
        <v>4381157</v>
      </c>
      <c r="B1035" s="32" t="s">
        <v>21</v>
      </c>
      <c r="C1035" s="33" t="s">
        <v>19</v>
      </c>
      <c r="D1035" s="35">
        <v>45447</v>
      </c>
      <c r="E1035" s="32" t="s">
        <v>185</v>
      </c>
      <c r="F1035" s="32">
        <v>22058239</v>
      </c>
      <c r="G1035" s="32" t="s">
        <v>317</v>
      </c>
      <c r="H1035" s="26" t="s">
        <v>38</v>
      </c>
      <c r="I1035" s="36">
        <v>50</v>
      </c>
      <c r="J1035" s="32">
        <f>IF(MB25_VOLUMETRIA[[#This Row],[Reserva]]="","",1)</f>
        <v>1</v>
      </c>
      <c r="K1035" s="36" t="str">
        <f>IF(MB25_VOLUMETRIA[[#This Row],[Reserva]]="","",IFERROR(VLOOKUP(MB25_VOLUMETRIA[[#This Row],[UMB]],CHAVE[],2,FALSE),"VERIFICAR"))</f>
        <v>Unidade</v>
      </c>
      <c r="L103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5" s="32" t="str">
        <f ca="1">IFERROR(VLOOKUP(MB25_VOLUMETRIA[[#This Row],[Reserva]],RES_AB[],14,FALSE),"")</f>
        <v>RESERVAS EM ATRASO</v>
      </c>
      <c r="N1035" s="32" t="str">
        <f>IF(MB25_VOLUMETRIA[[#This Row],[Cen.]]="","",IFERROR(VLOOKUP(MB25_VOLUMETRIA[[#This Row],[Cen.]],Dados_Empresas[],2,FALSE),"Verificar empresa"))</f>
        <v>NET MASSIVO</v>
      </c>
      <c r="O1035" s="32" t="str">
        <f>IF(MB25_VOLUMETRIA[[#This Row],[EMPRESA]]="","",IF(OR(MB25_VOLUMETRIA[[#This Row],[EMPRESA]]="NET MASSIVO",MB25_VOLUMETRIA[[#This Row],[EMPRESA]]="NET PROJETOS"),"NET","EMPRESARIAL"))</f>
        <v>NET</v>
      </c>
    </row>
    <row r="1036" spans="1:15" x14ac:dyDescent="0.25">
      <c r="A1036" s="32">
        <v>4381157</v>
      </c>
      <c r="B1036" s="32" t="s">
        <v>21</v>
      </c>
      <c r="C1036" s="33" t="s">
        <v>21</v>
      </c>
      <c r="D1036" s="35">
        <v>45447</v>
      </c>
      <c r="E1036" s="32" t="s">
        <v>185</v>
      </c>
      <c r="F1036" s="32">
        <v>22061736</v>
      </c>
      <c r="G1036" s="32" t="s">
        <v>216</v>
      </c>
      <c r="H1036" s="26" t="s">
        <v>38</v>
      </c>
      <c r="I1036" s="36">
        <v>500</v>
      </c>
      <c r="J1036" s="32">
        <f>IF(MB25_VOLUMETRIA[[#This Row],[Reserva]]="","",1)</f>
        <v>1</v>
      </c>
      <c r="K1036" s="36" t="str">
        <f>IF(MB25_VOLUMETRIA[[#This Row],[Reserva]]="","",IFERROR(VLOOKUP(MB25_VOLUMETRIA[[#This Row],[UMB]],CHAVE[],2,FALSE),"VERIFICAR"))</f>
        <v>Unidade</v>
      </c>
      <c r="L103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36" s="32" t="str">
        <f ca="1">IFERROR(VLOOKUP(MB25_VOLUMETRIA[[#This Row],[Reserva]],RES_AB[],14,FALSE),"")</f>
        <v>RESERVAS EM ATRASO</v>
      </c>
      <c r="N1036" s="32" t="str">
        <f>IF(MB25_VOLUMETRIA[[#This Row],[Cen.]]="","",IFERROR(VLOOKUP(MB25_VOLUMETRIA[[#This Row],[Cen.]],Dados_Empresas[],2,FALSE),"Verificar empresa"))</f>
        <v>NET MASSIVO</v>
      </c>
      <c r="O1036" s="32" t="str">
        <f>IF(MB25_VOLUMETRIA[[#This Row],[EMPRESA]]="","",IF(OR(MB25_VOLUMETRIA[[#This Row],[EMPRESA]]="NET MASSIVO",MB25_VOLUMETRIA[[#This Row],[EMPRESA]]="NET PROJETOS"),"NET","EMPRESARIAL"))</f>
        <v>NET</v>
      </c>
    </row>
    <row r="1037" spans="1:15" x14ac:dyDescent="0.25">
      <c r="A1037" s="32">
        <v>4381158</v>
      </c>
      <c r="B1037" s="32" t="s">
        <v>21</v>
      </c>
      <c r="C1037" s="33" t="s">
        <v>19</v>
      </c>
      <c r="D1037" s="35">
        <v>45447</v>
      </c>
      <c r="E1037" s="32" t="s">
        <v>192</v>
      </c>
      <c r="F1037" s="32">
        <v>41001292</v>
      </c>
      <c r="G1037" s="32" t="s">
        <v>353</v>
      </c>
      <c r="H1037" s="26" t="s">
        <v>38</v>
      </c>
      <c r="I1037" s="36">
        <v>20</v>
      </c>
      <c r="J1037" s="32">
        <f>IF(MB25_VOLUMETRIA[[#This Row],[Reserva]]="","",1)</f>
        <v>1</v>
      </c>
      <c r="K1037" s="36" t="str">
        <f>IF(MB25_VOLUMETRIA[[#This Row],[Reserva]]="","",IFERROR(VLOOKUP(MB25_VOLUMETRIA[[#This Row],[UMB]],CHAVE[],2,FALSE),"VERIFICAR"))</f>
        <v>Unidade</v>
      </c>
      <c r="L1037" s="32" t="str">
        <f>IF(MB25_VOLUMETRIA[[#This Row],[Reserva]]="","",IFERROR(VLOOKUP(MB25_VOLUMETRIA[[#This Row],[Reserva]],Tabela3[[Reserva]:[Condição para Faturamento]],20,FALSE),"IMPORTADO COM SUCESSO"))</f>
        <v>IMPORTADO</v>
      </c>
      <c r="M1037" s="32" t="str">
        <f ca="1">IFERROR(VLOOKUP(MB25_VOLUMETRIA[[#This Row],[Reserva]],RES_AB[],14,FALSE),"")</f>
        <v>RESERVAS EM ATRASO</v>
      </c>
      <c r="N1037" s="32" t="str">
        <f>IF(MB25_VOLUMETRIA[[#This Row],[Cen.]]="","",IFERROR(VLOOKUP(MB25_VOLUMETRIA[[#This Row],[Cen.]],Dados_Empresas[],2,FALSE),"Verificar empresa"))</f>
        <v>NET MASSIVO</v>
      </c>
      <c r="O1037" s="32" t="str">
        <f>IF(MB25_VOLUMETRIA[[#This Row],[EMPRESA]]="","",IF(OR(MB25_VOLUMETRIA[[#This Row],[EMPRESA]]="NET MASSIVO",MB25_VOLUMETRIA[[#This Row],[EMPRESA]]="NET PROJETOS"),"NET","EMPRESARIAL"))</f>
        <v>NET</v>
      </c>
    </row>
    <row r="1038" spans="1:15" x14ac:dyDescent="0.25">
      <c r="A1038" s="32">
        <v>4381159</v>
      </c>
      <c r="B1038" s="32" t="s">
        <v>21</v>
      </c>
      <c r="C1038" s="33" t="s">
        <v>19</v>
      </c>
      <c r="D1038" s="35">
        <v>45447</v>
      </c>
      <c r="E1038" s="32" t="s">
        <v>192</v>
      </c>
      <c r="F1038" s="32">
        <v>41000805</v>
      </c>
      <c r="G1038" s="32" t="s">
        <v>188</v>
      </c>
      <c r="H1038" s="26" t="s">
        <v>38</v>
      </c>
      <c r="I1038" s="36">
        <v>30</v>
      </c>
      <c r="J1038" s="32">
        <f>IF(MB25_VOLUMETRIA[[#This Row],[Reserva]]="","",1)</f>
        <v>1</v>
      </c>
      <c r="K1038" s="36" t="str">
        <f>IF(MB25_VOLUMETRIA[[#This Row],[Reserva]]="","",IFERROR(VLOOKUP(MB25_VOLUMETRIA[[#This Row],[UMB]],CHAVE[],2,FALSE),"VERIFICAR"))</f>
        <v>Unidade</v>
      </c>
      <c r="L1038" s="32" t="str">
        <f>IF(MB25_VOLUMETRIA[[#This Row],[Reserva]]="","",IFERROR(VLOOKUP(MB25_VOLUMETRIA[[#This Row],[Reserva]],Tabela3[[Reserva]:[Condição para Faturamento]],20,FALSE),"IMPORTADO COM SUCESSO"))</f>
        <v>IMPORTADO</v>
      </c>
      <c r="M1038" s="32" t="str">
        <f ca="1">IFERROR(VLOOKUP(MB25_VOLUMETRIA[[#This Row],[Reserva]],RES_AB[],14,FALSE),"")</f>
        <v>RESERVAS EM ATRASO</v>
      </c>
      <c r="N1038" s="32" t="str">
        <f>IF(MB25_VOLUMETRIA[[#This Row],[Cen.]]="","",IFERROR(VLOOKUP(MB25_VOLUMETRIA[[#This Row],[Cen.]],Dados_Empresas[],2,FALSE),"Verificar empresa"))</f>
        <v>NET MASSIVO</v>
      </c>
      <c r="O1038" s="32" t="str">
        <f>IF(MB25_VOLUMETRIA[[#This Row],[EMPRESA]]="","",IF(OR(MB25_VOLUMETRIA[[#This Row],[EMPRESA]]="NET MASSIVO",MB25_VOLUMETRIA[[#This Row],[EMPRESA]]="NET PROJETOS"),"NET","EMPRESARIAL"))</f>
        <v>NET</v>
      </c>
    </row>
    <row r="1039" spans="1:15" x14ac:dyDescent="0.25">
      <c r="A1039" s="32">
        <v>4381159</v>
      </c>
      <c r="B1039" s="32" t="s">
        <v>21</v>
      </c>
      <c r="C1039" s="33" t="s">
        <v>19</v>
      </c>
      <c r="D1039" s="35">
        <v>45447</v>
      </c>
      <c r="E1039" s="32" t="s">
        <v>192</v>
      </c>
      <c r="F1039" s="32">
        <v>41001047</v>
      </c>
      <c r="G1039" s="32" t="s">
        <v>257</v>
      </c>
      <c r="H1039" s="26" t="s">
        <v>38</v>
      </c>
      <c r="I1039" s="36">
        <v>30</v>
      </c>
      <c r="J1039" s="32">
        <f>IF(MB25_VOLUMETRIA[[#This Row],[Reserva]]="","",1)</f>
        <v>1</v>
      </c>
      <c r="K1039" s="36" t="str">
        <f>IF(MB25_VOLUMETRIA[[#This Row],[Reserva]]="","",IFERROR(VLOOKUP(MB25_VOLUMETRIA[[#This Row],[UMB]],CHAVE[],2,FALSE),"VERIFICAR"))</f>
        <v>Unidade</v>
      </c>
      <c r="L1039" s="32" t="str">
        <f>IF(MB25_VOLUMETRIA[[#This Row],[Reserva]]="","",IFERROR(VLOOKUP(MB25_VOLUMETRIA[[#This Row],[Reserva]],Tabela3[[Reserva]:[Condição para Faturamento]],20,FALSE),"IMPORTADO COM SUCESSO"))</f>
        <v>IMPORTADO</v>
      </c>
      <c r="M1039" s="32" t="str">
        <f ca="1">IFERROR(VLOOKUP(MB25_VOLUMETRIA[[#This Row],[Reserva]],RES_AB[],14,FALSE),"")</f>
        <v>RESERVAS EM ATRASO</v>
      </c>
      <c r="N1039" s="32" t="str">
        <f>IF(MB25_VOLUMETRIA[[#This Row],[Cen.]]="","",IFERROR(VLOOKUP(MB25_VOLUMETRIA[[#This Row],[Cen.]],Dados_Empresas[],2,FALSE),"Verificar empresa"))</f>
        <v>NET MASSIVO</v>
      </c>
      <c r="O1039" s="32" t="str">
        <f>IF(MB25_VOLUMETRIA[[#This Row],[EMPRESA]]="","",IF(OR(MB25_VOLUMETRIA[[#This Row],[EMPRESA]]="NET MASSIVO",MB25_VOLUMETRIA[[#This Row],[EMPRESA]]="NET PROJETOS"),"NET","EMPRESARIAL"))</f>
        <v>NET</v>
      </c>
    </row>
    <row r="1040" spans="1:15" x14ac:dyDescent="0.25">
      <c r="A1040" s="32">
        <v>4381160</v>
      </c>
      <c r="B1040" s="32" t="s">
        <v>21</v>
      </c>
      <c r="C1040" s="33" t="s">
        <v>19</v>
      </c>
      <c r="D1040" s="35">
        <v>45447</v>
      </c>
      <c r="E1040" s="32" t="s">
        <v>192</v>
      </c>
      <c r="F1040" s="32">
        <v>41000805</v>
      </c>
      <c r="G1040" s="32" t="s">
        <v>188</v>
      </c>
      <c r="H1040" s="26" t="s">
        <v>38</v>
      </c>
      <c r="I1040" s="36">
        <v>240</v>
      </c>
      <c r="J1040" s="32">
        <f>IF(MB25_VOLUMETRIA[[#This Row],[Reserva]]="","",1)</f>
        <v>1</v>
      </c>
      <c r="K1040" s="36" t="str">
        <f>IF(MB25_VOLUMETRIA[[#This Row],[Reserva]]="","",IFERROR(VLOOKUP(MB25_VOLUMETRIA[[#This Row],[UMB]],CHAVE[],2,FALSE),"VERIFICAR"))</f>
        <v>Unidade</v>
      </c>
      <c r="L1040" s="32" t="str">
        <f>IF(MB25_VOLUMETRIA[[#This Row],[Reserva]]="","",IFERROR(VLOOKUP(MB25_VOLUMETRIA[[#This Row],[Reserva]],Tabela3[[Reserva]:[Condição para Faturamento]],20,FALSE),"IMPORTADO COM SUCESSO"))</f>
        <v>IMPORTADO</v>
      </c>
      <c r="M1040" s="32" t="str">
        <f ca="1">IFERROR(VLOOKUP(MB25_VOLUMETRIA[[#This Row],[Reserva]],RES_AB[],14,FALSE),"")</f>
        <v>RESERVAS EM ATRASO</v>
      </c>
      <c r="N1040" s="32" t="str">
        <f>IF(MB25_VOLUMETRIA[[#This Row],[Cen.]]="","",IFERROR(VLOOKUP(MB25_VOLUMETRIA[[#This Row],[Cen.]],Dados_Empresas[],2,FALSE),"Verificar empresa"))</f>
        <v>NET MASSIVO</v>
      </c>
      <c r="O1040" s="32" t="str">
        <f>IF(MB25_VOLUMETRIA[[#This Row],[EMPRESA]]="","",IF(OR(MB25_VOLUMETRIA[[#This Row],[EMPRESA]]="NET MASSIVO",MB25_VOLUMETRIA[[#This Row],[EMPRESA]]="NET PROJETOS"),"NET","EMPRESARIAL"))</f>
        <v>NET</v>
      </c>
    </row>
    <row r="1041" spans="1:15" x14ac:dyDescent="0.25">
      <c r="A1041" s="32">
        <v>4381160</v>
      </c>
      <c r="B1041" s="32" t="s">
        <v>21</v>
      </c>
      <c r="C1041" s="33" t="s">
        <v>19</v>
      </c>
      <c r="D1041" s="35">
        <v>45447</v>
      </c>
      <c r="E1041" s="32" t="s">
        <v>192</v>
      </c>
      <c r="F1041" s="32">
        <v>41001047</v>
      </c>
      <c r="G1041" s="32" t="s">
        <v>257</v>
      </c>
      <c r="H1041" s="26" t="s">
        <v>38</v>
      </c>
      <c r="I1041" s="36">
        <v>240</v>
      </c>
      <c r="J1041" s="32">
        <f>IF(MB25_VOLUMETRIA[[#This Row],[Reserva]]="","",1)</f>
        <v>1</v>
      </c>
      <c r="K1041" s="36" t="str">
        <f>IF(MB25_VOLUMETRIA[[#This Row],[Reserva]]="","",IFERROR(VLOOKUP(MB25_VOLUMETRIA[[#This Row],[UMB]],CHAVE[],2,FALSE),"VERIFICAR"))</f>
        <v>Unidade</v>
      </c>
      <c r="L1041" s="32" t="str">
        <f>IF(MB25_VOLUMETRIA[[#This Row],[Reserva]]="","",IFERROR(VLOOKUP(MB25_VOLUMETRIA[[#This Row],[Reserva]],Tabela3[[Reserva]:[Condição para Faturamento]],20,FALSE),"IMPORTADO COM SUCESSO"))</f>
        <v>IMPORTADO</v>
      </c>
      <c r="M1041" s="32" t="str">
        <f ca="1">IFERROR(VLOOKUP(MB25_VOLUMETRIA[[#This Row],[Reserva]],RES_AB[],14,FALSE),"")</f>
        <v>RESERVAS EM ATRASO</v>
      </c>
      <c r="N1041" s="32" t="str">
        <f>IF(MB25_VOLUMETRIA[[#This Row],[Cen.]]="","",IFERROR(VLOOKUP(MB25_VOLUMETRIA[[#This Row],[Cen.]],Dados_Empresas[],2,FALSE),"Verificar empresa"))</f>
        <v>NET MASSIVO</v>
      </c>
      <c r="O1041" s="32" t="str">
        <f>IF(MB25_VOLUMETRIA[[#This Row],[EMPRESA]]="","",IF(OR(MB25_VOLUMETRIA[[#This Row],[EMPRESA]]="NET MASSIVO",MB25_VOLUMETRIA[[#This Row],[EMPRESA]]="NET PROJETOS"),"NET","EMPRESARIAL"))</f>
        <v>NET</v>
      </c>
    </row>
    <row r="1042" spans="1:15" x14ac:dyDescent="0.25">
      <c r="A1042" s="32">
        <v>4381160</v>
      </c>
      <c r="B1042" s="32" t="s">
        <v>21</v>
      </c>
      <c r="C1042" s="33" t="s">
        <v>19</v>
      </c>
      <c r="D1042" s="35">
        <v>45447</v>
      </c>
      <c r="E1042" s="32" t="s">
        <v>192</v>
      </c>
      <c r="F1042" s="32">
        <v>41001292</v>
      </c>
      <c r="G1042" s="32" t="s">
        <v>353</v>
      </c>
      <c r="H1042" s="26" t="s">
        <v>38</v>
      </c>
      <c r="I1042" s="36">
        <v>70</v>
      </c>
      <c r="J1042" s="32">
        <f>IF(MB25_VOLUMETRIA[[#This Row],[Reserva]]="","",1)</f>
        <v>1</v>
      </c>
      <c r="K1042" s="36" t="str">
        <f>IF(MB25_VOLUMETRIA[[#This Row],[Reserva]]="","",IFERROR(VLOOKUP(MB25_VOLUMETRIA[[#This Row],[UMB]],CHAVE[],2,FALSE),"VERIFICAR"))</f>
        <v>Unidade</v>
      </c>
      <c r="L1042" s="32" t="str">
        <f>IF(MB25_VOLUMETRIA[[#This Row],[Reserva]]="","",IFERROR(VLOOKUP(MB25_VOLUMETRIA[[#This Row],[Reserva]],Tabela3[[Reserva]:[Condição para Faturamento]],20,FALSE),"IMPORTADO COM SUCESSO"))</f>
        <v>IMPORTADO</v>
      </c>
      <c r="M1042" s="32" t="str">
        <f ca="1">IFERROR(VLOOKUP(MB25_VOLUMETRIA[[#This Row],[Reserva]],RES_AB[],14,FALSE),"")</f>
        <v>RESERVAS EM ATRASO</v>
      </c>
      <c r="N1042" s="32" t="str">
        <f>IF(MB25_VOLUMETRIA[[#This Row],[Cen.]]="","",IFERROR(VLOOKUP(MB25_VOLUMETRIA[[#This Row],[Cen.]],Dados_Empresas[],2,FALSE),"Verificar empresa"))</f>
        <v>NET MASSIVO</v>
      </c>
      <c r="O1042" s="32" t="str">
        <f>IF(MB25_VOLUMETRIA[[#This Row],[EMPRESA]]="","",IF(OR(MB25_VOLUMETRIA[[#This Row],[EMPRESA]]="NET MASSIVO",MB25_VOLUMETRIA[[#This Row],[EMPRESA]]="NET PROJETOS"),"NET","EMPRESARIAL"))</f>
        <v>NET</v>
      </c>
    </row>
    <row r="1043" spans="1:15" x14ac:dyDescent="0.25">
      <c r="A1043" s="32">
        <v>4381161</v>
      </c>
      <c r="B1043" s="32" t="s">
        <v>21</v>
      </c>
      <c r="C1043" s="33" t="s">
        <v>19</v>
      </c>
      <c r="D1043" s="35">
        <v>45447</v>
      </c>
      <c r="E1043" s="32" t="s">
        <v>185</v>
      </c>
      <c r="F1043" s="32">
        <v>22025239</v>
      </c>
      <c r="G1043" s="32" t="s">
        <v>335</v>
      </c>
      <c r="H1043" s="26" t="s">
        <v>38</v>
      </c>
      <c r="I1043" s="36">
        <v>10</v>
      </c>
      <c r="J1043" s="32">
        <f>IF(MB25_VOLUMETRIA[[#This Row],[Reserva]]="","",1)</f>
        <v>1</v>
      </c>
      <c r="K1043" s="36" t="str">
        <f>IF(MB25_VOLUMETRIA[[#This Row],[Reserva]]="","",IFERROR(VLOOKUP(MB25_VOLUMETRIA[[#This Row],[UMB]],CHAVE[],2,FALSE),"VERIFICAR"))</f>
        <v>Unidade</v>
      </c>
      <c r="L104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3" s="32" t="str">
        <f ca="1">IFERROR(VLOOKUP(MB25_VOLUMETRIA[[#This Row],[Reserva]],RES_AB[],14,FALSE),"")</f>
        <v>RESERVAS EM ATRASO</v>
      </c>
      <c r="N1043" s="32" t="str">
        <f>IF(MB25_VOLUMETRIA[[#This Row],[Cen.]]="","",IFERROR(VLOOKUP(MB25_VOLUMETRIA[[#This Row],[Cen.]],Dados_Empresas[],2,FALSE),"Verificar empresa"))</f>
        <v>NET MASSIVO</v>
      </c>
      <c r="O1043" s="32" t="str">
        <f>IF(MB25_VOLUMETRIA[[#This Row],[EMPRESA]]="","",IF(OR(MB25_VOLUMETRIA[[#This Row],[EMPRESA]]="NET MASSIVO",MB25_VOLUMETRIA[[#This Row],[EMPRESA]]="NET PROJETOS"),"NET","EMPRESARIAL"))</f>
        <v>NET</v>
      </c>
    </row>
    <row r="1044" spans="1:15" x14ac:dyDescent="0.25">
      <c r="A1044" s="32">
        <v>4381161</v>
      </c>
      <c r="B1044" s="32" t="s">
        <v>21</v>
      </c>
      <c r="C1044" s="33" t="s">
        <v>21</v>
      </c>
      <c r="D1044" s="35">
        <v>45447</v>
      </c>
      <c r="E1044" s="32" t="s">
        <v>185</v>
      </c>
      <c r="F1044" s="32">
        <v>22026158</v>
      </c>
      <c r="G1044" s="32" t="s">
        <v>232</v>
      </c>
      <c r="H1044" s="26" t="s">
        <v>38</v>
      </c>
      <c r="I1044" s="36">
        <v>10</v>
      </c>
      <c r="J1044" s="32">
        <f>IF(MB25_VOLUMETRIA[[#This Row],[Reserva]]="","",1)</f>
        <v>1</v>
      </c>
      <c r="K1044" s="36" t="str">
        <f>IF(MB25_VOLUMETRIA[[#This Row],[Reserva]]="","",IFERROR(VLOOKUP(MB25_VOLUMETRIA[[#This Row],[UMB]],CHAVE[],2,FALSE),"VERIFICAR"))</f>
        <v>Unidade</v>
      </c>
      <c r="L104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4" s="32" t="str">
        <f ca="1">IFERROR(VLOOKUP(MB25_VOLUMETRIA[[#This Row],[Reserva]],RES_AB[],14,FALSE),"")</f>
        <v>RESERVAS EM ATRASO</v>
      </c>
      <c r="N1044" s="32" t="str">
        <f>IF(MB25_VOLUMETRIA[[#This Row],[Cen.]]="","",IFERROR(VLOOKUP(MB25_VOLUMETRIA[[#This Row],[Cen.]],Dados_Empresas[],2,FALSE),"Verificar empresa"))</f>
        <v>NET MASSIVO</v>
      </c>
      <c r="O1044" s="32" t="str">
        <f>IF(MB25_VOLUMETRIA[[#This Row],[EMPRESA]]="","",IF(OR(MB25_VOLUMETRIA[[#This Row],[EMPRESA]]="NET MASSIVO",MB25_VOLUMETRIA[[#This Row],[EMPRESA]]="NET PROJETOS"),"NET","EMPRESARIAL"))</f>
        <v>NET</v>
      </c>
    </row>
    <row r="1045" spans="1:15" x14ac:dyDescent="0.25">
      <c r="A1045" s="32">
        <v>4381161</v>
      </c>
      <c r="B1045" s="32" t="s">
        <v>21</v>
      </c>
      <c r="C1045" s="33" t="s">
        <v>21</v>
      </c>
      <c r="D1045" s="35">
        <v>45447</v>
      </c>
      <c r="E1045" s="32" t="s">
        <v>185</v>
      </c>
      <c r="F1045" s="32">
        <v>22026772</v>
      </c>
      <c r="G1045" s="32" t="s">
        <v>201</v>
      </c>
      <c r="H1045" s="26" t="s">
        <v>38</v>
      </c>
      <c r="I1045" s="36">
        <v>25</v>
      </c>
      <c r="J1045" s="32">
        <f>IF(MB25_VOLUMETRIA[[#This Row],[Reserva]]="","",1)</f>
        <v>1</v>
      </c>
      <c r="K1045" s="36" t="str">
        <f>IF(MB25_VOLUMETRIA[[#This Row],[Reserva]]="","",IFERROR(VLOOKUP(MB25_VOLUMETRIA[[#This Row],[UMB]],CHAVE[],2,FALSE),"VERIFICAR"))</f>
        <v>Unidade</v>
      </c>
      <c r="L104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5" s="32" t="str">
        <f ca="1">IFERROR(VLOOKUP(MB25_VOLUMETRIA[[#This Row],[Reserva]],RES_AB[],14,FALSE),"")</f>
        <v>RESERVAS EM ATRASO</v>
      </c>
      <c r="N1045" s="32" t="str">
        <f>IF(MB25_VOLUMETRIA[[#This Row],[Cen.]]="","",IFERROR(VLOOKUP(MB25_VOLUMETRIA[[#This Row],[Cen.]],Dados_Empresas[],2,FALSE),"Verificar empresa"))</f>
        <v>NET MASSIVO</v>
      </c>
      <c r="O1045" s="32" t="str">
        <f>IF(MB25_VOLUMETRIA[[#This Row],[EMPRESA]]="","",IF(OR(MB25_VOLUMETRIA[[#This Row],[EMPRESA]]="NET MASSIVO",MB25_VOLUMETRIA[[#This Row],[EMPRESA]]="NET PROJETOS"),"NET","EMPRESARIAL"))</f>
        <v>NET</v>
      </c>
    </row>
    <row r="1046" spans="1:15" x14ac:dyDescent="0.25">
      <c r="A1046" s="32">
        <v>4381161</v>
      </c>
      <c r="B1046" s="32" t="s">
        <v>21</v>
      </c>
      <c r="C1046" s="33" t="s">
        <v>21</v>
      </c>
      <c r="D1046" s="35">
        <v>45447</v>
      </c>
      <c r="E1046" s="32" t="s">
        <v>185</v>
      </c>
      <c r="F1046" s="32">
        <v>22056365</v>
      </c>
      <c r="G1046" s="32" t="s">
        <v>244</v>
      </c>
      <c r="H1046" s="26" t="s">
        <v>38</v>
      </c>
      <c r="I1046" s="36">
        <v>60</v>
      </c>
      <c r="J1046" s="32">
        <f>IF(MB25_VOLUMETRIA[[#This Row],[Reserva]]="","",1)</f>
        <v>1</v>
      </c>
      <c r="K1046" s="36" t="str">
        <f>IF(MB25_VOLUMETRIA[[#This Row],[Reserva]]="","",IFERROR(VLOOKUP(MB25_VOLUMETRIA[[#This Row],[UMB]],CHAVE[],2,FALSE),"VERIFICAR"))</f>
        <v>Unidade</v>
      </c>
      <c r="L104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6" s="32" t="str">
        <f ca="1">IFERROR(VLOOKUP(MB25_VOLUMETRIA[[#This Row],[Reserva]],RES_AB[],14,FALSE),"")</f>
        <v>RESERVAS EM ATRASO</v>
      </c>
      <c r="N1046" s="32" t="str">
        <f>IF(MB25_VOLUMETRIA[[#This Row],[Cen.]]="","",IFERROR(VLOOKUP(MB25_VOLUMETRIA[[#This Row],[Cen.]],Dados_Empresas[],2,FALSE),"Verificar empresa"))</f>
        <v>NET MASSIVO</v>
      </c>
      <c r="O1046" s="32" t="str">
        <f>IF(MB25_VOLUMETRIA[[#This Row],[EMPRESA]]="","",IF(OR(MB25_VOLUMETRIA[[#This Row],[EMPRESA]]="NET MASSIVO",MB25_VOLUMETRIA[[#This Row],[EMPRESA]]="NET PROJETOS"),"NET","EMPRESARIAL"))</f>
        <v>NET</v>
      </c>
    </row>
    <row r="1047" spans="1:15" x14ac:dyDescent="0.25">
      <c r="A1047" s="32">
        <v>4381162</v>
      </c>
      <c r="B1047" s="32" t="s">
        <v>21</v>
      </c>
      <c r="C1047" s="33" t="s">
        <v>19</v>
      </c>
      <c r="D1047" s="35">
        <v>45447</v>
      </c>
      <c r="E1047" s="32" t="s">
        <v>192</v>
      </c>
      <c r="F1047" s="32">
        <v>41000805</v>
      </c>
      <c r="G1047" s="32" t="s">
        <v>188</v>
      </c>
      <c r="H1047" s="26" t="s">
        <v>38</v>
      </c>
      <c r="I1047" s="36">
        <v>40</v>
      </c>
      <c r="J1047" s="32">
        <f>IF(MB25_VOLUMETRIA[[#This Row],[Reserva]]="","",1)</f>
        <v>1</v>
      </c>
      <c r="K1047" s="36" t="str">
        <f>IF(MB25_VOLUMETRIA[[#This Row],[Reserva]]="","",IFERROR(VLOOKUP(MB25_VOLUMETRIA[[#This Row],[UMB]],CHAVE[],2,FALSE),"VERIFICAR"))</f>
        <v>Unidade</v>
      </c>
      <c r="L1047" s="32" t="str">
        <f>IF(MB25_VOLUMETRIA[[#This Row],[Reserva]]="","",IFERROR(VLOOKUP(MB25_VOLUMETRIA[[#This Row],[Reserva]],Tabela3[[Reserva]:[Condição para Faturamento]],20,FALSE),"IMPORTADO COM SUCESSO"))</f>
        <v>IMPORTADO</v>
      </c>
      <c r="M1047" s="32" t="str">
        <f ca="1">IFERROR(VLOOKUP(MB25_VOLUMETRIA[[#This Row],[Reserva]],RES_AB[],14,FALSE),"")</f>
        <v>RESERVAS EM ATRASO</v>
      </c>
      <c r="N1047" s="32" t="str">
        <f>IF(MB25_VOLUMETRIA[[#This Row],[Cen.]]="","",IFERROR(VLOOKUP(MB25_VOLUMETRIA[[#This Row],[Cen.]],Dados_Empresas[],2,FALSE),"Verificar empresa"))</f>
        <v>NET MASSIVO</v>
      </c>
      <c r="O1047" s="32" t="str">
        <f>IF(MB25_VOLUMETRIA[[#This Row],[EMPRESA]]="","",IF(OR(MB25_VOLUMETRIA[[#This Row],[EMPRESA]]="NET MASSIVO",MB25_VOLUMETRIA[[#This Row],[EMPRESA]]="NET PROJETOS"),"NET","EMPRESARIAL"))</f>
        <v>NET</v>
      </c>
    </row>
    <row r="1048" spans="1:15" x14ac:dyDescent="0.25">
      <c r="A1048" s="32">
        <v>4381162</v>
      </c>
      <c r="B1048" s="32" t="s">
        <v>21</v>
      </c>
      <c r="C1048" s="33" t="s">
        <v>19</v>
      </c>
      <c r="D1048" s="35">
        <v>45447</v>
      </c>
      <c r="E1048" s="32" t="s">
        <v>192</v>
      </c>
      <c r="F1048" s="32">
        <v>41001047</v>
      </c>
      <c r="G1048" s="32" t="s">
        <v>257</v>
      </c>
      <c r="H1048" s="26" t="s">
        <v>38</v>
      </c>
      <c r="I1048" s="36">
        <v>40</v>
      </c>
      <c r="J1048" s="32">
        <f>IF(MB25_VOLUMETRIA[[#This Row],[Reserva]]="","",1)</f>
        <v>1</v>
      </c>
      <c r="K1048" s="36" t="str">
        <f>IF(MB25_VOLUMETRIA[[#This Row],[Reserva]]="","",IFERROR(VLOOKUP(MB25_VOLUMETRIA[[#This Row],[UMB]],CHAVE[],2,FALSE),"VERIFICAR"))</f>
        <v>Unidade</v>
      </c>
      <c r="L1048" s="32" t="str">
        <f>IF(MB25_VOLUMETRIA[[#This Row],[Reserva]]="","",IFERROR(VLOOKUP(MB25_VOLUMETRIA[[#This Row],[Reserva]],Tabela3[[Reserva]:[Condição para Faturamento]],20,FALSE),"IMPORTADO COM SUCESSO"))</f>
        <v>IMPORTADO</v>
      </c>
      <c r="M1048" s="32" t="str">
        <f ca="1">IFERROR(VLOOKUP(MB25_VOLUMETRIA[[#This Row],[Reserva]],RES_AB[],14,FALSE),"")</f>
        <v>RESERVAS EM ATRASO</v>
      </c>
      <c r="N1048" s="32" t="str">
        <f>IF(MB25_VOLUMETRIA[[#This Row],[Cen.]]="","",IFERROR(VLOOKUP(MB25_VOLUMETRIA[[#This Row],[Cen.]],Dados_Empresas[],2,FALSE),"Verificar empresa"))</f>
        <v>NET MASSIVO</v>
      </c>
      <c r="O1048" s="32" t="str">
        <f>IF(MB25_VOLUMETRIA[[#This Row],[EMPRESA]]="","",IF(OR(MB25_VOLUMETRIA[[#This Row],[EMPRESA]]="NET MASSIVO",MB25_VOLUMETRIA[[#This Row],[EMPRESA]]="NET PROJETOS"),"NET","EMPRESARIAL"))</f>
        <v>NET</v>
      </c>
    </row>
    <row r="1049" spans="1:15" x14ac:dyDescent="0.25">
      <c r="A1049" s="32">
        <v>4381163</v>
      </c>
      <c r="B1049" s="32" t="s">
        <v>21</v>
      </c>
      <c r="C1049" s="33" t="s">
        <v>21</v>
      </c>
      <c r="D1049" s="35">
        <v>45447</v>
      </c>
      <c r="E1049" s="32" t="s">
        <v>185</v>
      </c>
      <c r="F1049" s="32">
        <v>22026223</v>
      </c>
      <c r="G1049" s="32" t="s">
        <v>195</v>
      </c>
      <c r="H1049" s="26" t="s">
        <v>38</v>
      </c>
      <c r="I1049" s="36">
        <v>610</v>
      </c>
      <c r="J1049" s="32">
        <f>IF(MB25_VOLUMETRIA[[#This Row],[Reserva]]="","",1)</f>
        <v>1</v>
      </c>
      <c r="K1049" s="36" t="str">
        <f>IF(MB25_VOLUMETRIA[[#This Row],[Reserva]]="","",IFERROR(VLOOKUP(MB25_VOLUMETRIA[[#This Row],[UMB]],CHAVE[],2,FALSE),"VERIFICAR"))</f>
        <v>Unidade</v>
      </c>
      <c r="L104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49" s="32" t="str">
        <f ca="1">IFERROR(VLOOKUP(MB25_VOLUMETRIA[[#This Row],[Reserva]],RES_AB[],14,FALSE),"")</f>
        <v>RESERVAS EM ATRASO</v>
      </c>
      <c r="N1049" s="32" t="str">
        <f>IF(MB25_VOLUMETRIA[[#This Row],[Cen.]]="","",IFERROR(VLOOKUP(MB25_VOLUMETRIA[[#This Row],[Cen.]],Dados_Empresas[],2,FALSE),"Verificar empresa"))</f>
        <v>NET MASSIVO</v>
      </c>
      <c r="O1049" s="32" t="str">
        <f>IF(MB25_VOLUMETRIA[[#This Row],[EMPRESA]]="","",IF(OR(MB25_VOLUMETRIA[[#This Row],[EMPRESA]]="NET MASSIVO",MB25_VOLUMETRIA[[#This Row],[EMPRESA]]="NET PROJETOS"),"NET","EMPRESARIAL"))</f>
        <v>NET</v>
      </c>
    </row>
    <row r="1050" spans="1:15" x14ac:dyDescent="0.25">
      <c r="A1050" s="32">
        <v>4381163</v>
      </c>
      <c r="B1050" s="32" t="s">
        <v>21</v>
      </c>
      <c r="C1050" s="33" t="s">
        <v>19</v>
      </c>
      <c r="D1050" s="35">
        <v>45447</v>
      </c>
      <c r="E1050" s="32" t="s">
        <v>185</v>
      </c>
      <c r="F1050" s="32">
        <v>22026251</v>
      </c>
      <c r="G1050" s="32" t="s">
        <v>247</v>
      </c>
      <c r="H1050" s="26" t="s">
        <v>38</v>
      </c>
      <c r="I1050" s="36">
        <v>30</v>
      </c>
      <c r="J1050" s="32">
        <f>IF(MB25_VOLUMETRIA[[#This Row],[Reserva]]="","",1)</f>
        <v>1</v>
      </c>
      <c r="K1050" s="36" t="str">
        <f>IF(MB25_VOLUMETRIA[[#This Row],[Reserva]]="","",IFERROR(VLOOKUP(MB25_VOLUMETRIA[[#This Row],[UMB]],CHAVE[],2,FALSE),"VERIFICAR"))</f>
        <v>Unidade</v>
      </c>
      <c r="L105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0" s="32" t="str">
        <f ca="1">IFERROR(VLOOKUP(MB25_VOLUMETRIA[[#This Row],[Reserva]],RES_AB[],14,FALSE),"")</f>
        <v>RESERVAS EM ATRASO</v>
      </c>
      <c r="N1050" s="32" t="str">
        <f>IF(MB25_VOLUMETRIA[[#This Row],[Cen.]]="","",IFERROR(VLOOKUP(MB25_VOLUMETRIA[[#This Row],[Cen.]],Dados_Empresas[],2,FALSE),"Verificar empresa"))</f>
        <v>NET MASSIVO</v>
      </c>
      <c r="O1050" s="32" t="str">
        <f>IF(MB25_VOLUMETRIA[[#This Row],[EMPRESA]]="","",IF(OR(MB25_VOLUMETRIA[[#This Row],[EMPRESA]]="NET MASSIVO",MB25_VOLUMETRIA[[#This Row],[EMPRESA]]="NET PROJETOS"),"NET","EMPRESARIAL"))</f>
        <v>NET</v>
      </c>
    </row>
    <row r="1051" spans="1:15" x14ac:dyDescent="0.25">
      <c r="A1051" s="32">
        <v>4381163</v>
      </c>
      <c r="B1051" s="32" t="s">
        <v>21</v>
      </c>
      <c r="C1051" s="33" t="s">
        <v>21</v>
      </c>
      <c r="D1051" s="35">
        <v>45447</v>
      </c>
      <c r="E1051" s="32" t="s">
        <v>185</v>
      </c>
      <c r="F1051" s="32">
        <v>22061736</v>
      </c>
      <c r="G1051" s="32" t="s">
        <v>216</v>
      </c>
      <c r="H1051" s="26" t="s">
        <v>38</v>
      </c>
      <c r="I1051" s="36">
        <v>500</v>
      </c>
      <c r="J1051" s="32">
        <f>IF(MB25_VOLUMETRIA[[#This Row],[Reserva]]="","",1)</f>
        <v>1</v>
      </c>
      <c r="K1051" s="36" t="str">
        <f>IF(MB25_VOLUMETRIA[[#This Row],[Reserva]]="","",IFERROR(VLOOKUP(MB25_VOLUMETRIA[[#This Row],[UMB]],CHAVE[],2,FALSE),"VERIFICAR"))</f>
        <v>Unidade</v>
      </c>
      <c r="L105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1" s="32" t="str">
        <f ca="1">IFERROR(VLOOKUP(MB25_VOLUMETRIA[[#This Row],[Reserva]],RES_AB[],14,FALSE),"")</f>
        <v>RESERVAS EM ATRASO</v>
      </c>
      <c r="N1051" s="32" t="str">
        <f>IF(MB25_VOLUMETRIA[[#This Row],[Cen.]]="","",IFERROR(VLOOKUP(MB25_VOLUMETRIA[[#This Row],[Cen.]],Dados_Empresas[],2,FALSE),"Verificar empresa"))</f>
        <v>NET MASSIVO</v>
      </c>
      <c r="O1051" s="32" t="str">
        <f>IF(MB25_VOLUMETRIA[[#This Row],[EMPRESA]]="","",IF(OR(MB25_VOLUMETRIA[[#This Row],[EMPRESA]]="NET MASSIVO",MB25_VOLUMETRIA[[#This Row],[EMPRESA]]="NET PROJETOS"),"NET","EMPRESARIAL"))</f>
        <v>NET</v>
      </c>
    </row>
    <row r="1052" spans="1:15" x14ac:dyDescent="0.25">
      <c r="A1052" s="32">
        <v>4381164</v>
      </c>
      <c r="B1052" s="32" t="s">
        <v>21</v>
      </c>
      <c r="C1052" s="33" t="s">
        <v>21</v>
      </c>
      <c r="D1052" s="35">
        <v>45447</v>
      </c>
      <c r="E1052" s="32" t="s">
        <v>192</v>
      </c>
      <c r="F1052" s="32">
        <v>41001567</v>
      </c>
      <c r="G1052" s="32" t="s">
        <v>354</v>
      </c>
      <c r="H1052" s="26" t="s">
        <v>38</v>
      </c>
      <c r="I1052" s="36">
        <v>20</v>
      </c>
      <c r="J1052" s="32">
        <f>IF(MB25_VOLUMETRIA[[#This Row],[Reserva]]="","",1)</f>
        <v>1</v>
      </c>
      <c r="K1052" s="36" t="str">
        <f>IF(MB25_VOLUMETRIA[[#This Row],[Reserva]]="","",IFERROR(VLOOKUP(MB25_VOLUMETRIA[[#This Row],[UMB]],CHAVE[],2,FALSE),"VERIFICAR"))</f>
        <v>Unidade</v>
      </c>
      <c r="L1052" s="32" t="str">
        <f>IF(MB25_VOLUMETRIA[[#This Row],[Reserva]]="","",IFERROR(VLOOKUP(MB25_VOLUMETRIA[[#This Row],[Reserva]],Tabela3[[Reserva]:[Condição para Faturamento]],20,FALSE),"IMPORTADO COM SUCESSO"))</f>
        <v>IMPORTADO</v>
      </c>
      <c r="M1052" s="32" t="str">
        <f ca="1">IFERROR(VLOOKUP(MB25_VOLUMETRIA[[#This Row],[Reserva]],RES_AB[],14,FALSE),"")</f>
        <v>RESERVAS EM ATRASO</v>
      </c>
      <c r="N1052" s="32" t="str">
        <f>IF(MB25_VOLUMETRIA[[#This Row],[Cen.]]="","",IFERROR(VLOOKUP(MB25_VOLUMETRIA[[#This Row],[Cen.]],Dados_Empresas[],2,FALSE),"Verificar empresa"))</f>
        <v>NET MASSIVO</v>
      </c>
      <c r="O1052" s="32" t="str">
        <f>IF(MB25_VOLUMETRIA[[#This Row],[EMPRESA]]="","",IF(OR(MB25_VOLUMETRIA[[#This Row],[EMPRESA]]="NET MASSIVO",MB25_VOLUMETRIA[[#This Row],[EMPRESA]]="NET PROJETOS"),"NET","EMPRESARIAL"))</f>
        <v>NET</v>
      </c>
    </row>
    <row r="1053" spans="1:15" x14ac:dyDescent="0.25">
      <c r="A1053" s="32">
        <v>4381165</v>
      </c>
      <c r="B1053" s="32" t="s">
        <v>21</v>
      </c>
      <c r="C1053" s="33" t="s">
        <v>21</v>
      </c>
      <c r="D1053" s="35">
        <v>45447</v>
      </c>
      <c r="E1053" s="32" t="s">
        <v>185</v>
      </c>
      <c r="F1053" s="32">
        <v>22026158</v>
      </c>
      <c r="G1053" s="32" t="s">
        <v>232</v>
      </c>
      <c r="H1053" s="26" t="s">
        <v>38</v>
      </c>
      <c r="I1053" s="36">
        <v>20</v>
      </c>
      <c r="J1053" s="32">
        <f>IF(MB25_VOLUMETRIA[[#This Row],[Reserva]]="","",1)</f>
        <v>1</v>
      </c>
      <c r="K1053" s="36" t="str">
        <f>IF(MB25_VOLUMETRIA[[#This Row],[Reserva]]="","",IFERROR(VLOOKUP(MB25_VOLUMETRIA[[#This Row],[UMB]],CHAVE[],2,FALSE),"VERIFICAR"))</f>
        <v>Unidade</v>
      </c>
      <c r="L105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3" s="32" t="str">
        <f ca="1">IFERROR(VLOOKUP(MB25_VOLUMETRIA[[#This Row],[Reserva]],RES_AB[],14,FALSE),"")</f>
        <v>RESERVAS EM ATRASO</v>
      </c>
      <c r="N1053" s="32" t="str">
        <f>IF(MB25_VOLUMETRIA[[#This Row],[Cen.]]="","",IFERROR(VLOOKUP(MB25_VOLUMETRIA[[#This Row],[Cen.]],Dados_Empresas[],2,FALSE),"Verificar empresa"))</f>
        <v>NET MASSIVO</v>
      </c>
      <c r="O1053" s="32" t="str">
        <f>IF(MB25_VOLUMETRIA[[#This Row],[EMPRESA]]="","",IF(OR(MB25_VOLUMETRIA[[#This Row],[EMPRESA]]="NET MASSIVO",MB25_VOLUMETRIA[[#This Row],[EMPRESA]]="NET PROJETOS"),"NET","EMPRESARIAL"))</f>
        <v>NET</v>
      </c>
    </row>
    <row r="1054" spans="1:15" x14ac:dyDescent="0.25">
      <c r="A1054" s="32">
        <v>4381165</v>
      </c>
      <c r="B1054" s="32" t="s">
        <v>21</v>
      </c>
      <c r="C1054" s="33" t="s">
        <v>19</v>
      </c>
      <c r="D1054" s="35">
        <v>45447</v>
      </c>
      <c r="E1054" s="32" t="s">
        <v>185</v>
      </c>
      <c r="F1054" s="32">
        <v>22026251</v>
      </c>
      <c r="G1054" s="32" t="s">
        <v>247</v>
      </c>
      <c r="H1054" s="26" t="s">
        <v>38</v>
      </c>
      <c r="I1054" s="36">
        <v>26</v>
      </c>
      <c r="J1054" s="32">
        <f>IF(MB25_VOLUMETRIA[[#This Row],[Reserva]]="","",1)</f>
        <v>1</v>
      </c>
      <c r="K1054" s="36" t="str">
        <f>IF(MB25_VOLUMETRIA[[#This Row],[Reserva]]="","",IFERROR(VLOOKUP(MB25_VOLUMETRIA[[#This Row],[UMB]],CHAVE[],2,FALSE),"VERIFICAR"))</f>
        <v>Unidade</v>
      </c>
      <c r="L105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4" s="32" t="str">
        <f ca="1">IFERROR(VLOOKUP(MB25_VOLUMETRIA[[#This Row],[Reserva]],RES_AB[],14,FALSE),"")</f>
        <v>RESERVAS EM ATRASO</v>
      </c>
      <c r="N1054" s="32" t="str">
        <f>IF(MB25_VOLUMETRIA[[#This Row],[Cen.]]="","",IFERROR(VLOOKUP(MB25_VOLUMETRIA[[#This Row],[Cen.]],Dados_Empresas[],2,FALSE),"Verificar empresa"))</f>
        <v>NET MASSIVO</v>
      </c>
      <c r="O1054" s="32" t="str">
        <f>IF(MB25_VOLUMETRIA[[#This Row],[EMPRESA]]="","",IF(OR(MB25_VOLUMETRIA[[#This Row],[EMPRESA]]="NET MASSIVO",MB25_VOLUMETRIA[[#This Row],[EMPRESA]]="NET PROJETOS"),"NET","EMPRESARIAL"))</f>
        <v>NET</v>
      </c>
    </row>
    <row r="1055" spans="1:15" x14ac:dyDescent="0.25">
      <c r="A1055" s="32">
        <v>4381165</v>
      </c>
      <c r="B1055" s="32" t="s">
        <v>21</v>
      </c>
      <c r="C1055" s="33" t="s">
        <v>19</v>
      </c>
      <c r="D1055" s="35">
        <v>45447</v>
      </c>
      <c r="E1055" s="32" t="s">
        <v>185</v>
      </c>
      <c r="F1055" s="32">
        <v>22057438</v>
      </c>
      <c r="G1055" s="32" t="s">
        <v>341</v>
      </c>
      <c r="H1055" s="26" t="s">
        <v>38</v>
      </c>
      <c r="I1055" s="36">
        <v>10</v>
      </c>
      <c r="J1055" s="32">
        <f>IF(MB25_VOLUMETRIA[[#This Row],[Reserva]]="","",1)</f>
        <v>1</v>
      </c>
      <c r="K1055" s="36" t="str">
        <f>IF(MB25_VOLUMETRIA[[#This Row],[Reserva]]="","",IFERROR(VLOOKUP(MB25_VOLUMETRIA[[#This Row],[UMB]],CHAVE[],2,FALSE),"VERIFICAR"))</f>
        <v>Unidade</v>
      </c>
      <c r="L105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5" s="32" t="str">
        <f ca="1">IFERROR(VLOOKUP(MB25_VOLUMETRIA[[#This Row],[Reserva]],RES_AB[],14,FALSE),"")</f>
        <v>RESERVAS EM ATRASO</v>
      </c>
      <c r="N1055" s="32" t="str">
        <f>IF(MB25_VOLUMETRIA[[#This Row],[Cen.]]="","",IFERROR(VLOOKUP(MB25_VOLUMETRIA[[#This Row],[Cen.]],Dados_Empresas[],2,FALSE),"Verificar empresa"))</f>
        <v>NET MASSIVO</v>
      </c>
      <c r="O1055" s="32" t="str">
        <f>IF(MB25_VOLUMETRIA[[#This Row],[EMPRESA]]="","",IF(OR(MB25_VOLUMETRIA[[#This Row],[EMPRESA]]="NET MASSIVO",MB25_VOLUMETRIA[[#This Row],[EMPRESA]]="NET PROJETOS"),"NET","EMPRESARIAL"))</f>
        <v>NET</v>
      </c>
    </row>
    <row r="1056" spans="1:15" x14ac:dyDescent="0.25">
      <c r="A1056" s="32">
        <v>4381166</v>
      </c>
      <c r="B1056" s="32" t="s">
        <v>21</v>
      </c>
      <c r="C1056" s="33" t="s">
        <v>19</v>
      </c>
      <c r="D1056" s="35">
        <v>45447</v>
      </c>
      <c r="E1056" s="32" t="s">
        <v>192</v>
      </c>
      <c r="F1056" s="32">
        <v>41000805</v>
      </c>
      <c r="G1056" s="32" t="s">
        <v>188</v>
      </c>
      <c r="H1056" s="26" t="s">
        <v>38</v>
      </c>
      <c r="I1056" s="36">
        <v>90</v>
      </c>
      <c r="J1056" s="32">
        <f>IF(MB25_VOLUMETRIA[[#This Row],[Reserva]]="","",1)</f>
        <v>1</v>
      </c>
      <c r="K1056" s="36" t="str">
        <f>IF(MB25_VOLUMETRIA[[#This Row],[Reserva]]="","",IFERROR(VLOOKUP(MB25_VOLUMETRIA[[#This Row],[UMB]],CHAVE[],2,FALSE),"VERIFICAR"))</f>
        <v>Unidade</v>
      </c>
      <c r="L105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6" s="32" t="str">
        <f ca="1">IFERROR(VLOOKUP(MB25_VOLUMETRIA[[#This Row],[Reserva]],RES_AB[],14,FALSE),"")</f>
        <v>RESERVAS EM ATRASO</v>
      </c>
      <c r="N1056" s="32" t="str">
        <f>IF(MB25_VOLUMETRIA[[#This Row],[Cen.]]="","",IFERROR(VLOOKUP(MB25_VOLUMETRIA[[#This Row],[Cen.]],Dados_Empresas[],2,FALSE),"Verificar empresa"))</f>
        <v>NET MASSIVO</v>
      </c>
      <c r="O1056" s="32" t="str">
        <f>IF(MB25_VOLUMETRIA[[#This Row],[EMPRESA]]="","",IF(OR(MB25_VOLUMETRIA[[#This Row],[EMPRESA]]="NET MASSIVO",MB25_VOLUMETRIA[[#This Row],[EMPRESA]]="NET PROJETOS"),"NET","EMPRESARIAL"))</f>
        <v>NET</v>
      </c>
    </row>
    <row r="1057" spans="1:15" x14ac:dyDescent="0.25">
      <c r="A1057" s="32">
        <v>4381166</v>
      </c>
      <c r="B1057" s="32" t="s">
        <v>21</v>
      </c>
      <c r="C1057" s="33" t="s">
        <v>19</v>
      </c>
      <c r="D1057" s="35">
        <v>45447</v>
      </c>
      <c r="E1057" s="32" t="s">
        <v>192</v>
      </c>
      <c r="F1057" s="32">
        <v>41001047</v>
      </c>
      <c r="G1057" s="32" t="s">
        <v>257</v>
      </c>
      <c r="H1057" s="26" t="s">
        <v>38</v>
      </c>
      <c r="I1057" s="36">
        <v>90</v>
      </c>
      <c r="J1057" s="32">
        <f>IF(MB25_VOLUMETRIA[[#This Row],[Reserva]]="","",1)</f>
        <v>1</v>
      </c>
      <c r="K1057" s="36" t="str">
        <f>IF(MB25_VOLUMETRIA[[#This Row],[Reserva]]="","",IFERROR(VLOOKUP(MB25_VOLUMETRIA[[#This Row],[UMB]],CHAVE[],2,FALSE),"VERIFICAR"))</f>
        <v>Unidade</v>
      </c>
      <c r="L105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7" s="32" t="str">
        <f ca="1">IFERROR(VLOOKUP(MB25_VOLUMETRIA[[#This Row],[Reserva]],RES_AB[],14,FALSE),"")</f>
        <v>RESERVAS EM ATRASO</v>
      </c>
      <c r="N1057" s="32" t="str">
        <f>IF(MB25_VOLUMETRIA[[#This Row],[Cen.]]="","",IFERROR(VLOOKUP(MB25_VOLUMETRIA[[#This Row],[Cen.]],Dados_Empresas[],2,FALSE),"Verificar empresa"))</f>
        <v>NET MASSIVO</v>
      </c>
      <c r="O1057" s="32" t="str">
        <f>IF(MB25_VOLUMETRIA[[#This Row],[EMPRESA]]="","",IF(OR(MB25_VOLUMETRIA[[#This Row],[EMPRESA]]="NET MASSIVO",MB25_VOLUMETRIA[[#This Row],[EMPRESA]]="NET PROJETOS"),"NET","EMPRESARIAL"))</f>
        <v>NET</v>
      </c>
    </row>
    <row r="1058" spans="1:15" x14ac:dyDescent="0.25">
      <c r="A1058" s="32">
        <v>4381166</v>
      </c>
      <c r="B1058" s="32" t="s">
        <v>21</v>
      </c>
      <c r="C1058" s="33" t="s">
        <v>21</v>
      </c>
      <c r="D1058" s="35">
        <v>45447</v>
      </c>
      <c r="E1058" s="32" t="s">
        <v>192</v>
      </c>
      <c r="F1058" s="32">
        <v>41001573</v>
      </c>
      <c r="G1058" s="32" t="s">
        <v>259</v>
      </c>
      <c r="H1058" s="26" t="s">
        <v>38</v>
      </c>
      <c r="I1058" s="36">
        <v>10</v>
      </c>
      <c r="J1058" s="32">
        <f>IF(MB25_VOLUMETRIA[[#This Row],[Reserva]]="","",1)</f>
        <v>1</v>
      </c>
      <c r="K1058" s="36" t="str">
        <f>IF(MB25_VOLUMETRIA[[#This Row],[Reserva]]="","",IFERROR(VLOOKUP(MB25_VOLUMETRIA[[#This Row],[UMB]],CHAVE[],2,FALSE),"VERIFICAR"))</f>
        <v>Unidade</v>
      </c>
      <c r="L105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8" s="32" t="str">
        <f ca="1">IFERROR(VLOOKUP(MB25_VOLUMETRIA[[#This Row],[Reserva]],RES_AB[],14,FALSE),"")</f>
        <v>RESERVAS EM ATRASO</v>
      </c>
      <c r="N1058" s="32" t="str">
        <f>IF(MB25_VOLUMETRIA[[#This Row],[Cen.]]="","",IFERROR(VLOOKUP(MB25_VOLUMETRIA[[#This Row],[Cen.]],Dados_Empresas[],2,FALSE),"Verificar empresa"))</f>
        <v>NET MASSIVO</v>
      </c>
      <c r="O1058" s="32" t="str">
        <f>IF(MB25_VOLUMETRIA[[#This Row],[EMPRESA]]="","",IF(OR(MB25_VOLUMETRIA[[#This Row],[EMPRESA]]="NET MASSIVO",MB25_VOLUMETRIA[[#This Row],[EMPRESA]]="NET PROJETOS"),"NET","EMPRESARIAL"))</f>
        <v>NET</v>
      </c>
    </row>
    <row r="1059" spans="1:15" x14ac:dyDescent="0.25">
      <c r="A1059" s="32">
        <v>4381167</v>
      </c>
      <c r="B1059" s="32" t="s">
        <v>21</v>
      </c>
      <c r="C1059" s="33" t="s">
        <v>21</v>
      </c>
      <c r="D1059" s="35">
        <v>45447</v>
      </c>
      <c r="E1059" s="32" t="s">
        <v>185</v>
      </c>
      <c r="F1059" s="32">
        <v>22023400</v>
      </c>
      <c r="G1059" s="32" t="s">
        <v>219</v>
      </c>
      <c r="H1059" s="26" t="s">
        <v>38</v>
      </c>
      <c r="I1059" s="36">
        <v>50</v>
      </c>
      <c r="J1059" s="32">
        <f>IF(MB25_VOLUMETRIA[[#This Row],[Reserva]]="","",1)</f>
        <v>1</v>
      </c>
      <c r="K1059" s="36" t="str">
        <f>IF(MB25_VOLUMETRIA[[#This Row],[Reserva]]="","",IFERROR(VLOOKUP(MB25_VOLUMETRIA[[#This Row],[UMB]],CHAVE[],2,FALSE),"VERIFICAR"))</f>
        <v>Unidade</v>
      </c>
      <c r="L105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59" s="32" t="str">
        <f ca="1">IFERROR(VLOOKUP(MB25_VOLUMETRIA[[#This Row],[Reserva]],RES_AB[],14,FALSE),"")</f>
        <v>RESERVAS EM ATRASO</v>
      </c>
      <c r="N1059" s="32" t="str">
        <f>IF(MB25_VOLUMETRIA[[#This Row],[Cen.]]="","",IFERROR(VLOOKUP(MB25_VOLUMETRIA[[#This Row],[Cen.]],Dados_Empresas[],2,FALSE),"Verificar empresa"))</f>
        <v>NET MASSIVO</v>
      </c>
      <c r="O1059" s="32" t="str">
        <f>IF(MB25_VOLUMETRIA[[#This Row],[EMPRESA]]="","",IF(OR(MB25_VOLUMETRIA[[#This Row],[EMPRESA]]="NET MASSIVO",MB25_VOLUMETRIA[[#This Row],[EMPRESA]]="NET PROJETOS"),"NET","EMPRESARIAL"))</f>
        <v>NET</v>
      </c>
    </row>
    <row r="1060" spans="1:15" x14ac:dyDescent="0.25">
      <c r="A1060" s="32">
        <v>4381167</v>
      </c>
      <c r="B1060" s="32" t="s">
        <v>21</v>
      </c>
      <c r="C1060" s="33" t="s">
        <v>19</v>
      </c>
      <c r="D1060" s="35">
        <v>45447</v>
      </c>
      <c r="E1060" s="32" t="s">
        <v>185</v>
      </c>
      <c r="F1060" s="32">
        <v>22026251</v>
      </c>
      <c r="G1060" s="32" t="s">
        <v>247</v>
      </c>
      <c r="H1060" s="26" t="s">
        <v>38</v>
      </c>
      <c r="I1060" s="36">
        <v>50</v>
      </c>
      <c r="J1060" s="32">
        <f>IF(MB25_VOLUMETRIA[[#This Row],[Reserva]]="","",1)</f>
        <v>1</v>
      </c>
      <c r="K1060" s="36" t="str">
        <f>IF(MB25_VOLUMETRIA[[#This Row],[Reserva]]="","",IFERROR(VLOOKUP(MB25_VOLUMETRIA[[#This Row],[UMB]],CHAVE[],2,FALSE),"VERIFICAR"))</f>
        <v>Unidade</v>
      </c>
      <c r="L106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0" s="32" t="str">
        <f ca="1">IFERROR(VLOOKUP(MB25_VOLUMETRIA[[#This Row],[Reserva]],RES_AB[],14,FALSE),"")</f>
        <v>RESERVAS EM ATRASO</v>
      </c>
      <c r="N1060" s="32" t="str">
        <f>IF(MB25_VOLUMETRIA[[#This Row],[Cen.]]="","",IFERROR(VLOOKUP(MB25_VOLUMETRIA[[#This Row],[Cen.]],Dados_Empresas[],2,FALSE),"Verificar empresa"))</f>
        <v>NET MASSIVO</v>
      </c>
      <c r="O1060" s="32" t="str">
        <f>IF(MB25_VOLUMETRIA[[#This Row],[EMPRESA]]="","",IF(OR(MB25_VOLUMETRIA[[#This Row],[EMPRESA]]="NET MASSIVO",MB25_VOLUMETRIA[[#This Row],[EMPRESA]]="NET PROJETOS"),"NET","EMPRESARIAL"))</f>
        <v>NET</v>
      </c>
    </row>
    <row r="1061" spans="1:15" x14ac:dyDescent="0.25">
      <c r="A1061" s="32">
        <v>4381167</v>
      </c>
      <c r="B1061" s="32" t="s">
        <v>21</v>
      </c>
      <c r="C1061" s="33" t="s">
        <v>21</v>
      </c>
      <c r="D1061" s="35">
        <v>45447</v>
      </c>
      <c r="E1061" s="32" t="s">
        <v>185</v>
      </c>
      <c r="F1061" s="32">
        <v>22026792</v>
      </c>
      <c r="G1061" s="32" t="s">
        <v>202</v>
      </c>
      <c r="H1061" s="26" t="s">
        <v>38</v>
      </c>
      <c r="I1061" s="36">
        <v>25</v>
      </c>
      <c r="J1061" s="32">
        <f>IF(MB25_VOLUMETRIA[[#This Row],[Reserva]]="","",1)</f>
        <v>1</v>
      </c>
      <c r="K1061" s="36" t="str">
        <f>IF(MB25_VOLUMETRIA[[#This Row],[Reserva]]="","",IFERROR(VLOOKUP(MB25_VOLUMETRIA[[#This Row],[UMB]],CHAVE[],2,FALSE),"VERIFICAR"))</f>
        <v>Unidade</v>
      </c>
      <c r="L106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1" s="32" t="str">
        <f ca="1">IFERROR(VLOOKUP(MB25_VOLUMETRIA[[#This Row],[Reserva]],RES_AB[],14,FALSE),"")</f>
        <v>RESERVAS EM ATRASO</v>
      </c>
      <c r="N1061" s="32" t="str">
        <f>IF(MB25_VOLUMETRIA[[#This Row],[Cen.]]="","",IFERROR(VLOOKUP(MB25_VOLUMETRIA[[#This Row],[Cen.]],Dados_Empresas[],2,FALSE),"Verificar empresa"))</f>
        <v>NET MASSIVO</v>
      </c>
      <c r="O1061" s="32" t="str">
        <f>IF(MB25_VOLUMETRIA[[#This Row],[EMPRESA]]="","",IF(OR(MB25_VOLUMETRIA[[#This Row],[EMPRESA]]="NET MASSIVO",MB25_VOLUMETRIA[[#This Row],[EMPRESA]]="NET PROJETOS"),"NET","EMPRESARIAL"))</f>
        <v>NET</v>
      </c>
    </row>
    <row r="1062" spans="1:15" x14ac:dyDescent="0.25">
      <c r="A1062" s="32">
        <v>4381167</v>
      </c>
      <c r="B1062" s="32" t="s">
        <v>21</v>
      </c>
      <c r="C1062" s="33" t="s">
        <v>21</v>
      </c>
      <c r="D1062" s="35">
        <v>45447</v>
      </c>
      <c r="E1062" s="32" t="s">
        <v>185</v>
      </c>
      <c r="F1062" s="32">
        <v>22056343</v>
      </c>
      <c r="G1062" s="32" t="s">
        <v>234</v>
      </c>
      <c r="H1062" s="26" t="s">
        <v>38</v>
      </c>
      <c r="I1062" s="36">
        <v>20</v>
      </c>
      <c r="J1062" s="32">
        <f>IF(MB25_VOLUMETRIA[[#This Row],[Reserva]]="","",1)</f>
        <v>1</v>
      </c>
      <c r="K1062" s="36" t="str">
        <f>IF(MB25_VOLUMETRIA[[#This Row],[Reserva]]="","",IFERROR(VLOOKUP(MB25_VOLUMETRIA[[#This Row],[UMB]],CHAVE[],2,FALSE),"VERIFICAR"))</f>
        <v>Unidade</v>
      </c>
      <c r="L106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2" s="32" t="str">
        <f ca="1">IFERROR(VLOOKUP(MB25_VOLUMETRIA[[#This Row],[Reserva]],RES_AB[],14,FALSE),"")</f>
        <v>RESERVAS EM ATRASO</v>
      </c>
      <c r="N1062" s="32" t="str">
        <f>IF(MB25_VOLUMETRIA[[#This Row],[Cen.]]="","",IFERROR(VLOOKUP(MB25_VOLUMETRIA[[#This Row],[Cen.]],Dados_Empresas[],2,FALSE),"Verificar empresa"))</f>
        <v>NET MASSIVO</v>
      </c>
      <c r="O1062" s="32" t="str">
        <f>IF(MB25_VOLUMETRIA[[#This Row],[EMPRESA]]="","",IF(OR(MB25_VOLUMETRIA[[#This Row],[EMPRESA]]="NET MASSIVO",MB25_VOLUMETRIA[[#This Row],[EMPRESA]]="NET PROJETOS"),"NET","EMPRESARIAL"))</f>
        <v>NET</v>
      </c>
    </row>
    <row r="1063" spans="1:15" x14ac:dyDescent="0.25">
      <c r="A1063" s="32">
        <v>4381167</v>
      </c>
      <c r="B1063" s="32" t="s">
        <v>21</v>
      </c>
      <c r="C1063" s="33" t="s">
        <v>19</v>
      </c>
      <c r="D1063" s="35">
        <v>45447</v>
      </c>
      <c r="E1063" s="32" t="s">
        <v>185</v>
      </c>
      <c r="F1063" s="32">
        <v>22060290</v>
      </c>
      <c r="G1063" s="32" t="s">
        <v>238</v>
      </c>
      <c r="H1063" s="26" t="s">
        <v>38</v>
      </c>
      <c r="I1063" s="36">
        <v>50</v>
      </c>
      <c r="J1063" s="32">
        <f>IF(MB25_VOLUMETRIA[[#This Row],[Reserva]]="","",1)</f>
        <v>1</v>
      </c>
      <c r="K1063" s="36" t="str">
        <f>IF(MB25_VOLUMETRIA[[#This Row],[Reserva]]="","",IFERROR(VLOOKUP(MB25_VOLUMETRIA[[#This Row],[UMB]],CHAVE[],2,FALSE),"VERIFICAR"))</f>
        <v>Unidade</v>
      </c>
      <c r="L106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63" s="32" t="str">
        <f ca="1">IFERROR(VLOOKUP(MB25_VOLUMETRIA[[#This Row],[Reserva]],RES_AB[],14,FALSE),"")</f>
        <v>RESERVAS EM ATRASO</v>
      </c>
      <c r="N1063" s="32" t="str">
        <f>IF(MB25_VOLUMETRIA[[#This Row],[Cen.]]="","",IFERROR(VLOOKUP(MB25_VOLUMETRIA[[#This Row],[Cen.]],Dados_Empresas[],2,FALSE),"Verificar empresa"))</f>
        <v>NET MASSIVO</v>
      </c>
      <c r="O1063" s="32" t="str">
        <f>IF(MB25_VOLUMETRIA[[#This Row],[EMPRESA]]="","",IF(OR(MB25_VOLUMETRIA[[#This Row],[EMPRESA]]="NET MASSIVO",MB25_VOLUMETRIA[[#This Row],[EMPRESA]]="NET PROJETOS"),"NET","EMPRESARIAL"))</f>
        <v>NET</v>
      </c>
    </row>
    <row r="1064" spans="1:15" x14ac:dyDescent="0.25">
      <c r="A1064" s="32">
        <v>4381168</v>
      </c>
      <c r="B1064" s="32" t="s">
        <v>21</v>
      </c>
      <c r="C1064" s="33" t="s">
        <v>19</v>
      </c>
      <c r="D1064" s="35">
        <v>45447</v>
      </c>
      <c r="E1064" s="32" t="s">
        <v>192</v>
      </c>
      <c r="F1064" s="32">
        <v>41000805</v>
      </c>
      <c r="G1064" s="32" t="s">
        <v>188</v>
      </c>
      <c r="H1064" s="26" t="s">
        <v>38</v>
      </c>
      <c r="I1064" s="36">
        <v>220</v>
      </c>
      <c r="J1064" s="32">
        <f>IF(MB25_VOLUMETRIA[[#This Row],[Reserva]]="","",1)</f>
        <v>1</v>
      </c>
      <c r="K1064" s="36" t="str">
        <f>IF(MB25_VOLUMETRIA[[#This Row],[Reserva]]="","",IFERROR(VLOOKUP(MB25_VOLUMETRIA[[#This Row],[UMB]],CHAVE[],2,FALSE),"VERIFICAR"))</f>
        <v>Unidade</v>
      </c>
      <c r="L1064" s="32" t="str">
        <f>IF(MB25_VOLUMETRIA[[#This Row],[Reserva]]="","",IFERROR(VLOOKUP(MB25_VOLUMETRIA[[#This Row],[Reserva]],Tabela3[[Reserva]:[Condição para Faturamento]],20,FALSE),"IMPORTADO COM SUCESSO"))</f>
        <v>IMPORTADO</v>
      </c>
      <c r="M1064" s="32" t="str">
        <f ca="1">IFERROR(VLOOKUP(MB25_VOLUMETRIA[[#This Row],[Reserva]],RES_AB[],14,FALSE),"")</f>
        <v>RESERVAS EM ATRASO</v>
      </c>
      <c r="N1064" s="32" t="str">
        <f>IF(MB25_VOLUMETRIA[[#This Row],[Cen.]]="","",IFERROR(VLOOKUP(MB25_VOLUMETRIA[[#This Row],[Cen.]],Dados_Empresas[],2,FALSE),"Verificar empresa"))</f>
        <v>NET MASSIVO</v>
      </c>
      <c r="O1064" s="32" t="str">
        <f>IF(MB25_VOLUMETRIA[[#This Row],[EMPRESA]]="","",IF(OR(MB25_VOLUMETRIA[[#This Row],[EMPRESA]]="NET MASSIVO",MB25_VOLUMETRIA[[#This Row],[EMPRESA]]="NET PROJETOS"),"NET","EMPRESARIAL"))</f>
        <v>NET</v>
      </c>
    </row>
    <row r="1065" spans="1:15" x14ac:dyDescent="0.25">
      <c r="A1065" s="32">
        <v>4381168</v>
      </c>
      <c r="B1065" s="32" t="s">
        <v>21</v>
      </c>
      <c r="C1065" s="33" t="s">
        <v>19</v>
      </c>
      <c r="D1065" s="35">
        <v>45447</v>
      </c>
      <c r="E1065" s="32" t="s">
        <v>192</v>
      </c>
      <c r="F1065" s="32">
        <v>41001047</v>
      </c>
      <c r="G1065" s="32" t="s">
        <v>257</v>
      </c>
      <c r="H1065" s="26" t="s">
        <v>38</v>
      </c>
      <c r="I1065" s="36">
        <v>220</v>
      </c>
      <c r="J1065" s="32">
        <f>IF(MB25_VOLUMETRIA[[#This Row],[Reserva]]="","",1)</f>
        <v>1</v>
      </c>
      <c r="K1065" s="36" t="str">
        <f>IF(MB25_VOLUMETRIA[[#This Row],[Reserva]]="","",IFERROR(VLOOKUP(MB25_VOLUMETRIA[[#This Row],[UMB]],CHAVE[],2,FALSE),"VERIFICAR"))</f>
        <v>Unidade</v>
      </c>
      <c r="L1065" s="32" t="str">
        <f>IF(MB25_VOLUMETRIA[[#This Row],[Reserva]]="","",IFERROR(VLOOKUP(MB25_VOLUMETRIA[[#This Row],[Reserva]],Tabela3[[Reserva]:[Condição para Faturamento]],20,FALSE),"IMPORTADO COM SUCESSO"))</f>
        <v>IMPORTADO</v>
      </c>
      <c r="M1065" s="32" t="str">
        <f ca="1">IFERROR(VLOOKUP(MB25_VOLUMETRIA[[#This Row],[Reserva]],RES_AB[],14,FALSE),"")</f>
        <v>RESERVAS EM ATRASO</v>
      </c>
      <c r="N1065" s="32" t="str">
        <f>IF(MB25_VOLUMETRIA[[#This Row],[Cen.]]="","",IFERROR(VLOOKUP(MB25_VOLUMETRIA[[#This Row],[Cen.]],Dados_Empresas[],2,FALSE),"Verificar empresa"))</f>
        <v>NET MASSIVO</v>
      </c>
      <c r="O1065" s="32" t="str">
        <f>IF(MB25_VOLUMETRIA[[#This Row],[EMPRESA]]="","",IF(OR(MB25_VOLUMETRIA[[#This Row],[EMPRESA]]="NET MASSIVO",MB25_VOLUMETRIA[[#This Row],[EMPRESA]]="NET PROJETOS"),"NET","EMPRESARIAL"))</f>
        <v>NET</v>
      </c>
    </row>
    <row r="1066" spans="1:15" x14ac:dyDescent="0.25">
      <c r="A1066" s="32">
        <v>4381169</v>
      </c>
      <c r="B1066" s="32" t="s">
        <v>21</v>
      </c>
      <c r="C1066" s="33" t="s">
        <v>21</v>
      </c>
      <c r="D1066" s="35">
        <v>45447</v>
      </c>
      <c r="E1066" s="32" t="s">
        <v>185</v>
      </c>
      <c r="F1066" s="32">
        <v>22025091</v>
      </c>
      <c r="G1066" s="32" t="s">
        <v>332</v>
      </c>
      <c r="H1066" s="26" t="s">
        <v>38</v>
      </c>
      <c r="I1066" s="36">
        <v>50</v>
      </c>
      <c r="J1066" s="32">
        <f>IF(MB25_VOLUMETRIA[[#This Row],[Reserva]]="","",1)</f>
        <v>1</v>
      </c>
      <c r="K1066" s="36" t="str">
        <f>IF(MB25_VOLUMETRIA[[#This Row],[Reserva]]="","",IFERROR(VLOOKUP(MB25_VOLUMETRIA[[#This Row],[UMB]],CHAVE[],2,FALSE),"VERIFICAR"))</f>
        <v>Unidade</v>
      </c>
      <c r="L106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66" s="32" t="str">
        <f ca="1">IFERROR(VLOOKUP(MB25_VOLUMETRIA[[#This Row],[Reserva]],RES_AB[],14,FALSE),"")</f>
        <v>RESERVAS EM ATRASO</v>
      </c>
      <c r="N1066" s="32" t="str">
        <f>IF(MB25_VOLUMETRIA[[#This Row],[Cen.]]="","",IFERROR(VLOOKUP(MB25_VOLUMETRIA[[#This Row],[Cen.]],Dados_Empresas[],2,FALSE),"Verificar empresa"))</f>
        <v>NET MASSIVO</v>
      </c>
      <c r="O1066" s="32" t="str">
        <f>IF(MB25_VOLUMETRIA[[#This Row],[EMPRESA]]="","",IF(OR(MB25_VOLUMETRIA[[#This Row],[EMPRESA]]="NET MASSIVO",MB25_VOLUMETRIA[[#This Row],[EMPRESA]]="NET PROJETOS"),"NET","EMPRESARIAL"))</f>
        <v>NET</v>
      </c>
    </row>
    <row r="1067" spans="1:15" x14ac:dyDescent="0.25">
      <c r="A1067" s="32">
        <v>4381169</v>
      </c>
      <c r="B1067" s="32" t="s">
        <v>21</v>
      </c>
      <c r="C1067" s="33" t="s">
        <v>21</v>
      </c>
      <c r="D1067" s="35">
        <v>45447</v>
      </c>
      <c r="E1067" s="32" t="s">
        <v>185</v>
      </c>
      <c r="F1067" s="32">
        <v>22025139</v>
      </c>
      <c r="G1067" s="32" t="s">
        <v>199</v>
      </c>
      <c r="H1067" s="26" t="s">
        <v>38</v>
      </c>
      <c r="I1067" s="36">
        <v>20</v>
      </c>
      <c r="J1067" s="32">
        <f>IF(MB25_VOLUMETRIA[[#This Row],[Reserva]]="","",1)</f>
        <v>1</v>
      </c>
      <c r="K1067" s="36" t="str">
        <f>IF(MB25_VOLUMETRIA[[#This Row],[Reserva]]="","",IFERROR(VLOOKUP(MB25_VOLUMETRIA[[#This Row],[UMB]],CHAVE[],2,FALSE),"VERIFICAR"))</f>
        <v>Unidade</v>
      </c>
      <c r="L106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67" s="32" t="str">
        <f ca="1">IFERROR(VLOOKUP(MB25_VOLUMETRIA[[#This Row],[Reserva]],RES_AB[],14,FALSE),"")</f>
        <v>RESERVAS EM ATRASO</v>
      </c>
      <c r="N1067" s="32" t="str">
        <f>IF(MB25_VOLUMETRIA[[#This Row],[Cen.]]="","",IFERROR(VLOOKUP(MB25_VOLUMETRIA[[#This Row],[Cen.]],Dados_Empresas[],2,FALSE),"Verificar empresa"))</f>
        <v>NET MASSIVO</v>
      </c>
      <c r="O1067" s="32" t="str">
        <f>IF(MB25_VOLUMETRIA[[#This Row],[EMPRESA]]="","",IF(OR(MB25_VOLUMETRIA[[#This Row],[EMPRESA]]="NET MASSIVO",MB25_VOLUMETRIA[[#This Row],[EMPRESA]]="NET PROJETOS"),"NET","EMPRESARIAL"))</f>
        <v>NET</v>
      </c>
    </row>
    <row r="1068" spans="1:15" x14ac:dyDescent="0.25">
      <c r="A1068" s="32">
        <v>4381169</v>
      </c>
      <c r="B1068" s="32" t="s">
        <v>21</v>
      </c>
      <c r="C1068" s="33" t="s">
        <v>19</v>
      </c>
      <c r="D1068" s="35">
        <v>45447</v>
      </c>
      <c r="E1068" s="32" t="s">
        <v>185</v>
      </c>
      <c r="F1068" s="32">
        <v>22025162</v>
      </c>
      <c r="G1068" s="32" t="s">
        <v>211</v>
      </c>
      <c r="H1068" s="26" t="s">
        <v>38</v>
      </c>
      <c r="I1068" s="36">
        <v>20</v>
      </c>
      <c r="J1068" s="32">
        <f>IF(MB25_VOLUMETRIA[[#This Row],[Reserva]]="","",1)</f>
        <v>1</v>
      </c>
      <c r="K1068" s="36" t="str">
        <f>IF(MB25_VOLUMETRIA[[#This Row],[Reserva]]="","",IFERROR(VLOOKUP(MB25_VOLUMETRIA[[#This Row],[UMB]],CHAVE[],2,FALSE),"VERIFICAR"))</f>
        <v>Unidade</v>
      </c>
      <c r="L106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68" s="32" t="str">
        <f ca="1">IFERROR(VLOOKUP(MB25_VOLUMETRIA[[#This Row],[Reserva]],RES_AB[],14,FALSE),"")</f>
        <v>RESERVAS EM ATRASO</v>
      </c>
      <c r="N1068" s="32" t="str">
        <f>IF(MB25_VOLUMETRIA[[#This Row],[Cen.]]="","",IFERROR(VLOOKUP(MB25_VOLUMETRIA[[#This Row],[Cen.]],Dados_Empresas[],2,FALSE),"Verificar empresa"))</f>
        <v>NET MASSIVO</v>
      </c>
      <c r="O1068" s="32" t="str">
        <f>IF(MB25_VOLUMETRIA[[#This Row],[EMPRESA]]="","",IF(OR(MB25_VOLUMETRIA[[#This Row],[EMPRESA]]="NET MASSIVO",MB25_VOLUMETRIA[[#This Row],[EMPRESA]]="NET PROJETOS"),"NET","EMPRESARIAL"))</f>
        <v>NET</v>
      </c>
    </row>
    <row r="1069" spans="1:15" x14ac:dyDescent="0.25">
      <c r="A1069" s="32">
        <v>4381169</v>
      </c>
      <c r="B1069" s="32" t="s">
        <v>21</v>
      </c>
      <c r="C1069" s="33" t="s">
        <v>19</v>
      </c>
      <c r="D1069" s="35">
        <v>45447</v>
      </c>
      <c r="E1069" s="32" t="s">
        <v>185</v>
      </c>
      <c r="F1069" s="32">
        <v>22025182</v>
      </c>
      <c r="G1069" s="32" t="s">
        <v>367</v>
      </c>
      <c r="H1069" s="26" t="s">
        <v>38</v>
      </c>
      <c r="I1069" s="36">
        <v>20</v>
      </c>
      <c r="J1069" s="32">
        <f>IF(MB25_VOLUMETRIA[[#This Row],[Reserva]]="","",1)</f>
        <v>1</v>
      </c>
      <c r="K1069" s="36" t="str">
        <f>IF(MB25_VOLUMETRIA[[#This Row],[Reserva]]="","",IFERROR(VLOOKUP(MB25_VOLUMETRIA[[#This Row],[UMB]],CHAVE[],2,FALSE),"VERIFICAR"))</f>
        <v>Unidade</v>
      </c>
      <c r="L106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69" s="32" t="str">
        <f ca="1">IFERROR(VLOOKUP(MB25_VOLUMETRIA[[#This Row],[Reserva]],RES_AB[],14,FALSE),"")</f>
        <v>RESERVAS EM ATRASO</v>
      </c>
      <c r="N1069" s="32" t="str">
        <f>IF(MB25_VOLUMETRIA[[#This Row],[Cen.]]="","",IFERROR(VLOOKUP(MB25_VOLUMETRIA[[#This Row],[Cen.]],Dados_Empresas[],2,FALSE),"Verificar empresa"))</f>
        <v>NET MASSIVO</v>
      </c>
      <c r="O1069" s="32" t="str">
        <f>IF(MB25_VOLUMETRIA[[#This Row],[EMPRESA]]="","",IF(OR(MB25_VOLUMETRIA[[#This Row],[EMPRESA]]="NET MASSIVO",MB25_VOLUMETRIA[[#This Row],[EMPRESA]]="NET PROJETOS"),"NET","EMPRESARIAL"))</f>
        <v>NET</v>
      </c>
    </row>
    <row r="1070" spans="1:15" x14ac:dyDescent="0.25">
      <c r="A1070" s="32">
        <v>4381169</v>
      </c>
      <c r="B1070" s="32" t="s">
        <v>21</v>
      </c>
      <c r="C1070" s="33" t="s">
        <v>19</v>
      </c>
      <c r="D1070" s="35">
        <v>45447</v>
      </c>
      <c r="E1070" s="32" t="s">
        <v>185</v>
      </c>
      <c r="F1070" s="32">
        <v>22025183</v>
      </c>
      <c r="G1070" s="32" t="s">
        <v>333</v>
      </c>
      <c r="H1070" s="26" t="s">
        <v>38</v>
      </c>
      <c r="I1070" s="36">
        <v>20</v>
      </c>
      <c r="J1070" s="32">
        <f>IF(MB25_VOLUMETRIA[[#This Row],[Reserva]]="","",1)</f>
        <v>1</v>
      </c>
      <c r="K1070" s="36" t="str">
        <f>IF(MB25_VOLUMETRIA[[#This Row],[Reserva]]="","",IFERROR(VLOOKUP(MB25_VOLUMETRIA[[#This Row],[UMB]],CHAVE[],2,FALSE),"VERIFICAR"))</f>
        <v>Unidade</v>
      </c>
      <c r="L107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0" s="32" t="str">
        <f ca="1">IFERROR(VLOOKUP(MB25_VOLUMETRIA[[#This Row],[Reserva]],RES_AB[],14,FALSE),"")</f>
        <v>RESERVAS EM ATRASO</v>
      </c>
      <c r="N1070" s="32" t="str">
        <f>IF(MB25_VOLUMETRIA[[#This Row],[Cen.]]="","",IFERROR(VLOOKUP(MB25_VOLUMETRIA[[#This Row],[Cen.]],Dados_Empresas[],2,FALSE),"Verificar empresa"))</f>
        <v>NET MASSIVO</v>
      </c>
      <c r="O1070" s="32" t="str">
        <f>IF(MB25_VOLUMETRIA[[#This Row],[EMPRESA]]="","",IF(OR(MB25_VOLUMETRIA[[#This Row],[EMPRESA]]="NET MASSIVO",MB25_VOLUMETRIA[[#This Row],[EMPRESA]]="NET PROJETOS"),"NET","EMPRESARIAL"))</f>
        <v>NET</v>
      </c>
    </row>
    <row r="1071" spans="1:15" x14ac:dyDescent="0.25">
      <c r="A1071" s="32">
        <v>4381169</v>
      </c>
      <c r="B1071" s="32" t="s">
        <v>21</v>
      </c>
      <c r="C1071" s="33" t="s">
        <v>19</v>
      </c>
      <c r="D1071" s="35">
        <v>45447</v>
      </c>
      <c r="E1071" s="32" t="s">
        <v>185</v>
      </c>
      <c r="F1071" s="32">
        <v>22025238</v>
      </c>
      <c r="G1071" s="32" t="s">
        <v>368</v>
      </c>
      <c r="H1071" s="26" t="s">
        <v>38</v>
      </c>
      <c r="I1071" s="36">
        <v>20</v>
      </c>
      <c r="J1071" s="32">
        <f>IF(MB25_VOLUMETRIA[[#This Row],[Reserva]]="","",1)</f>
        <v>1</v>
      </c>
      <c r="K1071" s="36" t="str">
        <f>IF(MB25_VOLUMETRIA[[#This Row],[Reserva]]="","",IFERROR(VLOOKUP(MB25_VOLUMETRIA[[#This Row],[UMB]],CHAVE[],2,FALSE),"VERIFICAR"))</f>
        <v>Unidade</v>
      </c>
      <c r="L107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1" s="32" t="str">
        <f ca="1">IFERROR(VLOOKUP(MB25_VOLUMETRIA[[#This Row],[Reserva]],RES_AB[],14,FALSE),"")</f>
        <v>RESERVAS EM ATRASO</v>
      </c>
      <c r="N1071" s="32" t="str">
        <f>IF(MB25_VOLUMETRIA[[#This Row],[Cen.]]="","",IFERROR(VLOOKUP(MB25_VOLUMETRIA[[#This Row],[Cen.]],Dados_Empresas[],2,FALSE),"Verificar empresa"))</f>
        <v>NET MASSIVO</v>
      </c>
      <c r="O1071" s="32" t="str">
        <f>IF(MB25_VOLUMETRIA[[#This Row],[EMPRESA]]="","",IF(OR(MB25_VOLUMETRIA[[#This Row],[EMPRESA]]="NET MASSIVO",MB25_VOLUMETRIA[[#This Row],[EMPRESA]]="NET PROJETOS"),"NET","EMPRESARIAL"))</f>
        <v>NET</v>
      </c>
    </row>
    <row r="1072" spans="1:15" x14ac:dyDescent="0.25">
      <c r="A1072" s="32">
        <v>4381169</v>
      </c>
      <c r="B1072" s="32" t="s">
        <v>21</v>
      </c>
      <c r="C1072" s="33" t="s">
        <v>19</v>
      </c>
      <c r="D1072" s="35">
        <v>45447</v>
      </c>
      <c r="E1072" s="32" t="s">
        <v>185</v>
      </c>
      <c r="F1072" s="32">
        <v>22025243</v>
      </c>
      <c r="G1072" s="32" t="s">
        <v>331</v>
      </c>
      <c r="H1072" s="26" t="s">
        <v>38</v>
      </c>
      <c r="I1072" s="36">
        <v>10</v>
      </c>
      <c r="J1072" s="32">
        <f>IF(MB25_VOLUMETRIA[[#This Row],[Reserva]]="","",1)</f>
        <v>1</v>
      </c>
      <c r="K1072" s="36" t="str">
        <f>IF(MB25_VOLUMETRIA[[#This Row],[Reserva]]="","",IFERROR(VLOOKUP(MB25_VOLUMETRIA[[#This Row],[UMB]],CHAVE[],2,FALSE),"VERIFICAR"))</f>
        <v>Unidade</v>
      </c>
      <c r="L1072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2" s="32" t="str">
        <f ca="1">IFERROR(VLOOKUP(MB25_VOLUMETRIA[[#This Row],[Reserva]],RES_AB[],14,FALSE),"")</f>
        <v>RESERVAS EM ATRASO</v>
      </c>
      <c r="N1072" s="32" t="str">
        <f>IF(MB25_VOLUMETRIA[[#This Row],[Cen.]]="","",IFERROR(VLOOKUP(MB25_VOLUMETRIA[[#This Row],[Cen.]],Dados_Empresas[],2,FALSE),"Verificar empresa"))</f>
        <v>NET MASSIVO</v>
      </c>
      <c r="O1072" s="32" t="str">
        <f>IF(MB25_VOLUMETRIA[[#This Row],[EMPRESA]]="","",IF(OR(MB25_VOLUMETRIA[[#This Row],[EMPRESA]]="NET MASSIVO",MB25_VOLUMETRIA[[#This Row],[EMPRESA]]="NET PROJETOS"),"NET","EMPRESARIAL"))</f>
        <v>NET</v>
      </c>
    </row>
    <row r="1073" spans="1:15" x14ac:dyDescent="0.25">
      <c r="A1073" s="32">
        <v>4381169</v>
      </c>
      <c r="B1073" s="32" t="s">
        <v>21</v>
      </c>
      <c r="C1073" s="33" t="s">
        <v>19</v>
      </c>
      <c r="D1073" s="35">
        <v>45447</v>
      </c>
      <c r="E1073" s="32" t="s">
        <v>185</v>
      </c>
      <c r="F1073" s="32">
        <v>22025245</v>
      </c>
      <c r="G1073" s="32" t="s">
        <v>260</v>
      </c>
      <c r="H1073" s="26" t="s">
        <v>38</v>
      </c>
      <c r="I1073" s="36">
        <v>20</v>
      </c>
      <c r="J1073" s="32">
        <f>IF(MB25_VOLUMETRIA[[#This Row],[Reserva]]="","",1)</f>
        <v>1</v>
      </c>
      <c r="K1073" s="36" t="str">
        <f>IF(MB25_VOLUMETRIA[[#This Row],[Reserva]]="","",IFERROR(VLOOKUP(MB25_VOLUMETRIA[[#This Row],[UMB]],CHAVE[],2,FALSE),"VERIFICAR"))</f>
        <v>Unidade</v>
      </c>
      <c r="L1073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3" s="32" t="str">
        <f ca="1">IFERROR(VLOOKUP(MB25_VOLUMETRIA[[#This Row],[Reserva]],RES_AB[],14,FALSE),"")</f>
        <v>RESERVAS EM ATRASO</v>
      </c>
      <c r="N1073" s="32" t="str">
        <f>IF(MB25_VOLUMETRIA[[#This Row],[Cen.]]="","",IFERROR(VLOOKUP(MB25_VOLUMETRIA[[#This Row],[Cen.]],Dados_Empresas[],2,FALSE),"Verificar empresa"))</f>
        <v>NET MASSIVO</v>
      </c>
      <c r="O1073" s="32" t="str">
        <f>IF(MB25_VOLUMETRIA[[#This Row],[EMPRESA]]="","",IF(OR(MB25_VOLUMETRIA[[#This Row],[EMPRESA]]="NET MASSIVO",MB25_VOLUMETRIA[[#This Row],[EMPRESA]]="NET PROJETOS"),"NET","EMPRESARIAL"))</f>
        <v>NET</v>
      </c>
    </row>
    <row r="1074" spans="1:15" x14ac:dyDescent="0.25">
      <c r="A1074" s="32">
        <v>4381169</v>
      </c>
      <c r="B1074" s="32" t="s">
        <v>21</v>
      </c>
      <c r="C1074" s="33" t="s">
        <v>21</v>
      </c>
      <c r="D1074" s="35">
        <v>45447</v>
      </c>
      <c r="E1074" s="32" t="s">
        <v>185</v>
      </c>
      <c r="F1074" s="32">
        <v>22026158</v>
      </c>
      <c r="G1074" s="32" t="s">
        <v>232</v>
      </c>
      <c r="H1074" s="26" t="s">
        <v>38</v>
      </c>
      <c r="I1074" s="36">
        <v>20</v>
      </c>
      <c r="J1074" s="32">
        <f>IF(MB25_VOLUMETRIA[[#This Row],[Reserva]]="","",1)</f>
        <v>1</v>
      </c>
      <c r="K1074" s="36" t="str">
        <f>IF(MB25_VOLUMETRIA[[#This Row],[Reserva]]="","",IFERROR(VLOOKUP(MB25_VOLUMETRIA[[#This Row],[UMB]],CHAVE[],2,FALSE),"VERIFICAR"))</f>
        <v>Unidade</v>
      </c>
      <c r="L1074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4" s="32" t="str">
        <f ca="1">IFERROR(VLOOKUP(MB25_VOLUMETRIA[[#This Row],[Reserva]],RES_AB[],14,FALSE),"")</f>
        <v>RESERVAS EM ATRASO</v>
      </c>
      <c r="N1074" s="32" t="str">
        <f>IF(MB25_VOLUMETRIA[[#This Row],[Cen.]]="","",IFERROR(VLOOKUP(MB25_VOLUMETRIA[[#This Row],[Cen.]],Dados_Empresas[],2,FALSE),"Verificar empresa"))</f>
        <v>NET MASSIVO</v>
      </c>
      <c r="O1074" s="32" t="str">
        <f>IF(MB25_VOLUMETRIA[[#This Row],[EMPRESA]]="","",IF(OR(MB25_VOLUMETRIA[[#This Row],[EMPRESA]]="NET MASSIVO",MB25_VOLUMETRIA[[#This Row],[EMPRESA]]="NET PROJETOS"),"NET","EMPRESARIAL"))</f>
        <v>NET</v>
      </c>
    </row>
    <row r="1075" spans="1:15" x14ac:dyDescent="0.25">
      <c r="A1075" s="32">
        <v>4381169</v>
      </c>
      <c r="B1075" s="32" t="s">
        <v>21</v>
      </c>
      <c r="C1075" s="33" t="s">
        <v>21</v>
      </c>
      <c r="D1075" s="35">
        <v>45447</v>
      </c>
      <c r="E1075" s="32" t="s">
        <v>185</v>
      </c>
      <c r="F1075" s="32">
        <v>22026189</v>
      </c>
      <c r="G1075" s="32" t="s">
        <v>200</v>
      </c>
      <c r="H1075" s="26" t="s">
        <v>38</v>
      </c>
      <c r="I1075" s="36">
        <v>400</v>
      </c>
      <c r="J1075" s="32">
        <f>IF(MB25_VOLUMETRIA[[#This Row],[Reserva]]="","",1)</f>
        <v>1</v>
      </c>
      <c r="K1075" s="36" t="str">
        <f>IF(MB25_VOLUMETRIA[[#This Row],[Reserva]]="","",IFERROR(VLOOKUP(MB25_VOLUMETRIA[[#This Row],[UMB]],CHAVE[],2,FALSE),"VERIFICAR"))</f>
        <v>Unidade</v>
      </c>
      <c r="L1075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5" s="32" t="str">
        <f ca="1">IFERROR(VLOOKUP(MB25_VOLUMETRIA[[#This Row],[Reserva]],RES_AB[],14,FALSE),"")</f>
        <v>RESERVAS EM ATRASO</v>
      </c>
      <c r="N1075" s="32" t="str">
        <f>IF(MB25_VOLUMETRIA[[#This Row],[Cen.]]="","",IFERROR(VLOOKUP(MB25_VOLUMETRIA[[#This Row],[Cen.]],Dados_Empresas[],2,FALSE),"Verificar empresa"))</f>
        <v>NET MASSIVO</v>
      </c>
      <c r="O1075" s="32" t="str">
        <f>IF(MB25_VOLUMETRIA[[#This Row],[EMPRESA]]="","",IF(OR(MB25_VOLUMETRIA[[#This Row],[EMPRESA]]="NET MASSIVO",MB25_VOLUMETRIA[[#This Row],[EMPRESA]]="NET PROJETOS"),"NET","EMPRESARIAL"))</f>
        <v>NET</v>
      </c>
    </row>
    <row r="1076" spans="1:15" x14ac:dyDescent="0.25">
      <c r="A1076" s="32">
        <v>4381169</v>
      </c>
      <c r="B1076" s="32" t="s">
        <v>21</v>
      </c>
      <c r="C1076" s="33" t="s">
        <v>21</v>
      </c>
      <c r="D1076" s="35">
        <v>45447</v>
      </c>
      <c r="E1076" s="32" t="s">
        <v>185</v>
      </c>
      <c r="F1076" s="32">
        <v>22026199</v>
      </c>
      <c r="G1076" s="32" t="s">
        <v>233</v>
      </c>
      <c r="H1076" s="26" t="s">
        <v>38</v>
      </c>
      <c r="I1076" s="36">
        <v>100</v>
      </c>
      <c r="J1076" s="32">
        <f>IF(MB25_VOLUMETRIA[[#This Row],[Reserva]]="","",1)</f>
        <v>1</v>
      </c>
      <c r="K1076" s="36" t="str">
        <f>IF(MB25_VOLUMETRIA[[#This Row],[Reserva]]="","",IFERROR(VLOOKUP(MB25_VOLUMETRIA[[#This Row],[UMB]],CHAVE[],2,FALSE),"VERIFICAR"))</f>
        <v>Unidade</v>
      </c>
      <c r="L1076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6" s="32" t="str">
        <f ca="1">IFERROR(VLOOKUP(MB25_VOLUMETRIA[[#This Row],[Reserva]],RES_AB[],14,FALSE),"")</f>
        <v>RESERVAS EM ATRASO</v>
      </c>
      <c r="N1076" s="32" t="str">
        <f>IF(MB25_VOLUMETRIA[[#This Row],[Cen.]]="","",IFERROR(VLOOKUP(MB25_VOLUMETRIA[[#This Row],[Cen.]],Dados_Empresas[],2,FALSE),"Verificar empresa"))</f>
        <v>NET MASSIVO</v>
      </c>
      <c r="O1076" s="32" t="str">
        <f>IF(MB25_VOLUMETRIA[[#This Row],[EMPRESA]]="","",IF(OR(MB25_VOLUMETRIA[[#This Row],[EMPRESA]]="NET MASSIVO",MB25_VOLUMETRIA[[#This Row],[EMPRESA]]="NET PROJETOS"),"NET","EMPRESARIAL"))</f>
        <v>NET</v>
      </c>
    </row>
    <row r="1077" spans="1:15" x14ac:dyDescent="0.25">
      <c r="A1077" s="32">
        <v>4381169</v>
      </c>
      <c r="B1077" s="32" t="s">
        <v>21</v>
      </c>
      <c r="C1077" s="33" t="s">
        <v>21</v>
      </c>
      <c r="D1077" s="35">
        <v>45447</v>
      </c>
      <c r="E1077" s="32" t="s">
        <v>185</v>
      </c>
      <c r="F1077" s="32">
        <v>22026223</v>
      </c>
      <c r="G1077" s="32" t="s">
        <v>195</v>
      </c>
      <c r="H1077" s="26" t="s">
        <v>38</v>
      </c>
      <c r="I1077" s="36">
        <v>610</v>
      </c>
      <c r="J1077" s="32">
        <f>IF(MB25_VOLUMETRIA[[#This Row],[Reserva]]="","",1)</f>
        <v>1</v>
      </c>
      <c r="K1077" s="36" t="str">
        <f>IF(MB25_VOLUMETRIA[[#This Row],[Reserva]]="","",IFERROR(VLOOKUP(MB25_VOLUMETRIA[[#This Row],[UMB]],CHAVE[],2,FALSE),"VERIFICAR"))</f>
        <v>Unidade</v>
      </c>
      <c r="L1077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7" s="32" t="str">
        <f ca="1">IFERROR(VLOOKUP(MB25_VOLUMETRIA[[#This Row],[Reserva]],RES_AB[],14,FALSE),"")</f>
        <v>RESERVAS EM ATRASO</v>
      </c>
      <c r="N1077" s="32" t="str">
        <f>IF(MB25_VOLUMETRIA[[#This Row],[Cen.]]="","",IFERROR(VLOOKUP(MB25_VOLUMETRIA[[#This Row],[Cen.]],Dados_Empresas[],2,FALSE),"Verificar empresa"))</f>
        <v>NET MASSIVO</v>
      </c>
      <c r="O1077" s="32" t="str">
        <f>IF(MB25_VOLUMETRIA[[#This Row],[EMPRESA]]="","",IF(OR(MB25_VOLUMETRIA[[#This Row],[EMPRESA]]="NET MASSIVO",MB25_VOLUMETRIA[[#This Row],[EMPRESA]]="NET PROJETOS"),"NET","EMPRESARIAL"))</f>
        <v>NET</v>
      </c>
    </row>
    <row r="1078" spans="1:15" x14ac:dyDescent="0.25">
      <c r="A1078" s="32">
        <v>4381169</v>
      </c>
      <c r="B1078" s="32" t="s">
        <v>21</v>
      </c>
      <c r="C1078" s="33" t="s">
        <v>21</v>
      </c>
      <c r="D1078" s="35">
        <v>45447</v>
      </c>
      <c r="E1078" s="32" t="s">
        <v>185</v>
      </c>
      <c r="F1078" s="32">
        <v>22026772</v>
      </c>
      <c r="G1078" s="32" t="s">
        <v>201</v>
      </c>
      <c r="H1078" s="26" t="s">
        <v>38</v>
      </c>
      <c r="I1078" s="36">
        <v>25</v>
      </c>
      <c r="J1078" s="32">
        <f>IF(MB25_VOLUMETRIA[[#This Row],[Reserva]]="","",1)</f>
        <v>1</v>
      </c>
      <c r="K1078" s="36" t="str">
        <f>IF(MB25_VOLUMETRIA[[#This Row],[Reserva]]="","",IFERROR(VLOOKUP(MB25_VOLUMETRIA[[#This Row],[UMB]],CHAVE[],2,FALSE),"VERIFICAR"))</f>
        <v>Unidade</v>
      </c>
      <c r="L1078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8" s="32" t="str">
        <f ca="1">IFERROR(VLOOKUP(MB25_VOLUMETRIA[[#This Row],[Reserva]],RES_AB[],14,FALSE),"")</f>
        <v>RESERVAS EM ATRASO</v>
      </c>
      <c r="N1078" s="32" t="str">
        <f>IF(MB25_VOLUMETRIA[[#This Row],[Cen.]]="","",IFERROR(VLOOKUP(MB25_VOLUMETRIA[[#This Row],[Cen.]],Dados_Empresas[],2,FALSE),"Verificar empresa"))</f>
        <v>NET MASSIVO</v>
      </c>
      <c r="O1078" s="32" t="str">
        <f>IF(MB25_VOLUMETRIA[[#This Row],[EMPRESA]]="","",IF(OR(MB25_VOLUMETRIA[[#This Row],[EMPRESA]]="NET MASSIVO",MB25_VOLUMETRIA[[#This Row],[EMPRESA]]="NET PROJETOS"),"NET","EMPRESARIAL"))</f>
        <v>NET</v>
      </c>
    </row>
    <row r="1079" spans="1:15" x14ac:dyDescent="0.25">
      <c r="A1079" s="32">
        <v>4381169</v>
      </c>
      <c r="B1079" s="32" t="s">
        <v>21</v>
      </c>
      <c r="C1079" s="33" t="s">
        <v>21</v>
      </c>
      <c r="D1079" s="35">
        <v>45447</v>
      </c>
      <c r="E1079" s="32" t="s">
        <v>185</v>
      </c>
      <c r="F1079" s="32">
        <v>22026792</v>
      </c>
      <c r="G1079" s="32" t="s">
        <v>202</v>
      </c>
      <c r="H1079" s="26" t="s">
        <v>38</v>
      </c>
      <c r="I1079" s="36">
        <v>25</v>
      </c>
      <c r="J1079" s="32">
        <f>IF(MB25_VOLUMETRIA[[#This Row],[Reserva]]="","",1)</f>
        <v>1</v>
      </c>
      <c r="K1079" s="36" t="str">
        <f>IF(MB25_VOLUMETRIA[[#This Row],[Reserva]]="","",IFERROR(VLOOKUP(MB25_VOLUMETRIA[[#This Row],[UMB]],CHAVE[],2,FALSE),"VERIFICAR"))</f>
        <v>Unidade</v>
      </c>
      <c r="L1079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79" s="32" t="str">
        <f ca="1">IFERROR(VLOOKUP(MB25_VOLUMETRIA[[#This Row],[Reserva]],RES_AB[],14,FALSE),"")</f>
        <v>RESERVAS EM ATRASO</v>
      </c>
      <c r="N1079" s="32" t="str">
        <f>IF(MB25_VOLUMETRIA[[#This Row],[Cen.]]="","",IFERROR(VLOOKUP(MB25_VOLUMETRIA[[#This Row],[Cen.]],Dados_Empresas[],2,FALSE),"Verificar empresa"))</f>
        <v>NET MASSIVO</v>
      </c>
      <c r="O1079" s="32" t="str">
        <f>IF(MB25_VOLUMETRIA[[#This Row],[EMPRESA]]="","",IF(OR(MB25_VOLUMETRIA[[#This Row],[EMPRESA]]="NET MASSIVO",MB25_VOLUMETRIA[[#This Row],[EMPRESA]]="NET PROJETOS"),"NET","EMPRESARIAL"))</f>
        <v>NET</v>
      </c>
    </row>
    <row r="1080" spans="1:15" x14ac:dyDescent="0.25">
      <c r="A1080" s="32">
        <v>4381169</v>
      </c>
      <c r="B1080" s="32" t="s">
        <v>21</v>
      </c>
      <c r="C1080" s="33" t="s">
        <v>21</v>
      </c>
      <c r="D1080" s="35">
        <v>45447</v>
      </c>
      <c r="E1080" s="32" t="s">
        <v>185</v>
      </c>
      <c r="F1080" s="32">
        <v>22060422</v>
      </c>
      <c r="G1080" s="32" t="s">
        <v>298</v>
      </c>
      <c r="H1080" s="26" t="s">
        <v>38</v>
      </c>
      <c r="I1080" s="36">
        <v>150</v>
      </c>
      <c r="J1080" s="32">
        <f>IF(MB25_VOLUMETRIA[[#This Row],[Reserva]]="","",1)</f>
        <v>1</v>
      </c>
      <c r="K1080" s="36" t="str">
        <f>IF(MB25_VOLUMETRIA[[#This Row],[Reserva]]="","",IFERROR(VLOOKUP(MB25_VOLUMETRIA[[#This Row],[UMB]],CHAVE[],2,FALSE),"VERIFICAR"))</f>
        <v>Unidade</v>
      </c>
      <c r="L1080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80" s="32" t="str">
        <f ca="1">IFERROR(VLOOKUP(MB25_VOLUMETRIA[[#This Row],[Reserva]],RES_AB[],14,FALSE),"")</f>
        <v>RESERVAS EM ATRASO</v>
      </c>
      <c r="N1080" s="32" t="str">
        <f>IF(MB25_VOLUMETRIA[[#This Row],[Cen.]]="","",IFERROR(VLOOKUP(MB25_VOLUMETRIA[[#This Row],[Cen.]],Dados_Empresas[],2,FALSE),"Verificar empresa"))</f>
        <v>NET MASSIVO</v>
      </c>
      <c r="O1080" s="32" t="str">
        <f>IF(MB25_VOLUMETRIA[[#This Row],[EMPRESA]]="","",IF(OR(MB25_VOLUMETRIA[[#This Row],[EMPRESA]]="NET MASSIVO",MB25_VOLUMETRIA[[#This Row],[EMPRESA]]="NET PROJETOS"),"NET","EMPRESARIAL"))</f>
        <v>NET</v>
      </c>
    </row>
    <row r="1081" spans="1:15" x14ac:dyDescent="0.25">
      <c r="A1081" s="32">
        <v>4381169</v>
      </c>
      <c r="B1081" s="32" t="s">
        <v>21</v>
      </c>
      <c r="C1081" s="33" t="s">
        <v>19</v>
      </c>
      <c r="D1081" s="35">
        <v>45447</v>
      </c>
      <c r="E1081" s="32" t="s">
        <v>185</v>
      </c>
      <c r="F1081" s="32">
        <v>22065722</v>
      </c>
      <c r="G1081" s="32" t="s">
        <v>196</v>
      </c>
      <c r="H1081" s="26" t="s">
        <v>38</v>
      </c>
      <c r="I1081" s="36">
        <v>20</v>
      </c>
      <c r="J1081" s="32">
        <f>IF(MB25_VOLUMETRIA[[#This Row],[Reserva]]="","",1)</f>
        <v>1</v>
      </c>
      <c r="K1081" s="36" t="str">
        <f>IF(MB25_VOLUMETRIA[[#This Row],[Reserva]]="","",IFERROR(VLOOKUP(MB25_VOLUMETRIA[[#This Row],[UMB]],CHAVE[],2,FALSE),"VERIFICAR"))</f>
        <v>Unidade</v>
      </c>
      <c r="L1081" s="32" t="str">
        <f>IF(MB25_VOLUMETRIA[[#This Row],[Reserva]]="","",IFERROR(VLOOKUP(MB25_VOLUMETRIA[[#This Row],[Reserva]],Tabela3[[Reserva]:[Condição para Faturamento]],20,FALSE),"IMPORTADO COM SUCESSO"))</f>
        <v>AGUARDANDO SEPARAÇÃO</v>
      </c>
      <c r="M1081" s="32" t="str">
        <f ca="1">IFERROR(VLOOKUP(MB25_VOLUMETRIA[[#This Row],[Reserva]],RES_AB[],14,FALSE),"")</f>
        <v>RESERVAS EM ATRASO</v>
      </c>
      <c r="N1081" s="32" t="str">
        <f>IF(MB25_VOLUMETRIA[[#This Row],[Cen.]]="","",IFERROR(VLOOKUP(MB25_VOLUMETRIA[[#This Row],[Cen.]],Dados_Empresas[],2,FALSE),"Verificar empresa"))</f>
        <v>NET MASSIVO</v>
      </c>
      <c r="O1081" s="32" t="str">
        <f>IF(MB25_VOLUMETRIA[[#This Row],[EMPRESA]]="","",IF(OR(MB25_VOLUMETRIA[[#This Row],[EMPRESA]]="NET MASSIVO",MB25_VOLUMETRIA[[#This Row],[EMPRESA]]="NET PROJETOS"),"NET","EMPRESARIAL"))</f>
        <v>NET</v>
      </c>
    </row>
    <row r="1082" spans="1:15" x14ac:dyDescent="0.25">
      <c r="A1082" s="32">
        <v>4381170</v>
      </c>
      <c r="B1082" s="32" t="s">
        <v>21</v>
      </c>
      <c r="C1082" s="33" t="s">
        <v>19</v>
      </c>
      <c r="D1082" s="35">
        <v>45447</v>
      </c>
      <c r="E1082" s="32" t="s">
        <v>185</v>
      </c>
      <c r="F1082" s="32">
        <v>22025081</v>
      </c>
      <c r="G1082" s="32" t="s">
        <v>369</v>
      </c>
      <c r="H1082" s="26" t="s">
        <v>38</v>
      </c>
      <c r="I1082" s="36">
        <v>20</v>
      </c>
      <c r="J1082" s="32">
        <f>IF(MB25_VOLUMETRIA[[#This Row],[Reserva]]="","",1)</f>
        <v>1</v>
      </c>
      <c r="K1082" s="36" t="str">
        <f>IF(MB25_VOLUMETRIA[[#This Row],[Reserva]]="","",IFERROR(VLOOKUP(MB25_VOLUMETRIA[[#This Row],[UMB]],CHAVE[],2,FALSE),"VERIFICAR"))</f>
        <v>Unidade</v>
      </c>
      <c r="L108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2" s="32" t="str">
        <f ca="1">IFERROR(VLOOKUP(MB25_VOLUMETRIA[[#This Row],[Reserva]],RES_AB[],14,FALSE),"")</f>
        <v>RESERVAS EM ATRASO</v>
      </c>
      <c r="N1082" s="32" t="str">
        <f>IF(MB25_VOLUMETRIA[[#This Row],[Cen.]]="","",IFERROR(VLOOKUP(MB25_VOLUMETRIA[[#This Row],[Cen.]],Dados_Empresas[],2,FALSE),"Verificar empresa"))</f>
        <v>NET MASSIVO</v>
      </c>
      <c r="O1082" s="32" t="str">
        <f>IF(MB25_VOLUMETRIA[[#This Row],[EMPRESA]]="","",IF(OR(MB25_VOLUMETRIA[[#This Row],[EMPRESA]]="NET MASSIVO",MB25_VOLUMETRIA[[#This Row],[EMPRESA]]="NET PROJETOS"),"NET","EMPRESARIAL"))</f>
        <v>NET</v>
      </c>
    </row>
    <row r="1083" spans="1:15" x14ac:dyDescent="0.25">
      <c r="A1083" s="32">
        <v>4381170</v>
      </c>
      <c r="B1083" s="32" t="s">
        <v>21</v>
      </c>
      <c r="C1083" s="33" t="s">
        <v>19</v>
      </c>
      <c r="D1083" s="35">
        <v>45447</v>
      </c>
      <c r="E1083" s="32" t="s">
        <v>185</v>
      </c>
      <c r="F1083" s="32">
        <v>22025114</v>
      </c>
      <c r="G1083" s="32" t="s">
        <v>358</v>
      </c>
      <c r="H1083" s="26" t="s">
        <v>38</v>
      </c>
      <c r="I1083" s="36">
        <v>20</v>
      </c>
      <c r="J1083" s="32">
        <f>IF(MB25_VOLUMETRIA[[#This Row],[Reserva]]="","",1)</f>
        <v>1</v>
      </c>
      <c r="K1083" s="36" t="str">
        <f>IF(MB25_VOLUMETRIA[[#This Row],[Reserva]]="","",IFERROR(VLOOKUP(MB25_VOLUMETRIA[[#This Row],[UMB]],CHAVE[],2,FALSE),"VERIFICAR"))</f>
        <v>Unidade</v>
      </c>
      <c r="L108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3" s="32" t="str">
        <f ca="1">IFERROR(VLOOKUP(MB25_VOLUMETRIA[[#This Row],[Reserva]],RES_AB[],14,FALSE),"")</f>
        <v>RESERVAS EM ATRASO</v>
      </c>
      <c r="N1083" s="32" t="str">
        <f>IF(MB25_VOLUMETRIA[[#This Row],[Cen.]]="","",IFERROR(VLOOKUP(MB25_VOLUMETRIA[[#This Row],[Cen.]],Dados_Empresas[],2,FALSE),"Verificar empresa"))</f>
        <v>NET MASSIVO</v>
      </c>
      <c r="O1083" s="32" t="str">
        <f>IF(MB25_VOLUMETRIA[[#This Row],[EMPRESA]]="","",IF(OR(MB25_VOLUMETRIA[[#This Row],[EMPRESA]]="NET MASSIVO",MB25_VOLUMETRIA[[#This Row],[EMPRESA]]="NET PROJETOS"),"NET","EMPRESARIAL"))</f>
        <v>NET</v>
      </c>
    </row>
    <row r="1084" spans="1:15" x14ac:dyDescent="0.25">
      <c r="A1084" s="32">
        <v>4381170</v>
      </c>
      <c r="B1084" s="32" t="s">
        <v>21</v>
      </c>
      <c r="C1084" s="33" t="s">
        <v>19</v>
      </c>
      <c r="D1084" s="35">
        <v>45447</v>
      </c>
      <c r="E1084" s="32" t="s">
        <v>185</v>
      </c>
      <c r="F1084" s="32">
        <v>22025115</v>
      </c>
      <c r="G1084" s="32" t="s">
        <v>370</v>
      </c>
      <c r="H1084" s="26" t="s">
        <v>38</v>
      </c>
      <c r="I1084" s="36">
        <v>20</v>
      </c>
      <c r="J1084" s="32">
        <f>IF(MB25_VOLUMETRIA[[#This Row],[Reserva]]="","",1)</f>
        <v>1</v>
      </c>
      <c r="K1084" s="36" t="str">
        <f>IF(MB25_VOLUMETRIA[[#This Row],[Reserva]]="","",IFERROR(VLOOKUP(MB25_VOLUMETRIA[[#This Row],[UMB]],CHAVE[],2,FALSE),"VERIFICAR"))</f>
        <v>Unidade</v>
      </c>
      <c r="L108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4" s="32" t="str">
        <f ca="1">IFERROR(VLOOKUP(MB25_VOLUMETRIA[[#This Row],[Reserva]],RES_AB[],14,FALSE),"")</f>
        <v>RESERVAS EM ATRASO</v>
      </c>
      <c r="N1084" s="32" t="str">
        <f>IF(MB25_VOLUMETRIA[[#This Row],[Cen.]]="","",IFERROR(VLOOKUP(MB25_VOLUMETRIA[[#This Row],[Cen.]],Dados_Empresas[],2,FALSE),"Verificar empresa"))</f>
        <v>NET MASSIVO</v>
      </c>
      <c r="O1084" s="32" t="str">
        <f>IF(MB25_VOLUMETRIA[[#This Row],[EMPRESA]]="","",IF(OR(MB25_VOLUMETRIA[[#This Row],[EMPRESA]]="NET MASSIVO",MB25_VOLUMETRIA[[#This Row],[EMPRESA]]="NET PROJETOS"),"NET","EMPRESARIAL"))</f>
        <v>NET</v>
      </c>
    </row>
    <row r="1085" spans="1:15" x14ac:dyDescent="0.25">
      <c r="A1085" s="32">
        <v>4381170</v>
      </c>
      <c r="B1085" s="32" t="s">
        <v>21</v>
      </c>
      <c r="C1085" s="33" t="s">
        <v>19</v>
      </c>
      <c r="D1085" s="35">
        <v>45447</v>
      </c>
      <c r="E1085" s="32" t="s">
        <v>185</v>
      </c>
      <c r="F1085" s="32">
        <v>22025162</v>
      </c>
      <c r="G1085" s="32" t="s">
        <v>211</v>
      </c>
      <c r="H1085" s="26" t="s">
        <v>38</v>
      </c>
      <c r="I1085" s="36">
        <v>20</v>
      </c>
      <c r="J1085" s="32">
        <f>IF(MB25_VOLUMETRIA[[#This Row],[Reserva]]="","",1)</f>
        <v>1</v>
      </c>
      <c r="K1085" s="36" t="str">
        <f>IF(MB25_VOLUMETRIA[[#This Row],[Reserva]]="","",IFERROR(VLOOKUP(MB25_VOLUMETRIA[[#This Row],[UMB]],CHAVE[],2,FALSE),"VERIFICAR"))</f>
        <v>Unidade</v>
      </c>
      <c r="L108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5" s="32" t="str">
        <f ca="1">IFERROR(VLOOKUP(MB25_VOLUMETRIA[[#This Row],[Reserva]],RES_AB[],14,FALSE),"")</f>
        <v>RESERVAS EM ATRASO</v>
      </c>
      <c r="N1085" s="32" t="str">
        <f>IF(MB25_VOLUMETRIA[[#This Row],[Cen.]]="","",IFERROR(VLOOKUP(MB25_VOLUMETRIA[[#This Row],[Cen.]],Dados_Empresas[],2,FALSE),"Verificar empresa"))</f>
        <v>NET MASSIVO</v>
      </c>
      <c r="O1085" s="32" t="str">
        <f>IF(MB25_VOLUMETRIA[[#This Row],[EMPRESA]]="","",IF(OR(MB25_VOLUMETRIA[[#This Row],[EMPRESA]]="NET MASSIVO",MB25_VOLUMETRIA[[#This Row],[EMPRESA]]="NET PROJETOS"),"NET","EMPRESARIAL"))</f>
        <v>NET</v>
      </c>
    </row>
    <row r="1086" spans="1:15" x14ac:dyDescent="0.25">
      <c r="A1086" s="32">
        <v>4381170</v>
      </c>
      <c r="B1086" s="32" t="s">
        <v>21</v>
      </c>
      <c r="C1086" s="33" t="s">
        <v>19</v>
      </c>
      <c r="D1086" s="35">
        <v>45447</v>
      </c>
      <c r="E1086" s="32" t="s">
        <v>185</v>
      </c>
      <c r="F1086" s="32">
        <v>22025181</v>
      </c>
      <c r="G1086" s="32" t="s">
        <v>366</v>
      </c>
      <c r="H1086" s="26" t="s">
        <v>38</v>
      </c>
      <c r="I1086" s="36">
        <v>20</v>
      </c>
      <c r="J1086" s="32">
        <f>IF(MB25_VOLUMETRIA[[#This Row],[Reserva]]="","",1)</f>
        <v>1</v>
      </c>
      <c r="K1086" s="36" t="str">
        <f>IF(MB25_VOLUMETRIA[[#This Row],[Reserva]]="","",IFERROR(VLOOKUP(MB25_VOLUMETRIA[[#This Row],[UMB]],CHAVE[],2,FALSE),"VERIFICAR"))</f>
        <v>Unidade</v>
      </c>
      <c r="L108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6" s="32" t="str">
        <f ca="1">IFERROR(VLOOKUP(MB25_VOLUMETRIA[[#This Row],[Reserva]],RES_AB[],14,FALSE),"")</f>
        <v>RESERVAS EM ATRASO</v>
      </c>
      <c r="N1086" s="32" t="str">
        <f>IF(MB25_VOLUMETRIA[[#This Row],[Cen.]]="","",IFERROR(VLOOKUP(MB25_VOLUMETRIA[[#This Row],[Cen.]],Dados_Empresas[],2,FALSE),"Verificar empresa"))</f>
        <v>NET MASSIVO</v>
      </c>
      <c r="O1086" s="32" t="str">
        <f>IF(MB25_VOLUMETRIA[[#This Row],[EMPRESA]]="","",IF(OR(MB25_VOLUMETRIA[[#This Row],[EMPRESA]]="NET MASSIVO",MB25_VOLUMETRIA[[#This Row],[EMPRESA]]="NET PROJETOS"),"NET","EMPRESARIAL"))</f>
        <v>NET</v>
      </c>
    </row>
    <row r="1087" spans="1:15" x14ac:dyDescent="0.25">
      <c r="A1087" s="32">
        <v>4381170</v>
      </c>
      <c r="B1087" s="32" t="s">
        <v>21</v>
      </c>
      <c r="C1087" s="33" t="s">
        <v>19</v>
      </c>
      <c r="D1087" s="35">
        <v>45447</v>
      </c>
      <c r="E1087" s="32" t="s">
        <v>185</v>
      </c>
      <c r="F1087" s="32">
        <v>22025182</v>
      </c>
      <c r="G1087" s="32" t="s">
        <v>367</v>
      </c>
      <c r="H1087" s="26" t="s">
        <v>38</v>
      </c>
      <c r="I1087" s="36">
        <v>20</v>
      </c>
      <c r="J1087" s="32">
        <f>IF(MB25_VOLUMETRIA[[#This Row],[Reserva]]="","",1)</f>
        <v>1</v>
      </c>
      <c r="K1087" s="36" t="str">
        <f>IF(MB25_VOLUMETRIA[[#This Row],[Reserva]]="","",IFERROR(VLOOKUP(MB25_VOLUMETRIA[[#This Row],[UMB]],CHAVE[],2,FALSE),"VERIFICAR"))</f>
        <v>Unidade</v>
      </c>
      <c r="L108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7" s="32" t="str">
        <f ca="1">IFERROR(VLOOKUP(MB25_VOLUMETRIA[[#This Row],[Reserva]],RES_AB[],14,FALSE),"")</f>
        <v>RESERVAS EM ATRASO</v>
      </c>
      <c r="N1087" s="32" t="str">
        <f>IF(MB25_VOLUMETRIA[[#This Row],[Cen.]]="","",IFERROR(VLOOKUP(MB25_VOLUMETRIA[[#This Row],[Cen.]],Dados_Empresas[],2,FALSE),"Verificar empresa"))</f>
        <v>NET MASSIVO</v>
      </c>
      <c r="O1087" s="32" t="str">
        <f>IF(MB25_VOLUMETRIA[[#This Row],[EMPRESA]]="","",IF(OR(MB25_VOLUMETRIA[[#This Row],[EMPRESA]]="NET MASSIVO",MB25_VOLUMETRIA[[#This Row],[EMPRESA]]="NET PROJETOS"),"NET","EMPRESARIAL"))</f>
        <v>NET</v>
      </c>
    </row>
    <row r="1088" spans="1:15" x14ac:dyDescent="0.25">
      <c r="A1088" s="32">
        <v>4381170</v>
      </c>
      <c r="B1088" s="32" t="s">
        <v>21</v>
      </c>
      <c r="C1088" s="33" t="s">
        <v>19</v>
      </c>
      <c r="D1088" s="35">
        <v>45447</v>
      </c>
      <c r="E1088" s="32" t="s">
        <v>185</v>
      </c>
      <c r="F1088" s="32">
        <v>22025183</v>
      </c>
      <c r="G1088" s="32" t="s">
        <v>333</v>
      </c>
      <c r="H1088" s="26" t="s">
        <v>38</v>
      </c>
      <c r="I1088" s="36">
        <v>20</v>
      </c>
      <c r="J1088" s="32">
        <f>IF(MB25_VOLUMETRIA[[#This Row],[Reserva]]="","",1)</f>
        <v>1</v>
      </c>
      <c r="K1088" s="36" t="str">
        <f>IF(MB25_VOLUMETRIA[[#This Row],[Reserva]]="","",IFERROR(VLOOKUP(MB25_VOLUMETRIA[[#This Row],[UMB]],CHAVE[],2,FALSE),"VERIFICAR"))</f>
        <v>Unidade</v>
      </c>
      <c r="L108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8" s="32" t="str">
        <f ca="1">IFERROR(VLOOKUP(MB25_VOLUMETRIA[[#This Row],[Reserva]],RES_AB[],14,FALSE),"")</f>
        <v>RESERVAS EM ATRASO</v>
      </c>
      <c r="N1088" s="32" t="str">
        <f>IF(MB25_VOLUMETRIA[[#This Row],[Cen.]]="","",IFERROR(VLOOKUP(MB25_VOLUMETRIA[[#This Row],[Cen.]],Dados_Empresas[],2,FALSE),"Verificar empresa"))</f>
        <v>NET MASSIVO</v>
      </c>
      <c r="O1088" s="32" t="str">
        <f>IF(MB25_VOLUMETRIA[[#This Row],[EMPRESA]]="","",IF(OR(MB25_VOLUMETRIA[[#This Row],[EMPRESA]]="NET MASSIVO",MB25_VOLUMETRIA[[#This Row],[EMPRESA]]="NET PROJETOS"),"NET","EMPRESARIAL"))</f>
        <v>NET</v>
      </c>
    </row>
    <row r="1089" spans="1:15" x14ac:dyDescent="0.25">
      <c r="A1089" s="32">
        <v>4381170</v>
      </c>
      <c r="B1089" s="32" t="s">
        <v>21</v>
      </c>
      <c r="C1089" s="33" t="s">
        <v>19</v>
      </c>
      <c r="D1089" s="35">
        <v>45447</v>
      </c>
      <c r="E1089" s="32" t="s">
        <v>185</v>
      </c>
      <c r="F1089" s="32">
        <v>22025238</v>
      </c>
      <c r="G1089" s="32" t="s">
        <v>368</v>
      </c>
      <c r="H1089" s="26" t="s">
        <v>38</v>
      </c>
      <c r="I1089" s="36">
        <v>20</v>
      </c>
      <c r="J1089" s="32">
        <f>IF(MB25_VOLUMETRIA[[#This Row],[Reserva]]="","",1)</f>
        <v>1</v>
      </c>
      <c r="K1089" s="36" t="str">
        <f>IF(MB25_VOLUMETRIA[[#This Row],[Reserva]]="","",IFERROR(VLOOKUP(MB25_VOLUMETRIA[[#This Row],[UMB]],CHAVE[],2,FALSE),"VERIFICAR"))</f>
        <v>Unidade</v>
      </c>
      <c r="L108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89" s="32" t="str">
        <f ca="1">IFERROR(VLOOKUP(MB25_VOLUMETRIA[[#This Row],[Reserva]],RES_AB[],14,FALSE),"")</f>
        <v>RESERVAS EM ATRASO</v>
      </c>
      <c r="N1089" s="32" t="str">
        <f>IF(MB25_VOLUMETRIA[[#This Row],[Cen.]]="","",IFERROR(VLOOKUP(MB25_VOLUMETRIA[[#This Row],[Cen.]],Dados_Empresas[],2,FALSE),"Verificar empresa"))</f>
        <v>NET MASSIVO</v>
      </c>
      <c r="O1089" s="32" t="str">
        <f>IF(MB25_VOLUMETRIA[[#This Row],[EMPRESA]]="","",IF(OR(MB25_VOLUMETRIA[[#This Row],[EMPRESA]]="NET MASSIVO",MB25_VOLUMETRIA[[#This Row],[EMPRESA]]="NET PROJETOS"),"NET","EMPRESARIAL"))</f>
        <v>NET</v>
      </c>
    </row>
    <row r="1090" spans="1:15" x14ac:dyDescent="0.25">
      <c r="A1090" s="32">
        <v>4381170</v>
      </c>
      <c r="B1090" s="32" t="s">
        <v>21</v>
      </c>
      <c r="C1090" s="33" t="s">
        <v>19</v>
      </c>
      <c r="D1090" s="35">
        <v>45447</v>
      </c>
      <c r="E1090" s="32" t="s">
        <v>185</v>
      </c>
      <c r="F1090" s="32">
        <v>22025239</v>
      </c>
      <c r="G1090" s="32" t="s">
        <v>335</v>
      </c>
      <c r="H1090" s="26" t="s">
        <v>38</v>
      </c>
      <c r="I1090" s="36">
        <v>20</v>
      </c>
      <c r="J1090" s="32">
        <f>IF(MB25_VOLUMETRIA[[#This Row],[Reserva]]="","",1)</f>
        <v>1</v>
      </c>
      <c r="K1090" s="36" t="str">
        <f>IF(MB25_VOLUMETRIA[[#This Row],[Reserva]]="","",IFERROR(VLOOKUP(MB25_VOLUMETRIA[[#This Row],[UMB]],CHAVE[],2,FALSE),"VERIFICAR"))</f>
        <v>Unidade</v>
      </c>
      <c r="L1090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0" s="32" t="str">
        <f ca="1">IFERROR(VLOOKUP(MB25_VOLUMETRIA[[#This Row],[Reserva]],RES_AB[],14,FALSE),"")</f>
        <v>RESERVAS EM ATRASO</v>
      </c>
      <c r="N1090" s="32" t="str">
        <f>IF(MB25_VOLUMETRIA[[#This Row],[Cen.]]="","",IFERROR(VLOOKUP(MB25_VOLUMETRIA[[#This Row],[Cen.]],Dados_Empresas[],2,FALSE),"Verificar empresa"))</f>
        <v>NET MASSIVO</v>
      </c>
      <c r="O1090" s="32" t="str">
        <f>IF(MB25_VOLUMETRIA[[#This Row],[EMPRESA]]="","",IF(OR(MB25_VOLUMETRIA[[#This Row],[EMPRESA]]="NET MASSIVO",MB25_VOLUMETRIA[[#This Row],[EMPRESA]]="NET PROJETOS"),"NET","EMPRESARIAL"))</f>
        <v>NET</v>
      </c>
    </row>
    <row r="1091" spans="1:15" x14ac:dyDescent="0.25">
      <c r="A1091" s="32">
        <v>4381170</v>
      </c>
      <c r="B1091" s="32" t="s">
        <v>21</v>
      </c>
      <c r="C1091" s="33" t="s">
        <v>19</v>
      </c>
      <c r="D1091" s="35">
        <v>45447</v>
      </c>
      <c r="E1091" s="32" t="s">
        <v>185</v>
      </c>
      <c r="F1091" s="32">
        <v>22025240</v>
      </c>
      <c r="G1091" s="32" t="s">
        <v>359</v>
      </c>
      <c r="H1091" s="26" t="s">
        <v>38</v>
      </c>
      <c r="I1091" s="36">
        <v>20</v>
      </c>
      <c r="J1091" s="32">
        <f>IF(MB25_VOLUMETRIA[[#This Row],[Reserva]]="","",1)</f>
        <v>1</v>
      </c>
      <c r="K1091" s="36" t="str">
        <f>IF(MB25_VOLUMETRIA[[#This Row],[Reserva]]="","",IFERROR(VLOOKUP(MB25_VOLUMETRIA[[#This Row],[UMB]],CHAVE[],2,FALSE),"VERIFICAR"))</f>
        <v>Unidade</v>
      </c>
      <c r="L1091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1" s="32" t="str">
        <f ca="1">IFERROR(VLOOKUP(MB25_VOLUMETRIA[[#This Row],[Reserva]],RES_AB[],14,FALSE),"")</f>
        <v>RESERVAS EM ATRASO</v>
      </c>
      <c r="N1091" s="32" t="str">
        <f>IF(MB25_VOLUMETRIA[[#This Row],[Cen.]]="","",IFERROR(VLOOKUP(MB25_VOLUMETRIA[[#This Row],[Cen.]],Dados_Empresas[],2,FALSE),"Verificar empresa"))</f>
        <v>NET MASSIVO</v>
      </c>
      <c r="O1091" s="32" t="str">
        <f>IF(MB25_VOLUMETRIA[[#This Row],[EMPRESA]]="","",IF(OR(MB25_VOLUMETRIA[[#This Row],[EMPRESA]]="NET MASSIVO",MB25_VOLUMETRIA[[#This Row],[EMPRESA]]="NET PROJETOS"),"NET","EMPRESARIAL"))</f>
        <v>NET</v>
      </c>
    </row>
    <row r="1092" spans="1:15" x14ac:dyDescent="0.25">
      <c r="A1092" s="32">
        <v>4381170</v>
      </c>
      <c r="B1092" s="32" t="s">
        <v>21</v>
      </c>
      <c r="C1092" s="33" t="s">
        <v>19</v>
      </c>
      <c r="D1092" s="35">
        <v>45447</v>
      </c>
      <c r="E1092" s="32" t="s">
        <v>185</v>
      </c>
      <c r="F1092" s="32">
        <v>22025241</v>
      </c>
      <c r="G1092" s="32" t="s">
        <v>212</v>
      </c>
      <c r="H1092" s="26" t="s">
        <v>38</v>
      </c>
      <c r="I1092" s="36">
        <v>20</v>
      </c>
      <c r="J1092" s="32">
        <f>IF(MB25_VOLUMETRIA[[#This Row],[Reserva]]="","",1)</f>
        <v>1</v>
      </c>
      <c r="K1092" s="36" t="str">
        <f>IF(MB25_VOLUMETRIA[[#This Row],[Reserva]]="","",IFERROR(VLOOKUP(MB25_VOLUMETRIA[[#This Row],[UMB]],CHAVE[],2,FALSE),"VERIFICAR"))</f>
        <v>Unidade</v>
      </c>
      <c r="L1092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2" s="32" t="str">
        <f ca="1">IFERROR(VLOOKUP(MB25_VOLUMETRIA[[#This Row],[Reserva]],RES_AB[],14,FALSE),"")</f>
        <v>RESERVAS EM ATRASO</v>
      </c>
      <c r="N1092" s="32" t="str">
        <f>IF(MB25_VOLUMETRIA[[#This Row],[Cen.]]="","",IFERROR(VLOOKUP(MB25_VOLUMETRIA[[#This Row],[Cen.]],Dados_Empresas[],2,FALSE),"Verificar empresa"))</f>
        <v>NET MASSIVO</v>
      </c>
      <c r="O1092" s="32" t="str">
        <f>IF(MB25_VOLUMETRIA[[#This Row],[EMPRESA]]="","",IF(OR(MB25_VOLUMETRIA[[#This Row],[EMPRESA]]="NET MASSIVO",MB25_VOLUMETRIA[[#This Row],[EMPRESA]]="NET PROJETOS"),"NET","EMPRESARIAL"))</f>
        <v>NET</v>
      </c>
    </row>
    <row r="1093" spans="1:15" x14ac:dyDescent="0.25">
      <c r="A1093" s="32">
        <v>4381170</v>
      </c>
      <c r="B1093" s="32" t="s">
        <v>21</v>
      </c>
      <c r="C1093" s="33" t="s">
        <v>19</v>
      </c>
      <c r="D1093" s="35">
        <v>45447</v>
      </c>
      <c r="E1093" s="32" t="s">
        <v>185</v>
      </c>
      <c r="F1093" s="32">
        <v>22025243</v>
      </c>
      <c r="G1093" s="32" t="s">
        <v>331</v>
      </c>
      <c r="H1093" s="26" t="s">
        <v>38</v>
      </c>
      <c r="I1093" s="36">
        <v>20</v>
      </c>
      <c r="J1093" s="32">
        <f>IF(MB25_VOLUMETRIA[[#This Row],[Reserva]]="","",1)</f>
        <v>1</v>
      </c>
      <c r="K1093" s="36" t="str">
        <f>IF(MB25_VOLUMETRIA[[#This Row],[Reserva]]="","",IFERROR(VLOOKUP(MB25_VOLUMETRIA[[#This Row],[UMB]],CHAVE[],2,FALSE),"VERIFICAR"))</f>
        <v>Unidade</v>
      </c>
      <c r="L1093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3" s="32" t="str">
        <f ca="1">IFERROR(VLOOKUP(MB25_VOLUMETRIA[[#This Row],[Reserva]],RES_AB[],14,FALSE),"")</f>
        <v>RESERVAS EM ATRASO</v>
      </c>
      <c r="N1093" s="32" t="str">
        <f>IF(MB25_VOLUMETRIA[[#This Row],[Cen.]]="","",IFERROR(VLOOKUP(MB25_VOLUMETRIA[[#This Row],[Cen.]],Dados_Empresas[],2,FALSE),"Verificar empresa"))</f>
        <v>NET MASSIVO</v>
      </c>
      <c r="O1093" s="32" t="str">
        <f>IF(MB25_VOLUMETRIA[[#This Row],[EMPRESA]]="","",IF(OR(MB25_VOLUMETRIA[[#This Row],[EMPRESA]]="NET MASSIVO",MB25_VOLUMETRIA[[#This Row],[EMPRESA]]="NET PROJETOS"),"NET","EMPRESARIAL"))</f>
        <v>NET</v>
      </c>
    </row>
    <row r="1094" spans="1:15" x14ac:dyDescent="0.25">
      <c r="A1094" s="32">
        <v>4381170</v>
      </c>
      <c r="B1094" s="32" t="s">
        <v>21</v>
      </c>
      <c r="C1094" s="33" t="s">
        <v>19</v>
      </c>
      <c r="D1094" s="35">
        <v>45447</v>
      </c>
      <c r="E1094" s="32" t="s">
        <v>185</v>
      </c>
      <c r="F1094" s="32">
        <v>22025244</v>
      </c>
      <c r="G1094" s="32" t="s">
        <v>230</v>
      </c>
      <c r="H1094" s="26" t="s">
        <v>38</v>
      </c>
      <c r="I1094" s="36">
        <v>10</v>
      </c>
      <c r="J1094" s="32">
        <f>IF(MB25_VOLUMETRIA[[#This Row],[Reserva]]="","",1)</f>
        <v>1</v>
      </c>
      <c r="K1094" s="36" t="str">
        <f>IF(MB25_VOLUMETRIA[[#This Row],[Reserva]]="","",IFERROR(VLOOKUP(MB25_VOLUMETRIA[[#This Row],[UMB]],CHAVE[],2,FALSE),"VERIFICAR"))</f>
        <v>Unidade</v>
      </c>
      <c r="L1094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4" s="32" t="str">
        <f ca="1">IFERROR(VLOOKUP(MB25_VOLUMETRIA[[#This Row],[Reserva]],RES_AB[],14,FALSE),"")</f>
        <v>RESERVAS EM ATRASO</v>
      </c>
      <c r="N1094" s="32" t="str">
        <f>IF(MB25_VOLUMETRIA[[#This Row],[Cen.]]="","",IFERROR(VLOOKUP(MB25_VOLUMETRIA[[#This Row],[Cen.]],Dados_Empresas[],2,FALSE),"Verificar empresa"))</f>
        <v>NET MASSIVO</v>
      </c>
      <c r="O1094" s="32" t="str">
        <f>IF(MB25_VOLUMETRIA[[#This Row],[EMPRESA]]="","",IF(OR(MB25_VOLUMETRIA[[#This Row],[EMPRESA]]="NET MASSIVO",MB25_VOLUMETRIA[[#This Row],[EMPRESA]]="NET PROJETOS"),"NET","EMPRESARIAL"))</f>
        <v>NET</v>
      </c>
    </row>
    <row r="1095" spans="1:15" x14ac:dyDescent="0.25">
      <c r="A1095" s="32">
        <v>4381170</v>
      </c>
      <c r="B1095" s="32" t="s">
        <v>21</v>
      </c>
      <c r="C1095" s="33" t="s">
        <v>19</v>
      </c>
      <c r="D1095" s="35">
        <v>45447</v>
      </c>
      <c r="E1095" s="32" t="s">
        <v>185</v>
      </c>
      <c r="F1095" s="32">
        <v>22025245</v>
      </c>
      <c r="G1095" s="32" t="s">
        <v>260</v>
      </c>
      <c r="H1095" s="26" t="s">
        <v>38</v>
      </c>
      <c r="I1095" s="36">
        <v>20</v>
      </c>
      <c r="J1095" s="32">
        <f>IF(MB25_VOLUMETRIA[[#This Row],[Reserva]]="","",1)</f>
        <v>1</v>
      </c>
      <c r="K1095" s="36" t="str">
        <f>IF(MB25_VOLUMETRIA[[#This Row],[Reserva]]="","",IFERROR(VLOOKUP(MB25_VOLUMETRIA[[#This Row],[UMB]],CHAVE[],2,FALSE),"VERIFICAR"))</f>
        <v>Unidade</v>
      </c>
      <c r="L1095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5" s="32" t="str">
        <f ca="1">IFERROR(VLOOKUP(MB25_VOLUMETRIA[[#This Row],[Reserva]],RES_AB[],14,FALSE),"")</f>
        <v>RESERVAS EM ATRASO</v>
      </c>
      <c r="N1095" s="32" t="str">
        <f>IF(MB25_VOLUMETRIA[[#This Row],[Cen.]]="","",IFERROR(VLOOKUP(MB25_VOLUMETRIA[[#This Row],[Cen.]],Dados_Empresas[],2,FALSE),"Verificar empresa"))</f>
        <v>NET MASSIVO</v>
      </c>
      <c r="O1095" s="32" t="str">
        <f>IF(MB25_VOLUMETRIA[[#This Row],[EMPRESA]]="","",IF(OR(MB25_VOLUMETRIA[[#This Row],[EMPRESA]]="NET MASSIVO",MB25_VOLUMETRIA[[#This Row],[EMPRESA]]="NET PROJETOS"),"NET","EMPRESARIAL"))</f>
        <v>NET</v>
      </c>
    </row>
    <row r="1096" spans="1:15" x14ac:dyDescent="0.25">
      <c r="A1096" s="32">
        <v>4381170</v>
      </c>
      <c r="B1096" s="32" t="s">
        <v>21</v>
      </c>
      <c r="C1096" s="33" t="s">
        <v>19</v>
      </c>
      <c r="D1096" s="35">
        <v>45447</v>
      </c>
      <c r="E1096" s="32" t="s">
        <v>185</v>
      </c>
      <c r="F1096" s="32">
        <v>22025250</v>
      </c>
      <c r="G1096" s="32" t="s">
        <v>213</v>
      </c>
      <c r="H1096" s="26" t="s">
        <v>38</v>
      </c>
      <c r="I1096" s="36">
        <v>20</v>
      </c>
      <c r="J1096" s="32">
        <f>IF(MB25_VOLUMETRIA[[#This Row],[Reserva]]="","",1)</f>
        <v>1</v>
      </c>
      <c r="K1096" s="36" t="str">
        <f>IF(MB25_VOLUMETRIA[[#This Row],[Reserva]]="","",IFERROR(VLOOKUP(MB25_VOLUMETRIA[[#This Row],[UMB]],CHAVE[],2,FALSE),"VERIFICAR"))</f>
        <v>Unidade</v>
      </c>
      <c r="L1096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6" s="32" t="str">
        <f ca="1">IFERROR(VLOOKUP(MB25_VOLUMETRIA[[#This Row],[Reserva]],RES_AB[],14,FALSE),"")</f>
        <v>RESERVAS EM ATRASO</v>
      </c>
      <c r="N1096" s="32" t="str">
        <f>IF(MB25_VOLUMETRIA[[#This Row],[Cen.]]="","",IFERROR(VLOOKUP(MB25_VOLUMETRIA[[#This Row],[Cen.]],Dados_Empresas[],2,FALSE),"Verificar empresa"))</f>
        <v>NET MASSIVO</v>
      </c>
      <c r="O1096" s="32" t="str">
        <f>IF(MB25_VOLUMETRIA[[#This Row],[EMPRESA]]="","",IF(OR(MB25_VOLUMETRIA[[#This Row],[EMPRESA]]="NET MASSIVO",MB25_VOLUMETRIA[[#This Row],[EMPRESA]]="NET PROJETOS"),"NET","EMPRESARIAL"))</f>
        <v>NET</v>
      </c>
    </row>
    <row r="1097" spans="1:15" x14ac:dyDescent="0.25">
      <c r="A1097" s="32">
        <v>4381170</v>
      </c>
      <c r="B1097" s="32" t="s">
        <v>21</v>
      </c>
      <c r="C1097" s="33" t="s">
        <v>21</v>
      </c>
      <c r="D1097" s="35">
        <v>45447</v>
      </c>
      <c r="E1097" s="32" t="s">
        <v>185</v>
      </c>
      <c r="F1097" s="32">
        <v>22026223</v>
      </c>
      <c r="G1097" s="32" t="s">
        <v>195</v>
      </c>
      <c r="H1097" s="26" t="s">
        <v>38</v>
      </c>
      <c r="I1097" s="36">
        <v>610</v>
      </c>
      <c r="J1097" s="32">
        <f>IF(MB25_VOLUMETRIA[[#This Row],[Reserva]]="","",1)</f>
        <v>1</v>
      </c>
      <c r="K1097" s="36" t="str">
        <f>IF(MB25_VOLUMETRIA[[#This Row],[Reserva]]="","",IFERROR(VLOOKUP(MB25_VOLUMETRIA[[#This Row],[UMB]],CHAVE[],2,FALSE),"VERIFICAR"))</f>
        <v>Unidade</v>
      </c>
      <c r="L1097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7" s="32" t="str">
        <f ca="1">IFERROR(VLOOKUP(MB25_VOLUMETRIA[[#This Row],[Reserva]],RES_AB[],14,FALSE),"")</f>
        <v>RESERVAS EM ATRASO</v>
      </c>
      <c r="N1097" s="32" t="str">
        <f>IF(MB25_VOLUMETRIA[[#This Row],[Cen.]]="","",IFERROR(VLOOKUP(MB25_VOLUMETRIA[[#This Row],[Cen.]],Dados_Empresas[],2,FALSE),"Verificar empresa"))</f>
        <v>NET MASSIVO</v>
      </c>
      <c r="O1097" s="32" t="str">
        <f>IF(MB25_VOLUMETRIA[[#This Row],[EMPRESA]]="","",IF(OR(MB25_VOLUMETRIA[[#This Row],[EMPRESA]]="NET MASSIVO",MB25_VOLUMETRIA[[#This Row],[EMPRESA]]="NET PROJETOS"),"NET","EMPRESARIAL"))</f>
        <v>NET</v>
      </c>
    </row>
    <row r="1098" spans="1:15" x14ac:dyDescent="0.25">
      <c r="A1098" s="32">
        <v>4381170</v>
      </c>
      <c r="B1098" s="32" t="s">
        <v>21</v>
      </c>
      <c r="C1098" s="33" t="s">
        <v>21</v>
      </c>
      <c r="D1098" s="35">
        <v>45447</v>
      </c>
      <c r="E1098" s="32" t="s">
        <v>185</v>
      </c>
      <c r="F1098" s="32">
        <v>22057659</v>
      </c>
      <c r="G1098" s="32" t="s">
        <v>224</v>
      </c>
      <c r="H1098" s="26" t="s">
        <v>38</v>
      </c>
      <c r="I1098" s="36">
        <v>60</v>
      </c>
      <c r="J1098" s="32">
        <f>IF(MB25_VOLUMETRIA[[#This Row],[Reserva]]="","",1)</f>
        <v>1</v>
      </c>
      <c r="K1098" s="36" t="str">
        <f>IF(MB25_VOLUMETRIA[[#This Row],[Reserva]]="","",IFERROR(VLOOKUP(MB25_VOLUMETRIA[[#This Row],[UMB]],CHAVE[],2,FALSE),"VERIFICAR"))</f>
        <v>Unidade</v>
      </c>
      <c r="L1098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8" s="32" t="str">
        <f ca="1">IFERROR(VLOOKUP(MB25_VOLUMETRIA[[#This Row],[Reserva]],RES_AB[],14,FALSE),"")</f>
        <v>RESERVAS EM ATRASO</v>
      </c>
      <c r="N1098" s="32" t="str">
        <f>IF(MB25_VOLUMETRIA[[#This Row],[Cen.]]="","",IFERROR(VLOOKUP(MB25_VOLUMETRIA[[#This Row],[Cen.]],Dados_Empresas[],2,FALSE),"Verificar empresa"))</f>
        <v>NET MASSIVO</v>
      </c>
      <c r="O1098" s="32" t="str">
        <f>IF(MB25_VOLUMETRIA[[#This Row],[EMPRESA]]="","",IF(OR(MB25_VOLUMETRIA[[#This Row],[EMPRESA]]="NET MASSIVO",MB25_VOLUMETRIA[[#This Row],[EMPRESA]]="NET PROJETOS"),"NET","EMPRESARIAL"))</f>
        <v>NET</v>
      </c>
    </row>
    <row r="1099" spans="1:15" x14ac:dyDescent="0.25">
      <c r="A1099" s="32">
        <v>4381170</v>
      </c>
      <c r="B1099" s="32" t="s">
        <v>21</v>
      </c>
      <c r="C1099" s="33" t="s">
        <v>21</v>
      </c>
      <c r="D1099" s="35">
        <v>45447</v>
      </c>
      <c r="E1099" s="32" t="s">
        <v>185</v>
      </c>
      <c r="F1099" s="32">
        <v>22057866</v>
      </c>
      <c r="G1099" s="32" t="s">
        <v>225</v>
      </c>
      <c r="H1099" s="26" t="s">
        <v>38</v>
      </c>
      <c r="I1099" s="36">
        <v>10</v>
      </c>
      <c r="J1099" s="32">
        <f>IF(MB25_VOLUMETRIA[[#This Row],[Reserva]]="","",1)</f>
        <v>1</v>
      </c>
      <c r="K1099" s="36" t="str">
        <f>IF(MB25_VOLUMETRIA[[#This Row],[Reserva]]="","",IFERROR(VLOOKUP(MB25_VOLUMETRIA[[#This Row],[UMB]],CHAVE[],2,FALSE),"VERIFICAR"))</f>
        <v>Unidade</v>
      </c>
      <c r="L1099" s="32" t="str">
        <f>IF(MB25_VOLUMETRIA[[#This Row],[Reserva]]="","",IFERROR(VLOOKUP(MB25_VOLUMETRIA[[#This Row],[Reserva]],Tabela3[[Reserva]:[Condição para Faturamento]],20,FALSE),"IMPORTADO COM SUCESSO"))</f>
        <v>EM RESSUPRIMENTO</v>
      </c>
      <c r="M1099" s="32" t="str">
        <f ca="1">IFERROR(VLOOKUP(MB25_VOLUMETRIA[[#This Row],[Reserva]],RES_AB[],14,FALSE),"")</f>
        <v>RESERVAS EM ATRASO</v>
      </c>
      <c r="N1099" s="32" t="str">
        <f>IF(MB25_VOLUMETRIA[[#This Row],[Cen.]]="","",IFERROR(VLOOKUP(MB25_VOLUMETRIA[[#This Row],[Cen.]],Dados_Empresas[],2,FALSE),"Verificar empresa"))</f>
        <v>NET MASSIVO</v>
      </c>
      <c r="O1099" s="32" t="str">
        <f>IF(MB25_VOLUMETRIA[[#This Row],[EMPRESA]]="","",IF(OR(MB25_VOLUMETRIA[[#This Row],[EMPRESA]]="NET MASSIVO",MB25_VOLUMETRIA[[#This Row],[EMPRESA]]="NET PROJETOS"),"NET","EMPRESARIAL"))</f>
        <v>NET</v>
      </c>
    </row>
    <row r="1100" spans="1:15" x14ac:dyDescent="0.25">
      <c r="A1100" s="32">
        <v>4381170</v>
      </c>
      <c r="B1100" s="32" t="s">
        <v>21</v>
      </c>
      <c r="C1100" s="33" t="s">
        <v>21</v>
      </c>
      <c r="D1100" s="35">
        <v>45447</v>
      </c>
      <c r="E1100" s="32" t="s">
        <v>185</v>
      </c>
      <c r="F1100" s="32">
        <v>22061736</v>
      </c>
      <c r="G1100" s="32" t="s">
        <v>216</v>
      </c>
      <c r="H1100" s="26" t="s">
        <v>38</v>
      </c>
      <c r="I1100" s="36">
        <v>1000</v>
      </c>
      <c r="J1100" s="32">
        <f>IF(MB25_VOLUMETRIA[[#This Row],[Reserva]]="","",1)</f>
        <v>1</v>
      </c>
      <c r="K1100" s="36" t="str">
        <f>IF(MB25_VOLUMETRIA[[#This Row],[Reserva]]="","",IFERROR(VLOOKUP(MB25_VOLUMETRIA[[#This Row],[UMB]],CHAVE[],2,FALSE),"VERIFICAR"))</f>
        <v>Unidade</v>
      </c>
      <c r="L110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00" s="32" t="str">
        <f ca="1">IFERROR(VLOOKUP(MB25_VOLUMETRIA[[#This Row],[Reserva]],RES_AB[],14,FALSE),"")</f>
        <v>RESERVAS EM ATRASO</v>
      </c>
      <c r="N1100" s="32" t="str">
        <f>IF(MB25_VOLUMETRIA[[#This Row],[Cen.]]="","",IFERROR(VLOOKUP(MB25_VOLUMETRIA[[#This Row],[Cen.]],Dados_Empresas[],2,FALSE),"Verificar empresa"))</f>
        <v>NET MASSIVO</v>
      </c>
      <c r="O1100" s="32" t="str">
        <f>IF(MB25_VOLUMETRIA[[#This Row],[EMPRESA]]="","",IF(OR(MB25_VOLUMETRIA[[#This Row],[EMPRESA]]="NET MASSIVO",MB25_VOLUMETRIA[[#This Row],[EMPRESA]]="NET PROJETOS"),"NET","EMPRESARIAL"))</f>
        <v>NET</v>
      </c>
    </row>
    <row r="1101" spans="1:15" x14ac:dyDescent="0.25">
      <c r="A1101" s="32">
        <v>4381171</v>
      </c>
      <c r="B1101" s="32" t="s">
        <v>21</v>
      </c>
      <c r="C1101" s="33" t="s">
        <v>19</v>
      </c>
      <c r="D1101" s="35">
        <v>45447</v>
      </c>
      <c r="E1101" s="32" t="s">
        <v>192</v>
      </c>
      <c r="F1101" s="32">
        <v>41000805</v>
      </c>
      <c r="G1101" s="32" t="s">
        <v>188</v>
      </c>
      <c r="H1101" s="26" t="s">
        <v>38</v>
      </c>
      <c r="I1101" s="36">
        <v>110</v>
      </c>
      <c r="J1101" s="32">
        <f>IF(MB25_VOLUMETRIA[[#This Row],[Reserva]]="","",1)</f>
        <v>1</v>
      </c>
      <c r="K1101" s="36" t="str">
        <f>IF(MB25_VOLUMETRIA[[#This Row],[Reserva]]="","",IFERROR(VLOOKUP(MB25_VOLUMETRIA[[#This Row],[UMB]],CHAVE[],2,FALSE),"VERIFICAR"))</f>
        <v>Unidade</v>
      </c>
      <c r="L1101" s="32" t="str">
        <f>IF(MB25_VOLUMETRIA[[#This Row],[Reserva]]="","",IFERROR(VLOOKUP(MB25_VOLUMETRIA[[#This Row],[Reserva]],Tabela3[[Reserva]:[Condição para Faturamento]],20,FALSE),"IMPORTADO COM SUCESSO"))</f>
        <v>IMPORTADO</v>
      </c>
      <c r="M1101" s="32" t="str">
        <f ca="1">IFERROR(VLOOKUP(MB25_VOLUMETRIA[[#This Row],[Reserva]],RES_AB[],14,FALSE),"")</f>
        <v>RESERVAS EM ATRASO</v>
      </c>
      <c r="N1101" s="32" t="str">
        <f>IF(MB25_VOLUMETRIA[[#This Row],[Cen.]]="","",IFERROR(VLOOKUP(MB25_VOLUMETRIA[[#This Row],[Cen.]],Dados_Empresas[],2,FALSE),"Verificar empresa"))</f>
        <v>NET MASSIVO</v>
      </c>
      <c r="O1101" s="32" t="str">
        <f>IF(MB25_VOLUMETRIA[[#This Row],[EMPRESA]]="","",IF(OR(MB25_VOLUMETRIA[[#This Row],[EMPRESA]]="NET MASSIVO",MB25_VOLUMETRIA[[#This Row],[EMPRESA]]="NET PROJETOS"),"NET","EMPRESARIAL"))</f>
        <v>NET</v>
      </c>
    </row>
    <row r="1102" spans="1:15" x14ac:dyDescent="0.25">
      <c r="A1102" s="32">
        <v>4381171</v>
      </c>
      <c r="B1102" s="32" t="s">
        <v>21</v>
      </c>
      <c r="C1102" s="33" t="s">
        <v>19</v>
      </c>
      <c r="D1102" s="35">
        <v>45447</v>
      </c>
      <c r="E1102" s="32" t="s">
        <v>192</v>
      </c>
      <c r="F1102" s="32">
        <v>41001047</v>
      </c>
      <c r="G1102" s="32" t="s">
        <v>257</v>
      </c>
      <c r="H1102" s="26" t="s">
        <v>38</v>
      </c>
      <c r="I1102" s="36">
        <v>110</v>
      </c>
      <c r="J1102" s="32">
        <f>IF(MB25_VOLUMETRIA[[#This Row],[Reserva]]="","",1)</f>
        <v>1</v>
      </c>
      <c r="K1102" s="36" t="str">
        <f>IF(MB25_VOLUMETRIA[[#This Row],[Reserva]]="","",IFERROR(VLOOKUP(MB25_VOLUMETRIA[[#This Row],[UMB]],CHAVE[],2,FALSE),"VERIFICAR"))</f>
        <v>Unidade</v>
      </c>
      <c r="L1102" s="32" t="str">
        <f>IF(MB25_VOLUMETRIA[[#This Row],[Reserva]]="","",IFERROR(VLOOKUP(MB25_VOLUMETRIA[[#This Row],[Reserva]],Tabela3[[Reserva]:[Condição para Faturamento]],20,FALSE),"IMPORTADO COM SUCESSO"))</f>
        <v>IMPORTADO</v>
      </c>
      <c r="M1102" s="32" t="str">
        <f ca="1">IFERROR(VLOOKUP(MB25_VOLUMETRIA[[#This Row],[Reserva]],RES_AB[],14,FALSE),"")</f>
        <v>RESERVAS EM ATRASO</v>
      </c>
      <c r="N1102" s="32" t="str">
        <f>IF(MB25_VOLUMETRIA[[#This Row],[Cen.]]="","",IFERROR(VLOOKUP(MB25_VOLUMETRIA[[#This Row],[Cen.]],Dados_Empresas[],2,FALSE),"Verificar empresa"))</f>
        <v>NET MASSIVO</v>
      </c>
      <c r="O1102" s="32" t="str">
        <f>IF(MB25_VOLUMETRIA[[#This Row],[EMPRESA]]="","",IF(OR(MB25_VOLUMETRIA[[#This Row],[EMPRESA]]="NET MASSIVO",MB25_VOLUMETRIA[[#This Row],[EMPRESA]]="NET PROJETOS"),"NET","EMPRESARIAL"))</f>
        <v>NET</v>
      </c>
    </row>
    <row r="1103" spans="1:15" x14ac:dyDescent="0.25">
      <c r="A1103" s="32">
        <v>4381171</v>
      </c>
      <c r="B1103" s="32" t="s">
        <v>21</v>
      </c>
      <c r="C1103" s="33" t="s">
        <v>19</v>
      </c>
      <c r="D1103" s="35">
        <v>45447</v>
      </c>
      <c r="E1103" s="32" t="s">
        <v>192</v>
      </c>
      <c r="F1103" s="32">
        <v>41001536</v>
      </c>
      <c r="G1103" s="32" t="s">
        <v>371</v>
      </c>
      <c r="H1103" s="26" t="s">
        <v>38</v>
      </c>
      <c r="I1103" s="36">
        <v>20</v>
      </c>
      <c r="J1103" s="32">
        <f>IF(MB25_VOLUMETRIA[[#This Row],[Reserva]]="","",1)</f>
        <v>1</v>
      </c>
      <c r="K1103" s="36" t="str">
        <f>IF(MB25_VOLUMETRIA[[#This Row],[Reserva]]="","",IFERROR(VLOOKUP(MB25_VOLUMETRIA[[#This Row],[UMB]],CHAVE[],2,FALSE),"VERIFICAR"))</f>
        <v>Unidade</v>
      </c>
      <c r="L1103" s="32" t="str">
        <f>IF(MB25_VOLUMETRIA[[#This Row],[Reserva]]="","",IFERROR(VLOOKUP(MB25_VOLUMETRIA[[#This Row],[Reserva]],Tabela3[[Reserva]:[Condição para Faturamento]],20,FALSE),"IMPORTADO COM SUCESSO"))</f>
        <v>IMPORTADO</v>
      </c>
      <c r="M1103" s="32" t="str">
        <f ca="1">IFERROR(VLOOKUP(MB25_VOLUMETRIA[[#This Row],[Reserva]],RES_AB[],14,FALSE),"")</f>
        <v>RESERVAS EM ATRASO</v>
      </c>
      <c r="N1103" s="32" t="str">
        <f>IF(MB25_VOLUMETRIA[[#This Row],[Cen.]]="","",IFERROR(VLOOKUP(MB25_VOLUMETRIA[[#This Row],[Cen.]],Dados_Empresas[],2,FALSE),"Verificar empresa"))</f>
        <v>NET MASSIVO</v>
      </c>
      <c r="O1103" s="32" t="str">
        <f>IF(MB25_VOLUMETRIA[[#This Row],[EMPRESA]]="","",IF(OR(MB25_VOLUMETRIA[[#This Row],[EMPRESA]]="NET MASSIVO",MB25_VOLUMETRIA[[#This Row],[EMPRESA]]="NET PROJETOS"),"NET","EMPRESARIAL"))</f>
        <v>NET</v>
      </c>
    </row>
    <row r="1104" spans="1:15" x14ac:dyDescent="0.25">
      <c r="A1104" s="32">
        <v>4381172</v>
      </c>
      <c r="B1104" s="32" t="s">
        <v>21</v>
      </c>
      <c r="C1104" s="33" t="s">
        <v>21</v>
      </c>
      <c r="D1104" s="35">
        <v>45447</v>
      </c>
      <c r="E1104" s="32" t="s">
        <v>185</v>
      </c>
      <c r="F1104" s="32">
        <v>22060422</v>
      </c>
      <c r="G1104" s="32" t="s">
        <v>298</v>
      </c>
      <c r="H1104" s="26" t="s">
        <v>38</v>
      </c>
      <c r="I1104" s="36">
        <v>150</v>
      </c>
      <c r="J1104" s="32">
        <f>IF(MB25_VOLUMETRIA[[#This Row],[Reserva]]="","",1)</f>
        <v>1</v>
      </c>
      <c r="K1104" s="36" t="str">
        <f>IF(MB25_VOLUMETRIA[[#This Row],[Reserva]]="","",IFERROR(VLOOKUP(MB25_VOLUMETRIA[[#This Row],[UMB]],CHAVE[],2,FALSE),"VERIFICAR"))</f>
        <v>Unidade</v>
      </c>
      <c r="L1104" s="32" t="str">
        <f>IF(MB25_VOLUMETRIA[[#This Row],[Reserva]]="","",IFERROR(VLOOKUP(MB25_VOLUMETRIA[[#This Row],[Reserva]],Tabela3[[Reserva]:[Condição para Faturamento]],20,FALSE),"IMPORTADO COM SUCESSO"))</f>
        <v>IMPORTADO</v>
      </c>
      <c r="M1104" s="32" t="str">
        <f ca="1">IFERROR(VLOOKUP(MB25_VOLUMETRIA[[#This Row],[Reserva]],RES_AB[],14,FALSE),"")</f>
        <v>RESERVAS EM ATRASO</v>
      </c>
      <c r="N1104" s="32" t="str">
        <f>IF(MB25_VOLUMETRIA[[#This Row],[Cen.]]="","",IFERROR(VLOOKUP(MB25_VOLUMETRIA[[#This Row],[Cen.]],Dados_Empresas[],2,FALSE),"Verificar empresa"))</f>
        <v>NET MASSIVO</v>
      </c>
      <c r="O1104" s="32" t="str">
        <f>IF(MB25_VOLUMETRIA[[#This Row],[EMPRESA]]="","",IF(OR(MB25_VOLUMETRIA[[#This Row],[EMPRESA]]="NET MASSIVO",MB25_VOLUMETRIA[[#This Row],[EMPRESA]]="NET PROJETOS"),"NET","EMPRESARIAL"))</f>
        <v>NET</v>
      </c>
    </row>
    <row r="1105" spans="1:15" x14ac:dyDescent="0.25">
      <c r="A1105" s="32">
        <v>4381173</v>
      </c>
      <c r="B1105" s="32" t="s">
        <v>21</v>
      </c>
      <c r="C1105" s="33" t="s">
        <v>19</v>
      </c>
      <c r="D1105" s="35">
        <v>45447</v>
      </c>
      <c r="E1105" s="32" t="s">
        <v>192</v>
      </c>
      <c r="F1105" s="32">
        <v>41000805</v>
      </c>
      <c r="G1105" s="32" t="s">
        <v>188</v>
      </c>
      <c r="H1105" s="26" t="s">
        <v>38</v>
      </c>
      <c r="I1105" s="36">
        <v>50</v>
      </c>
      <c r="J1105" s="32">
        <f>IF(MB25_VOLUMETRIA[[#This Row],[Reserva]]="","",1)</f>
        <v>1</v>
      </c>
      <c r="K1105" s="36" t="str">
        <f>IF(MB25_VOLUMETRIA[[#This Row],[Reserva]]="","",IFERROR(VLOOKUP(MB25_VOLUMETRIA[[#This Row],[UMB]],CHAVE[],2,FALSE),"VERIFICAR"))</f>
        <v>Unidade</v>
      </c>
      <c r="L1105" s="32" t="str">
        <f>IF(MB25_VOLUMETRIA[[#This Row],[Reserva]]="","",IFERROR(VLOOKUP(MB25_VOLUMETRIA[[#This Row],[Reserva]],Tabela3[[Reserva]:[Condição para Faturamento]],20,FALSE),"IMPORTADO COM SUCESSO"))</f>
        <v>IMPORTADO</v>
      </c>
      <c r="M1105" s="32" t="str">
        <f ca="1">IFERROR(VLOOKUP(MB25_VOLUMETRIA[[#This Row],[Reserva]],RES_AB[],14,FALSE),"")</f>
        <v>RESERVAS EM ATRASO</v>
      </c>
      <c r="N1105" s="32" t="str">
        <f>IF(MB25_VOLUMETRIA[[#This Row],[Cen.]]="","",IFERROR(VLOOKUP(MB25_VOLUMETRIA[[#This Row],[Cen.]],Dados_Empresas[],2,FALSE),"Verificar empresa"))</f>
        <v>NET MASSIVO</v>
      </c>
      <c r="O1105" s="32" t="str">
        <f>IF(MB25_VOLUMETRIA[[#This Row],[EMPRESA]]="","",IF(OR(MB25_VOLUMETRIA[[#This Row],[EMPRESA]]="NET MASSIVO",MB25_VOLUMETRIA[[#This Row],[EMPRESA]]="NET PROJETOS"),"NET","EMPRESARIAL"))</f>
        <v>NET</v>
      </c>
    </row>
    <row r="1106" spans="1:15" x14ac:dyDescent="0.25">
      <c r="A1106" s="32">
        <v>4381173</v>
      </c>
      <c r="B1106" s="32" t="s">
        <v>21</v>
      </c>
      <c r="C1106" s="33" t="s">
        <v>19</v>
      </c>
      <c r="D1106" s="35">
        <v>45447</v>
      </c>
      <c r="E1106" s="32" t="s">
        <v>192</v>
      </c>
      <c r="F1106" s="32">
        <v>41001047</v>
      </c>
      <c r="G1106" s="32" t="s">
        <v>257</v>
      </c>
      <c r="H1106" s="26" t="s">
        <v>38</v>
      </c>
      <c r="I1106" s="36">
        <v>50</v>
      </c>
      <c r="J1106" s="32">
        <f>IF(MB25_VOLUMETRIA[[#This Row],[Reserva]]="","",1)</f>
        <v>1</v>
      </c>
      <c r="K1106" s="36" t="str">
        <f>IF(MB25_VOLUMETRIA[[#This Row],[Reserva]]="","",IFERROR(VLOOKUP(MB25_VOLUMETRIA[[#This Row],[UMB]],CHAVE[],2,FALSE),"VERIFICAR"))</f>
        <v>Unidade</v>
      </c>
      <c r="L1106" s="32" t="str">
        <f>IF(MB25_VOLUMETRIA[[#This Row],[Reserva]]="","",IFERROR(VLOOKUP(MB25_VOLUMETRIA[[#This Row],[Reserva]],Tabela3[[Reserva]:[Condição para Faturamento]],20,FALSE),"IMPORTADO COM SUCESSO"))</f>
        <v>IMPORTADO</v>
      </c>
      <c r="M1106" s="32" t="str">
        <f ca="1">IFERROR(VLOOKUP(MB25_VOLUMETRIA[[#This Row],[Reserva]],RES_AB[],14,FALSE),"")</f>
        <v>RESERVAS EM ATRASO</v>
      </c>
      <c r="N1106" s="32" t="str">
        <f>IF(MB25_VOLUMETRIA[[#This Row],[Cen.]]="","",IFERROR(VLOOKUP(MB25_VOLUMETRIA[[#This Row],[Cen.]],Dados_Empresas[],2,FALSE),"Verificar empresa"))</f>
        <v>NET MASSIVO</v>
      </c>
      <c r="O1106" s="32" t="str">
        <f>IF(MB25_VOLUMETRIA[[#This Row],[EMPRESA]]="","",IF(OR(MB25_VOLUMETRIA[[#This Row],[EMPRESA]]="NET MASSIVO",MB25_VOLUMETRIA[[#This Row],[EMPRESA]]="NET PROJETOS"),"NET","EMPRESARIAL"))</f>
        <v>NET</v>
      </c>
    </row>
    <row r="1107" spans="1:15" x14ac:dyDescent="0.25">
      <c r="A1107" s="32">
        <v>4381174</v>
      </c>
      <c r="B1107" s="32" t="s">
        <v>21</v>
      </c>
      <c r="C1107" s="33" t="s">
        <v>19</v>
      </c>
      <c r="D1107" s="35">
        <v>45447</v>
      </c>
      <c r="E1107" s="32" t="s">
        <v>192</v>
      </c>
      <c r="F1107" s="32">
        <v>41000805</v>
      </c>
      <c r="G1107" s="32" t="s">
        <v>188</v>
      </c>
      <c r="H1107" s="26" t="s">
        <v>38</v>
      </c>
      <c r="I1107" s="36">
        <v>140</v>
      </c>
      <c r="J1107" s="32">
        <f>IF(MB25_VOLUMETRIA[[#This Row],[Reserva]]="","",1)</f>
        <v>1</v>
      </c>
      <c r="K1107" s="36" t="str">
        <f>IF(MB25_VOLUMETRIA[[#This Row],[Reserva]]="","",IFERROR(VLOOKUP(MB25_VOLUMETRIA[[#This Row],[UMB]],CHAVE[],2,FALSE),"VERIFICAR"))</f>
        <v>Unidade</v>
      </c>
      <c r="L1107" s="32" t="str">
        <f>IF(MB25_VOLUMETRIA[[#This Row],[Reserva]]="","",IFERROR(VLOOKUP(MB25_VOLUMETRIA[[#This Row],[Reserva]],Tabela3[[Reserva]:[Condição para Faturamento]],20,FALSE),"IMPORTADO COM SUCESSO"))</f>
        <v>IMPORTADO</v>
      </c>
      <c r="M1107" s="32" t="str">
        <f ca="1">IFERROR(VLOOKUP(MB25_VOLUMETRIA[[#This Row],[Reserva]],RES_AB[],14,FALSE),"")</f>
        <v>RESERVAS EM ATRASO</v>
      </c>
      <c r="N1107" s="32" t="str">
        <f>IF(MB25_VOLUMETRIA[[#This Row],[Cen.]]="","",IFERROR(VLOOKUP(MB25_VOLUMETRIA[[#This Row],[Cen.]],Dados_Empresas[],2,FALSE),"Verificar empresa"))</f>
        <v>NET MASSIVO</v>
      </c>
      <c r="O1107" s="32" t="str">
        <f>IF(MB25_VOLUMETRIA[[#This Row],[EMPRESA]]="","",IF(OR(MB25_VOLUMETRIA[[#This Row],[EMPRESA]]="NET MASSIVO",MB25_VOLUMETRIA[[#This Row],[EMPRESA]]="NET PROJETOS"),"NET","EMPRESARIAL"))</f>
        <v>NET</v>
      </c>
    </row>
    <row r="1108" spans="1:15" x14ac:dyDescent="0.25">
      <c r="A1108" s="32">
        <v>4381174</v>
      </c>
      <c r="B1108" s="32" t="s">
        <v>21</v>
      </c>
      <c r="C1108" s="33" t="s">
        <v>19</v>
      </c>
      <c r="D1108" s="35">
        <v>45447</v>
      </c>
      <c r="E1108" s="32" t="s">
        <v>192</v>
      </c>
      <c r="F1108" s="32">
        <v>41001047</v>
      </c>
      <c r="G1108" s="32" t="s">
        <v>257</v>
      </c>
      <c r="H1108" s="26" t="s">
        <v>38</v>
      </c>
      <c r="I1108" s="36">
        <v>140</v>
      </c>
      <c r="J1108" s="32">
        <f>IF(MB25_VOLUMETRIA[[#This Row],[Reserva]]="","",1)</f>
        <v>1</v>
      </c>
      <c r="K1108" s="36" t="str">
        <f>IF(MB25_VOLUMETRIA[[#This Row],[Reserva]]="","",IFERROR(VLOOKUP(MB25_VOLUMETRIA[[#This Row],[UMB]],CHAVE[],2,FALSE),"VERIFICAR"))</f>
        <v>Unidade</v>
      </c>
      <c r="L1108" s="32" t="str">
        <f>IF(MB25_VOLUMETRIA[[#This Row],[Reserva]]="","",IFERROR(VLOOKUP(MB25_VOLUMETRIA[[#This Row],[Reserva]],Tabela3[[Reserva]:[Condição para Faturamento]],20,FALSE),"IMPORTADO COM SUCESSO"))</f>
        <v>IMPORTADO</v>
      </c>
      <c r="M1108" s="32" t="str">
        <f ca="1">IFERROR(VLOOKUP(MB25_VOLUMETRIA[[#This Row],[Reserva]],RES_AB[],14,FALSE),"")</f>
        <v>RESERVAS EM ATRASO</v>
      </c>
      <c r="N1108" s="32" t="str">
        <f>IF(MB25_VOLUMETRIA[[#This Row],[Cen.]]="","",IFERROR(VLOOKUP(MB25_VOLUMETRIA[[#This Row],[Cen.]],Dados_Empresas[],2,FALSE),"Verificar empresa"))</f>
        <v>NET MASSIVO</v>
      </c>
      <c r="O1108" s="32" t="str">
        <f>IF(MB25_VOLUMETRIA[[#This Row],[EMPRESA]]="","",IF(OR(MB25_VOLUMETRIA[[#This Row],[EMPRESA]]="NET MASSIVO",MB25_VOLUMETRIA[[#This Row],[EMPRESA]]="NET PROJETOS"),"NET","EMPRESARIAL"))</f>
        <v>NET</v>
      </c>
    </row>
    <row r="1109" spans="1:15" x14ac:dyDescent="0.25">
      <c r="A1109" s="32">
        <v>4381174</v>
      </c>
      <c r="B1109" s="32" t="s">
        <v>21</v>
      </c>
      <c r="C1109" s="33" t="s">
        <v>19</v>
      </c>
      <c r="D1109" s="35">
        <v>45447</v>
      </c>
      <c r="E1109" s="32" t="s">
        <v>192</v>
      </c>
      <c r="F1109" s="32">
        <v>41001292</v>
      </c>
      <c r="G1109" s="32" t="s">
        <v>353</v>
      </c>
      <c r="H1109" s="26" t="s">
        <v>38</v>
      </c>
      <c r="I1109" s="36">
        <v>20</v>
      </c>
      <c r="J1109" s="32">
        <f>IF(MB25_VOLUMETRIA[[#This Row],[Reserva]]="","",1)</f>
        <v>1</v>
      </c>
      <c r="K1109" s="36" t="str">
        <f>IF(MB25_VOLUMETRIA[[#This Row],[Reserva]]="","",IFERROR(VLOOKUP(MB25_VOLUMETRIA[[#This Row],[UMB]],CHAVE[],2,FALSE),"VERIFICAR"))</f>
        <v>Unidade</v>
      </c>
      <c r="L1109" s="32" t="str">
        <f>IF(MB25_VOLUMETRIA[[#This Row],[Reserva]]="","",IFERROR(VLOOKUP(MB25_VOLUMETRIA[[#This Row],[Reserva]],Tabela3[[Reserva]:[Condição para Faturamento]],20,FALSE),"IMPORTADO COM SUCESSO"))</f>
        <v>IMPORTADO</v>
      </c>
      <c r="M1109" s="32" t="str">
        <f ca="1">IFERROR(VLOOKUP(MB25_VOLUMETRIA[[#This Row],[Reserva]],RES_AB[],14,FALSE),"")</f>
        <v>RESERVAS EM ATRASO</v>
      </c>
      <c r="N1109" s="32" t="str">
        <f>IF(MB25_VOLUMETRIA[[#This Row],[Cen.]]="","",IFERROR(VLOOKUP(MB25_VOLUMETRIA[[#This Row],[Cen.]],Dados_Empresas[],2,FALSE),"Verificar empresa"))</f>
        <v>NET MASSIVO</v>
      </c>
      <c r="O1109" s="32" t="str">
        <f>IF(MB25_VOLUMETRIA[[#This Row],[EMPRESA]]="","",IF(OR(MB25_VOLUMETRIA[[#This Row],[EMPRESA]]="NET MASSIVO",MB25_VOLUMETRIA[[#This Row],[EMPRESA]]="NET PROJETOS"),"NET","EMPRESARIAL"))</f>
        <v>NET</v>
      </c>
    </row>
    <row r="1110" spans="1:15" x14ac:dyDescent="0.25">
      <c r="A1110" s="32">
        <v>4381175</v>
      </c>
      <c r="B1110" s="32" t="s">
        <v>21</v>
      </c>
      <c r="C1110" s="33" t="s">
        <v>19</v>
      </c>
      <c r="D1110" s="35">
        <v>45447</v>
      </c>
      <c r="E1110" s="32" t="s">
        <v>192</v>
      </c>
      <c r="F1110" s="32">
        <v>41000805</v>
      </c>
      <c r="G1110" s="32" t="s">
        <v>188</v>
      </c>
      <c r="H1110" s="26" t="s">
        <v>38</v>
      </c>
      <c r="I1110" s="36">
        <v>170</v>
      </c>
      <c r="J1110" s="32">
        <f>IF(MB25_VOLUMETRIA[[#This Row],[Reserva]]="","",1)</f>
        <v>1</v>
      </c>
      <c r="K1110" s="36" t="str">
        <f>IF(MB25_VOLUMETRIA[[#This Row],[Reserva]]="","",IFERROR(VLOOKUP(MB25_VOLUMETRIA[[#This Row],[UMB]],CHAVE[],2,FALSE),"VERIFICAR"))</f>
        <v>Unidade</v>
      </c>
      <c r="L1110" s="32" t="str">
        <f>IF(MB25_VOLUMETRIA[[#This Row],[Reserva]]="","",IFERROR(VLOOKUP(MB25_VOLUMETRIA[[#This Row],[Reserva]],Tabela3[[Reserva]:[Condição para Faturamento]],20,FALSE),"IMPORTADO COM SUCESSO"))</f>
        <v>IMPORTADO</v>
      </c>
      <c r="M1110" s="32" t="str">
        <f ca="1">IFERROR(VLOOKUP(MB25_VOLUMETRIA[[#This Row],[Reserva]],RES_AB[],14,FALSE),"")</f>
        <v>RESERVAS EM ATRASO</v>
      </c>
      <c r="N1110" s="32" t="str">
        <f>IF(MB25_VOLUMETRIA[[#This Row],[Cen.]]="","",IFERROR(VLOOKUP(MB25_VOLUMETRIA[[#This Row],[Cen.]],Dados_Empresas[],2,FALSE),"Verificar empresa"))</f>
        <v>NET MASSIVO</v>
      </c>
      <c r="O1110" s="32" t="str">
        <f>IF(MB25_VOLUMETRIA[[#This Row],[EMPRESA]]="","",IF(OR(MB25_VOLUMETRIA[[#This Row],[EMPRESA]]="NET MASSIVO",MB25_VOLUMETRIA[[#This Row],[EMPRESA]]="NET PROJETOS"),"NET","EMPRESARIAL"))</f>
        <v>NET</v>
      </c>
    </row>
    <row r="1111" spans="1:15" x14ac:dyDescent="0.25">
      <c r="A1111" s="32">
        <v>4381175</v>
      </c>
      <c r="B1111" s="32" t="s">
        <v>21</v>
      </c>
      <c r="C1111" s="33" t="s">
        <v>19</v>
      </c>
      <c r="D1111" s="35">
        <v>45447</v>
      </c>
      <c r="E1111" s="32" t="s">
        <v>192</v>
      </c>
      <c r="F1111" s="32">
        <v>41001047</v>
      </c>
      <c r="G1111" s="32" t="s">
        <v>257</v>
      </c>
      <c r="H1111" s="26" t="s">
        <v>38</v>
      </c>
      <c r="I1111" s="36">
        <v>170</v>
      </c>
      <c r="J1111" s="32">
        <f>IF(MB25_VOLUMETRIA[[#This Row],[Reserva]]="","",1)</f>
        <v>1</v>
      </c>
      <c r="K1111" s="36" t="str">
        <f>IF(MB25_VOLUMETRIA[[#This Row],[Reserva]]="","",IFERROR(VLOOKUP(MB25_VOLUMETRIA[[#This Row],[UMB]],CHAVE[],2,FALSE),"VERIFICAR"))</f>
        <v>Unidade</v>
      </c>
      <c r="L1111" s="32" t="str">
        <f>IF(MB25_VOLUMETRIA[[#This Row],[Reserva]]="","",IFERROR(VLOOKUP(MB25_VOLUMETRIA[[#This Row],[Reserva]],Tabela3[[Reserva]:[Condição para Faturamento]],20,FALSE),"IMPORTADO COM SUCESSO"))</f>
        <v>IMPORTADO</v>
      </c>
      <c r="M1111" s="32" t="str">
        <f ca="1">IFERROR(VLOOKUP(MB25_VOLUMETRIA[[#This Row],[Reserva]],RES_AB[],14,FALSE),"")</f>
        <v>RESERVAS EM ATRASO</v>
      </c>
      <c r="N1111" s="32" t="str">
        <f>IF(MB25_VOLUMETRIA[[#This Row],[Cen.]]="","",IFERROR(VLOOKUP(MB25_VOLUMETRIA[[#This Row],[Cen.]],Dados_Empresas[],2,FALSE),"Verificar empresa"))</f>
        <v>NET MASSIVO</v>
      </c>
      <c r="O1111" s="32" t="str">
        <f>IF(MB25_VOLUMETRIA[[#This Row],[EMPRESA]]="","",IF(OR(MB25_VOLUMETRIA[[#This Row],[EMPRESA]]="NET MASSIVO",MB25_VOLUMETRIA[[#This Row],[EMPRESA]]="NET PROJETOS"),"NET","EMPRESARIAL"))</f>
        <v>NET</v>
      </c>
    </row>
    <row r="1112" spans="1:15" x14ac:dyDescent="0.25">
      <c r="A1112" s="32">
        <v>4381176</v>
      </c>
      <c r="B1112" s="32" t="s">
        <v>21</v>
      </c>
      <c r="C1112" s="33" t="s">
        <v>21</v>
      </c>
      <c r="D1112" s="35">
        <v>45447</v>
      </c>
      <c r="E1112" s="32" t="s">
        <v>185</v>
      </c>
      <c r="F1112" s="32">
        <v>22025321</v>
      </c>
      <c r="G1112" s="32" t="s">
        <v>220</v>
      </c>
      <c r="H1112" s="26" t="s">
        <v>38</v>
      </c>
      <c r="I1112" s="36">
        <v>20</v>
      </c>
      <c r="J1112" s="32">
        <f>IF(MB25_VOLUMETRIA[[#This Row],[Reserva]]="","",1)</f>
        <v>1</v>
      </c>
      <c r="K1112" s="36" t="str">
        <f>IF(MB25_VOLUMETRIA[[#This Row],[Reserva]]="","",IFERROR(VLOOKUP(MB25_VOLUMETRIA[[#This Row],[UMB]],CHAVE[],2,FALSE),"VERIFICAR"))</f>
        <v>Unidade</v>
      </c>
      <c r="L1112" s="32" t="str">
        <f>IF(MB25_VOLUMETRIA[[#This Row],[Reserva]]="","",IFERROR(VLOOKUP(MB25_VOLUMETRIA[[#This Row],[Reserva]],Tabela3[[Reserva]:[Condição para Faturamento]],20,FALSE),"IMPORTADO COM SUCESSO"))</f>
        <v>IMPORTADO</v>
      </c>
      <c r="M1112" s="32" t="str">
        <f ca="1">IFERROR(VLOOKUP(MB25_VOLUMETRIA[[#This Row],[Reserva]],RES_AB[],14,FALSE),"")</f>
        <v>RESERVAS EM ATRASO</v>
      </c>
      <c r="N1112" s="32" t="str">
        <f>IF(MB25_VOLUMETRIA[[#This Row],[Cen.]]="","",IFERROR(VLOOKUP(MB25_VOLUMETRIA[[#This Row],[Cen.]],Dados_Empresas[],2,FALSE),"Verificar empresa"))</f>
        <v>NET MASSIVO</v>
      </c>
      <c r="O1112" s="32" t="str">
        <f>IF(MB25_VOLUMETRIA[[#This Row],[EMPRESA]]="","",IF(OR(MB25_VOLUMETRIA[[#This Row],[EMPRESA]]="NET MASSIVO",MB25_VOLUMETRIA[[#This Row],[EMPRESA]]="NET PROJETOS"),"NET","EMPRESARIAL"))</f>
        <v>NET</v>
      </c>
    </row>
    <row r="1113" spans="1:15" x14ac:dyDescent="0.25">
      <c r="A1113" s="32">
        <v>4381176</v>
      </c>
      <c r="B1113" s="32" t="s">
        <v>21</v>
      </c>
      <c r="C1113" s="33" t="s">
        <v>21</v>
      </c>
      <c r="D1113" s="35">
        <v>45447</v>
      </c>
      <c r="E1113" s="32" t="s">
        <v>185</v>
      </c>
      <c r="F1113" s="32">
        <v>22026809</v>
      </c>
      <c r="G1113" s="32" t="s">
        <v>231</v>
      </c>
      <c r="H1113" s="26" t="s">
        <v>38</v>
      </c>
      <c r="I1113" s="36">
        <v>50</v>
      </c>
      <c r="J1113" s="32">
        <f>IF(MB25_VOLUMETRIA[[#This Row],[Reserva]]="","",1)</f>
        <v>1</v>
      </c>
      <c r="K1113" s="36" t="str">
        <f>IF(MB25_VOLUMETRIA[[#This Row],[Reserva]]="","",IFERROR(VLOOKUP(MB25_VOLUMETRIA[[#This Row],[UMB]],CHAVE[],2,FALSE),"VERIFICAR"))</f>
        <v>Unidade</v>
      </c>
      <c r="L1113" s="32" t="str">
        <f>IF(MB25_VOLUMETRIA[[#This Row],[Reserva]]="","",IFERROR(VLOOKUP(MB25_VOLUMETRIA[[#This Row],[Reserva]],Tabela3[[Reserva]:[Condição para Faturamento]],20,FALSE),"IMPORTADO COM SUCESSO"))</f>
        <v>IMPORTADO</v>
      </c>
      <c r="M1113" s="32" t="str">
        <f ca="1">IFERROR(VLOOKUP(MB25_VOLUMETRIA[[#This Row],[Reserva]],RES_AB[],14,FALSE),"")</f>
        <v>RESERVAS EM ATRASO</v>
      </c>
      <c r="N1113" s="32" t="str">
        <f>IF(MB25_VOLUMETRIA[[#This Row],[Cen.]]="","",IFERROR(VLOOKUP(MB25_VOLUMETRIA[[#This Row],[Cen.]],Dados_Empresas[],2,FALSE),"Verificar empresa"))</f>
        <v>NET MASSIVO</v>
      </c>
      <c r="O1113" s="32" t="str">
        <f>IF(MB25_VOLUMETRIA[[#This Row],[EMPRESA]]="","",IF(OR(MB25_VOLUMETRIA[[#This Row],[EMPRESA]]="NET MASSIVO",MB25_VOLUMETRIA[[#This Row],[EMPRESA]]="NET PROJETOS"),"NET","EMPRESARIAL"))</f>
        <v>NET</v>
      </c>
    </row>
    <row r="1114" spans="1:15" x14ac:dyDescent="0.25">
      <c r="A1114" s="32">
        <v>4381176</v>
      </c>
      <c r="B1114" s="32" t="s">
        <v>21</v>
      </c>
      <c r="C1114" s="33" t="s">
        <v>21</v>
      </c>
      <c r="D1114" s="35">
        <v>45447</v>
      </c>
      <c r="E1114" s="32" t="s">
        <v>185</v>
      </c>
      <c r="F1114" s="32">
        <v>22060422</v>
      </c>
      <c r="G1114" s="32" t="s">
        <v>298</v>
      </c>
      <c r="H1114" s="26" t="s">
        <v>38</v>
      </c>
      <c r="I1114" s="36">
        <v>150</v>
      </c>
      <c r="J1114" s="32">
        <f>IF(MB25_VOLUMETRIA[[#This Row],[Reserva]]="","",1)</f>
        <v>1</v>
      </c>
      <c r="K1114" s="36" t="str">
        <f>IF(MB25_VOLUMETRIA[[#This Row],[Reserva]]="","",IFERROR(VLOOKUP(MB25_VOLUMETRIA[[#This Row],[UMB]],CHAVE[],2,FALSE),"VERIFICAR"))</f>
        <v>Unidade</v>
      </c>
      <c r="L1114" s="32" t="str">
        <f>IF(MB25_VOLUMETRIA[[#This Row],[Reserva]]="","",IFERROR(VLOOKUP(MB25_VOLUMETRIA[[#This Row],[Reserva]],Tabela3[[Reserva]:[Condição para Faturamento]],20,FALSE),"IMPORTADO COM SUCESSO"))</f>
        <v>IMPORTADO</v>
      </c>
      <c r="M1114" s="32" t="str">
        <f ca="1">IFERROR(VLOOKUP(MB25_VOLUMETRIA[[#This Row],[Reserva]],RES_AB[],14,FALSE),"")</f>
        <v>RESERVAS EM ATRASO</v>
      </c>
      <c r="N1114" s="32" t="str">
        <f>IF(MB25_VOLUMETRIA[[#This Row],[Cen.]]="","",IFERROR(VLOOKUP(MB25_VOLUMETRIA[[#This Row],[Cen.]],Dados_Empresas[],2,FALSE),"Verificar empresa"))</f>
        <v>NET MASSIVO</v>
      </c>
      <c r="O1114" s="32" t="str">
        <f>IF(MB25_VOLUMETRIA[[#This Row],[EMPRESA]]="","",IF(OR(MB25_VOLUMETRIA[[#This Row],[EMPRESA]]="NET MASSIVO",MB25_VOLUMETRIA[[#This Row],[EMPRESA]]="NET PROJETOS"),"NET","EMPRESARIAL"))</f>
        <v>NET</v>
      </c>
    </row>
    <row r="1115" spans="1:15" x14ac:dyDescent="0.25">
      <c r="A1115" s="32">
        <v>4381177</v>
      </c>
      <c r="B1115" s="32" t="s">
        <v>21</v>
      </c>
      <c r="C1115" s="33" t="s">
        <v>19</v>
      </c>
      <c r="D1115" s="35">
        <v>45447</v>
      </c>
      <c r="E1115" s="32" t="s">
        <v>192</v>
      </c>
      <c r="F1115" s="32">
        <v>41000805</v>
      </c>
      <c r="G1115" s="32" t="s">
        <v>188</v>
      </c>
      <c r="H1115" s="26" t="s">
        <v>38</v>
      </c>
      <c r="I1115" s="36">
        <v>140</v>
      </c>
      <c r="J1115" s="32">
        <f>IF(MB25_VOLUMETRIA[[#This Row],[Reserva]]="","",1)</f>
        <v>1</v>
      </c>
      <c r="K1115" s="36" t="str">
        <f>IF(MB25_VOLUMETRIA[[#This Row],[Reserva]]="","",IFERROR(VLOOKUP(MB25_VOLUMETRIA[[#This Row],[UMB]],CHAVE[],2,FALSE),"VERIFICAR"))</f>
        <v>Unidade</v>
      </c>
      <c r="L1115" s="32" t="str">
        <f>IF(MB25_VOLUMETRIA[[#This Row],[Reserva]]="","",IFERROR(VLOOKUP(MB25_VOLUMETRIA[[#This Row],[Reserva]],Tabela3[[Reserva]:[Condição para Faturamento]],20,FALSE),"IMPORTADO COM SUCESSO"))</f>
        <v>IMPORTADO</v>
      </c>
      <c r="M1115" s="32" t="str">
        <f ca="1">IFERROR(VLOOKUP(MB25_VOLUMETRIA[[#This Row],[Reserva]],RES_AB[],14,FALSE),"")</f>
        <v>RESERVAS EM ATRASO</v>
      </c>
      <c r="N1115" s="32" t="str">
        <f>IF(MB25_VOLUMETRIA[[#This Row],[Cen.]]="","",IFERROR(VLOOKUP(MB25_VOLUMETRIA[[#This Row],[Cen.]],Dados_Empresas[],2,FALSE),"Verificar empresa"))</f>
        <v>NET MASSIVO</v>
      </c>
      <c r="O1115" s="32" t="str">
        <f>IF(MB25_VOLUMETRIA[[#This Row],[EMPRESA]]="","",IF(OR(MB25_VOLUMETRIA[[#This Row],[EMPRESA]]="NET MASSIVO",MB25_VOLUMETRIA[[#This Row],[EMPRESA]]="NET PROJETOS"),"NET","EMPRESARIAL"))</f>
        <v>NET</v>
      </c>
    </row>
    <row r="1116" spans="1:15" x14ac:dyDescent="0.25">
      <c r="A1116" s="32">
        <v>4381177</v>
      </c>
      <c r="B1116" s="32" t="s">
        <v>21</v>
      </c>
      <c r="C1116" s="33" t="s">
        <v>19</v>
      </c>
      <c r="D1116" s="35">
        <v>45447</v>
      </c>
      <c r="E1116" s="32" t="s">
        <v>192</v>
      </c>
      <c r="F1116" s="32">
        <v>41001047</v>
      </c>
      <c r="G1116" s="32" t="s">
        <v>257</v>
      </c>
      <c r="H1116" s="26" t="s">
        <v>38</v>
      </c>
      <c r="I1116" s="36">
        <v>140</v>
      </c>
      <c r="J1116" s="32">
        <f>IF(MB25_VOLUMETRIA[[#This Row],[Reserva]]="","",1)</f>
        <v>1</v>
      </c>
      <c r="K1116" s="36" t="str">
        <f>IF(MB25_VOLUMETRIA[[#This Row],[Reserva]]="","",IFERROR(VLOOKUP(MB25_VOLUMETRIA[[#This Row],[UMB]],CHAVE[],2,FALSE),"VERIFICAR"))</f>
        <v>Unidade</v>
      </c>
      <c r="L1116" s="32" t="str">
        <f>IF(MB25_VOLUMETRIA[[#This Row],[Reserva]]="","",IFERROR(VLOOKUP(MB25_VOLUMETRIA[[#This Row],[Reserva]],Tabela3[[Reserva]:[Condição para Faturamento]],20,FALSE),"IMPORTADO COM SUCESSO"))</f>
        <v>IMPORTADO</v>
      </c>
      <c r="M1116" s="32" t="str">
        <f ca="1">IFERROR(VLOOKUP(MB25_VOLUMETRIA[[#This Row],[Reserva]],RES_AB[],14,FALSE),"")</f>
        <v>RESERVAS EM ATRASO</v>
      </c>
      <c r="N1116" s="32" t="str">
        <f>IF(MB25_VOLUMETRIA[[#This Row],[Cen.]]="","",IFERROR(VLOOKUP(MB25_VOLUMETRIA[[#This Row],[Cen.]],Dados_Empresas[],2,FALSE),"Verificar empresa"))</f>
        <v>NET MASSIVO</v>
      </c>
      <c r="O1116" s="32" t="str">
        <f>IF(MB25_VOLUMETRIA[[#This Row],[EMPRESA]]="","",IF(OR(MB25_VOLUMETRIA[[#This Row],[EMPRESA]]="NET MASSIVO",MB25_VOLUMETRIA[[#This Row],[EMPRESA]]="NET PROJETOS"),"NET","EMPRESARIAL"))</f>
        <v>NET</v>
      </c>
    </row>
    <row r="1117" spans="1:15" x14ac:dyDescent="0.25">
      <c r="A1117" s="32">
        <v>4381178</v>
      </c>
      <c r="B1117" s="32" t="s">
        <v>21</v>
      </c>
      <c r="C1117" s="33" t="s">
        <v>19</v>
      </c>
      <c r="D1117" s="35">
        <v>45447</v>
      </c>
      <c r="E1117" s="32" t="s">
        <v>185</v>
      </c>
      <c r="F1117" s="32">
        <v>22025162</v>
      </c>
      <c r="G1117" s="32" t="s">
        <v>211</v>
      </c>
      <c r="H1117" s="26" t="s">
        <v>38</v>
      </c>
      <c r="I1117" s="36">
        <v>20</v>
      </c>
      <c r="J1117" s="32">
        <f>IF(MB25_VOLUMETRIA[[#This Row],[Reserva]]="","",1)</f>
        <v>1</v>
      </c>
      <c r="K1117" s="36" t="str">
        <f>IF(MB25_VOLUMETRIA[[#This Row],[Reserva]]="","",IFERROR(VLOOKUP(MB25_VOLUMETRIA[[#This Row],[UMB]],CHAVE[],2,FALSE),"VERIFICAR"))</f>
        <v>Unidade</v>
      </c>
      <c r="L111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7" s="32" t="str">
        <f ca="1">IFERROR(VLOOKUP(MB25_VOLUMETRIA[[#This Row],[Reserva]],RES_AB[],14,FALSE),"")</f>
        <v>RESERVAS EM ATRASO</v>
      </c>
      <c r="N1117" s="32" t="str">
        <f>IF(MB25_VOLUMETRIA[[#This Row],[Cen.]]="","",IFERROR(VLOOKUP(MB25_VOLUMETRIA[[#This Row],[Cen.]],Dados_Empresas[],2,FALSE),"Verificar empresa"))</f>
        <v>NET MASSIVO</v>
      </c>
      <c r="O1117" s="32" t="str">
        <f>IF(MB25_VOLUMETRIA[[#This Row],[EMPRESA]]="","",IF(OR(MB25_VOLUMETRIA[[#This Row],[EMPRESA]]="NET MASSIVO",MB25_VOLUMETRIA[[#This Row],[EMPRESA]]="NET PROJETOS"),"NET","EMPRESARIAL"))</f>
        <v>NET</v>
      </c>
    </row>
    <row r="1118" spans="1:15" x14ac:dyDescent="0.25">
      <c r="A1118" s="32">
        <v>4381178</v>
      </c>
      <c r="B1118" s="32" t="s">
        <v>21</v>
      </c>
      <c r="C1118" s="33" t="s">
        <v>19</v>
      </c>
      <c r="D1118" s="35">
        <v>45447</v>
      </c>
      <c r="E1118" s="32" t="s">
        <v>185</v>
      </c>
      <c r="F1118" s="32">
        <v>22025181</v>
      </c>
      <c r="G1118" s="32" t="s">
        <v>366</v>
      </c>
      <c r="H1118" s="26" t="s">
        <v>38</v>
      </c>
      <c r="I1118" s="36">
        <v>20</v>
      </c>
      <c r="J1118" s="32">
        <f>IF(MB25_VOLUMETRIA[[#This Row],[Reserva]]="","",1)</f>
        <v>1</v>
      </c>
      <c r="K1118" s="36" t="str">
        <f>IF(MB25_VOLUMETRIA[[#This Row],[Reserva]]="","",IFERROR(VLOOKUP(MB25_VOLUMETRIA[[#This Row],[UMB]],CHAVE[],2,FALSE),"VERIFICAR"))</f>
        <v>Unidade</v>
      </c>
      <c r="L111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8" s="32" t="str">
        <f ca="1">IFERROR(VLOOKUP(MB25_VOLUMETRIA[[#This Row],[Reserva]],RES_AB[],14,FALSE),"")</f>
        <v>RESERVAS EM ATRASO</v>
      </c>
      <c r="N1118" s="32" t="str">
        <f>IF(MB25_VOLUMETRIA[[#This Row],[Cen.]]="","",IFERROR(VLOOKUP(MB25_VOLUMETRIA[[#This Row],[Cen.]],Dados_Empresas[],2,FALSE),"Verificar empresa"))</f>
        <v>NET MASSIVO</v>
      </c>
      <c r="O1118" s="32" t="str">
        <f>IF(MB25_VOLUMETRIA[[#This Row],[EMPRESA]]="","",IF(OR(MB25_VOLUMETRIA[[#This Row],[EMPRESA]]="NET MASSIVO",MB25_VOLUMETRIA[[#This Row],[EMPRESA]]="NET PROJETOS"),"NET","EMPRESARIAL"))</f>
        <v>NET</v>
      </c>
    </row>
    <row r="1119" spans="1:15" x14ac:dyDescent="0.25">
      <c r="A1119" s="32">
        <v>4381178</v>
      </c>
      <c r="B1119" s="32" t="s">
        <v>21</v>
      </c>
      <c r="C1119" s="33" t="s">
        <v>19</v>
      </c>
      <c r="D1119" s="35">
        <v>45447</v>
      </c>
      <c r="E1119" s="32" t="s">
        <v>185</v>
      </c>
      <c r="F1119" s="32">
        <v>22025182</v>
      </c>
      <c r="G1119" s="32" t="s">
        <v>367</v>
      </c>
      <c r="H1119" s="26" t="s">
        <v>38</v>
      </c>
      <c r="I1119" s="36">
        <v>20</v>
      </c>
      <c r="J1119" s="32">
        <f>IF(MB25_VOLUMETRIA[[#This Row],[Reserva]]="","",1)</f>
        <v>1</v>
      </c>
      <c r="K1119" s="36" t="str">
        <f>IF(MB25_VOLUMETRIA[[#This Row],[Reserva]]="","",IFERROR(VLOOKUP(MB25_VOLUMETRIA[[#This Row],[UMB]],CHAVE[],2,FALSE),"VERIFICAR"))</f>
        <v>Unidade</v>
      </c>
      <c r="L111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19" s="32" t="str">
        <f ca="1">IFERROR(VLOOKUP(MB25_VOLUMETRIA[[#This Row],[Reserva]],RES_AB[],14,FALSE),"")</f>
        <v>RESERVAS EM ATRASO</v>
      </c>
      <c r="N1119" s="32" t="str">
        <f>IF(MB25_VOLUMETRIA[[#This Row],[Cen.]]="","",IFERROR(VLOOKUP(MB25_VOLUMETRIA[[#This Row],[Cen.]],Dados_Empresas[],2,FALSE),"Verificar empresa"))</f>
        <v>NET MASSIVO</v>
      </c>
      <c r="O1119" s="32" t="str">
        <f>IF(MB25_VOLUMETRIA[[#This Row],[EMPRESA]]="","",IF(OR(MB25_VOLUMETRIA[[#This Row],[EMPRESA]]="NET MASSIVO",MB25_VOLUMETRIA[[#This Row],[EMPRESA]]="NET PROJETOS"),"NET","EMPRESARIAL"))</f>
        <v>NET</v>
      </c>
    </row>
    <row r="1120" spans="1:15" x14ac:dyDescent="0.25">
      <c r="A1120" s="32">
        <v>4381178</v>
      </c>
      <c r="B1120" s="32" t="s">
        <v>21</v>
      </c>
      <c r="C1120" s="33" t="s">
        <v>19</v>
      </c>
      <c r="D1120" s="35">
        <v>45447</v>
      </c>
      <c r="E1120" s="32" t="s">
        <v>185</v>
      </c>
      <c r="F1120" s="32">
        <v>22025183</v>
      </c>
      <c r="G1120" s="32" t="s">
        <v>333</v>
      </c>
      <c r="H1120" s="26" t="s">
        <v>38</v>
      </c>
      <c r="I1120" s="36">
        <v>20</v>
      </c>
      <c r="J1120" s="32">
        <f>IF(MB25_VOLUMETRIA[[#This Row],[Reserva]]="","",1)</f>
        <v>1</v>
      </c>
      <c r="K1120" s="36" t="str">
        <f>IF(MB25_VOLUMETRIA[[#This Row],[Reserva]]="","",IFERROR(VLOOKUP(MB25_VOLUMETRIA[[#This Row],[UMB]],CHAVE[],2,FALSE),"VERIFICAR"))</f>
        <v>Unidade</v>
      </c>
      <c r="L112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0" s="32" t="str">
        <f ca="1">IFERROR(VLOOKUP(MB25_VOLUMETRIA[[#This Row],[Reserva]],RES_AB[],14,FALSE),"")</f>
        <v>RESERVAS EM ATRASO</v>
      </c>
      <c r="N1120" s="32" t="str">
        <f>IF(MB25_VOLUMETRIA[[#This Row],[Cen.]]="","",IFERROR(VLOOKUP(MB25_VOLUMETRIA[[#This Row],[Cen.]],Dados_Empresas[],2,FALSE),"Verificar empresa"))</f>
        <v>NET MASSIVO</v>
      </c>
      <c r="O1120" s="32" t="str">
        <f>IF(MB25_VOLUMETRIA[[#This Row],[EMPRESA]]="","",IF(OR(MB25_VOLUMETRIA[[#This Row],[EMPRESA]]="NET MASSIVO",MB25_VOLUMETRIA[[#This Row],[EMPRESA]]="NET PROJETOS"),"NET","EMPRESARIAL"))</f>
        <v>NET</v>
      </c>
    </row>
    <row r="1121" spans="1:15" x14ac:dyDescent="0.25">
      <c r="A1121" s="32">
        <v>4381178</v>
      </c>
      <c r="B1121" s="32" t="s">
        <v>21</v>
      </c>
      <c r="C1121" s="33" t="s">
        <v>19</v>
      </c>
      <c r="D1121" s="35">
        <v>45447</v>
      </c>
      <c r="E1121" s="32" t="s">
        <v>185</v>
      </c>
      <c r="F1121" s="32">
        <v>22025238</v>
      </c>
      <c r="G1121" s="32" t="s">
        <v>368</v>
      </c>
      <c r="H1121" s="26" t="s">
        <v>38</v>
      </c>
      <c r="I1121" s="36">
        <v>20</v>
      </c>
      <c r="J1121" s="32">
        <f>IF(MB25_VOLUMETRIA[[#This Row],[Reserva]]="","",1)</f>
        <v>1</v>
      </c>
      <c r="K1121" s="36" t="str">
        <f>IF(MB25_VOLUMETRIA[[#This Row],[Reserva]]="","",IFERROR(VLOOKUP(MB25_VOLUMETRIA[[#This Row],[UMB]],CHAVE[],2,FALSE),"VERIFICAR"))</f>
        <v>Unidade</v>
      </c>
      <c r="L112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1" s="32" t="str">
        <f ca="1">IFERROR(VLOOKUP(MB25_VOLUMETRIA[[#This Row],[Reserva]],RES_AB[],14,FALSE),"")</f>
        <v>RESERVAS EM ATRASO</v>
      </c>
      <c r="N1121" s="32" t="str">
        <f>IF(MB25_VOLUMETRIA[[#This Row],[Cen.]]="","",IFERROR(VLOOKUP(MB25_VOLUMETRIA[[#This Row],[Cen.]],Dados_Empresas[],2,FALSE),"Verificar empresa"))</f>
        <v>NET MASSIVO</v>
      </c>
      <c r="O1121" s="32" t="str">
        <f>IF(MB25_VOLUMETRIA[[#This Row],[EMPRESA]]="","",IF(OR(MB25_VOLUMETRIA[[#This Row],[EMPRESA]]="NET MASSIVO",MB25_VOLUMETRIA[[#This Row],[EMPRESA]]="NET PROJETOS"),"NET","EMPRESARIAL"))</f>
        <v>NET</v>
      </c>
    </row>
    <row r="1122" spans="1:15" x14ac:dyDescent="0.25">
      <c r="A1122" s="32">
        <v>4381178</v>
      </c>
      <c r="B1122" s="32" t="s">
        <v>21</v>
      </c>
      <c r="C1122" s="33" t="s">
        <v>19</v>
      </c>
      <c r="D1122" s="35">
        <v>45447</v>
      </c>
      <c r="E1122" s="32" t="s">
        <v>185</v>
      </c>
      <c r="F1122" s="32">
        <v>22025239</v>
      </c>
      <c r="G1122" s="32" t="s">
        <v>335</v>
      </c>
      <c r="H1122" s="26" t="s">
        <v>38</v>
      </c>
      <c r="I1122" s="36">
        <v>20</v>
      </c>
      <c r="J1122" s="32">
        <f>IF(MB25_VOLUMETRIA[[#This Row],[Reserva]]="","",1)</f>
        <v>1</v>
      </c>
      <c r="K1122" s="36" t="str">
        <f>IF(MB25_VOLUMETRIA[[#This Row],[Reserva]]="","",IFERROR(VLOOKUP(MB25_VOLUMETRIA[[#This Row],[UMB]],CHAVE[],2,FALSE),"VERIFICAR"))</f>
        <v>Unidade</v>
      </c>
      <c r="L112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2" s="32" t="str">
        <f ca="1">IFERROR(VLOOKUP(MB25_VOLUMETRIA[[#This Row],[Reserva]],RES_AB[],14,FALSE),"")</f>
        <v>RESERVAS EM ATRASO</v>
      </c>
      <c r="N1122" s="32" t="str">
        <f>IF(MB25_VOLUMETRIA[[#This Row],[Cen.]]="","",IFERROR(VLOOKUP(MB25_VOLUMETRIA[[#This Row],[Cen.]],Dados_Empresas[],2,FALSE),"Verificar empresa"))</f>
        <v>NET MASSIVO</v>
      </c>
      <c r="O1122" s="32" t="str">
        <f>IF(MB25_VOLUMETRIA[[#This Row],[EMPRESA]]="","",IF(OR(MB25_VOLUMETRIA[[#This Row],[EMPRESA]]="NET MASSIVO",MB25_VOLUMETRIA[[#This Row],[EMPRESA]]="NET PROJETOS"),"NET","EMPRESARIAL"))</f>
        <v>NET</v>
      </c>
    </row>
    <row r="1123" spans="1:15" x14ac:dyDescent="0.25">
      <c r="A1123" s="32">
        <v>4381178</v>
      </c>
      <c r="B1123" s="32" t="s">
        <v>21</v>
      </c>
      <c r="C1123" s="33" t="s">
        <v>19</v>
      </c>
      <c r="D1123" s="35">
        <v>45447</v>
      </c>
      <c r="E1123" s="32" t="s">
        <v>185</v>
      </c>
      <c r="F1123" s="32">
        <v>22025240</v>
      </c>
      <c r="G1123" s="32" t="s">
        <v>359</v>
      </c>
      <c r="H1123" s="26" t="s">
        <v>38</v>
      </c>
      <c r="I1123" s="36">
        <v>100</v>
      </c>
      <c r="J1123" s="32">
        <f>IF(MB25_VOLUMETRIA[[#This Row],[Reserva]]="","",1)</f>
        <v>1</v>
      </c>
      <c r="K1123" s="36" t="str">
        <f>IF(MB25_VOLUMETRIA[[#This Row],[Reserva]]="","",IFERROR(VLOOKUP(MB25_VOLUMETRIA[[#This Row],[UMB]],CHAVE[],2,FALSE),"VERIFICAR"))</f>
        <v>Unidade</v>
      </c>
      <c r="L112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3" s="32" t="str">
        <f ca="1">IFERROR(VLOOKUP(MB25_VOLUMETRIA[[#This Row],[Reserva]],RES_AB[],14,FALSE),"")</f>
        <v>RESERVAS EM ATRASO</v>
      </c>
      <c r="N1123" s="32" t="str">
        <f>IF(MB25_VOLUMETRIA[[#This Row],[Cen.]]="","",IFERROR(VLOOKUP(MB25_VOLUMETRIA[[#This Row],[Cen.]],Dados_Empresas[],2,FALSE),"Verificar empresa"))</f>
        <v>NET MASSIVO</v>
      </c>
      <c r="O1123" s="32" t="str">
        <f>IF(MB25_VOLUMETRIA[[#This Row],[EMPRESA]]="","",IF(OR(MB25_VOLUMETRIA[[#This Row],[EMPRESA]]="NET MASSIVO",MB25_VOLUMETRIA[[#This Row],[EMPRESA]]="NET PROJETOS"),"NET","EMPRESARIAL"))</f>
        <v>NET</v>
      </c>
    </row>
    <row r="1124" spans="1:15" x14ac:dyDescent="0.25">
      <c r="A1124" s="32">
        <v>4381178</v>
      </c>
      <c r="B1124" s="32" t="s">
        <v>21</v>
      </c>
      <c r="C1124" s="33" t="s">
        <v>19</v>
      </c>
      <c r="D1124" s="35">
        <v>45447</v>
      </c>
      <c r="E1124" s="32" t="s">
        <v>185</v>
      </c>
      <c r="F1124" s="32">
        <v>22025241</v>
      </c>
      <c r="G1124" s="32" t="s">
        <v>212</v>
      </c>
      <c r="H1124" s="26" t="s">
        <v>38</v>
      </c>
      <c r="I1124" s="36">
        <v>20</v>
      </c>
      <c r="J1124" s="32">
        <f>IF(MB25_VOLUMETRIA[[#This Row],[Reserva]]="","",1)</f>
        <v>1</v>
      </c>
      <c r="K1124" s="36" t="str">
        <f>IF(MB25_VOLUMETRIA[[#This Row],[Reserva]]="","",IFERROR(VLOOKUP(MB25_VOLUMETRIA[[#This Row],[UMB]],CHAVE[],2,FALSE),"VERIFICAR"))</f>
        <v>Unidade</v>
      </c>
      <c r="L112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4" s="32" t="str">
        <f ca="1">IFERROR(VLOOKUP(MB25_VOLUMETRIA[[#This Row],[Reserva]],RES_AB[],14,FALSE),"")</f>
        <v>RESERVAS EM ATRASO</v>
      </c>
      <c r="N1124" s="32" t="str">
        <f>IF(MB25_VOLUMETRIA[[#This Row],[Cen.]]="","",IFERROR(VLOOKUP(MB25_VOLUMETRIA[[#This Row],[Cen.]],Dados_Empresas[],2,FALSE),"Verificar empresa"))</f>
        <v>NET MASSIVO</v>
      </c>
      <c r="O1124" s="32" t="str">
        <f>IF(MB25_VOLUMETRIA[[#This Row],[EMPRESA]]="","",IF(OR(MB25_VOLUMETRIA[[#This Row],[EMPRESA]]="NET MASSIVO",MB25_VOLUMETRIA[[#This Row],[EMPRESA]]="NET PROJETOS"),"NET","EMPRESARIAL"))</f>
        <v>NET</v>
      </c>
    </row>
    <row r="1125" spans="1:15" x14ac:dyDescent="0.25">
      <c r="A1125" s="32">
        <v>4381178</v>
      </c>
      <c r="B1125" s="32" t="s">
        <v>21</v>
      </c>
      <c r="C1125" s="33" t="s">
        <v>19</v>
      </c>
      <c r="D1125" s="35">
        <v>45447</v>
      </c>
      <c r="E1125" s="32" t="s">
        <v>185</v>
      </c>
      <c r="F1125" s="32">
        <v>22025242</v>
      </c>
      <c r="G1125" s="32" t="s">
        <v>329</v>
      </c>
      <c r="H1125" s="26" t="s">
        <v>38</v>
      </c>
      <c r="I1125" s="36">
        <v>20</v>
      </c>
      <c r="J1125" s="32">
        <f>IF(MB25_VOLUMETRIA[[#This Row],[Reserva]]="","",1)</f>
        <v>1</v>
      </c>
      <c r="K1125" s="36" t="str">
        <f>IF(MB25_VOLUMETRIA[[#This Row],[Reserva]]="","",IFERROR(VLOOKUP(MB25_VOLUMETRIA[[#This Row],[UMB]],CHAVE[],2,FALSE),"VERIFICAR"))</f>
        <v>Unidade</v>
      </c>
      <c r="L112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5" s="32" t="str">
        <f ca="1">IFERROR(VLOOKUP(MB25_VOLUMETRIA[[#This Row],[Reserva]],RES_AB[],14,FALSE),"")</f>
        <v>RESERVAS EM ATRASO</v>
      </c>
      <c r="N1125" s="32" t="str">
        <f>IF(MB25_VOLUMETRIA[[#This Row],[Cen.]]="","",IFERROR(VLOOKUP(MB25_VOLUMETRIA[[#This Row],[Cen.]],Dados_Empresas[],2,FALSE),"Verificar empresa"))</f>
        <v>NET MASSIVO</v>
      </c>
      <c r="O1125" s="32" t="str">
        <f>IF(MB25_VOLUMETRIA[[#This Row],[EMPRESA]]="","",IF(OR(MB25_VOLUMETRIA[[#This Row],[EMPRESA]]="NET MASSIVO",MB25_VOLUMETRIA[[#This Row],[EMPRESA]]="NET PROJETOS"),"NET","EMPRESARIAL"))</f>
        <v>NET</v>
      </c>
    </row>
    <row r="1126" spans="1:15" x14ac:dyDescent="0.25">
      <c r="A1126" s="32">
        <v>4381178</v>
      </c>
      <c r="B1126" s="32" t="s">
        <v>21</v>
      </c>
      <c r="C1126" s="33" t="s">
        <v>19</v>
      </c>
      <c r="D1126" s="35">
        <v>45447</v>
      </c>
      <c r="E1126" s="32" t="s">
        <v>185</v>
      </c>
      <c r="F1126" s="32">
        <v>22025243</v>
      </c>
      <c r="G1126" s="32" t="s">
        <v>331</v>
      </c>
      <c r="H1126" s="26" t="s">
        <v>38</v>
      </c>
      <c r="I1126" s="36">
        <v>20</v>
      </c>
      <c r="J1126" s="32">
        <f>IF(MB25_VOLUMETRIA[[#This Row],[Reserva]]="","",1)</f>
        <v>1</v>
      </c>
      <c r="K1126" s="36" t="str">
        <f>IF(MB25_VOLUMETRIA[[#This Row],[Reserva]]="","",IFERROR(VLOOKUP(MB25_VOLUMETRIA[[#This Row],[UMB]],CHAVE[],2,FALSE),"VERIFICAR"))</f>
        <v>Unidade</v>
      </c>
      <c r="L1126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6" s="32" t="str">
        <f ca="1">IFERROR(VLOOKUP(MB25_VOLUMETRIA[[#This Row],[Reserva]],RES_AB[],14,FALSE),"")</f>
        <v>RESERVAS EM ATRASO</v>
      </c>
      <c r="N1126" s="32" t="str">
        <f>IF(MB25_VOLUMETRIA[[#This Row],[Cen.]]="","",IFERROR(VLOOKUP(MB25_VOLUMETRIA[[#This Row],[Cen.]],Dados_Empresas[],2,FALSE),"Verificar empresa"))</f>
        <v>NET MASSIVO</v>
      </c>
      <c r="O1126" s="32" t="str">
        <f>IF(MB25_VOLUMETRIA[[#This Row],[EMPRESA]]="","",IF(OR(MB25_VOLUMETRIA[[#This Row],[EMPRESA]]="NET MASSIVO",MB25_VOLUMETRIA[[#This Row],[EMPRESA]]="NET PROJETOS"),"NET","EMPRESARIAL"))</f>
        <v>NET</v>
      </c>
    </row>
    <row r="1127" spans="1:15" x14ac:dyDescent="0.25">
      <c r="A1127" s="32">
        <v>4381178</v>
      </c>
      <c r="B1127" s="32" t="s">
        <v>21</v>
      </c>
      <c r="C1127" s="33" t="s">
        <v>19</v>
      </c>
      <c r="D1127" s="35">
        <v>45447</v>
      </c>
      <c r="E1127" s="32" t="s">
        <v>185</v>
      </c>
      <c r="F1127" s="32">
        <v>22025245</v>
      </c>
      <c r="G1127" s="32" t="s">
        <v>260</v>
      </c>
      <c r="H1127" s="26" t="s">
        <v>38</v>
      </c>
      <c r="I1127" s="36">
        <v>20</v>
      </c>
      <c r="J1127" s="32">
        <f>IF(MB25_VOLUMETRIA[[#This Row],[Reserva]]="","",1)</f>
        <v>1</v>
      </c>
      <c r="K1127" s="36" t="str">
        <f>IF(MB25_VOLUMETRIA[[#This Row],[Reserva]]="","",IFERROR(VLOOKUP(MB25_VOLUMETRIA[[#This Row],[UMB]],CHAVE[],2,FALSE),"VERIFICAR"))</f>
        <v>Unidade</v>
      </c>
      <c r="L1127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7" s="32" t="str">
        <f ca="1">IFERROR(VLOOKUP(MB25_VOLUMETRIA[[#This Row],[Reserva]],RES_AB[],14,FALSE),"")</f>
        <v>RESERVAS EM ATRASO</v>
      </c>
      <c r="N1127" s="32" t="str">
        <f>IF(MB25_VOLUMETRIA[[#This Row],[Cen.]]="","",IFERROR(VLOOKUP(MB25_VOLUMETRIA[[#This Row],[Cen.]],Dados_Empresas[],2,FALSE),"Verificar empresa"))</f>
        <v>NET MASSIVO</v>
      </c>
      <c r="O1127" s="32" t="str">
        <f>IF(MB25_VOLUMETRIA[[#This Row],[EMPRESA]]="","",IF(OR(MB25_VOLUMETRIA[[#This Row],[EMPRESA]]="NET MASSIVO",MB25_VOLUMETRIA[[#This Row],[EMPRESA]]="NET PROJETOS"),"NET","EMPRESARIAL"))</f>
        <v>NET</v>
      </c>
    </row>
    <row r="1128" spans="1:15" x14ac:dyDescent="0.25">
      <c r="A1128" s="32">
        <v>4381178</v>
      </c>
      <c r="B1128" s="32" t="s">
        <v>21</v>
      </c>
      <c r="C1128" s="33" t="s">
        <v>19</v>
      </c>
      <c r="D1128" s="35">
        <v>45447</v>
      </c>
      <c r="E1128" s="32" t="s">
        <v>185</v>
      </c>
      <c r="F1128" s="32">
        <v>22025250</v>
      </c>
      <c r="G1128" s="32" t="s">
        <v>213</v>
      </c>
      <c r="H1128" s="26" t="s">
        <v>38</v>
      </c>
      <c r="I1128" s="36">
        <v>20</v>
      </c>
      <c r="J1128" s="32">
        <f>IF(MB25_VOLUMETRIA[[#This Row],[Reserva]]="","",1)</f>
        <v>1</v>
      </c>
      <c r="K1128" s="36" t="str">
        <f>IF(MB25_VOLUMETRIA[[#This Row],[Reserva]]="","",IFERROR(VLOOKUP(MB25_VOLUMETRIA[[#This Row],[UMB]],CHAVE[],2,FALSE),"VERIFICAR"))</f>
        <v>Unidade</v>
      </c>
      <c r="L1128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8" s="32" t="str">
        <f ca="1">IFERROR(VLOOKUP(MB25_VOLUMETRIA[[#This Row],[Reserva]],RES_AB[],14,FALSE),"")</f>
        <v>RESERVAS EM ATRASO</v>
      </c>
      <c r="N1128" s="32" t="str">
        <f>IF(MB25_VOLUMETRIA[[#This Row],[Cen.]]="","",IFERROR(VLOOKUP(MB25_VOLUMETRIA[[#This Row],[Cen.]],Dados_Empresas[],2,FALSE),"Verificar empresa"))</f>
        <v>NET MASSIVO</v>
      </c>
      <c r="O1128" s="32" t="str">
        <f>IF(MB25_VOLUMETRIA[[#This Row],[EMPRESA]]="","",IF(OR(MB25_VOLUMETRIA[[#This Row],[EMPRESA]]="NET MASSIVO",MB25_VOLUMETRIA[[#This Row],[EMPRESA]]="NET PROJETOS"),"NET","EMPRESARIAL"))</f>
        <v>NET</v>
      </c>
    </row>
    <row r="1129" spans="1:15" x14ac:dyDescent="0.25">
      <c r="A1129" s="32">
        <v>4381178</v>
      </c>
      <c r="B1129" s="32" t="s">
        <v>21</v>
      </c>
      <c r="C1129" s="33" t="s">
        <v>21</v>
      </c>
      <c r="D1129" s="35">
        <v>45447</v>
      </c>
      <c r="E1129" s="32" t="s">
        <v>185</v>
      </c>
      <c r="F1129" s="32">
        <v>22026196</v>
      </c>
      <c r="G1129" s="32" t="s">
        <v>372</v>
      </c>
      <c r="H1129" s="26" t="s">
        <v>38</v>
      </c>
      <c r="I1129" s="36">
        <v>20</v>
      </c>
      <c r="J1129" s="32">
        <f>IF(MB25_VOLUMETRIA[[#This Row],[Reserva]]="","",1)</f>
        <v>1</v>
      </c>
      <c r="K1129" s="36" t="str">
        <f>IF(MB25_VOLUMETRIA[[#This Row],[Reserva]]="","",IFERROR(VLOOKUP(MB25_VOLUMETRIA[[#This Row],[UMB]],CHAVE[],2,FALSE),"VERIFICAR"))</f>
        <v>Unidade</v>
      </c>
      <c r="L1129" s="32" t="str">
        <f>IF(MB25_VOLUMETRIA[[#This Row],[Reserva]]="","",IFERROR(VLOOKUP(MB25_VOLUMETRIA[[#This Row],[Reserva]],Tabela3[[Reserva]:[Condição para Faturamento]],20,FALSE),"IMPORTADO COM SUCESSO"))</f>
        <v>EM RESSUPRIMENTO</v>
      </c>
      <c r="M1129" s="32" t="str">
        <f ca="1">IFERROR(VLOOKUP(MB25_VOLUMETRIA[[#This Row],[Reserva]],RES_AB[],14,FALSE),"")</f>
        <v>RESERVAS EM ATRASO</v>
      </c>
      <c r="N1129" s="32" t="str">
        <f>IF(MB25_VOLUMETRIA[[#This Row],[Cen.]]="","",IFERROR(VLOOKUP(MB25_VOLUMETRIA[[#This Row],[Cen.]],Dados_Empresas[],2,FALSE),"Verificar empresa"))</f>
        <v>NET MASSIVO</v>
      </c>
      <c r="O1129" s="32" t="str">
        <f>IF(MB25_VOLUMETRIA[[#This Row],[EMPRESA]]="","",IF(OR(MB25_VOLUMETRIA[[#This Row],[EMPRESA]]="NET MASSIVO",MB25_VOLUMETRIA[[#This Row],[EMPRESA]]="NET PROJETOS"),"NET","EMPRESARIAL"))</f>
        <v>NET</v>
      </c>
    </row>
    <row r="1130" spans="1:15" x14ac:dyDescent="0.25">
      <c r="A1130" s="32">
        <v>4381178</v>
      </c>
      <c r="B1130" s="32" t="s">
        <v>21</v>
      </c>
      <c r="C1130" s="33" t="s">
        <v>19</v>
      </c>
      <c r="D1130" s="35">
        <v>45447</v>
      </c>
      <c r="E1130" s="32" t="s">
        <v>185</v>
      </c>
      <c r="F1130" s="32">
        <v>22026750</v>
      </c>
      <c r="G1130" s="32" t="s">
        <v>373</v>
      </c>
      <c r="H1130" s="26" t="s">
        <v>38</v>
      </c>
      <c r="I1130" s="36">
        <v>9</v>
      </c>
      <c r="J1130" s="32">
        <f>IF(MB25_VOLUMETRIA[[#This Row],[Reserva]]="","",1)</f>
        <v>1</v>
      </c>
      <c r="K1130" s="36" t="str">
        <f>IF(MB25_VOLUMETRIA[[#This Row],[Reserva]]="","",IFERROR(VLOOKUP(MB25_VOLUMETRIA[[#This Row],[UMB]],CHAVE[],2,FALSE),"VERIFICAR"))</f>
        <v>Unidade</v>
      </c>
      <c r="L113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0" s="32" t="str">
        <f ca="1">IFERROR(VLOOKUP(MB25_VOLUMETRIA[[#This Row],[Reserva]],RES_AB[],14,FALSE),"")</f>
        <v>RESERVAS EM ATRASO</v>
      </c>
      <c r="N1130" s="32" t="str">
        <f>IF(MB25_VOLUMETRIA[[#This Row],[Cen.]]="","",IFERROR(VLOOKUP(MB25_VOLUMETRIA[[#This Row],[Cen.]],Dados_Empresas[],2,FALSE),"Verificar empresa"))</f>
        <v>NET MASSIVO</v>
      </c>
      <c r="O1130" s="32" t="str">
        <f>IF(MB25_VOLUMETRIA[[#This Row],[EMPRESA]]="","",IF(OR(MB25_VOLUMETRIA[[#This Row],[EMPRESA]]="NET MASSIVO",MB25_VOLUMETRIA[[#This Row],[EMPRESA]]="NET PROJETOS"),"NET","EMPRESARIAL"))</f>
        <v>NET</v>
      </c>
    </row>
    <row r="1131" spans="1:15" x14ac:dyDescent="0.25">
      <c r="A1131" s="32">
        <v>4381178</v>
      </c>
      <c r="B1131" s="32" t="s">
        <v>21</v>
      </c>
      <c r="C1131" s="33" t="s">
        <v>21</v>
      </c>
      <c r="D1131" s="35">
        <v>45447</v>
      </c>
      <c r="E1131" s="32" t="s">
        <v>185</v>
      </c>
      <c r="F1131" s="32">
        <v>22026758</v>
      </c>
      <c r="G1131" s="32" t="s">
        <v>360</v>
      </c>
      <c r="H1131" s="26" t="s">
        <v>38</v>
      </c>
      <c r="I1131" s="36">
        <v>10</v>
      </c>
      <c r="J1131" s="32">
        <f>IF(MB25_VOLUMETRIA[[#This Row],[Reserva]]="","",1)</f>
        <v>1</v>
      </c>
      <c r="K1131" s="36" t="str">
        <f>IF(MB25_VOLUMETRIA[[#This Row],[Reserva]]="","",IFERROR(VLOOKUP(MB25_VOLUMETRIA[[#This Row],[UMB]],CHAVE[],2,FALSE),"VERIFICAR"))</f>
        <v>Unidade</v>
      </c>
      <c r="L113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1" s="32" t="str">
        <f ca="1">IFERROR(VLOOKUP(MB25_VOLUMETRIA[[#This Row],[Reserva]],RES_AB[],14,FALSE),"")</f>
        <v>RESERVAS EM ATRASO</v>
      </c>
      <c r="N1131" s="32" t="str">
        <f>IF(MB25_VOLUMETRIA[[#This Row],[Cen.]]="","",IFERROR(VLOOKUP(MB25_VOLUMETRIA[[#This Row],[Cen.]],Dados_Empresas[],2,FALSE),"Verificar empresa"))</f>
        <v>NET MASSIVO</v>
      </c>
      <c r="O1131" s="32" t="str">
        <f>IF(MB25_VOLUMETRIA[[#This Row],[EMPRESA]]="","",IF(OR(MB25_VOLUMETRIA[[#This Row],[EMPRESA]]="NET MASSIVO",MB25_VOLUMETRIA[[#This Row],[EMPRESA]]="NET PROJETOS"),"NET","EMPRESARIAL"))</f>
        <v>NET</v>
      </c>
    </row>
    <row r="1132" spans="1:15" x14ac:dyDescent="0.25">
      <c r="A1132" s="32">
        <v>4381178</v>
      </c>
      <c r="B1132" s="32" t="s">
        <v>21</v>
      </c>
      <c r="C1132" s="33" t="s">
        <v>21</v>
      </c>
      <c r="D1132" s="35">
        <v>45447</v>
      </c>
      <c r="E1132" s="32" t="s">
        <v>185</v>
      </c>
      <c r="F1132" s="32">
        <v>22056364</v>
      </c>
      <c r="G1132" s="32" t="s">
        <v>236</v>
      </c>
      <c r="H1132" s="26" t="s">
        <v>38</v>
      </c>
      <c r="I1132" s="36">
        <v>180</v>
      </c>
      <c r="J1132" s="32">
        <f>IF(MB25_VOLUMETRIA[[#This Row],[Reserva]]="","",1)</f>
        <v>1</v>
      </c>
      <c r="K1132" s="36" t="str">
        <f>IF(MB25_VOLUMETRIA[[#This Row],[Reserva]]="","",IFERROR(VLOOKUP(MB25_VOLUMETRIA[[#This Row],[UMB]],CHAVE[],2,FALSE),"VERIFICAR"))</f>
        <v>Unidade</v>
      </c>
      <c r="L113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2" s="32" t="str">
        <f ca="1">IFERROR(VLOOKUP(MB25_VOLUMETRIA[[#This Row],[Reserva]],RES_AB[],14,FALSE),"")</f>
        <v>RESERVAS EM ATRASO</v>
      </c>
      <c r="N1132" s="32" t="str">
        <f>IF(MB25_VOLUMETRIA[[#This Row],[Cen.]]="","",IFERROR(VLOOKUP(MB25_VOLUMETRIA[[#This Row],[Cen.]],Dados_Empresas[],2,FALSE),"Verificar empresa"))</f>
        <v>NET MASSIVO</v>
      </c>
      <c r="O1132" s="32" t="str">
        <f>IF(MB25_VOLUMETRIA[[#This Row],[EMPRESA]]="","",IF(OR(MB25_VOLUMETRIA[[#This Row],[EMPRESA]]="NET MASSIVO",MB25_VOLUMETRIA[[#This Row],[EMPRESA]]="NET PROJETOS"),"NET","EMPRESARIAL"))</f>
        <v>NET</v>
      </c>
    </row>
    <row r="1133" spans="1:15" x14ac:dyDescent="0.25">
      <c r="A1133" s="32">
        <v>4381178</v>
      </c>
      <c r="B1133" s="32" t="s">
        <v>21</v>
      </c>
      <c r="C1133" s="33" t="s">
        <v>21</v>
      </c>
      <c r="D1133" s="35">
        <v>45447</v>
      </c>
      <c r="E1133" s="32" t="s">
        <v>185</v>
      </c>
      <c r="F1133" s="32">
        <v>22056366</v>
      </c>
      <c r="G1133" s="32" t="s">
        <v>237</v>
      </c>
      <c r="H1133" s="26" t="s">
        <v>38</v>
      </c>
      <c r="I1133" s="36">
        <v>40</v>
      </c>
      <c r="J1133" s="32">
        <f>IF(MB25_VOLUMETRIA[[#This Row],[Reserva]]="","",1)</f>
        <v>1</v>
      </c>
      <c r="K1133" s="36" t="str">
        <f>IF(MB25_VOLUMETRIA[[#This Row],[Reserva]]="","",IFERROR(VLOOKUP(MB25_VOLUMETRIA[[#This Row],[UMB]],CHAVE[],2,FALSE),"VERIFICAR"))</f>
        <v>Unidade</v>
      </c>
      <c r="L113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3" s="32" t="str">
        <f ca="1">IFERROR(VLOOKUP(MB25_VOLUMETRIA[[#This Row],[Reserva]],RES_AB[],14,FALSE),"")</f>
        <v>RESERVAS EM ATRASO</v>
      </c>
      <c r="N1133" s="32" t="str">
        <f>IF(MB25_VOLUMETRIA[[#This Row],[Cen.]]="","",IFERROR(VLOOKUP(MB25_VOLUMETRIA[[#This Row],[Cen.]],Dados_Empresas[],2,FALSE),"Verificar empresa"))</f>
        <v>NET MASSIVO</v>
      </c>
      <c r="O1133" s="32" t="str">
        <f>IF(MB25_VOLUMETRIA[[#This Row],[EMPRESA]]="","",IF(OR(MB25_VOLUMETRIA[[#This Row],[EMPRESA]]="NET MASSIVO",MB25_VOLUMETRIA[[#This Row],[EMPRESA]]="NET PROJETOS"),"NET","EMPRESARIAL"))</f>
        <v>NET</v>
      </c>
    </row>
    <row r="1134" spans="1:15" x14ac:dyDescent="0.25">
      <c r="A1134" s="32">
        <v>4381178</v>
      </c>
      <c r="B1134" s="32" t="s">
        <v>21</v>
      </c>
      <c r="C1134" s="33" t="s">
        <v>21</v>
      </c>
      <c r="D1134" s="35">
        <v>45447</v>
      </c>
      <c r="E1134" s="32" t="s">
        <v>185</v>
      </c>
      <c r="F1134" s="32">
        <v>22057620</v>
      </c>
      <c r="G1134" s="32" t="s">
        <v>253</v>
      </c>
      <c r="H1134" s="26" t="s">
        <v>38</v>
      </c>
      <c r="I1134" s="36">
        <v>25</v>
      </c>
      <c r="J1134" s="32">
        <f>IF(MB25_VOLUMETRIA[[#This Row],[Reserva]]="","",1)</f>
        <v>1</v>
      </c>
      <c r="K1134" s="36" t="str">
        <f>IF(MB25_VOLUMETRIA[[#This Row],[Reserva]]="","",IFERROR(VLOOKUP(MB25_VOLUMETRIA[[#This Row],[UMB]],CHAVE[],2,FALSE),"VERIFICAR"))</f>
        <v>Unidade</v>
      </c>
      <c r="L113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4" s="32" t="str">
        <f ca="1">IFERROR(VLOOKUP(MB25_VOLUMETRIA[[#This Row],[Reserva]],RES_AB[],14,FALSE),"")</f>
        <v>RESERVAS EM ATRASO</v>
      </c>
      <c r="N1134" s="32" t="str">
        <f>IF(MB25_VOLUMETRIA[[#This Row],[Cen.]]="","",IFERROR(VLOOKUP(MB25_VOLUMETRIA[[#This Row],[Cen.]],Dados_Empresas[],2,FALSE),"Verificar empresa"))</f>
        <v>NET MASSIVO</v>
      </c>
      <c r="O1134" s="32" t="str">
        <f>IF(MB25_VOLUMETRIA[[#This Row],[EMPRESA]]="","",IF(OR(MB25_VOLUMETRIA[[#This Row],[EMPRESA]]="NET MASSIVO",MB25_VOLUMETRIA[[#This Row],[EMPRESA]]="NET PROJETOS"),"NET","EMPRESARIAL"))</f>
        <v>NET</v>
      </c>
    </row>
    <row r="1135" spans="1:15" x14ac:dyDescent="0.25">
      <c r="A1135" s="32">
        <v>4381178</v>
      </c>
      <c r="B1135" s="32" t="s">
        <v>21</v>
      </c>
      <c r="C1135" s="33" t="s">
        <v>21</v>
      </c>
      <c r="D1135" s="35">
        <v>45447</v>
      </c>
      <c r="E1135" s="32" t="s">
        <v>185</v>
      </c>
      <c r="F1135" s="32">
        <v>22061811</v>
      </c>
      <c r="G1135" s="32" t="s">
        <v>226</v>
      </c>
      <c r="H1135" s="26" t="s">
        <v>38</v>
      </c>
      <c r="I1135" s="36">
        <v>100</v>
      </c>
      <c r="J1135" s="32">
        <f>IF(MB25_VOLUMETRIA[[#This Row],[Reserva]]="","",1)</f>
        <v>1</v>
      </c>
      <c r="K1135" s="36" t="str">
        <f>IF(MB25_VOLUMETRIA[[#This Row],[Reserva]]="","",IFERROR(VLOOKUP(MB25_VOLUMETRIA[[#This Row],[UMB]],CHAVE[],2,FALSE),"VERIFICAR"))</f>
        <v>Unidade</v>
      </c>
      <c r="L1135" s="32" t="str">
        <f>IF(MB25_VOLUMETRIA[[#This Row],[Reserva]]="","",IFERROR(VLOOKUP(MB25_VOLUMETRIA[[#This Row],[Reserva]],Tabela3[[Reserva]:[Condição para Faturamento]],20,FALSE),"IMPORTADO COM SUCESSO"))</f>
        <v>EM RESSUPRIMENTO</v>
      </c>
      <c r="M1135" s="32" t="str">
        <f ca="1">IFERROR(VLOOKUP(MB25_VOLUMETRIA[[#This Row],[Reserva]],RES_AB[],14,FALSE),"")</f>
        <v>RESERVAS EM ATRASO</v>
      </c>
      <c r="N1135" s="32" t="str">
        <f>IF(MB25_VOLUMETRIA[[#This Row],[Cen.]]="","",IFERROR(VLOOKUP(MB25_VOLUMETRIA[[#This Row],[Cen.]],Dados_Empresas[],2,FALSE),"Verificar empresa"))</f>
        <v>NET MASSIVO</v>
      </c>
      <c r="O1135" s="32" t="str">
        <f>IF(MB25_VOLUMETRIA[[#This Row],[EMPRESA]]="","",IF(OR(MB25_VOLUMETRIA[[#This Row],[EMPRESA]]="NET MASSIVO",MB25_VOLUMETRIA[[#This Row],[EMPRESA]]="NET PROJETOS"),"NET","EMPRESARIAL"))</f>
        <v>NET</v>
      </c>
    </row>
    <row r="1136" spans="1:15" x14ac:dyDescent="0.25">
      <c r="A1136" s="32">
        <v>4381179</v>
      </c>
      <c r="B1136" s="32" t="s">
        <v>21</v>
      </c>
      <c r="C1136" s="33" t="s">
        <v>19</v>
      </c>
      <c r="D1136" s="35">
        <v>45447</v>
      </c>
      <c r="E1136" s="32" t="s">
        <v>192</v>
      </c>
      <c r="F1136" s="32">
        <v>41000805</v>
      </c>
      <c r="G1136" s="32" t="s">
        <v>188</v>
      </c>
      <c r="H1136" s="26" t="s">
        <v>38</v>
      </c>
      <c r="I1136" s="36">
        <v>100</v>
      </c>
      <c r="J1136" s="32">
        <f>IF(MB25_VOLUMETRIA[[#This Row],[Reserva]]="","",1)</f>
        <v>1</v>
      </c>
      <c r="K1136" s="36" t="str">
        <f>IF(MB25_VOLUMETRIA[[#This Row],[Reserva]]="","",IFERROR(VLOOKUP(MB25_VOLUMETRIA[[#This Row],[UMB]],CHAVE[],2,FALSE),"VERIFICAR"))</f>
        <v>Unidade</v>
      </c>
      <c r="L1136" s="32" t="str">
        <f>IF(MB25_VOLUMETRIA[[#This Row],[Reserva]]="","",IFERROR(VLOOKUP(MB25_VOLUMETRIA[[#This Row],[Reserva]],Tabela3[[Reserva]:[Condição para Faturamento]],20,FALSE),"IMPORTADO COM SUCESSO"))</f>
        <v>IMPORTADO</v>
      </c>
      <c r="M1136" s="32" t="str">
        <f ca="1">IFERROR(VLOOKUP(MB25_VOLUMETRIA[[#This Row],[Reserva]],RES_AB[],14,FALSE),"")</f>
        <v>RESERVAS EM ATRASO</v>
      </c>
      <c r="N1136" s="32" t="str">
        <f>IF(MB25_VOLUMETRIA[[#This Row],[Cen.]]="","",IFERROR(VLOOKUP(MB25_VOLUMETRIA[[#This Row],[Cen.]],Dados_Empresas[],2,FALSE),"Verificar empresa"))</f>
        <v>NET MASSIVO</v>
      </c>
      <c r="O1136" s="32" t="str">
        <f>IF(MB25_VOLUMETRIA[[#This Row],[EMPRESA]]="","",IF(OR(MB25_VOLUMETRIA[[#This Row],[EMPRESA]]="NET MASSIVO",MB25_VOLUMETRIA[[#This Row],[EMPRESA]]="NET PROJETOS"),"NET","EMPRESARIAL"))</f>
        <v>NET</v>
      </c>
    </row>
    <row r="1137" spans="1:15" x14ac:dyDescent="0.25">
      <c r="A1137" s="32">
        <v>4381179</v>
      </c>
      <c r="B1137" s="32" t="s">
        <v>21</v>
      </c>
      <c r="C1137" s="33" t="s">
        <v>19</v>
      </c>
      <c r="D1137" s="35">
        <v>45447</v>
      </c>
      <c r="E1137" s="32" t="s">
        <v>192</v>
      </c>
      <c r="F1137" s="32">
        <v>41001047</v>
      </c>
      <c r="G1137" s="32" t="s">
        <v>257</v>
      </c>
      <c r="H1137" s="26" t="s">
        <v>38</v>
      </c>
      <c r="I1137" s="36">
        <v>100</v>
      </c>
      <c r="J1137" s="32">
        <f>IF(MB25_VOLUMETRIA[[#This Row],[Reserva]]="","",1)</f>
        <v>1</v>
      </c>
      <c r="K1137" s="36" t="str">
        <f>IF(MB25_VOLUMETRIA[[#This Row],[Reserva]]="","",IFERROR(VLOOKUP(MB25_VOLUMETRIA[[#This Row],[UMB]],CHAVE[],2,FALSE),"VERIFICAR"))</f>
        <v>Unidade</v>
      </c>
      <c r="L1137" s="32" t="str">
        <f>IF(MB25_VOLUMETRIA[[#This Row],[Reserva]]="","",IFERROR(VLOOKUP(MB25_VOLUMETRIA[[#This Row],[Reserva]],Tabela3[[Reserva]:[Condição para Faturamento]],20,FALSE),"IMPORTADO COM SUCESSO"))</f>
        <v>IMPORTADO</v>
      </c>
      <c r="M1137" s="32" t="str">
        <f ca="1">IFERROR(VLOOKUP(MB25_VOLUMETRIA[[#This Row],[Reserva]],RES_AB[],14,FALSE),"")</f>
        <v>RESERVAS EM ATRASO</v>
      </c>
      <c r="N1137" s="32" t="str">
        <f>IF(MB25_VOLUMETRIA[[#This Row],[Cen.]]="","",IFERROR(VLOOKUP(MB25_VOLUMETRIA[[#This Row],[Cen.]],Dados_Empresas[],2,FALSE),"Verificar empresa"))</f>
        <v>NET MASSIVO</v>
      </c>
      <c r="O1137" s="32" t="str">
        <f>IF(MB25_VOLUMETRIA[[#This Row],[EMPRESA]]="","",IF(OR(MB25_VOLUMETRIA[[#This Row],[EMPRESA]]="NET MASSIVO",MB25_VOLUMETRIA[[#This Row],[EMPRESA]]="NET PROJETOS"),"NET","EMPRESARIAL"))</f>
        <v>NET</v>
      </c>
    </row>
    <row r="1138" spans="1:15" x14ac:dyDescent="0.25">
      <c r="A1138" s="32">
        <v>4381179</v>
      </c>
      <c r="B1138" s="32" t="s">
        <v>21</v>
      </c>
      <c r="C1138" s="33" t="s">
        <v>19</v>
      </c>
      <c r="D1138" s="35">
        <v>45447</v>
      </c>
      <c r="E1138" s="32" t="s">
        <v>192</v>
      </c>
      <c r="F1138" s="32">
        <v>41001292</v>
      </c>
      <c r="G1138" s="32" t="s">
        <v>353</v>
      </c>
      <c r="H1138" s="26" t="s">
        <v>38</v>
      </c>
      <c r="I1138" s="36">
        <v>20</v>
      </c>
      <c r="J1138" s="32">
        <f>IF(MB25_VOLUMETRIA[[#This Row],[Reserva]]="","",1)</f>
        <v>1</v>
      </c>
      <c r="K1138" s="36" t="str">
        <f>IF(MB25_VOLUMETRIA[[#This Row],[Reserva]]="","",IFERROR(VLOOKUP(MB25_VOLUMETRIA[[#This Row],[UMB]],CHAVE[],2,FALSE),"VERIFICAR"))</f>
        <v>Unidade</v>
      </c>
      <c r="L1138" s="32" t="str">
        <f>IF(MB25_VOLUMETRIA[[#This Row],[Reserva]]="","",IFERROR(VLOOKUP(MB25_VOLUMETRIA[[#This Row],[Reserva]],Tabela3[[Reserva]:[Condição para Faturamento]],20,FALSE),"IMPORTADO COM SUCESSO"))</f>
        <v>IMPORTADO</v>
      </c>
      <c r="M1138" s="32" t="str">
        <f ca="1">IFERROR(VLOOKUP(MB25_VOLUMETRIA[[#This Row],[Reserva]],RES_AB[],14,FALSE),"")</f>
        <v>RESERVAS EM ATRASO</v>
      </c>
      <c r="N1138" s="32" t="str">
        <f>IF(MB25_VOLUMETRIA[[#This Row],[Cen.]]="","",IFERROR(VLOOKUP(MB25_VOLUMETRIA[[#This Row],[Cen.]],Dados_Empresas[],2,FALSE),"Verificar empresa"))</f>
        <v>NET MASSIVO</v>
      </c>
      <c r="O1138" s="32" t="str">
        <f>IF(MB25_VOLUMETRIA[[#This Row],[EMPRESA]]="","",IF(OR(MB25_VOLUMETRIA[[#This Row],[EMPRESA]]="NET MASSIVO",MB25_VOLUMETRIA[[#This Row],[EMPRESA]]="NET PROJETOS"),"NET","EMPRESARIAL"))</f>
        <v>NET</v>
      </c>
    </row>
    <row r="1139" spans="1:15" x14ac:dyDescent="0.25">
      <c r="A1139" s="32">
        <v>4381179</v>
      </c>
      <c r="B1139" s="32" t="s">
        <v>21</v>
      </c>
      <c r="C1139" s="33" t="s">
        <v>19</v>
      </c>
      <c r="D1139" s="35">
        <v>45447</v>
      </c>
      <c r="E1139" s="32" t="s">
        <v>192</v>
      </c>
      <c r="F1139" s="32">
        <v>41001536</v>
      </c>
      <c r="G1139" s="32" t="s">
        <v>371</v>
      </c>
      <c r="H1139" s="26" t="s">
        <v>38</v>
      </c>
      <c r="I1139" s="36">
        <v>60</v>
      </c>
      <c r="J1139" s="32">
        <f>IF(MB25_VOLUMETRIA[[#This Row],[Reserva]]="","",1)</f>
        <v>1</v>
      </c>
      <c r="K1139" s="36" t="str">
        <f>IF(MB25_VOLUMETRIA[[#This Row],[Reserva]]="","",IFERROR(VLOOKUP(MB25_VOLUMETRIA[[#This Row],[UMB]],CHAVE[],2,FALSE),"VERIFICAR"))</f>
        <v>Unidade</v>
      </c>
      <c r="L1139" s="32" t="str">
        <f>IF(MB25_VOLUMETRIA[[#This Row],[Reserva]]="","",IFERROR(VLOOKUP(MB25_VOLUMETRIA[[#This Row],[Reserva]],Tabela3[[Reserva]:[Condição para Faturamento]],20,FALSE),"IMPORTADO COM SUCESSO"))</f>
        <v>IMPORTADO</v>
      </c>
      <c r="M1139" s="32" t="str">
        <f ca="1">IFERROR(VLOOKUP(MB25_VOLUMETRIA[[#This Row],[Reserva]],RES_AB[],14,FALSE),"")</f>
        <v>RESERVAS EM ATRASO</v>
      </c>
      <c r="N1139" s="32" t="str">
        <f>IF(MB25_VOLUMETRIA[[#This Row],[Cen.]]="","",IFERROR(VLOOKUP(MB25_VOLUMETRIA[[#This Row],[Cen.]],Dados_Empresas[],2,FALSE),"Verificar empresa"))</f>
        <v>NET MASSIVO</v>
      </c>
      <c r="O1139" s="32" t="str">
        <f>IF(MB25_VOLUMETRIA[[#This Row],[EMPRESA]]="","",IF(OR(MB25_VOLUMETRIA[[#This Row],[EMPRESA]]="NET MASSIVO",MB25_VOLUMETRIA[[#This Row],[EMPRESA]]="NET PROJETOS"),"NET","EMPRESARIAL"))</f>
        <v>NET</v>
      </c>
    </row>
    <row r="1140" spans="1:15" x14ac:dyDescent="0.25">
      <c r="A1140" s="32">
        <v>4381180</v>
      </c>
      <c r="B1140" s="32" t="s">
        <v>21</v>
      </c>
      <c r="C1140" s="33" t="s">
        <v>19</v>
      </c>
      <c r="D1140" s="35">
        <v>45447</v>
      </c>
      <c r="E1140" s="32" t="s">
        <v>185</v>
      </c>
      <c r="F1140" s="32">
        <v>22026251</v>
      </c>
      <c r="G1140" s="32" t="s">
        <v>247</v>
      </c>
      <c r="H1140" s="26" t="s">
        <v>38</v>
      </c>
      <c r="I1140" s="36">
        <v>30</v>
      </c>
      <c r="J1140" s="32">
        <f>IF(MB25_VOLUMETRIA[[#This Row],[Reserva]]="","",1)</f>
        <v>1</v>
      </c>
      <c r="K1140" s="36" t="str">
        <f>IF(MB25_VOLUMETRIA[[#This Row],[Reserva]]="","",IFERROR(VLOOKUP(MB25_VOLUMETRIA[[#This Row],[UMB]],CHAVE[],2,FALSE),"VERIFICAR"))</f>
        <v>Unidade</v>
      </c>
      <c r="L1140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0" s="32" t="str">
        <f ca="1">IFERROR(VLOOKUP(MB25_VOLUMETRIA[[#This Row],[Reserva]],RES_AB[],14,FALSE),"")</f>
        <v>RESERVAS EM ATRASO</v>
      </c>
      <c r="N1140" s="32" t="str">
        <f>IF(MB25_VOLUMETRIA[[#This Row],[Cen.]]="","",IFERROR(VLOOKUP(MB25_VOLUMETRIA[[#This Row],[Cen.]],Dados_Empresas[],2,FALSE),"Verificar empresa"))</f>
        <v>NET MASSIVO</v>
      </c>
      <c r="O1140" s="32" t="str">
        <f>IF(MB25_VOLUMETRIA[[#This Row],[EMPRESA]]="","",IF(OR(MB25_VOLUMETRIA[[#This Row],[EMPRESA]]="NET MASSIVO",MB25_VOLUMETRIA[[#This Row],[EMPRESA]]="NET PROJETOS"),"NET","EMPRESARIAL"))</f>
        <v>NET</v>
      </c>
    </row>
    <row r="1141" spans="1:15" x14ac:dyDescent="0.25">
      <c r="A1141" s="32">
        <v>4381180</v>
      </c>
      <c r="B1141" s="32" t="s">
        <v>21</v>
      </c>
      <c r="C1141" s="33" t="s">
        <v>21</v>
      </c>
      <c r="D1141" s="35">
        <v>45447</v>
      </c>
      <c r="E1141" s="32" t="s">
        <v>185</v>
      </c>
      <c r="F1141" s="32">
        <v>22056366</v>
      </c>
      <c r="G1141" s="32" t="s">
        <v>237</v>
      </c>
      <c r="H1141" s="26" t="s">
        <v>38</v>
      </c>
      <c r="I1141" s="36">
        <v>20</v>
      </c>
      <c r="J1141" s="32">
        <f>IF(MB25_VOLUMETRIA[[#This Row],[Reserva]]="","",1)</f>
        <v>1</v>
      </c>
      <c r="K1141" s="36" t="str">
        <f>IF(MB25_VOLUMETRIA[[#This Row],[Reserva]]="","",IFERROR(VLOOKUP(MB25_VOLUMETRIA[[#This Row],[UMB]],CHAVE[],2,FALSE),"VERIFICAR"))</f>
        <v>Unidade</v>
      </c>
      <c r="L1141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1" s="32" t="str">
        <f ca="1">IFERROR(VLOOKUP(MB25_VOLUMETRIA[[#This Row],[Reserva]],RES_AB[],14,FALSE),"")</f>
        <v>RESERVAS EM ATRASO</v>
      </c>
      <c r="N1141" s="32" t="str">
        <f>IF(MB25_VOLUMETRIA[[#This Row],[Cen.]]="","",IFERROR(VLOOKUP(MB25_VOLUMETRIA[[#This Row],[Cen.]],Dados_Empresas[],2,FALSE),"Verificar empresa"))</f>
        <v>NET MASSIVO</v>
      </c>
      <c r="O1141" s="32" t="str">
        <f>IF(MB25_VOLUMETRIA[[#This Row],[EMPRESA]]="","",IF(OR(MB25_VOLUMETRIA[[#This Row],[EMPRESA]]="NET MASSIVO",MB25_VOLUMETRIA[[#This Row],[EMPRESA]]="NET PROJETOS"),"NET","EMPRESARIAL"))</f>
        <v>NET</v>
      </c>
    </row>
    <row r="1142" spans="1:15" x14ac:dyDescent="0.25">
      <c r="A1142" s="32">
        <v>4381180</v>
      </c>
      <c r="B1142" s="32" t="s">
        <v>21</v>
      </c>
      <c r="C1142" s="33" t="s">
        <v>19</v>
      </c>
      <c r="D1142" s="35">
        <v>45447</v>
      </c>
      <c r="E1142" s="32" t="s">
        <v>185</v>
      </c>
      <c r="F1142" s="32">
        <v>22057438</v>
      </c>
      <c r="G1142" s="32" t="s">
        <v>341</v>
      </c>
      <c r="H1142" s="26" t="s">
        <v>38</v>
      </c>
      <c r="I1142" s="36">
        <v>7</v>
      </c>
      <c r="J1142" s="32">
        <f>IF(MB25_VOLUMETRIA[[#This Row],[Reserva]]="","",1)</f>
        <v>1</v>
      </c>
      <c r="K1142" s="36" t="str">
        <f>IF(MB25_VOLUMETRIA[[#This Row],[Reserva]]="","",IFERROR(VLOOKUP(MB25_VOLUMETRIA[[#This Row],[UMB]],CHAVE[],2,FALSE),"VERIFICAR"))</f>
        <v>Unidade</v>
      </c>
      <c r="L1142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2" s="32" t="str">
        <f ca="1">IFERROR(VLOOKUP(MB25_VOLUMETRIA[[#This Row],[Reserva]],RES_AB[],14,FALSE),"")</f>
        <v>RESERVAS EM ATRASO</v>
      </c>
      <c r="N1142" s="32" t="str">
        <f>IF(MB25_VOLUMETRIA[[#This Row],[Cen.]]="","",IFERROR(VLOOKUP(MB25_VOLUMETRIA[[#This Row],[Cen.]],Dados_Empresas[],2,FALSE),"Verificar empresa"))</f>
        <v>NET MASSIVO</v>
      </c>
      <c r="O1142" s="32" t="str">
        <f>IF(MB25_VOLUMETRIA[[#This Row],[EMPRESA]]="","",IF(OR(MB25_VOLUMETRIA[[#This Row],[EMPRESA]]="NET MASSIVO",MB25_VOLUMETRIA[[#This Row],[EMPRESA]]="NET PROJETOS"),"NET","EMPRESARIAL"))</f>
        <v>NET</v>
      </c>
    </row>
    <row r="1143" spans="1:15" x14ac:dyDescent="0.25">
      <c r="A1143" s="32">
        <v>4381181</v>
      </c>
      <c r="B1143" s="32" t="s">
        <v>21</v>
      </c>
      <c r="C1143" s="33" t="s">
        <v>19</v>
      </c>
      <c r="D1143" s="35">
        <v>45447</v>
      </c>
      <c r="E1143" s="32" t="s">
        <v>192</v>
      </c>
      <c r="F1143" s="32">
        <v>41000805</v>
      </c>
      <c r="G1143" s="32" t="s">
        <v>188</v>
      </c>
      <c r="H1143" s="26" t="s">
        <v>38</v>
      </c>
      <c r="I1143" s="36">
        <v>20</v>
      </c>
      <c r="J1143" s="32">
        <f>IF(MB25_VOLUMETRIA[[#This Row],[Reserva]]="","",1)</f>
        <v>1</v>
      </c>
      <c r="K1143" s="36" t="str">
        <f>IF(MB25_VOLUMETRIA[[#This Row],[Reserva]]="","",IFERROR(VLOOKUP(MB25_VOLUMETRIA[[#This Row],[UMB]],CHAVE[],2,FALSE),"VERIFICAR"))</f>
        <v>Unidade</v>
      </c>
      <c r="L1143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3" s="32" t="str">
        <f ca="1">IFERROR(VLOOKUP(MB25_VOLUMETRIA[[#This Row],[Reserva]],RES_AB[],14,FALSE),"")</f>
        <v>RESERVAS EM ATRASO</v>
      </c>
      <c r="N1143" s="32" t="str">
        <f>IF(MB25_VOLUMETRIA[[#This Row],[Cen.]]="","",IFERROR(VLOOKUP(MB25_VOLUMETRIA[[#This Row],[Cen.]],Dados_Empresas[],2,FALSE),"Verificar empresa"))</f>
        <v>NET MASSIVO</v>
      </c>
      <c r="O1143" s="32" t="str">
        <f>IF(MB25_VOLUMETRIA[[#This Row],[EMPRESA]]="","",IF(OR(MB25_VOLUMETRIA[[#This Row],[EMPRESA]]="NET MASSIVO",MB25_VOLUMETRIA[[#This Row],[EMPRESA]]="NET PROJETOS"),"NET","EMPRESARIAL"))</f>
        <v>NET</v>
      </c>
    </row>
    <row r="1144" spans="1:15" x14ac:dyDescent="0.25">
      <c r="A1144" s="32">
        <v>4381181</v>
      </c>
      <c r="B1144" s="32" t="s">
        <v>21</v>
      </c>
      <c r="C1144" s="33" t="s">
        <v>19</v>
      </c>
      <c r="D1144" s="35">
        <v>45447</v>
      </c>
      <c r="E1144" s="32" t="s">
        <v>192</v>
      </c>
      <c r="F1144" s="32">
        <v>41001484</v>
      </c>
      <c r="G1144" s="32" t="s">
        <v>292</v>
      </c>
      <c r="H1144" s="26" t="s">
        <v>38</v>
      </c>
      <c r="I1144" s="36">
        <v>20</v>
      </c>
      <c r="J1144" s="32">
        <f>IF(MB25_VOLUMETRIA[[#This Row],[Reserva]]="","",1)</f>
        <v>1</v>
      </c>
      <c r="K1144" s="36" t="str">
        <f>IF(MB25_VOLUMETRIA[[#This Row],[Reserva]]="","",IFERROR(VLOOKUP(MB25_VOLUMETRIA[[#This Row],[UMB]],CHAVE[],2,FALSE),"VERIFICAR"))</f>
        <v>Unidade</v>
      </c>
      <c r="L1144" s="32" t="str">
        <f>IF(MB25_VOLUMETRIA[[#This Row],[Reserva]]="","",IFERROR(VLOOKUP(MB25_VOLUMETRIA[[#This Row],[Reserva]],Tabela3[[Reserva]:[Condição para Faturamento]],20,FALSE),"IMPORTADO COM SUCESSO"))</f>
        <v>EM RESSUPRIMENTO</v>
      </c>
      <c r="M1144" s="32" t="str">
        <f ca="1">IFERROR(VLOOKUP(MB25_VOLUMETRIA[[#This Row],[Reserva]],RES_AB[],14,FALSE),"")</f>
        <v>RESERVAS EM ATRASO</v>
      </c>
      <c r="N1144" s="32" t="str">
        <f>IF(MB25_VOLUMETRIA[[#This Row],[Cen.]]="","",IFERROR(VLOOKUP(MB25_VOLUMETRIA[[#This Row],[Cen.]],Dados_Empresas[],2,FALSE),"Verificar empresa"))</f>
        <v>NET MASSIVO</v>
      </c>
      <c r="O1144" s="32" t="str">
        <f>IF(MB25_VOLUMETRIA[[#This Row],[EMPRESA]]="","",IF(OR(MB25_VOLUMETRIA[[#This Row],[EMPRESA]]="NET MASSIVO",MB25_VOLUMETRIA[[#This Row],[EMPRESA]]="NET PROJETOS"),"NET","EMPRESARIAL"))</f>
        <v>NET</v>
      </c>
    </row>
    <row r="1145" spans="1:15" x14ac:dyDescent="0.25">
      <c r="A1145" s="32">
        <v>4381182</v>
      </c>
      <c r="B1145" s="32" t="s">
        <v>21</v>
      </c>
      <c r="C1145" s="33" t="s">
        <v>21</v>
      </c>
      <c r="D1145" s="35">
        <v>45447</v>
      </c>
      <c r="E1145" s="32" t="s">
        <v>192</v>
      </c>
      <c r="F1145" s="32">
        <v>41001590</v>
      </c>
      <c r="G1145" s="32" t="s">
        <v>239</v>
      </c>
      <c r="H1145" s="26" t="s">
        <v>38</v>
      </c>
      <c r="I1145" s="36">
        <v>20</v>
      </c>
      <c r="J1145" s="32">
        <f>IF(MB25_VOLUMETRIA[[#This Row],[Reserva]]="","",1)</f>
        <v>1</v>
      </c>
      <c r="K1145" s="36" t="str">
        <f>IF(MB25_VOLUMETRIA[[#This Row],[Reserva]]="","",IFERROR(VLOOKUP(MB25_VOLUMETRIA[[#This Row],[UMB]],CHAVE[],2,FALSE),"VERIFICAR"))</f>
        <v>Unidade</v>
      </c>
      <c r="L1145" s="32" t="str">
        <f>IF(MB25_VOLUMETRIA[[#This Row],[Reserva]]="","",IFERROR(VLOOKUP(MB25_VOLUMETRIA[[#This Row],[Reserva]],Tabela3[[Reserva]:[Condição para Faturamento]],20,FALSE),"IMPORTADO COM SUCESSO"))</f>
        <v>IMPORTADO</v>
      </c>
      <c r="M1145" s="32" t="str">
        <f ca="1">IFERROR(VLOOKUP(MB25_VOLUMETRIA[[#This Row],[Reserva]],RES_AB[],14,FALSE),"")</f>
        <v>RESERVAS EM ATRASO</v>
      </c>
      <c r="N1145" s="32" t="str">
        <f>IF(MB25_VOLUMETRIA[[#This Row],[Cen.]]="","",IFERROR(VLOOKUP(MB25_VOLUMETRIA[[#This Row],[Cen.]],Dados_Empresas[],2,FALSE),"Verificar empresa"))</f>
        <v>NET MASSIVO</v>
      </c>
      <c r="O1145" s="32" t="str">
        <f>IF(MB25_VOLUMETRIA[[#This Row],[EMPRESA]]="","",IF(OR(MB25_VOLUMETRIA[[#This Row],[EMPRESA]]="NET MASSIVO",MB25_VOLUMETRIA[[#This Row],[EMPRESA]]="NET PROJETOS"),"NET","EMPRESARIAL"))</f>
        <v>NET</v>
      </c>
    </row>
    <row r="1146" spans="1:15" x14ac:dyDescent="0.25">
      <c r="A1146" s="32">
        <v>4381183</v>
      </c>
      <c r="B1146" s="32" t="s">
        <v>21</v>
      </c>
      <c r="C1146" s="33" t="s">
        <v>19</v>
      </c>
      <c r="D1146" s="35">
        <v>45447</v>
      </c>
      <c r="E1146" s="32" t="s">
        <v>192</v>
      </c>
      <c r="F1146" s="32">
        <v>41000805</v>
      </c>
      <c r="G1146" s="32" t="s">
        <v>188</v>
      </c>
      <c r="H1146" s="26" t="s">
        <v>38</v>
      </c>
      <c r="I1146" s="36">
        <v>20</v>
      </c>
      <c r="J1146" s="32">
        <f>IF(MB25_VOLUMETRIA[[#This Row],[Reserva]]="","",1)</f>
        <v>1</v>
      </c>
      <c r="K1146" s="36" t="str">
        <f>IF(MB25_VOLUMETRIA[[#This Row],[Reserva]]="","",IFERROR(VLOOKUP(MB25_VOLUMETRIA[[#This Row],[UMB]],CHAVE[],2,FALSE),"VERIFICAR"))</f>
        <v>Unidade</v>
      </c>
      <c r="L1146" s="32" t="str">
        <f>IF(MB25_VOLUMETRIA[[#This Row],[Reserva]]="","",IFERROR(VLOOKUP(MB25_VOLUMETRIA[[#This Row],[Reserva]],Tabela3[[Reserva]:[Condição para Faturamento]],20,FALSE),"IMPORTADO COM SUCESSO"))</f>
        <v>IMPORTADO</v>
      </c>
      <c r="M1146" s="32" t="str">
        <f ca="1">IFERROR(VLOOKUP(MB25_VOLUMETRIA[[#This Row],[Reserva]],RES_AB[],14,FALSE),"")</f>
        <v>RESERVAS EM ATRASO</v>
      </c>
      <c r="N1146" s="32" t="str">
        <f>IF(MB25_VOLUMETRIA[[#This Row],[Cen.]]="","",IFERROR(VLOOKUP(MB25_VOLUMETRIA[[#This Row],[Cen.]],Dados_Empresas[],2,FALSE),"Verificar empresa"))</f>
        <v>NET MASSIVO</v>
      </c>
      <c r="O1146" s="32" t="str">
        <f>IF(MB25_VOLUMETRIA[[#This Row],[EMPRESA]]="","",IF(OR(MB25_VOLUMETRIA[[#This Row],[EMPRESA]]="NET MASSIVO",MB25_VOLUMETRIA[[#This Row],[EMPRESA]]="NET PROJETOS"),"NET","EMPRESARIAL"))</f>
        <v>NET</v>
      </c>
    </row>
    <row r="1147" spans="1:15" x14ac:dyDescent="0.25">
      <c r="A1147" s="32">
        <v>4381183</v>
      </c>
      <c r="B1147" s="32" t="s">
        <v>21</v>
      </c>
      <c r="C1147" s="33" t="s">
        <v>19</v>
      </c>
      <c r="D1147" s="35">
        <v>45447</v>
      </c>
      <c r="E1147" s="32" t="s">
        <v>192</v>
      </c>
      <c r="F1147" s="32">
        <v>41001047</v>
      </c>
      <c r="G1147" s="32" t="s">
        <v>257</v>
      </c>
      <c r="H1147" s="26" t="s">
        <v>38</v>
      </c>
      <c r="I1147" s="36">
        <v>20</v>
      </c>
      <c r="J1147" s="32">
        <f>IF(MB25_VOLUMETRIA[[#This Row],[Reserva]]="","",1)</f>
        <v>1</v>
      </c>
      <c r="K1147" s="36" t="str">
        <f>IF(MB25_VOLUMETRIA[[#This Row],[Reserva]]="","",IFERROR(VLOOKUP(MB25_VOLUMETRIA[[#This Row],[UMB]],CHAVE[],2,FALSE),"VERIFICAR"))</f>
        <v>Unidade</v>
      </c>
      <c r="L1147" s="32" t="str">
        <f>IF(MB25_VOLUMETRIA[[#This Row],[Reserva]]="","",IFERROR(VLOOKUP(MB25_VOLUMETRIA[[#This Row],[Reserva]],Tabela3[[Reserva]:[Condição para Faturamento]],20,FALSE),"IMPORTADO COM SUCESSO"))</f>
        <v>IMPORTADO</v>
      </c>
      <c r="M1147" s="32" t="str">
        <f ca="1">IFERROR(VLOOKUP(MB25_VOLUMETRIA[[#This Row],[Reserva]],RES_AB[],14,FALSE),"")</f>
        <v>RESERVAS EM ATRASO</v>
      </c>
      <c r="N1147" s="32" t="str">
        <f>IF(MB25_VOLUMETRIA[[#This Row],[Cen.]]="","",IFERROR(VLOOKUP(MB25_VOLUMETRIA[[#This Row],[Cen.]],Dados_Empresas[],2,FALSE),"Verificar empresa"))</f>
        <v>NET MASSIVO</v>
      </c>
      <c r="O1147" s="32" t="str">
        <f>IF(MB25_VOLUMETRIA[[#This Row],[EMPRESA]]="","",IF(OR(MB25_VOLUMETRIA[[#This Row],[EMPRESA]]="NET MASSIVO",MB25_VOLUMETRIA[[#This Row],[EMPRESA]]="NET PROJETOS"),"NET","EMPRESARIAL"))</f>
        <v>NET</v>
      </c>
    </row>
    <row r="1148" spans="1:15" x14ac:dyDescent="0.25">
      <c r="A1148" s="32">
        <v>4381005</v>
      </c>
      <c r="B1148" s="32" t="s">
        <v>21</v>
      </c>
      <c r="C1148" s="33" t="s">
        <v>21</v>
      </c>
      <c r="D1148" s="35">
        <v>45448</v>
      </c>
      <c r="E1148" s="32">
        <v>201</v>
      </c>
      <c r="F1148" s="32">
        <v>22026189</v>
      </c>
      <c r="G1148" s="32" t="s">
        <v>200</v>
      </c>
      <c r="H1148" s="26" t="s">
        <v>38</v>
      </c>
      <c r="I1148" s="36">
        <v>100</v>
      </c>
      <c r="J1148" s="32">
        <f>IF(MB25_VOLUMETRIA[[#This Row],[Reserva]]="","",1)</f>
        <v>1</v>
      </c>
      <c r="K1148" s="36" t="str">
        <f>IF(MB25_VOLUMETRIA[[#This Row],[Reserva]]="","",IFERROR(VLOOKUP(MB25_VOLUMETRIA[[#This Row],[UMB]],CHAVE[],2,FALSE),"VERIFICAR"))</f>
        <v>Unidade</v>
      </c>
      <c r="L11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48" s="32" t="str">
        <f ca="1">IFERROR(VLOOKUP(MB25_VOLUMETRIA[[#This Row],[Reserva]],RES_AB[],14,FALSE),"")</f>
        <v>PLANO DO DIA</v>
      </c>
      <c r="N1148" s="32" t="str">
        <f>IF(MB25_VOLUMETRIA[[#This Row],[Cen.]]="","",IFERROR(VLOOKUP(MB25_VOLUMETRIA[[#This Row],[Cen.]],Dados_Empresas[],2,FALSE),"Verificar empresa"))</f>
        <v>NET MASSIVO</v>
      </c>
      <c r="O1148" s="32" t="str">
        <f>IF(MB25_VOLUMETRIA[[#This Row],[EMPRESA]]="","",IF(OR(MB25_VOLUMETRIA[[#This Row],[EMPRESA]]="NET MASSIVO",MB25_VOLUMETRIA[[#This Row],[EMPRESA]]="NET PROJETOS"),"NET","EMPRESARIAL"))</f>
        <v>NET</v>
      </c>
    </row>
    <row r="1149" spans="1:15" x14ac:dyDescent="0.25">
      <c r="A1149" s="32">
        <v>4381012</v>
      </c>
      <c r="B1149" s="32" t="s">
        <v>21</v>
      </c>
      <c r="C1149" s="33" t="s">
        <v>21</v>
      </c>
      <c r="D1149" s="35">
        <v>45448</v>
      </c>
      <c r="E1149" s="32">
        <v>201</v>
      </c>
      <c r="F1149" s="32">
        <v>22026189</v>
      </c>
      <c r="G1149" s="32" t="s">
        <v>200</v>
      </c>
      <c r="H1149" s="26" t="s">
        <v>38</v>
      </c>
      <c r="I1149" s="36">
        <v>50</v>
      </c>
      <c r="J1149" s="32">
        <f>IF(MB25_VOLUMETRIA[[#This Row],[Reserva]]="","",1)</f>
        <v>1</v>
      </c>
      <c r="K1149" s="36" t="str">
        <f>IF(MB25_VOLUMETRIA[[#This Row],[Reserva]]="","",IFERROR(VLOOKUP(MB25_VOLUMETRIA[[#This Row],[UMB]],CHAVE[],2,FALSE),"VERIFICAR"))</f>
        <v>Unidade</v>
      </c>
      <c r="L11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49" s="32" t="str">
        <f ca="1">IFERROR(VLOOKUP(MB25_VOLUMETRIA[[#This Row],[Reserva]],RES_AB[],14,FALSE),"")</f>
        <v>PLANO DO DIA</v>
      </c>
      <c r="N1149" s="32" t="str">
        <f>IF(MB25_VOLUMETRIA[[#This Row],[Cen.]]="","",IFERROR(VLOOKUP(MB25_VOLUMETRIA[[#This Row],[Cen.]],Dados_Empresas[],2,FALSE),"Verificar empresa"))</f>
        <v>NET MASSIVO</v>
      </c>
      <c r="O1149" s="32" t="str">
        <f>IF(MB25_VOLUMETRIA[[#This Row],[EMPRESA]]="","",IF(OR(MB25_VOLUMETRIA[[#This Row],[EMPRESA]]="NET MASSIVO",MB25_VOLUMETRIA[[#This Row],[EMPRESA]]="NET PROJETOS"),"NET","EMPRESARIAL"))</f>
        <v>NET</v>
      </c>
    </row>
    <row r="1150" spans="1:15" x14ac:dyDescent="0.25">
      <c r="A1150" s="32">
        <v>4381012</v>
      </c>
      <c r="B1150" s="32" t="s">
        <v>21</v>
      </c>
      <c r="C1150" s="33" t="s">
        <v>21</v>
      </c>
      <c r="D1150" s="35">
        <v>45448</v>
      </c>
      <c r="E1150" s="32">
        <v>201</v>
      </c>
      <c r="F1150" s="32">
        <v>22026809</v>
      </c>
      <c r="G1150" s="32" t="s">
        <v>231</v>
      </c>
      <c r="H1150" s="26" t="s">
        <v>38</v>
      </c>
      <c r="I1150" s="36">
        <v>50</v>
      </c>
      <c r="J1150" s="32">
        <f>IF(MB25_VOLUMETRIA[[#This Row],[Reserva]]="","",1)</f>
        <v>1</v>
      </c>
      <c r="K1150" s="36" t="str">
        <f>IF(MB25_VOLUMETRIA[[#This Row],[Reserva]]="","",IFERROR(VLOOKUP(MB25_VOLUMETRIA[[#This Row],[UMB]],CHAVE[],2,FALSE),"VERIFICAR"))</f>
        <v>Unidade</v>
      </c>
      <c r="L11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0" s="32" t="str">
        <f ca="1">IFERROR(VLOOKUP(MB25_VOLUMETRIA[[#This Row],[Reserva]],RES_AB[],14,FALSE),"")</f>
        <v>PLANO DO DIA</v>
      </c>
      <c r="N1150" s="32" t="str">
        <f>IF(MB25_VOLUMETRIA[[#This Row],[Cen.]]="","",IFERROR(VLOOKUP(MB25_VOLUMETRIA[[#This Row],[Cen.]],Dados_Empresas[],2,FALSE),"Verificar empresa"))</f>
        <v>NET MASSIVO</v>
      </c>
      <c r="O1150" s="32" t="str">
        <f>IF(MB25_VOLUMETRIA[[#This Row],[EMPRESA]]="","",IF(OR(MB25_VOLUMETRIA[[#This Row],[EMPRESA]]="NET MASSIVO",MB25_VOLUMETRIA[[#This Row],[EMPRESA]]="NET PROJETOS"),"NET","EMPRESARIAL"))</f>
        <v>NET</v>
      </c>
    </row>
    <row r="1151" spans="1:15" x14ac:dyDescent="0.25">
      <c r="A1151" s="32">
        <v>4381012</v>
      </c>
      <c r="B1151" s="32" t="s">
        <v>21</v>
      </c>
      <c r="C1151" s="33" t="s">
        <v>21</v>
      </c>
      <c r="D1151" s="35">
        <v>45448</v>
      </c>
      <c r="E1151" s="32">
        <v>201</v>
      </c>
      <c r="F1151" s="32">
        <v>22026758</v>
      </c>
      <c r="G1151" s="32" t="s">
        <v>360</v>
      </c>
      <c r="H1151" s="26" t="s">
        <v>38</v>
      </c>
      <c r="I1151" s="36">
        <v>5</v>
      </c>
      <c r="J1151" s="32">
        <f>IF(MB25_VOLUMETRIA[[#This Row],[Reserva]]="","",1)</f>
        <v>1</v>
      </c>
      <c r="K1151" s="36" t="str">
        <f>IF(MB25_VOLUMETRIA[[#This Row],[Reserva]]="","",IFERROR(VLOOKUP(MB25_VOLUMETRIA[[#This Row],[UMB]],CHAVE[],2,FALSE),"VERIFICAR"))</f>
        <v>Unidade</v>
      </c>
      <c r="L11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1" s="32" t="str">
        <f ca="1">IFERROR(VLOOKUP(MB25_VOLUMETRIA[[#This Row],[Reserva]],RES_AB[],14,FALSE),"")</f>
        <v>PLANO DO DIA</v>
      </c>
      <c r="N1151" s="32" t="str">
        <f>IF(MB25_VOLUMETRIA[[#This Row],[Cen.]]="","",IFERROR(VLOOKUP(MB25_VOLUMETRIA[[#This Row],[Cen.]],Dados_Empresas[],2,FALSE),"Verificar empresa"))</f>
        <v>NET MASSIVO</v>
      </c>
      <c r="O1151" s="32" t="str">
        <f>IF(MB25_VOLUMETRIA[[#This Row],[EMPRESA]]="","",IF(OR(MB25_VOLUMETRIA[[#This Row],[EMPRESA]]="NET MASSIVO",MB25_VOLUMETRIA[[#This Row],[EMPRESA]]="NET PROJETOS"),"NET","EMPRESARIAL"))</f>
        <v>NET</v>
      </c>
    </row>
    <row r="1152" spans="1:15" x14ac:dyDescent="0.25">
      <c r="A1152" s="32">
        <v>4381015</v>
      </c>
      <c r="B1152" s="32" t="s">
        <v>21</v>
      </c>
      <c r="C1152" s="33" t="s">
        <v>21</v>
      </c>
      <c r="D1152" s="35">
        <v>45448</v>
      </c>
      <c r="E1152" s="32">
        <v>201</v>
      </c>
      <c r="F1152" s="32">
        <v>22026223</v>
      </c>
      <c r="G1152" s="32" t="s">
        <v>195</v>
      </c>
      <c r="H1152" s="26" t="s">
        <v>38</v>
      </c>
      <c r="I1152" s="36">
        <v>305</v>
      </c>
      <c r="J1152" s="32">
        <f>IF(MB25_VOLUMETRIA[[#This Row],[Reserva]]="","",1)</f>
        <v>1</v>
      </c>
      <c r="K1152" s="36" t="str">
        <f>IF(MB25_VOLUMETRIA[[#This Row],[Reserva]]="","",IFERROR(VLOOKUP(MB25_VOLUMETRIA[[#This Row],[UMB]],CHAVE[],2,FALSE),"VERIFICAR"))</f>
        <v>Unidade</v>
      </c>
      <c r="L11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2" s="32" t="str">
        <f ca="1">IFERROR(VLOOKUP(MB25_VOLUMETRIA[[#This Row],[Reserva]],RES_AB[],14,FALSE),"")</f>
        <v>PLANO DO DIA</v>
      </c>
      <c r="N1152" s="32" t="str">
        <f>IF(MB25_VOLUMETRIA[[#This Row],[Cen.]]="","",IFERROR(VLOOKUP(MB25_VOLUMETRIA[[#This Row],[Cen.]],Dados_Empresas[],2,FALSE),"Verificar empresa"))</f>
        <v>NET MASSIVO</v>
      </c>
      <c r="O1152" s="32" t="str">
        <f>IF(MB25_VOLUMETRIA[[#This Row],[EMPRESA]]="","",IF(OR(MB25_VOLUMETRIA[[#This Row],[EMPRESA]]="NET MASSIVO",MB25_VOLUMETRIA[[#This Row],[EMPRESA]]="NET PROJETOS"),"NET","EMPRESARIAL"))</f>
        <v>NET</v>
      </c>
    </row>
    <row r="1153" spans="1:15" x14ac:dyDescent="0.25">
      <c r="A1153" s="32">
        <v>4381015</v>
      </c>
      <c r="B1153" s="32" t="s">
        <v>21</v>
      </c>
      <c r="C1153" s="33" t="s">
        <v>21</v>
      </c>
      <c r="D1153" s="35">
        <v>45448</v>
      </c>
      <c r="E1153" s="32">
        <v>201</v>
      </c>
      <c r="F1153" s="32">
        <v>22026189</v>
      </c>
      <c r="G1153" s="32" t="s">
        <v>200</v>
      </c>
      <c r="H1153" s="26" t="s">
        <v>38</v>
      </c>
      <c r="I1153" s="36">
        <v>100</v>
      </c>
      <c r="J1153" s="32">
        <f>IF(MB25_VOLUMETRIA[[#This Row],[Reserva]]="","",1)</f>
        <v>1</v>
      </c>
      <c r="K1153" s="36" t="str">
        <f>IF(MB25_VOLUMETRIA[[#This Row],[Reserva]]="","",IFERROR(VLOOKUP(MB25_VOLUMETRIA[[#This Row],[UMB]],CHAVE[],2,FALSE),"VERIFICAR"))</f>
        <v>Unidade</v>
      </c>
      <c r="L11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3" s="32" t="str">
        <f ca="1">IFERROR(VLOOKUP(MB25_VOLUMETRIA[[#This Row],[Reserva]],RES_AB[],14,FALSE),"")</f>
        <v>PLANO DO DIA</v>
      </c>
      <c r="N1153" s="32" t="str">
        <f>IF(MB25_VOLUMETRIA[[#This Row],[Cen.]]="","",IFERROR(VLOOKUP(MB25_VOLUMETRIA[[#This Row],[Cen.]],Dados_Empresas[],2,FALSE),"Verificar empresa"))</f>
        <v>NET MASSIVO</v>
      </c>
      <c r="O1153" s="32" t="str">
        <f>IF(MB25_VOLUMETRIA[[#This Row],[EMPRESA]]="","",IF(OR(MB25_VOLUMETRIA[[#This Row],[EMPRESA]]="NET MASSIVO",MB25_VOLUMETRIA[[#This Row],[EMPRESA]]="NET PROJETOS"),"NET","EMPRESARIAL"))</f>
        <v>NET</v>
      </c>
    </row>
    <row r="1154" spans="1:15" x14ac:dyDescent="0.25">
      <c r="A1154" s="32">
        <v>4381019</v>
      </c>
      <c r="B1154" s="32" t="s">
        <v>21</v>
      </c>
      <c r="C1154" s="33" t="s">
        <v>21</v>
      </c>
      <c r="D1154" s="35">
        <v>45448</v>
      </c>
      <c r="E1154" s="32">
        <v>201</v>
      </c>
      <c r="F1154" s="32">
        <v>252792</v>
      </c>
      <c r="G1154" s="32" t="s">
        <v>278</v>
      </c>
      <c r="H1154" s="26" t="s">
        <v>38</v>
      </c>
      <c r="I1154" s="36">
        <v>6</v>
      </c>
      <c r="J1154" s="32">
        <f>IF(MB25_VOLUMETRIA[[#This Row],[Reserva]]="","",1)</f>
        <v>1</v>
      </c>
      <c r="K1154" s="36" t="str">
        <f>IF(MB25_VOLUMETRIA[[#This Row],[Reserva]]="","",IFERROR(VLOOKUP(MB25_VOLUMETRIA[[#This Row],[UMB]],CHAVE[],2,FALSE),"VERIFICAR"))</f>
        <v>Unidade</v>
      </c>
      <c r="L11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4" s="32" t="str">
        <f ca="1">IFERROR(VLOOKUP(MB25_VOLUMETRIA[[#This Row],[Reserva]],RES_AB[],14,FALSE),"")</f>
        <v>PLANO DO DIA</v>
      </c>
      <c r="N1154" s="32" t="str">
        <f>IF(MB25_VOLUMETRIA[[#This Row],[Cen.]]="","",IFERROR(VLOOKUP(MB25_VOLUMETRIA[[#This Row],[Cen.]],Dados_Empresas[],2,FALSE),"Verificar empresa"))</f>
        <v>NET MASSIVO</v>
      </c>
      <c r="O1154" s="32" t="str">
        <f>IF(MB25_VOLUMETRIA[[#This Row],[EMPRESA]]="","",IF(OR(MB25_VOLUMETRIA[[#This Row],[EMPRESA]]="NET MASSIVO",MB25_VOLUMETRIA[[#This Row],[EMPRESA]]="NET PROJETOS"),"NET","EMPRESARIAL"))</f>
        <v>NET</v>
      </c>
    </row>
    <row r="1155" spans="1:15" x14ac:dyDescent="0.25">
      <c r="A1155" s="32">
        <v>4381019</v>
      </c>
      <c r="B1155" s="32" t="s">
        <v>21</v>
      </c>
      <c r="C1155" s="33" t="s">
        <v>21</v>
      </c>
      <c r="D1155" s="35">
        <v>45448</v>
      </c>
      <c r="E1155" s="32">
        <v>201</v>
      </c>
      <c r="F1155" s="32">
        <v>253655</v>
      </c>
      <c r="G1155" s="32" t="s">
        <v>303</v>
      </c>
      <c r="H1155" s="26" t="s">
        <v>38</v>
      </c>
      <c r="I1155" s="36">
        <v>1500</v>
      </c>
      <c r="J1155" s="32">
        <f>IF(MB25_VOLUMETRIA[[#This Row],[Reserva]]="","",1)</f>
        <v>1</v>
      </c>
      <c r="K1155" s="36" t="str">
        <f>IF(MB25_VOLUMETRIA[[#This Row],[Reserva]]="","",IFERROR(VLOOKUP(MB25_VOLUMETRIA[[#This Row],[UMB]],CHAVE[],2,FALSE),"VERIFICAR"))</f>
        <v>Unidade</v>
      </c>
      <c r="L11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5" s="32" t="str">
        <f ca="1">IFERROR(VLOOKUP(MB25_VOLUMETRIA[[#This Row],[Reserva]],RES_AB[],14,FALSE),"")</f>
        <v>PLANO DO DIA</v>
      </c>
      <c r="N1155" s="32" t="str">
        <f>IF(MB25_VOLUMETRIA[[#This Row],[Cen.]]="","",IFERROR(VLOOKUP(MB25_VOLUMETRIA[[#This Row],[Cen.]],Dados_Empresas[],2,FALSE),"Verificar empresa"))</f>
        <v>NET MASSIVO</v>
      </c>
      <c r="O1155" s="32" t="str">
        <f>IF(MB25_VOLUMETRIA[[#This Row],[EMPRESA]]="","",IF(OR(MB25_VOLUMETRIA[[#This Row],[EMPRESA]]="NET MASSIVO",MB25_VOLUMETRIA[[#This Row],[EMPRESA]]="NET PROJETOS"),"NET","EMPRESARIAL"))</f>
        <v>NET</v>
      </c>
    </row>
    <row r="1156" spans="1:15" x14ac:dyDescent="0.25">
      <c r="A1156" s="32">
        <v>4381019</v>
      </c>
      <c r="B1156" s="32" t="s">
        <v>21</v>
      </c>
      <c r="C1156" s="33" t="s">
        <v>21</v>
      </c>
      <c r="D1156" s="35">
        <v>45448</v>
      </c>
      <c r="E1156" s="32">
        <v>201</v>
      </c>
      <c r="F1156" s="32">
        <v>252166</v>
      </c>
      <c r="G1156" s="32" t="s">
        <v>276</v>
      </c>
      <c r="H1156" s="26" t="s">
        <v>38</v>
      </c>
      <c r="I1156" s="36">
        <v>750</v>
      </c>
      <c r="J1156" s="32">
        <f>IF(MB25_VOLUMETRIA[[#This Row],[Reserva]]="","",1)</f>
        <v>1</v>
      </c>
      <c r="K1156" s="36" t="str">
        <f>IF(MB25_VOLUMETRIA[[#This Row],[Reserva]]="","",IFERROR(VLOOKUP(MB25_VOLUMETRIA[[#This Row],[UMB]],CHAVE[],2,FALSE),"VERIFICAR"))</f>
        <v>Unidade</v>
      </c>
      <c r="L11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6" s="32" t="str">
        <f ca="1">IFERROR(VLOOKUP(MB25_VOLUMETRIA[[#This Row],[Reserva]],RES_AB[],14,FALSE),"")</f>
        <v>PLANO DO DIA</v>
      </c>
      <c r="N1156" s="32" t="str">
        <f>IF(MB25_VOLUMETRIA[[#This Row],[Cen.]]="","",IFERROR(VLOOKUP(MB25_VOLUMETRIA[[#This Row],[Cen.]],Dados_Empresas[],2,FALSE),"Verificar empresa"))</f>
        <v>NET MASSIVO</v>
      </c>
      <c r="O1156" s="32" t="str">
        <f>IF(MB25_VOLUMETRIA[[#This Row],[EMPRESA]]="","",IF(OR(MB25_VOLUMETRIA[[#This Row],[EMPRESA]]="NET MASSIVO",MB25_VOLUMETRIA[[#This Row],[EMPRESA]]="NET PROJETOS"),"NET","EMPRESARIAL"))</f>
        <v>NET</v>
      </c>
    </row>
    <row r="1157" spans="1:15" x14ac:dyDescent="0.25">
      <c r="A1157" s="32">
        <v>4381019</v>
      </c>
      <c r="B1157" s="32" t="s">
        <v>21</v>
      </c>
      <c r="C1157" s="33" t="s">
        <v>21</v>
      </c>
      <c r="D1157" s="35">
        <v>45448</v>
      </c>
      <c r="E1157" s="32">
        <v>201</v>
      </c>
      <c r="F1157" s="32">
        <v>251879</v>
      </c>
      <c r="G1157" s="32" t="s">
        <v>263</v>
      </c>
      <c r="H1157" s="26" t="s">
        <v>38</v>
      </c>
      <c r="I1157" s="36">
        <v>200</v>
      </c>
      <c r="J1157" s="32">
        <f>IF(MB25_VOLUMETRIA[[#This Row],[Reserva]]="","",1)</f>
        <v>1</v>
      </c>
      <c r="K1157" s="36" t="str">
        <f>IF(MB25_VOLUMETRIA[[#This Row],[Reserva]]="","",IFERROR(VLOOKUP(MB25_VOLUMETRIA[[#This Row],[UMB]],CHAVE[],2,FALSE),"VERIFICAR"))</f>
        <v>Unidade</v>
      </c>
      <c r="L11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7" s="32" t="str">
        <f ca="1">IFERROR(VLOOKUP(MB25_VOLUMETRIA[[#This Row],[Reserva]],RES_AB[],14,FALSE),"")</f>
        <v>PLANO DO DIA</v>
      </c>
      <c r="N1157" s="32" t="str">
        <f>IF(MB25_VOLUMETRIA[[#This Row],[Cen.]]="","",IFERROR(VLOOKUP(MB25_VOLUMETRIA[[#This Row],[Cen.]],Dados_Empresas[],2,FALSE),"Verificar empresa"))</f>
        <v>NET MASSIVO</v>
      </c>
      <c r="O1157" s="32" t="str">
        <f>IF(MB25_VOLUMETRIA[[#This Row],[EMPRESA]]="","",IF(OR(MB25_VOLUMETRIA[[#This Row],[EMPRESA]]="NET MASSIVO",MB25_VOLUMETRIA[[#This Row],[EMPRESA]]="NET PROJETOS"),"NET","EMPRESARIAL"))</f>
        <v>NET</v>
      </c>
    </row>
    <row r="1158" spans="1:15" x14ac:dyDescent="0.25">
      <c r="A1158" s="32">
        <v>4381188</v>
      </c>
      <c r="B1158" s="32" t="s">
        <v>21</v>
      </c>
      <c r="C1158" s="33" t="s">
        <v>21</v>
      </c>
      <c r="D1158" s="35">
        <v>45448</v>
      </c>
      <c r="E1158" s="32">
        <v>201</v>
      </c>
      <c r="F1158" s="32">
        <v>254011</v>
      </c>
      <c r="G1158" s="32" t="s">
        <v>287</v>
      </c>
      <c r="H1158" s="26" t="s">
        <v>38</v>
      </c>
      <c r="I1158" s="36">
        <v>40</v>
      </c>
      <c r="J1158" s="32">
        <f>IF(MB25_VOLUMETRIA[[#This Row],[Reserva]]="","",1)</f>
        <v>1</v>
      </c>
      <c r="K1158" s="36" t="str">
        <f>IF(MB25_VOLUMETRIA[[#This Row],[Reserva]]="","",IFERROR(VLOOKUP(MB25_VOLUMETRIA[[#This Row],[UMB]],CHAVE[],2,FALSE),"VERIFICAR"))</f>
        <v>Unidade</v>
      </c>
      <c r="L11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8" s="32" t="str">
        <f ca="1">IFERROR(VLOOKUP(MB25_VOLUMETRIA[[#This Row],[Reserva]],RES_AB[],14,FALSE),"")</f>
        <v>PLANO DO DIA</v>
      </c>
      <c r="N1158" s="32" t="str">
        <f>IF(MB25_VOLUMETRIA[[#This Row],[Cen.]]="","",IFERROR(VLOOKUP(MB25_VOLUMETRIA[[#This Row],[Cen.]],Dados_Empresas[],2,FALSE),"Verificar empresa"))</f>
        <v>NET MASSIVO</v>
      </c>
      <c r="O1158" s="32" t="str">
        <f>IF(MB25_VOLUMETRIA[[#This Row],[EMPRESA]]="","",IF(OR(MB25_VOLUMETRIA[[#This Row],[EMPRESA]]="NET MASSIVO",MB25_VOLUMETRIA[[#This Row],[EMPRESA]]="NET PROJETOS"),"NET","EMPRESARIAL"))</f>
        <v>NET</v>
      </c>
    </row>
    <row r="1159" spans="1:15" x14ac:dyDescent="0.25">
      <c r="A1159" s="32">
        <v>4381188</v>
      </c>
      <c r="B1159" s="32" t="s">
        <v>21</v>
      </c>
      <c r="C1159" s="33" t="s">
        <v>21</v>
      </c>
      <c r="D1159" s="35">
        <v>45448</v>
      </c>
      <c r="E1159" s="32">
        <v>201</v>
      </c>
      <c r="F1159" s="32">
        <v>253994</v>
      </c>
      <c r="G1159" s="32" t="s">
        <v>275</v>
      </c>
      <c r="H1159" s="26" t="s">
        <v>38</v>
      </c>
      <c r="I1159" s="36">
        <v>20</v>
      </c>
      <c r="J1159" s="32">
        <f>IF(MB25_VOLUMETRIA[[#This Row],[Reserva]]="","",1)</f>
        <v>1</v>
      </c>
      <c r="K1159" s="36" t="str">
        <f>IF(MB25_VOLUMETRIA[[#This Row],[Reserva]]="","",IFERROR(VLOOKUP(MB25_VOLUMETRIA[[#This Row],[UMB]],CHAVE[],2,FALSE),"VERIFICAR"))</f>
        <v>Unidade</v>
      </c>
      <c r="L11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59" s="32" t="str">
        <f ca="1">IFERROR(VLOOKUP(MB25_VOLUMETRIA[[#This Row],[Reserva]],RES_AB[],14,FALSE),"")</f>
        <v>PLANO DO DIA</v>
      </c>
      <c r="N1159" s="32" t="str">
        <f>IF(MB25_VOLUMETRIA[[#This Row],[Cen.]]="","",IFERROR(VLOOKUP(MB25_VOLUMETRIA[[#This Row],[Cen.]],Dados_Empresas[],2,FALSE),"Verificar empresa"))</f>
        <v>NET MASSIVO</v>
      </c>
      <c r="O1159" s="32" t="str">
        <f>IF(MB25_VOLUMETRIA[[#This Row],[EMPRESA]]="","",IF(OR(MB25_VOLUMETRIA[[#This Row],[EMPRESA]]="NET MASSIVO",MB25_VOLUMETRIA[[#This Row],[EMPRESA]]="NET PROJETOS"),"NET","EMPRESARIAL"))</f>
        <v>NET</v>
      </c>
    </row>
    <row r="1160" spans="1:15" x14ac:dyDescent="0.25">
      <c r="A1160" s="32">
        <v>4381188</v>
      </c>
      <c r="B1160" s="32" t="s">
        <v>21</v>
      </c>
      <c r="C1160" s="33" t="s">
        <v>21</v>
      </c>
      <c r="D1160" s="35">
        <v>45448</v>
      </c>
      <c r="E1160" s="32">
        <v>201</v>
      </c>
      <c r="F1160" s="32">
        <v>253995</v>
      </c>
      <c r="G1160" s="32" t="s">
        <v>286</v>
      </c>
      <c r="H1160" s="26" t="s">
        <v>38</v>
      </c>
      <c r="I1160" s="36">
        <v>20</v>
      </c>
      <c r="J1160" s="32">
        <f>IF(MB25_VOLUMETRIA[[#This Row],[Reserva]]="","",1)</f>
        <v>1</v>
      </c>
      <c r="K1160" s="36" t="str">
        <f>IF(MB25_VOLUMETRIA[[#This Row],[Reserva]]="","",IFERROR(VLOOKUP(MB25_VOLUMETRIA[[#This Row],[UMB]],CHAVE[],2,FALSE),"VERIFICAR"))</f>
        <v>Unidade</v>
      </c>
      <c r="L11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0" s="32" t="str">
        <f ca="1">IFERROR(VLOOKUP(MB25_VOLUMETRIA[[#This Row],[Reserva]],RES_AB[],14,FALSE),"")</f>
        <v>PLANO DO DIA</v>
      </c>
      <c r="N1160" s="32" t="str">
        <f>IF(MB25_VOLUMETRIA[[#This Row],[Cen.]]="","",IFERROR(VLOOKUP(MB25_VOLUMETRIA[[#This Row],[Cen.]],Dados_Empresas[],2,FALSE),"Verificar empresa"))</f>
        <v>NET MASSIVO</v>
      </c>
      <c r="O1160" s="32" t="str">
        <f>IF(MB25_VOLUMETRIA[[#This Row],[EMPRESA]]="","",IF(OR(MB25_VOLUMETRIA[[#This Row],[EMPRESA]]="NET MASSIVO",MB25_VOLUMETRIA[[#This Row],[EMPRESA]]="NET PROJETOS"),"NET","EMPRESARIAL"))</f>
        <v>NET</v>
      </c>
    </row>
    <row r="1161" spans="1:15" x14ac:dyDescent="0.25">
      <c r="A1161" s="32">
        <v>4381188</v>
      </c>
      <c r="B1161" s="32" t="s">
        <v>21</v>
      </c>
      <c r="C1161" s="33" t="s">
        <v>21</v>
      </c>
      <c r="D1161" s="35">
        <v>45448</v>
      </c>
      <c r="E1161" s="32">
        <v>201</v>
      </c>
      <c r="F1161" s="32">
        <v>254014</v>
      </c>
      <c r="G1161" s="32" t="s">
        <v>288</v>
      </c>
      <c r="H1161" s="26" t="s">
        <v>38</v>
      </c>
      <c r="I1161" s="36">
        <v>500</v>
      </c>
      <c r="J1161" s="32">
        <f>IF(MB25_VOLUMETRIA[[#This Row],[Reserva]]="","",1)</f>
        <v>1</v>
      </c>
      <c r="K1161" s="36" t="str">
        <f>IF(MB25_VOLUMETRIA[[#This Row],[Reserva]]="","",IFERROR(VLOOKUP(MB25_VOLUMETRIA[[#This Row],[UMB]],CHAVE[],2,FALSE),"VERIFICAR"))</f>
        <v>Unidade</v>
      </c>
      <c r="L11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1" s="32" t="str">
        <f ca="1">IFERROR(VLOOKUP(MB25_VOLUMETRIA[[#This Row],[Reserva]],RES_AB[],14,FALSE),"")</f>
        <v>PLANO DO DIA</v>
      </c>
      <c r="N1161" s="32" t="str">
        <f>IF(MB25_VOLUMETRIA[[#This Row],[Cen.]]="","",IFERROR(VLOOKUP(MB25_VOLUMETRIA[[#This Row],[Cen.]],Dados_Empresas[],2,FALSE),"Verificar empresa"))</f>
        <v>NET MASSIVO</v>
      </c>
      <c r="O1161" s="32" t="str">
        <f>IF(MB25_VOLUMETRIA[[#This Row],[EMPRESA]]="","",IF(OR(MB25_VOLUMETRIA[[#This Row],[EMPRESA]]="NET MASSIVO",MB25_VOLUMETRIA[[#This Row],[EMPRESA]]="NET PROJETOS"),"NET","EMPRESARIAL"))</f>
        <v>NET</v>
      </c>
    </row>
    <row r="1162" spans="1:15" x14ac:dyDescent="0.25">
      <c r="A1162" s="32">
        <v>4381188</v>
      </c>
      <c r="B1162" s="32" t="s">
        <v>21</v>
      </c>
      <c r="C1162" s="33" t="s">
        <v>21</v>
      </c>
      <c r="D1162" s="35">
        <v>45448</v>
      </c>
      <c r="E1162" s="32">
        <v>201</v>
      </c>
      <c r="F1162" s="32">
        <v>253993</v>
      </c>
      <c r="G1162" s="32" t="s">
        <v>378</v>
      </c>
      <c r="H1162" s="26" t="s">
        <v>38</v>
      </c>
      <c r="I1162" s="36">
        <v>20</v>
      </c>
      <c r="J1162" s="32">
        <f>IF(MB25_VOLUMETRIA[[#This Row],[Reserva]]="","",1)</f>
        <v>1</v>
      </c>
      <c r="K1162" s="36" t="str">
        <f>IF(MB25_VOLUMETRIA[[#This Row],[Reserva]]="","",IFERROR(VLOOKUP(MB25_VOLUMETRIA[[#This Row],[UMB]],CHAVE[],2,FALSE),"VERIFICAR"))</f>
        <v>Unidade</v>
      </c>
      <c r="L11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2" s="32" t="str">
        <f ca="1">IFERROR(VLOOKUP(MB25_VOLUMETRIA[[#This Row],[Reserva]],RES_AB[],14,FALSE),"")</f>
        <v>PLANO DO DIA</v>
      </c>
      <c r="N1162" s="32" t="str">
        <f>IF(MB25_VOLUMETRIA[[#This Row],[Cen.]]="","",IFERROR(VLOOKUP(MB25_VOLUMETRIA[[#This Row],[Cen.]],Dados_Empresas[],2,FALSE),"Verificar empresa"))</f>
        <v>NET MASSIVO</v>
      </c>
      <c r="O1162" s="32" t="str">
        <f>IF(MB25_VOLUMETRIA[[#This Row],[EMPRESA]]="","",IF(OR(MB25_VOLUMETRIA[[#This Row],[EMPRESA]]="NET MASSIVO",MB25_VOLUMETRIA[[#This Row],[EMPRESA]]="NET PROJETOS"),"NET","EMPRESARIAL"))</f>
        <v>NET</v>
      </c>
    </row>
    <row r="1163" spans="1:15" x14ac:dyDescent="0.25">
      <c r="A1163" s="32">
        <v>4381190</v>
      </c>
      <c r="B1163" s="32" t="s">
        <v>21</v>
      </c>
      <c r="C1163" s="33" t="s">
        <v>21</v>
      </c>
      <c r="D1163" s="35">
        <v>45448</v>
      </c>
      <c r="E1163" s="32">
        <v>201</v>
      </c>
      <c r="F1163" s="32">
        <v>251879</v>
      </c>
      <c r="G1163" s="32" t="s">
        <v>263</v>
      </c>
      <c r="H1163" s="26" t="s">
        <v>38</v>
      </c>
      <c r="I1163" s="36">
        <v>5</v>
      </c>
      <c r="J1163" s="32">
        <f>IF(MB25_VOLUMETRIA[[#This Row],[Reserva]]="","",1)</f>
        <v>1</v>
      </c>
      <c r="K1163" s="36" t="str">
        <f>IF(MB25_VOLUMETRIA[[#This Row],[Reserva]]="","",IFERROR(VLOOKUP(MB25_VOLUMETRIA[[#This Row],[UMB]],CHAVE[],2,FALSE),"VERIFICAR"))</f>
        <v>Unidade</v>
      </c>
      <c r="L11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3" s="32" t="str">
        <f ca="1">IFERROR(VLOOKUP(MB25_VOLUMETRIA[[#This Row],[Reserva]],RES_AB[],14,FALSE),"")</f>
        <v>PLANO DO DIA</v>
      </c>
      <c r="N1163" s="32" t="str">
        <f>IF(MB25_VOLUMETRIA[[#This Row],[Cen.]]="","",IFERROR(VLOOKUP(MB25_VOLUMETRIA[[#This Row],[Cen.]],Dados_Empresas[],2,FALSE),"Verificar empresa"))</f>
        <v>NET MASSIVO</v>
      </c>
      <c r="O1163" s="32" t="str">
        <f>IF(MB25_VOLUMETRIA[[#This Row],[EMPRESA]]="","",IF(OR(MB25_VOLUMETRIA[[#This Row],[EMPRESA]]="NET MASSIVO",MB25_VOLUMETRIA[[#This Row],[EMPRESA]]="NET PROJETOS"),"NET","EMPRESARIAL"))</f>
        <v>NET</v>
      </c>
    </row>
    <row r="1164" spans="1:15" x14ac:dyDescent="0.25">
      <c r="A1164" s="32">
        <v>4381190</v>
      </c>
      <c r="B1164" s="32" t="s">
        <v>21</v>
      </c>
      <c r="C1164" s="33" t="s">
        <v>21</v>
      </c>
      <c r="D1164" s="35">
        <v>45448</v>
      </c>
      <c r="E1164" s="32">
        <v>201</v>
      </c>
      <c r="F1164" s="32">
        <v>254380</v>
      </c>
      <c r="G1164" s="32" t="s">
        <v>379</v>
      </c>
      <c r="H1164" s="26" t="s">
        <v>38</v>
      </c>
      <c r="I1164" s="36">
        <v>2</v>
      </c>
      <c r="J1164" s="32">
        <f>IF(MB25_VOLUMETRIA[[#This Row],[Reserva]]="","",1)</f>
        <v>1</v>
      </c>
      <c r="K1164" s="36" t="str">
        <f>IF(MB25_VOLUMETRIA[[#This Row],[Reserva]]="","",IFERROR(VLOOKUP(MB25_VOLUMETRIA[[#This Row],[UMB]],CHAVE[],2,FALSE),"VERIFICAR"))</f>
        <v>Unidade</v>
      </c>
      <c r="L11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4" s="32" t="str">
        <f ca="1">IFERROR(VLOOKUP(MB25_VOLUMETRIA[[#This Row],[Reserva]],RES_AB[],14,FALSE),"")</f>
        <v>PLANO DO DIA</v>
      </c>
      <c r="N1164" s="32" t="str">
        <f>IF(MB25_VOLUMETRIA[[#This Row],[Cen.]]="","",IFERROR(VLOOKUP(MB25_VOLUMETRIA[[#This Row],[Cen.]],Dados_Empresas[],2,FALSE),"Verificar empresa"))</f>
        <v>NET MASSIVO</v>
      </c>
      <c r="O1164" s="32" t="str">
        <f>IF(MB25_VOLUMETRIA[[#This Row],[EMPRESA]]="","",IF(OR(MB25_VOLUMETRIA[[#This Row],[EMPRESA]]="NET MASSIVO",MB25_VOLUMETRIA[[#This Row],[EMPRESA]]="NET PROJETOS"),"NET","EMPRESARIAL"))</f>
        <v>NET</v>
      </c>
    </row>
    <row r="1165" spans="1:15" x14ac:dyDescent="0.25">
      <c r="A1165" s="32">
        <v>4381192</v>
      </c>
      <c r="B1165" s="32" t="s">
        <v>21</v>
      </c>
      <c r="C1165" s="33" t="s">
        <v>21</v>
      </c>
      <c r="D1165" s="35">
        <v>45448</v>
      </c>
      <c r="E1165" s="32">
        <v>201</v>
      </c>
      <c r="F1165" s="32">
        <v>251879</v>
      </c>
      <c r="G1165" s="32" t="s">
        <v>263</v>
      </c>
      <c r="H1165" s="26" t="s">
        <v>38</v>
      </c>
      <c r="I1165" s="36">
        <v>5</v>
      </c>
      <c r="J1165" s="32">
        <f>IF(MB25_VOLUMETRIA[[#This Row],[Reserva]]="","",1)</f>
        <v>1</v>
      </c>
      <c r="K1165" s="36" t="str">
        <f>IF(MB25_VOLUMETRIA[[#This Row],[Reserva]]="","",IFERROR(VLOOKUP(MB25_VOLUMETRIA[[#This Row],[UMB]],CHAVE[],2,FALSE),"VERIFICAR"))</f>
        <v>Unidade</v>
      </c>
      <c r="L11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5" s="32" t="str">
        <f ca="1">IFERROR(VLOOKUP(MB25_VOLUMETRIA[[#This Row],[Reserva]],RES_AB[],14,FALSE),"")</f>
        <v>PLANO DO DIA</v>
      </c>
      <c r="N1165" s="32" t="str">
        <f>IF(MB25_VOLUMETRIA[[#This Row],[Cen.]]="","",IFERROR(VLOOKUP(MB25_VOLUMETRIA[[#This Row],[Cen.]],Dados_Empresas[],2,FALSE),"Verificar empresa"))</f>
        <v>NET MASSIVO</v>
      </c>
      <c r="O1165" s="32" t="str">
        <f>IF(MB25_VOLUMETRIA[[#This Row],[EMPRESA]]="","",IF(OR(MB25_VOLUMETRIA[[#This Row],[EMPRESA]]="NET MASSIVO",MB25_VOLUMETRIA[[#This Row],[EMPRESA]]="NET PROJETOS"),"NET","EMPRESARIAL"))</f>
        <v>NET</v>
      </c>
    </row>
    <row r="1166" spans="1:15" x14ac:dyDescent="0.25">
      <c r="A1166" s="32">
        <v>4381192</v>
      </c>
      <c r="B1166" s="32" t="s">
        <v>21</v>
      </c>
      <c r="C1166" s="33" t="s">
        <v>21</v>
      </c>
      <c r="D1166" s="35">
        <v>45448</v>
      </c>
      <c r="E1166" s="32">
        <v>201</v>
      </c>
      <c r="F1166" s="32">
        <v>254380</v>
      </c>
      <c r="G1166" s="32" t="s">
        <v>379</v>
      </c>
      <c r="H1166" s="26" t="s">
        <v>38</v>
      </c>
      <c r="I1166" s="36">
        <v>2</v>
      </c>
      <c r="J1166" s="32">
        <f>IF(MB25_VOLUMETRIA[[#This Row],[Reserva]]="","",1)</f>
        <v>1</v>
      </c>
      <c r="K1166" s="36" t="str">
        <f>IF(MB25_VOLUMETRIA[[#This Row],[Reserva]]="","",IFERROR(VLOOKUP(MB25_VOLUMETRIA[[#This Row],[UMB]],CHAVE[],2,FALSE),"VERIFICAR"))</f>
        <v>Unidade</v>
      </c>
      <c r="L11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6" s="32" t="str">
        <f ca="1">IFERROR(VLOOKUP(MB25_VOLUMETRIA[[#This Row],[Reserva]],RES_AB[],14,FALSE),"")</f>
        <v>PLANO DO DIA</v>
      </c>
      <c r="N1166" s="32" t="str">
        <f>IF(MB25_VOLUMETRIA[[#This Row],[Cen.]]="","",IFERROR(VLOOKUP(MB25_VOLUMETRIA[[#This Row],[Cen.]],Dados_Empresas[],2,FALSE),"Verificar empresa"))</f>
        <v>NET MASSIVO</v>
      </c>
      <c r="O1166" s="32" t="str">
        <f>IF(MB25_VOLUMETRIA[[#This Row],[EMPRESA]]="","",IF(OR(MB25_VOLUMETRIA[[#This Row],[EMPRESA]]="NET MASSIVO",MB25_VOLUMETRIA[[#This Row],[EMPRESA]]="NET PROJETOS"),"NET","EMPRESARIAL"))</f>
        <v>NET</v>
      </c>
    </row>
    <row r="1167" spans="1:15" x14ac:dyDescent="0.25">
      <c r="A1167" s="32">
        <v>4381195</v>
      </c>
      <c r="B1167" s="32" t="s">
        <v>21</v>
      </c>
      <c r="C1167" s="33" t="s">
        <v>21</v>
      </c>
      <c r="D1167" s="35">
        <v>45448</v>
      </c>
      <c r="E1167" s="32">
        <v>201</v>
      </c>
      <c r="F1167" s="32">
        <v>254380</v>
      </c>
      <c r="G1167" s="32" t="s">
        <v>379</v>
      </c>
      <c r="H1167" s="26" t="s">
        <v>38</v>
      </c>
      <c r="I1167" s="36">
        <v>5</v>
      </c>
      <c r="J1167" s="32">
        <f>IF(MB25_VOLUMETRIA[[#This Row],[Reserva]]="","",1)</f>
        <v>1</v>
      </c>
      <c r="K1167" s="36" t="str">
        <f>IF(MB25_VOLUMETRIA[[#This Row],[Reserva]]="","",IFERROR(VLOOKUP(MB25_VOLUMETRIA[[#This Row],[UMB]],CHAVE[],2,FALSE),"VERIFICAR"))</f>
        <v>Unidade</v>
      </c>
      <c r="L11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7" s="32" t="str">
        <f ca="1">IFERROR(VLOOKUP(MB25_VOLUMETRIA[[#This Row],[Reserva]],RES_AB[],14,FALSE),"")</f>
        <v>PLANO DO DIA</v>
      </c>
      <c r="N1167" s="32" t="str">
        <f>IF(MB25_VOLUMETRIA[[#This Row],[Cen.]]="","",IFERROR(VLOOKUP(MB25_VOLUMETRIA[[#This Row],[Cen.]],Dados_Empresas[],2,FALSE),"Verificar empresa"))</f>
        <v>NET MASSIVO</v>
      </c>
      <c r="O1167" s="32" t="str">
        <f>IF(MB25_VOLUMETRIA[[#This Row],[EMPRESA]]="","",IF(OR(MB25_VOLUMETRIA[[#This Row],[EMPRESA]]="NET MASSIVO",MB25_VOLUMETRIA[[#This Row],[EMPRESA]]="NET PROJETOS"),"NET","EMPRESARIAL"))</f>
        <v>NET</v>
      </c>
    </row>
    <row r="1168" spans="1:15" x14ac:dyDescent="0.25">
      <c r="A1168" s="32">
        <v>4381303</v>
      </c>
      <c r="B1168" s="32" t="s">
        <v>21</v>
      </c>
      <c r="C1168" s="33" t="s">
        <v>21</v>
      </c>
      <c r="D1168" s="35">
        <v>45448</v>
      </c>
      <c r="E1168" s="32">
        <v>201</v>
      </c>
      <c r="F1168" s="32">
        <v>252815</v>
      </c>
      <c r="G1168" s="32" t="s">
        <v>219</v>
      </c>
      <c r="H1168" s="26" t="s">
        <v>38</v>
      </c>
      <c r="I1168" s="36">
        <v>500</v>
      </c>
      <c r="J1168" s="32">
        <f>IF(MB25_VOLUMETRIA[[#This Row],[Reserva]]="","",1)</f>
        <v>1</v>
      </c>
      <c r="K1168" s="36" t="str">
        <f>IF(MB25_VOLUMETRIA[[#This Row],[Reserva]]="","",IFERROR(VLOOKUP(MB25_VOLUMETRIA[[#This Row],[UMB]],CHAVE[],2,FALSE),"VERIFICAR"))</f>
        <v>Unidade</v>
      </c>
      <c r="L11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8" s="32" t="str">
        <f ca="1">IFERROR(VLOOKUP(MB25_VOLUMETRIA[[#This Row],[Reserva]],RES_AB[],14,FALSE),"")</f>
        <v>PLANO DO DIA</v>
      </c>
      <c r="N1168" s="32" t="str">
        <f>IF(MB25_VOLUMETRIA[[#This Row],[Cen.]]="","",IFERROR(VLOOKUP(MB25_VOLUMETRIA[[#This Row],[Cen.]],Dados_Empresas[],2,FALSE),"Verificar empresa"))</f>
        <v>NET MASSIVO</v>
      </c>
      <c r="O1168" s="32" t="str">
        <f>IF(MB25_VOLUMETRIA[[#This Row],[EMPRESA]]="","",IF(OR(MB25_VOLUMETRIA[[#This Row],[EMPRESA]]="NET MASSIVO",MB25_VOLUMETRIA[[#This Row],[EMPRESA]]="NET PROJETOS"),"NET","EMPRESARIAL"))</f>
        <v>NET</v>
      </c>
    </row>
    <row r="1169" spans="1:15" x14ac:dyDescent="0.25">
      <c r="A1169" s="32">
        <v>4381303</v>
      </c>
      <c r="B1169" s="32" t="s">
        <v>21</v>
      </c>
      <c r="C1169" s="33" t="s">
        <v>21</v>
      </c>
      <c r="D1169" s="35">
        <v>45448</v>
      </c>
      <c r="E1169" s="32">
        <v>201</v>
      </c>
      <c r="F1169" s="32">
        <v>254512</v>
      </c>
      <c r="G1169" s="32" t="s">
        <v>289</v>
      </c>
      <c r="H1169" s="26" t="s">
        <v>38</v>
      </c>
      <c r="I1169" s="36">
        <v>1</v>
      </c>
      <c r="J1169" s="32">
        <f>IF(MB25_VOLUMETRIA[[#This Row],[Reserva]]="","",1)</f>
        <v>1</v>
      </c>
      <c r="K1169" s="36" t="str">
        <f>IF(MB25_VOLUMETRIA[[#This Row],[Reserva]]="","",IFERROR(VLOOKUP(MB25_VOLUMETRIA[[#This Row],[UMB]],CHAVE[],2,FALSE),"VERIFICAR"))</f>
        <v>Unidade</v>
      </c>
      <c r="L11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69" s="32" t="str">
        <f ca="1">IFERROR(VLOOKUP(MB25_VOLUMETRIA[[#This Row],[Reserva]],RES_AB[],14,FALSE),"")</f>
        <v>PLANO DO DIA</v>
      </c>
      <c r="N1169" s="32" t="str">
        <f>IF(MB25_VOLUMETRIA[[#This Row],[Cen.]]="","",IFERROR(VLOOKUP(MB25_VOLUMETRIA[[#This Row],[Cen.]],Dados_Empresas[],2,FALSE),"Verificar empresa"))</f>
        <v>NET MASSIVO</v>
      </c>
      <c r="O1169" s="32" t="str">
        <f>IF(MB25_VOLUMETRIA[[#This Row],[EMPRESA]]="","",IF(OR(MB25_VOLUMETRIA[[#This Row],[EMPRESA]]="NET MASSIVO",MB25_VOLUMETRIA[[#This Row],[EMPRESA]]="NET PROJETOS"),"NET","EMPRESARIAL"))</f>
        <v>NET</v>
      </c>
    </row>
    <row r="1170" spans="1:15" x14ac:dyDescent="0.25">
      <c r="A1170" s="32">
        <v>4381303</v>
      </c>
      <c r="B1170" s="32" t="s">
        <v>21</v>
      </c>
      <c r="C1170" s="33" t="s">
        <v>21</v>
      </c>
      <c r="D1170" s="35">
        <v>45448</v>
      </c>
      <c r="E1170" s="32">
        <v>201</v>
      </c>
      <c r="F1170" s="32">
        <v>254020</v>
      </c>
      <c r="G1170" s="32" t="s">
        <v>380</v>
      </c>
      <c r="H1170" s="26" t="s">
        <v>38</v>
      </c>
      <c r="I1170" s="36">
        <v>1</v>
      </c>
      <c r="J1170" s="32">
        <f>IF(MB25_VOLUMETRIA[[#This Row],[Reserva]]="","",1)</f>
        <v>1</v>
      </c>
      <c r="K1170" s="36" t="str">
        <f>IF(MB25_VOLUMETRIA[[#This Row],[Reserva]]="","",IFERROR(VLOOKUP(MB25_VOLUMETRIA[[#This Row],[UMB]],CHAVE[],2,FALSE),"VERIFICAR"))</f>
        <v>Unidade</v>
      </c>
      <c r="L11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0" s="32" t="str">
        <f ca="1">IFERROR(VLOOKUP(MB25_VOLUMETRIA[[#This Row],[Reserva]],RES_AB[],14,FALSE),"")</f>
        <v>PLANO DO DIA</v>
      </c>
      <c r="N1170" s="32" t="str">
        <f>IF(MB25_VOLUMETRIA[[#This Row],[Cen.]]="","",IFERROR(VLOOKUP(MB25_VOLUMETRIA[[#This Row],[Cen.]],Dados_Empresas[],2,FALSE),"Verificar empresa"))</f>
        <v>NET MASSIVO</v>
      </c>
      <c r="O1170" s="32" t="str">
        <f>IF(MB25_VOLUMETRIA[[#This Row],[EMPRESA]]="","",IF(OR(MB25_VOLUMETRIA[[#This Row],[EMPRESA]]="NET MASSIVO",MB25_VOLUMETRIA[[#This Row],[EMPRESA]]="NET PROJETOS"),"NET","EMPRESARIAL"))</f>
        <v>NET</v>
      </c>
    </row>
    <row r="1171" spans="1:15" x14ac:dyDescent="0.25">
      <c r="A1171" s="32">
        <v>4381303</v>
      </c>
      <c r="B1171" s="32" t="s">
        <v>21</v>
      </c>
      <c r="C1171" s="33" t="s">
        <v>21</v>
      </c>
      <c r="D1171" s="35">
        <v>45448</v>
      </c>
      <c r="E1171" s="32">
        <v>201</v>
      </c>
      <c r="F1171" s="32">
        <v>254380</v>
      </c>
      <c r="G1171" s="32" t="s">
        <v>379</v>
      </c>
      <c r="H1171" s="26" t="s">
        <v>38</v>
      </c>
      <c r="I1171" s="36">
        <v>5</v>
      </c>
      <c r="J1171" s="32">
        <f>IF(MB25_VOLUMETRIA[[#This Row],[Reserva]]="","",1)</f>
        <v>1</v>
      </c>
      <c r="K1171" s="36" t="str">
        <f>IF(MB25_VOLUMETRIA[[#This Row],[Reserva]]="","",IFERROR(VLOOKUP(MB25_VOLUMETRIA[[#This Row],[UMB]],CHAVE[],2,FALSE),"VERIFICAR"))</f>
        <v>Unidade</v>
      </c>
      <c r="L11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1" s="32" t="str">
        <f ca="1">IFERROR(VLOOKUP(MB25_VOLUMETRIA[[#This Row],[Reserva]],RES_AB[],14,FALSE),"")</f>
        <v>PLANO DO DIA</v>
      </c>
      <c r="N1171" s="32" t="str">
        <f>IF(MB25_VOLUMETRIA[[#This Row],[Cen.]]="","",IFERROR(VLOOKUP(MB25_VOLUMETRIA[[#This Row],[Cen.]],Dados_Empresas[],2,FALSE),"Verificar empresa"))</f>
        <v>NET MASSIVO</v>
      </c>
      <c r="O1171" s="32" t="str">
        <f>IF(MB25_VOLUMETRIA[[#This Row],[EMPRESA]]="","",IF(OR(MB25_VOLUMETRIA[[#This Row],[EMPRESA]]="NET MASSIVO",MB25_VOLUMETRIA[[#This Row],[EMPRESA]]="NET PROJETOS"),"NET","EMPRESARIAL"))</f>
        <v>NET</v>
      </c>
    </row>
    <row r="1172" spans="1:15" x14ac:dyDescent="0.25">
      <c r="A1172" s="32">
        <v>4381303</v>
      </c>
      <c r="B1172" s="32" t="s">
        <v>21</v>
      </c>
      <c r="C1172" s="33" t="s">
        <v>21</v>
      </c>
      <c r="D1172" s="35">
        <v>45448</v>
      </c>
      <c r="E1172" s="32">
        <v>201</v>
      </c>
      <c r="F1172" s="32">
        <v>251879</v>
      </c>
      <c r="G1172" s="32" t="s">
        <v>263</v>
      </c>
      <c r="H1172" s="26" t="s">
        <v>38</v>
      </c>
      <c r="I1172" s="36">
        <v>10</v>
      </c>
      <c r="J1172" s="32">
        <f>IF(MB25_VOLUMETRIA[[#This Row],[Reserva]]="","",1)</f>
        <v>1</v>
      </c>
      <c r="K1172" s="36" t="str">
        <f>IF(MB25_VOLUMETRIA[[#This Row],[Reserva]]="","",IFERROR(VLOOKUP(MB25_VOLUMETRIA[[#This Row],[UMB]],CHAVE[],2,FALSE),"VERIFICAR"))</f>
        <v>Unidade</v>
      </c>
      <c r="L11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2" s="32" t="str">
        <f ca="1">IFERROR(VLOOKUP(MB25_VOLUMETRIA[[#This Row],[Reserva]],RES_AB[],14,FALSE),"")</f>
        <v>PLANO DO DIA</v>
      </c>
      <c r="N1172" s="32" t="str">
        <f>IF(MB25_VOLUMETRIA[[#This Row],[Cen.]]="","",IFERROR(VLOOKUP(MB25_VOLUMETRIA[[#This Row],[Cen.]],Dados_Empresas[],2,FALSE),"Verificar empresa"))</f>
        <v>NET MASSIVO</v>
      </c>
      <c r="O1172" s="32" t="str">
        <f>IF(MB25_VOLUMETRIA[[#This Row],[EMPRESA]]="","",IF(OR(MB25_VOLUMETRIA[[#This Row],[EMPRESA]]="NET MASSIVO",MB25_VOLUMETRIA[[#This Row],[EMPRESA]]="NET PROJETOS"),"NET","EMPRESARIAL"))</f>
        <v>NET</v>
      </c>
    </row>
    <row r="1173" spans="1:15" x14ac:dyDescent="0.25">
      <c r="A1173" s="32">
        <v>4381370</v>
      </c>
      <c r="B1173" s="32" t="s">
        <v>21</v>
      </c>
      <c r="C1173" s="33" t="s">
        <v>21</v>
      </c>
      <c r="D1173" s="35">
        <v>45448</v>
      </c>
      <c r="E1173" s="32">
        <v>221</v>
      </c>
      <c r="F1173" s="32">
        <v>22059033</v>
      </c>
      <c r="G1173" s="32" t="s">
        <v>269</v>
      </c>
      <c r="H1173" s="26" t="s">
        <v>38</v>
      </c>
      <c r="I1173" s="36">
        <v>15</v>
      </c>
      <c r="J1173" s="32">
        <f>IF(MB25_VOLUMETRIA[[#This Row],[Reserva]]="","",1)</f>
        <v>1</v>
      </c>
      <c r="K1173" s="36" t="str">
        <f>IF(MB25_VOLUMETRIA[[#This Row],[Reserva]]="","",IFERROR(VLOOKUP(MB25_VOLUMETRIA[[#This Row],[UMB]],CHAVE[],2,FALSE),"VERIFICAR"))</f>
        <v>Unidade</v>
      </c>
      <c r="L11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3" s="32" t="str">
        <f ca="1">IFERROR(VLOOKUP(MB25_VOLUMETRIA[[#This Row],[Reserva]],RES_AB[],14,FALSE),"")</f>
        <v>PLANO DO DIA</v>
      </c>
      <c r="N1173" s="32" t="str">
        <f>IF(MB25_VOLUMETRIA[[#This Row],[Cen.]]="","",IFERROR(VLOOKUP(MB25_VOLUMETRIA[[#This Row],[Cen.]],Dados_Empresas[],2,FALSE),"Verificar empresa"))</f>
        <v>NET MASSIVO</v>
      </c>
      <c r="O1173" s="32" t="str">
        <f>IF(MB25_VOLUMETRIA[[#This Row],[EMPRESA]]="","",IF(OR(MB25_VOLUMETRIA[[#This Row],[EMPRESA]]="NET MASSIVO",MB25_VOLUMETRIA[[#This Row],[EMPRESA]]="NET PROJETOS"),"NET","EMPRESARIAL"))</f>
        <v>NET</v>
      </c>
    </row>
    <row r="1174" spans="1:15" x14ac:dyDescent="0.25">
      <c r="A1174" s="32">
        <v>4381370</v>
      </c>
      <c r="B1174" s="32" t="s">
        <v>21</v>
      </c>
      <c r="C1174" s="33" t="s">
        <v>21</v>
      </c>
      <c r="D1174" s="35">
        <v>45448</v>
      </c>
      <c r="E1174" s="32">
        <v>221</v>
      </c>
      <c r="F1174" s="32">
        <v>22059033</v>
      </c>
      <c r="G1174" s="32" t="s">
        <v>269</v>
      </c>
      <c r="H1174" s="26" t="s">
        <v>38</v>
      </c>
      <c r="I1174" s="36">
        <v>4</v>
      </c>
      <c r="J1174" s="32">
        <f>IF(MB25_VOLUMETRIA[[#This Row],[Reserva]]="","",1)</f>
        <v>1</v>
      </c>
      <c r="K1174" s="36" t="str">
        <f>IF(MB25_VOLUMETRIA[[#This Row],[Reserva]]="","",IFERROR(VLOOKUP(MB25_VOLUMETRIA[[#This Row],[UMB]],CHAVE[],2,FALSE),"VERIFICAR"))</f>
        <v>Unidade</v>
      </c>
      <c r="L11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4" s="32" t="str">
        <f ca="1">IFERROR(VLOOKUP(MB25_VOLUMETRIA[[#This Row],[Reserva]],RES_AB[],14,FALSE),"")</f>
        <v>PLANO DO DIA</v>
      </c>
      <c r="N1174" s="32" t="str">
        <f>IF(MB25_VOLUMETRIA[[#This Row],[Cen.]]="","",IFERROR(VLOOKUP(MB25_VOLUMETRIA[[#This Row],[Cen.]],Dados_Empresas[],2,FALSE),"Verificar empresa"))</f>
        <v>NET MASSIVO</v>
      </c>
      <c r="O1174" s="32" t="str">
        <f>IF(MB25_VOLUMETRIA[[#This Row],[EMPRESA]]="","",IF(OR(MB25_VOLUMETRIA[[#This Row],[EMPRESA]]="NET MASSIVO",MB25_VOLUMETRIA[[#This Row],[EMPRESA]]="NET PROJETOS"),"NET","EMPRESARIAL"))</f>
        <v>NET</v>
      </c>
    </row>
    <row r="1175" spans="1:15" x14ac:dyDescent="0.25">
      <c r="A1175" s="32">
        <v>4381697</v>
      </c>
      <c r="B1175" s="32" t="s">
        <v>21</v>
      </c>
      <c r="C1175" s="33" t="s">
        <v>19</v>
      </c>
      <c r="D1175" s="35">
        <v>45448</v>
      </c>
      <c r="E1175" s="32" t="s">
        <v>185</v>
      </c>
      <c r="F1175" s="32">
        <v>22056336</v>
      </c>
      <c r="G1175" s="32" t="s">
        <v>324</v>
      </c>
      <c r="H1175" s="26" t="s">
        <v>38</v>
      </c>
      <c r="I1175" s="36">
        <v>100</v>
      </c>
      <c r="J1175" s="32">
        <f>IF(MB25_VOLUMETRIA[[#This Row],[Reserva]]="","",1)</f>
        <v>1</v>
      </c>
      <c r="K1175" s="36" t="str">
        <f>IF(MB25_VOLUMETRIA[[#This Row],[Reserva]]="","",IFERROR(VLOOKUP(MB25_VOLUMETRIA[[#This Row],[UMB]],CHAVE[],2,FALSE),"VERIFICAR"))</f>
        <v>Unidade</v>
      </c>
      <c r="L11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5" s="32" t="str">
        <f ca="1">IFERROR(VLOOKUP(MB25_VOLUMETRIA[[#This Row],[Reserva]],RES_AB[],14,FALSE),"")</f>
        <v>PLANO DO DIA</v>
      </c>
      <c r="N1175" s="32" t="str">
        <f>IF(MB25_VOLUMETRIA[[#This Row],[Cen.]]="","",IFERROR(VLOOKUP(MB25_VOLUMETRIA[[#This Row],[Cen.]],Dados_Empresas[],2,FALSE),"Verificar empresa"))</f>
        <v>NET MASSIVO</v>
      </c>
      <c r="O1175" s="32" t="str">
        <f>IF(MB25_VOLUMETRIA[[#This Row],[EMPRESA]]="","",IF(OR(MB25_VOLUMETRIA[[#This Row],[EMPRESA]]="NET MASSIVO",MB25_VOLUMETRIA[[#This Row],[EMPRESA]]="NET PROJETOS"),"NET","EMPRESARIAL"))</f>
        <v>NET</v>
      </c>
    </row>
    <row r="1176" spans="1:15" x14ac:dyDescent="0.25">
      <c r="A1176" s="32">
        <v>4381698</v>
      </c>
      <c r="B1176" s="32" t="s">
        <v>21</v>
      </c>
      <c r="C1176" s="33" t="s">
        <v>21</v>
      </c>
      <c r="D1176" s="35">
        <v>45448</v>
      </c>
      <c r="E1176" s="32" t="s">
        <v>184</v>
      </c>
      <c r="F1176" s="32">
        <v>41001536</v>
      </c>
      <c r="G1176" s="32" t="s">
        <v>371</v>
      </c>
      <c r="H1176" s="26" t="s">
        <v>38</v>
      </c>
      <c r="I1176" s="36">
        <v>80</v>
      </c>
      <c r="J1176" s="32">
        <f>IF(MB25_VOLUMETRIA[[#This Row],[Reserva]]="","",1)</f>
        <v>1</v>
      </c>
      <c r="K1176" s="36" t="str">
        <f>IF(MB25_VOLUMETRIA[[#This Row],[Reserva]]="","",IFERROR(VLOOKUP(MB25_VOLUMETRIA[[#This Row],[UMB]],CHAVE[],2,FALSE),"VERIFICAR"))</f>
        <v>Unidade</v>
      </c>
      <c r="L11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6" s="32" t="str">
        <f ca="1">IFERROR(VLOOKUP(MB25_VOLUMETRIA[[#This Row],[Reserva]],RES_AB[],14,FALSE),"")</f>
        <v>PLANO DO DIA</v>
      </c>
      <c r="N1176" s="32" t="str">
        <f>IF(MB25_VOLUMETRIA[[#This Row],[Cen.]]="","",IFERROR(VLOOKUP(MB25_VOLUMETRIA[[#This Row],[Cen.]],Dados_Empresas[],2,FALSE),"Verificar empresa"))</f>
        <v>NET MASSIVO</v>
      </c>
      <c r="O1176" s="32" t="str">
        <f>IF(MB25_VOLUMETRIA[[#This Row],[EMPRESA]]="","",IF(OR(MB25_VOLUMETRIA[[#This Row],[EMPRESA]]="NET MASSIVO",MB25_VOLUMETRIA[[#This Row],[EMPRESA]]="NET PROJETOS"),"NET","EMPRESARIAL"))</f>
        <v>NET</v>
      </c>
    </row>
    <row r="1177" spans="1:15" x14ac:dyDescent="0.25">
      <c r="A1177" s="32">
        <v>4381698</v>
      </c>
      <c r="B1177" s="32" t="s">
        <v>21</v>
      </c>
      <c r="C1177" s="33" t="s">
        <v>21</v>
      </c>
      <c r="D1177" s="35">
        <v>45448</v>
      </c>
      <c r="E1177" s="32" t="s">
        <v>184</v>
      </c>
      <c r="F1177" s="32">
        <v>41001553</v>
      </c>
      <c r="G1177" s="32" t="s">
        <v>295</v>
      </c>
      <c r="H1177" s="26" t="s">
        <v>38</v>
      </c>
      <c r="I1177" s="36">
        <v>60</v>
      </c>
      <c r="J1177" s="32">
        <f>IF(MB25_VOLUMETRIA[[#This Row],[Reserva]]="","",1)</f>
        <v>1</v>
      </c>
      <c r="K1177" s="36" t="str">
        <f>IF(MB25_VOLUMETRIA[[#This Row],[Reserva]]="","",IFERROR(VLOOKUP(MB25_VOLUMETRIA[[#This Row],[UMB]],CHAVE[],2,FALSE),"VERIFICAR"))</f>
        <v>Unidade</v>
      </c>
      <c r="L11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7" s="32" t="str">
        <f ca="1">IFERROR(VLOOKUP(MB25_VOLUMETRIA[[#This Row],[Reserva]],RES_AB[],14,FALSE),"")</f>
        <v>PLANO DO DIA</v>
      </c>
      <c r="N1177" s="32" t="str">
        <f>IF(MB25_VOLUMETRIA[[#This Row],[Cen.]]="","",IFERROR(VLOOKUP(MB25_VOLUMETRIA[[#This Row],[Cen.]],Dados_Empresas[],2,FALSE),"Verificar empresa"))</f>
        <v>NET MASSIVO</v>
      </c>
      <c r="O1177" s="32" t="str">
        <f>IF(MB25_VOLUMETRIA[[#This Row],[EMPRESA]]="","",IF(OR(MB25_VOLUMETRIA[[#This Row],[EMPRESA]]="NET MASSIVO",MB25_VOLUMETRIA[[#This Row],[EMPRESA]]="NET PROJETOS"),"NET","EMPRESARIAL"))</f>
        <v>NET</v>
      </c>
    </row>
    <row r="1178" spans="1:15" x14ac:dyDescent="0.25">
      <c r="A1178" s="32">
        <v>4381699</v>
      </c>
      <c r="B1178" s="32" t="s">
        <v>21</v>
      </c>
      <c r="C1178" s="33" t="s">
        <v>21</v>
      </c>
      <c r="D1178" s="35">
        <v>45448</v>
      </c>
      <c r="E1178" s="32" t="s">
        <v>185</v>
      </c>
      <c r="F1178" s="32">
        <v>22026746</v>
      </c>
      <c r="G1178" s="32" t="s">
        <v>205</v>
      </c>
      <c r="H1178" s="26" t="s">
        <v>38</v>
      </c>
      <c r="I1178" s="36">
        <v>50</v>
      </c>
      <c r="J1178" s="32">
        <f>IF(MB25_VOLUMETRIA[[#This Row],[Reserva]]="","",1)</f>
        <v>1</v>
      </c>
      <c r="K1178" s="36" t="str">
        <f>IF(MB25_VOLUMETRIA[[#This Row],[Reserva]]="","",IFERROR(VLOOKUP(MB25_VOLUMETRIA[[#This Row],[UMB]],CHAVE[],2,FALSE),"VERIFICAR"))</f>
        <v>Unidade</v>
      </c>
      <c r="L11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8" s="32" t="str">
        <f ca="1">IFERROR(VLOOKUP(MB25_VOLUMETRIA[[#This Row],[Reserva]],RES_AB[],14,FALSE),"")</f>
        <v>PLANO DO DIA</v>
      </c>
      <c r="N1178" s="32" t="str">
        <f>IF(MB25_VOLUMETRIA[[#This Row],[Cen.]]="","",IFERROR(VLOOKUP(MB25_VOLUMETRIA[[#This Row],[Cen.]],Dados_Empresas[],2,FALSE),"Verificar empresa"))</f>
        <v>NET MASSIVO</v>
      </c>
      <c r="O1178" s="32" t="str">
        <f>IF(MB25_VOLUMETRIA[[#This Row],[EMPRESA]]="","",IF(OR(MB25_VOLUMETRIA[[#This Row],[EMPRESA]]="NET MASSIVO",MB25_VOLUMETRIA[[#This Row],[EMPRESA]]="NET PROJETOS"),"NET","EMPRESARIAL"))</f>
        <v>NET</v>
      </c>
    </row>
    <row r="1179" spans="1:15" x14ac:dyDescent="0.25">
      <c r="A1179" s="32">
        <v>4381700</v>
      </c>
      <c r="B1179" s="32" t="s">
        <v>21</v>
      </c>
      <c r="C1179" s="33" t="s">
        <v>21</v>
      </c>
      <c r="D1179" s="35">
        <v>45448</v>
      </c>
      <c r="E1179" s="32" t="s">
        <v>184</v>
      </c>
      <c r="F1179" s="32">
        <v>41001536</v>
      </c>
      <c r="G1179" s="32" t="s">
        <v>371</v>
      </c>
      <c r="H1179" s="26" t="s">
        <v>38</v>
      </c>
      <c r="I1179" s="36">
        <v>220</v>
      </c>
      <c r="J1179" s="32">
        <f>IF(MB25_VOLUMETRIA[[#This Row],[Reserva]]="","",1)</f>
        <v>1</v>
      </c>
      <c r="K1179" s="36" t="str">
        <f>IF(MB25_VOLUMETRIA[[#This Row],[Reserva]]="","",IFERROR(VLOOKUP(MB25_VOLUMETRIA[[#This Row],[UMB]],CHAVE[],2,FALSE),"VERIFICAR"))</f>
        <v>Unidade</v>
      </c>
      <c r="L11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79" s="32" t="str">
        <f ca="1">IFERROR(VLOOKUP(MB25_VOLUMETRIA[[#This Row],[Reserva]],RES_AB[],14,FALSE),"")</f>
        <v>PLANO DO DIA</v>
      </c>
      <c r="N1179" s="32" t="str">
        <f>IF(MB25_VOLUMETRIA[[#This Row],[Cen.]]="","",IFERROR(VLOOKUP(MB25_VOLUMETRIA[[#This Row],[Cen.]],Dados_Empresas[],2,FALSE),"Verificar empresa"))</f>
        <v>NET MASSIVO</v>
      </c>
      <c r="O1179" s="32" t="str">
        <f>IF(MB25_VOLUMETRIA[[#This Row],[EMPRESA]]="","",IF(OR(MB25_VOLUMETRIA[[#This Row],[EMPRESA]]="NET MASSIVO",MB25_VOLUMETRIA[[#This Row],[EMPRESA]]="NET PROJETOS"),"NET","EMPRESARIAL"))</f>
        <v>NET</v>
      </c>
    </row>
    <row r="1180" spans="1:15" x14ac:dyDescent="0.25">
      <c r="A1180" s="32">
        <v>4381700</v>
      </c>
      <c r="B1180" s="32" t="s">
        <v>21</v>
      </c>
      <c r="C1180" s="33" t="s">
        <v>21</v>
      </c>
      <c r="D1180" s="35">
        <v>45448</v>
      </c>
      <c r="E1180" s="32" t="s">
        <v>184</v>
      </c>
      <c r="F1180" s="32">
        <v>41001553</v>
      </c>
      <c r="G1180" s="32" t="s">
        <v>295</v>
      </c>
      <c r="H1180" s="26" t="s">
        <v>38</v>
      </c>
      <c r="I1180" s="36">
        <v>450</v>
      </c>
      <c r="J1180" s="32">
        <f>IF(MB25_VOLUMETRIA[[#This Row],[Reserva]]="","",1)</f>
        <v>1</v>
      </c>
      <c r="K1180" s="36" t="str">
        <f>IF(MB25_VOLUMETRIA[[#This Row],[Reserva]]="","",IFERROR(VLOOKUP(MB25_VOLUMETRIA[[#This Row],[UMB]],CHAVE[],2,FALSE),"VERIFICAR"))</f>
        <v>Unidade</v>
      </c>
      <c r="L11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0" s="32" t="str">
        <f ca="1">IFERROR(VLOOKUP(MB25_VOLUMETRIA[[#This Row],[Reserva]],RES_AB[],14,FALSE),"")</f>
        <v>PLANO DO DIA</v>
      </c>
      <c r="N1180" s="32" t="str">
        <f>IF(MB25_VOLUMETRIA[[#This Row],[Cen.]]="","",IFERROR(VLOOKUP(MB25_VOLUMETRIA[[#This Row],[Cen.]],Dados_Empresas[],2,FALSE),"Verificar empresa"))</f>
        <v>NET MASSIVO</v>
      </c>
      <c r="O1180" s="32" t="str">
        <f>IF(MB25_VOLUMETRIA[[#This Row],[EMPRESA]]="","",IF(OR(MB25_VOLUMETRIA[[#This Row],[EMPRESA]]="NET MASSIVO",MB25_VOLUMETRIA[[#This Row],[EMPRESA]]="NET PROJETOS"),"NET","EMPRESARIAL"))</f>
        <v>NET</v>
      </c>
    </row>
    <row r="1181" spans="1:15" x14ac:dyDescent="0.25">
      <c r="A1181" s="32">
        <v>4382381</v>
      </c>
      <c r="B1181" s="32" t="s">
        <v>21</v>
      </c>
      <c r="C1181" s="33" t="s">
        <v>182</v>
      </c>
      <c r="D1181" s="35">
        <v>45448</v>
      </c>
      <c r="E1181" s="32" t="s">
        <v>184</v>
      </c>
      <c r="F1181" s="32">
        <v>41001530</v>
      </c>
      <c r="G1181" s="32" t="s">
        <v>319</v>
      </c>
      <c r="H1181" s="26" t="s">
        <v>38</v>
      </c>
      <c r="I1181" s="36">
        <v>20</v>
      </c>
      <c r="J1181" s="32">
        <f>IF(MB25_VOLUMETRIA[[#This Row],[Reserva]]="","",1)</f>
        <v>1</v>
      </c>
      <c r="K1181" s="36" t="str">
        <f>IF(MB25_VOLUMETRIA[[#This Row],[Reserva]]="","",IFERROR(VLOOKUP(MB25_VOLUMETRIA[[#This Row],[UMB]],CHAVE[],2,FALSE),"VERIFICAR"))</f>
        <v>Unidade</v>
      </c>
      <c r="L11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1" s="32" t="str">
        <f ca="1">IFERROR(VLOOKUP(MB25_VOLUMETRIA[[#This Row],[Reserva]],RES_AB[],14,FALSE),"")</f>
        <v>PLANO DO DIA</v>
      </c>
      <c r="N1181" s="32" t="str">
        <f>IF(MB25_VOLUMETRIA[[#This Row],[Cen.]]="","",IFERROR(VLOOKUP(MB25_VOLUMETRIA[[#This Row],[Cen.]],Dados_Empresas[],2,FALSE),"Verificar empresa"))</f>
        <v>NET MASSIVO</v>
      </c>
      <c r="O1181" s="32" t="str">
        <f>IF(MB25_VOLUMETRIA[[#This Row],[EMPRESA]]="","",IF(OR(MB25_VOLUMETRIA[[#This Row],[EMPRESA]]="NET MASSIVO",MB25_VOLUMETRIA[[#This Row],[EMPRESA]]="NET PROJETOS"),"NET","EMPRESARIAL"))</f>
        <v>NET</v>
      </c>
    </row>
    <row r="1182" spans="1:15" x14ac:dyDescent="0.25">
      <c r="A1182" s="32">
        <v>4382381</v>
      </c>
      <c r="B1182" s="32" t="s">
        <v>21</v>
      </c>
      <c r="C1182" s="33" t="s">
        <v>21</v>
      </c>
      <c r="D1182" s="35">
        <v>45448</v>
      </c>
      <c r="E1182" s="32" t="s">
        <v>184</v>
      </c>
      <c r="F1182" s="32">
        <v>41001536</v>
      </c>
      <c r="G1182" s="32" t="s">
        <v>371</v>
      </c>
      <c r="H1182" s="26" t="s">
        <v>38</v>
      </c>
      <c r="I1182" s="36">
        <v>50</v>
      </c>
      <c r="J1182" s="32">
        <f>IF(MB25_VOLUMETRIA[[#This Row],[Reserva]]="","",1)</f>
        <v>1</v>
      </c>
      <c r="K1182" s="36" t="str">
        <f>IF(MB25_VOLUMETRIA[[#This Row],[Reserva]]="","",IFERROR(VLOOKUP(MB25_VOLUMETRIA[[#This Row],[UMB]],CHAVE[],2,FALSE),"VERIFICAR"))</f>
        <v>Unidade</v>
      </c>
      <c r="L11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2" s="32" t="str">
        <f ca="1">IFERROR(VLOOKUP(MB25_VOLUMETRIA[[#This Row],[Reserva]],RES_AB[],14,FALSE),"")</f>
        <v>PLANO DO DIA</v>
      </c>
      <c r="N1182" s="32" t="str">
        <f>IF(MB25_VOLUMETRIA[[#This Row],[Cen.]]="","",IFERROR(VLOOKUP(MB25_VOLUMETRIA[[#This Row],[Cen.]],Dados_Empresas[],2,FALSE),"Verificar empresa"))</f>
        <v>NET MASSIVO</v>
      </c>
      <c r="O1182" s="32" t="str">
        <f>IF(MB25_VOLUMETRIA[[#This Row],[EMPRESA]]="","",IF(OR(MB25_VOLUMETRIA[[#This Row],[EMPRESA]]="NET MASSIVO",MB25_VOLUMETRIA[[#This Row],[EMPRESA]]="NET PROJETOS"),"NET","EMPRESARIAL"))</f>
        <v>NET</v>
      </c>
    </row>
    <row r="1183" spans="1:15" x14ac:dyDescent="0.25">
      <c r="A1183" s="32">
        <v>4382381</v>
      </c>
      <c r="B1183" s="32" t="s">
        <v>21</v>
      </c>
      <c r="C1183" s="33" t="s">
        <v>21</v>
      </c>
      <c r="D1183" s="35">
        <v>45448</v>
      </c>
      <c r="E1183" s="32" t="s">
        <v>184</v>
      </c>
      <c r="F1183" s="32">
        <v>41001553</v>
      </c>
      <c r="G1183" s="32" t="s">
        <v>295</v>
      </c>
      <c r="H1183" s="26" t="s">
        <v>38</v>
      </c>
      <c r="I1183" s="36">
        <v>70</v>
      </c>
      <c r="J1183" s="32">
        <f>IF(MB25_VOLUMETRIA[[#This Row],[Reserva]]="","",1)</f>
        <v>1</v>
      </c>
      <c r="K1183" s="36" t="str">
        <f>IF(MB25_VOLUMETRIA[[#This Row],[Reserva]]="","",IFERROR(VLOOKUP(MB25_VOLUMETRIA[[#This Row],[UMB]],CHAVE[],2,FALSE),"VERIFICAR"))</f>
        <v>Unidade</v>
      </c>
      <c r="L11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3" s="32" t="str">
        <f ca="1">IFERROR(VLOOKUP(MB25_VOLUMETRIA[[#This Row],[Reserva]],RES_AB[],14,FALSE),"")</f>
        <v>PLANO DO DIA</v>
      </c>
      <c r="N1183" s="32" t="str">
        <f>IF(MB25_VOLUMETRIA[[#This Row],[Cen.]]="","",IFERROR(VLOOKUP(MB25_VOLUMETRIA[[#This Row],[Cen.]],Dados_Empresas[],2,FALSE),"Verificar empresa"))</f>
        <v>NET MASSIVO</v>
      </c>
      <c r="O1183" s="32" t="str">
        <f>IF(MB25_VOLUMETRIA[[#This Row],[EMPRESA]]="","",IF(OR(MB25_VOLUMETRIA[[#This Row],[EMPRESA]]="NET MASSIVO",MB25_VOLUMETRIA[[#This Row],[EMPRESA]]="NET PROJETOS"),"NET","EMPRESARIAL"))</f>
        <v>NET</v>
      </c>
    </row>
    <row r="1184" spans="1:15" x14ac:dyDescent="0.25">
      <c r="A1184" s="32">
        <v>4382382</v>
      </c>
      <c r="B1184" s="32" t="s">
        <v>21</v>
      </c>
      <c r="C1184" s="33" t="s">
        <v>21</v>
      </c>
      <c r="D1184" s="35">
        <v>45448</v>
      </c>
      <c r="E1184" s="32" t="s">
        <v>185</v>
      </c>
      <c r="F1184" s="32">
        <v>22057866</v>
      </c>
      <c r="G1184" s="32" t="s">
        <v>225</v>
      </c>
      <c r="H1184" s="26" t="s">
        <v>38</v>
      </c>
      <c r="I1184" s="36">
        <v>50</v>
      </c>
      <c r="J1184" s="32">
        <f>IF(MB25_VOLUMETRIA[[#This Row],[Reserva]]="","",1)</f>
        <v>1</v>
      </c>
      <c r="K1184" s="36" t="str">
        <f>IF(MB25_VOLUMETRIA[[#This Row],[Reserva]]="","",IFERROR(VLOOKUP(MB25_VOLUMETRIA[[#This Row],[UMB]],CHAVE[],2,FALSE),"VERIFICAR"))</f>
        <v>Unidade</v>
      </c>
      <c r="L11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4" s="32" t="str">
        <f ca="1">IFERROR(VLOOKUP(MB25_VOLUMETRIA[[#This Row],[Reserva]],RES_AB[],14,FALSE),"")</f>
        <v>PLANO DO DIA</v>
      </c>
      <c r="N1184" s="32" t="str">
        <f>IF(MB25_VOLUMETRIA[[#This Row],[Cen.]]="","",IFERROR(VLOOKUP(MB25_VOLUMETRIA[[#This Row],[Cen.]],Dados_Empresas[],2,FALSE),"Verificar empresa"))</f>
        <v>NET MASSIVO</v>
      </c>
      <c r="O1184" s="32" t="str">
        <f>IF(MB25_VOLUMETRIA[[#This Row],[EMPRESA]]="","",IF(OR(MB25_VOLUMETRIA[[#This Row],[EMPRESA]]="NET MASSIVO",MB25_VOLUMETRIA[[#This Row],[EMPRESA]]="NET PROJETOS"),"NET","EMPRESARIAL"))</f>
        <v>NET</v>
      </c>
    </row>
    <row r="1185" spans="1:15" x14ac:dyDescent="0.25">
      <c r="A1185" s="32">
        <v>4382383</v>
      </c>
      <c r="B1185" s="32" t="s">
        <v>21</v>
      </c>
      <c r="C1185" s="33" t="s">
        <v>182</v>
      </c>
      <c r="D1185" s="35">
        <v>45448</v>
      </c>
      <c r="E1185" s="32" t="s">
        <v>184</v>
      </c>
      <c r="F1185" s="32">
        <v>41001530</v>
      </c>
      <c r="G1185" s="32" t="s">
        <v>319</v>
      </c>
      <c r="H1185" s="26" t="s">
        <v>38</v>
      </c>
      <c r="I1185" s="36">
        <v>100</v>
      </c>
      <c r="J1185" s="32">
        <f>IF(MB25_VOLUMETRIA[[#This Row],[Reserva]]="","",1)</f>
        <v>1</v>
      </c>
      <c r="K1185" s="36" t="str">
        <f>IF(MB25_VOLUMETRIA[[#This Row],[Reserva]]="","",IFERROR(VLOOKUP(MB25_VOLUMETRIA[[#This Row],[UMB]],CHAVE[],2,FALSE),"VERIFICAR"))</f>
        <v>Unidade</v>
      </c>
      <c r="L11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5" s="32" t="str">
        <f ca="1">IFERROR(VLOOKUP(MB25_VOLUMETRIA[[#This Row],[Reserva]],RES_AB[],14,FALSE),"")</f>
        <v>PLANO DO DIA</v>
      </c>
      <c r="N1185" s="32" t="str">
        <f>IF(MB25_VOLUMETRIA[[#This Row],[Cen.]]="","",IFERROR(VLOOKUP(MB25_VOLUMETRIA[[#This Row],[Cen.]],Dados_Empresas[],2,FALSE),"Verificar empresa"))</f>
        <v>NET MASSIVO</v>
      </c>
      <c r="O1185" s="32" t="str">
        <f>IF(MB25_VOLUMETRIA[[#This Row],[EMPRESA]]="","",IF(OR(MB25_VOLUMETRIA[[#This Row],[EMPRESA]]="NET MASSIVO",MB25_VOLUMETRIA[[#This Row],[EMPRESA]]="NET PROJETOS"),"NET","EMPRESARIAL"))</f>
        <v>NET</v>
      </c>
    </row>
    <row r="1186" spans="1:15" x14ac:dyDescent="0.25">
      <c r="A1186" s="32">
        <v>4382383</v>
      </c>
      <c r="B1186" s="32" t="s">
        <v>21</v>
      </c>
      <c r="C1186" s="33" t="s">
        <v>21</v>
      </c>
      <c r="D1186" s="35">
        <v>45448</v>
      </c>
      <c r="E1186" s="32" t="s">
        <v>184</v>
      </c>
      <c r="F1186" s="32">
        <v>41001536</v>
      </c>
      <c r="G1186" s="32" t="s">
        <v>371</v>
      </c>
      <c r="H1186" s="26" t="s">
        <v>38</v>
      </c>
      <c r="I1186" s="36">
        <v>80</v>
      </c>
      <c r="J1186" s="32">
        <f>IF(MB25_VOLUMETRIA[[#This Row],[Reserva]]="","",1)</f>
        <v>1</v>
      </c>
      <c r="K1186" s="36" t="str">
        <f>IF(MB25_VOLUMETRIA[[#This Row],[Reserva]]="","",IFERROR(VLOOKUP(MB25_VOLUMETRIA[[#This Row],[UMB]],CHAVE[],2,FALSE),"VERIFICAR"))</f>
        <v>Unidade</v>
      </c>
      <c r="L11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6" s="32" t="str">
        <f ca="1">IFERROR(VLOOKUP(MB25_VOLUMETRIA[[#This Row],[Reserva]],RES_AB[],14,FALSE),"")</f>
        <v>PLANO DO DIA</v>
      </c>
      <c r="N1186" s="32" t="str">
        <f>IF(MB25_VOLUMETRIA[[#This Row],[Cen.]]="","",IFERROR(VLOOKUP(MB25_VOLUMETRIA[[#This Row],[Cen.]],Dados_Empresas[],2,FALSE),"Verificar empresa"))</f>
        <v>NET MASSIVO</v>
      </c>
      <c r="O1186" s="32" t="str">
        <f>IF(MB25_VOLUMETRIA[[#This Row],[EMPRESA]]="","",IF(OR(MB25_VOLUMETRIA[[#This Row],[EMPRESA]]="NET MASSIVO",MB25_VOLUMETRIA[[#This Row],[EMPRESA]]="NET PROJETOS"),"NET","EMPRESARIAL"))</f>
        <v>NET</v>
      </c>
    </row>
    <row r="1187" spans="1:15" x14ac:dyDescent="0.25">
      <c r="A1187" s="32">
        <v>4382383</v>
      </c>
      <c r="B1187" s="32" t="s">
        <v>21</v>
      </c>
      <c r="C1187" s="33" t="s">
        <v>21</v>
      </c>
      <c r="D1187" s="35">
        <v>45448</v>
      </c>
      <c r="E1187" s="32" t="s">
        <v>184</v>
      </c>
      <c r="F1187" s="32">
        <v>41001552</v>
      </c>
      <c r="G1187" s="32" t="s">
        <v>336</v>
      </c>
      <c r="H1187" s="26" t="s">
        <v>38</v>
      </c>
      <c r="I1187" s="36">
        <v>250</v>
      </c>
      <c r="J1187" s="32">
        <f>IF(MB25_VOLUMETRIA[[#This Row],[Reserva]]="","",1)</f>
        <v>1</v>
      </c>
      <c r="K1187" s="36" t="str">
        <f>IF(MB25_VOLUMETRIA[[#This Row],[Reserva]]="","",IFERROR(VLOOKUP(MB25_VOLUMETRIA[[#This Row],[UMB]],CHAVE[],2,FALSE),"VERIFICAR"))</f>
        <v>Unidade</v>
      </c>
      <c r="L11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7" s="32" t="str">
        <f ca="1">IFERROR(VLOOKUP(MB25_VOLUMETRIA[[#This Row],[Reserva]],RES_AB[],14,FALSE),"")</f>
        <v>PLANO DO DIA</v>
      </c>
      <c r="N1187" s="32" t="str">
        <f>IF(MB25_VOLUMETRIA[[#This Row],[Cen.]]="","",IFERROR(VLOOKUP(MB25_VOLUMETRIA[[#This Row],[Cen.]],Dados_Empresas[],2,FALSE),"Verificar empresa"))</f>
        <v>NET MASSIVO</v>
      </c>
      <c r="O1187" s="32" t="str">
        <f>IF(MB25_VOLUMETRIA[[#This Row],[EMPRESA]]="","",IF(OR(MB25_VOLUMETRIA[[#This Row],[EMPRESA]]="NET MASSIVO",MB25_VOLUMETRIA[[#This Row],[EMPRESA]]="NET PROJETOS"),"NET","EMPRESARIAL"))</f>
        <v>NET</v>
      </c>
    </row>
    <row r="1188" spans="1:15" x14ac:dyDescent="0.25">
      <c r="A1188" s="32">
        <v>4382386</v>
      </c>
      <c r="B1188" s="32" t="s">
        <v>21</v>
      </c>
      <c r="C1188" s="33" t="s">
        <v>182</v>
      </c>
      <c r="D1188" s="35">
        <v>45448</v>
      </c>
      <c r="E1188" s="32" t="s">
        <v>184</v>
      </c>
      <c r="F1188" s="32">
        <v>41001530</v>
      </c>
      <c r="G1188" s="32" t="s">
        <v>319</v>
      </c>
      <c r="H1188" s="26" t="s">
        <v>38</v>
      </c>
      <c r="I1188" s="36">
        <v>300</v>
      </c>
      <c r="J1188" s="32">
        <f>IF(MB25_VOLUMETRIA[[#This Row],[Reserva]]="","",1)</f>
        <v>1</v>
      </c>
      <c r="K1188" s="36" t="str">
        <f>IF(MB25_VOLUMETRIA[[#This Row],[Reserva]]="","",IFERROR(VLOOKUP(MB25_VOLUMETRIA[[#This Row],[UMB]],CHAVE[],2,FALSE),"VERIFICAR"))</f>
        <v>Unidade</v>
      </c>
      <c r="L11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8" s="32" t="str">
        <f ca="1">IFERROR(VLOOKUP(MB25_VOLUMETRIA[[#This Row],[Reserva]],RES_AB[],14,FALSE),"")</f>
        <v>PLANO DO DIA</v>
      </c>
      <c r="N1188" s="32" t="str">
        <f>IF(MB25_VOLUMETRIA[[#This Row],[Cen.]]="","",IFERROR(VLOOKUP(MB25_VOLUMETRIA[[#This Row],[Cen.]],Dados_Empresas[],2,FALSE),"Verificar empresa"))</f>
        <v>NET MASSIVO</v>
      </c>
      <c r="O1188" s="32" t="str">
        <f>IF(MB25_VOLUMETRIA[[#This Row],[EMPRESA]]="","",IF(OR(MB25_VOLUMETRIA[[#This Row],[EMPRESA]]="NET MASSIVO",MB25_VOLUMETRIA[[#This Row],[EMPRESA]]="NET PROJETOS"),"NET","EMPRESARIAL"))</f>
        <v>NET</v>
      </c>
    </row>
    <row r="1189" spans="1:15" x14ac:dyDescent="0.25">
      <c r="A1189" s="32">
        <v>4382387</v>
      </c>
      <c r="B1189" s="32" t="s">
        <v>21</v>
      </c>
      <c r="C1189" s="33" t="s">
        <v>19</v>
      </c>
      <c r="D1189" s="35">
        <v>45448</v>
      </c>
      <c r="E1189" s="32" t="s">
        <v>185</v>
      </c>
      <c r="F1189" s="32">
        <v>22025162</v>
      </c>
      <c r="G1189" s="32" t="s">
        <v>211</v>
      </c>
      <c r="H1189" s="26" t="s">
        <v>38</v>
      </c>
      <c r="I1189" s="36">
        <v>300</v>
      </c>
      <c r="J1189" s="32">
        <f>IF(MB25_VOLUMETRIA[[#This Row],[Reserva]]="","",1)</f>
        <v>1</v>
      </c>
      <c r="K1189" s="36" t="str">
        <f>IF(MB25_VOLUMETRIA[[#This Row],[Reserva]]="","",IFERROR(VLOOKUP(MB25_VOLUMETRIA[[#This Row],[UMB]],CHAVE[],2,FALSE),"VERIFICAR"))</f>
        <v>Unidade</v>
      </c>
      <c r="L11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89" s="32" t="str">
        <f ca="1">IFERROR(VLOOKUP(MB25_VOLUMETRIA[[#This Row],[Reserva]],RES_AB[],14,FALSE),"")</f>
        <v>PLANO DO DIA</v>
      </c>
      <c r="N1189" s="32" t="str">
        <f>IF(MB25_VOLUMETRIA[[#This Row],[Cen.]]="","",IFERROR(VLOOKUP(MB25_VOLUMETRIA[[#This Row],[Cen.]],Dados_Empresas[],2,FALSE),"Verificar empresa"))</f>
        <v>NET MASSIVO</v>
      </c>
      <c r="O1189" s="32" t="str">
        <f>IF(MB25_VOLUMETRIA[[#This Row],[EMPRESA]]="","",IF(OR(MB25_VOLUMETRIA[[#This Row],[EMPRESA]]="NET MASSIVO",MB25_VOLUMETRIA[[#This Row],[EMPRESA]]="NET PROJETOS"),"NET","EMPRESARIAL"))</f>
        <v>NET</v>
      </c>
    </row>
    <row r="1190" spans="1:15" x14ac:dyDescent="0.25">
      <c r="A1190" s="32">
        <v>4382387</v>
      </c>
      <c r="B1190" s="32" t="s">
        <v>21</v>
      </c>
      <c r="C1190" s="33" t="s">
        <v>21</v>
      </c>
      <c r="D1190" s="35">
        <v>45448</v>
      </c>
      <c r="E1190" s="32" t="s">
        <v>185</v>
      </c>
      <c r="F1190" s="32">
        <v>22025170</v>
      </c>
      <c r="G1190" s="32" t="s">
        <v>398</v>
      </c>
      <c r="H1190" s="26" t="s">
        <v>38</v>
      </c>
      <c r="I1190" s="36">
        <v>200</v>
      </c>
      <c r="J1190" s="32">
        <f>IF(MB25_VOLUMETRIA[[#This Row],[Reserva]]="","",1)</f>
        <v>1</v>
      </c>
      <c r="K1190" s="36" t="str">
        <f>IF(MB25_VOLUMETRIA[[#This Row],[Reserva]]="","",IFERROR(VLOOKUP(MB25_VOLUMETRIA[[#This Row],[UMB]],CHAVE[],2,FALSE),"VERIFICAR"))</f>
        <v>Unidade</v>
      </c>
      <c r="L11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0" s="32" t="str">
        <f ca="1">IFERROR(VLOOKUP(MB25_VOLUMETRIA[[#This Row],[Reserva]],RES_AB[],14,FALSE),"")</f>
        <v>PLANO DO DIA</v>
      </c>
      <c r="N1190" s="32" t="str">
        <f>IF(MB25_VOLUMETRIA[[#This Row],[Cen.]]="","",IFERROR(VLOOKUP(MB25_VOLUMETRIA[[#This Row],[Cen.]],Dados_Empresas[],2,FALSE),"Verificar empresa"))</f>
        <v>NET MASSIVO</v>
      </c>
      <c r="O1190" s="32" t="str">
        <f>IF(MB25_VOLUMETRIA[[#This Row],[EMPRESA]]="","",IF(OR(MB25_VOLUMETRIA[[#This Row],[EMPRESA]]="NET MASSIVO",MB25_VOLUMETRIA[[#This Row],[EMPRESA]]="NET PROJETOS"),"NET","EMPRESARIAL"))</f>
        <v>NET</v>
      </c>
    </row>
    <row r="1191" spans="1:15" x14ac:dyDescent="0.25">
      <c r="A1191" s="32">
        <v>4382387</v>
      </c>
      <c r="B1191" s="32" t="s">
        <v>21</v>
      </c>
      <c r="C1191" s="33" t="s">
        <v>21</v>
      </c>
      <c r="D1191" s="35">
        <v>45448</v>
      </c>
      <c r="E1191" s="32" t="s">
        <v>185</v>
      </c>
      <c r="F1191" s="32">
        <v>22057866</v>
      </c>
      <c r="G1191" s="32" t="s">
        <v>225</v>
      </c>
      <c r="H1191" s="26" t="s">
        <v>38</v>
      </c>
      <c r="I1191" s="36">
        <v>100</v>
      </c>
      <c r="J1191" s="32">
        <f>IF(MB25_VOLUMETRIA[[#This Row],[Reserva]]="","",1)</f>
        <v>1</v>
      </c>
      <c r="K1191" s="36" t="str">
        <f>IF(MB25_VOLUMETRIA[[#This Row],[Reserva]]="","",IFERROR(VLOOKUP(MB25_VOLUMETRIA[[#This Row],[UMB]],CHAVE[],2,FALSE),"VERIFICAR"))</f>
        <v>Unidade</v>
      </c>
      <c r="L11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1" s="32" t="str">
        <f ca="1">IFERROR(VLOOKUP(MB25_VOLUMETRIA[[#This Row],[Reserva]],RES_AB[],14,FALSE),"")</f>
        <v>PLANO DO DIA</v>
      </c>
      <c r="N1191" s="32" t="str">
        <f>IF(MB25_VOLUMETRIA[[#This Row],[Cen.]]="","",IFERROR(VLOOKUP(MB25_VOLUMETRIA[[#This Row],[Cen.]],Dados_Empresas[],2,FALSE),"Verificar empresa"))</f>
        <v>NET MASSIVO</v>
      </c>
      <c r="O1191" s="32" t="str">
        <f>IF(MB25_VOLUMETRIA[[#This Row],[EMPRESA]]="","",IF(OR(MB25_VOLUMETRIA[[#This Row],[EMPRESA]]="NET MASSIVO",MB25_VOLUMETRIA[[#This Row],[EMPRESA]]="NET PROJETOS"),"NET","EMPRESARIAL"))</f>
        <v>NET</v>
      </c>
    </row>
    <row r="1192" spans="1:15" x14ac:dyDescent="0.25">
      <c r="A1192" s="32">
        <v>4382388</v>
      </c>
      <c r="B1192" s="32" t="s">
        <v>21</v>
      </c>
      <c r="C1192" s="33" t="s">
        <v>21</v>
      </c>
      <c r="D1192" s="35">
        <v>45448</v>
      </c>
      <c r="E1192" s="32" t="s">
        <v>184</v>
      </c>
      <c r="F1192" s="32">
        <v>41001552</v>
      </c>
      <c r="G1192" s="32" t="s">
        <v>336</v>
      </c>
      <c r="H1192" s="26" t="s">
        <v>38</v>
      </c>
      <c r="I1192" s="36">
        <v>650</v>
      </c>
      <c r="J1192" s="32">
        <f>IF(MB25_VOLUMETRIA[[#This Row],[Reserva]]="","",1)</f>
        <v>1</v>
      </c>
      <c r="K1192" s="36" t="str">
        <f>IF(MB25_VOLUMETRIA[[#This Row],[Reserva]]="","",IFERROR(VLOOKUP(MB25_VOLUMETRIA[[#This Row],[UMB]],CHAVE[],2,FALSE),"VERIFICAR"))</f>
        <v>Unidade</v>
      </c>
      <c r="L11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2" s="32" t="str">
        <f ca="1">IFERROR(VLOOKUP(MB25_VOLUMETRIA[[#This Row],[Reserva]],RES_AB[],14,FALSE),"")</f>
        <v>PLANO DO DIA</v>
      </c>
      <c r="N1192" s="32" t="str">
        <f>IF(MB25_VOLUMETRIA[[#This Row],[Cen.]]="","",IFERROR(VLOOKUP(MB25_VOLUMETRIA[[#This Row],[Cen.]],Dados_Empresas[],2,FALSE),"Verificar empresa"))</f>
        <v>NET MASSIVO</v>
      </c>
      <c r="O1192" s="32" t="str">
        <f>IF(MB25_VOLUMETRIA[[#This Row],[EMPRESA]]="","",IF(OR(MB25_VOLUMETRIA[[#This Row],[EMPRESA]]="NET MASSIVO",MB25_VOLUMETRIA[[#This Row],[EMPRESA]]="NET PROJETOS"),"NET","EMPRESARIAL"))</f>
        <v>NET</v>
      </c>
    </row>
    <row r="1193" spans="1:15" x14ac:dyDescent="0.25">
      <c r="A1193" s="32">
        <v>4382391</v>
      </c>
      <c r="B1193" s="32" t="s">
        <v>21</v>
      </c>
      <c r="C1193" s="33" t="s">
        <v>21</v>
      </c>
      <c r="D1193" s="35">
        <v>45448</v>
      </c>
      <c r="E1193" s="32" t="s">
        <v>184</v>
      </c>
      <c r="F1193" s="32">
        <v>41001536</v>
      </c>
      <c r="G1193" s="32" t="s">
        <v>371</v>
      </c>
      <c r="H1193" s="26" t="s">
        <v>38</v>
      </c>
      <c r="I1193" s="36">
        <v>50</v>
      </c>
      <c r="J1193" s="32">
        <f>IF(MB25_VOLUMETRIA[[#This Row],[Reserva]]="","",1)</f>
        <v>1</v>
      </c>
      <c r="K1193" s="36" t="str">
        <f>IF(MB25_VOLUMETRIA[[#This Row],[Reserva]]="","",IFERROR(VLOOKUP(MB25_VOLUMETRIA[[#This Row],[UMB]],CHAVE[],2,FALSE),"VERIFICAR"))</f>
        <v>Unidade</v>
      </c>
      <c r="L11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3" s="32" t="str">
        <f ca="1">IFERROR(VLOOKUP(MB25_VOLUMETRIA[[#This Row],[Reserva]],RES_AB[],14,FALSE),"")</f>
        <v>PLANO DO DIA</v>
      </c>
      <c r="N1193" s="32" t="str">
        <f>IF(MB25_VOLUMETRIA[[#This Row],[Cen.]]="","",IFERROR(VLOOKUP(MB25_VOLUMETRIA[[#This Row],[Cen.]],Dados_Empresas[],2,FALSE),"Verificar empresa"))</f>
        <v>NET MASSIVO</v>
      </c>
      <c r="O1193" s="32" t="str">
        <f>IF(MB25_VOLUMETRIA[[#This Row],[EMPRESA]]="","",IF(OR(MB25_VOLUMETRIA[[#This Row],[EMPRESA]]="NET MASSIVO",MB25_VOLUMETRIA[[#This Row],[EMPRESA]]="NET PROJETOS"),"NET","EMPRESARIAL"))</f>
        <v>NET</v>
      </c>
    </row>
    <row r="1194" spans="1:15" x14ac:dyDescent="0.25">
      <c r="A1194" s="32">
        <v>4382391</v>
      </c>
      <c r="B1194" s="32" t="s">
        <v>21</v>
      </c>
      <c r="C1194" s="33" t="s">
        <v>21</v>
      </c>
      <c r="D1194" s="35">
        <v>45448</v>
      </c>
      <c r="E1194" s="32" t="s">
        <v>184</v>
      </c>
      <c r="F1194" s="32">
        <v>41001553</v>
      </c>
      <c r="G1194" s="32" t="s">
        <v>295</v>
      </c>
      <c r="H1194" s="26" t="s">
        <v>38</v>
      </c>
      <c r="I1194" s="36">
        <v>30</v>
      </c>
      <c r="J1194" s="32">
        <f>IF(MB25_VOLUMETRIA[[#This Row],[Reserva]]="","",1)</f>
        <v>1</v>
      </c>
      <c r="K1194" s="36" t="str">
        <f>IF(MB25_VOLUMETRIA[[#This Row],[Reserva]]="","",IFERROR(VLOOKUP(MB25_VOLUMETRIA[[#This Row],[UMB]],CHAVE[],2,FALSE),"VERIFICAR"))</f>
        <v>Unidade</v>
      </c>
      <c r="L11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4" s="32" t="str">
        <f ca="1">IFERROR(VLOOKUP(MB25_VOLUMETRIA[[#This Row],[Reserva]],RES_AB[],14,FALSE),"")</f>
        <v>PLANO DO DIA</v>
      </c>
      <c r="N1194" s="32" t="str">
        <f>IF(MB25_VOLUMETRIA[[#This Row],[Cen.]]="","",IFERROR(VLOOKUP(MB25_VOLUMETRIA[[#This Row],[Cen.]],Dados_Empresas[],2,FALSE),"Verificar empresa"))</f>
        <v>NET MASSIVO</v>
      </c>
      <c r="O1194" s="32" t="str">
        <f>IF(MB25_VOLUMETRIA[[#This Row],[EMPRESA]]="","",IF(OR(MB25_VOLUMETRIA[[#This Row],[EMPRESA]]="NET MASSIVO",MB25_VOLUMETRIA[[#This Row],[EMPRESA]]="NET PROJETOS"),"NET","EMPRESARIAL"))</f>
        <v>NET</v>
      </c>
    </row>
    <row r="1195" spans="1:15" x14ac:dyDescent="0.25">
      <c r="A1195" s="32">
        <v>4382392</v>
      </c>
      <c r="B1195" s="32" t="s">
        <v>21</v>
      </c>
      <c r="C1195" s="33" t="s">
        <v>21</v>
      </c>
      <c r="D1195" s="35">
        <v>45448</v>
      </c>
      <c r="E1195" s="32" t="s">
        <v>185</v>
      </c>
      <c r="F1195" s="32">
        <v>22025072</v>
      </c>
      <c r="G1195" s="32" t="s">
        <v>204</v>
      </c>
      <c r="H1195" s="26" t="s">
        <v>38</v>
      </c>
      <c r="I1195" s="36">
        <v>10</v>
      </c>
      <c r="J1195" s="32">
        <f>IF(MB25_VOLUMETRIA[[#This Row],[Reserva]]="","",1)</f>
        <v>1</v>
      </c>
      <c r="K1195" s="36" t="str">
        <f>IF(MB25_VOLUMETRIA[[#This Row],[Reserva]]="","",IFERROR(VLOOKUP(MB25_VOLUMETRIA[[#This Row],[UMB]],CHAVE[],2,FALSE),"VERIFICAR"))</f>
        <v>Unidade</v>
      </c>
      <c r="L11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5" s="32" t="str">
        <f ca="1">IFERROR(VLOOKUP(MB25_VOLUMETRIA[[#This Row],[Reserva]],RES_AB[],14,FALSE),"")</f>
        <v>PLANO DO DIA</v>
      </c>
      <c r="N1195" s="32" t="str">
        <f>IF(MB25_VOLUMETRIA[[#This Row],[Cen.]]="","",IFERROR(VLOOKUP(MB25_VOLUMETRIA[[#This Row],[Cen.]],Dados_Empresas[],2,FALSE),"Verificar empresa"))</f>
        <v>NET MASSIVO</v>
      </c>
      <c r="O1195" s="32" t="str">
        <f>IF(MB25_VOLUMETRIA[[#This Row],[EMPRESA]]="","",IF(OR(MB25_VOLUMETRIA[[#This Row],[EMPRESA]]="NET MASSIVO",MB25_VOLUMETRIA[[#This Row],[EMPRESA]]="NET PROJETOS"),"NET","EMPRESARIAL"))</f>
        <v>NET</v>
      </c>
    </row>
    <row r="1196" spans="1:15" x14ac:dyDescent="0.25">
      <c r="A1196" s="32">
        <v>4382392</v>
      </c>
      <c r="B1196" s="32" t="s">
        <v>21</v>
      </c>
      <c r="C1196" s="33" t="s">
        <v>21</v>
      </c>
      <c r="D1196" s="35">
        <v>45448</v>
      </c>
      <c r="E1196" s="32" t="s">
        <v>185</v>
      </c>
      <c r="F1196" s="32">
        <v>22026809</v>
      </c>
      <c r="G1196" s="32" t="s">
        <v>231</v>
      </c>
      <c r="H1196" s="26" t="s">
        <v>38</v>
      </c>
      <c r="I1196" s="36">
        <v>50</v>
      </c>
      <c r="J1196" s="32">
        <f>IF(MB25_VOLUMETRIA[[#This Row],[Reserva]]="","",1)</f>
        <v>1</v>
      </c>
      <c r="K1196" s="36" t="str">
        <f>IF(MB25_VOLUMETRIA[[#This Row],[Reserva]]="","",IFERROR(VLOOKUP(MB25_VOLUMETRIA[[#This Row],[UMB]],CHAVE[],2,FALSE),"VERIFICAR"))</f>
        <v>Unidade</v>
      </c>
      <c r="L11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6" s="32" t="str">
        <f ca="1">IFERROR(VLOOKUP(MB25_VOLUMETRIA[[#This Row],[Reserva]],RES_AB[],14,FALSE),"")</f>
        <v>PLANO DO DIA</v>
      </c>
      <c r="N1196" s="32" t="str">
        <f>IF(MB25_VOLUMETRIA[[#This Row],[Cen.]]="","",IFERROR(VLOOKUP(MB25_VOLUMETRIA[[#This Row],[Cen.]],Dados_Empresas[],2,FALSE),"Verificar empresa"))</f>
        <v>NET MASSIVO</v>
      </c>
      <c r="O1196" s="32" t="str">
        <f>IF(MB25_VOLUMETRIA[[#This Row],[EMPRESA]]="","",IF(OR(MB25_VOLUMETRIA[[#This Row],[EMPRESA]]="NET MASSIVO",MB25_VOLUMETRIA[[#This Row],[EMPRESA]]="NET PROJETOS"),"NET","EMPRESARIAL"))</f>
        <v>NET</v>
      </c>
    </row>
    <row r="1197" spans="1:15" x14ac:dyDescent="0.25">
      <c r="A1197" s="32">
        <v>4382392</v>
      </c>
      <c r="B1197" s="32" t="s">
        <v>21</v>
      </c>
      <c r="C1197" s="33" t="s">
        <v>21</v>
      </c>
      <c r="D1197" s="35">
        <v>45448</v>
      </c>
      <c r="E1197" s="32" t="s">
        <v>185</v>
      </c>
      <c r="F1197" s="32">
        <v>22056332</v>
      </c>
      <c r="G1197" s="32" t="s">
        <v>207</v>
      </c>
      <c r="H1197" s="26" t="s">
        <v>38</v>
      </c>
      <c r="I1197" s="36">
        <v>1</v>
      </c>
      <c r="J1197" s="32">
        <f>IF(MB25_VOLUMETRIA[[#This Row],[Reserva]]="","",1)</f>
        <v>1</v>
      </c>
      <c r="K1197" s="36" t="str">
        <f>IF(MB25_VOLUMETRIA[[#This Row],[Reserva]]="","",IFERROR(VLOOKUP(MB25_VOLUMETRIA[[#This Row],[UMB]],CHAVE[],2,FALSE),"VERIFICAR"))</f>
        <v>Unidade</v>
      </c>
      <c r="L11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7" s="32" t="str">
        <f ca="1">IFERROR(VLOOKUP(MB25_VOLUMETRIA[[#This Row],[Reserva]],RES_AB[],14,FALSE),"")</f>
        <v>PLANO DO DIA</v>
      </c>
      <c r="N1197" s="32" t="str">
        <f>IF(MB25_VOLUMETRIA[[#This Row],[Cen.]]="","",IFERROR(VLOOKUP(MB25_VOLUMETRIA[[#This Row],[Cen.]],Dados_Empresas[],2,FALSE),"Verificar empresa"))</f>
        <v>NET MASSIVO</v>
      </c>
      <c r="O1197" s="32" t="str">
        <f>IF(MB25_VOLUMETRIA[[#This Row],[EMPRESA]]="","",IF(OR(MB25_VOLUMETRIA[[#This Row],[EMPRESA]]="NET MASSIVO",MB25_VOLUMETRIA[[#This Row],[EMPRESA]]="NET PROJETOS"),"NET","EMPRESARIAL"))</f>
        <v>NET</v>
      </c>
    </row>
    <row r="1198" spans="1:15" x14ac:dyDescent="0.25">
      <c r="A1198" s="32">
        <v>4382392</v>
      </c>
      <c r="B1198" s="32" t="s">
        <v>21</v>
      </c>
      <c r="C1198" s="33" t="s">
        <v>21</v>
      </c>
      <c r="D1198" s="35">
        <v>45448</v>
      </c>
      <c r="E1198" s="32" t="s">
        <v>185</v>
      </c>
      <c r="F1198" s="32">
        <v>22056364</v>
      </c>
      <c r="G1198" s="32" t="s">
        <v>236</v>
      </c>
      <c r="H1198" s="26" t="s">
        <v>38</v>
      </c>
      <c r="I1198" s="36">
        <v>90</v>
      </c>
      <c r="J1198" s="32">
        <f>IF(MB25_VOLUMETRIA[[#This Row],[Reserva]]="","",1)</f>
        <v>1</v>
      </c>
      <c r="K1198" s="36" t="str">
        <f>IF(MB25_VOLUMETRIA[[#This Row],[Reserva]]="","",IFERROR(VLOOKUP(MB25_VOLUMETRIA[[#This Row],[UMB]],CHAVE[],2,FALSE),"VERIFICAR"))</f>
        <v>Unidade</v>
      </c>
      <c r="L11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8" s="32" t="str">
        <f ca="1">IFERROR(VLOOKUP(MB25_VOLUMETRIA[[#This Row],[Reserva]],RES_AB[],14,FALSE),"")</f>
        <v>PLANO DO DIA</v>
      </c>
      <c r="N1198" s="32" t="str">
        <f>IF(MB25_VOLUMETRIA[[#This Row],[Cen.]]="","",IFERROR(VLOOKUP(MB25_VOLUMETRIA[[#This Row],[Cen.]],Dados_Empresas[],2,FALSE),"Verificar empresa"))</f>
        <v>NET MASSIVO</v>
      </c>
      <c r="O1198" s="32" t="str">
        <f>IF(MB25_VOLUMETRIA[[#This Row],[EMPRESA]]="","",IF(OR(MB25_VOLUMETRIA[[#This Row],[EMPRESA]]="NET MASSIVO",MB25_VOLUMETRIA[[#This Row],[EMPRESA]]="NET PROJETOS"),"NET","EMPRESARIAL"))</f>
        <v>NET</v>
      </c>
    </row>
    <row r="1199" spans="1:15" x14ac:dyDescent="0.25">
      <c r="A1199" s="32">
        <v>4382392</v>
      </c>
      <c r="B1199" s="32" t="s">
        <v>21</v>
      </c>
      <c r="C1199" s="33" t="s">
        <v>21</v>
      </c>
      <c r="D1199" s="35">
        <v>45448</v>
      </c>
      <c r="E1199" s="32" t="s">
        <v>185</v>
      </c>
      <c r="F1199" s="32">
        <v>22066517</v>
      </c>
      <c r="G1199" s="32" t="s">
        <v>325</v>
      </c>
      <c r="H1199" s="26" t="s">
        <v>38</v>
      </c>
      <c r="I1199" s="36">
        <v>150</v>
      </c>
      <c r="J1199" s="32">
        <f>IF(MB25_VOLUMETRIA[[#This Row],[Reserva]]="","",1)</f>
        <v>1</v>
      </c>
      <c r="K1199" s="36" t="str">
        <f>IF(MB25_VOLUMETRIA[[#This Row],[Reserva]]="","",IFERROR(VLOOKUP(MB25_VOLUMETRIA[[#This Row],[UMB]],CHAVE[],2,FALSE),"VERIFICAR"))</f>
        <v>Unidade</v>
      </c>
      <c r="L11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199" s="32" t="str">
        <f ca="1">IFERROR(VLOOKUP(MB25_VOLUMETRIA[[#This Row],[Reserva]],RES_AB[],14,FALSE),"")</f>
        <v>PLANO DO DIA</v>
      </c>
      <c r="N1199" s="32" t="str">
        <f>IF(MB25_VOLUMETRIA[[#This Row],[Cen.]]="","",IFERROR(VLOOKUP(MB25_VOLUMETRIA[[#This Row],[Cen.]],Dados_Empresas[],2,FALSE),"Verificar empresa"))</f>
        <v>NET MASSIVO</v>
      </c>
      <c r="O1199" s="32" t="str">
        <f>IF(MB25_VOLUMETRIA[[#This Row],[EMPRESA]]="","",IF(OR(MB25_VOLUMETRIA[[#This Row],[EMPRESA]]="NET MASSIVO",MB25_VOLUMETRIA[[#This Row],[EMPRESA]]="NET PROJETOS"),"NET","EMPRESARIAL"))</f>
        <v>NET</v>
      </c>
    </row>
    <row r="1200" spans="1:15" x14ac:dyDescent="0.25">
      <c r="A1200" s="32">
        <v>4382393</v>
      </c>
      <c r="B1200" s="32" t="s">
        <v>21</v>
      </c>
      <c r="C1200" s="33" t="s">
        <v>21</v>
      </c>
      <c r="D1200" s="35">
        <v>45448</v>
      </c>
      <c r="E1200" s="32" t="s">
        <v>184</v>
      </c>
      <c r="F1200" s="32">
        <v>41001553</v>
      </c>
      <c r="G1200" s="32" t="s">
        <v>295</v>
      </c>
      <c r="H1200" s="26" t="s">
        <v>38</v>
      </c>
      <c r="I1200" s="36">
        <v>30</v>
      </c>
      <c r="J1200" s="32">
        <f>IF(MB25_VOLUMETRIA[[#This Row],[Reserva]]="","",1)</f>
        <v>1</v>
      </c>
      <c r="K1200" s="36" t="str">
        <f>IF(MB25_VOLUMETRIA[[#This Row],[Reserva]]="","",IFERROR(VLOOKUP(MB25_VOLUMETRIA[[#This Row],[UMB]],CHAVE[],2,FALSE),"VERIFICAR"))</f>
        <v>Unidade</v>
      </c>
      <c r="L12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0" s="32" t="str">
        <f ca="1">IFERROR(VLOOKUP(MB25_VOLUMETRIA[[#This Row],[Reserva]],RES_AB[],14,FALSE),"")</f>
        <v>PLANO DO DIA</v>
      </c>
      <c r="N1200" s="32" t="str">
        <f>IF(MB25_VOLUMETRIA[[#This Row],[Cen.]]="","",IFERROR(VLOOKUP(MB25_VOLUMETRIA[[#This Row],[Cen.]],Dados_Empresas[],2,FALSE),"Verificar empresa"))</f>
        <v>NET MASSIVO</v>
      </c>
      <c r="O1200" s="32" t="str">
        <f>IF(MB25_VOLUMETRIA[[#This Row],[EMPRESA]]="","",IF(OR(MB25_VOLUMETRIA[[#This Row],[EMPRESA]]="NET MASSIVO",MB25_VOLUMETRIA[[#This Row],[EMPRESA]]="NET PROJETOS"),"NET","EMPRESARIAL"))</f>
        <v>NET</v>
      </c>
    </row>
    <row r="1201" spans="1:15" x14ac:dyDescent="0.25">
      <c r="A1201" s="32">
        <v>4382394</v>
      </c>
      <c r="B1201" s="32" t="s">
        <v>21</v>
      </c>
      <c r="C1201" s="33" t="s">
        <v>21</v>
      </c>
      <c r="D1201" s="35">
        <v>45448</v>
      </c>
      <c r="E1201" s="32" t="s">
        <v>185</v>
      </c>
      <c r="F1201" s="32">
        <v>22025072</v>
      </c>
      <c r="G1201" s="32" t="s">
        <v>204</v>
      </c>
      <c r="H1201" s="26" t="s">
        <v>38</v>
      </c>
      <c r="I1201" s="36">
        <v>19</v>
      </c>
      <c r="J1201" s="32">
        <f>IF(MB25_VOLUMETRIA[[#This Row],[Reserva]]="","",1)</f>
        <v>1</v>
      </c>
      <c r="K1201" s="36" t="str">
        <f>IF(MB25_VOLUMETRIA[[#This Row],[Reserva]]="","",IFERROR(VLOOKUP(MB25_VOLUMETRIA[[#This Row],[UMB]],CHAVE[],2,FALSE),"VERIFICAR"))</f>
        <v>Unidade</v>
      </c>
      <c r="L12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1" s="32" t="str">
        <f ca="1">IFERROR(VLOOKUP(MB25_VOLUMETRIA[[#This Row],[Reserva]],RES_AB[],14,FALSE),"")</f>
        <v>PLANO DO DIA</v>
      </c>
      <c r="N1201" s="32" t="str">
        <f>IF(MB25_VOLUMETRIA[[#This Row],[Cen.]]="","",IFERROR(VLOOKUP(MB25_VOLUMETRIA[[#This Row],[Cen.]],Dados_Empresas[],2,FALSE),"Verificar empresa"))</f>
        <v>NET MASSIVO</v>
      </c>
      <c r="O1201" s="32" t="str">
        <f>IF(MB25_VOLUMETRIA[[#This Row],[EMPRESA]]="","",IF(OR(MB25_VOLUMETRIA[[#This Row],[EMPRESA]]="NET MASSIVO",MB25_VOLUMETRIA[[#This Row],[EMPRESA]]="NET PROJETOS"),"NET","EMPRESARIAL"))</f>
        <v>NET</v>
      </c>
    </row>
    <row r="1202" spans="1:15" x14ac:dyDescent="0.25">
      <c r="A1202" s="32">
        <v>4382394</v>
      </c>
      <c r="B1202" s="32" t="s">
        <v>21</v>
      </c>
      <c r="C1202" s="33" t="s">
        <v>19</v>
      </c>
      <c r="D1202" s="35">
        <v>45448</v>
      </c>
      <c r="E1202" s="32" t="s">
        <v>185</v>
      </c>
      <c r="F1202" s="32">
        <v>22025242</v>
      </c>
      <c r="G1202" s="32" t="s">
        <v>329</v>
      </c>
      <c r="H1202" s="26" t="s">
        <v>38</v>
      </c>
      <c r="I1202" s="36">
        <v>100</v>
      </c>
      <c r="J1202" s="32">
        <f>IF(MB25_VOLUMETRIA[[#This Row],[Reserva]]="","",1)</f>
        <v>1</v>
      </c>
      <c r="K1202" s="36" t="str">
        <f>IF(MB25_VOLUMETRIA[[#This Row],[Reserva]]="","",IFERROR(VLOOKUP(MB25_VOLUMETRIA[[#This Row],[UMB]],CHAVE[],2,FALSE),"VERIFICAR"))</f>
        <v>Unidade</v>
      </c>
      <c r="L12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2" s="32" t="str">
        <f ca="1">IFERROR(VLOOKUP(MB25_VOLUMETRIA[[#This Row],[Reserva]],RES_AB[],14,FALSE),"")</f>
        <v>PLANO DO DIA</v>
      </c>
      <c r="N1202" s="32" t="str">
        <f>IF(MB25_VOLUMETRIA[[#This Row],[Cen.]]="","",IFERROR(VLOOKUP(MB25_VOLUMETRIA[[#This Row],[Cen.]],Dados_Empresas[],2,FALSE),"Verificar empresa"))</f>
        <v>NET MASSIVO</v>
      </c>
      <c r="O1202" s="32" t="str">
        <f>IF(MB25_VOLUMETRIA[[#This Row],[EMPRESA]]="","",IF(OR(MB25_VOLUMETRIA[[#This Row],[EMPRESA]]="NET MASSIVO",MB25_VOLUMETRIA[[#This Row],[EMPRESA]]="NET PROJETOS"),"NET","EMPRESARIAL"))</f>
        <v>NET</v>
      </c>
    </row>
    <row r="1203" spans="1:15" x14ac:dyDescent="0.25">
      <c r="A1203" s="32">
        <v>4382394</v>
      </c>
      <c r="B1203" s="32" t="s">
        <v>21</v>
      </c>
      <c r="C1203" s="33" t="s">
        <v>21</v>
      </c>
      <c r="D1203" s="35">
        <v>45448</v>
      </c>
      <c r="E1203" s="32" t="s">
        <v>185</v>
      </c>
      <c r="F1203" s="32">
        <v>22025349</v>
      </c>
      <c r="G1203" s="32" t="s">
        <v>217</v>
      </c>
      <c r="H1203" s="26" t="s">
        <v>38</v>
      </c>
      <c r="I1203" s="36">
        <v>300</v>
      </c>
      <c r="J1203" s="32">
        <f>IF(MB25_VOLUMETRIA[[#This Row],[Reserva]]="","",1)</f>
        <v>1</v>
      </c>
      <c r="K1203" s="36" t="str">
        <f>IF(MB25_VOLUMETRIA[[#This Row],[Reserva]]="","",IFERROR(VLOOKUP(MB25_VOLUMETRIA[[#This Row],[UMB]],CHAVE[],2,FALSE),"VERIFICAR"))</f>
        <v>Unidade</v>
      </c>
      <c r="L12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3" s="32" t="str">
        <f ca="1">IFERROR(VLOOKUP(MB25_VOLUMETRIA[[#This Row],[Reserva]],RES_AB[],14,FALSE),"")</f>
        <v>PLANO DO DIA</v>
      </c>
      <c r="N1203" s="32" t="str">
        <f>IF(MB25_VOLUMETRIA[[#This Row],[Cen.]]="","",IFERROR(VLOOKUP(MB25_VOLUMETRIA[[#This Row],[Cen.]],Dados_Empresas[],2,FALSE),"Verificar empresa"))</f>
        <v>NET MASSIVO</v>
      </c>
      <c r="O1203" s="32" t="str">
        <f>IF(MB25_VOLUMETRIA[[#This Row],[EMPRESA]]="","",IF(OR(MB25_VOLUMETRIA[[#This Row],[EMPRESA]]="NET MASSIVO",MB25_VOLUMETRIA[[#This Row],[EMPRESA]]="NET PROJETOS"),"NET","EMPRESARIAL"))</f>
        <v>NET</v>
      </c>
    </row>
    <row r="1204" spans="1:15" x14ac:dyDescent="0.25">
      <c r="A1204" s="32">
        <v>4382394</v>
      </c>
      <c r="B1204" s="32" t="s">
        <v>21</v>
      </c>
      <c r="C1204" s="33" t="s">
        <v>21</v>
      </c>
      <c r="D1204" s="35">
        <v>45448</v>
      </c>
      <c r="E1204" s="32" t="s">
        <v>185</v>
      </c>
      <c r="F1204" s="32">
        <v>22026189</v>
      </c>
      <c r="G1204" s="32" t="s">
        <v>200</v>
      </c>
      <c r="H1204" s="26" t="s">
        <v>38</v>
      </c>
      <c r="I1204" s="36">
        <v>950</v>
      </c>
      <c r="J1204" s="32">
        <f>IF(MB25_VOLUMETRIA[[#This Row],[Reserva]]="","",1)</f>
        <v>1</v>
      </c>
      <c r="K1204" s="36" t="str">
        <f>IF(MB25_VOLUMETRIA[[#This Row],[Reserva]]="","",IFERROR(VLOOKUP(MB25_VOLUMETRIA[[#This Row],[UMB]],CHAVE[],2,FALSE),"VERIFICAR"))</f>
        <v>Unidade</v>
      </c>
      <c r="L12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4" s="32" t="str">
        <f ca="1">IFERROR(VLOOKUP(MB25_VOLUMETRIA[[#This Row],[Reserva]],RES_AB[],14,FALSE),"")</f>
        <v>PLANO DO DIA</v>
      </c>
      <c r="N1204" s="32" t="str">
        <f>IF(MB25_VOLUMETRIA[[#This Row],[Cen.]]="","",IFERROR(VLOOKUP(MB25_VOLUMETRIA[[#This Row],[Cen.]],Dados_Empresas[],2,FALSE),"Verificar empresa"))</f>
        <v>NET MASSIVO</v>
      </c>
      <c r="O1204" s="32" t="str">
        <f>IF(MB25_VOLUMETRIA[[#This Row],[EMPRESA]]="","",IF(OR(MB25_VOLUMETRIA[[#This Row],[EMPRESA]]="NET MASSIVO",MB25_VOLUMETRIA[[#This Row],[EMPRESA]]="NET PROJETOS"),"NET","EMPRESARIAL"))</f>
        <v>NET</v>
      </c>
    </row>
    <row r="1205" spans="1:15" x14ac:dyDescent="0.25">
      <c r="A1205" s="32">
        <v>4382394</v>
      </c>
      <c r="B1205" s="32" t="s">
        <v>21</v>
      </c>
      <c r="C1205" s="33" t="s">
        <v>21</v>
      </c>
      <c r="D1205" s="35">
        <v>45448</v>
      </c>
      <c r="E1205" s="32" t="s">
        <v>185</v>
      </c>
      <c r="F1205" s="32">
        <v>22026502</v>
      </c>
      <c r="G1205" s="32" t="s">
        <v>214</v>
      </c>
      <c r="H1205" s="26" t="s">
        <v>38</v>
      </c>
      <c r="I1205" s="36">
        <v>100</v>
      </c>
      <c r="J1205" s="32">
        <f>IF(MB25_VOLUMETRIA[[#This Row],[Reserva]]="","",1)</f>
        <v>1</v>
      </c>
      <c r="K1205" s="36" t="str">
        <f>IF(MB25_VOLUMETRIA[[#This Row],[Reserva]]="","",IFERROR(VLOOKUP(MB25_VOLUMETRIA[[#This Row],[UMB]],CHAVE[],2,FALSE),"VERIFICAR"))</f>
        <v>Unidade</v>
      </c>
      <c r="L12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5" s="32" t="str">
        <f ca="1">IFERROR(VLOOKUP(MB25_VOLUMETRIA[[#This Row],[Reserva]],RES_AB[],14,FALSE),"")</f>
        <v>PLANO DO DIA</v>
      </c>
      <c r="N1205" s="32" t="str">
        <f>IF(MB25_VOLUMETRIA[[#This Row],[Cen.]]="","",IFERROR(VLOOKUP(MB25_VOLUMETRIA[[#This Row],[Cen.]],Dados_Empresas[],2,FALSE),"Verificar empresa"))</f>
        <v>NET MASSIVO</v>
      </c>
      <c r="O1205" s="32" t="str">
        <f>IF(MB25_VOLUMETRIA[[#This Row],[EMPRESA]]="","",IF(OR(MB25_VOLUMETRIA[[#This Row],[EMPRESA]]="NET MASSIVO",MB25_VOLUMETRIA[[#This Row],[EMPRESA]]="NET PROJETOS"),"NET","EMPRESARIAL"))</f>
        <v>NET</v>
      </c>
    </row>
    <row r="1206" spans="1:15" x14ac:dyDescent="0.25">
      <c r="A1206" s="32">
        <v>4382394</v>
      </c>
      <c r="B1206" s="32" t="s">
        <v>21</v>
      </c>
      <c r="C1206" s="33" t="s">
        <v>21</v>
      </c>
      <c r="D1206" s="35">
        <v>45448</v>
      </c>
      <c r="E1206" s="32" t="s">
        <v>185</v>
      </c>
      <c r="F1206" s="32">
        <v>22026746</v>
      </c>
      <c r="G1206" s="32" t="s">
        <v>205</v>
      </c>
      <c r="H1206" s="26" t="s">
        <v>38</v>
      </c>
      <c r="I1206" s="36">
        <v>50</v>
      </c>
      <c r="J1206" s="32">
        <f>IF(MB25_VOLUMETRIA[[#This Row],[Reserva]]="","",1)</f>
        <v>1</v>
      </c>
      <c r="K1206" s="36" t="str">
        <f>IF(MB25_VOLUMETRIA[[#This Row],[Reserva]]="","",IFERROR(VLOOKUP(MB25_VOLUMETRIA[[#This Row],[UMB]],CHAVE[],2,FALSE),"VERIFICAR"))</f>
        <v>Unidade</v>
      </c>
      <c r="L12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6" s="32" t="str">
        <f ca="1">IFERROR(VLOOKUP(MB25_VOLUMETRIA[[#This Row],[Reserva]],RES_AB[],14,FALSE),"")</f>
        <v>PLANO DO DIA</v>
      </c>
      <c r="N1206" s="32" t="str">
        <f>IF(MB25_VOLUMETRIA[[#This Row],[Cen.]]="","",IFERROR(VLOOKUP(MB25_VOLUMETRIA[[#This Row],[Cen.]],Dados_Empresas[],2,FALSE),"Verificar empresa"))</f>
        <v>NET MASSIVO</v>
      </c>
      <c r="O1206" s="32" t="str">
        <f>IF(MB25_VOLUMETRIA[[#This Row],[EMPRESA]]="","",IF(OR(MB25_VOLUMETRIA[[#This Row],[EMPRESA]]="NET MASSIVO",MB25_VOLUMETRIA[[#This Row],[EMPRESA]]="NET PROJETOS"),"NET","EMPRESARIAL"))</f>
        <v>NET</v>
      </c>
    </row>
    <row r="1207" spans="1:15" x14ac:dyDescent="0.25">
      <c r="A1207" s="32">
        <v>4382394</v>
      </c>
      <c r="B1207" s="32" t="s">
        <v>21</v>
      </c>
      <c r="C1207" s="33" t="s">
        <v>21</v>
      </c>
      <c r="D1207" s="35">
        <v>45448</v>
      </c>
      <c r="E1207" s="32" t="s">
        <v>185</v>
      </c>
      <c r="F1207" s="32">
        <v>22056331</v>
      </c>
      <c r="G1207" s="32" t="s">
        <v>209</v>
      </c>
      <c r="H1207" s="26" t="s">
        <v>38</v>
      </c>
      <c r="I1207" s="36">
        <v>100</v>
      </c>
      <c r="J1207" s="32">
        <f>IF(MB25_VOLUMETRIA[[#This Row],[Reserva]]="","",1)</f>
        <v>1</v>
      </c>
      <c r="K1207" s="36" t="str">
        <f>IF(MB25_VOLUMETRIA[[#This Row],[Reserva]]="","",IFERROR(VLOOKUP(MB25_VOLUMETRIA[[#This Row],[UMB]],CHAVE[],2,FALSE),"VERIFICAR"))</f>
        <v>Unidade</v>
      </c>
      <c r="L12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7" s="32" t="str">
        <f ca="1">IFERROR(VLOOKUP(MB25_VOLUMETRIA[[#This Row],[Reserva]],RES_AB[],14,FALSE),"")</f>
        <v>PLANO DO DIA</v>
      </c>
      <c r="N1207" s="32" t="str">
        <f>IF(MB25_VOLUMETRIA[[#This Row],[Cen.]]="","",IFERROR(VLOOKUP(MB25_VOLUMETRIA[[#This Row],[Cen.]],Dados_Empresas[],2,FALSE),"Verificar empresa"))</f>
        <v>NET MASSIVO</v>
      </c>
      <c r="O1207" s="32" t="str">
        <f>IF(MB25_VOLUMETRIA[[#This Row],[EMPRESA]]="","",IF(OR(MB25_VOLUMETRIA[[#This Row],[EMPRESA]]="NET MASSIVO",MB25_VOLUMETRIA[[#This Row],[EMPRESA]]="NET PROJETOS"),"NET","EMPRESARIAL"))</f>
        <v>NET</v>
      </c>
    </row>
    <row r="1208" spans="1:15" x14ac:dyDescent="0.25">
      <c r="A1208" s="32">
        <v>4382394</v>
      </c>
      <c r="B1208" s="32" t="s">
        <v>21</v>
      </c>
      <c r="C1208" s="33" t="s">
        <v>21</v>
      </c>
      <c r="D1208" s="35">
        <v>45448</v>
      </c>
      <c r="E1208" s="32" t="s">
        <v>185</v>
      </c>
      <c r="F1208" s="32">
        <v>22056334</v>
      </c>
      <c r="G1208" s="32" t="s">
        <v>321</v>
      </c>
      <c r="H1208" s="26" t="s">
        <v>38</v>
      </c>
      <c r="I1208" s="36">
        <v>100</v>
      </c>
      <c r="J1208" s="32">
        <f>IF(MB25_VOLUMETRIA[[#This Row],[Reserva]]="","",1)</f>
        <v>1</v>
      </c>
      <c r="K1208" s="36" t="str">
        <f>IF(MB25_VOLUMETRIA[[#This Row],[Reserva]]="","",IFERROR(VLOOKUP(MB25_VOLUMETRIA[[#This Row],[UMB]],CHAVE[],2,FALSE),"VERIFICAR"))</f>
        <v>Unidade</v>
      </c>
      <c r="L12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8" s="32" t="str">
        <f ca="1">IFERROR(VLOOKUP(MB25_VOLUMETRIA[[#This Row],[Reserva]],RES_AB[],14,FALSE),"")</f>
        <v>PLANO DO DIA</v>
      </c>
      <c r="N1208" s="32" t="str">
        <f>IF(MB25_VOLUMETRIA[[#This Row],[Cen.]]="","",IFERROR(VLOOKUP(MB25_VOLUMETRIA[[#This Row],[Cen.]],Dados_Empresas[],2,FALSE),"Verificar empresa"))</f>
        <v>NET MASSIVO</v>
      </c>
      <c r="O1208" s="32" t="str">
        <f>IF(MB25_VOLUMETRIA[[#This Row],[EMPRESA]]="","",IF(OR(MB25_VOLUMETRIA[[#This Row],[EMPRESA]]="NET MASSIVO",MB25_VOLUMETRIA[[#This Row],[EMPRESA]]="NET PROJETOS"),"NET","EMPRESARIAL"))</f>
        <v>NET</v>
      </c>
    </row>
    <row r="1209" spans="1:15" x14ac:dyDescent="0.25">
      <c r="A1209" s="32">
        <v>4382394</v>
      </c>
      <c r="B1209" s="32" t="s">
        <v>21</v>
      </c>
      <c r="C1209" s="33" t="s">
        <v>21</v>
      </c>
      <c r="D1209" s="35">
        <v>45448</v>
      </c>
      <c r="E1209" s="32" t="s">
        <v>185</v>
      </c>
      <c r="F1209" s="32">
        <v>22056359</v>
      </c>
      <c r="G1209" s="32" t="s">
        <v>203</v>
      </c>
      <c r="H1209" s="26" t="s">
        <v>38</v>
      </c>
      <c r="I1209" s="36">
        <v>28</v>
      </c>
      <c r="J1209" s="32">
        <f>IF(MB25_VOLUMETRIA[[#This Row],[Reserva]]="","",1)</f>
        <v>1</v>
      </c>
      <c r="K1209" s="36" t="str">
        <f>IF(MB25_VOLUMETRIA[[#This Row],[Reserva]]="","",IFERROR(VLOOKUP(MB25_VOLUMETRIA[[#This Row],[UMB]],CHAVE[],2,FALSE),"VERIFICAR"))</f>
        <v>Unidade</v>
      </c>
      <c r="L12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09" s="32" t="str">
        <f ca="1">IFERROR(VLOOKUP(MB25_VOLUMETRIA[[#This Row],[Reserva]],RES_AB[],14,FALSE),"")</f>
        <v>PLANO DO DIA</v>
      </c>
      <c r="N1209" s="32" t="str">
        <f>IF(MB25_VOLUMETRIA[[#This Row],[Cen.]]="","",IFERROR(VLOOKUP(MB25_VOLUMETRIA[[#This Row],[Cen.]],Dados_Empresas[],2,FALSE),"Verificar empresa"))</f>
        <v>NET MASSIVO</v>
      </c>
      <c r="O1209" s="32" t="str">
        <f>IF(MB25_VOLUMETRIA[[#This Row],[EMPRESA]]="","",IF(OR(MB25_VOLUMETRIA[[#This Row],[EMPRESA]]="NET MASSIVO",MB25_VOLUMETRIA[[#This Row],[EMPRESA]]="NET PROJETOS"),"NET","EMPRESARIAL"))</f>
        <v>NET</v>
      </c>
    </row>
    <row r="1210" spans="1:15" x14ac:dyDescent="0.25">
      <c r="A1210" s="32">
        <v>4382394</v>
      </c>
      <c r="B1210" s="32" t="s">
        <v>21</v>
      </c>
      <c r="C1210" s="33" t="s">
        <v>21</v>
      </c>
      <c r="D1210" s="35">
        <v>45448</v>
      </c>
      <c r="E1210" s="32" t="s">
        <v>185</v>
      </c>
      <c r="F1210" s="32">
        <v>22056364</v>
      </c>
      <c r="G1210" s="32" t="s">
        <v>236</v>
      </c>
      <c r="H1210" s="26" t="s">
        <v>38</v>
      </c>
      <c r="I1210" s="36">
        <v>150</v>
      </c>
      <c r="J1210" s="32">
        <f>IF(MB25_VOLUMETRIA[[#This Row],[Reserva]]="","",1)</f>
        <v>1</v>
      </c>
      <c r="K1210" s="36" t="str">
        <f>IF(MB25_VOLUMETRIA[[#This Row],[Reserva]]="","",IFERROR(VLOOKUP(MB25_VOLUMETRIA[[#This Row],[UMB]],CHAVE[],2,FALSE),"VERIFICAR"))</f>
        <v>Unidade</v>
      </c>
      <c r="L12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0" s="32" t="str">
        <f ca="1">IFERROR(VLOOKUP(MB25_VOLUMETRIA[[#This Row],[Reserva]],RES_AB[],14,FALSE),"")</f>
        <v>PLANO DO DIA</v>
      </c>
      <c r="N1210" s="32" t="str">
        <f>IF(MB25_VOLUMETRIA[[#This Row],[Cen.]]="","",IFERROR(VLOOKUP(MB25_VOLUMETRIA[[#This Row],[Cen.]],Dados_Empresas[],2,FALSE),"Verificar empresa"))</f>
        <v>NET MASSIVO</v>
      </c>
      <c r="O1210" s="32" t="str">
        <f>IF(MB25_VOLUMETRIA[[#This Row],[EMPRESA]]="","",IF(OR(MB25_VOLUMETRIA[[#This Row],[EMPRESA]]="NET MASSIVO",MB25_VOLUMETRIA[[#This Row],[EMPRESA]]="NET PROJETOS"),"NET","EMPRESARIAL"))</f>
        <v>NET</v>
      </c>
    </row>
    <row r="1211" spans="1:15" x14ac:dyDescent="0.25">
      <c r="A1211" s="32">
        <v>4382394</v>
      </c>
      <c r="B1211" s="32" t="s">
        <v>21</v>
      </c>
      <c r="C1211" s="33" t="s">
        <v>21</v>
      </c>
      <c r="D1211" s="35">
        <v>45448</v>
      </c>
      <c r="E1211" s="32" t="s">
        <v>185</v>
      </c>
      <c r="F1211" s="32">
        <v>22057620</v>
      </c>
      <c r="G1211" s="32" t="s">
        <v>253</v>
      </c>
      <c r="H1211" s="26" t="s">
        <v>38</v>
      </c>
      <c r="I1211" s="36">
        <v>1000</v>
      </c>
      <c r="J1211" s="32">
        <f>IF(MB25_VOLUMETRIA[[#This Row],[Reserva]]="","",1)</f>
        <v>1</v>
      </c>
      <c r="K1211" s="36" t="str">
        <f>IF(MB25_VOLUMETRIA[[#This Row],[Reserva]]="","",IFERROR(VLOOKUP(MB25_VOLUMETRIA[[#This Row],[UMB]],CHAVE[],2,FALSE),"VERIFICAR"))</f>
        <v>Unidade</v>
      </c>
      <c r="L12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1" s="32" t="str">
        <f ca="1">IFERROR(VLOOKUP(MB25_VOLUMETRIA[[#This Row],[Reserva]],RES_AB[],14,FALSE),"")</f>
        <v>PLANO DO DIA</v>
      </c>
      <c r="N1211" s="32" t="str">
        <f>IF(MB25_VOLUMETRIA[[#This Row],[Cen.]]="","",IFERROR(VLOOKUP(MB25_VOLUMETRIA[[#This Row],[Cen.]],Dados_Empresas[],2,FALSE),"Verificar empresa"))</f>
        <v>NET MASSIVO</v>
      </c>
      <c r="O1211" s="32" t="str">
        <f>IF(MB25_VOLUMETRIA[[#This Row],[EMPRESA]]="","",IF(OR(MB25_VOLUMETRIA[[#This Row],[EMPRESA]]="NET MASSIVO",MB25_VOLUMETRIA[[#This Row],[EMPRESA]]="NET PROJETOS"),"NET","EMPRESARIAL"))</f>
        <v>NET</v>
      </c>
    </row>
    <row r="1212" spans="1:15" x14ac:dyDescent="0.25">
      <c r="A1212" s="32">
        <v>4382394</v>
      </c>
      <c r="B1212" s="32" t="s">
        <v>21</v>
      </c>
      <c r="C1212" s="33" t="s">
        <v>21</v>
      </c>
      <c r="D1212" s="35">
        <v>45448</v>
      </c>
      <c r="E1212" s="32" t="s">
        <v>185</v>
      </c>
      <c r="F1212" s="32">
        <v>22057658</v>
      </c>
      <c r="G1212" s="32" t="s">
        <v>229</v>
      </c>
      <c r="H1212" s="26" t="s">
        <v>38</v>
      </c>
      <c r="I1212" s="36">
        <v>140</v>
      </c>
      <c r="J1212" s="32">
        <f>IF(MB25_VOLUMETRIA[[#This Row],[Reserva]]="","",1)</f>
        <v>1</v>
      </c>
      <c r="K1212" s="36" t="str">
        <f>IF(MB25_VOLUMETRIA[[#This Row],[Reserva]]="","",IFERROR(VLOOKUP(MB25_VOLUMETRIA[[#This Row],[UMB]],CHAVE[],2,FALSE),"VERIFICAR"))</f>
        <v>Unidade</v>
      </c>
      <c r="L12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2" s="32" t="str">
        <f ca="1">IFERROR(VLOOKUP(MB25_VOLUMETRIA[[#This Row],[Reserva]],RES_AB[],14,FALSE),"")</f>
        <v>PLANO DO DIA</v>
      </c>
      <c r="N1212" s="32" t="str">
        <f>IF(MB25_VOLUMETRIA[[#This Row],[Cen.]]="","",IFERROR(VLOOKUP(MB25_VOLUMETRIA[[#This Row],[Cen.]],Dados_Empresas[],2,FALSE),"Verificar empresa"))</f>
        <v>NET MASSIVO</v>
      </c>
      <c r="O1212" s="32" t="str">
        <f>IF(MB25_VOLUMETRIA[[#This Row],[EMPRESA]]="","",IF(OR(MB25_VOLUMETRIA[[#This Row],[EMPRESA]]="NET MASSIVO",MB25_VOLUMETRIA[[#This Row],[EMPRESA]]="NET PROJETOS"),"NET","EMPRESARIAL"))</f>
        <v>NET</v>
      </c>
    </row>
    <row r="1213" spans="1:15" x14ac:dyDescent="0.25">
      <c r="A1213" s="32">
        <v>4382394</v>
      </c>
      <c r="B1213" s="32" t="s">
        <v>21</v>
      </c>
      <c r="C1213" s="33" t="s">
        <v>21</v>
      </c>
      <c r="D1213" s="35">
        <v>45448</v>
      </c>
      <c r="E1213" s="32" t="s">
        <v>185</v>
      </c>
      <c r="F1213" s="32">
        <v>22057659</v>
      </c>
      <c r="G1213" s="32" t="s">
        <v>224</v>
      </c>
      <c r="H1213" s="26" t="s">
        <v>38</v>
      </c>
      <c r="I1213" s="36">
        <v>1570</v>
      </c>
      <c r="J1213" s="32">
        <f>IF(MB25_VOLUMETRIA[[#This Row],[Reserva]]="","",1)</f>
        <v>1</v>
      </c>
      <c r="K1213" s="36" t="str">
        <f>IF(MB25_VOLUMETRIA[[#This Row],[Reserva]]="","",IFERROR(VLOOKUP(MB25_VOLUMETRIA[[#This Row],[UMB]],CHAVE[],2,FALSE),"VERIFICAR"))</f>
        <v>Unidade</v>
      </c>
      <c r="L12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3" s="32" t="str">
        <f ca="1">IFERROR(VLOOKUP(MB25_VOLUMETRIA[[#This Row],[Reserva]],RES_AB[],14,FALSE),"")</f>
        <v>PLANO DO DIA</v>
      </c>
      <c r="N1213" s="32" t="str">
        <f>IF(MB25_VOLUMETRIA[[#This Row],[Cen.]]="","",IFERROR(VLOOKUP(MB25_VOLUMETRIA[[#This Row],[Cen.]],Dados_Empresas[],2,FALSE),"Verificar empresa"))</f>
        <v>NET MASSIVO</v>
      </c>
      <c r="O1213" s="32" t="str">
        <f>IF(MB25_VOLUMETRIA[[#This Row],[EMPRESA]]="","",IF(OR(MB25_VOLUMETRIA[[#This Row],[EMPRESA]]="NET MASSIVO",MB25_VOLUMETRIA[[#This Row],[EMPRESA]]="NET PROJETOS"),"NET","EMPRESARIAL"))</f>
        <v>NET</v>
      </c>
    </row>
    <row r="1214" spans="1:15" x14ac:dyDescent="0.25">
      <c r="A1214" s="32">
        <v>4382394</v>
      </c>
      <c r="B1214" s="32" t="s">
        <v>21</v>
      </c>
      <c r="C1214" s="33" t="s">
        <v>21</v>
      </c>
      <c r="D1214" s="35">
        <v>45448</v>
      </c>
      <c r="E1214" s="32" t="s">
        <v>185</v>
      </c>
      <c r="F1214" s="32">
        <v>22057660</v>
      </c>
      <c r="G1214" s="32" t="s">
        <v>326</v>
      </c>
      <c r="H1214" s="26" t="s">
        <v>38</v>
      </c>
      <c r="I1214" s="36">
        <v>200</v>
      </c>
      <c r="J1214" s="32">
        <f>IF(MB25_VOLUMETRIA[[#This Row],[Reserva]]="","",1)</f>
        <v>1</v>
      </c>
      <c r="K1214" s="36" t="str">
        <f>IF(MB25_VOLUMETRIA[[#This Row],[Reserva]]="","",IFERROR(VLOOKUP(MB25_VOLUMETRIA[[#This Row],[UMB]],CHAVE[],2,FALSE),"VERIFICAR"))</f>
        <v>Unidade</v>
      </c>
      <c r="L12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4" s="32" t="str">
        <f ca="1">IFERROR(VLOOKUP(MB25_VOLUMETRIA[[#This Row],[Reserva]],RES_AB[],14,FALSE),"")</f>
        <v>PLANO DO DIA</v>
      </c>
      <c r="N1214" s="32" t="str">
        <f>IF(MB25_VOLUMETRIA[[#This Row],[Cen.]]="","",IFERROR(VLOOKUP(MB25_VOLUMETRIA[[#This Row],[Cen.]],Dados_Empresas[],2,FALSE),"Verificar empresa"))</f>
        <v>NET MASSIVO</v>
      </c>
      <c r="O1214" s="32" t="str">
        <f>IF(MB25_VOLUMETRIA[[#This Row],[EMPRESA]]="","",IF(OR(MB25_VOLUMETRIA[[#This Row],[EMPRESA]]="NET MASSIVO",MB25_VOLUMETRIA[[#This Row],[EMPRESA]]="NET PROJETOS"),"NET","EMPRESARIAL"))</f>
        <v>NET</v>
      </c>
    </row>
    <row r="1215" spans="1:15" x14ac:dyDescent="0.25">
      <c r="A1215" s="32">
        <v>4382394</v>
      </c>
      <c r="B1215" s="32" t="s">
        <v>21</v>
      </c>
      <c r="C1215" s="33" t="s">
        <v>21</v>
      </c>
      <c r="D1215" s="35">
        <v>45448</v>
      </c>
      <c r="E1215" s="32" t="s">
        <v>185</v>
      </c>
      <c r="F1215" s="32">
        <v>22061736</v>
      </c>
      <c r="G1215" s="32" t="s">
        <v>216</v>
      </c>
      <c r="H1215" s="26" t="s">
        <v>38</v>
      </c>
      <c r="I1215" s="36">
        <v>22500</v>
      </c>
      <c r="J1215" s="32">
        <f>IF(MB25_VOLUMETRIA[[#This Row],[Reserva]]="","",1)</f>
        <v>1</v>
      </c>
      <c r="K1215" s="36" t="str">
        <f>IF(MB25_VOLUMETRIA[[#This Row],[Reserva]]="","",IFERROR(VLOOKUP(MB25_VOLUMETRIA[[#This Row],[UMB]],CHAVE[],2,FALSE),"VERIFICAR"))</f>
        <v>Unidade</v>
      </c>
      <c r="L12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5" s="32" t="str">
        <f ca="1">IFERROR(VLOOKUP(MB25_VOLUMETRIA[[#This Row],[Reserva]],RES_AB[],14,FALSE),"")</f>
        <v>PLANO DO DIA</v>
      </c>
      <c r="N1215" s="32" t="str">
        <f>IF(MB25_VOLUMETRIA[[#This Row],[Cen.]]="","",IFERROR(VLOOKUP(MB25_VOLUMETRIA[[#This Row],[Cen.]],Dados_Empresas[],2,FALSE),"Verificar empresa"))</f>
        <v>NET MASSIVO</v>
      </c>
      <c r="O1215" s="32" t="str">
        <f>IF(MB25_VOLUMETRIA[[#This Row],[EMPRESA]]="","",IF(OR(MB25_VOLUMETRIA[[#This Row],[EMPRESA]]="NET MASSIVO",MB25_VOLUMETRIA[[#This Row],[EMPRESA]]="NET PROJETOS"),"NET","EMPRESARIAL"))</f>
        <v>NET</v>
      </c>
    </row>
    <row r="1216" spans="1:15" x14ac:dyDescent="0.25">
      <c r="A1216" s="32">
        <v>4382394</v>
      </c>
      <c r="B1216" s="32" t="s">
        <v>21</v>
      </c>
      <c r="C1216" s="33" t="s">
        <v>21</v>
      </c>
      <c r="D1216" s="35">
        <v>45448</v>
      </c>
      <c r="E1216" s="32" t="s">
        <v>185</v>
      </c>
      <c r="F1216" s="32">
        <v>22061811</v>
      </c>
      <c r="G1216" s="32" t="s">
        <v>226</v>
      </c>
      <c r="H1216" s="26" t="s">
        <v>38</v>
      </c>
      <c r="I1216" s="36">
        <v>100</v>
      </c>
      <c r="J1216" s="32">
        <f>IF(MB25_VOLUMETRIA[[#This Row],[Reserva]]="","",1)</f>
        <v>1</v>
      </c>
      <c r="K1216" s="36" t="str">
        <f>IF(MB25_VOLUMETRIA[[#This Row],[Reserva]]="","",IFERROR(VLOOKUP(MB25_VOLUMETRIA[[#This Row],[UMB]],CHAVE[],2,FALSE),"VERIFICAR"))</f>
        <v>Unidade</v>
      </c>
      <c r="L12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6" s="32" t="str">
        <f ca="1">IFERROR(VLOOKUP(MB25_VOLUMETRIA[[#This Row],[Reserva]],RES_AB[],14,FALSE),"")</f>
        <v>PLANO DO DIA</v>
      </c>
      <c r="N1216" s="32" t="str">
        <f>IF(MB25_VOLUMETRIA[[#This Row],[Cen.]]="","",IFERROR(VLOOKUP(MB25_VOLUMETRIA[[#This Row],[Cen.]],Dados_Empresas[],2,FALSE),"Verificar empresa"))</f>
        <v>NET MASSIVO</v>
      </c>
      <c r="O1216" s="32" t="str">
        <f>IF(MB25_VOLUMETRIA[[#This Row],[EMPRESA]]="","",IF(OR(MB25_VOLUMETRIA[[#This Row],[EMPRESA]]="NET MASSIVO",MB25_VOLUMETRIA[[#This Row],[EMPRESA]]="NET PROJETOS"),"NET","EMPRESARIAL"))</f>
        <v>NET</v>
      </c>
    </row>
    <row r="1217" spans="1:15" x14ac:dyDescent="0.25">
      <c r="A1217" s="32">
        <v>4382394</v>
      </c>
      <c r="B1217" s="32" t="s">
        <v>21</v>
      </c>
      <c r="C1217" s="33" t="s">
        <v>21</v>
      </c>
      <c r="D1217" s="35">
        <v>45448</v>
      </c>
      <c r="E1217" s="32" t="s">
        <v>185</v>
      </c>
      <c r="F1217" s="32">
        <v>22065719</v>
      </c>
      <c r="G1217" s="32" t="s">
        <v>228</v>
      </c>
      <c r="H1217" s="26" t="s">
        <v>38</v>
      </c>
      <c r="I1217" s="36">
        <v>200</v>
      </c>
      <c r="J1217" s="32">
        <f>IF(MB25_VOLUMETRIA[[#This Row],[Reserva]]="","",1)</f>
        <v>1</v>
      </c>
      <c r="K1217" s="36" t="str">
        <f>IF(MB25_VOLUMETRIA[[#This Row],[Reserva]]="","",IFERROR(VLOOKUP(MB25_VOLUMETRIA[[#This Row],[UMB]],CHAVE[],2,FALSE),"VERIFICAR"))</f>
        <v>Unidade</v>
      </c>
      <c r="L12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7" s="32" t="str">
        <f ca="1">IFERROR(VLOOKUP(MB25_VOLUMETRIA[[#This Row],[Reserva]],RES_AB[],14,FALSE),"")</f>
        <v>PLANO DO DIA</v>
      </c>
      <c r="N1217" s="32" t="str">
        <f>IF(MB25_VOLUMETRIA[[#This Row],[Cen.]]="","",IFERROR(VLOOKUP(MB25_VOLUMETRIA[[#This Row],[Cen.]],Dados_Empresas[],2,FALSE),"Verificar empresa"))</f>
        <v>NET MASSIVO</v>
      </c>
      <c r="O1217" s="32" t="str">
        <f>IF(MB25_VOLUMETRIA[[#This Row],[EMPRESA]]="","",IF(OR(MB25_VOLUMETRIA[[#This Row],[EMPRESA]]="NET MASSIVO",MB25_VOLUMETRIA[[#This Row],[EMPRESA]]="NET PROJETOS"),"NET","EMPRESARIAL"))</f>
        <v>NET</v>
      </c>
    </row>
    <row r="1218" spans="1:15" x14ac:dyDescent="0.25">
      <c r="A1218" s="32">
        <v>4382394</v>
      </c>
      <c r="B1218" s="32" t="s">
        <v>21</v>
      </c>
      <c r="C1218" s="33" t="s">
        <v>21</v>
      </c>
      <c r="D1218" s="35">
        <v>45448</v>
      </c>
      <c r="E1218" s="32" t="s">
        <v>185</v>
      </c>
      <c r="F1218" s="32">
        <v>22065721</v>
      </c>
      <c r="G1218" s="32" t="s">
        <v>328</v>
      </c>
      <c r="H1218" s="26" t="s">
        <v>38</v>
      </c>
      <c r="I1218" s="36">
        <v>100</v>
      </c>
      <c r="J1218" s="32">
        <f>IF(MB25_VOLUMETRIA[[#This Row],[Reserva]]="","",1)</f>
        <v>1</v>
      </c>
      <c r="K1218" s="36" t="str">
        <f>IF(MB25_VOLUMETRIA[[#This Row],[Reserva]]="","",IFERROR(VLOOKUP(MB25_VOLUMETRIA[[#This Row],[UMB]],CHAVE[],2,FALSE),"VERIFICAR"))</f>
        <v>Unidade</v>
      </c>
      <c r="L12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8" s="32" t="str">
        <f ca="1">IFERROR(VLOOKUP(MB25_VOLUMETRIA[[#This Row],[Reserva]],RES_AB[],14,FALSE),"")</f>
        <v>PLANO DO DIA</v>
      </c>
      <c r="N1218" s="32" t="str">
        <f>IF(MB25_VOLUMETRIA[[#This Row],[Cen.]]="","",IFERROR(VLOOKUP(MB25_VOLUMETRIA[[#This Row],[Cen.]],Dados_Empresas[],2,FALSE),"Verificar empresa"))</f>
        <v>NET MASSIVO</v>
      </c>
      <c r="O1218" s="32" t="str">
        <f>IF(MB25_VOLUMETRIA[[#This Row],[EMPRESA]]="","",IF(OR(MB25_VOLUMETRIA[[#This Row],[EMPRESA]]="NET MASSIVO",MB25_VOLUMETRIA[[#This Row],[EMPRESA]]="NET PROJETOS"),"NET","EMPRESARIAL"))</f>
        <v>NET</v>
      </c>
    </row>
    <row r="1219" spans="1:15" x14ac:dyDescent="0.25">
      <c r="A1219" s="32">
        <v>4382394</v>
      </c>
      <c r="B1219" s="32" t="s">
        <v>21</v>
      </c>
      <c r="C1219" s="33" t="s">
        <v>21</v>
      </c>
      <c r="D1219" s="35">
        <v>45448</v>
      </c>
      <c r="E1219" s="32" t="s">
        <v>185</v>
      </c>
      <c r="F1219" s="32">
        <v>22065725</v>
      </c>
      <c r="G1219" s="32" t="s">
        <v>197</v>
      </c>
      <c r="H1219" s="26" t="s">
        <v>38</v>
      </c>
      <c r="I1219" s="36">
        <v>100</v>
      </c>
      <c r="J1219" s="32">
        <f>IF(MB25_VOLUMETRIA[[#This Row],[Reserva]]="","",1)</f>
        <v>1</v>
      </c>
      <c r="K1219" s="36" t="str">
        <f>IF(MB25_VOLUMETRIA[[#This Row],[Reserva]]="","",IFERROR(VLOOKUP(MB25_VOLUMETRIA[[#This Row],[UMB]],CHAVE[],2,FALSE),"VERIFICAR"))</f>
        <v>Unidade</v>
      </c>
      <c r="L12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19" s="32" t="str">
        <f ca="1">IFERROR(VLOOKUP(MB25_VOLUMETRIA[[#This Row],[Reserva]],RES_AB[],14,FALSE),"")</f>
        <v>PLANO DO DIA</v>
      </c>
      <c r="N1219" s="32" t="str">
        <f>IF(MB25_VOLUMETRIA[[#This Row],[Cen.]]="","",IFERROR(VLOOKUP(MB25_VOLUMETRIA[[#This Row],[Cen.]],Dados_Empresas[],2,FALSE),"Verificar empresa"))</f>
        <v>NET MASSIVO</v>
      </c>
      <c r="O1219" s="32" t="str">
        <f>IF(MB25_VOLUMETRIA[[#This Row],[EMPRESA]]="","",IF(OR(MB25_VOLUMETRIA[[#This Row],[EMPRESA]]="NET MASSIVO",MB25_VOLUMETRIA[[#This Row],[EMPRESA]]="NET PROJETOS"),"NET","EMPRESARIAL"))</f>
        <v>NET</v>
      </c>
    </row>
    <row r="1220" spans="1:15" x14ac:dyDescent="0.25">
      <c r="A1220" s="32">
        <v>4382395</v>
      </c>
      <c r="B1220" s="32" t="s">
        <v>21</v>
      </c>
      <c r="C1220" s="33" t="s">
        <v>21</v>
      </c>
      <c r="D1220" s="35">
        <v>45448</v>
      </c>
      <c r="E1220" s="32" t="s">
        <v>184</v>
      </c>
      <c r="F1220" s="32">
        <v>41001536</v>
      </c>
      <c r="G1220" s="32" t="s">
        <v>371</v>
      </c>
      <c r="H1220" s="26" t="s">
        <v>38</v>
      </c>
      <c r="I1220" s="36">
        <v>100</v>
      </c>
      <c r="J1220" s="32">
        <f>IF(MB25_VOLUMETRIA[[#This Row],[Reserva]]="","",1)</f>
        <v>1</v>
      </c>
      <c r="K1220" s="36" t="str">
        <f>IF(MB25_VOLUMETRIA[[#This Row],[Reserva]]="","",IFERROR(VLOOKUP(MB25_VOLUMETRIA[[#This Row],[UMB]],CHAVE[],2,FALSE),"VERIFICAR"))</f>
        <v>Unidade</v>
      </c>
      <c r="L12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0" s="32" t="str">
        <f ca="1">IFERROR(VLOOKUP(MB25_VOLUMETRIA[[#This Row],[Reserva]],RES_AB[],14,FALSE),"")</f>
        <v>PLANO DO DIA</v>
      </c>
      <c r="N1220" s="32" t="str">
        <f>IF(MB25_VOLUMETRIA[[#This Row],[Cen.]]="","",IFERROR(VLOOKUP(MB25_VOLUMETRIA[[#This Row],[Cen.]],Dados_Empresas[],2,FALSE),"Verificar empresa"))</f>
        <v>NET MASSIVO</v>
      </c>
      <c r="O1220" s="32" t="str">
        <f>IF(MB25_VOLUMETRIA[[#This Row],[EMPRESA]]="","",IF(OR(MB25_VOLUMETRIA[[#This Row],[EMPRESA]]="NET MASSIVO",MB25_VOLUMETRIA[[#This Row],[EMPRESA]]="NET PROJETOS"),"NET","EMPRESARIAL"))</f>
        <v>NET</v>
      </c>
    </row>
    <row r="1221" spans="1:15" x14ac:dyDescent="0.25">
      <c r="A1221" s="32">
        <v>4382395</v>
      </c>
      <c r="B1221" s="32" t="s">
        <v>21</v>
      </c>
      <c r="C1221" s="33" t="s">
        <v>21</v>
      </c>
      <c r="D1221" s="35">
        <v>45448</v>
      </c>
      <c r="E1221" s="32" t="s">
        <v>184</v>
      </c>
      <c r="F1221" s="32">
        <v>41001553</v>
      </c>
      <c r="G1221" s="32" t="s">
        <v>295</v>
      </c>
      <c r="H1221" s="26" t="s">
        <v>38</v>
      </c>
      <c r="I1221" s="36">
        <v>70</v>
      </c>
      <c r="J1221" s="32">
        <f>IF(MB25_VOLUMETRIA[[#This Row],[Reserva]]="","",1)</f>
        <v>1</v>
      </c>
      <c r="K1221" s="36" t="str">
        <f>IF(MB25_VOLUMETRIA[[#This Row],[Reserva]]="","",IFERROR(VLOOKUP(MB25_VOLUMETRIA[[#This Row],[UMB]],CHAVE[],2,FALSE),"VERIFICAR"))</f>
        <v>Unidade</v>
      </c>
      <c r="L12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1" s="32" t="str">
        <f ca="1">IFERROR(VLOOKUP(MB25_VOLUMETRIA[[#This Row],[Reserva]],RES_AB[],14,FALSE),"")</f>
        <v>PLANO DO DIA</v>
      </c>
      <c r="N1221" s="32" t="str">
        <f>IF(MB25_VOLUMETRIA[[#This Row],[Cen.]]="","",IFERROR(VLOOKUP(MB25_VOLUMETRIA[[#This Row],[Cen.]],Dados_Empresas[],2,FALSE),"Verificar empresa"))</f>
        <v>NET MASSIVO</v>
      </c>
      <c r="O1221" s="32" t="str">
        <f>IF(MB25_VOLUMETRIA[[#This Row],[EMPRESA]]="","",IF(OR(MB25_VOLUMETRIA[[#This Row],[EMPRESA]]="NET MASSIVO",MB25_VOLUMETRIA[[#This Row],[EMPRESA]]="NET PROJETOS"),"NET","EMPRESARIAL"))</f>
        <v>NET</v>
      </c>
    </row>
    <row r="1222" spans="1:15" x14ac:dyDescent="0.25">
      <c r="A1222" s="32">
        <v>4382396</v>
      </c>
      <c r="B1222" s="32" t="s">
        <v>21</v>
      </c>
      <c r="C1222" s="33" t="s">
        <v>21</v>
      </c>
      <c r="D1222" s="35">
        <v>45448</v>
      </c>
      <c r="E1222" s="32" t="s">
        <v>185</v>
      </c>
      <c r="F1222" s="32">
        <v>22057866</v>
      </c>
      <c r="G1222" s="32" t="s">
        <v>225</v>
      </c>
      <c r="H1222" s="26" t="s">
        <v>38</v>
      </c>
      <c r="I1222" s="36">
        <v>50</v>
      </c>
      <c r="J1222" s="32">
        <f>IF(MB25_VOLUMETRIA[[#This Row],[Reserva]]="","",1)</f>
        <v>1</v>
      </c>
      <c r="K1222" s="36" t="str">
        <f>IF(MB25_VOLUMETRIA[[#This Row],[Reserva]]="","",IFERROR(VLOOKUP(MB25_VOLUMETRIA[[#This Row],[UMB]],CHAVE[],2,FALSE),"VERIFICAR"))</f>
        <v>Unidade</v>
      </c>
      <c r="L12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2" s="32" t="str">
        <f ca="1">IFERROR(VLOOKUP(MB25_VOLUMETRIA[[#This Row],[Reserva]],RES_AB[],14,FALSE),"")</f>
        <v>PLANO DO DIA</v>
      </c>
      <c r="N1222" s="32" t="str">
        <f>IF(MB25_VOLUMETRIA[[#This Row],[Cen.]]="","",IFERROR(VLOOKUP(MB25_VOLUMETRIA[[#This Row],[Cen.]],Dados_Empresas[],2,FALSE),"Verificar empresa"))</f>
        <v>NET MASSIVO</v>
      </c>
      <c r="O1222" s="32" t="str">
        <f>IF(MB25_VOLUMETRIA[[#This Row],[EMPRESA]]="","",IF(OR(MB25_VOLUMETRIA[[#This Row],[EMPRESA]]="NET MASSIVO",MB25_VOLUMETRIA[[#This Row],[EMPRESA]]="NET PROJETOS"),"NET","EMPRESARIAL"))</f>
        <v>NET</v>
      </c>
    </row>
    <row r="1223" spans="1:15" x14ac:dyDescent="0.25">
      <c r="A1223" s="32">
        <v>4382397</v>
      </c>
      <c r="B1223" s="32" t="s">
        <v>21</v>
      </c>
      <c r="C1223" s="33" t="s">
        <v>182</v>
      </c>
      <c r="D1223" s="35">
        <v>45448</v>
      </c>
      <c r="E1223" s="32" t="s">
        <v>184</v>
      </c>
      <c r="F1223" s="32">
        <v>41001530</v>
      </c>
      <c r="G1223" s="32" t="s">
        <v>319</v>
      </c>
      <c r="H1223" s="26" t="s">
        <v>38</v>
      </c>
      <c r="I1223" s="36">
        <v>40</v>
      </c>
      <c r="J1223" s="32">
        <f>IF(MB25_VOLUMETRIA[[#This Row],[Reserva]]="","",1)</f>
        <v>1</v>
      </c>
      <c r="K1223" s="36" t="str">
        <f>IF(MB25_VOLUMETRIA[[#This Row],[Reserva]]="","",IFERROR(VLOOKUP(MB25_VOLUMETRIA[[#This Row],[UMB]],CHAVE[],2,FALSE),"VERIFICAR"))</f>
        <v>Unidade</v>
      </c>
      <c r="L12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3" s="32" t="str">
        <f ca="1">IFERROR(VLOOKUP(MB25_VOLUMETRIA[[#This Row],[Reserva]],RES_AB[],14,FALSE),"")</f>
        <v>PLANO DO DIA</v>
      </c>
      <c r="N1223" s="32" t="str">
        <f>IF(MB25_VOLUMETRIA[[#This Row],[Cen.]]="","",IFERROR(VLOOKUP(MB25_VOLUMETRIA[[#This Row],[Cen.]],Dados_Empresas[],2,FALSE),"Verificar empresa"))</f>
        <v>NET MASSIVO</v>
      </c>
      <c r="O1223" s="32" t="str">
        <f>IF(MB25_VOLUMETRIA[[#This Row],[EMPRESA]]="","",IF(OR(MB25_VOLUMETRIA[[#This Row],[EMPRESA]]="NET MASSIVO",MB25_VOLUMETRIA[[#This Row],[EMPRESA]]="NET PROJETOS"),"NET","EMPRESARIAL"))</f>
        <v>NET</v>
      </c>
    </row>
    <row r="1224" spans="1:15" x14ac:dyDescent="0.25">
      <c r="A1224" s="32">
        <v>4382397</v>
      </c>
      <c r="B1224" s="32" t="s">
        <v>21</v>
      </c>
      <c r="C1224" s="33" t="s">
        <v>21</v>
      </c>
      <c r="D1224" s="35">
        <v>45448</v>
      </c>
      <c r="E1224" s="32" t="s">
        <v>184</v>
      </c>
      <c r="F1224" s="32">
        <v>41001552</v>
      </c>
      <c r="G1224" s="32" t="s">
        <v>336</v>
      </c>
      <c r="H1224" s="26" t="s">
        <v>38</v>
      </c>
      <c r="I1224" s="36">
        <v>270</v>
      </c>
      <c r="J1224" s="32">
        <f>IF(MB25_VOLUMETRIA[[#This Row],[Reserva]]="","",1)</f>
        <v>1</v>
      </c>
      <c r="K1224" s="36" t="str">
        <f>IF(MB25_VOLUMETRIA[[#This Row],[Reserva]]="","",IFERROR(VLOOKUP(MB25_VOLUMETRIA[[#This Row],[UMB]],CHAVE[],2,FALSE),"VERIFICAR"))</f>
        <v>Unidade</v>
      </c>
      <c r="L12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4" s="32" t="str">
        <f ca="1">IFERROR(VLOOKUP(MB25_VOLUMETRIA[[#This Row],[Reserva]],RES_AB[],14,FALSE),"")</f>
        <v>PLANO DO DIA</v>
      </c>
      <c r="N1224" s="32" t="str">
        <f>IF(MB25_VOLUMETRIA[[#This Row],[Cen.]]="","",IFERROR(VLOOKUP(MB25_VOLUMETRIA[[#This Row],[Cen.]],Dados_Empresas[],2,FALSE),"Verificar empresa"))</f>
        <v>NET MASSIVO</v>
      </c>
      <c r="O1224" s="32" t="str">
        <f>IF(MB25_VOLUMETRIA[[#This Row],[EMPRESA]]="","",IF(OR(MB25_VOLUMETRIA[[#This Row],[EMPRESA]]="NET MASSIVO",MB25_VOLUMETRIA[[#This Row],[EMPRESA]]="NET PROJETOS"),"NET","EMPRESARIAL"))</f>
        <v>NET</v>
      </c>
    </row>
    <row r="1225" spans="1:15" x14ac:dyDescent="0.25">
      <c r="A1225" s="32">
        <v>4382399</v>
      </c>
      <c r="B1225" s="32" t="s">
        <v>21</v>
      </c>
      <c r="C1225" s="33" t="s">
        <v>182</v>
      </c>
      <c r="D1225" s="35">
        <v>45448</v>
      </c>
      <c r="E1225" s="32" t="s">
        <v>184</v>
      </c>
      <c r="F1225" s="32">
        <v>41001530</v>
      </c>
      <c r="G1225" s="32" t="s">
        <v>319</v>
      </c>
      <c r="H1225" s="26" t="s">
        <v>38</v>
      </c>
      <c r="I1225" s="36">
        <v>20</v>
      </c>
      <c r="J1225" s="32">
        <f>IF(MB25_VOLUMETRIA[[#This Row],[Reserva]]="","",1)</f>
        <v>1</v>
      </c>
      <c r="K1225" s="36" t="str">
        <f>IF(MB25_VOLUMETRIA[[#This Row],[Reserva]]="","",IFERROR(VLOOKUP(MB25_VOLUMETRIA[[#This Row],[UMB]],CHAVE[],2,FALSE),"VERIFICAR"))</f>
        <v>Unidade</v>
      </c>
      <c r="L12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5" s="32" t="str">
        <f ca="1">IFERROR(VLOOKUP(MB25_VOLUMETRIA[[#This Row],[Reserva]],RES_AB[],14,FALSE),"")</f>
        <v>PLANO DO DIA</v>
      </c>
      <c r="N1225" s="32" t="str">
        <f>IF(MB25_VOLUMETRIA[[#This Row],[Cen.]]="","",IFERROR(VLOOKUP(MB25_VOLUMETRIA[[#This Row],[Cen.]],Dados_Empresas[],2,FALSE),"Verificar empresa"))</f>
        <v>NET MASSIVO</v>
      </c>
      <c r="O1225" s="32" t="str">
        <f>IF(MB25_VOLUMETRIA[[#This Row],[EMPRESA]]="","",IF(OR(MB25_VOLUMETRIA[[#This Row],[EMPRESA]]="NET MASSIVO",MB25_VOLUMETRIA[[#This Row],[EMPRESA]]="NET PROJETOS"),"NET","EMPRESARIAL"))</f>
        <v>NET</v>
      </c>
    </row>
    <row r="1226" spans="1:15" x14ac:dyDescent="0.25">
      <c r="A1226" s="32">
        <v>4382400</v>
      </c>
      <c r="B1226" s="32" t="s">
        <v>21</v>
      </c>
      <c r="C1226" s="33" t="s">
        <v>182</v>
      </c>
      <c r="D1226" s="35">
        <v>45448</v>
      </c>
      <c r="E1226" s="32" t="s">
        <v>184</v>
      </c>
      <c r="F1226" s="32">
        <v>41001530</v>
      </c>
      <c r="G1226" s="32" t="s">
        <v>319</v>
      </c>
      <c r="H1226" s="26" t="s">
        <v>38</v>
      </c>
      <c r="I1226" s="36">
        <v>280</v>
      </c>
      <c r="J1226" s="32">
        <f>IF(MB25_VOLUMETRIA[[#This Row],[Reserva]]="","",1)</f>
        <v>1</v>
      </c>
      <c r="K1226" s="36" t="str">
        <f>IF(MB25_VOLUMETRIA[[#This Row],[Reserva]]="","",IFERROR(VLOOKUP(MB25_VOLUMETRIA[[#This Row],[UMB]],CHAVE[],2,FALSE),"VERIFICAR"))</f>
        <v>Unidade</v>
      </c>
      <c r="L12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6" s="32" t="str">
        <f ca="1">IFERROR(VLOOKUP(MB25_VOLUMETRIA[[#This Row],[Reserva]],RES_AB[],14,FALSE),"")</f>
        <v>PLANO DO DIA</v>
      </c>
      <c r="N1226" s="32" t="str">
        <f>IF(MB25_VOLUMETRIA[[#This Row],[Cen.]]="","",IFERROR(VLOOKUP(MB25_VOLUMETRIA[[#This Row],[Cen.]],Dados_Empresas[],2,FALSE),"Verificar empresa"))</f>
        <v>NET MASSIVO</v>
      </c>
      <c r="O1226" s="32" t="str">
        <f>IF(MB25_VOLUMETRIA[[#This Row],[EMPRESA]]="","",IF(OR(MB25_VOLUMETRIA[[#This Row],[EMPRESA]]="NET MASSIVO",MB25_VOLUMETRIA[[#This Row],[EMPRESA]]="NET PROJETOS"),"NET","EMPRESARIAL"))</f>
        <v>NET</v>
      </c>
    </row>
    <row r="1227" spans="1:15" x14ac:dyDescent="0.25">
      <c r="A1227" s="32">
        <v>4382401</v>
      </c>
      <c r="B1227" s="32" t="s">
        <v>21</v>
      </c>
      <c r="C1227" s="33" t="s">
        <v>182</v>
      </c>
      <c r="D1227" s="35">
        <v>45448</v>
      </c>
      <c r="E1227" s="32" t="s">
        <v>184</v>
      </c>
      <c r="F1227" s="32">
        <v>41001530</v>
      </c>
      <c r="G1227" s="32" t="s">
        <v>319</v>
      </c>
      <c r="H1227" s="26" t="s">
        <v>38</v>
      </c>
      <c r="I1227" s="36">
        <v>20</v>
      </c>
      <c r="J1227" s="32">
        <f>IF(MB25_VOLUMETRIA[[#This Row],[Reserva]]="","",1)</f>
        <v>1</v>
      </c>
      <c r="K1227" s="36" t="str">
        <f>IF(MB25_VOLUMETRIA[[#This Row],[Reserva]]="","",IFERROR(VLOOKUP(MB25_VOLUMETRIA[[#This Row],[UMB]],CHAVE[],2,FALSE),"VERIFICAR"))</f>
        <v>Unidade</v>
      </c>
      <c r="L12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7" s="32" t="str">
        <f ca="1">IFERROR(VLOOKUP(MB25_VOLUMETRIA[[#This Row],[Reserva]],RES_AB[],14,FALSE),"")</f>
        <v>PLANO DO DIA</v>
      </c>
      <c r="N1227" s="32" t="str">
        <f>IF(MB25_VOLUMETRIA[[#This Row],[Cen.]]="","",IFERROR(VLOOKUP(MB25_VOLUMETRIA[[#This Row],[Cen.]],Dados_Empresas[],2,FALSE),"Verificar empresa"))</f>
        <v>NET MASSIVO</v>
      </c>
      <c r="O1227" s="32" t="str">
        <f>IF(MB25_VOLUMETRIA[[#This Row],[EMPRESA]]="","",IF(OR(MB25_VOLUMETRIA[[#This Row],[EMPRESA]]="NET MASSIVO",MB25_VOLUMETRIA[[#This Row],[EMPRESA]]="NET PROJETOS"),"NET","EMPRESARIAL"))</f>
        <v>NET</v>
      </c>
    </row>
    <row r="1228" spans="1:15" x14ac:dyDescent="0.25">
      <c r="A1228" s="32">
        <v>4382401</v>
      </c>
      <c r="B1228" s="32" t="s">
        <v>21</v>
      </c>
      <c r="C1228" s="33" t="s">
        <v>21</v>
      </c>
      <c r="D1228" s="35">
        <v>45448</v>
      </c>
      <c r="E1228" s="32" t="s">
        <v>184</v>
      </c>
      <c r="F1228" s="32">
        <v>41001553</v>
      </c>
      <c r="G1228" s="32" t="s">
        <v>295</v>
      </c>
      <c r="H1228" s="26" t="s">
        <v>38</v>
      </c>
      <c r="I1228" s="36">
        <v>90</v>
      </c>
      <c r="J1228" s="32">
        <f>IF(MB25_VOLUMETRIA[[#This Row],[Reserva]]="","",1)</f>
        <v>1</v>
      </c>
      <c r="K1228" s="36" t="str">
        <f>IF(MB25_VOLUMETRIA[[#This Row],[Reserva]]="","",IFERROR(VLOOKUP(MB25_VOLUMETRIA[[#This Row],[UMB]],CHAVE[],2,FALSE),"VERIFICAR"))</f>
        <v>Unidade</v>
      </c>
      <c r="L12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8" s="32" t="str">
        <f ca="1">IFERROR(VLOOKUP(MB25_VOLUMETRIA[[#This Row],[Reserva]],RES_AB[],14,FALSE),"")</f>
        <v>PLANO DO DIA</v>
      </c>
      <c r="N1228" s="32" t="str">
        <f>IF(MB25_VOLUMETRIA[[#This Row],[Cen.]]="","",IFERROR(VLOOKUP(MB25_VOLUMETRIA[[#This Row],[Cen.]],Dados_Empresas[],2,FALSE),"Verificar empresa"))</f>
        <v>NET MASSIVO</v>
      </c>
      <c r="O1228" s="32" t="str">
        <f>IF(MB25_VOLUMETRIA[[#This Row],[EMPRESA]]="","",IF(OR(MB25_VOLUMETRIA[[#This Row],[EMPRESA]]="NET MASSIVO",MB25_VOLUMETRIA[[#This Row],[EMPRESA]]="NET PROJETOS"),"NET","EMPRESARIAL"))</f>
        <v>NET</v>
      </c>
    </row>
    <row r="1229" spans="1:15" x14ac:dyDescent="0.25">
      <c r="A1229" s="32">
        <v>4382403</v>
      </c>
      <c r="B1229" s="32" t="s">
        <v>21</v>
      </c>
      <c r="C1229" s="33" t="s">
        <v>182</v>
      </c>
      <c r="D1229" s="35">
        <v>45448</v>
      </c>
      <c r="E1229" s="32" t="s">
        <v>184</v>
      </c>
      <c r="F1229" s="32">
        <v>41001530</v>
      </c>
      <c r="G1229" s="32" t="s">
        <v>319</v>
      </c>
      <c r="H1229" s="26" t="s">
        <v>38</v>
      </c>
      <c r="I1229" s="36">
        <v>40</v>
      </c>
      <c r="J1229" s="32">
        <f>IF(MB25_VOLUMETRIA[[#This Row],[Reserva]]="","",1)</f>
        <v>1</v>
      </c>
      <c r="K1229" s="36" t="str">
        <f>IF(MB25_VOLUMETRIA[[#This Row],[Reserva]]="","",IFERROR(VLOOKUP(MB25_VOLUMETRIA[[#This Row],[UMB]],CHAVE[],2,FALSE),"VERIFICAR"))</f>
        <v>Unidade</v>
      </c>
      <c r="L12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29" s="32" t="str">
        <f ca="1">IFERROR(VLOOKUP(MB25_VOLUMETRIA[[#This Row],[Reserva]],RES_AB[],14,FALSE),"")</f>
        <v>PLANO DO DIA</v>
      </c>
      <c r="N1229" s="32" t="str">
        <f>IF(MB25_VOLUMETRIA[[#This Row],[Cen.]]="","",IFERROR(VLOOKUP(MB25_VOLUMETRIA[[#This Row],[Cen.]],Dados_Empresas[],2,FALSE),"Verificar empresa"))</f>
        <v>NET MASSIVO</v>
      </c>
      <c r="O1229" s="32" t="str">
        <f>IF(MB25_VOLUMETRIA[[#This Row],[EMPRESA]]="","",IF(OR(MB25_VOLUMETRIA[[#This Row],[EMPRESA]]="NET MASSIVO",MB25_VOLUMETRIA[[#This Row],[EMPRESA]]="NET PROJETOS"),"NET","EMPRESARIAL"))</f>
        <v>NET</v>
      </c>
    </row>
    <row r="1230" spans="1:15" x14ac:dyDescent="0.25">
      <c r="A1230" s="32">
        <v>4382404</v>
      </c>
      <c r="B1230" s="32" t="s">
        <v>21</v>
      </c>
      <c r="C1230" s="33" t="s">
        <v>182</v>
      </c>
      <c r="D1230" s="35">
        <v>45448</v>
      </c>
      <c r="E1230" s="32" t="s">
        <v>184</v>
      </c>
      <c r="F1230" s="32">
        <v>41001530</v>
      </c>
      <c r="G1230" s="32" t="s">
        <v>319</v>
      </c>
      <c r="H1230" s="26" t="s">
        <v>38</v>
      </c>
      <c r="I1230" s="36">
        <v>40</v>
      </c>
      <c r="J1230" s="32">
        <f>IF(MB25_VOLUMETRIA[[#This Row],[Reserva]]="","",1)</f>
        <v>1</v>
      </c>
      <c r="K1230" s="36" t="str">
        <f>IF(MB25_VOLUMETRIA[[#This Row],[Reserva]]="","",IFERROR(VLOOKUP(MB25_VOLUMETRIA[[#This Row],[UMB]],CHAVE[],2,FALSE),"VERIFICAR"))</f>
        <v>Unidade</v>
      </c>
      <c r="L12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0" s="32" t="str">
        <f ca="1">IFERROR(VLOOKUP(MB25_VOLUMETRIA[[#This Row],[Reserva]],RES_AB[],14,FALSE),"")</f>
        <v>PLANO DO DIA</v>
      </c>
      <c r="N1230" s="32" t="str">
        <f>IF(MB25_VOLUMETRIA[[#This Row],[Cen.]]="","",IFERROR(VLOOKUP(MB25_VOLUMETRIA[[#This Row],[Cen.]],Dados_Empresas[],2,FALSE),"Verificar empresa"))</f>
        <v>NET MASSIVO</v>
      </c>
      <c r="O1230" s="32" t="str">
        <f>IF(MB25_VOLUMETRIA[[#This Row],[EMPRESA]]="","",IF(OR(MB25_VOLUMETRIA[[#This Row],[EMPRESA]]="NET MASSIVO",MB25_VOLUMETRIA[[#This Row],[EMPRESA]]="NET PROJETOS"),"NET","EMPRESARIAL"))</f>
        <v>NET</v>
      </c>
    </row>
    <row r="1231" spans="1:15" x14ac:dyDescent="0.25">
      <c r="A1231" s="32">
        <v>4382404</v>
      </c>
      <c r="B1231" s="32" t="s">
        <v>21</v>
      </c>
      <c r="C1231" s="33" t="s">
        <v>21</v>
      </c>
      <c r="D1231" s="35">
        <v>45448</v>
      </c>
      <c r="E1231" s="32" t="s">
        <v>184</v>
      </c>
      <c r="F1231" s="32">
        <v>41001553</v>
      </c>
      <c r="G1231" s="32" t="s">
        <v>295</v>
      </c>
      <c r="H1231" s="26" t="s">
        <v>38</v>
      </c>
      <c r="I1231" s="36">
        <v>30</v>
      </c>
      <c r="J1231" s="32">
        <f>IF(MB25_VOLUMETRIA[[#This Row],[Reserva]]="","",1)</f>
        <v>1</v>
      </c>
      <c r="K1231" s="36" t="str">
        <f>IF(MB25_VOLUMETRIA[[#This Row],[Reserva]]="","",IFERROR(VLOOKUP(MB25_VOLUMETRIA[[#This Row],[UMB]],CHAVE[],2,FALSE),"VERIFICAR"))</f>
        <v>Unidade</v>
      </c>
      <c r="L12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1" s="32" t="str">
        <f ca="1">IFERROR(VLOOKUP(MB25_VOLUMETRIA[[#This Row],[Reserva]],RES_AB[],14,FALSE),"")</f>
        <v>PLANO DO DIA</v>
      </c>
      <c r="N1231" s="32" t="str">
        <f>IF(MB25_VOLUMETRIA[[#This Row],[Cen.]]="","",IFERROR(VLOOKUP(MB25_VOLUMETRIA[[#This Row],[Cen.]],Dados_Empresas[],2,FALSE),"Verificar empresa"))</f>
        <v>NET MASSIVO</v>
      </c>
      <c r="O1231" s="32" t="str">
        <f>IF(MB25_VOLUMETRIA[[#This Row],[EMPRESA]]="","",IF(OR(MB25_VOLUMETRIA[[#This Row],[EMPRESA]]="NET MASSIVO",MB25_VOLUMETRIA[[#This Row],[EMPRESA]]="NET PROJETOS"),"NET","EMPRESARIAL"))</f>
        <v>NET</v>
      </c>
    </row>
    <row r="1232" spans="1:15" x14ac:dyDescent="0.25">
      <c r="A1232" s="32">
        <v>4382405</v>
      </c>
      <c r="B1232" s="32" t="s">
        <v>21</v>
      </c>
      <c r="C1232" s="33" t="s">
        <v>21</v>
      </c>
      <c r="D1232" s="35">
        <v>45448</v>
      </c>
      <c r="E1232" s="32" t="s">
        <v>185</v>
      </c>
      <c r="F1232" s="32">
        <v>22026544</v>
      </c>
      <c r="G1232" s="32" t="s">
        <v>206</v>
      </c>
      <c r="H1232" s="26" t="s">
        <v>38</v>
      </c>
      <c r="I1232" s="36">
        <v>50</v>
      </c>
      <c r="J1232" s="32">
        <f>IF(MB25_VOLUMETRIA[[#This Row],[Reserva]]="","",1)</f>
        <v>1</v>
      </c>
      <c r="K1232" s="36" t="str">
        <f>IF(MB25_VOLUMETRIA[[#This Row],[Reserva]]="","",IFERROR(VLOOKUP(MB25_VOLUMETRIA[[#This Row],[UMB]],CHAVE[],2,FALSE),"VERIFICAR"))</f>
        <v>Unidade</v>
      </c>
      <c r="L12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2" s="32" t="str">
        <f ca="1">IFERROR(VLOOKUP(MB25_VOLUMETRIA[[#This Row],[Reserva]],RES_AB[],14,FALSE),"")</f>
        <v>PLANO DO DIA</v>
      </c>
      <c r="N1232" s="32" t="str">
        <f>IF(MB25_VOLUMETRIA[[#This Row],[Cen.]]="","",IFERROR(VLOOKUP(MB25_VOLUMETRIA[[#This Row],[Cen.]],Dados_Empresas[],2,FALSE),"Verificar empresa"))</f>
        <v>NET MASSIVO</v>
      </c>
      <c r="O1232" s="32" t="str">
        <f>IF(MB25_VOLUMETRIA[[#This Row],[EMPRESA]]="","",IF(OR(MB25_VOLUMETRIA[[#This Row],[EMPRESA]]="NET MASSIVO",MB25_VOLUMETRIA[[#This Row],[EMPRESA]]="NET PROJETOS"),"NET","EMPRESARIAL"))</f>
        <v>NET</v>
      </c>
    </row>
    <row r="1233" spans="1:15" x14ac:dyDescent="0.25">
      <c r="A1233" s="32">
        <v>4382405</v>
      </c>
      <c r="B1233" s="32" t="s">
        <v>21</v>
      </c>
      <c r="C1233" s="33" t="s">
        <v>21</v>
      </c>
      <c r="D1233" s="35">
        <v>45448</v>
      </c>
      <c r="E1233" s="32" t="s">
        <v>185</v>
      </c>
      <c r="F1233" s="32">
        <v>22056331</v>
      </c>
      <c r="G1233" s="32" t="s">
        <v>209</v>
      </c>
      <c r="H1233" s="26" t="s">
        <v>38</v>
      </c>
      <c r="I1233" s="36">
        <v>100</v>
      </c>
      <c r="J1233" s="32">
        <f>IF(MB25_VOLUMETRIA[[#This Row],[Reserva]]="","",1)</f>
        <v>1</v>
      </c>
      <c r="K1233" s="36" t="str">
        <f>IF(MB25_VOLUMETRIA[[#This Row],[Reserva]]="","",IFERROR(VLOOKUP(MB25_VOLUMETRIA[[#This Row],[UMB]],CHAVE[],2,FALSE),"VERIFICAR"))</f>
        <v>Unidade</v>
      </c>
      <c r="L12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3" s="32" t="str">
        <f ca="1">IFERROR(VLOOKUP(MB25_VOLUMETRIA[[#This Row],[Reserva]],RES_AB[],14,FALSE),"")</f>
        <v>PLANO DO DIA</v>
      </c>
      <c r="N1233" s="32" t="str">
        <f>IF(MB25_VOLUMETRIA[[#This Row],[Cen.]]="","",IFERROR(VLOOKUP(MB25_VOLUMETRIA[[#This Row],[Cen.]],Dados_Empresas[],2,FALSE),"Verificar empresa"))</f>
        <v>NET MASSIVO</v>
      </c>
      <c r="O1233" s="32" t="str">
        <f>IF(MB25_VOLUMETRIA[[#This Row],[EMPRESA]]="","",IF(OR(MB25_VOLUMETRIA[[#This Row],[EMPRESA]]="NET MASSIVO",MB25_VOLUMETRIA[[#This Row],[EMPRESA]]="NET PROJETOS"),"NET","EMPRESARIAL"))</f>
        <v>NET</v>
      </c>
    </row>
    <row r="1234" spans="1:15" x14ac:dyDescent="0.25">
      <c r="A1234" s="32">
        <v>4382405</v>
      </c>
      <c r="B1234" s="32" t="s">
        <v>21</v>
      </c>
      <c r="C1234" s="33" t="s">
        <v>19</v>
      </c>
      <c r="D1234" s="35">
        <v>45448</v>
      </c>
      <c r="E1234" s="32" t="s">
        <v>185</v>
      </c>
      <c r="F1234" s="32">
        <v>22056336</v>
      </c>
      <c r="G1234" s="32" t="s">
        <v>324</v>
      </c>
      <c r="H1234" s="26" t="s">
        <v>38</v>
      </c>
      <c r="I1234" s="36">
        <v>100</v>
      </c>
      <c r="J1234" s="32">
        <f>IF(MB25_VOLUMETRIA[[#This Row],[Reserva]]="","",1)</f>
        <v>1</v>
      </c>
      <c r="K1234" s="36" t="str">
        <f>IF(MB25_VOLUMETRIA[[#This Row],[Reserva]]="","",IFERROR(VLOOKUP(MB25_VOLUMETRIA[[#This Row],[UMB]],CHAVE[],2,FALSE),"VERIFICAR"))</f>
        <v>Unidade</v>
      </c>
      <c r="L12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4" s="32" t="str">
        <f ca="1">IFERROR(VLOOKUP(MB25_VOLUMETRIA[[#This Row],[Reserva]],RES_AB[],14,FALSE),"")</f>
        <v>PLANO DO DIA</v>
      </c>
      <c r="N1234" s="32" t="str">
        <f>IF(MB25_VOLUMETRIA[[#This Row],[Cen.]]="","",IFERROR(VLOOKUP(MB25_VOLUMETRIA[[#This Row],[Cen.]],Dados_Empresas[],2,FALSE),"Verificar empresa"))</f>
        <v>NET MASSIVO</v>
      </c>
      <c r="O1234" s="32" t="str">
        <f>IF(MB25_VOLUMETRIA[[#This Row],[EMPRESA]]="","",IF(OR(MB25_VOLUMETRIA[[#This Row],[EMPRESA]]="NET MASSIVO",MB25_VOLUMETRIA[[#This Row],[EMPRESA]]="NET PROJETOS"),"NET","EMPRESARIAL"))</f>
        <v>NET</v>
      </c>
    </row>
    <row r="1235" spans="1:15" x14ac:dyDescent="0.25">
      <c r="A1235" s="32">
        <v>4382405</v>
      </c>
      <c r="B1235" s="32" t="s">
        <v>21</v>
      </c>
      <c r="C1235" s="33" t="s">
        <v>21</v>
      </c>
      <c r="D1235" s="35">
        <v>45448</v>
      </c>
      <c r="E1235" s="32" t="s">
        <v>185</v>
      </c>
      <c r="F1235" s="32">
        <v>22056359</v>
      </c>
      <c r="G1235" s="32" t="s">
        <v>203</v>
      </c>
      <c r="H1235" s="26" t="s">
        <v>38</v>
      </c>
      <c r="I1235" s="36">
        <v>5</v>
      </c>
      <c r="J1235" s="32">
        <f>IF(MB25_VOLUMETRIA[[#This Row],[Reserva]]="","",1)</f>
        <v>1</v>
      </c>
      <c r="K1235" s="36" t="str">
        <f>IF(MB25_VOLUMETRIA[[#This Row],[Reserva]]="","",IFERROR(VLOOKUP(MB25_VOLUMETRIA[[#This Row],[UMB]],CHAVE[],2,FALSE),"VERIFICAR"))</f>
        <v>Unidade</v>
      </c>
      <c r="L12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5" s="32" t="str">
        <f ca="1">IFERROR(VLOOKUP(MB25_VOLUMETRIA[[#This Row],[Reserva]],RES_AB[],14,FALSE),"")</f>
        <v>PLANO DO DIA</v>
      </c>
      <c r="N1235" s="32" t="str">
        <f>IF(MB25_VOLUMETRIA[[#This Row],[Cen.]]="","",IFERROR(VLOOKUP(MB25_VOLUMETRIA[[#This Row],[Cen.]],Dados_Empresas[],2,FALSE),"Verificar empresa"))</f>
        <v>NET MASSIVO</v>
      </c>
      <c r="O1235" s="32" t="str">
        <f>IF(MB25_VOLUMETRIA[[#This Row],[EMPRESA]]="","",IF(OR(MB25_VOLUMETRIA[[#This Row],[EMPRESA]]="NET MASSIVO",MB25_VOLUMETRIA[[#This Row],[EMPRESA]]="NET PROJETOS"),"NET","EMPRESARIAL"))</f>
        <v>NET</v>
      </c>
    </row>
    <row r="1236" spans="1:15" x14ac:dyDescent="0.25">
      <c r="A1236" s="32">
        <v>4382405</v>
      </c>
      <c r="B1236" s="32" t="s">
        <v>21</v>
      </c>
      <c r="C1236" s="33" t="s">
        <v>21</v>
      </c>
      <c r="D1236" s="35">
        <v>45448</v>
      </c>
      <c r="E1236" s="32" t="s">
        <v>185</v>
      </c>
      <c r="F1236" s="32">
        <v>22061811</v>
      </c>
      <c r="G1236" s="32" t="s">
        <v>226</v>
      </c>
      <c r="H1236" s="26" t="s">
        <v>38</v>
      </c>
      <c r="I1236" s="36">
        <v>100</v>
      </c>
      <c r="J1236" s="32">
        <f>IF(MB25_VOLUMETRIA[[#This Row],[Reserva]]="","",1)</f>
        <v>1</v>
      </c>
      <c r="K1236" s="36" t="str">
        <f>IF(MB25_VOLUMETRIA[[#This Row],[Reserva]]="","",IFERROR(VLOOKUP(MB25_VOLUMETRIA[[#This Row],[UMB]],CHAVE[],2,FALSE),"VERIFICAR"))</f>
        <v>Unidade</v>
      </c>
      <c r="L12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6" s="32" t="str">
        <f ca="1">IFERROR(VLOOKUP(MB25_VOLUMETRIA[[#This Row],[Reserva]],RES_AB[],14,FALSE),"")</f>
        <v>PLANO DO DIA</v>
      </c>
      <c r="N1236" s="32" t="str">
        <f>IF(MB25_VOLUMETRIA[[#This Row],[Cen.]]="","",IFERROR(VLOOKUP(MB25_VOLUMETRIA[[#This Row],[Cen.]],Dados_Empresas[],2,FALSE),"Verificar empresa"))</f>
        <v>NET MASSIVO</v>
      </c>
      <c r="O1236" s="32" t="str">
        <f>IF(MB25_VOLUMETRIA[[#This Row],[EMPRESA]]="","",IF(OR(MB25_VOLUMETRIA[[#This Row],[EMPRESA]]="NET MASSIVO",MB25_VOLUMETRIA[[#This Row],[EMPRESA]]="NET PROJETOS"),"NET","EMPRESARIAL"))</f>
        <v>NET</v>
      </c>
    </row>
    <row r="1237" spans="1:15" x14ac:dyDescent="0.25">
      <c r="A1237" s="32">
        <v>4382405</v>
      </c>
      <c r="B1237" s="32" t="s">
        <v>21</v>
      </c>
      <c r="C1237" s="33" t="s">
        <v>21</v>
      </c>
      <c r="D1237" s="35">
        <v>45448</v>
      </c>
      <c r="E1237" s="32" t="s">
        <v>185</v>
      </c>
      <c r="F1237" s="32">
        <v>22065719</v>
      </c>
      <c r="G1237" s="32" t="s">
        <v>228</v>
      </c>
      <c r="H1237" s="26" t="s">
        <v>38</v>
      </c>
      <c r="I1237" s="36">
        <v>200</v>
      </c>
      <c r="J1237" s="32">
        <f>IF(MB25_VOLUMETRIA[[#This Row],[Reserva]]="","",1)</f>
        <v>1</v>
      </c>
      <c r="K1237" s="36" t="str">
        <f>IF(MB25_VOLUMETRIA[[#This Row],[Reserva]]="","",IFERROR(VLOOKUP(MB25_VOLUMETRIA[[#This Row],[UMB]],CHAVE[],2,FALSE),"VERIFICAR"))</f>
        <v>Unidade</v>
      </c>
      <c r="L12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7" s="32" t="str">
        <f ca="1">IFERROR(VLOOKUP(MB25_VOLUMETRIA[[#This Row],[Reserva]],RES_AB[],14,FALSE),"")</f>
        <v>PLANO DO DIA</v>
      </c>
      <c r="N1237" s="32" t="str">
        <f>IF(MB25_VOLUMETRIA[[#This Row],[Cen.]]="","",IFERROR(VLOOKUP(MB25_VOLUMETRIA[[#This Row],[Cen.]],Dados_Empresas[],2,FALSE),"Verificar empresa"))</f>
        <v>NET MASSIVO</v>
      </c>
      <c r="O1237" s="32" t="str">
        <f>IF(MB25_VOLUMETRIA[[#This Row],[EMPRESA]]="","",IF(OR(MB25_VOLUMETRIA[[#This Row],[EMPRESA]]="NET MASSIVO",MB25_VOLUMETRIA[[#This Row],[EMPRESA]]="NET PROJETOS"),"NET","EMPRESARIAL"))</f>
        <v>NET</v>
      </c>
    </row>
    <row r="1238" spans="1:15" x14ac:dyDescent="0.25">
      <c r="A1238" s="32">
        <v>4382406</v>
      </c>
      <c r="B1238" s="32" t="s">
        <v>21</v>
      </c>
      <c r="C1238" s="33" t="s">
        <v>21</v>
      </c>
      <c r="D1238" s="35">
        <v>45448</v>
      </c>
      <c r="E1238" s="32" t="s">
        <v>184</v>
      </c>
      <c r="F1238" s="32">
        <v>41001536</v>
      </c>
      <c r="G1238" s="32" t="s">
        <v>371</v>
      </c>
      <c r="H1238" s="26" t="s">
        <v>38</v>
      </c>
      <c r="I1238" s="36">
        <v>270</v>
      </c>
      <c r="J1238" s="32">
        <f>IF(MB25_VOLUMETRIA[[#This Row],[Reserva]]="","",1)</f>
        <v>1</v>
      </c>
      <c r="K1238" s="36" t="str">
        <f>IF(MB25_VOLUMETRIA[[#This Row],[Reserva]]="","",IFERROR(VLOOKUP(MB25_VOLUMETRIA[[#This Row],[UMB]],CHAVE[],2,FALSE),"VERIFICAR"))</f>
        <v>Unidade</v>
      </c>
      <c r="L12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8" s="32" t="str">
        <f ca="1">IFERROR(VLOOKUP(MB25_VOLUMETRIA[[#This Row],[Reserva]],RES_AB[],14,FALSE),"")</f>
        <v>PLANO DO DIA</v>
      </c>
      <c r="N1238" s="32" t="str">
        <f>IF(MB25_VOLUMETRIA[[#This Row],[Cen.]]="","",IFERROR(VLOOKUP(MB25_VOLUMETRIA[[#This Row],[Cen.]],Dados_Empresas[],2,FALSE),"Verificar empresa"))</f>
        <v>NET MASSIVO</v>
      </c>
      <c r="O1238" s="32" t="str">
        <f>IF(MB25_VOLUMETRIA[[#This Row],[EMPRESA]]="","",IF(OR(MB25_VOLUMETRIA[[#This Row],[EMPRESA]]="NET MASSIVO",MB25_VOLUMETRIA[[#This Row],[EMPRESA]]="NET PROJETOS"),"NET","EMPRESARIAL"))</f>
        <v>NET</v>
      </c>
    </row>
    <row r="1239" spans="1:15" x14ac:dyDescent="0.25">
      <c r="A1239" s="32">
        <v>4382406</v>
      </c>
      <c r="B1239" s="32" t="s">
        <v>21</v>
      </c>
      <c r="C1239" s="33" t="s">
        <v>21</v>
      </c>
      <c r="D1239" s="35">
        <v>45448</v>
      </c>
      <c r="E1239" s="32" t="s">
        <v>184</v>
      </c>
      <c r="F1239" s="32">
        <v>41001552</v>
      </c>
      <c r="G1239" s="32" t="s">
        <v>336</v>
      </c>
      <c r="H1239" s="26" t="s">
        <v>38</v>
      </c>
      <c r="I1239" s="36">
        <v>700</v>
      </c>
      <c r="J1239" s="32">
        <f>IF(MB25_VOLUMETRIA[[#This Row],[Reserva]]="","",1)</f>
        <v>1</v>
      </c>
      <c r="K1239" s="36" t="str">
        <f>IF(MB25_VOLUMETRIA[[#This Row],[Reserva]]="","",IFERROR(VLOOKUP(MB25_VOLUMETRIA[[#This Row],[UMB]],CHAVE[],2,FALSE),"VERIFICAR"))</f>
        <v>Unidade</v>
      </c>
      <c r="L12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39" s="32" t="str">
        <f ca="1">IFERROR(VLOOKUP(MB25_VOLUMETRIA[[#This Row],[Reserva]],RES_AB[],14,FALSE),"")</f>
        <v>PLANO DO DIA</v>
      </c>
      <c r="N1239" s="32" t="str">
        <f>IF(MB25_VOLUMETRIA[[#This Row],[Cen.]]="","",IFERROR(VLOOKUP(MB25_VOLUMETRIA[[#This Row],[Cen.]],Dados_Empresas[],2,FALSE),"Verificar empresa"))</f>
        <v>NET MASSIVO</v>
      </c>
      <c r="O1239" s="32" t="str">
        <f>IF(MB25_VOLUMETRIA[[#This Row],[EMPRESA]]="","",IF(OR(MB25_VOLUMETRIA[[#This Row],[EMPRESA]]="NET MASSIVO",MB25_VOLUMETRIA[[#This Row],[EMPRESA]]="NET PROJETOS"),"NET","EMPRESARIAL"))</f>
        <v>NET</v>
      </c>
    </row>
    <row r="1240" spans="1:15" x14ac:dyDescent="0.25">
      <c r="A1240" s="32">
        <v>4382407</v>
      </c>
      <c r="B1240" s="32" t="s">
        <v>21</v>
      </c>
      <c r="C1240" s="33" t="s">
        <v>19</v>
      </c>
      <c r="D1240" s="35">
        <v>45448</v>
      </c>
      <c r="E1240" s="32" t="s">
        <v>185</v>
      </c>
      <c r="F1240" s="32">
        <v>22025114</v>
      </c>
      <c r="G1240" s="32" t="s">
        <v>358</v>
      </c>
      <c r="H1240" s="26" t="s">
        <v>38</v>
      </c>
      <c r="I1240" s="36">
        <v>50</v>
      </c>
      <c r="J1240" s="32">
        <f>IF(MB25_VOLUMETRIA[[#This Row],[Reserva]]="","",1)</f>
        <v>1</v>
      </c>
      <c r="K1240" s="36" t="str">
        <f>IF(MB25_VOLUMETRIA[[#This Row],[Reserva]]="","",IFERROR(VLOOKUP(MB25_VOLUMETRIA[[#This Row],[UMB]],CHAVE[],2,FALSE),"VERIFICAR"))</f>
        <v>Unidade</v>
      </c>
      <c r="L12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0" s="32" t="str">
        <f ca="1">IFERROR(VLOOKUP(MB25_VOLUMETRIA[[#This Row],[Reserva]],RES_AB[],14,FALSE),"")</f>
        <v>PLANO DO DIA</v>
      </c>
      <c r="N1240" s="32" t="str">
        <f>IF(MB25_VOLUMETRIA[[#This Row],[Cen.]]="","",IFERROR(VLOOKUP(MB25_VOLUMETRIA[[#This Row],[Cen.]],Dados_Empresas[],2,FALSE),"Verificar empresa"))</f>
        <v>NET MASSIVO</v>
      </c>
      <c r="O1240" s="32" t="str">
        <f>IF(MB25_VOLUMETRIA[[#This Row],[EMPRESA]]="","",IF(OR(MB25_VOLUMETRIA[[#This Row],[EMPRESA]]="NET MASSIVO",MB25_VOLUMETRIA[[#This Row],[EMPRESA]]="NET PROJETOS"),"NET","EMPRESARIAL"))</f>
        <v>NET</v>
      </c>
    </row>
    <row r="1241" spans="1:15" x14ac:dyDescent="0.25">
      <c r="A1241" s="32">
        <v>4382407</v>
      </c>
      <c r="B1241" s="32" t="s">
        <v>21</v>
      </c>
      <c r="C1241" s="33" t="s">
        <v>19</v>
      </c>
      <c r="D1241" s="35">
        <v>45448</v>
      </c>
      <c r="E1241" s="32" t="s">
        <v>185</v>
      </c>
      <c r="F1241" s="32">
        <v>22025117</v>
      </c>
      <c r="G1241" s="32" t="s">
        <v>399</v>
      </c>
      <c r="H1241" s="26" t="s">
        <v>38</v>
      </c>
      <c r="I1241" s="36">
        <v>50</v>
      </c>
      <c r="J1241" s="32">
        <f>IF(MB25_VOLUMETRIA[[#This Row],[Reserva]]="","",1)</f>
        <v>1</v>
      </c>
      <c r="K1241" s="36" t="str">
        <f>IF(MB25_VOLUMETRIA[[#This Row],[Reserva]]="","",IFERROR(VLOOKUP(MB25_VOLUMETRIA[[#This Row],[UMB]],CHAVE[],2,FALSE),"VERIFICAR"))</f>
        <v>Unidade</v>
      </c>
      <c r="L12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1" s="32" t="str">
        <f ca="1">IFERROR(VLOOKUP(MB25_VOLUMETRIA[[#This Row],[Reserva]],RES_AB[],14,FALSE),"")</f>
        <v>PLANO DO DIA</v>
      </c>
      <c r="N1241" s="32" t="str">
        <f>IF(MB25_VOLUMETRIA[[#This Row],[Cen.]]="","",IFERROR(VLOOKUP(MB25_VOLUMETRIA[[#This Row],[Cen.]],Dados_Empresas[],2,FALSE),"Verificar empresa"))</f>
        <v>NET MASSIVO</v>
      </c>
      <c r="O1241" s="32" t="str">
        <f>IF(MB25_VOLUMETRIA[[#This Row],[EMPRESA]]="","",IF(OR(MB25_VOLUMETRIA[[#This Row],[EMPRESA]]="NET MASSIVO",MB25_VOLUMETRIA[[#This Row],[EMPRESA]]="NET PROJETOS"),"NET","EMPRESARIAL"))</f>
        <v>NET</v>
      </c>
    </row>
    <row r="1242" spans="1:15" x14ac:dyDescent="0.25">
      <c r="A1242" s="32">
        <v>4382407</v>
      </c>
      <c r="B1242" s="32" t="s">
        <v>21</v>
      </c>
      <c r="C1242" s="33" t="s">
        <v>19</v>
      </c>
      <c r="D1242" s="35">
        <v>45448</v>
      </c>
      <c r="E1242" s="32" t="s">
        <v>185</v>
      </c>
      <c r="F1242" s="32">
        <v>22025119</v>
      </c>
      <c r="G1242" s="32" t="s">
        <v>365</v>
      </c>
      <c r="H1242" s="26" t="s">
        <v>38</v>
      </c>
      <c r="I1242" s="36">
        <v>50</v>
      </c>
      <c r="J1242" s="32">
        <f>IF(MB25_VOLUMETRIA[[#This Row],[Reserva]]="","",1)</f>
        <v>1</v>
      </c>
      <c r="K1242" s="36" t="str">
        <f>IF(MB25_VOLUMETRIA[[#This Row],[Reserva]]="","",IFERROR(VLOOKUP(MB25_VOLUMETRIA[[#This Row],[UMB]],CHAVE[],2,FALSE),"VERIFICAR"))</f>
        <v>Unidade</v>
      </c>
      <c r="L12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2" s="32" t="str">
        <f ca="1">IFERROR(VLOOKUP(MB25_VOLUMETRIA[[#This Row],[Reserva]],RES_AB[],14,FALSE),"")</f>
        <v>PLANO DO DIA</v>
      </c>
      <c r="N1242" s="32" t="str">
        <f>IF(MB25_VOLUMETRIA[[#This Row],[Cen.]]="","",IFERROR(VLOOKUP(MB25_VOLUMETRIA[[#This Row],[Cen.]],Dados_Empresas[],2,FALSE),"Verificar empresa"))</f>
        <v>NET MASSIVO</v>
      </c>
      <c r="O1242" s="32" t="str">
        <f>IF(MB25_VOLUMETRIA[[#This Row],[EMPRESA]]="","",IF(OR(MB25_VOLUMETRIA[[#This Row],[EMPRESA]]="NET MASSIVO",MB25_VOLUMETRIA[[#This Row],[EMPRESA]]="NET PROJETOS"),"NET","EMPRESARIAL"))</f>
        <v>NET</v>
      </c>
    </row>
    <row r="1243" spans="1:15" x14ac:dyDescent="0.25">
      <c r="A1243" s="32">
        <v>4382407</v>
      </c>
      <c r="B1243" s="32" t="s">
        <v>21</v>
      </c>
      <c r="C1243" s="33" t="s">
        <v>19</v>
      </c>
      <c r="D1243" s="35">
        <v>45448</v>
      </c>
      <c r="E1243" s="32" t="s">
        <v>185</v>
      </c>
      <c r="F1243" s="32">
        <v>22025162</v>
      </c>
      <c r="G1243" s="32" t="s">
        <v>211</v>
      </c>
      <c r="H1243" s="26" t="s">
        <v>38</v>
      </c>
      <c r="I1243" s="36">
        <v>100</v>
      </c>
      <c r="J1243" s="32">
        <f>IF(MB25_VOLUMETRIA[[#This Row],[Reserva]]="","",1)</f>
        <v>1</v>
      </c>
      <c r="K1243" s="36" t="str">
        <f>IF(MB25_VOLUMETRIA[[#This Row],[Reserva]]="","",IFERROR(VLOOKUP(MB25_VOLUMETRIA[[#This Row],[UMB]],CHAVE[],2,FALSE),"VERIFICAR"))</f>
        <v>Unidade</v>
      </c>
      <c r="L12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3" s="32" t="str">
        <f ca="1">IFERROR(VLOOKUP(MB25_VOLUMETRIA[[#This Row],[Reserva]],RES_AB[],14,FALSE),"")</f>
        <v>PLANO DO DIA</v>
      </c>
      <c r="N1243" s="32" t="str">
        <f>IF(MB25_VOLUMETRIA[[#This Row],[Cen.]]="","",IFERROR(VLOOKUP(MB25_VOLUMETRIA[[#This Row],[Cen.]],Dados_Empresas[],2,FALSE),"Verificar empresa"))</f>
        <v>NET MASSIVO</v>
      </c>
      <c r="O1243" s="32" t="str">
        <f>IF(MB25_VOLUMETRIA[[#This Row],[EMPRESA]]="","",IF(OR(MB25_VOLUMETRIA[[#This Row],[EMPRESA]]="NET MASSIVO",MB25_VOLUMETRIA[[#This Row],[EMPRESA]]="NET PROJETOS"),"NET","EMPRESARIAL"))</f>
        <v>NET</v>
      </c>
    </row>
    <row r="1244" spans="1:15" x14ac:dyDescent="0.25">
      <c r="A1244" s="32">
        <v>4382407</v>
      </c>
      <c r="B1244" s="32" t="s">
        <v>21</v>
      </c>
      <c r="C1244" s="33" t="s">
        <v>19</v>
      </c>
      <c r="D1244" s="35">
        <v>45448</v>
      </c>
      <c r="E1244" s="32" t="s">
        <v>185</v>
      </c>
      <c r="F1244" s="32">
        <v>22025182</v>
      </c>
      <c r="G1244" s="32" t="s">
        <v>367</v>
      </c>
      <c r="H1244" s="26" t="s">
        <v>38</v>
      </c>
      <c r="I1244" s="36">
        <v>50</v>
      </c>
      <c r="J1244" s="32">
        <f>IF(MB25_VOLUMETRIA[[#This Row],[Reserva]]="","",1)</f>
        <v>1</v>
      </c>
      <c r="K1244" s="36" t="str">
        <f>IF(MB25_VOLUMETRIA[[#This Row],[Reserva]]="","",IFERROR(VLOOKUP(MB25_VOLUMETRIA[[#This Row],[UMB]],CHAVE[],2,FALSE),"VERIFICAR"))</f>
        <v>Unidade</v>
      </c>
      <c r="L12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4" s="32" t="str">
        <f ca="1">IFERROR(VLOOKUP(MB25_VOLUMETRIA[[#This Row],[Reserva]],RES_AB[],14,FALSE),"")</f>
        <v>PLANO DO DIA</v>
      </c>
      <c r="N1244" s="32" t="str">
        <f>IF(MB25_VOLUMETRIA[[#This Row],[Cen.]]="","",IFERROR(VLOOKUP(MB25_VOLUMETRIA[[#This Row],[Cen.]],Dados_Empresas[],2,FALSE),"Verificar empresa"))</f>
        <v>NET MASSIVO</v>
      </c>
      <c r="O1244" s="32" t="str">
        <f>IF(MB25_VOLUMETRIA[[#This Row],[EMPRESA]]="","",IF(OR(MB25_VOLUMETRIA[[#This Row],[EMPRESA]]="NET MASSIVO",MB25_VOLUMETRIA[[#This Row],[EMPRESA]]="NET PROJETOS"),"NET","EMPRESARIAL"))</f>
        <v>NET</v>
      </c>
    </row>
    <row r="1245" spans="1:15" x14ac:dyDescent="0.25">
      <c r="A1245" s="32">
        <v>4382407</v>
      </c>
      <c r="B1245" s="32" t="s">
        <v>21</v>
      </c>
      <c r="C1245" s="33" t="s">
        <v>19</v>
      </c>
      <c r="D1245" s="35">
        <v>45448</v>
      </c>
      <c r="E1245" s="32" t="s">
        <v>185</v>
      </c>
      <c r="F1245" s="32">
        <v>22025238</v>
      </c>
      <c r="G1245" s="32" t="s">
        <v>368</v>
      </c>
      <c r="H1245" s="26" t="s">
        <v>38</v>
      </c>
      <c r="I1245" s="36">
        <v>100</v>
      </c>
      <c r="J1245" s="32">
        <f>IF(MB25_VOLUMETRIA[[#This Row],[Reserva]]="","",1)</f>
        <v>1</v>
      </c>
      <c r="K1245" s="36" t="str">
        <f>IF(MB25_VOLUMETRIA[[#This Row],[Reserva]]="","",IFERROR(VLOOKUP(MB25_VOLUMETRIA[[#This Row],[UMB]],CHAVE[],2,FALSE),"VERIFICAR"))</f>
        <v>Unidade</v>
      </c>
      <c r="L12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5" s="32" t="str">
        <f ca="1">IFERROR(VLOOKUP(MB25_VOLUMETRIA[[#This Row],[Reserva]],RES_AB[],14,FALSE),"")</f>
        <v>PLANO DO DIA</v>
      </c>
      <c r="N1245" s="32" t="str">
        <f>IF(MB25_VOLUMETRIA[[#This Row],[Cen.]]="","",IFERROR(VLOOKUP(MB25_VOLUMETRIA[[#This Row],[Cen.]],Dados_Empresas[],2,FALSE),"Verificar empresa"))</f>
        <v>NET MASSIVO</v>
      </c>
      <c r="O1245" s="32" t="str">
        <f>IF(MB25_VOLUMETRIA[[#This Row],[EMPRESA]]="","",IF(OR(MB25_VOLUMETRIA[[#This Row],[EMPRESA]]="NET MASSIVO",MB25_VOLUMETRIA[[#This Row],[EMPRESA]]="NET PROJETOS"),"NET","EMPRESARIAL"))</f>
        <v>NET</v>
      </c>
    </row>
    <row r="1246" spans="1:15" x14ac:dyDescent="0.25">
      <c r="A1246" s="32">
        <v>4382407</v>
      </c>
      <c r="B1246" s="32" t="s">
        <v>21</v>
      </c>
      <c r="C1246" s="33" t="s">
        <v>19</v>
      </c>
      <c r="D1246" s="35">
        <v>45448</v>
      </c>
      <c r="E1246" s="32" t="s">
        <v>185</v>
      </c>
      <c r="F1246" s="32">
        <v>22025239</v>
      </c>
      <c r="G1246" s="32" t="s">
        <v>335</v>
      </c>
      <c r="H1246" s="26" t="s">
        <v>38</v>
      </c>
      <c r="I1246" s="36">
        <v>100</v>
      </c>
      <c r="J1246" s="32">
        <f>IF(MB25_VOLUMETRIA[[#This Row],[Reserva]]="","",1)</f>
        <v>1</v>
      </c>
      <c r="K1246" s="36" t="str">
        <f>IF(MB25_VOLUMETRIA[[#This Row],[Reserva]]="","",IFERROR(VLOOKUP(MB25_VOLUMETRIA[[#This Row],[UMB]],CHAVE[],2,FALSE),"VERIFICAR"))</f>
        <v>Unidade</v>
      </c>
      <c r="L12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6" s="32" t="str">
        <f ca="1">IFERROR(VLOOKUP(MB25_VOLUMETRIA[[#This Row],[Reserva]],RES_AB[],14,FALSE),"")</f>
        <v>PLANO DO DIA</v>
      </c>
      <c r="N1246" s="32" t="str">
        <f>IF(MB25_VOLUMETRIA[[#This Row],[Cen.]]="","",IFERROR(VLOOKUP(MB25_VOLUMETRIA[[#This Row],[Cen.]],Dados_Empresas[],2,FALSE),"Verificar empresa"))</f>
        <v>NET MASSIVO</v>
      </c>
      <c r="O1246" s="32" t="str">
        <f>IF(MB25_VOLUMETRIA[[#This Row],[EMPRESA]]="","",IF(OR(MB25_VOLUMETRIA[[#This Row],[EMPRESA]]="NET MASSIVO",MB25_VOLUMETRIA[[#This Row],[EMPRESA]]="NET PROJETOS"),"NET","EMPRESARIAL"))</f>
        <v>NET</v>
      </c>
    </row>
    <row r="1247" spans="1:15" x14ac:dyDescent="0.25">
      <c r="A1247" s="32">
        <v>4382407</v>
      </c>
      <c r="B1247" s="32" t="s">
        <v>21</v>
      </c>
      <c r="C1247" s="33" t="s">
        <v>19</v>
      </c>
      <c r="D1247" s="35">
        <v>45448</v>
      </c>
      <c r="E1247" s="32" t="s">
        <v>185</v>
      </c>
      <c r="F1247" s="32">
        <v>22025241</v>
      </c>
      <c r="G1247" s="32" t="s">
        <v>212</v>
      </c>
      <c r="H1247" s="26" t="s">
        <v>38</v>
      </c>
      <c r="I1247" s="36">
        <v>100</v>
      </c>
      <c r="J1247" s="32">
        <f>IF(MB25_VOLUMETRIA[[#This Row],[Reserva]]="","",1)</f>
        <v>1</v>
      </c>
      <c r="K1247" s="36" t="str">
        <f>IF(MB25_VOLUMETRIA[[#This Row],[Reserva]]="","",IFERROR(VLOOKUP(MB25_VOLUMETRIA[[#This Row],[UMB]],CHAVE[],2,FALSE),"VERIFICAR"))</f>
        <v>Unidade</v>
      </c>
      <c r="L12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7" s="32" t="str">
        <f ca="1">IFERROR(VLOOKUP(MB25_VOLUMETRIA[[#This Row],[Reserva]],RES_AB[],14,FALSE),"")</f>
        <v>PLANO DO DIA</v>
      </c>
      <c r="N1247" s="32" t="str">
        <f>IF(MB25_VOLUMETRIA[[#This Row],[Cen.]]="","",IFERROR(VLOOKUP(MB25_VOLUMETRIA[[#This Row],[Cen.]],Dados_Empresas[],2,FALSE),"Verificar empresa"))</f>
        <v>NET MASSIVO</v>
      </c>
      <c r="O1247" s="32" t="str">
        <f>IF(MB25_VOLUMETRIA[[#This Row],[EMPRESA]]="","",IF(OR(MB25_VOLUMETRIA[[#This Row],[EMPRESA]]="NET MASSIVO",MB25_VOLUMETRIA[[#This Row],[EMPRESA]]="NET PROJETOS"),"NET","EMPRESARIAL"))</f>
        <v>NET</v>
      </c>
    </row>
    <row r="1248" spans="1:15" x14ac:dyDescent="0.25">
      <c r="A1248" s="32">
        <v>4382407</v>
      </c>
      <c r="B1248" s="32" t="s">
        <v>21</v>
      </c>
      <c r="C1248" s="33" t="s">
        <v>19</v>
      </c>
      <c r="D1248" s="35">
        <v>45448</v>
      </c>
      <c r="E1248" s="32" t="s">
        <v>185</v>
      </c>
      <c r="F1248" s="32">
        <v>22025243</v>
      </c>
      <c r="G1248" s="32" t="s">
        <v>331</v>
      </c>
      <c r="H1248" s="26" t="s">
        <v>38</v>
      </c>
      <c r="I1248" s="36">
        <v>100</v>
      </c>
      <c r="J1248" s="32">
        <f>IF(MB25_VOLUMETRIA[[#This Row],[Reserva]]="","",1)</f>
        <v>1</v>
      </c>
      <c r="K1248" s="36" t="str">
        <f>IF(MB25_VOLUMETRIA[[#This Row],[Reserva]]="","",IFERROR(VLOOKUP(MB25_VOLUMETRIA[[#This Row],[UMB]],CHAVE[],2,FALSE),"VERIFICAR"))</f>
        <v>Unidade</v>
      </c>
      <c r="L12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8" s="32" t="str">
        <f ca="1">IFERROR(VLOOKUP(MB25_VOLUMETRIA[[#This Row],[Reserva]],RES_AB[],14,FALSE),"")</f>
        <v>PLANO DO DIA</v>
      </c>
      <c r="N1248" s="32" t="str">
        <f>IF(MB25_VOLUMETRIA[[#This Row],[Cen.]]="","",IFERROR(VLOOKUP(MB25_VOLUMETRIA[[#This Row],[Cen.]],Dados_Empresas[],2,FALSE),"Verificar empresa"))</f>
        <v>NET MASSIVO</v>
      </c>
      <c r="O1248" s="32" t="str">
        <f>IF(MB25_VOLUMETRIA[[#This Row],[EMPRESA]]="","",IF(OR(MB25_VOLUMETRIA[[#This Row],[EMPRESA]]="NET MASSIVO",MB25_VOLUMETRIA[[#This Row],[EMPRESA]]="NET PROJETOS"),"NET","EMPRESARIAL"))</f>
        <v>NET</v>
      </c>
    </row>
    <row r="1249" spans="1:15" x14ac:dyDescent="0.25">
      <c r="A1249" s="32">
        <v>4382407</v>
      </c>
      <c r="B1249" s="32" t="s">
        <v>21</v>
      </c>
      <c r="C1249" s="33" t="s">
        <v>19</v>
      </c>
      <c r="D1249" s="35">
        <v>45448</v>
      </c>
      <c r="E1249" s="32" t="s">
        <v>185</v>
      </c>
      <c r="F1249" s="32">
        <v>22025245</v>
      </c>
      <c r="G1249" s="32" t="s">
        <v>260</v>
      </c>
      <c r="H1249" s="26" t="s">
        <v>38</v>
      </c>
      <c r="I1249" s="36">
        <v>100</v>
      </c>
      <c r="J1249" s="32">
        <f>IF(MB25_VOLUMETRIA[[#This Row],[Reserva]]="","",1)</f>
        <v>1</v>
      </c>
      <c r="K1249" s="36" t="str">
        <f>IF(MB25_VOLUMETRIA[[#This Row],[Reserva]]="","",IFERROR(VLOOKUP(MB25_VOLUMETRIA[[#This Row],[UMB]],CHAVE[],2,FALSE),"VERIFICAR"))</f>
        <v>Unidade</v>
      </c>
      <c r="L12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49" s="32" t="str">
        <f ca="1">IFERROR(VLOOKUP(MB25_VOLUMETRIA[[#This Row],[Reserva]],RES_AB[],14,FALSE),"")</f>
        <v>PLANO DO DIA</v>
      </c>
      <c r="N1249" s="32" t="str">
        <f>IF(MB25_VOLUMETRIA[[#This Row],[Cen.]]="","",IFERROR(VLOOKUP(MB25_VOLUMETRIA[[#This Row],[Cen.]],Dados_Empresas[],2,FALSE),"Verificar empresa"))</f>
        <v>NET MASSIVO</v>
      </c>
      <c r="O1249" s="32" t="str">
        <f>IF(MB25_VOLUMETRIA[[#This Row],[EMPRESA]]="","",IF(OR(MB25_VOLUMETRIA[[#This Row],[EMPRESA]]="NET MASSIVO",MB25_VOLUMETRIA[[#This Row],[EMPRESA]]="NET PROJETOS"),"NET","EMPRESARIAL"))</f>
        <v>NET</v>
      </c>
    </row>
    <row r="1250" spans="1:15" x14ac:dyDescent="0.25">
      <c r="A1250" s="32">
        <v>4382407</v>
      </c>
      <c r="B1250" s="32" t="s">
        <v>21</v>
      </c>
      <c r="C1250" s="33" t="s">
        <v>21</v>
      </c>
      <c r="D1250" s="35">
        <v>45448</v>
      </c>
      <c r="E1250" s="32" t="s">
        <v>185</v>
      </c>
      <c r="F1250" s="32">
        <v>22025250</v>
      </c>
      <c r="G1250" s="32" t="s">
        <v>213</v>
      </c>
      <c r="H1250" s="26" t="s">
        <v>38</v>
      </c>
      <c r="I1250" s="36">
        <v>200</v>
      </c>
      <c r="J1250" s="32">
        <f>IF(MB25_VOLUMETRIA[[#This Row],[Reserva]]="","",1)</f>
        <v>1</v>
      </c>
      <c r="K1250" s="36" t="str">
        <f>IF(MB25_VOLUMETRIA[[#This Row],[Reserva]]="","",IFERROR(VLOOKUP(MB25_VOLUMETRIA[[#This Row],[UMB]],CHAVE[],2,FALSE),"VERIFICAR"))</f>
        <v>Unidade</v>
      </c>
      <c r="L12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0" s="32" t="str">
        <f ca="1">IFERROR(VLOOKUP(MB25_VOLUMETRIA[[#This Row],[Reserva]],RES_AB[],14,FALSE),"")</f>
        <v>PLANO DO DIA</v>
      </c>
      <c r="N1250" s="32" t="str">
        <f>IF(MB25_VOLUMETRIA[[#This Row],[Cen.]]="","",IFERROR(VLOOKUP(MB25_VOLUMETRIA[[#This Row],[Cen.]],Dados_Empresas[],2,FALSE),"Verificar empresa"))</f>
        <v>NET MASSIVO</v>
      </c>
      <c r="O1250" s="32" t="str">
        <f>IF(MB25_VOLUMETRIA[[#This Row],[EMPRESA]]="","",IF(OR(MB25_VOLUMETRIA[[#This Row],[EMPRESA]]="NET MASSIVO",MB25_VOLUMETRIA[[#This Row],[EMPRESA]]="NET PROJETOS"),"NET","EMPRESARIAL"))</f>
        <v>NET</v>
      </c>
    </row>
    <row r="1251" spans="1:15" x14ac:dyDescent="0.25">
      <c r="A1251" s="32">
        <v>4382407</v>
      </c>
      <c r="B1251" s="32" t="s">
        <v>21</v>
      </c>
      <c r="C1251" s="33" t="s">
        <v>21</v>
      </c>
      <c r="D1251" s="35">
        <v>45448</v>
      </c>
      <c r="E1251" s="32" t="s">
        <v>185</v>
      </c>
      <c r="F1251" s="32">
        <v>22026189</v>
      </c>
      <c r="G1251" s="32" t="s">
        <v>200</v>
      </c>
      <c r="H1251" s="26" t="s">
        <v>38</v>
      </c>
      <c r="I1251" s="36">
        <v>1400</v>
      </c>
      <c r="J1251" s="32">
        <f>IF(MB25_VOLUMETRIA[[#This Row],[Reserva]]="","",1)</f>
        <v>1</v>
      </c>
      <c r="K1251" s="36" t="str">
        <f>IF(MB25_VOLUMETRIA[[#This Row],[Reserva]]="","",IFERROR(VLOOKUP(MB25_VOLUMETRIA[[#This Row],[UMB]],CHAVE[],2,FALSE),"VERIFICAR"))</f>
        <v>Unidade</v>
      </c>
      <c r="L12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1" s="32" t="str">
        <f ca="1">IFERROR(VLOOKUP(MB25_VOLUMETRIA[[#This Row],[Reserva]],RES_AB[],14,FALSE),"")</f>
        <v>PLANO DO DIA</v>
      </c>
      <c r="N1251" s="32" t="str">
        <f>IF(MB25_VOLUMETRIA[[#This Row],[Cen.]]="","",IFERROR(VLOOKUP(MB25_VOLUMETRIA[[#This Row],[Cen.]],Dados_Empresas[],2,FALSE),"Verificar empresa"))</f>
        <v>NET MASSIVO</v>
      </c>
      <c r="O1251" s="32" t="str">
        <f>IF(MB25_VOLUMETRIA[[#This Row],[EMPRESA]]="","",IF(OR(MB25_VOLUMETRIA[[#This Row],[EMPRESA]]="NET MASSIVO",MB25_VOLUMETRIA[[#This Row],[EMPRESA]]="NET PROJETOS"),"NET","EMPRESARIAL"))</f>
        <v>NET</v>
      </c>
    </row>
    <row r="1252" spans="1:15" x14ac:dyDescent="0.25">
      <c r="A1252" s="32">
        <v>4382407</v>
      </c>
      <c r="B1252" s="32" t="s">
        <v>21</v>
      </c>
      <c r="C1252" s="33" t="s">
        <v>21</v>
      </c>
      <c r="D1252" s="35">
        <v>45448</v>
      </c>
      <c r="E1252" s="32" t="s">
        <v>185</v>
      </c>
      <c r="F1252" s="32">
        <v>22026265</v>
      </c>
      <c r="G1252" s="32" t="s">
        <v>222</v>
      </c>
      <c r="H1252" s="26" t="s">
        <v>38</v>
      </c>
      <c r="I1252" s="36">
        <v>1000</v>
      </c>
      <c r="J1252" s="32">
        <f>IF(MB25_VOLUMETRIA[[#This Row],[Reserva]]="","",1)</f>
        <v>1</v>
      </c>
      <c r="K1252" s="36" t="str">
        <f>IF(MB25_VOLUMETRIA[[#This Row],[Reserva]]="","",IFERROR(VLOOKUP(MB25_VOLUMETRIA[[#This Row],[UMB]],CHAVE[],2,FALSE),"VERIFICAR"))</f>
        <v>Unidade</v>
      </c>
      <c r="L12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2" s="32" t="str">
        <f ca="1">IFERROR(VLOOKUP(MB25_VOLUMETRIA[[#This Row],[Reserva]],RES_AB[],14,FALSE),"")</f>
        <v>PLANO DO DIA</v>
      </c>
      <c r="N1252" s="32" t="str">
        <f>IF(MB25_VOLUMETRIA[[#This Row],[Cen.]]="","",IFERROR(VLOOKUP(MB25_VOLUMETRIA[[#This Row],[Cen.]],Dados_Empresas[],2,FALSE),"Verificar empresa"))</f>
        <v>NET MASSIVO</v>
      </c>
      <c r="O1252" s="32" t="str">
        <f>IF(MB25_VOLUMETRIA[[#This Row],[EMPRESA]]="","",IF(OR(MB25_VOLUMETRIA[[#This Row],[EMPRESA]]="NET MASSIVO",MB25_VOLUMETRIA[[#This Row],[EMPRESA]]="NET PROJETOS"),"NET","EMPRESARIAL"))</f>
        <v>NET</v>
      </c>
    </row>
    <row r="1253" spans="1:15" x14ac:dyDescent="0.25">
      <c r="A1253" s="32">
        <v>4382407</v>
      </c>
      <c r="B1253" s="32" t="s">
        <v>21</v>
      </c>
      <c r="C1253" s="33" t="s">
        <v>21</v>
      </c>
      <c r="D1253" s="35">
        <v>45448</v>
      </c>
      <c r="E1253" s="32" t="s">
        <v>185</v>
      </c>
      <c r="F1253" s="32">
        <v>22026746</v>
      </c>
      <c r="G1253" s="32" t="s">
        <v>205</v>
      </c>
      <c r="H1253" s="26" t="s">
        <v>38</v>
      </c>
      <c r="I1253" s="36">
        <v>50</v>
      </c>
      <c r="J1253" s="32">
        <f>IF(MB25_VOLUMETRIA[[#This Row],[Reserva]]="","",1)</f>
        <v>1</v>
      </c>
      <c r="K1253" s="36" t="str">
        <f>IF(MB25_VOLUMETRIA[[#This Row],[Reserva]]="","",IFERROR(VLOOKUP(MB25_VOLUMETRIA[[#This Row],[UMB]],CHAVE[],2,FALSE),"VERIFICAR"))</f>
        <v>Unidade</v>
      </c>
      <c r="L12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3" s="32" t="str">
        <f ca="1">IFERROR(VLOOKUP(MB25_VOLUMETRIA[[#This Row],[Reserva]],RES_AB[],14,FALSE),"")</f>
        <v>PLANO DO DIA</v>
      </c>
      <c r="N1253" s="32" t="str">
        <f>IF(MB25_VOLUMETRIA[[#This Row],[Cen.]]="","",IFERROR(VLOOKUP(MB25_VOLUMETRIA[[#This Row],[Cen.]],Dados_Empresas[],2,FALSE),"Verificar empresa"))</f>
        <v>NET MASSIVO</v>
      </c>
      <c r="O1253" s="32" t="str">
        <f>IF(MB25_VOLUMETRIA[[#This Row],[EMPRESA]]="","",IF(OR(MB25_VOLUMETRIA[[#This Row],[EMPRESA]]="NET MASSIVO",MB25_VOLUMETRIA[[#This Row],[EMPRESA]]="NET PROJETOS"),"NET","EMPRESARIAL"))</f>
        <v>NET</v>
      </c>
    </row>
    <row r="1254" spans="1:15" x14ac:dyDescent="0.25">
      <c r="A1254" s="32">
        <v>4382407</v>
      </c>
      <c r="B1254" s="32" t="s">
        <v>21</v>
      </c>
      <c r="C1254" s="33" t="s">
        <v>21</v>
      </c>
      <c r="D1254" s="35">
        <v>45448</v>
      </c>
      <c r="E1254" s="32" t="s">
        <v>185</v>
      </c>
      <c r="F1254" s="32">
        <v>22056331</v>
      </c>
      <c r="G1254" s="32" t="s">
        <v>209</v>
      </c>
      <c r="H1254" s="26" t="s">
        <v>38</v>
      </c>
      <c r="I1254" s="36">
        <v>200</v>
      </c>
      <c r="J1254" s="32">
        <f>IF(MB25_VOLUMETRIA[[#This Row],[Reserva]]="","",1)</f>
        <v>1</v>
      </c>
      <c r="K1254" s="36" t="str">
        <f>IF(MB25_VOLUMETRIA[[#This Row],[Reserva]]="","",IFERROR(VLOOKUP(MB25_VOLUMETRIA[[#This Row],[UMB]],CHAVE[],2,FALSE),"VERIFICAR"))</f>
        <v>Unidade</v>
      </c>
      <c r="L12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4" s="32" t="str">
        <f ca="1">IFERROR(VLOOKUP(MB25_VOLUMETRIA[[#This Row],[Reserva]],RES_AB[],14,FALSE),"")</f>
        <v>PLANO DO DIA</v>
      </c>
      <c r="N1254" s="32" t="str">
        <f>IF(MB25_VOLUMETRIA[[#This Row],[Cen.]]="","",IFERROR(VLOOKUP(MB25_VOLUMETRIA[[#This Row],[Cen.]],Dados_Empresas[],2,FALSE),"Verificar empresa"))</f>
        <v>NET MASSIVO</v>
      </c>
      <c r="O1254" s="32" t="str">
        <f>IF(MB25_VOLUMETRIA[[#This Row],[EMPRESA]]="","",IF(OR(MB25_VOLUMETRIA[[#This Row],[EMPRESA]]="NET MASSIVO",MB25_VOLUMETRIA[[#This Row],[EMPRESA]]="NET PROJETOS"),"NET","EMPRESARIAL"))</f>
        <v>NET</v>
      </c>
    </row>
    <row r="1255" spans="1:15" x14ac:dyDescent="0.25">
      <c r="A1255" s="32">
        <v>4382407</v>
      </c>
      <c r="B1255" s="32" t="s">
        <v>21</v>
      </c>
      <c r="C1255" s="33" t="s">
        <v>19</v>
      </c>
      <c r="D1255" s="35">
        <v>45448</v>
      </c>
      <c r="E1255" s="32" t="s">
        <v>185</v>
      </c>
      <c r="F1255" s="32">
        <v>22056339</v>
      </c>
      <c r="G1255" s="32" t="s">
        <v>243</v>
      </c>
      <c r="H1255" s="26" t="s">
        <v>38</v>
      </c>
      <c r="I1255" s="36">
        <v>100</v>
      </c>
      <c r="J1255" s="32">
        <f>IF(MB25_VOLUMETRIA[[#This Row],[Reserva]]="","",1)</f>
        <v>1</v>
      </c>
      <c r="K1255" s="36" t="str">
        <f>IF(MB25_VOLUMETRIA[[#This Row],[Reserva]]="","",IFERROR(VLOOKUP(MB25_VOLUMETRIA[[#This Row],[UMB]],CHAVE[],2,FALSE),"VERIFICAR"))</f>
        <v>Unidade</v>
      </c>
      <c r="L12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5" s="32" t="str">
        <f ca="1">IFERROR(VLOOKUP(MB25_VOLUMETRIA[[#This Row],[Reserva]],RES_AB[],14,FALSE),"")</f>
        <v>PLANO DO DIA</v>
      </c>
      <c r="N1255" s="32" t="str">
        <f>IF(MB25_VOLUMETRIA[[#This Row],[Cen.]]="","",IFERROR(VLOOKUP(MB25_VOLUMETRIA[[#This Row],[Cen.]],Dados_Empresas[],2,FALSE),"Verificar empresa"))</f>
        <v>NET MASSIVO</v>
      </c>
      <c r="O1255" s="32" t="str">
        <f>IF(MB25_VOLUMETRIA[[#This Row],[EMPRESA]]="","",IF(OR(MB25_VOLUMETRIA[[#This Row],[EMPRESA]]="NET MASSIVO",MB25_VOLUMETRIA[[#This Row],[EMPRESA]]="NET PROJETOS"),"NET","EMPRESARIAL"))</f>
        <v>NET</v>
      </c>
    </row>
    <row r="1256" spans="1:15" x14ac:dyDescent="0.25">
      <c r="A1256" s="32">
        <v>4382407</v>
      </c>
      <c r="B1256" s="32" t="s">
        <v>21</v>
      </c>
      <c r="C1256" s="33" t="s">
        <v>21</v>
      </c>
      <c r="D1256" s="35">
        <v>45448</v>
      </c>
      <c r="E1256" s="32" t="s">
        <v>185</v>
      </c>
      <c r="F1256" s="32">
        <v>22065718</v>
      </c>
      <c r="G1256" s="32" t="s">
        <v>210</v>
      </c>
      <c r="H1256" s="26" t="s">
        <v>38</v>
      </c>
      <c r="I1256" s="36">
        <v>200</v>
      </c>
      <c r="J1256" s="32">
        <f>IF(MB25_VOLUMETRIA[[#This Row],[Reserva]]="","",1)</f>
        <v>1</v>
      </c>
      <c r="K1256" s="36" t="str">
        <f>IF(MB25_VOLUMETRIA[[#This Row],[Reserva]]="","",IFERROR(VLOOKUP(MB25_VOLUMETRIA[[#This Row],[UMB]],CHAVE[],2,FALSE),"VERIFICAR"))</f>
        <v>Unidade</v>
      </c>
      <c r="L12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6" s="32" t="str">
        <f ca="1">IFERROR(VLOOKUP(MB25_VOLUMETRIA[[#This Row],[Reserva]],RES_AB[],14,FALSE),"")</f>
        <v>PLANO DO DIA</v>
      </c>
      <c r="N1256" s="32" t="str">
        <f>IF(MB25_VOLUMETRIA[[#This Row],[Cen.]]="","",IFERROR(VLOOKUP(MB25_VOLUMETRIA[[#This Row],[Cen.]],Dados_Empresas[],2,FALSE),"Verificar empresa"))</f>
        <v>NET MASSIVO</v>
      </c>
      <c r="O1256" s="32" t="str">
        <f>IF(MB25_VOLUMETRIA[[#This Row],[EMPRESA]]="","",IF(OR(MB25_VOLUMETRIA[[#This Row],[EMPRESA]]="NET MASSIVO",MB25_VOLUMETRIA[[#This Row],[EMPRESA]]="NET PROJETOS"),"NET","EMPRESARIAL"))</f>
        <v>NET</v>
      </c>
    </row>
    <row r="1257" spans="1:15" x14ac:dyDescent="0.25">
      <c r="A1257" s="32">
        <v>4382407</v>
      </c>
      <c r="B1257" s="32" t="s">
        <v>21</v>
      </c>
      <c r="C1257" s="33" t="s">
        <v>21</v>
      </c>
      <c r="D1257" s="35">
        <v>45448</v>
      </c>
      <c r="E1257" s="32" t="s">
        <v>185</v>
      </c>
      <c r="F1257" s="32">
        <v>22065719</v>
      </c>
      <c r="G1257" s="32" t="s">
        <v>228</v>
      </c>
      <c r="H1257" s="26" t="s">
        <v>38</v>
      </c>
      <c r="I1257" s="36">
        <v>200</v>
      </c>
      <c r="J1257" s="32">
        <f>IF(MB25_VOLUMETRIA[[#This Row],[Reserva]]="","",1)</f>
        <v>1</v>
      </c>
      <c r="K1257" s="36" t="str">
        <f>IF(MB25_VOLUMETRIA[[#This Row],[Reserva]]="","",IFERROR(VLOOKUP(MB25_VOLUMETRIA[[#This Row],[UMB]],CHAVE[],2,FALSE),"VERIFICAR"))</f>
        <v>Unidade</v>
      </c>
      <c r="L12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7" s="32" t="str">
        <f ca="1">IFERROR(VLOOKUP(MB25_VOLUMETRIA[[#This Row],[Reserva]],RES_AB[],14,FALSE),"")</f>
        <v>PLANO DO DIA</v>
      </c>
      <c r="N1257" s="32" t="str">
        <f>IF(MB25_VOLUMETRIA[[#This Row],[Cen.]]="","",IFERROR(VLOOKUP(MB25_VOLUMETRIA[[#This Row],[Cen.]],Dados_Empresas[],2,FALSE),"Verificar empresa"))</f>
        <v>NET MASSIVO</v>
      </c>
      <c r="O1257" s="32" t="str">
        <f>IF(MB25_VOLUMETRIA[[#This Row],[EMPRESA]]="","",IF(OR(MB25_VOLUMETRIA[[#This Row],[EMPRESA]]="NET MASSIVO",MB25_VOLUMETRIA[[#This Row],[EMPRESA]]="NET PROJETOS"),"NET","EMPRESARIAL"))</f>
        <v>NET</v>
      </c>
    </row>
    <row r="1258" spans="1:15" x14ac:dyDescent="0.25">
      <c r="A1258" s="32">
        <v>4382407</v>
      </c>
      <c r="B1258" s="32" t="s">
        <v>21</v>
      </c>
      <c r="C1258" s="33" t="s">
        <v>21</v>
      </c>
      <c r="D1258" s="35">
        <v>45448</v>
      </c>
      <c r="E1258" s="32" t="s">
        <v>185</v>
      </c>
      <c r="F1258" s="32">
        <v>22065720</v>
      </c>
      <c r="G1258" s="32" t="s">
        <v>245</v>
      </c>
      <c r="H1258" s="26" t="s">
        <v>38</v>
      </c>
      <c r="I1258" s="36">
        <v>200</v>
      </c>
      <c r="J1258" s="32">
        <f>IF(MB25_VOLUMETRIA[[#This Row],[Reserva]]="","",1)</f>
        <v>1</v>
      </c>
      <c r="K1258" s="36" t="str">
        <f>IF(MB25_VOLUMETRIA[[#This Row],[Reserva]]="","",IFERROR(VLOOKUP(MB25_VOLUMETRIA[[#This Row],[UMB]],CHAVE[],2,FALSE),"VERIFICAR"))</f>
        <v>Unidade</v>
      </c>
      <c r="L12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8" s="32" t="str">
        <f ca="1">IFERROR(VLOOKUP(MB25_VOLUMETRIA[[#This Row],[Reserva]],RES_AB[],14,FALSE),"")</f>
        <v>PLANO DO DIA</v>
      </c>
      <c r="N1258" s="32" t="str">
        <f>IF(MB25_VOLUMETRIA[[#This Row],[Cen.]]="","",IFERROR(VLOOKUP(MB25_VOLUMETRIA[[#This Row],[Cen.]],Dados_Empresas[],2,FALSE),"Verificar empresa"))</f>
        <v>NET MASSIVO</v>
      </c>
      <c r="O1258" s="32" t="str">
        <f>IF(MB25_VOLUMETRIA[[#This Row],[EMPRESA]]="","",IF(OR(MB25_VOLUMETRIA[[#This Row],[EMPRESA]]="NET MASSIVO",MB25_VOLUMETRIA[[#This Row],[EMPRESA]]="NET PROJETOS"),"NET","EMPRESARIAL"))</f>
        <v>NET</v>
      </c>
    </row>
    <row r="1259" spans="1:15" x14ac:dyDescent="0.25">
      <c r="A1259" s="32">
        <v>4382407</v>
      </c>
      <c r="B1259" s="32" t="s">
        <v>21</v>
      </c>
      <c r="C1259" s="33" t="s">
        <v>21</v>
      </c>
      <c r="D1259" s="35">
        <v>45448</v>
      </c>
      <c r="E1259" s="32" t="s">
        <v>185</v>
      </c>
      <c r="F1259" s="32">
        <v>22065721</v>
      </c>
      <c r="G1259" s="32" t="s">
        <v>328</v>
      </c>
      <c r="H1259" s="26" t="s">
        <v>38</v>
      </c>
      <c r="I1259" s="36">
        <v>200</v>
      </c>
      <c r="J1259" s="32">
        <f>IF(MB25_VOLUMETRIA[[#This Row],[Reserva]]="","",1)</f>
        <v>1</v>
      </c>
      <c r="K1259" s="36" t="str">
        <f>IF(MB25_VOLUMETRIA[[#This Row],[Reserva]]="","",IFERROR(VLOOKUP(MB25_VOLUMETRIA[[#This Row],[UMB]],CHAVE[],2,FALSE),"VERIFICAR"))</f>
        <v>Unidade</v>
      </c>
      <c r="L12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59" s="32" t="str">
        <f ca="1">IFERROR(VLOOKUP(MB25_VOLUMETRIA[[#This Row],[Reserva]],RES_AB[],14,FALSE),"")</f>
        <v>PLANO DO DIA</v>
      </c>
      <c r="N1259" s="32" t="str">
        <f>IF(MB25_VOLUMETRIA[[#This Row],[Cen.]]="","",IFERROR(VLOOKUP(MB25_VOLUMETRIA[[#This Row],[Cen.]],Dados_Empresas[],2,FALSE),"Verificar empresa"))</f>
        <v>NET MASSIVO</v>
      </c>
      <c r="O1259" s="32" t="str">
        <f>IF(MB25_VOLUMETRIA[[#This Row],[EMPRESA]]="","",IF(OR(MB25_VOLUMETRIA[[#This Row],[EMPRESA]]="NET MASSIVO",MB25_VOLUMETRIA[[#This Row],[EMPRESA]]="NET PROJETOS"),"NET","EMPRESARIAL"))</f>
        <v>NET</v>
      </c>
    </row>
    <row r="1260" spans="1:15" x14ac:dyDescent="0.25">
      <c r="A1260" s="32">
        <v>4382407</v>
      </c>
      <c r="B1260" s="32" t="s">
        <v>21</v>
      </c>
      <c r="C1260" s="33" t="s">
        <v>21</v>
      </c>
      <c r="D1260" s="35">
        <v>45448</v>
      </c>
      <c r="E1260" s="32" t="s">
        <v>185</v>
      </c>
      <c r="F1260" s="32">
        <v>22065722</v>
      </c>
      <c r="G1260" s="32" t="s">
        <v>196</v>
      </c>
      <c r="H1260" s="26" t="s">
        <v>38</v>
      </c>
      <c r="I1260" s="36">
        <v>200</v>
      </c>
      <c r="J1260" s="32">
        <f>IF(MB25_VOLUMETRIA[[#This Row],[Reserva]]="","",1)</f>
        <v>1</v>
      </c>
      <c r="K1260" s="36" t="str">
        <f>IF(MB25_VOLUMETRIA[[#This Row],[Reserva]]="","",IFERROR(VLOOKUP(MB25_VOLUMETRIA[[#This Row],[UMB]],CHAVE[],2,FALSE),"VERIFICAR"))</f>
        <v>Unidade</v>
      </c>
      <c r="L12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0" s="32" t="str">
        <f ca="1">IFERROR(VLOOKUP(MB25_VOLUMETRIA[[#This Row],[Reserva]],RES_AB[],14,FALSE),"")</f>
        <v>PLANO DO DIA</v>
      </c>
      <c r="N1260" s="32" t="str">
        <f>IF(MB25_VOLUMETRIA[[#This Row],[Cen.]]="","",IFERROR(VLOOKUP(MB25_VOLUMETRIA[[#This Row],[Cen.]],Dados_Empresas[],2,FALSE),"Verificar empresa"))</f>
        <v>NET MASSIVO</v>
      </c>
      <c r="O1260" s="32" t="str">
        <f>IF(MB25_VOLUMETRIA[[#This Row],[EMPRESA]]="","",IF(OR(MB25_VOLUMETRIA[[#This Row],[EMPRESA]]="NET MASSIVO",MB25_VOLUMETRIA[[#This Row],[EMPRESA]]="NET PROJETOS"),"NET","EMPRESARIAL"))</f>
        <v>NET</v>
      </c>
    </row>
    <row r="1261" spans="1:15" x14ac:dyDescent="0.25">
      <c r="A1261" s="32">
        <v>4382407</v>
      </c>
      <c r="B1261" s="32" t="s">
        <v>21</v>
      </c>
      <c r="C1261" s="33" t="s">
        <v>21</v>
      </c>
      <c r="D1261" s="35">
        <v>45448</v>
      </c>
      <c r="E1261" s="32" t="s">
        <v>185</v>
      </c>
      <c r="F1261" s="32">
        <v>22065724</v>
      </c>
      <c r="G1261" s="32" t="s">
        <v>400</v>
      </c>
      <c r="H1261" s="26" t="s">
        <v>38</v>
      </c>
      <c r="I1261" s="36">
        <v>200</v>
      </c>
      <c r="J1261" s="32">
        <f>IF(MB25_VOLUMETRIA[[#This Row],[Reserva]]="","",1)</f>
        <v>1</v>
      </c>
      <c r="K1261" s="36" t="str">
        <f>IF(MB25_VOLUMETRIA[[#This Row],[Reserva]]="","",IFERROR(VLOOKUP(MB25_VOLUMETRIA[[#This Row],[UMB]],CHAVE[],2,FALSE),"VERIFICAR"))</f>
        <v>Unidade</v>
      </c>
      <c r="L12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1" s="32" t="str">
        <f ca="1">IFERROR(VLOOKUP(MB25_VOLUMETRIA[[#This Row],[Reserva]],RES_AB[],14,FALSE),"")</f>
        <v>PLANO DO DIA</v>
      </c>
      <c r="N1261" s="32" t="str">
        <f>IF(MB25_VOLUMETRIA[[#This Row],[Cen.]]="","",IFERROR(VLOOKUP(MB25_VOLUMETRIA[[#This Row],[Cen.]],Dados_Empresas[],2,FALSE),"Verificar empresa"))</f>
        <v>NET MASSIVO</v>
      </c>
      <c r="O1261" s="32" t="str">
        <f>IF(MB25_VOLUMETRIA[[#This Row],[EMPRESA]]="","",IF(OR(MB25_VOLUMETRIA[[#This Row],[EMPRESA]]="NET MASSIVO",MB25_VOLUMETRIA[[#This Row],[EMPRESA]]="NET PROJETOS"),"NET","EMPRESARIAL"))</f>
        <v>NET</v>
      </c>
    </row>
    <row r="1262" spans="1:15" x14ac:dyDescent="0.25">
      <c r="A1262" s="32">
        <v>4382407</v>
      </c>
      <c r="B1262" s="32" t="s">
        <v>21</v>
      </c>
      <c r="C1262" s="33" t="s">
        <v>21</v>
      </c>
      <c r="D1262" s="35">
        <v>45448</v>
      </c>
      <c r="E1262" s="32" t="s">
        <v>185</v>
      </c>
      <c r="F1262" s="32">
        <v>22065725</v>
      </c>
      <c r="G1262" s="32" t="s">
        <v>197</v>
      </c>
      <c r="H1262" s="26" t="s">
        <v>38</v>
      </c>
      <c r="I1262" s="36">
        <v>100</v>
      </c>
      <c r="J1262" s="32">
        <f>IF(MB25_VOLUMETRIA[[#This Row],[Reserva]]="","",1)</f>
        <v>1</v>
      </c>
      <c r="K1262" s="36" t="str">
        <f>IF(MB25_VOLUMETRIA[[#This Row],[Reserva]]="","",IFERROR(VLOOKUP(MB25_VOLUMETRIA[[#This Row],[UMB]],CHAVE[],2,FALSE),"VERIFICAR"))</f>
        <v>Unidade</v>
      </c>
      <c r="L12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2" s="32" t="str">
        <f ca="1">IFERROR(VLOOKUP(MB25_VOLUMETRIA[[#This Row],[Reserva]],RES_AB[],14,FALSE),"")</f>
        <v>PLANO DO DIA</v>
      </c>
      <c r="N1262" s="32" t="str">
        <f>IF(MB25_VOLUMETRIA[[#This Row],[Cen.]]="","",IFERROR(VLOOKUP(MB25_VOLUMETRIA[[#This Row],[Cen.]],Dados_Empresas[],2,FALSE),"Verificar empresa"))</f>
        <v>NET MASSIVO</v>
      </c>
      <c r="O1262" s="32" t="str">
        <f>IF(MB25_VOLUMETRIA[[#This Row],[EMPRESA]]="","",IF(OR(MB25_VOLUMETRIA[[#This Row],[EMPRESA]]="NET MASSIVO",MB25_VOLUMETRIA[[#This Row],[EMPRESA]]="NET PROJETOS"),"NET","EMPRESARIAL"))</f>
        <v>NET</v>
      </c>
    </row>
    <row r="1263" spans="1:15" x14ac:dyDescent="0.25">
      <c r="A1263" s="32">
        <v>4382407</v>
      </c>
      <c r="B1263" s="32" t="s">
        <v>21</v>
      </c>
      <c r="C1263" s="33" t="s">
        <v>21</v>
      </c>
      <c r="D1263" s="35">
        <v>45448</v>
      </c>
      <c r="E1263" s="32" t="s">
        <v>185</v>
      </c>
      <c r="F1263" s="32">
        <v>22065726</v>
      </c>
      <c r="G1263" s="32" t="s">
        <v>251</v>
      </c>
      <c r="H1263" s="26" t="s">
        <v>38</v>
      </c>
      <c r="I1263" s="36">
        <v>200</v>
      </c>
      <c r="J1263" s="32">
        <f>IF(MB25_VOLUMETRIA[[#This Row],[Reserva]]="","",1)</f>
        <v>1</v>
      </c>
      <c r="K1263" s="36" t="str">
        <f>IF(MB25_VOLUMETRIA[[#This Row],[Reserva]]="","",IFERROR(VLOOKUP(MB25_VOLUMETRIA[[#This Row],[UMB]],CHAVE[],2,FALSE),"VERIFICAR"))</f>
        <v>Unidade</v>
      </c>
      <c r="L12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3" s="32" t="str">
        <f ca="1">IFERROR(VLOOKUP(MB25_VOLUMETRIA[[#This Row],[Reserva]],RES_AB[],14,FALSE),"")</f>
        <v>PLANO DO DIA</v>
      </c>
      <c r="N1263" s="32" t="str">
        <f>IF(MB25_VOLUMETRIA[[#This Row],[Cen.]]="","",IFERROR(VLOOKUP(MB25_VOLUMETRIA[[#This Row],[Cen.]],Dados_Empresas[],2,FALSE),"Verificar empresa"))</f>
        <v>NET MASSIVO</v>
      </c>
      <c r="O1263" s="32" t="str">
        <f>IF(MB25_VOLUMETRIA[[#This Row],[EMPRESA]]="","",IF(OR(MB25_VOLUMETRIA[[#This Row],[EMPRESA]]="NET MASSIVO",MB25_VOLUMETRIA[[#This Row],[EMPRESA]]="NET PROJETOS"),"NET","EMPRESARIAL"))</f>
        <v>NET</v>
      </c>
    </row>
    <row r="1264" spans="1:15" x14ac:dyDescent="0.25">
      <c r="A1264" s="32">
        <v>4382407</v>
      </c>
      <c r="B1264" s="32" t="s">
        <v>21</v>
      </c>
      <c r="C1264" s="33" t="s">
        <v>21</v>
      </c>
      <c r="D1264" s="35">
        <v>45448</v>
      </c>
      <c r="E1264" s="32" t="s">
        <v>185</v>
      </c>
      <c r="F1264" s="32">
        <v>22065727</v>
      </c>
      <c r="G1264" s="32" t="s">
        <v>401</v>
      </c>
      <c r="H1264" s="26" t="s">
        <v>38</v>
      </c>
      <c r="I1264" s="36">
        <v>200</v>
      </c>
      <c r="J1264" s="32">
        <f>IF(MB25_VOLUMETRIA[[#This Row],[Reserva]]="","",1)</f>
        <v>1</v>
      </c>
      <c r="K1264" s="36" t="str">
        <f>IF(MB25_VOLUMETRIA[[#This Row],[Reserva]]="","",IFERROR(VLOOKUP(MB25_VOLUMETRIA[[#This Row],[UMB]],CHAVE[],2,FALSE),"VERIFICAR"))</f>
        <v>Unidade</v>
      </c>
      <c r="L12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4" s="32" t="str">
        <f ca="1">IFERROR(VLOOKUP(MB25_VOLUMETRIA[[#This Row],[Reserva]],RES_AB[],14,FALSE),"")</f>
        <v>PLANO DO DIA</v>
      </c>
      <c r="N1264" s="32" t="str">
        <f>IF(MB25_VOLUMETRIA[[#This Row],[Cen.]]="","",IFERROR(VLOOKUP(MB25_VOLUMETRIA[[#This Row],[Cen.]],Dados_Empresas[],2,FALSE),"Verificar empresa"))</f>
        <v>NET MASSIVO</v>
      </c>
      <c r="O1264" s="32" t="str">
        <f>IF(MB25_VOLUMETRIA[[#This Row],[EMPRESA]]="","",IF(OR(MB25_VOLUMETRIA[[#This Row],[EMPRESA]]="NET MASSIVO",MB25_VOLUMETRIA[[#This Row],[EMPRESA]]="NET PROJETOS"),"NET","EMPRESARIAL"))</f>
        <v>NET</v>
      </c>
    </row>
    <row r="1265" spans="1:15" x14ac:dyDescent="0.25">
      <c r="A1265" s="32">
        <v>4382408</v>
      </c>
      <c r="B1265" s="32" t="s">
        <v>21</v>
      </c>
      <c r="C1265" s="33" t="s">
        <v>182</v>
      </c>
      <c r="D1265" s="35">
        <v>45448</v>
      </c>
      <c r="E1265" s="32" t="s">
        <v>184</v>
      </c>
      <c r="F1265" s="32">
        <v>41001530</v>
      </c>
      <c r="G1265" s="32" t="s">
        <v>319</v>
      </c>
      <c r="H1265" s="26" t="s">
        <v>38</v>
      </c>
      <c r="I1265" s="36">
        <v>30</v>
      </c>
      <c r="J1265" s="32">
        <f>IF(MB25_VOLUMETRIA[[#This Row],[Reserva]]="","",1)</f>
        <v>1</v>
      </c>
      <c r="K1265" s="36" t="str">
        <f>IF(MB25_VOLUMETRIA[[#This Row],[Reserva]]="","",IFERROR(VLOOKUP(MB25_VOLUMETRIA[[#This Row],[UMB]],CHAVE[],2,FALSE),"VERIFICAR"))</f>
        <v>Unidade</v>
      </c>
      <c r="L12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5" s="32" t="str">
        <f ca="1">IFERROR(VLOOKUP(MB25_VOLUMETRIA[[#This Row],[Reserva]],RES_AB[],14,FALSE),"")</f>
        <v>PLANO DO DIA</v>
      </c>
      <c r="N1265" s="32" t="str">
        <f>IF(MB25_VOLUMETRIA[[#This Row],[Cen.]]="","",IFERROR(VLOOKUP(MB25_VOLUMETRIA[[#This Row],[Cen.]],Dados_Empresas[],2,FALSE),"Verificar empresa"))</f>
        <v>NET MASSIVO</v>
      </c>
      <c r="O1265" s="32" t="str">
        <f>IF(MB25_VOLUMETRIA[[#This Row],[EMPRESA]]="","",IF(OR(MB25_VOLUMETRIA[[#This Row],[EMPRESA]]="NET MASSIVO",MB25_VOLUMETRIA[[#This Row],[EMPRESA]]="NET PROJETOS"),"NET","EMPRESARIAL"))</f>
        <v>NET</v>
      </c>
    </row>
    <row r="1266" spans="1:15" x14ac:dyDescent="0.25">
      <c r="A1266" s="32">
        <v>4382409</v>
      </c>
      <c r="B1266" s="32" t="s">
        <v>21</v>
      </c>
      <c r="C1266" s="33" t="s">
        <v>182</v>
      </c>
      <c r="D1266" s="35">
        <v>45448</v>
      </c>
      <c r="E1266" s="32" t="s">
        <v>184</v>
      </c>
      <c r="F1266" s="32">
        <v>41001530</v>
      </c>
      <c r="G1266" s="32" t="s">
        <v>319</v>
      </c>
      <c r="H1266" s="26" t="s">
        <v>38</v>
      </c>
      <c r="I1266" s="36">
        <v>50</v>
      </c>
      <c r="J1266" s="32">
        <f>IF(MB25_VOLUMETRIA[[#This Row],[Reserva]]="","",1)</f>
        <v>1</v>
      </c>
      <c r="K1266" s="36" t="str">
        <f>IF(MB25_VOLUMETRIA[[#This Row],[Reserva]]="","",IFERROR(VLOOKUP(MB25_VOLUMETRIA[[#This Row],[UMB]],CHAVE[],2,FALSE),"VERIFICAR"))</f>
        <v>Unidade</v>
      </c>
      <c r="L12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6" s="32" t="str">
        <f ca="1">IFERROR(VLOOKUP(MB25_VOLUMETRIA[[#This Row],[Reserva]],RES_AB[],14,FALSE),"")</f>
        <v>PLANO DO DIA</v>
      </c>
      <c r="N1266" s="32" t="str">
        <f>IF(MB25_VOLUMETRIA[[#This Row],[Cen.]]="","",IFERROR(VLOOKUP(MB25_VOLUMETRIA[[#This Row],[Cen.]],Dados_Empresas[],2,FALSE),"Verificar empresa"))</f>
        <v>NET MASSIVO</v>
      </c>
      <c r="O1266" s="32" t="str">
        <f>IF(MB25_VOLUMETRIA[[#This Row],[EMPRESA]]="","",IF(OR(MB25_VOLUMETRIA[[#This Row],[EMPRESA]]="NET MASSIVO",MB25_VOLUMETRIA[[#This Row],[EMPRESA]]="NET PROJETOS"),"NET","EMPRESARIAL"))</f>
        <v>NET</v>
      </c>
    </row>
    <row r="1267" spans="1:15" x14ac:dyDescent="0.25">
      <c r="A1267" s="32">
        <v>4382410</v>
      </c>
      <c r="B1267" s="32" t="s">
        <v>21</v>
      </c>
      <c r="C1267" s="33" t="s">
        <v>21</v>
      </c>
      <c r="D1267" s="35">
        <v>45448</v>
      </c>
      <c r="E1267" s="32" t="s">
        <v>185</v>
      </c>
      <c r="F1267" s="32">
        <v>22025072</v>
      </c>
      <c r="G1267" s="32" t="s">
        <v>204</v>
      </c>
      <c r="H1267" s="26" t="s">
        <v>38</v>
      </c>
      <c r="I1267" s="36">
        <v>51</v>
      </c>
      <c r="J1267" s="32">
        <f>IF(MB25_VOLUMETRIA[[#This Row],[Reserva]]="","",1)</f>
        <v>1</v>
      </c>
      <c r="K1267" s="36" t="str">
        <f>IF(MB25_VOLUMETRIA[[#This Row],[Reserva]]="","",IFERROR(VLOOKUP(MB25_VOLUMETRIA[[#This Row],[UMB]],CHAVE[],2,FALSE),"VERIFICAR"))</f>
        <v>Unidade</v>
      </c>
      <c r="L12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7" s="32" t="str">
        <f ca="1">IFERROR(VLOOKUP(MB25_VOLUMETRIA[[#This Row],[Reserva]],RES_AB[],14,FALSE),"")</f>
        <v>PLANO DO DIA</v>
      </c>
      <c r="N1267" s="32" t="str">
        <f>IF(MB25_VOLUMETRIA[[#This Row],[Cen.]]="","",IFERROR(VLOOKUP(MB25_VOLUMETRIA[[#This Row],[Cen.]],Dados_Empresas[],2,FALSE),"Verificar empresa"))</f>
        <v>NET MASSIVO</v>
      </c>
      <c r="O1267" s="32" t="str">
        <f>IF(MB25_VOLUMETRIA[[#This Row],[EMPRESA]]="","",IF(OR(MB25_VOLUMETRIA[[#This Row],[EMPRESA]]="NET MASSIVO",MB25_VOLUMETRIA[[#This Row],[EMPRESA]]="NET PROJETOS"),"NET","EMPRESARIAL"))</f>
        <v>NET</v>
      </c>
    </row>
    <row r="1268" spans="1:15" x14ac:dyDescent="0.25">
      <c r="A1268" s="32">
        <v>4382410</v>
      </c>
      <c r="B1268" s="32" t="s">
        <v>21</v>
      </c>
      <c r="C1268" s="33" t="s">
        <v>21</v>
      </c>
      <c r="D1268" s="35">
        <v>45448</v>
      </c>
      <c r="E1268" s="32" t="s">
        <v>185</v>
      </c>
      <c r="F1268" s="32">
        <v>22026219</v>
      </c>
      <c r="G1268" s="32" t="s">
        <v>221</v>
      </c>
      <c r="H1268" s="26" t="s">
        <v>38</v>
      </c>
      <c r="I1268" s="36">
        <v>3500</v>
      </c>
      <c r="J1268" s="32">
        <f>IF(MB25_VOLUMETRIA[[#This Row],[Reserva]]="","",1)</f>
        <v>1</v>
      </c>
      <c r="K1268" s="36" t="str">
        <f>IF(MB25_VOLUMETRIA[[#This Row],[Reserva]]="","",IFERROR(VLOOKUP(MB25_VOLUMETRIA[[#This Row],[UMB]],CHAVE[],2,FALSE),"VERIFICAR"))</f>
        <v>Unidade</v>
      </c>
      <c r="L12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8" s="32" t="str">
        <f ca="1">IFERROR(VLOOKUP(MB25_VOLUMETRIA[[#This Row],[Reserva]],RES_AB[],14,FALSE),"")</f>
        <v>PLANO DO DIA</v>
      </c>
      <c r="N1268" s="32" t="str">
        <f>IF(MB25_VOLUMETRIA[[#This Row],[Cen.]]="","",IFERROR(VLOOKUP(MB25_VOLUMETRIA[[#This Row],[Cen.]],Dados_Empresas[],2,FALSE),"Verificar empresa"))</f>
        <v>NET MASSIVO</v>
      </c>
      <c r="O1268" s="32" t="str">
        <f>IF(MB25_VOLUMETRIA[[#This Row],[EMPRESA]]="","",IF(OR(MB25_VOLUMETRIA[[#This Row],[EMPRESA]]="NET MASSIVO",MB25_VOLUMETRIA[[#This Row],[EMPRESA]]="NET PROJETOS"),"NET","EMPRESARIAL"))</f>
        <v>NET</v>
      </c>
    </row>
    <row r="1269" spans="1:15" x14ac:dyDescent="0.25">
      <c r="A1269" s="32">
        <v>4382410</v>
      </c>
      <c r="B1269" s="32" t="s">
        <v>21</v>
      </c>
      <c r="C1269" s="33" t="s">
        <v>21</v>
      </c>
      <c r="D1269" s="35">
        <v>45448</v>
      </c>
      <c r="E1269" s="32" t="s">
        <v>185</v>
      </c>
      <c r="F1269" s="32">
        <v>22056369</v>
      </c>
      <c r="G1269" s="32" t="s">
        <v>194</v>
      </c>
      <c r="H1269" s="26" t="s">
        <v>38</v>
      </c>
      <c r="I1269" s="36">
        <v>1800</v>
      </c>
      <c r="J1269" s="32">
        <f>IF(MB25_VOLUMETRIA[[#This Row],[Reserva]]="","",1)</f>
        <v>1</v>
      </c>
      <c r="K1269" s="36" t="str">
        <f>IF(MB25_VOLUMETRIA[[#This Row],[Reserva]]="","",IFERROR(VLOOKUP(MB25_VOLUMETRIA[[#This Row],[UMB]],CHAVE[],2,FALSE),"VERIFICAR"))</f>
        <v>Unidade</v>
      </c>
      <c r="L12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69" s="32" t="str">
        <f ca="1">IFERROR(VLOOKUP(MB25_VOLUMETRIA[[#This Row],[Reserva]],RES_AB[],14,FALSE),"")</f>
        <v>PLANO DO DIA</v>
      </c>
      <c r="N1269" s="32" t="str">
        <f>IF(MB25_VOLUMETRIA[[#This Row],[Cen.]]="","",IFERROR(VLOOKUP(MB25_VOLUMETRIA[[#This Row],[Cen.]],Dados_Empresas[],2,FALSE),"Verificar empresa"))</f>
        <v>NET MASSIVO</v>
      </c>
      <c r="O1269" s="32" t="str">
        <f>IF(MB25_VOLUMETRIA[[#This Row],[EMPRESA]]="","",IF(OR(MB25_VOLUMETRIA[[#This Row],[EMPRESA]]="NET MASSIVO",MB25_VOLUMETRIA[[#This Row],[EMPRESA]]="NET PROJETOS"),"NET","EMPRESARIAL"))</f>
        <v>NET</v>
      </c>
    </row>
    <row r="1270" spans="1:15" x14ac:dyDescent="0.25">
      <c r="A1270" s="32">
        <v>4382410</v>
      </c>
      <c r="B1270" s="32" t="s">
        <v>21</v>
      </c>
      <c r="C1270" s="33" t="s">
        <v>21</v>
      </c>
      <c r="D1270" s="35">
        <v>45448</v>
      </c>
      <c r="E1270" s="32" t="s">
        <v>185</v>
      </c>
      <c r="F1270" s="32">
        <v>22057620</v>
      </c>
      <c r="G1270" s="32" t="s">
        <v>253</v>
      </c>
      <c r="H1270" s="26" t="s">
        <v>38</v>
      </c>
      <c r="I1270" s="36">
        <v>700</v>
      </c>
      <c r="J1270" s="32">
        <f>IF(MB25_VOLUMETRIA[[#This Row],[Reserva]]="","",1)</f>
        <v>1</v>
      </c>
      <c r="K1270" s="36" t="str">
        <f>IF(MB25_VOLUMETRIA[[#This Row],[Reserva]]="","",IFERROR(VLOOKUP(MB25_VOLUMETRIA[[#This Row],[UMB]],CHAVE[],2,FALSE),"VERIFICAR"))</f>
        <v>Unidade</v>
      </c>
      <c r="L12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0" s="32" t="str">
        <f ca="1">IFERROR(VLOOKUP(MB25_VOLUMETRIA[[#This Row],[Reserva]],RES_AB[],14,FALSE),"")</f>
        <v>PLANO DO DIA</v>
      </c>
      <c r="N1270" s="32" t="str">
        <f>IF(MB25_VOLUMETRIA[[#This Row],[Cen.]]="","",IFERROR(VLOOKUP(MB25_VOLUMETRIA[[#This Row],[Cen.]],Dados_Empresas[],2,FALSE),"Verificar empresa"))</f>
        <v>NET MASSIVO</v>
      </c>
      <c r="O1270" s="32" t="str">
        <f>IF(MB25_VOLUMETRIA[[#This Row],[EMPRESA]]="","",IF(OR(MB25_VOLUMETRIA[[#This Row],[EMPRESA]]="NET MASSIVO",MB25_VOLUMETRIA[[#This Row],[EMPRESA]]="NET PROJETOS"),"NET","EMPRESARIAL"))</f>
        <v>NET</v>
      </c>
    </row>
    <row r="1271" spans="1:15" x14ac:dyDescent="0.25">
      <c r="A1271" s="32">
        <v>4382411</v>
      </c>
      <c r="B1271" s="32" t="s">
        <v>21</v>
      </c>
      <c r="C1271" s="33" t="s">
        <v>21</v>
      </c>
      <c r="D1271" s="35">
        <v>45448</v>
      </c>
      <c r="E1271" s="32" t="s">
        <v>184</v>
      </c>
      <c r="F1271" s="32">
        <v>41001536</v>
      </c>
      <c r="G1271" s="32" t="s">
        <v>371</v>
      </c>
      <c r="H1271" s="26" t="s">
        <v>38</v>
      </c>
      <c r="I1271" s="36">
        <v>120</v>
      </c>
      <c r="J1271" s="32">
        <f>IF(MB25_VOLUMETRIA[[#This Row],[Reserva]]="","",1)</f>
        <v>1</v>
      </c>
      <c r="K1271" s="36" t="str">
        <f>IF(MB25_VOLUMETRIA[[#This Row],[Reserva]]="","",IFERROR(VLOOKUP(MB25_VOLUMETRIA[[#This Row],[UMB]],CHAVE[],2,FALSE),"VERIFICAR"))</f>
        <v>Unidade</v>
      </c>
      <c r="L12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1" s="32" t="str">
        <f ca="1">IFERROR(VLOOKUP(MB25_VOLUMETRIA[[#This Row],[Reserva]],RES_AB[],14,FALSE),"")</f>
        <v>PLANO DO DIA</v>
      </c>
      <c r="N1271" s="32" t="str">
        <f>IF(MB25_VOLUMETRIA[[#This Row],[Cen.]]="","",IFERROR(VLOOKUP(MB25_VOLUMETRIA[[#This Row],[Cen.]],Dados_Empresas[],2,FALSE),"Verificar empresa"))</f>
        <v>NET MASSIVO</v>
      </c>
      <c r="O1271" s="32" t="str">
        <f>IF(MB25_VOLUMETRIA[[#This Row],[EMPRESA]]="","",IF(OR(MB25_VOLUMETRIA[[#This Row],[EMPRESA]]="NET MASSIVO",MB25_VOLUMETRIA[[#This Row],[EMPRESA]]="NET PROJETOS"),"NET","EMPRESARIAL"))</f>
        <v>NET</v>
      </c>
    </row>
    <row r="1272" spans="1:15" x14ac:dyDescent="0.25">
      <c r="A1272" s="32">
        <v>4382411</v>
      </c>
      <c r="B1272" s="32" t="s">
        <v>21</v>
      </c>
      <c r="C1272" s="33" t="s">
        <v>21</v>
      </c>
      <c r="D1272" s="35">
        <v>45448</v>
      </c>
      <c r="E1272" s="32" t="s">
        <v>184</v>
      </c>
      <c r="F1272" s="32">
        <v>41001553</v>
      </c>
      <c r="G1272" s="32" t="s">
        <v>295</v>
      </c>
      <c r="H1272" s="26" t="s">
        <v>38</v>
      </c>
      <c r="I1272" s="36">
        <v>300</v>
      </c>
      <c r="J1272" s="32">
        <f>IF(MB25_VOLUMETRIA[[#This Row],[Reserva]]="","",1)</f>
        <v>1</v>
      </c>
      <c r="K1272" s="36" t="str">
        <f>IF(MB25_VOLUMETRIA[[#This Row],[Reserva]]="","",IFERROR(VLOOKUP(MB25_VOLUMETRIA[[#This Row],[UMB]],CHAVE[],2,FALSE),"VERIFICAR"))</f>
        <v>Unidade</v>
      </c>
      <c r="L12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2" s="32" t="str">
        <f ca="1">IFERROR(VLOOKUP(MB25_VOLUMETRIA[[#This Row],[Reserva]],RES_AB[],14,FALSE),"")</f>
        <v>PLANO DO DIA</v>
      </c>
      <c r="N1272" s="32" t="str">
        <f>IF(MB25_VOLUMETRIA[[#This Row],[Cen.]]="","",IFERROR(VLOOKUP(MB25_VOLUMETRIA[[#This Row],[Cen.]],Dados_Empresas[],2,FALSE),"Verificar empresa"))</f>
        <v>NET MASSIVO</v>
      </c>
      <c r="O1272" s="32" t="str">
        <f>IF(MB25_VOLUMETRIA[[#This Row],[EMPRESA]]="","",IF(OR(MB25_VOLUMETRIA[[#This Row],[EMPRESA]]="NET MASSIVO",MB25_VOLUMETRIA[[#This Row],[EMPRESA]]="NET PROJETOS"),"NET","EMPRESARIAL"))</f>
        <v>NET</v>
      </c>
    </row>
    <row r="1273" spans="1:15" x14ac:dyDescent="0.25">
      <c r="A1273" s="32">
        <v>4382412</v>
      </c>
      <c r="B1273" s="32" t="s">
        <v>21</v>
      </c>
      <c r="C1273" s="33" t="s">
        <v>21</v>
      </c>
      <c r="D1273" s="35">
        <v>45448</v>
      </c>
      <c r="E1273" s="32" t="s">
        <v>185</v>
      </c>
      <c r="F1273" s="32">
        <v>22026219</v>
      </c>
      <c r="G1273" s="32" t="s">
        <v>221</v>
      </c>
      <c r="H1273" s="26" t="s">
        <v>38</v>
      </c>
      <c r="I1273" s="36">
        <v>7200</v>
      </c>
      <c r="J1273" s="32">
        <f>IF(MB25_VOLUMETRIA[[#This Row],[Reserva]]="","",1)</f>
        <v>1</v>
      </c>
      <c r="K1273" s="36" t="str">
        <f>IF(MB25_VOLUMETRIA[[#This Row],[Reserva]]="","",IFERROR(VLOOKUP(MB25_VOLUMETRIA[[#This Row],[UMB]],CHAVE[],2,FALSE),"VERIFICAR"))</f>
        <v>Unidade</v>
      </c>
      <c r="L12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3" s="32" t="str">
        <f ca="1">IFERROR(VLOOKUP(MB25_VOLUMETRIA[[#This Row],[Reserva]],RES_AB[],14,FALSE),"")</f>
        <v>PLANO DO DIA</v>
      </c>
      <c r="N1273" s="32" t="str">
        <f>IF(MB25_VOLUMETRIA[[#This Row],[Cen.]]="","",IFERROR(VLOOKUP(MB25_VOLUMETRIA[[#This Row],[Cen.]],Dados_Empresas[],2,FALSE),"Verificar empresa"))</f>
        <v>NET MASSIVO</v>
      </c>
      <c r="O1273" s="32" t="str">
        <f>IF(MB25_VOLUMETRIA[[#This Row],[EMPRESA]]="","",IF(OR(MB25_VOLUMETRIA[[#This Row],[EMPRESA]]="NET MASSIVO",MB25_VOLUMETRIA[[#This Row],[EMPRESA]]="NET PROJETOS"),"NET","EMPRESARIAL"))</f>
        <v>NET</v>
      </c>
    </row>
    <row r="1274" spans="1:15" x14ac:dyDescent="0.25">
      <c r="A1274" s="32">
        <v>4382413</v>
      </c>
      <c r="B1274" s="32" t="s">
        <v>21</v>
      </c>
      <c r="C1274" s="33" t="s">
        <v>21</v>
      </c>
      <c r="D1274" s="35">
        <v>45448</v>
      </c>
      <c r="E1274" s="32" t="s">
        <v>184</v>
      </c>
      <c r="F1274" s="32">
        <v>41001553</v>
      </c>
      <c r="G1274" s="32" t="s">
        <v>295</v>
      </c>
      <c r="H1274" s="26" t="s">
        <v>38</v>
      </c>
      <c r="I1274" s="36">
        <v>150</v>
      </c>
      <c r="J1274" s="32">
        <f>IF(MB25_VOLUMETRIA[[#This Row],[Reserva]]="","",1)</f>
        <v>1</v>
      </c>
      <c r="K1274" s="36" t="str">
        <f>IF(MB25_VOLUMETRIA[[#This Row],[Reserva]]="","",IFERROR(VLOOKUP(MB25_VOLUMETRIA[[#This Row],[UMB]],CHAVE[],2,FALSE),"VERIFICAR"))</f>
        <v>Unidade</v>
      </c>
      <c r="L12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4" s="32" t="str">
        <f ca="1">IFERROR(VLOOKUP(MB25_VOLUMETRIA[[#This Row],[Reserva]],RES_AB[],14,FALSE),"")</f>
        <v>PLANO DO DIA</v>
      </c>
      <c r="N1274" s="32" t="str">
        <f>IF(MB25_VOLUMETRIA[[#This Row],[Cen.]]="","",IFERROR(VLOOKUP(MB25_VOLUMETRIA[[#This Row],[Cen.]],Dados_Empresas[],2,FALSE),"Verificar empresa"))</f>
        <v>NET MASSIVO</v>
      </c>
      <c r="O1274" s="32" t="str">
        <f>IF(MB25_VOLUMETRIA[[#This Row],[EMPRESA]]="","",IF(OR(MB25_VOLUMETRIA[[#This Row],[EMPRESA]]="NET MASSIVO",MB25_VOLUMETRIA[[#This Row],[EMPRESA]]="NET PROJETOS"),"NET","EMPRESARIAL"))</f>
        <v>NET</v>
      </c>
    </row>
    <row r="1275" spans="1:15" x14ac:dyDescent="0.25">
      <c r="A1275" s="32">
        <v>4382414</v>
      </c>
      <c r="B1275" s="32" t="s">
        <v>21</v>
      </c>
      <c r="C1275" s="33" t="s">
        <v>21</v>
      </c>
      <c r="D1275" s="35">
        <v>45448</v>
      </c>
      <c r="E1275" s="32" t="s">
        <v>185</v>
      </c>
      <c r="F1275" s="32">
        <v>22026265</v>
      </c>
      <c r="G1275" s="32" t="s">
        <v>222</v>
      </c>
      <c r="H1275" s="26" t="s">
        <v>38</v>
      </c>
      <c r="I1275" s="36">
        <v>500</v>
      </c>
      <c r="J1275" s="32">
        <f>IF(MB25_VOLUMETRIA[[#This Row],[Reserva]]="","",1)</f>
        <v>1</v>
      </c>
      <c r="K1275" s="36" t="str">
        <f>IF(MB25_VOLUMETRIA[[#This Row],[Reserva]]="","",IFERROR(VLOOKUP(MB25_VOLUMETRIA[[#This Row],[UMB]],CHAVE[],2,FALSE),"VERIFICAR"))</f>
        <v>Unidade</v>
      </c>
      <c r="L12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5" s="32" t="str">
        <f ca="1">IFERROR(VLOOKUP(MB25_VOLUMETRIA[[#This Row],[Reserva]],RES_AB[],14,FALSE),"")</f>
        <v>PLANO DO DIA</v>
      </c>
      <c r="N1275" s="32" t="str">
        <f>IF(MB25_VOLUMETRIA[[#This Row],[Cen.]]="","",IFERROR(VLOOKUP(MB25_VOLUMETRIA[[#This Row],[Cen.]],Dados_Empresas[],2,FALSE),"Verificar empresa"))</f>
        <v>NET MASSIVO</v>
      </c>
      <c r="O1275" s="32" t="str">
        <f>IF(MB25_VOLUMETRIA[[#This Row],[EMPRESA]]="","",IF(OR(MB25_VOLUMETRIA[[#This Row],[EMPRESA]]="NET MASSIVO",MB25_VOLUMETRIA[[#This Row],[EMPRESA]]="NET PROJETOS"),"NET","EMPRESARIAL"))</f>
        <v>NET</v>
      </c>
    </row>
    <row r="1276" spans="1:15" x14ac:dyDescent="0.25">
      <c r="A1276" s="32">
        <v>4382414</v>
      </c>
      <c r="B1276" s="32" t="s">
        <v>21</v>
      </c>
      <c r="C1276" s="33" t="s">
        <v>21</v>
      </c>
      <c r="D1276" s="35">
        <v>45448</v>
      </c>
      <c r="E1276" s="32" t="s">
        <v>185</v>
      </c>
      <c r="F1276" s="32">
        <v>22026544</v>
      </c>
      <c r="G1276" s="32" t="s">
        <v>206</v>
      </c>
      <c r="H1276" s="26" t="s">
        <v>38</v>
      </c>
      <c r="I1276" s="36">
        <v>200</v>
      </c>
      <c r="J1276" s="32">
        <f>IF(MB25_VOLUMETRIA[[#This Row],[Reserva]]="","",1)</f>
        <v>1</v>
      </c>
      <c r="K1276" s="36" t="str">
        <f>IF(MB25_VOLUMETRIA[[#This Row],[Reserva]]="","",IFERROR(VLOOKUP(MB25_VOLUMETRIA[[#This Row],[UMB]],CHAVE[],2,FALSE),"VERIFICAR"))</f>
        <v>Unidade</v>
      </c>
      <c r="L12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6" s="32" t="str">
        <f ca="1">IFERROR(VLOOKUP(MB25_VOLUMETRIA[[#This Row],[Reserva]],RES_AB[],14,FALSE),"")</f>
        <v>PLANO DO DIA</v>
      </c>
      <c r="N1276" s="32" t="str">
        <f>IF(MB25_VOLUMETRIA[[#This Row],[Cen.]]="","",IFERROR(VLOOKUP(MB25_VOLUMETRIA[[#This Row],[Cen.]],Dados_Empresas[],2,FALSE),"Verificar empresa"))</f>
        <v>NET MASSIVO</v>
      </c>
      <c r="O1276" s="32" t="str">
        <f>IF(MB25_VOLUMETRIA[[#This Row],[EMPRESA]]="","",IF(OR(MB25_VOLUMETRIA[[#This Row],[EMPRESA]]="NET MASSIVO",MB25_VOLUMETRIA[[#This Row],[EMPRESA]]="NET PROJETOS"),"NET","EMPRESARIAL"))</f>
        <v>NET</v>
      </c>
    </row>
    <row r="1277" spans="1:15" x14ac:dyDescent="0.25">
      <c r="A1277" s="32">
        <v>4382414</v>
      </c>
      <c r="B1277" s="32" t="s">
        <v>21</v>
      </c>
      <c r="C1277" s="33" t="s">
        <v>21</v>
      </c>
      <c r="D1277" s="35">
        <v>45448</v>
      </c>
      <c r="E1277" s="32" t="s">
        <v>185</v>
      </c>
      <c r="F1277" s="32">
        <v>22026772</v>
      </c>
      <c r="G1277" s="32" t="s">
        <v>201</v>
      </c>
      <c r="H1277" s="26" t="s">
        <v>38</v>
      </c>
      <c r="I1277" s="36">
        <v>75</v>
      </c>
      <c r="J1277" s="32">
        <f>IF(MB25_VOLUMETRIA[[#This Row],[Reserva]]="","",1)</f>
        <v>1</v>
      </c>
      <c r="K1277" s="36" t="str">
        <f>IF(MB25_VOLUMETRIA[[#This Row],[Reserva]]="","",IFERROR(VLOOKUP(MB25_VOLUMETRIA[[#This Row],[UMB]],CHAVE[],2,FALSE),"VERIFICAR"))</f>
        <v>Unidade</v>
      </c>
      <c r="L12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7" s="32" t="str">
        <f ca="1">IFERROR(VLOOKUP(MB25_VOLUMETRIA[[#This Row],[Reserva]],RES_AB[],14,FALSE),"")</f>
        <v>PLANO DO DIA</v>
      </c>
      <c r="N1277" s="32" t="str">
        <f>IF(MB25_VOLUMETRIA[[#This Row],[Cen.]]="","",IFERROR(VLOOKUP(MB25_VOLUMETRIA[[#This Row],[Cen.]],Dados_Empresas[],2,FALSE),"Verificar empresa"))</f>
        <v>NET MASSIVO</v>
      </c>
      <c r="O1277" s="32" t="str">
        <f>IF(MB25_VOLUMETRIA[[#This Row],[EMPRESA]]="","",IF(OR(MB25_VOLUMETRIA[[#This Row],[EMPRESA]]="NET MASSIVO",MB25_VOLUMETRIA[[#This Row],[EMPRESA]]="NET PROJETOS"),"NET","EMPRESARIAL"))</f>
        <v>NET</v>
      </c>
    </row>
    <row r="1278" spans="1:15" x14ac:dyDescent="0.25">
      <c r="A1278" s="32">
        <v>4382414</v>
      </c>
      <c r="B1278" s="32" t="s">
        <v>21</v>
      </c>
      <c r="C1278" s="33" t="s">
        <v>21</v>
      </c>
      <c r="D1278" s="35">
        <v>45448</v>
      </c>
      <c r="E1278" s="32" t="s">
        <v>185</v>
      </c>
      <c r="F1278" s="32">
        <v>22026809</v>
      </c>
      <c r="G1278" s="32" t="s">
        <v>231</v>
      </c>
      <c r="H1278" s="26" t="s">
        <v>38</v>
      </c>
      <c r="I1278" s="36">
        <v>150</v>
      </c>
      <c r="J1278" s="32">
        <f>IF(MB25_VOLUMETRIA[[#This Row],[Reserva]]="","",1)</f>
        <v>1</v>
      </c>
      <c r="K1278" s="36" t="str">
        <f>IF(MB25_VOLUMETRIA[[#This Row],[Reserva]]="","",IFERROR(VLOOKUP(MB25_VOLUMETRIA[[#This Row],[UMB]],CHAVE[],2,FALSE),"VERIFICAR"))</f>
        <v>Unidade</v>
      </c>
      <c r="L12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8" s="32" t="str">
        <f ca="1">IFERROR(VLOOKUP(MB25_VOLUMETRIA[[#This Row],[Reserva]],RES_AB[],14,FALSE),"")</f>
        <v>PLANO DO DIA</v>
      </c>
      <c r="N1278" s="32" t="str">
        <f>IF(MB25_VOLUMETRIA[[#This Row],[Cen.]]="","",IFERROR(VLOOKUP(MB25_VOLUMETRIA[[#This Row],[Cen.]],Dados_Empresas[],2,FALSE),"Verificar empresa"))</f>
        <v>NET MASSIVO</v>
      </c>
      <c r="O1278" s="32" t="str">
        <f>IF(MB25_VOLUMETRIA[[#This Row],[EMPRESA]]="","",IF(OR(MB25_VOLUMETRIA[[#This Row],[EMPRESA]]="NET MASSIVO",MB25_VOLUMETRIA[[#This Row],[EMPRESA]]="NET PROJETOS"),"NET","EMPRESARIAL"))</f>
        <v>NET</v>
      </c>
    </row>
    <row r="1279" spans="1:15" x14ac:dyDescent="0.25">
      <c r="A1279" s="32">
        <v>4382414</v>
      </c>
      <c r="B1279" s="32" t="s">
        <v>21</v>
      </c>
      <c r="C1279" s="33" t="s">
        <v>21</v>
      </c>
      <c r="D1279" s="35">
        <v>45448</v>
      </c>
      <c r="E1279" s="32" t="s">
        <v>185</v>
      </c>
      <c r="F1279" s="32">
        <v>22056344</v>
      </c>
      <c r="G1279" s="32" t="s">
        <v>235</v>
      </c>
      <c r="H1279" s="26" t="s">
        <v>38</v>
      </c>
      <c r="I1279" s="36">
        <v>100</v>
      </c>
      <c r="J1279" s="32">
        <f>IF(MB25_VOLUMETRIA[[#This Row],[Reserva]]="","",1)</f>
        <v>1</v>
      </c>
      <c r="K1279" s="36" t="str">
        <f>IF(MB25_VOLUMETRIA[[#This Row],[Reserva]]="","",IFERROR(VLOOKUP(MB25_VOLUMETRIA[[#This Row],[UMB]],CHAVE[],2,FALSE),"VERIFICAR"))</f>
        <v>Unidade</v>
      </c>
      <c r="L12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79" s="32" t="str">
        <f ca="1">IFERROR(VLOOKUP(MB25_VOLUMETRIA[[#This Row],[Reserva]],RES_AB[],14,FALSE),"")</f>
        <v>PLANO DO DIA</v>
      </c>
      <c r="N1279" s="32" t="str">
        <f>IF(MB25_VOLUMETRIA[[#This Row],[Cen.]]="","",IFERROR(VLOOKUP(MB25_VOLUMETRIA[[#This Row],[Cen.]],Dados_Empresas[],2,FALSE),"Verificar empresa"))</f>
        <v>NET MASSIVO</v>
      </c>
      <c r="O1279" s="32" t="str">
        <f>IF(MB25_VOLUMETRIA[[#This Row],[EMPRESA]]="","",IF(OR(MB25_VOLUMETRIA[[#This Row],[EMPRESA]]="NET MASSIVO",MB25_VOLUMETRIA[[#This Row],[EMPRESA]]="NET PROJETOS"),"NET","EMPRESARIAL"))</f>
        <v>NET</v>
      </c>
    </row>
    <row r="1280" spans="1:15" x14ac:dyDescent="0.25">
      <c r="A1280" s="32">
        <v>4382414</v>
      </c>
      <c r="B1280" s="32" t="s">
        <v>21</v>
      </c>
      <c r="C1280" s="33" t="s">
        <v>21</v>
      </c>
      <c r="D1280" s="35">
        <v>45448</v>
      </c>
      <c r="E1280" s="32" t="s">
        <v>185</v>
      </c>
      <c r="F1280" s="32">
        <v>22056359</v>
      </c>
      <c r="G1280" s="32" t="s">
        <v>203</v>
      </c>
      <c r="H1280" s="26" t="s">
        <v>38</v>
      </c>
      <c r="I1280" s="36">
        <v>11</v>
      </c>
      <c r="J1280" s="32">
        <f>IF(MB25_VOLUMETRIA[[#This Row],[Reserva]]="","",1)</f>
        <v>1</v>
      </c>
      <c r="K1280" s="36" t="str">
        <f>IF(MB25_VOLUMETRIA[[#This Row],[Reserva]]="","",IFERROR(VLOOKUP(MB25_VOLUMETRIA[[#This Row],[UMB]],CHAVE[],2,FALSE),"VERIFICAR"))</f>
        <v>Unidade</v>
      </c>
      <c r="L12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0" s="32" t="str">
        <f ca="1">IFERROR(VLOOKUP(MB25_VOLUMETRIA[[#This Row],[Reserva]],RES_AB[],14,FALSE),"")</f>
        <v>PLANO DO DIA</v>
      </c>
      <c r="N1280" s="32" t="str">
        <f>IF(MB25_VOLUMETRIA[[#This Row],[Cen.]]="","",IFERROR(VLOOKUP(MB25_VOLUMETRIA[[#This Row],[Cen.]],Dados_Empresas[],2,FALSE),"Verificar empresa"))</f>
        <v>NET MASSIVO</v>
      </c>
      <c r="O1280" s="32" t="str">
        <f>IF(MB25_VOLUMETRIA[[#This Row],[EMPRESA]]="","",IF(OR(MB25_VOLUMETRIA[[#This Row],[EMPRESA]]="NET MASSIVO",MB25_VOLUMETRIA[[#This Row],[EMPRESA]]="NET PROJETOS"),"NET","EMPRESARIAL"))</f>
        <v>NET</v>
      </c>
    </row>
    <row r="1281" spans="1:15" x14ac:dyDescent="0.25">
      <c r="A1281" s="32">
        <v>4382414</v>
      </c>
      <c r="B1281" s="32" t="s">
        <v>21</v>
      </c>
      <c r="C1281" s="33" t="s">
        <v>21</v>
      </c>
      <c r="D1281" s="35">
        <v>45448</v>
      </c>
      <c r="E1281" s="32" t="s">
        <v>185</v>
      </c>
      <c r="F1281" s="32">
        <v>22056365</v>
      </c>
      <c r="G1281" s="32" t="s">
        <v>244</v>
      </c>
      <c r="H1281" s="26" t="s">
        <v>38</v>
      </c>
      <c r="I1281" s="36">
        <v>300</v>
      </c>
      <c r="J1281" s="32">
        <f>IF(MB25_VOLUMETRIA[[#This Row],[Reserva]]="","",1)</f>
        <v>1</v>
      </c>
      <c r="K1281" s="36" t="str">
        <f>IF(MB25_VOLUMETRIA[[#This Row],[Reserva]]="","",IFERROR(VLOOKUP(MB25_VOLUMETRIA[[#This Row],[UMB]],CHAVE[],2,FALSE),"VERIFICAR"))</f>
        <v>Unidade</v>
      </c>
      <c r="L12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1" s="32" t="str">
        <f ca="1">IFERROR(VLOOKUP(MB25_VOLUMETRIA[[#This Row],[Reserva]],RES_AB[],14,FALSE),"")</f>
        <v>PLANO DO DIA</v>
      </c>
      <c r="N1281" s="32" t="str">
        <f>IF(MB25_VOLUMETRIA[[#This Row],[Cen.]]="","",IFERROR(VLOOKUP(MB25_VOLUMETRIA[[#This Row],[Cen.]],Dados_Empresas[],2,FALSE),"Verificar empresa"))</f>
        <v>NET MASSIVO</v>
      </c>
      <c r="O1281" s="32" t="str">
        <f>IF(MB25_VOLUMETRIA[[#This Row],[EMPRESA]]="","",IF(OR(MB25_VOLUMETRIA[[#This Row],[EMPRESA]]="NET MASSIVO",MB25_VOLUMETRIA[[#This Row],[EMPRESA]]="NET PROJETOS"),"NET","EMPRESARIAL"))</f>
        <v>NET</v>
      </c>
    </row>
    <row r="1282" spans="1:15" x14ac:dyDescent="0.25">
      <c r="A1282" s="32">
        <v>4382414</v>
      </c>
      <c r="B1282" s="32" t="s">
        <v>21</v>
      </c>
      <c r="C1282" s="33" t="s">
        <v>21</v>
      </c>
      <c r="D1282" s="35">
        <v>45448</v>
      </c>
      <c r="E1282" s="32" t="s">
        <v>185</v>
      </c>
      <c r="F1282" s="32">
        <v>22060738</v>
      </c>
      <c r="G1282" s="32" t="s">
        <v>199</v>
      </c>
      <c r="H1282" s="26" t="s">
        <v>38</v>
      </c>
      <c r="I1282" s="36">
        <v>1800</v>
      </c>
      <c r="J1282" s="32">
        <f>IF(MB25_VOLUMETRIA[[#This Row],[Reserva]]="","",1)</f>
        <v>1</v>
      </c>
      <c r="K1282" s="36" t="str">
        <f>IF(MB25_VOLUMETRIA[[#This Row],[Reserva]]="","",IFERROR(VLOOKUP(MB25_VOLUMETRIA[[#This Row],[UMB]],CHAVE[],2,FALSE),"VERIFICAR"))</f>
        <v>Unidade</v>
      </c>
      <c r="L12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2" s="32" t="str">
        <f ca="1">IFERROR(VLOOKUP(MB25_VOLUMETRIA[[#This Row],[Reserva]],RES_AB[],14,FALSE),"")</f>
        <v>PLANO DO DIA</v>
      </c>
      <c r="N1282" s="32" t="str">
        <f>IF(MB25_VOLUMETRIA[[#This Row],[Cen.]]="","",IFERROR(VLOOKUP(MB25_VOLUMETRIA[[#This Row],[Cen.]],Dados_Empresas[],2,FALSE),"Verificar empresa"))</f>
        <v>NET MASSIVO</v>
      </c>
      <c r="O1282" s="32" t="str">
        <f>IF(MB25_VOLUMETRIA[[#This Row],[EMPRESA]]="","",IF(OR(MB25_VOLUMETRIA[[#This Row],[EMPRESA]]="NET MASSIVO",MB25_VOLUMETRIA[[#This Row],[EMPRESA]]="NET PROJETOS"),"NET","EMPRESARIAL"))</f>
        <v>NET</v>
      </c>
    </row>
    <row r="1283" spans="1:15" x14ac:dyDescent="0.25">
      <c r="A1283" s="32">
        <v>4382414</v>
      </c>
      <c r="B1283" s="32" t="s">
        <v>21</v>
      </c>
      <c r="C1283" s="33" t="s">
        <v>21</v>
      </c>
      <c r="D1283" s="35">
        <v>45448</v>
      </c>
      <c r="E1283" s="32" t="s">
        <v>185</v>
      </c>
      <c r="F1283" s="32">
        <v>22062001</v>
      </c>
      <c r="G1283" s="32" t="s">
        <v>402</v>
      </c>
      <c r="H1283" s="26" t="s">
        <v>38</v>
      </c>
      <c r="I1283" s="36">
        <v>12</v>
      </c>
      <c r="J1283" s="32">
        <f>IF(MB25_VOLUMETRIA[[#This Row],[Reserva]]="","",1)</f>
        <v>1</v>
      </c>
      <c r="K1283" s="36" t="str">
        <f>IF(MB25_VOLUMETRIA[[#This Row],[Reserva]]="","",IFERROR(VLOOKUP(MB25_VOLUMETRIA[[#This Row],[UMB]],CHAVE[],2,FALSE),"VERIFICAR"))</f>
        <v>Unidade</v>
      </c>
      <c r="L12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3" s="32" t="str">
        <f ca="1">IFERROR(VLOOKUP(MB25_VOLUMETRIA[[#This Row],[Reserva]],RES_AB[],14,FALSE),"")</f>
        <v>PLANO DO DIA</v>
      </c>
      <c r="N1283" s="32" t="str">
        <f>IF(MB25_VOLUMETRIA[[#This Row],[Cen.]]="","",IFERROR(VLOOKUP(MB25_VOLUMETRIA[[#This Row],[Cen.]],Dados_Empresas[],2,FALSE),"Verificar empresa"))</f>
        <v>NET MASSIVO</v>
      </c>
      <c r="O1283" s="32" t="str">
        <f>IF(MB25_VOLUMETRIA[[#This Row],[EMPRESA]]="","",IF(OR(MB25_VOLUMETRIA[[#This Row],[EMPRESA]]="NET MASSIVO",MB25_VOLUMETRIA[[#This Row],[EMPRESA]]="NET PROJETOS"),"NET","EMPRESARIAL"))</f>
        <v>NET</v>
      </c>
    </row>
    <row r="1284" spans="1:15" x14ac:dyDescent="0.25">
      <c r="A1284" s="32">
        <v>4382414</v>
      </c>
      <c r="B1284" s="32" t="s">
        <v>21</v>
      </c>
      <c r="C1284" s="33" t="s">
        <v>21</v>
      </c>
      <c r="D1284" s="35">
        <v>45448</v>
      </c>
      <c r="E1284" s="32" t="s">
        <v>185</v>
      </c>
      <c r="F1284" s="32">
        <v>22062005</v>
      </c>
      <c r="G1284" s="32" t="s">
        <v>330</v>
      </c>
      <c r="H1284" s="26" t="s">
        <v>38</v>
      </c>
      <c r="I1284" s="36">
        <v>4</v>
      </c>
      <c r="J1284" s="32">
        <f>IF(MB25_VOLUMETRIA[[#This Row],[Reserva]]="","",1)</f>
        <v>1</v>
      </c>
      <c r="K1284" s="36" t="str">
        <f>IF(MB25_VOLUMETRIA[[#This Row],[Reserva]]="","",IFERROR(VLOOKUP(MB25_VOLUMETRIA[[#This Row],[UMB]],CHAVE[],2,FALSE),"VERIFICAR"))</f>
        <v>Unidade</v>
      </c>
      <c r="L12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4" s="32" t="str">
        <f ca="1">IFERROR(VLOOKUP(MB25_VOLUMETRIA[[#This Row],[Reserva]],RES_AB[],14,FALSE),"")</f>
        <v>PLANO DO DIA</v>
      </c>
      <c r="N1284" s="32" t="str">
        <f>IF(MB25_VOLUMETRIA[[#This Row],[Cen.]]="","",IFERROR(VLOOKUP(MB25_VOLUMETRIA[[#This Row],[Cen.]],Dados_Empresas[],2,FALSE),"Verificar empresa"))</f>
        <v>NET MASSIVO</v>
      </c>
      <c r="O1284" s="32" t="str">
        <f>IF(MB25_VOLUMETRIA[[#This Row],[EMPRESA]]="","",IF(OR(MB25_VOLUMETRIA[[#This Row],[EMPRESA]]="NET MASSIVO",MB25_VOLUMETRIA[[#This Row],[EMPRESA]]="NET PROJETOS"),"NET","EMPRESARIAL"))</f>
        <v>NET</v>
      </c>
    </row>
    <row r="1285" spans="1:15" x14ac:dyDescent="0.25">
      <c r="A1285" s="32">
        <v>4382414</v>
      </c>
      <c r="B1285" s="32" t="s">
        <v>21</v>
      </c>
      <c r="C1285" s="33" t="s">
        <v>21</v>
      </c>
      <c r="D1285" s="35">
        <v>45448</v>
      </c>
      <c r="E1285" s="32" t="s">
        <v>185</v>
      </c>
      <c r="F1285" s="32">
        <v>22065721</v>
      </c>
      <c r="G1285" s="32" t="s">
        <v>328</v>
      </c>
      <c r="H1285" s="26" t="s">
        <v>38</v>
      </c>
      <c r="I1285" s="36">
        <v>100</v>
      </c>
      <c r="J1285" s="32">
        <f>IF(MB25_VOLUMETRIA[[#This Row],[Reserva]]="","",1)</f>
        <v>1</v>
      </c>
      <c r="K1285" s="36" t="str">
        <f>IF(MB25_VOLUMETRIA[[#This Row],[Reserva]]="","",IFERROR(VLOOKUP(MB25_VOLUMETRIA[[#This Row],[UMB]],CHAVE[],2,FALSE),"VERIFICAR"))</f>
        <v>Unidade</v>
      </c>
      <c r="L12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5" s="32" t="str">
        <f ca="1">IFERROR(VLOOKUP(MB25_VOLUMETRIA[[#This Row],[Reserva]],RES_AB[],14,FALSE),"")</f>
        <v>PLANO DO DIA</v>
      </c>
      <c r="N1285" s="32" t="str">
        <f>IF(MB25_VOLUMETRIA[[#This Row],[Cen.]]="","",IFERROR(VLOOKUP(MB25_VOLUMETRIA[[#This Row],[Cen.]],Dados_Empresas[],2,FALSE),"Verificar empresa"))</f>
        <v>NET MASSIVO</v>
      </c>
      <c r="O1285" s="32" t="str">
        <f>IF(MB25_VOLUMETRIA[[#This Row],[EMPRESA]]="","",IF(OR(MB25_VOLUMETRIA[[#This Row],[EMPRESA]]="NET MASSIVO",MB25_VOLUMETRIA[[#This Row],[EMPRESA]]="NET PROJETOS"),"NET","EMPRESARIAL"))</f>
        <v>NET</v>
      </c>
    </row>
    <row r="1286" spans="1:15" x14ac:dyDescent="0.25">
      <c r="A1286" s="32">
        <v>4382414</v>
      </c>
      <c r="B1286" s="32" t="s">
        <v>21</v>
      </c>
      <c r="C1286" s="33" t="s">
        <v>21</v>
      </c>
      <c r="D1286" s="35">
        <v>45448</v>
      </c>
      <c r="E1286" s="32" t="s">
        <v>185</v>
      </c>
      <c r="F1286" s="32">
        <v>22065722</v>
      </c>
      <c r="G1286" s="32" t="s">
        <v>196</v>
      </c>
      <c r="H1286" s="26" t="s">
        <v>38</v>
      </c>
      <c r="I1286" s="36">
        <v>100</v>
      </c>
      <c r="J1286" s="32">
        <f>IF(MB25_VOLUMETRIA[[#This Row],[Reserva]]="","",1)</f>
        <v>1</v>
      </c>
      <c r="K1286" s="36" t="str">
        <f>IF(MB25_VOLUMETRIA[[#This Row],[Reserva]]="","",IFERROR(VLOOKUP(MB25_VOLUMETRIA[[#This Row],[UMB]],CHAVE[],2,FALSE),"VERIFICAR"))</f>
        <v>Unidade</v>
      </c>
      <c r="L12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6" s="32" t="str">
        <f ca="1">IFERROR(VLOOKUP(MB25_VOLUMETRIA[[#This Row],[Reserva]],RES_AB[],14,FALSE),"")</f>
        <v>PLANO DO DIA</v>
      </c>
      <c r="N1286" s="32" t="str">
        <f>IF(MB25_VOLUMETRIA[[#This Row],[Cen.]]="","",IFERROR(VLOOKUP(MB25_VOLUMETRIA[[#This Row],[Cen.]],Dados_Empresas[],2,FALSE),"Verificar empresa"))</f>
        <v>NET MASSIVO</v>
      </c>
      <c r="O1286" s="32" t="str">
        <f>IF(MB25_VOLUMETRIA[[#This Row],[EMPRESA]]="","",IF(OR(MB25_VOLUMETRIA[[#This Row],[EMPRESA]]="NET MASSIVO",MB25_VOLUMETRIA[[#This Row],[EMPRESA]]="NET PROJETOS"),"NET","EMPRESARIAL"))</f>
        <v>NET</v>
      </c>
    </row>
    <row r="1287" spans="1:15" x14ac:dyDescent="0.25">
      <c r="A1287" s="32">
        <v>4382415</v>
      </c>
      <c r="B1287" s="32" t="s">
        <v>21</v>
      </c>
      <c r="C1287" s="33" t="s">
        <v>182</v>
      </c>
      <c r="D1287" s="35">
        <v>45448</v>
      </c>
      <c r="E1287" s="32" t="s">
        <v>184</v>
      </c>
      <c r="F1287" s="32">
        <v>41001530</v>
      </c>
      <c r="G1287" s="32" t="s">
        <v>319</v>
      </c>
      <c r="H1287" s="26" t="s">
        <v>38</v>
      </c>
      <c r="I1287" s="36">
        <v>120</v>
      </c>
      <c r="J1287" s="32">
        <f>IF(MB25_VOLUMETRIA[[#This Row],[Reserva]]="","",1)</f>
        <v>1</v>
      </c>
      <c r="K1287" s="36" t="str">
        <f>IF(MB25_VOLUMETRIA[[#This Row],[Reserva]]="","",IFERROR(VLOOKUP(MB25_VOLUMETRIA[[#This Row],[UMB]],CHAVE[],2,FALSE),"VERIFICAR"))</f>
        <v>Unidade</v>
      </c>
      <c r="L12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7" s="32" t="str">
        <f ca="1">IFERROR(VLOOKUP(MB25_VOLUMETRIA[[#This Row],[Reserva]],RES_AB[],14,FALSE),"")</f>
        <v>PLANO DO DIA</v>
      </c>
      <c r="N1287" s="32" t="str">
        <f>IF(MB25_VOLUMETRIA[[#This Row],[Cen.]]="","",IFERROR(VLOOKUP(MB25_VOLUMETRIA[[#This Row],[Cen.]],Dados_Empresas[],2,FALSE),"Verificar empresa"))</f>
        <v>NET MASSIVO</v>
      </c>
      <c r="O1287" s="32" t="str">
        <f>IF(MB25_VOLUMETRIA[[#This Row],[EMPRESA]]="","",IF(OR(MB25_VOLUMETRIA[[#This Row],[EMPRESA]]="NET MASSIVO",MB25_VOLUMETRIA[[#This Row],[EMPRESA]]="NET PROJETOS"),"NET","EMPRESARIAL"))</f>
        <v>NET</v>
      </c>
    </row>
    <row r="1288" spans="1:15" x14ac:dyDescent="0.25">
      <c r="A1288" s="32">
        <v>4382416</v>
      </c>
      <c r="B1288" s="32" t="s">
        <v>21</v>
      </c>
      <c r="C1288" s="33" t="s">
        <v>21</v>
      </c>
      <c r="D1288" s="35">
        <v>45448</v>
      </c>
      <c r="E1288" s="32" t="s">
        <v>185</v>
      </c>
      <c r="F1288" s="32">
        <v>22057866</v>
      </c>
      <c r="G1288" s="32" t="s">
        <v>225</v>
      </c>
      <c r="H1288" s="26" t="s">
        <v>38</v>
      </c>
      <c r="I1288" s="36">
        <v>50</v>
      </c>
      <c r="J1288" s="32">
        <f>IF(MB25_VOLUMETRIA[[#This Row],[Reserva]]="","",1)</f>
        <v>1</v>
      </c>
      <c r="K1288" s="36" t="str">
        <f>IF(MB25_VOLUMETRIA[[#This Row],[Reserva]]="","",IFERROR(VLOOKUP(MB25_VOLUMETRIA[[#This Row],[UMB]],CHAVE[],2,FALSE),"VERIFICAR"))</f>
        <v>Unidade</v>
      </c>
      <c r="L12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8" s="32" t="str">
        <f ca="1">IFERROR(VLOOKUP(MB25_VOLUMETRIA[[#This Row],[Reserva]],RES_AB[],14,FALSE),"")</f>
        <v>PLANO DO DIA</v>
      </c>
      <c r="N1288" s="32" t="str">
        <f>IF(MB25_VOLUMETRIA[[#This Row],[Cen.]]="","",IFERROR(VLOOKUP(MB25_VOLUMETRIA[[#This Row],[Cen.]],Dados_Empresas[],2,FALSE),"Verificar empresa"))</f>
        <v>NET MASSIVO</v>
      </c>
      <c r="O1288" s="32" t="str">
        <f>IF(MB25_VOLUMETRIA[[#This Row],[EMPRESA]]="","",IF(OR(MB25_VOLUMETRIA[[#This Row],[EMPRESA]]="NET MASSIVO",MB25_VOLUMETRIA[[#This Row],[EMPRESA]]="NET PROJETOS"),"NET","EMPRESARIAL"))</f>
        <v>NET</v>
      </c>
    </row>
    <row r="1289" spans="1:15" x14ac:dyDescent="0.25">
      <c r="A1289" s="32">
        <v>4382417</v>
      </c>
      <c r="B1289" s="32" t="s">
        <v>21</v>
      </c>
      <c r="C1289" s="33" t="s">
        <v>21</v>
      </c>
      <c r="D1289" s="35">
        <v>45448</v>
      </c>
      <c r="E1289" s="32" t="s">
        <v>184</v>
      </c>
      <c r="F1289" s="32">
        <v>41001536</v>
      </c>
      <c r="G1289" s="32" t="s">
        <v>371</v>
      </c>
      <c r="H1289" s="26" t="s">
        <v>38</v>
      </c>
      <c r="I1289" s="36">
        <v>360</v>
      </c>
      <c r="J1289" s="32">
        <f>IF(MB25_VOLUMETRIA[[#This Row],[Reserva]]="","",1)</f>
        <v>1</v>
      </c>
      <c r="K1289" s="36" t="str">
        <f>IF(MB25_VOLUMETRIA[[#This Row],[Reserva]]="","",IFERROR(VLOOKUP(MB25_VOLUMETRIA[[#This Row],[UMB]],CHAVE[],2,FALSE),"VERIFICAR"))</f>
        <v>Unidade</v>
      </c>
      <c r="L12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89" s="32" t="str">
        <f ca="1">IFERROR(VLOOKUP(MB25_VOLUMETRIA[[#This Row],[Reserva]],RES_AB[],14,FALSE),"")</f>
        <v>PLANO DO DIA</v>
      </c>
      <c r="N1289" s="32" t="str">
        <f>IF(MB25_VOLUMETRIA[[#This Row],[Cen.]]="","",IFERROR(VLOOKUP(MB25_VOLUMETRIA[[#This Row],[Cen.]],Dados_Empresas[],2,FALSE),"Verificar empresa"))</f>
        <v>NET MASSIVO</v>
      </c>
      <c r="O1289" s="32" t="str">
        <f>IF(MB25_VOLUMETRIA[[#This Row],[EMPRESA]]="","",IF(OR(MB25_VOLUMETRIA[[#This Row],[EMPRESA]]="NET MASSIVO",MB25_VOLUMETRIA[[#This Row],[EMPRESA]]="NET PROJETOS"),"NET","EMPRESARIAL"))</f>
        <v>NET</v>
      </c>
    </row>
    <row r="1290" spans="1:15" x14ac:dyDescent="0.25">
      <c r="A1290" s="32">
        <v>4382417</v>
      </c>
      <c r="B1290" s="32" t="s">
        <v>21</v>
      </c>
      <c r="C1290" s="33" t="s">
        <v>21</v>
      </c>
      <c r="D1290" s="35">
        <v>45448</v>
      </c>
      <c r="E1290" s="32" t="s">
        <v>184</v>
      </c>
      <c r="F1290" s="32">
        <v>41001552</v>
      </c>
      <c r="G1290" s="32" t="s">
        <v>336</v>
      </c>
      <c r="H1290" s="26" t="s">
        <v>38</v>
      </c>
      <c r="I1290" s="36">
        <v>240</v>
      </c>
      <c r="J1290" s="32">
        <f>IF(MB25_VOLUMETRIA[[#This Row],[Reserva]]="","",1)</f>
        <v>1</v>
      </c>
      <c r="K1290" s="36" t="str">
        <f>IF(MB25_VOLUMETRIA[[#This Row],[Reserva]]="","",IFERROR(VLOOKUP(MB25_VOLUMETRIA[[#This Row],[UMB]],CHAVE[],2,FALSE),"VERIFICAR"))</f>
        <v>Unidade</v>
      </c>
      <c r="L12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0" s="32" t="str">
        <f ca="1">IFERROR(VLOOKUP(MB25_VOLUMETRIA[[#This Row],[Reserva]],RES_AB[],14,FALSE),"")</f>
        <v>PLANO DO DIA</v>
      </c>
      <c r="N1290" s="32" t="str">
        <f>IF(MB25_VOLUMETRIA[[#This Row],[Cen.]]="","",IFERROR(VLOOKUP(MB25_VOLUMETRIA[[#This Row],[Cen.]],Dados_Empresas[],2,FALSE),"Verificar empresa"))</f>
        <v>NET MASSIVO</v>
      </c>
      <c r="O1290" s="32" t="str">
        <f>IF(MB25_VOLUMETRIA[[#This Row],[EMPRESA]]="","",IF(OR(MB25_VOLUMETRIA[[#This Row],[EMPRESA]]="NET MASSIVO",MB25_VOLUMETRIA[[#This Row],[EMPRESA]]="NET PROJETOS"),"NET","EMPRESARIAL"))</f>
        <v>NET</v>
      </c>
    </row>
    <row r="1291" spans="1:15" x14ac:dyDescent="0.25">
      <c r="A1291" s="32">
        <v>4382419</v>
      </c>
      <c r="B1291" s="32" t="s">
        <v>21</v>
      </c>
      <c r="C1291" s="33" t="s">
        <v>21</v>
      </c>
      <c r="D1291" s="35">
        <v>45448</v>
      </c>
      <c r="E1291" s="32" t="s">
        <v>185</v>
      </c>
      <c r="F1291" s="32">
        <v>22057866</v>
      </c>
      <c r="G1291" s="32" t="s">
        <v>225</v>
      </c>
      <c r="H1291" s="26" t="s">
        <v>38</v>
      </c>
      <c r="I1291" s="36">
        <v>50</v>
      </c>
      <c r="J1291" s="32">
        <f>IF(MB25_VOLUMETRIA[[#This Row],[Reserva]]="","",1)</f>
        <v>1</v>
      </c>
      <c r="K1291" s="36" t="str">
        <f>IF(MB25_VOLUMETRIA[[#This Row],[Reserva]]="","",IFERROR(VLOOKUP(MB25_VOLUMETRIA[[#This Row],[UMB]],CHAVE[],2,FALSE),"VERIFICAR"))</f>
        <v>Unidade</v>
      </c>
      <c r="L12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1" s="32" t="str">
        <f ca="1">IFERROR(VLOOKUP(MB25_VOLUMETRIA[[#This Row],[Reserva]],RES_AB[],14,FALSE),"")</f>
        <v>PLANO DO DIA</v>
      </c>
      <c r="N1291" s="32" t="str">
        <f>IF(MB25_VOLUMETRIA[[#This Row],[Cen.]]="","",IFERROR(VLOOKUP(MB25_VOLUMETRIA[[#This Row],[Cen.]],Dados_Empresas[],2,FALSE),"Verificar empresa"))</f>
        <v>NET MASSIVO</v>
      </c>
      <c r="O1291" s="32" t="str">
        <f>IF(MB25_VOLUMETRIA[[#This Row],[EMPRESA]]="","",IF(OR(MB25_VOLUMETRIA[[#This Row],[EMPRESA]]="NET MASSIVO",MB25_VOLUMETRIA[[#This Row],[EMPRESA]]="NET PROJETOS"),"NET","EMPRESARIAL"))</f>
        <v>NET</v>
      </c>
    </row>
    <row r="1292" spans="1:15" x14ac:dyDescent="0.25">
      <c r="A1292" s="32">
        <v>4382420</v>
      </c>
      <c r="B1292" s="32" t="s">
        <v>21</v>
      </c>
      <c r="C1292" s="33" t="s">
        <v>21</v>
      </c>
      <c r="D1292" s="35">
        <v>45448</v>
      </c>
      <c r="E1292" s="32" t="s">
        <v>184</v>
      </c>
      <c r="F1292" s="32">
        <v>41001536</v>
      </c>
      <c r="G1292" s="32" t="s">
        <v>371</v>
      </c>
      <c r="H1292" s="26" t="s">
        <v>38</v>
      </c>
      <c r="I1292" s="36">
        <v>520</v>
      </c>
      <c r="J1292" s="32">
        <f>IF(MB25_VOLUMETRIA[[#This Row],[Reserva]]="","",1)</f>
        <v>1</v>
      </c>
      <c r="K1292" s="36" t="str">
        <f>IF(MB25_VOLUMETRIA[[#This Row],[Reserva]]="","",IFERROR(VLOOKUP(MB25_VOLUMETRIA[[#This Row],[UMB]],CHAVE[],2,FALSE),"VERIFICAR"))</f>
        <v>Unidade</v>
      </c>
      <c r="L12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2" s="32" t="str">
        <f ca="1">IFERROR(VLOOKUP(MB25_VOLUMETRIA[[#This Row],[Reserva]],RES_AB[],14,FALSE),"")</f>
        <v>PLANO DO DIA</v>
      </c>
      <c r="N1292" s="32" t="str">
        <f>IF(MB25_VOLUMETRIA[[#This Row],[Cen.]]="","",IFERROR(VLOOKUP(MB25_VOLUMETRIA[[#This Row],[Cen.]],Dados_Empresas[],2,FALSE),"Verificar empresa"))</f>
        <v>NET MASSIVO</v>
      </c>
      <c r="O1292" s="32" t="str">
        <f>IF(MB25_VOLUMETRIA[[#This Row],[EMPRESA]]="","",IF(OR(MB25_VOLUMETRIA[[#This Row],[EMPRESA]]="NET MASSIVO",MB25_VOLUMETRIA[[#This Row],[EMPRESA]]="NET PROJETOS"),"NET","EMPRESARIAL"))</f>
        <v>NET</v>
      </c>
    </row>
    <row r="1293" spans="1:15" x14ac:dyDescent="0.25">
      <c r="A1293" s="32">
        <v>4382420</v>
      </c>
      <c r="B1293" s="32" t="s">
        <v>21</v>
      </c>
      <c r="C1293" s="33" t="s">
        <v>21</v>
      </c>
      <c r="D1293" s="35">
        <v>45448</v>
      </c>
      <c r="E1293" s="32" t="s">
        <v>184</v>
      </c>
      <c r="F1293" s="32">
        <v>41001552</v>
      </c>
      <c r="G1293" s="32" t="s">
        <v>336</v>
      </c>
      <c r="H1293" s="26" t="s">
        <v>38</v>
      </c>
      <c r="I1293" s="36">
        <v>500</v>
      </c>
      <c r="J1293" s="32">
        <f>IF(MB25_VOLUMETRIA[[#This Row],[Reserva]]="","",1)</f>
        <v>1</v>
      </c>
      <c r="K1293" s="36" t="str">
        <f>IF(MB25_VOLUMETRIA[[#This Row],[Reserva]]="","",IFERROR(VLOOKUP(MB25_VOLUMETRIA[[#This Row],[UMB]],CHAVE[],2,FALSE),"VERIFICAR"))</f>
        <v>Unidade</v>
      </c>
      <c r="L12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3" s="32" t="str">
        <f ca="1">IFERROR(VLOOKUP(MB25_VOLUMETRIA[[#This Row],[Reserva]],RES_AB[],14,FALSE),"")</f>
        <v>PLANO DO DIA</v>
      </c>
      <c r="N1293" s="32" t="str">
        <f>IF(MB25_VOLUMETRIA[[#This Row],[Cen.]]="","",IFERROR(VLOOKUP(MB25_VOLUMETRIA[[#This Row],[Cen.]],Dados_Empresas[],2,FALSE),"Verificar empresa"))</f>
        <v>NET MASSIVO</v>
      </c>
      <c r="O1293" s="32" t="str">
        <f>IF(MB25_VOLUMETRIA[[#This Row],[EMPRESA]]="","",IF(OR(MB25_VOLUMETRIA[[#This Row],[EMPRESA]]="NET MASSIVO",MB25_VOLUMETRIA[[#This Row],[EMPRESA]]="NET PROJETOS"),"NET","EMPRESARIAL"))</f>
        <v>NET</v>
      </c>
    </row>
    <row r="1294" spans="1:15" x14ac:dyDescent="0.25">
      <c r="A1294" s="32">
        <v>4382421</v>
      </c>
      <c r="B1294" s="32" t="s">
        <v>21</v>
      </c>
      <c r="C1294" s="33" t="s">
        <v>182</v>
      </c>
      <c r="D1294" s="35">
        <v>45448</v>
      </c>
      <c r="E1294" s="32" t="s">
        <v>184</v>
      </c>
      <c r="F1294" s="32">
        <v>41001530</v>
      </c>
      <c r="G1294" s="32" t="s">
        <v>319</v>
      </c>
      <c r="H1294" s="26" t="s">
        <v>38</v>
      </c>
      <c r="I1294" s="36">
        <v>30</v>
      </c>
      <c r="J1294" s="32">
        <f>IF(MB25_VOLUMETRIA[[#This Row],[Reserva]]="","",1)</f>
        <v>1</v>
      </c>
      <c r="K1294" s="36" t="str">
        <f>IF(MB25_VOLUMETRIA[[#This Row],[Reserva]]="","",IFERROR(VLOOKUP(MB25_VOLUMETRIA[[#This Row],[UMB]],CHAVE[],2,FALSE),"VERIFICAR"))</f>
        <v>Unidade</v>
      </c>
      <c r="L12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4" s="32" t="str">
        <f ca="1">IFERROR(VLOOKUP(MB25_VOLUMETRIA[[#This Row],[Reserva]],RES_AB[],14,FALSE),"")</f>
        <v>PLANO DO DIA</v>
      </c>
      <c r="N1294" s="32" t="str">
        <f>IF(MB25_VOLUMETRIA[[#This Row],[Cen.]]="","",IFERROR(VLOOKUP(MB25_VOLUMETRIA[[#This Row],[Cen.]],Dados_Empresas[],2,FALSE),"Verificar empresa"))</f>
        <v>NET MASSIVO</v>
      </c>
      <c r="O1294" s="32" t="str">
        <f>IF(MB25_VOLUMETRIA[[#This Row],[EMPRESA]]="","",IF(OR(MB25_VOLUMETRIA[[#This Row],[EMPRESA]]="NET MASSIVO",MB25_VOLUMETRIA[[#This Row],[EMPRESA]]="NET PROJETOS"),"NET","EMPRESARIAL"))</f>
        <v>NET</v>
      </c>
    </row>
    <row r="1295" spans="1:15" x14ac:dyDescent="0.25">
      <c r="A1295" s="32">
        <v>4382422</v>
      </c>
      <c r="B1295" s="32" t="s">
        <v>21</v>
      </c>
      <c r="C1295" s="33" t="s">
        <v>182</v>
      </c>
      <c r="D1295" s="35">
        <v>45448</v>
      </c>
      <c r="E1295" s="32" t="s">
        <v>184</v>
      </c>
      <c r="F1295" s="32">
        <v>41001530</v>
      </c>
      <c r="G1295" s="32" t="s">
        <v>319</v>
      </c>
      <c r="H1295" s="26" t="s">
        <v>38</v>
      </c>
      <c r="I1295" s="36">
        <v>40</v>
      </c>
      <c r="J1295" s="32">
        <f>IF(MB25_VOLUMETRIA[[#This Row],[Reserva]]="","",1)</f>
        <v>1</v>
      </c>
      <c r="K1295" s="36" t="str">
        <f>IF(MB25_VOLUMETRIA[[#This Row],[Reserva]]="","",IFERROR(VLOOKUP(MB25_VOLUMETRIA[[#This Row],[UMB]],CHAVE[],2,FALSE),"VERIFICAR"))</f>
        <v>Unidade</v>
      </c>
      <c r="L12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5" s="32" t="str">
        <f ca="1">IFERROR(VLOOKUP(MB25_VOLUMETRIA[[#This Row],[Reserva]],RES_AB[],14,FALSE),"")</f>
        <v>PLANO DO DIA</v>
      </c>
      <c r="N1295" s="32" t="str">
        <f>IF(MB25_VOLUMETRIA[[#This Row],[Cen.]]="","",IFERROR(VLOOKUP(MB25_VOLUMETRIA[[#This Row],[Cen.]],Dados_Empresas[],2,FALSE),"Verificar empresa"))</f>
        <v>NET MASSIVO</v>
      </c>
      <c r="O1295" s="32" t="str">
        <f>IF(MB25_VOLUMETRIA[[#This Row],[EMPRESA]]="","",IF(OR(MB25_VOLUMETRIA[[#This Row],[EMPRESA]]="NET MASSIVO",MB25_VOLUMETRIA[[#This Row],[EMPRESA]]="NET PROJETOS"),"NET","EMPRESARIAL"))</f>
        <v>NET</v>
      </c>
    </row>
    <row r="1296" spans="1:15" x14ac:dyDescent="0.25">
      <c r="A1296" s="32">
        <v>4382423</v>
      </c>
      <c r="B1296" s="32" t="s">
        <v>21</v>
      </c>
      <c r="C1296" s="33" t="s">
        <v>21</v>
      </c>
      <c r="D1296" s="35">
        <v>45448</v>
      </c>
      <c r="E1296" s="32" t="s">
        <v>184</v>
      </c>
      <c r="F1296" s="32">
        <v>41001553</v>
      </c>
      <c r="G1296" s="32" t="s">
        <v>295</v>
      </c>
      <c r="H1296" s="26" t="s">
        <v>38</v>
      </c>
      <c r="I1296" s="36">
        <v>20</v>
      </c>
      <c r="J1296" s="32">
        <f>IF(MB25_VOLUMETRIA[[#This Row],[Reserva]]="","",1)</f>
        <v>1</v>
      </c>
      <c r="K1296" s="36" t="str">
        <f>IF(MB25_VOLUMETRIA[[#This Row],[Reserva]]="","",IFERROR(VLOOKUP(MB25_VOLUMETRIA[[#This Row],[UMB]],CHAVE[],2,FALSE),"VERIFICAR"))</f>
        <v>Unidade</v>
      </c>
      <c r="L12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6" s="32" t="str">
        <f ca="1">IFERROR(VLOOKUP(MB25_VOLUMETRIA[[#This Row],[Reserva]],RES_AB[],14,FALSE),"")</f>
        <v>PLANO DO DIA</v>
      </c>
      <c r="N1296" s="32" t="str">
        <f>IF(MB25_VOLUMETRIA[[#This Row],[Cen.]]="","",IFERROR(VLOOKUP(MB25_VOLUMETRIA[[#This Row],[Cen.]],Dados_Empresas[],2,FALSE),"Verificar empresa"))</f>
        <v>NET MASSIVO</v>
      </c>
      <c r="O1296" s="32" t="str">
        <f>IF(MB25_VOLUMETRIA[[#This Row],[EMPRESA]]="","",IF(OR(MB25_VOLUMETRIA[[#This Row],[EMPRESA]]="NET MASSIVO",MB25_VOLUMETRIA[[#This Row],[EMPRESA]]="NET PROJETOS"),"NET","EMPRESARIAL"))</f>
        <v>NET</v>
      </c>
    </row>
    <row r="1297" spans="1:15" x14ac:dyDescent="0.25">
      <c r="A1297" s="32">
        <v>4382424</v>
      </c>
      <c r="B1297" s="32" t="s">
        <v>21</v>
      </c>
      <c r="C1297" s="33" t="s">
        <v>21</v>
      </c>
      <c r="D1297" s="35">
        <v>45448</v>
      </c>
      <c r="E1297" s="32" t="s">
        <v>185</v>
      </c>
      <c r="F1297" s="32">
        <v>22057866</v>
      </c>
      <c r="G1297" s="32" t="s">
        <v>225</v>
      </c>
      <c r="H1297" s="26" t="s">
        <v>38</v>
      </c>
      <c r="I1297" s="36">
        <v>150</v>
      </c>
      <c r="J1297" s="32">
        <f>IF(MB25_VOLUMETRIA[[#This Row],[Reserva]]="","",1)</f>
        <v>1</v>
      </c>
      <c r="K1297" s="36" t="str">
        <f>IF(MB25_VOLUMETRIA[[#This Row],[Reserva]]="","",IFERROR(VLOOKUP(MB25_VOLUMETRIA[[#This Row],[UMB]],CHAVE[],2,FALSE),"VERIFICAR"))</f>
        <v>Unidade</v>
      </c>
      <c r="L12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7" s="32" t="str">
        <f ca="1">IFERROR(VLOOKUP(MB25_VOLUMETRIA[[#This Row],[Reserva]],RES_AB[],14,FALSE),"")</f>
        <v>PLANO DO DIA</v>
      </c>
      <c r="N1297" s="32" t="str">
        <f>IF(MB25_VOLUMETRIA[[#This Row],[Cen.]]="","",IFERROR(VLOOKUP(MB25_VOLUMETRIA[[#This Row],[Cen.]],Dados_Empresas[],2,FALSE),"Verificar empresa"))</f>
        <v>NET MASSIVO</v>
      </c>
      <c r="O1297" s="32" t="str">
        <f>IF(MB25_VOLUMETRIA[[#This Row],[EMPRESA]]="","",IF(OR(MB25_VOLUMETRIA[[#This Row],[EMPRESA]]="NET MASSIVO",MB25_VOLUMETRIA[[#This Row],[EMPRESA]]="NET PROJETOS"),"NET","EMPRESARIAL"))</f>
        <v>NET</v>
      </c>
    </row>
    <row r="1298" spans="1:15" x14ac:dyDescent="0.25">
      <c r="A1298" s="32">
        <v>4382426</v>
      </c>
      <c r="B1298" s="32" t="s">
        <v>21</v>
      </c>
      <c r="C1298" s="33" t="s">
        <v>182</v>
      </c>
      <c r="D1298" s="35">
        <v>45448</v>
      </c>
      <c r="E1298" s="32" t="s">
        <v>184</v>
      </c>
      <c r="F1298" s="32">
        <v>41001530</v>
      </c>
      <c r="G1298" s="32" t="s">
        <v>319</v>
      </c>
      <c r="H1298" s="26" t="s">
        <v>38</v>
      </c>
      <c r="I1298" s="36">
        <v>80</v>
      </c>
      <c r="J1298" s="32">
        <f>IF(MB25_VOLUMETRIA[[#This Row],[Reserva]]="","",1)</f>
        <v>1</v>
      </c>
      <c r="K1298" s="36" t="str">
        <f>IF(MB25_VOLUMETRIA[[#This Row],[Reserva]]="","",IFERROR(VLOOKUP(MB25_VOLUMETRIA[[#This Row],[UMB]],CHAVE[],2,FALSE),"VERIFICAR"))</f>
        <v>Unidade</v>
      </c>
      <c r="L12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8" s="32" t="str">
        <f ca="1">IFERROR(VLOOKUP(MB25_VOLUMETRIA[[#This Row],[Reserva]],RES_AB[],14,FALSE),"")</f>
        <v>PLANO DO DIA</v>
      </c>
      <c r="N1298" s="32" t="str">
        <f>IF(MB25_VOLUMETRIA[[#This Row],[Cen.]]="","",IFERROR(VLOOKUP(MB25_VOLUMETRIA[[#This Row],[Cen.]],Dados_Empresas[],2,FALSE),"Verificar empresa"))</f>
        <v>NET MASSIVO</v>
      </c>
      <c r="O1298" s="32" t="str">
        <f>IF(MB25_VOLUMETRIA[[#This Row],[EMPRESA]]="","",IF(OR(MB25_VOLUMETRIA[[#This Row],[EMPRESA]]="NET MASSIVO",MB25_VOLUMETRIA[[#This Row],[EMPRESA]]="NET PROJETOS"),"NET","EMPRESARIAL"))</f>
        <v>NET</v>
      </c>
    </row>
    <row r="1299" spans="1:15" x14ac:dyDescent="0.25">
      <c r="A1299" s="32">
        <v>4382427</v>
      </c>
      <c r="B1299" s="32" t="s">
        <v>21</v>
      </c>
      <c r="C1299" s="33" t="s">
        <v>19</v>
      </c>
      <c r="D1299" s="35">
        <v>45448</v>
      </c>
      <c r="E1299" s="32" t="s">
        <v>185</v>
      </c>
      <c r="F1299" s="32">
        <v>22025239</v>
      </c>
      <c r="G1299" s="32" t="s">
        <v>335</v>
      </c>
      <c r="H1299" s="26" t="s">
        <v>38</v>
      </c>
      <c r="I1299" s="36">
        <v>300</v>
      </c>
      <c r="J1299" s="32">
        <f>IF(MB25_VOLUMETRIA[[#This Row],[Reserva]]="","",1)</f>
        <v>1</v>
      </c>
      <c r="K1299" s="36" t="str">
        <f>IF(MB25_VOLUMETRIA[[#This Row],[Reserva]]="","",IFERROR(VLOOKUP(MB25_VOLUMETRIA[[#This Row],[UMB]],CHAVE[],2,FALSE),"VERIFICAR"))</f>
        <v>Unidade</v>
      </c>
      <c r="L12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299" s="32" t="str">
        <f ca="1">IFERROR(VLOOKUP(MB25_VOLUMETRIA[[#This Row],[Reserva]],RES_AB[],14,FALSE),"")</f>
        <v>PLANO DO DIA</v>
      </c>
      <c r="N1299" s="32" t="str">
        <f>IF(MB25_VOLUMETRIA[[#This Row],[Cen.]]="","",IFERROR(VLOOKUP(MB25_VOLUMETRIA[[#This Row],[Cen.]],Dados_Empresas[],2,FALSE),"Verificar empresa"))</f>
        <v>NET MASSIVO</v>
      </c>
      <c r="O1299" s="32" t="str">
        <f>IF(MB25_VOLUMETRIA[[#This Row],[EMPRESA]]="","",IF(OR(MB25_VOLUMETRIA[[#This Row],[EMPRESA]]="NET MASSIVO",MB25_VOLUMETRIA[[#This Row],[EMPRESA]]="NET PROJETOS"),"NET","EMPRESARIAL"))</f>
        <v>NET</v>
      </c>
    </row>
    <row r="1300" spans="1:15" x14ac:dyDescent="0.25">
      <c r="A1300" s="32">
        <v>4382427</v>
      </c>
      <c r="B1300" s="32" t="s">
        <v>21</v>
      </c>
      <c r="C1300" s="33" t="s">
        <v>19</v>
      </c>
      <c r="D1300" s="35">
        <v>45448</v>
      </c>
      <c r="E1300" s="32" t="s">
        <v>185</v>
      </c>
      <c r="F1300" s="32">
        <v>22025243</v>
      </c>
      <c r="G1300" s="32" t="s">
        <v>331</v>
      </c>
      <c r="H1300" s="26" t="s">
        <v>38</v>
      </c>
      <c r="I1300" s="36">
        <v>100</v>
      </c>
      <c r="J1300" s="32">
        <f>IF(MB25_VOLUMETRIA[[#This Row],[Reserva]]="","",1)</f>
        <v>1</v>
      </c>
      <c r="K1300" s="36" t="str">
        <f>IF(MB25_VOLUMETRIA[[#This Row],[Reserva]]="","",IFERROR(VLOOKUP(MB25_VOLUMETRIA[[#This Row],[UMB]],CHAVE[],2,FALSE),"VERIFICAR"))</f>
        <v>Unidade</v>
      </c>
      <c r="L13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0" s="32" t="str">
        <f ca="1">IFERROR(VLOOKUP(MB25_VOLUMETRIA[[#This Row],[Reserva]],RES_AB[],14,FALSE),"")</f>
        <v>PLANO DO DIA</v>
      </c>
      <c r="N1300" s="32" t="str">
        <f>IF(MB25_VOLUMETRIA[[#This Row],[Cen.]]="","",IFERROR(VLOOKUP(MB25_VOLUMETRIA[[#This Row],[Cen.]],Dados_Empresas[],2,FALSE),"Verificar empresa"))</f>
        <v>NET MASSIVO</v>
      </c>
      <c r="O1300" s="32" t="str">
        <f>IF(MB25_VOLUMETRIA[[#This Row],[EMPRESA]]="","",IF(OR(MB25_VOLUMETRIA[[#This Row],[EMPRESA]]="NET MASSIVO",MB25_VOLUMETRIA[[#This Row],[EMPRESA]]="NET PROJETOS"),"NET","EMPRESARIAL"))</f>
        <v>NET</v>
      </c>
    </row>
    <row r="1301" spans="1:15" x14ac:dyDescent="0.25">
      <c r="A1301" s="32">
        <v>4382427</v>
      </c>
      <c r="B1301" s="32" t="s">
        <v>21</v>
      </c>
      <c r="C1301" s="33" t="s">
        <v>21</v>
      </c>
      <c r="D1301" s="35">
        <v>45448</v>
      </c>
      <c r="E1301" s="32" t="s">
        <v>185</v>
      </c>
      <c r="F1301" s="32">
        <v>22025348</v>
      </c>
      <c r="G1301" s="32" t="s">
        <v>218</v>
      </c>
      <c r="H1301" s="26" t="s">
        <v>38</v>
      </c>
      <c r="I1301" s="36">
        <v>200</v>
      </c>
      <c r="J1301" s="32">
        <f>IF(MB25_VOLUMETRIA[[#This Row],[Reserva]]="","",1)</f>
        <v>1</v>
      </c>
      <c r="K1301" s="36" t="str">
        <f>IF(MB25_VOLUMETRIA[[#This Row],[Reserva]]="","",IFERROR(VLOOKUP(MB25_VOLUMETRIA[[#This Row],[UMB]],CHAVE[],2,FALSE),"VERIFICAR"))</f>
        <v>Unidade</v>
      </c>
      <c r="L13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1" s="32" t="str">
        <f ca="1">IFERROR(VLOOKUP(MB25_VOLUMETRIA[[#This Row],[Reserva]],RES_AB[],14,FALSE),"")</f>
        <v>PLANO DO DIA</v>
      </c>
      <c r="N1301" s="32" t="str">
        <f>IF(MB25_VOLUMETRIA[[#This Row],[Cen.]]="","",IFERROR(VLOOKUP(MB25_VOLUMETRIA[[#This Row],[Cen.]],Dados_Empresas[],2,FALSE),"Verificar empresa"))</f>
        <v>NET MASSIVO</v>
      </c>
      <c r="O1301" s="32" t="str">
        <f>IF(MB25_VOLUMETRIA[[#This Row],[EMPRESA]]="","",IF(OR(MB25_VOLUMETRIA[[#This Row],[EMPRESA]]="NET MASSIVO",MB25_VOLUMETRIA[[#This Row],[EMPRESA]]="NET PROJETOS"),"NET","EMPRESARIAL"))</f>
        <v>NET</v>
      </c>
    </row>
    <row r="1302" spans="1:15" x14ac:dyDescent="0.25">
      <c r="A1302" s="32">
        <v>4382427</v>
      </c>
      <c r="B1302" s="32" t="s">
        <v>21</v>
      </c>
      <c r="C1302" s="33" t="s">
        <v>21</v>
      </c>
      <c r="D1302" s="35">
        <v>45448</v>
      </c>
      <c r="E1302" s="32" t="s">
        <v>185</v>
      </c>
      <c r="F1302" s="32">
        <v>22026502</v>
      </c>
      <c r="G1302" s="32" t="s">
        <v>214</v>
      </c>
      <c r="H1302" s="26" t="s">
        <v>38</v>
      </c>
      <c r="I1302" s="36">
        <v>100</v>
      </c>
      <c r="J1302" s="32">
        <f>IF(MB25_VOLUMETRIA[[#This Row],[Reserva]]="","",1)</f>
        <v>1</v>
      </c>
      <c r="K1302" s="36" t="str">
        <f>IF(MB25_VOLUMETRIA[[#This Row],[Reserva]]="","",IFERROR(VLOOKUP(MB25_VOLUMETRIA[[#This Row],[UMB]],CHAVE[],2,FALSE),"VERIFICAR"))</f>
        <v>Unidade</v>
      </c>
      <c r="L13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2" s="32" t="str">
        <f ca="1">IFERROR(VLOOKUP(MB25_VOLUMETRIA[[#This Row],[Reserva]],RES_AB[],14,FALSE),"")</f>
        <v>PLANO DO DIA</v>
      </c>
      <c r="N1302" s="32" t="str">
        <f>IF(MB25_VOLUMETRIA[[#This Row],[Cen.]]="","",IFERROR(VLOOKUP(MB25_VOLUMETRIA[[#This Row],[Cen.]],Dados_Empresas[],2,FALSE),"Verificar empresa"))</f>
        <v>NET MASSIVO</v>
      </c>
      <c r="O1302" s="32" t="str">
        <f>IF(MB25_VOLUMETRIA[[#This Row],[EMPRESA]]="","",IF(OR(MB25_VOLUMETRIA[[#This Row],[EMPRESA]]="NET MASSIVO",MB25_VOLUMETRIA[[#This Row],[EMPRESA]]="NET PROJETOS"),"NET","EMPRESARIAL"))</f>
        <v>NET</v>
      </c>
    </row>
    <row r="1303" spans="1:15" x14ac:dyDescent="0.25">
      <c r="A1303" s="32">
        <v>4382427</v>
      </c>
      <c r="B1303" s="32" t="s">
        <v>21</v>
      </c>
      <c r="C1303" s="33" t="s">
        <v>21</v>
      </c>
      <c r="D1303" s="35">
        <v>45448</v>
      </c>
      <c r="E1303" s="32" t="s">
        <v>185</v>
      </c>
      <c r="F1303" s="32">
        <v>22056334</v>
      </c>
      <c r="G1303" s="32" t="s">
        <v>321</v>
      </c>
      <c r="H1303" s="26" t="s">
        <v>38</v>
      </c>
      <c r="I1303" s="36">
        <v>200</v>
      </c>
      <c r="J1303" s="32">
        <f>IF(MB25_VOLUMETRIA[[#This Row],[Reserva]]="","",1)</f>
        <v>1</v>
      </c>
      <c r="K1303" s="36" t="str">
        <f>IF(MB25_VOLUMETRIA[[#This Row],[Reserva]]="","",IFERROR(VLOOKUP(MB25_VOLUMETRIA[[#This Row],[UMB]],CHAVE[],2,FALSE),"VERIFICAR"))</f>
        <v>Unidade</v>
      </c>
      <c r="L13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3" s="32" t="str">
        <f ca="1">IFERROR(VLOOKUP(MB25_VOLUMETRIA[[#This Row],[Reserva]],RES_AB[],14,FALSE),"")</f>
        <v>PLANO DO DIA</v>
      </c>
      <c r="N1303" s="32" t="str">
        <f>IF(MB25_VOLUMETRIA[[#This Row],[Cen.]]="","",IFERROR(VLOOKUP(MB25_VOLUMETRIA[[#This Row],[Cen.]],Dados_Empresas[],2,FALSE),"Verificar empresa"))</f>
        <v>NET MASSIVO</v>
      </c>
      <c r="O1303" s="32" t="str">
        <f>IF(MB25_VOLUMETRIA[[#This Row],[EMPRESA]]="","",IF(OR(MB25_VOLUMETRIA[[#This Row],[EMPRESA]]="NET MASSIVO",MB25_VOLUMETRIA[[#This Row],[EMPRESA]]="NET PROJETOS"),"NET","EMPRESARIAL"))</f>
        <v>NET</v>
      </c>
    </row>
    <row r="1304" spans="1:15" x14ac:dyDescent="0.25">
      <c r="A1304" s="32">
        <v>4382428</v>
      </c>
      <c r="B1304" s="32" t="s">
        <v>21</v>
      </c>
      <c r="C1304" s="33" t="s">
        <v>21</v>
      </c>
      <c r="D1304" s="35">
        <v>45448</v>
      </c>
      <c r="E1304" s="32" t="s">
        <v>184</v>
      </c>
      <c r="F1304" s="32">
        <v>41001536</v>
      </c>
      <c r="G1304" s="32" t="s">
        <v>371</v>
      </c>
      <c r="H1304" s="26" t="s">
        <v>38</v>
      </c>
      <c r="I1304" s="36">
        <v>80</v>
      </c>
      <c r="J1304" s="32">
        <f>IF(MB25_VOLUMETRIA[[#This Row],[Reserva]]="","",1)</f>
        <v>1</v>
      </c>
      <c r="K1304" s="36" t="str">
        <f>IF(MB25_VOLUMETRIA[[#This Row],[Reserva]]="","",IFERROR(VLOOKUP(MB25_VOLUMETRIA[[#This Row],[UMB]],CHAVE[],2,FALSE),"VERIFICAR"))</f>
        <v>Unidade</v>
      </c>
      <c r="L13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4" s="32" t="str">
        <f ca="1">IFERROR(VLOOKUP(MB25_VOLUMETRIA[[#This Row],[Reserva]],RES_AB[],14,FALSE),"")</f>
        <v>PLANO DO DIA</v>
      </c>
      <c r="N1304" s="32" t="str">
        <f>IF(MB25_VOLUMETRIA[[#This Row],[Cen.]]="","",IFERROR(VLOOKUP(MB25_VOLUMETRIA[[#This Row],[Cen.]],Dados_Empresas[],2,FALSE),"Verificar empresa"))</f>
        <v>NET MASSIVO</v>
      </c>
      <c r="O1304" s="32" t="str">
        <f>IF(MB25_VOLUMETRIA[[#This Row],[EMPRESA]]="","",IF(OR(MB25_VOLUMETRIA[[#This Row],[EMPRESA]]="NET MASSIVO",MB25_VOLUMETRIA[[#This Row],[EMPRESA]]="NET PROJETOS"),"NET","EMPRESARIAL"))</f>
        <v>NET</v>
      </c>
    </row>
    <row r="1305" spans="1:15" x14ac:dyDescent="0.25">
      <c r="A1305" s="32">
        <v>4382429</v>
      </c>
      <c r="B1305" s="32" t="s">
        <v>21</v>
      </c>
      <c r="C1305" s="33" t="s">
        <v>21</v>
      </c>
      <c r="D1305" s="35">
        <v>45448</v>
      </c>
      <c r="E1305" s="32" t="s">
        <v>185</v>
      </c>
      <c r="F1305" s="32">
        <v>22025348</v>
      </c>
      <c r="G1305" s="32" t="s">
        <v>218</v>
      </c>
      <c r="H1305" s="26" t="s">
        <v>38</v>
      </c>
      <c r="I1305" s="36">
        <v>200</v>
      </c>
      <c r="J1305" s="32">
        <f>IF(MB25_VOLUMETRIA[[#This Row],[Reserva]]="","",1)</f>
        <v>1</v>
      </c>
      <c r="K1305" s="36" t="str">
        <f>IF(MB25_VOLUMETRIA[[#This Row],[Reserva]]="","",IFERROR(VLOOKUP(MB25_VOLUMETRIA[[#This Row],[UMB]],CHAVE[],2,FALSE),"VERIFICAR"))</f>
        <v>Unidade</v>
      </c>
      <c r="L13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5" s="32" t="str">
        <f ca="1">IFERROR(VLOOKUP(MB25_VOLUMETRIA[[#This Row],[Reserva]],RES_AB[],14,FALSE),"")</f>
        <v>PLANO DO DIA</v>
      </c>
      <c r="N1305" s="32" t="str">
        <f>IF(MB25_VOLUMETRIA[[#This Row],[Cen.]]="","",IFERROR(VLOOKUP(MB25_VOLUMETRIA[[#This Row],[Cen.]],Dados_Empresas[],2,FALSE),"Verificar empresa"))</f>
        <v>NET MASSIVO</v>
      </c>
      <c r="O1305" s="32" t="str">
        <f>IF(MB25_VOLUMETRIA[[#This Row],[EMPRESA]]="","",IF(OR(MB25_VOLUMETRIA[[#This Row],[EMPRESA]]="NET MASSIVO",MB25_VOLUMETRIA[[#This Row],[EMPRESA]]="NET PROJETOS"),"NET","EMPRESARIAL"))</f>
        <v>NET</v>
      </c>
    </row>
    <row r="1306" spans="1:15" x14ac:dyDescent="0.25">
      <c r="A1306" s="32">
        <v>4382429</v>
      </c>
      <c r="B1306" s="32" t="s">
        <v>21</v>
      </c>
      <c r="C1306" s="33" t="s">
        <v>21</v>
      </c>
      <c r="D1306" s="35">
        <v>45448</v>
      </c>
      <c r="E1306" s="32" t="s">
        <v>185</v>
      </c>
      <c r="F1306" s="32">
        <v>22025349</v>
      </c>
      <c r="G1306" s="32" t="s">
        <v>217</v>
      </c>
      <c r="H1306" s="26" t="s">
        <v>38</v>
      </c>
      <c r="I1306" s="36">
        <v>500</v>
      </c>
      <c r="J1306" s="32">
        <f>IF(MB25_VOLUMETRIA[[#This Row],[Reserva]]="","",1)</f>
        <v>1</v>
      </c>
      <c r="K1306" s="36" t="str">
        <f>IF(MB25_VOLUMETRIA[[#This Row],[Reserva]]="","",IFERROR(VLOOKUP(MB25_VOLUMETRIA[[#This Row],[UMB]],CHAVE[],2,FALSE),"VERIFICAR"))</f>
        <v>Unidade</v>
      </c>
      <c r="L13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6" s="32" t="str">
        <f ca="1">IFERROR(VLOOKUP(MB25_VOLUMETRIA[[#This Row],[Reserva]],RES_AB[],14,FALSE),"")</f>
        <v>PLANO DO DIA</v>
      </c>
      <c r="N1306" s="32" t="str">
        <f>IF(MB25_VOLUMETRIA[[#This Row],[Cen.]]="","",IFERROR(VLOOKUP(MB25_VOLUMETRIA[[#This Row],[Cen.]],Dados_Empresas[],2,FALSE),"Verificar empresa"))</f>
        <v>NET MASSIVO</v>
      </c>
      <c r="O1306" s="32" t="str">
        <f>IF(MB25_VOLUMETRIA[[#This Row],[EMPRESA]]="","",IF(OR(MB25_VOLUMETRIA[[#This Row],[EMPRESA]]="NET MASSIVO",MB25_VOLUMETRIA[[#This Row],[EMPRESA]]="NET PROJETOS"),"NET","EMPRESARIAL"))</f>
        <v>NET</v>
      </c>
    </row>
    <row r="1307" spans="1:15" x14ac:dyDescent="0.25">
      <c r="A1307" s="32">
        <v>4382429</v>
      </c>
      <c r="B1307" s="32" t="s">
        <v>21</v>
      </c>
      <c r="C1307" s="33" t="s">
        <v>21</v>
      </c>
      <c r="D1307" s="35">
        <v>45448</v>
      </c>
      <c r="E1307" s="32" t="s">
        <v>185</v>
      </c>
      <c r="F1307" s="32">
        <v>22026746</v>
      </c>
      <c r="G1307" s="32" t="s">
        <v>205</v>
      </c>
      <c r="H1307" s="26" t="s">
        <v>38</v>
      </c>
      <c r="I1307" s="36">
        <v>50</v>
      </c>
      <c r="J1307" s="32">
        <f>IF(MB25_VOLUMETRIA[[#This Row],[Reserva]]="","",1)</f>
        <v>1</v>
      </c>
      <c r="K1307" s="36" t="str">
        <f>IF(MB25_VOLUMETRIA[[#This Row],[Reserva]]="","",IFERROR(VLOOKUP(MB25_VOLUMETRIA[[#This Row],[UMB]],CHAVE[],2,FALSE),"VERIFICAR"))</f>
        <v>Unidade</v>
      </c>
      <c r="L13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7" s="32" t="str">
        <f ca="1">IFERROR(VLOOKUP(MB25_VOLUMETRIA[[#This Row],[Reserva]],RES_AB[],14,FALSE),"")</f>
        <v>PLANO DO DIA</v>
      </c>
      <c r="N1307" s="32" t="str">
        <f>IF(MB25_VOLUMETRIA[[#This Row],[Cen.]]="","",IFERROR(VLOOKUP(MB25_VOLUMETRIA[[#This Row],[Cen.]],Dados_Empresas[],2,FALSE),"Verificar empresa"))</f>
        <v>NET MASSIVO</v>
      </c>
      <c r="O1307" s="32" t="str">
        <f>IF(MB25_VOLUMETRIA[[#This Row],[EMPRESA]]="","",IF(OR(MB25_VOLUMETRIA[[#This Row],[EMPRESA]]="NET MASSIVO",MB25_VOLUMETRIA[[#This Row],[EMPRESA]]="NET PROJETOS"),"NET","EMPRESARIAL"))</f>
        <v>NET</v>
      </c>
    </row>
    <row r="1308" spans="1:15" x14ac:dyDescent="0.25">
      <c r="A1308" s="32">
        <v>4382429</v>
      </c>
      <c r="B1308" s="32" t="s">
        <v>21</v>
      </c>
      <c r="C1308" s="33" t="s">
        <v>21</v>
      </c>
      <c r="D1308" s="35">
        <v>45448</v>
      </c>
      <c r="E1308" s="32" t="s">
        <v>185</v>
      </c>
      <c r="F1308" s="32">
        <v>22026792</v>
      </c>
      <c r="G1308" s="32" t="s">
        <v>202</v>
      </c>
      <c r="H1308" s="26" t="s">
        <v>38</v>
      </c>
      <c r="I1308" s="36">
        <v>25</v>
      </c>
      <c r="J1308" s="32">
        <f>IF(MB25_VOLUMETRIA[[#This Row],[Reserva]]="","",1)</f>
        <v>1</v>
      </c>
      <c r="K1308" s="36" t="str">
        <f>IF(MB25_VOLUMETRIA[[#This Row],[Reserva]]="","",IFERROR(VLOOKUP(MB25_VOLUMETRIA[[#This Row],[UMB]],CHAVE[],2,FALSE),"VERIFICAR"))</f>
        <v>Unidade</v>
      </c>
      <c r="L13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8" s="32" t="str">
        <f ca="1">IFERROR(VLOOKUP(MB25_VOLUMETRIA[[#This Row],[Reserva]],RES_AB[],14,FALSE),"")</f>
        <v>PLANO DO DIA</v>
      </c>
      <c r="N1308" s="32" t="str">
        <f>IF(MB25_VOLUMETRIA[[#This Row],[Cen.]]="","",IFERROR(VLOOKUP(MB25_VOLUMETRIA[[#This Row],[Cen.]],Dados_Empresas[],2,FALSE),"Verificar empresa"))</f>
        <v>NET MASSIVO</v>
      </c>
      <c r="O1308" s="32" t="str">
        <f>IF(MB25_VOLUMETRIA[[#This Row],[EMPRESA]]="","",IF(OR(MB25_VOLUMETRIA[[#This Row],[EMPRESA]]="NET MASSIVO",MB25_VOLUMETRIA[[#This Row],[EMPRESA]]="NET PROJETOS"),"NET","EMPRESARIAL"))</f>
        <v>NET</v>
      </c>
    </row>
    <row r="1309" spans="1:15" x14ac:dyDescent="0.25">
      <c r="A1309" s="32">
        <v>4382429</v>
      </c>
      <c r="B1309" s="32" t="s">
        <v>21</v>
      </c>
      <c r="C1309" s="33" t="s">
        <v>21</v>
      </c>
      <c r="D1309" s="35">
        <v>45448</v>
      </c>
      <c r="E1309" s="32" t="s">
        <v>185</v>
      </c>
      <c r="F1309" s="32">
        <v>22026809</v>
      </c>
      <c r="G1309" s="32" t="s">
        <v>231</v>
      </c>
      <c r="H1309" s="26" t="s">
        <v>38</v>
      </c>
      <c r="I1309" s="36">
        <v>50</v>
      </c>
      <c r="J1309" s="32">
        <f>IF(MB25_VOLUMETRIA[[#This Row],[Reserva]]="","",1)</f>
        <v>1</v>
      </c>
      <c r="K1309" s="36" t="str">
        <f>IF(MB25_VOLUMETRIA[[#This Row],[Reserva]]="","",IFERROR(VLOOKUP(MB25_VOLUMETRIA[[#This Row],[UMB]],CHAVE[],2,FALSE),"VERIFICAR"))</f>
        <v>Unidade</v>
      </c>
      <c r="L13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09" s="32" t="str">
        <f ca="1">IFERROR(VLOOKUP(MB25_VOLUMETRIA[[#This Row],[Reserva]],RES_AB[],14,FALSE),"")</f>
        <v>PLANO DO DIA</v>
      </c>
      <c r="N1309" s="32" t="str">
        <f>IF(MB25_VOLUMETRIA[[#This Row],[Cen.]]="","",IFERROR(VLOOKUP(MB25_VOLUMETRIA[[#This Row],[Cen.]],Dados_Empresas[],2,FALSE),"Verificar empresa"))</f>
        <v>NET MASSIVO</v>
      </c>
      <c r="O1309" s="32" t="str">
        <f>IF(MB25_VOLUMETRIA[[#This Row],[EMPRESA]]="","",IF(OR(MB25_VOLUMETRIA[[#This Row],[EMPRESA]]="NET MASSIVO",MB25_VOLUMETRIA[[#This Row],[EMPRESA]]="NET PROJETOS"),"NET","EMPRESARIAL"))</f>
        <v>NET</v>
      </c>
    </row>
    <row r="1310" spans="1:15" x14ac:dyDescent="0.25">
      <c r="A1310" s="32">
        <v>4382429</v>
      </c>
      <c r="B1310" s="32" t="s">
        <v>21</v>
      </c>
      <c r="C1310" s="33" t="s">
        <v>21</v>
      </c>
      <c r="D1310" s="35">
        <v>45448</v>
      </c>
      <c r="E1310" s="32" t="s">
        <v>185</v>
      </c>
      <c r="F1310" s="32">
        <v>22056332</v>
      </c>
      <c r="G1310" s="32" t="s">
        <v>207</v>
      </c>
      <c r="H1310" s="26" t="s">
        <v>38</v>
      </c>
      <c r="I1310" s="36">
        <v>6</v>
      </c>
      <c r="J1310" s="32">
        <f>IF(MB25_VOLUMETRIA[[#This Row],[Reserva]]="","",1)</f>
        <v>1</v>
      </c>
      <c r="K1310" s="36" t="str">
        <f>IF(MB25_VOLUMETRIA[[#This Row],[Reserva]]="","",IFERROR(VLOOKUP(MB25_VOLUMETRIA[[#This Row],[UMB]],CHAVE[],2,FALSE),"VERIFICAR"))</f>
        <v>Unidade</v>
      </c>
      <c r="L13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0" s="32" t="str">
        <f ca="1">IFERROR(VLOOKUP(MB25_VOLUMETRIA[[#This Row],[Reserva]],RES_AB[],14,FALSE),"")</f>
        <v>PLANO DO DIA</v>
      </c>
      <c r="N1310" s="32" t="str">
        <f>IF(MB25_VOLUMETRIA[[#This Row],[Cen.]]="","",IFERROR(VLOOKUP(MB25_VOLUMETRIA[[#This Row],[Cen.]],Dados_Empresas[],2,FALSE),"Verificar empresa"))</f>
        <v>NET MASSIVO</v>
      </c>
      <c r="O1310" s="32" t="str">
        <f>IF(MB25_VOLUMETRIA[[#This Row],[EMPRESA]]="","",IF(OR(MB25_VOLUMETRIA[[#This Row],[EMPRESA]]="NET MASSIVO",MB25_VOLUMETRIA[[#This Row],[EMPRESA]]="NET PROJETOS"),"NET","EMPRESARIAL"))</f>
        <v>NET</v>
      </c>
    </row>
    <row r="1311" spans="1:15" x14ac:dyDescent="0.25">
      <c r="A1311" s="32">
        <v>4382429</v>
      </c>
      <c r="B1311" s="32" t="s">
        <v>21</v>
      </c>
      <c r="C1311" s="33" t="s">
        <v>21</v>
      </c>
      <c r="D1311" s="35">
        <v>45448</v>
      </c>
      <c r="E1311" s="32" t="s">
        <v>185</v>
      </c>
      <c r="F1311" s="32">
        <v>22056359</v>
      </c>
      <c r="G1311" s="32" t="s">
        <v>203</v>
      </c>
      <c r="H1311" s="26" t="s">
        <v>38</v>
      </c>
      <c r="I1311" s="36">
        <v>8</v>
      </c>
      <c r="J1311" s="32">
        <f>IF(MB25_VOLUMETRIA[[#This Row],[Reserva]]="","",1)</f>
        <v>1</v>
      </c>
      <c r="K1311" s="36" t="str">
        <f>IF(MB25_VOLUMETRIA[[#This Row],[Reserva]]="","",IFERROR(VLOOKUP(MB25_VOLUMETRIA[[#This Row],[UMB]],CHAVE[],2,FALSE),"VERIFICAR"))</f>
        <v>Unidade</v>
      </c>
      <c r="L13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1" s="32" t="str">
        <f ca="1">IFERROR(VLOOKUP(MB25_VOLUMETRIA[[#This Row],[Reserva]],RES_AB[],14,FALSE),"")</f>
        <v>PLANO DO DIA</v>
      </c>
      <c r="N1311" s="32" t="str">
        <f>IF(MB25_VOLUMETRIA[[#This Row],[Cen.]]="","",IFERROR(VLOOKUP(MB25_VOLUMETRIA[[#This Row],[Cen.]],Dados_Empresas[],2,FALSE),"Verificar empresa"))</f>
        <v>NET MASSIVO</v>
      </c>
      <c r="O1311" s="32" t="str">
        <f>IF(MB25_VOLUMETRIA[[#This Row],[EMPRESA]]="","",IF(OR(MB25_VOLUMETRIA[[#This Row],[EMPRESA]]="NET MASSIVO",MB25_VOLUMETRIA[[#This Row],[EMPRESA]]="NET PROJETOS"),"NET","EMPRESARIAL"))</f>
        <v>NET</v>
      </c>
    </row>
    <row r="1312" spans="1:15" x14ac:dyDescent="0.25">
      <c r="A1312" s="32">
        <v>4382429</v>
      </c>
      <c r="B1312" s="32" t="s">
        <v>21</v>
      </c>
      <c r="C1312" s="33" t="s">
        <v>21</v>
      </c>
      <c r="D1312" s="35">
        <v>45448</v>
      </c>
      <c r="E1312" s="32" t="s">
        <v>185</v>
      </c>
      <c r="F1312" s="32">
        <v>22057635</v>
      </c>
      <c r="G1312" s="32" t="s">
        <v>223</v>
      </c>
      <c r="H1312" s="26" t="s">
        <v>38</v>
      </c>
      <c r="I1312" s="36">
        <v>400</v>
      </c>
      <c r="J1312" s="32">
        <f>IF(MB25_VOLUMETRIA[[#This Row],[Reserva]]="","",1)</f>
        <v>1</v>
      </c>
      <c r="K1312" s="36" t="str">
        <f>IF(MB25_VOLUMETRIA[[#This Row],[Reserva]]="","",IFERROR(VLOOKUP(MB25_VOLUMETRIA[[#This Row],[UMB]],CHAVE[],2,FALSE),"VERIFICAR"))</f>
        <v>Unidade</v>
      </c>
      <c r="L13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2" s="32" t="str">
        <f ca="1">IFERROR(VLOOKUP(MB25_VOLUMETRIA[[#This Row],[Reserva]],RES_AB[],14,FALSE),"")</f>
        <v>PLANO DO DIA</v>
      </c>
      <c r="N1312" s="32" t="str">
        <f>IF(MB25_VOLUMETRIA[[#This Row],[Cen.]]="","",IFERROR(VLOOKUP(MB25_VOLUMETRIA[[#This Row],[Cen.]],Dados_Empresas[],2,FALSE),"Verificar empresa"))</f>
        <v>NET MASSIVO</v>
      </c>
      <c r="O1312" s="32" t="str">
        <f>IF(MB25_VOLUMETRIA[[#This Row],[EMPRESA]]="","",IF(OR(MB25_VOLUMETRIA[[#This Row],[EMPRESA]]="NET MASSIVO",MB25_VOLUMETRIA[[#This Row],[EMPRESA]]="NET PROJETOS"),"NET","EMPRESARIAL"))</f>
        <v>NET</v>
      </c>
    </row>
    <row r="1313" spans="1:15" x14ac:dyDescent="0.25">
      <c r="A1313" s="32">
        <v>4382429</v>
      </c>
      <c r="B1313" s="32" t="s">
        <v>21</v>
      </c>
      <c r="C1313" s="33" t="s">
        <v>21</v>
      </c>
      <c r="D1313" s="35">
        <v>45448</v>
      </c>
      <c r="E1313" s="32" t="s">
        <v>185</v>
      </c>
      <c r="F1313" s="32">
        <v>22057658</v>
      </c>
      <c r="G1313" s="32" t="s">
        <v>229</v>
      </c>
      <c r="H1313" s="26" t="s">
        <v>38</v>
      </c>
      <c r="I1313" s="36">
        <v>20</v>
      </c>
      <c r="J1313" s="32">
        <f>IF(MB25_VOLUMETRIA[[#This Row],[Reserva]]="","",1)</f>
        <v>1</v>
      </c>
      <c r="K1313" s="36" t="str">
        <f>IF(MB25_VOLUMETRIA[[#This Row],[Reserva]]="","",IFERROR(VLOOKUP(MB25_VOLUMETRIA[[#This Row],[UMB]],CHAVE[],2,FALSE),"VERIFICAR"))</f>
        <v>Unidade</v>
      </c>
      <c r="L13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3" s="32" t="str">
        <f ca="1">IFERROR(VLOOKUP(MB25_VOLUMETRIA[[#This Row],[Reserva]],RES_AB[],14,FALSE),"")</f>
        <v>PLANO DO DIA</v>
      </c>
      <c r="N1313" s="32" t="str">
        <f>IF(MB25_VOLUMETRIA[[#This Row],[Cen.]]="","",IFERROR(VLOOKUP(MB25_VOLUMETRIA[[#This Row],[Cen.]],Dados_Empresas[],2,FALSE),"Verificar empresa"))</f>
        <v>NET MASSIVO</v>
      </c>
      <c r="O1313" s="32" t="str">
        <f>IF(MB25_VOLUMETRIA[[#This Row],[EMPRESA]]="","",IF(OR(MB25_VOLUMETRIA[[#This Row],[EMPRESA]]="NET MASSIVO",MB25_VOLUMETRIA[[#This Row],[EMPRESA]]="NET PROJETOS"),"NET","EMPRESARIAL"))</f>
        <v>NET</v>
      </c>
    </row>
    <row r="1314" spans="1:15" x14ac:dyDescent="0.25">
      <c r="A1314" s="32">
        <v>4382429</v>
      </c>
      <c r="B1314" s="32" t="s">
        <v>21</v>
      </c>
      <c r="C1314" s="33" t="s">
        <v>21</v>
      </c>
      <c r="D1314" s="35">
        <v>45448</v>
      </c>
      <c r="E1314" s="32" t="s">
        <v>185</v>
      </c>
      <c r="F1314" s="32">
        <v>22057659</v>
      </c>
      <c r="G1314" s="32" t="s">
        <v>224</v>
      </c>
      <c r="H1314" s="26" t="s">
        <v>38</v>
      </c>
      <c r="I1314" s="36">
        <v>140</v>
      </c>
      <c r="J1314" s="32">
        <f>IF(MB25_VOLUMETRIA[[#This Row],[Reserva]]="","",1)</f>
        <v>1</v>
      </c>
      <c r="K1314" s="36" t="str">
        <f>IF(MB25_VOLUMETRIA[[#This Row],[Reserva]]="","",IFERROR(VLOOKUP(MB25_VOLUMETRIA[[#This Row],[UMB]],CHAVE[],2,FALSE),"VERIFICAR"))</f>
        <v>Unidade</v>
      </c>
      <c r="L13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4" s="32" t="str">
        <f ca="1">IFERROR(VLOOKUP(MB25_VOLUMETRIA[[#This Row],[Reserva]],RES_AB[],14,FALSE),"")</f>
        <v>PLANO DO DIA</v>
      </c>
      <c r="N1314" s="32" t="str">
        <f>IF(MB25_VOLUMETRIA[[#This Row],[Cen.]]="","",IFERROR(VLOOKUP(MB25_VOLUMETRIA[[#This Row],[Cen.]],Dados_Empresas[],2,FALSE),"Verificar empresa"))</f>
        <v>NET MASSIVO</v>
      </c>
      <c r="O1314" s="32" t="str">
        <f>IF(MB25_VOLUMETRIA[[#This Row],[EMPRESA]]="","",IF(OR(MB25_VOLUMETRIA[[#This Row],[EMPRESA]]="NET MASSIVO",MB25_VOLUMETRIA[[#This Row],[EMPRESA]]="NET PROJETOS"),"NET","EMPRESARIAL"))</f>
        <v>NET</v>
      </c>
    </row>
    <row r="1315" spans="1:15" x14ac:dyDescent="0.25">
      <c r="A1315" s="32">
        <v>4382429</v>
      </c>
      <c r="B1315" s="32" t="s">
        <v>21</v>
      </c>
      <c r="C1315" s="33" t="s">
        <v>21</v>
      </c>
      <c r="D1315" s="35">
        <v>45448</v>
      </c>
      <c r="E1315" s="32" t="s">
        <v>185</v>
      </c>
      <c r="F1315" s="32">
        <v>22061811</v>
      </c>
      <c r="G1315" s="32" t="s">
        <v>226</v>
      </c>
      <c r="H1315" s="26" t="s">
        <v>38</v>
      </c>
      <c r="I1315" s="36">
        <v>50</v>
      </c>
      <c r="J1315" s="32">
        <f>IF(MB25_VOLUMETRIA[[#This Row],[Reserva]]="","",1)</f>
        <v>1</v>
      </c>
      <c r="K1315" s="36" t="str">
        <f>IF(MB25_VOLUMETRIA[[#This Row],[Reserva]]="","",IFERROR(VLOOKUP(MB25_VOLUMETRIA[[#This Row],[UMB]],CHAVE[],2,FALSE),"VERIFICAR"))</f>
        <v>Unidade</v>
      </c>
      <c r="L13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5" s="32" t="str">
        <f ca="1">IFERROR(VLOOKUP(MB25_VOLUMETRIA[[#This Row],[Reserva]],RES_AB[],14,FALSE),"")</f>
        <v>PLANO DO DIA</v>
      </c>
      <c r="N1315" s="32" t="str">
        <f>IF(MB25_VOLUMETRIA[[#This Row],[Cen.]]="","",IFERROR(VLOOKUP(MB25_VOLUMETRIA[[#This Row],[Cen.]],Dados_Empresas[],2,FALSE),"Verificar empresa"))</f>
        <v>NET MASSIVO</v>
      </c>
      <c r="O1315" s="32" t="str">
        <f>IF(MB25_VOLUMETRIA[[#This Row],[EMPRESA]]="","",IF(OR(MB25_VOLUMETRIA[[#This Row],[EMPRESA]]="NET MASSIVO",MB25_VOLUMETRIA[[#This Row],[EMPRESA]]="NET PROJETOS"),"NET","EMPRESARIAL"))</f>
        <v>NET</v>
      </c>
    </row>
    <row r="1316" spans="1:15" x14ac:dyDescent="0.25">
      <c r="A1316" s="32">
        <v>4382429</v>
      </c>
      <c r="B1316" s="32" t="s">
        <v>21</v>
      </c>
      <c r="C1316" s="33" t="s">
        <v>21</v>
      </c>
      <c r="D1316" s="35">
        <v>45448</v>
      </c>
      <c r="E1316" s="32" t="s">
        <v>185</v>
      </c>
      <c r="F1316" s="32">
        <v>22062003</v>
      </c>
      <c r="G1316" s="32" t="s">
        <v>249</v>
      </c>
      <c r="H1316" s="26" t="s">
        <v>38</v>
      </c>
      <c r="I1316" s="36">
        <v>6</v>
      </c>
      <c r="J1316" s="32">
        <f>IF(MB25_VOLUMETRIA[[#This Row],[Reserva]]="","",1)</f>
        <v>1</v>
      </c>
      <c r="K1316" s="36" t="str">
        <f>IF(MB25_VOLUMETRIA[[#This Row],[Reserva]]="","",IFERROR(VLOOKUP(MB25_VOLUMETRIA[[#This Row],[UMB]],CHAVE[],2,FALSE),"VERIFICAR"))</f>
        <v>Unidade</v>
      </c>
      <c r="L13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6" s="32" t="str">
        <f ca="1">IFERROR(VLOOKUP(MB25_VOLUMETRIA[[#This Row],[Reserva]],RES_AB[],14,FALSE),"")</f>
        <v>PLANO DO DIA</v>
      </c>
      <c r="N1316" s="32" t="str">
        <f>IF(MB25_VOLUMETRIA[[#This Row],[Cen.]]="","",IFERROR(VLOOKUP(MB25_VOLUMETRIA[[#This Row],[Cen.]],Dados_Empresas[],2,FALSE),"Verificar empresa"))</f>
        <v>NET MASSIVO</v>
      </c>
      <c r="O1316" s="32" t="str">
        <f>IF(MB25_VOLUMETRIA[[#This Row],[EMPRESA]]="","",IF(OR(MB25_VOLUMETRIA[[#This Row],[EMPRESA]]="NET MASSIVO",MB25_VOLUMETRIA[[#This Row],[EMPRESA]]="NET PROJETOS"),"NET","EMPRESARIAL"))</f>
        <v>NET</v>
      </c>
    </row>
    <row r="1317" spans="1:15" x14ac:dyDescent="0.25">
      <c r="A1317" s="32">
        <v>4382429</v>
      </c>
      <c r="B1317" s="32" t="s">
        <v>21</v>
      </c>
      <c r="C1317" s="33" t="s">
        <v>21</v>
      </c>
      <c r="D1317" s="35">
        <v>45448</v>
      </c>
      <c r="E1317" s="32" t="s">
        <v>185</v>
      </c>
      <c r="F1317" s="32">
        <v>22062004</v>
      </c>
      <c r="G1317" s="32" t="s">
        <v>250</v>
      </c>
      <c r="H1317" s="26" t="s">
        <v>38</v>
      </c>
      <c r="I1317" s="36">
        <v>4</v>
      </c>
      <c r="J1317" s="32">
        <f>IF(MB25_VOLUMETRIA[[#This Row],[Reserva]]="","",1)</f>
        <v>1</v>
      </c>
      <c r="K1317" s="36" t="str">
        <f>IF(MB25_VOLUMETRIA[[#This Row],[Reserva]]="","",IFERROR(VLOOKUP(MB25_VOLUMETRIA[[#This Row],[UMB]],CHAVE[],2,FALSE),"VERIFICAR"))</f>
        <v>Unidade</v>
      </c>
      <c r="L13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7" s="32" t="str">
        <f ca="1">IFERROR(VLOOKUP(MB25_VOLUMETRIA[[#This Row],[Reserva]],RES_AB[],14,FALSE),"")</f>
        <v>PLANO DO DIA</v>
      </c>
      <c r="N1317" s="32" t="str">
        <f>IF(MB25_VOLUMETRIA[[#This Row],[Cen.]]="","",IFERROR(VLOOKUP(MB25_VOLUMETRIA[[#This Row],[Cen.]],Dados_Empresas[],2,FALSE),"Verificar empresa"))</f>
        <v>NET MASSIVO</v>
      </c>
      <c r="O1317" s="32" t="str">
        <f>IF(MB25_VOLUMETRIA[[#This Row],[EMPRESA]]="","",IF(OR(MB25_VOLUMETRIA[[#This Row],[EMPRESA]]="NET MASSIVO",MB25_VOLUMETRIA[[#This Row],[EMPRESA]]="NET PROJETOS"),"NET","EMPRESARIAL"))</f>
        <v>NET</v>
      </c>
    </row>
    <row r="1318" spans="1:15" x14ac:dyDescent="0.25">
      <c r="A1318" s="32">
        <v>4382429</v>
      </c>
      <c r="B1318" s="32" t="s">
        <v>21</v>
      </c>
      <c r="C1318" s="33" t="s">
        <v>21</v>
      </c>
      <c r="D1318" s="35">
        <v>45448</v>
      </c>
      <c r="E1318" s="32" t="s">
        <v>185</v>
      </c>
      <c r="F1318" s="32">
        <v>22066517</v>
      </c>
      <c r="G1318" s="32" t="s">
        <v>325</v>
      </c>
      <c r="H1318" s="26" t="s">
        <v>38</v>
      </c>
      <c r="I1318" s="36">
        <v>150</v>
      </c>
      <c r="J1318" s="32">
        <f>IF(MB25_VOLUMETRIA[[#This Row],[Reserva]]="","",1)</f>
        <v>1</v>
      </c>
      <c r="K1318" s="36" t="str">
        <f>IF(MB25_VOLUMETRIA[[#This Row],[Reserva]]="","",IFERROR(VLOOKUP(MB25_VOLUMETRIA[[#This Row],[UMB]],CHAVE[],2,FALSE),"VERIFICAR"))</f>
        <v>Unidade</v>
      </c>
      <c r="L13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8" s="32" t="str">
        <f ca="1">IFERROR(VLOOKUP(MB25_VOLUMETRIA[[#This Row],[Reserva]],RES_AB[],14,FALSE),"")</f>
        <v>PLANO DO DIA</v>
      </c>
      <c r="N1318" s="32" t="str">
        <f>IF(MB25_VOLUMETRIA[[#This Row],[Cen.]]="","",IFERROR(VLOOKUP(MB25_VOLUMETRIA[[#This Row],[Cen.]],Dados_Empresas[],2,FALSE),"Verificar empresa"))</f>
        <v>NET MASSIVO</v>
      </c>
      <c r="O1318" s="32" t="str">
        <f>IF(MB25_VOLUMETRIA[[#This Row],[EMPRESA]]="","",IF(OR(MB25_VOLUMETRIA[[#This Row],[EMPRESA]]="NET MASSIVO",MB25_VOLUMETRIA[[#This Row],[EMPRESA]]="NET PROJETOS"),"NET","EMPRESARIAL"))</f>
        <v>NET</v>
      </c>
    </row>
    <row r="1319" spans="1:15" x14ac:dyDescent="0.25">
      <c r="A1319" s="32">
        <v>4382430</v>
      </c>
      <c r="B1319" s="32" t="s">
        <v>21</v>
      </c>
      <c r="C1319" s="33" t="s">
        <v>182</v>
      </c>
      <c r="D1319" s="35">
        <v>45448</v>
      </c>
      <c r="E1319" s="32" t="s">
        <v>184</v>
      </c>
      <c r="F1319" s="32">
        <v>41001530</v>
      </c>
      <c r="G1319" s="32" t="s">
        <v>319</v>
      </c>
      <c r="H1319" s="26" t="s">
        <v>38</v>
      </c>
      <c r="I1319" s="36">
        <v>20</v>
      </c>
      <c r="J1319" s="32">
        <f>IF(MB25_VOLUMETRIA[[#This Row],[Reserva]]="","",1)</f>
        <v>1</v>
      </c>
      <c r="K1319" s="36" t="str">
        <f>IF(MB25_VOLUMETRIA[[#This Row],[Reserva]]="","",IFERROR(VLOOKUP(MB25_VOLUMETRIA[[#This Row],[UMB]],CHAVE[],2,FALSE),"VERIFICAR"))</f>
        <v>Unidade</v>
      </c>
      <c r="L13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19" s="32" t="str">
        <f ca="1">IFERROR(VLOOKUP(MB25_VOLUMETRIA[[#This Row],[Reserva]],RES_AB[],14,FALSE),"")</f>
        <v>PLANO DO DIA</v>
      </c>
      <c r="N1319" s="32" t="str">
        <f>IF(MB25_VOLUMETRIA[[#This Row],[Cen.]]="","",IFERROR(VLOOKUP(MB25_VOLUMETRIA[[#This Row],[Cen.]],Dados_Empresas[],2,FALSE),"Verificar empresa"))</f>
        <v>NET MASSIVO</v>
      </c>
      <c r="O1319" s="32" t="str">
        <f>IF(MB25_VOLUMETRIA[[#This Row],[EMPRESA]]="","",IF(OR(MB25_VOLUMETRIA[[#This Row],[EMPRESA]]="NET MASSIVO",MB25_VOLUMETRIA[[#This Row],[EMPRESA]]="NET PROJETOS"),"NET","EMPRESARIAL"))</f>
        <v>NET</v>
      </c>
    </row>
    <row r="1320" spans="1:15" x14ac:dyDescent="0.25">
      <c r="A1320" s="32">
        <v>4382430</v>
      </c>
      <c r="B1320" s="32" t="s">
        <v>21</v>
      </c>
      <c r="C1320" s="33" t="s">
        <v>21</v>
      </c>
      <c r="D1320" s="35">
        <v>45448</v>
      </c>
      <c r="E1320" s="32" t="s">
        <v>184</v>
      </c>
      <c r="F1320" s="32">
        <v>41001553</v>
      </c>
      <c r="G1320" s="32" t="s">
        <v>295</v>
      </c>
      <c r="H1320" s="26" t="s">
        <v>38</v>
      </c>
      <c r="I1320" s="36">
        <v>60</v>
      </c>
      <c r="J1320" s="32">
        <f>IF(MB25_VOLUMETRIA[[#This Row],[Reserva]]="","",1)</f>
        <v>1</v>
      </c>
      <c r="K1320" s="36" t="str">
        <f>IF(MB25_VOLUMETRIA[[#This Row],[Reserva]]="","",IFERROR(VLOOKUP(MB25_VOLUMETRIA[[#This Row],[UMB]],CHAVE[],2,FALSE),"VERIFICAR"))</f>
        <v>Unidade</v>
      </c>
      <c r="L13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0" s="32" t="str">
        <f ca="1">IFERROR(VLOOKUP(MB25_VOLUMETRIA[[#This Row],[Reserva]],RES_AB[],14,FALSE),"")</f>
        <v>PLANO DO DIA</v>
      </c>
      <c r="N1320" s="32" t="str">
        <f>IF(MB25_VOLUMETRIA[[#This Row],[Cen.]]="","",IFERROR(VLOOKUP(MB25_VOLUMETRIA[[#This Row],[Cen.]],Dados_Empresas[],2,FALSE),"Verificar empresa"))</f>
        <v>NET MASSIVO</v>
      </c>
      <c r="O1320" s="32" t="str">
        <f>IF(MB25_VOLUMETRIA[[#This Row],[EMPRESA]]="","",IF(OR(MB25_VOLUMETRIA[[#This Row],[EMPRESA]]="NET MASSIVO",MB25_VOLUMETRIA[[#This Row],[EMPRESA]]="NET PROJETOS"),"NET","EMPRESARIAL"))</f>
        <v>NET</v>
      </c>
    </row>
    <row r="1321" spans="1:15" x14ac:dyDescent="0.25">
      <c r="A1321" s="32">
        <v>4382431</v>
      </c>
      <c r="B1321" s="32" t="s">
        <v>21</v>
      </c>
      <c r="C1321" s="33" t="s">
        <v>21</v>
      </c>
      <c r="D1321" s="35">
        <v>45448</v>
      </c>
      <c r="E1321" s="32" t="s">
        <v>185</v>
      </c>
      <c r="F1321" s="32">
        <v>22026189</v>
      </c>
      <c r="G1321" s="32" t="s">
        <v>200</v>
      </c>
      <c r="H1321" s="26" t="s">
        <v>38</v>
      </c>
      <c r="I1321" s="36">
        <v>700</v>
      </c>
      <c r="J1321" s="32">
        <f>IF(MB25_VOLUMETRIA[[#This Row],[Reserva]]="","",1)</f>
        <v>1</v>
      </c>
      <c r="K1321" s="36" t="str">
        <f>IF(MB25_VOLUMETRIA[[#This Row],[Reserva]]="","",IFERROR(VLOOKUP(MB25_VOLUMETRIA[[#This Row],[UMB]],CHAVE[],2,FALSE),"VERIFICAR"))</f>
        <v>Unidade</v>
      </c>
      <c r="L13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1" s="32" t="str">
        <f ca="1">IFERROR(VLOOKUP(MB25_VOLUMETRIA[[#This Row],[Reserva]],RES_AB[],14,FALSE),"")</f>
        <v>PLANO DO DIA</v>
      </c>
      <c r="N1321" s="32" t="str">
        <f>IF(MB25_VOLUMETRIA[[#This Row],[Cen.]]="","",IFERROR(VLOOKUP(MB25_VOLUMETRIA[[#This Row],[Cen.]],Dados_Empresas[],2,FALSE),"Verificar empresa"))</f>
        <v>NET MASSIVO</v>
      </c>
      <c r="O1321" s="32" t="str">
        <f>IF(MB25_VOLUMETRIA[[#This Row],[EMPRESA]]="","",IF(OR(MB25_VOLUMETRIA[[#This Row],[EMPRESA]]="NET MASSIVO",MB25_VOLUMETRIA[[#This Row],[EMPRESA]]="NET PROJETOS"),"NET","EMPRESARIAL"))</f>
        <v>NET</v>
      </c>
    </row>
    <row r="1322" spans="1:15" x14ac:dyDescent="0.25">
      <c r="A1322" s="32">
        <v>4382431</v>
      </c>
      <c r="B1322" s="32" t="s">
        <v>21</v>
      </c>
      <c r="C1322" s="33" t="s">
        <v>21</v>
      </c>
      <c r="D1322" s="35">
        <v>45448</v>
      </c>
      <c r="E1322" s="32" t="s">
        <v>185</v>
      </c>
      <c r="F1322" s="32">
        <v>22026219</v>
      </c>
      <c r="G1322" s="32" t="s">
        <v>221</v>
      </c>
      <c r="H1322" s="26" t="s">
        <v>38</v>
      </c>
      <c r="I1322" s="36">
        <v>1500</v>
      </c>
      <c r="J1322" s="32">
        <f>IF(MB25_VOLUMETRIA[[#This Row],[Reserva]]="","",1)</f>
        <v>1</v>
      </c>
      <c r="K1322" s="36" t="str">
        <f>IF(MB25_VOLUMETRIA[[#This Row],[Reserva]]="","",IFERROR(VLOOKUP(MB25_VOLUMETRIA[[#This Row],[UMB]],CHAVE[],2,FALSE),"VERIFICAR"))</f>
        <v>Unidade</v>
      </c>
      <c r="L13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2" s="32" t="str">
        <f ca="1">IFERROR(VLOOKUP(MB25_VOLUMETRIA[[#This Row],[Reserva]],RES_AB[],14,FALSE),"")</f>
        <v>PLANO DO DIA</v>
      </c>
      <c r="N1322" s="32" t="str">
        <f>IF(MB25_VOLUMETRIA[[#This Row],[Cen.]]="","",IFERROR(VLOOKUP(MB25_VOLUMETRIA[[#This Row],[Cen.]],Dados_Empresas[],2,FALSE),"Verificar empresa"))</f>
        <v>NET MASSIVO</v>
      </c>
      <c r="O1322" s="32" t="str">
        <f>IF(MB25_VOLUMETRIA[[#This Row],[EMPRESA]]="","",IF(OR(MB25_VOLUMETRIA[[#This Row],[EMPRESA]]="NET MASSIVO",MB25_VOLUMETRIA[[#This Row],[EMPRESA]]="NET PROJETOS"),"NET","EMPRESARIAL"))</f>
        <v>NET</v>
      </c>
    </row>
    <row r="1323" spans="1:15" x14ac:dyDescent="0.25">
      <c r="A1323" s="32">
        <v>4382431</v>
      </c>
      <c r="B1323" s="32" t="s">
        <v>21</v>
      </c>
      <c r="C1323" s="33" t="s">
        <v>21</v>
      </c>
      <c r="D1323" s="35">
        <v>45448</v>
      </c>
      <c r="E1323" s="32" t="s">
        <v>185</v>
      </c>
      <c r="F1323" s="32">
        <v>22026223</v>
      </c>
      <c r="G1323" s="32" t="s">
        <v>195</v>
      </c>
      <c r="H1323" s="26" t="s">
        <v>38</v>
      </c>
      <c r="I1323" s="36">
        <v>2440</v>
      </c>
      <c r="J1323" s="32">
        <f>IF(MB25_VOLUMETRIA[[#This Row],[Reserva]]="","",1)</f>
        <v>1</v>
      </c>
      <c r="K1323" s="36" t="str">
        <f>IF(MB25_VOLUMETRIA[[#This Row],[Reserva]]="","",IFERROR(VLOOKUP(MB25_VOLUMETRIA[[#This Row],[UMB]],CHAVE[],2,FALSE),"VERIFICAR"))</f>
        <v>Unidade</v>
      </c>
      <c r="L13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3" s="32" t="str">
        <f ca="1">IFERROR(VLOOKUP(MB25_VOLUMETRIA[[#This Row],[Reserva]],RES_AB[],14,FALSE),"")</f>
        <v>PLANO DO DIA</v>
      </c>
      <c r="N1323" s="32" t="str">
        <f>IF(MB25_VOLUMETRIA[[#This Row],[Cen.]]="","",IFERROR(VLOOKUP(MB25_VOLUMETRIA[[#This Row],[Cen.]],Dados_Empresas[],2,FALSE),"Verificar empresa"))</f>
        <v>NET MASSIVO</v>
      </c>
      <c r="O1323" s="32" t="str">
        <f>IF(MB25_VOLUMETRIA[[#This Row],[EMPRESA]]="","",IF(OR(MB25_VOLUMETRIA[[#This Row],[EMPRESA]]="NET MASSIVO",MB25_VOLUMETRIA[[#This Row],[EMPRESA]]="NET PROJETOS"),"NET","EMPRESARIAL"))</f>
        <v>NET</v>
      </c>
    </row>
    <row r="1324" spans="1:15" x14ac:dyDescent="0.25">
      <c r="A1324" s="32">
        <v>4382431</v>
      </c>
      <c r="B1324" s="32" t="s">
        <v>21</v>
      </c>
      <c r="C1324" s="33" t="s">
        <v>21</v>
      </c>
      <c r="D1324" s="35">
        <v>45448</v>
      </c>
      <c r="E1324" s="32" t="s">
        <v>185</v>
      </c>
      <c r="F1324" s="32">
        <v>22026772</v>
      </c>
      <c r="G1324" s="32" t="s">
        <v>201</v>
      </c>
      <c r="H1324" s="26" t="s">
        <v>38</v>
      </c>
      <c r="I1324" s="36">
        <v>25</v>
      </c>
      <c r="J1324" s="32">
        <f>IF(MB25_VOLUMETRIA[[#This Row],[Reserva]]="","",1)</f>
        <v>1</v>
      </c>
      <c r="K1324" s="36" t="str">
        <f>IF(MB25_VOLUMETRIA[[#This Row],[Reserva]]="","",IFERROR(VLOOKUP(MB25_VOLUMETRIA[[#This Row],[UMB]],CHAVE[],2,FALSE),"VERIFICAR"))</f>
        <v>Unidade</v>
      </c>
      <c r="L13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4" s="32" t="str">
        <f ca="1">IFERROR(VLOOKUP(MB25_VOLUMETRIA[[#This Row],[Reserva]],RES_AB[],14,FALSE),"")</f>
        <v>PLANO DO DIA</v>
      </c>
      <c r="N1324" s="32" t="str">
        <f>IF(MB25_VOLUMETRIA[[#This Row],[Cen.]]="","",IFERROR(VLOOKUP(MB25_VOLUMETRIA[[#This Row],[Cen.]],Dados_Empresas[],2,FALSE),"Verificar empresa"))</f>
        <v>NET MASSIVO</v>
      </c>
      <c r="O1324" s="32" t="str">
        <f>IF(MB25_VOLUMETRIA[[#This Row],[EMPRESA]]="","",IF(OR(MB25_VOLUMETRIA[[#This Row],[EMPRESA]]="NET MASSIVO",MB25_VOLUMETRIA[[#This Row],[EMPRESA]]="NET PROJETOS"),"NET","EMPRESARIAL"))</f>
        <v>NET</v>
      </c>
    </row>
    <row r="1325" spans="1:15" x14ac:dyDescent="0.25">
      <c r="A1325" s="32">
        <v>4382432</v>
      </c>
      <c r="B1325" s="32" t="s">
        <v>21</v>
      </c>
      <c r="C1325" s="33" t="s">
        <v>182</v>
      </c>
      <c r="D1325" s="35">
        <v>45448</v>
      </c>
      <c r="E1325" s="32" t="s">
        <v>184</v>
      </c>
      <c r="F1325" s="32">
        <v>41001530</v>
      </c>
      <c r="G1325" s="32" t="s">
        <v>319</v>
      </c>
      <c r="H1325" s="26" t="s">
        <v>38</v>
      </c>
      <c r="I1325" s="36">
        <v>20</v>
      </c>
      <c r="J1325" s="32">
        <f>IF(MB25_VOLUMETRIA[[#This Row],[Reserva]]="","",1)</f>
        <v>1</v>
      </c>
      <c r="K1325" s="36" t="str">
        <f>IF(MB25_VOLUMETRIA[[#This Row],[Reserva]]="","",IFERROR(VLOOKUP(MB25_VOLUMETRIA[[#This Row],[UMB]],CHAVE[],2,FALSE),"VERIFICAR"))</f>
        <v>Unidade</v>
      </c>
      <c r="L13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5" s="32" t="str">
        <f ca="1">IFERROR(VLOOKUP(MB25_VOLUMETRIA[[#This Row],[Reserva]],RES_AB[],14,FALSE),"")</f>
        <v>PLANO DO DIA</v>
      </c>
      <c r="N1325" s="32" t="str">
        <f>IF(MB25_VOLUMETRIA[[#This Row],[Cen.]]="","",IFERROR(VLOOKUP(MB25_VOLUMETRIA[[#This Row],[Cen.]],Dados_Empresas[],2,FALSE),"Verificar empresa"))</f>
        <v>NET MASSIVO</v>
      </c>
      <c r="O1325" s="32" t="str">
        <f>IF(MB25_VOLUMETRIA[[#This Row],[EMPRESA]]="","",IF(OR(MB25_VOLUMETRIA[[#This Row],[EMPRESA]]="NET MASSIVO",MB25_VOLUMETRIA[[#This Row],[EMPRESA]]="NET PROJETOS"),"NET","EMPRESARIAL"))</f>
        <v>NET</v>
      </c>
    </row>
    <row r="1326" spans="1:15" x14ac:dyDescent="0.25">
      <c r="A1326" s="32">
        <v>4382432</v>
      </c>
      <c r="B1326" s="32" t="s">
        <v>21</v>
      </c>
      <c r="C1326" s="33" t="s">
        <v>21</v>
      </c>
      <c r="D1326" s="35">
        <v>45448</v>
      </c>
      <c r="E1326" s="32" t="s">
        <v>184</v>
      </c>
      <c r="F1326" s="32">
        <v>41001536</v>
      </c>
      <c r="G1326" s="32" t="s">
        <v>371</v>
      </c>
      <c r="H1326" s="26" t="s">
        <v>38</v>
      </c>
      <c r="I1326" s="36">
        <v>80</v>
      </c>
      <c r="J1326" s="32">
        <f>IF(MB25_VOLUMETRIA[[#This Row],[Reserva]]="","",1)</f>
        <v>1</v>
      </c>
      <c r="K1326" s="36" t="str">
        <f>IF(MB25_VOLUMETRIA[[#This Row],[Reserva]]="","",IFERROR(VLOOKUP(MB25_VOLUMETRIA[[#This Row],[UMB]],CHAVE[],2,FALSE),"VERIFICAR"))</f>
        <v>Unidade</v>
      </c>
      <c r="L13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6" s="32" t="str">
        <f ca="1">IFERROR(VLOOKUP(MB25_VOLUMETRIA[[#This Row],[Reserva]],RES_AB[],14,FALSE),"")</f>
        <v>PLANO DO DIA</v>
      </c>
      <c r="N1326" s="32" t="str">
        <f>IF(MB25_VOLUMETRIA[[#This Row],[Cen.]]="","",IFERROR(VLOOKUP(MB25_VOLUMETRIA[[#This Row],[Cen.]],Dados_Empresas[],2,FALSE),"Verificar empresa"))</f>
        <v>NET MASSIVO</v>
      </c>
      <c r="O1326" s="32" t="str">
        <f>IF(MB25_VOLUMETRIA[[#This Row],[EMPRESA]]="","",IF(OR(MB25_VOLUMETRIA[[#This Row],[EMPRESA]]="NET MASSIVO",MB25_VOLUMETRIA[[#This Row],[EMPRESA]]="NET PROJETOS"),"NET","EMPRESARIAL"))</f>
        <v>NET</v>
      </c>
    </row>
    <row r="1327" spans="1:15" x14ac:dyDescent="0.25">
      <c r="A1327" s="32">
        <v>4382432</v>
      </c>
      <c r="B1327" s="32" t="s">
        <v>21</v>
      </c>
      <c r="C1327" s="33" t="s">
        <v>21</v>
      </c>
      <c r="D1327" s="35">
        <v>45448</v>
      </c>
      <c r="E1327" s="32" t="s">
        <v>184</v>
      </c>
      <c r="F1327" s="32">
        <v>41001553</v>
      </c>
      <c r="G1327" s="32" t="s">
        <v>295</v>
      </c>
      <c r="H1327" s="26" t="s">
        <v>38</v>
      </c>
      <c r="I1327" s="36">
        <v>100</v>
      </c>
      <c r="J1327" s="32">
        <f>IF(MB25_VOLUMETRIA[[#This Row],[Reserva]]="","",1)</f>
        <v>1</v>
      </c>
      <c r="K1327" s="36" t="str">
        <f>IF(MB25_VOLUMETRIA[[#This Row],[Reserva]]="","",IFERROR(VLOOKUP(MB25_VOLUMETRIA[[#This Row],[UMB]],CHAVE[],2,FALSE),"VERIFICAR"))</f>
        <v>Unidade</v>
      </c>
      <c r="L13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7" s="32" t="str">
        <f ca="1">IFERROR(VLOOKUP(MB25_VOLUMETRIA[[#This Row],[Reserva]],RES_AB[],14,FALSE),"")</f>
        <v>PLANO DO DIA</v>
      </c>
      <c r="N1327" s="32" t="str">
        <f>IF(MB25_VOLUMETRIA[[#This Row],[Cen.]]="","",IFERROR(VLOOKUP(MB25_VOLUMETRIA[[#This Row],[Cen.]],Dados_Empresas[],2,FALSE),"Verificar empresa"))</f>
        <v>NET MASSIVO</v>
      </c>
      <c r="O1327" s="32" t="str">
        <f>IF(MB25_VOLUMETRIA[[#This Row],[EMPRESA]]="","",IF(OR(MB25_VOLUMETRIA[[#This Row],[EMPRESA]]="NET MASSIVO",MB25_VOLUMETRIA[[#This Row],[EMPRESA]]="NET PROJETOS"),"NET","EMPRESARIAL"))</f>
        <v>NET</v>
      </c>
    </row>
    <row r="1328" spans="1:15" x14ac:dyDescent="0.25">
      <c r="A1328" s="32">
        <v>4382433</v>
      </c>
      <c r="B1328" s="32" t="s">
        <v>21</v>
      </c>
      <c r="C1328" s="33" t="s">
        <v>21</v>
      </c>
      <c r="D1328" s="35">
        <v>45448</v>
      </c>
      <c r="E1328" s="32" t="s">
        <v>184</v>
      </c>
      <c r="F1328" s="32">
        <v>41001536</v>
      </c>
      <c r="G1328" s="32" t="s">
        <v>371</v>
      </c>
      <c r="H1328" s="26" t="s">
        <v>38</v>
      </c>
      <c r="I1328" s="36">
        <v>90</v>
      </c>
      <c r="J1328" s="32">
        <f>IF(MB25_VOLUMETRIA[[#This Row],[Reserva]]="","",1)</f>
        <v>1</v>
      </c>
      <c r="K1328" s="36" t="str">
        <f>IF(MB25_VOLUMETRIA[[#This Row],[Reserva]]="","",IFERROR(VLOOKUP(MB25_VOLUMETRIA[[#This Row],[UMB]],CHAVE[],2,FALSE),"VERIFICAR"))</f>
        <v>Unidade</v>
      </c>
      <c r="L13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8" s="32" t="str">
        <f ca="1">IFERROR(VLOOKUP(MB25_VOLUMETRIA[[#This Row],[Reserva]],RES_AB[],14,FALSE),"")</f>
        <v>PLANO DO DIA</v>
      </c>
      <c r="N1328" s="32" t="str">
        <f>IF(MB25_VOLUMETRIA[[#This Row],[Cen.]]="","",IFERROR(VLOOKUP(MB25_VOLUMETRIA[[#This Row],[Cen.]],Dados_Empresas[],2,FALSE),"Verificar empresa"))</f>
        <v>NET MASSIVO</v>
      </c>
      <c r="O1328" s="32" t="str">
        <f>IF(MB25_VOLUMETRIA[[#This Row],[EMPRESA]]="","",IF(OR(MB25_VOLUMETRIA[[#This Row],[EMPRESA]]="NET MASSIVO",MB25_VOLUMETRIA[[#This Row],[EMPRESA]]="NET PROJETOS"),"NET","EMPRESARIAL"))</f>
        <v>NET</v>
      </c>
    </row>
    <row r="1329" spans="1:15" x14ac:dyDescent="0.25">
      <c r="A1329" s="32">
        <v>4382434</v>
      </c>
      <c r="B1329" s="32" t="s">
        <v>21</v>
      </c>
      <c r="C1329" s="33" t="s">
        <v>21</v>
      </c>
      <c r="D1329" s="35">
        <v>45448</v>
      </c>
      <c r="E1329" s="32" t="s">
        <v>185</v>
      </c>
      <c r="F1329" s="32">
        <v>22025049</v>
      </c>
      <c r="G1329" s="32" t="s">
        <v>198</v>
      </c>
      <c r="H1329" s="26" t="s">
        <v>38</v>
      </c>
      <c r="I1329" s="36">
        <v>2</v>
      </c>
      <c r="J1329" s="32">
        <f>IF(MB25_VOLUMETRIA[[#This Row],[Reserva]]="","",1)</f>
        <v>1</v>
      </c>
      <c r="K1329" s="36" t="str">
        <f>IF(MB25_VOLUMETRIA[[#This Row],[Reserva]]="","",IFERROR(VLOOKUP(MB25_VOLUMETRIA[[#This Row],[UMB]],CHAVE[],2,FALSE),"VERIFICAR"))</f>
        <v>Unidade</v>
      </c>
      <c r="L13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29" s="32" t="str">
        <f ca="1">IFERROR(VLOOKUP(MB25_VOLUMETRIA[[#This Row],[Reserva]],RES_AB[],14,FALSE),"")</f>
        <v>PLANO DO DIA</v>
      </c>
      <c r="N1329" s="32" t="str">
        <f>IF(MB25_VOLUMETRIA[[#This Row],[Cen.]]="","",IFERROR(VLOOKUP(MB25_VOLUMETRIA[[#This Row],[Cen.]],Dados_Empresas[],2,FALSE),"Verificar empresa"))</f>
        <v>NET MASSIVO</v>
      </c>
      <c r="O1329" s="32" t="str">
        <f>IF(MB25_VOLUMETRIA[[#This Row],[EMPRESA]]="","",IF(OR(MB25_VOLUMETRIA[[#This Row],[EMPRESA]]="NET MASSIVO",MB25_VOLUMETRIA[[#This Row],[EMPRESA]]="NET PROJETOS"),"NET","EMPRESARIAL"))</f>
        <v>NET</v>
      </c>
    </row>
    <row r="1330" spans="1:15" x14ac:dyDescent="0.25">
      <c r="A1330" s="32">
        <v>4382434</v>
      </c>
      <c r="B1330" s="32" t="s">
        <v>21</v>
      </c>
      <c r="C1330" s="33" t="s">
        <v>21</v>
      </c>
      <c r="D1330" s="35">
        <v>45448</v>
      </c>
      <c r="E1330" s="32" t="s">
        <v>185</v>
      </c>
      <c r="F1330" s="32">
        <v>22025139</v>
      </c>
      <c r="G1330" s="32" t="s">
        <v>199</v>
      </c>
      <c r="H1330" s="26" t="s">
        <v>38</v>
      </c>
      <c r="I1330" s="36">
        <v>200</v>
      </c>
      <c r="J1330" s="32">
        <f>IF(MB25_VOLUMETRIA[[#This Row],[Reserva]]="","",1)</f>
        <v>1</v>
      </c>
      <c r="K1330" s="36" t="str">
        <f>IF(MB25_VOLUMETRIA[[#This Row],[Reserva]]="","",IFERROR(VLOOKUP(MB25_VOLUMETRIA[[#This Row],[UMB]],CHAVE[],2,FALSE),"VERIFICAR"))</f>
        <v>Unidade</v>
      </c>
      <c r="L13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0" s="32" t="str">
        <f ca="1">IFERROR(VLOOKUP(MB25_VOLUMETRIA[[#This Row],[Reserva]],RES_AB[],14,FALSE),"")</f>
        <v>PLANO DO DIA</v>
      </c>
      <c r="N1330" s="32" t="str">
        <f>IF(MB25_VOLUMETRIA[[#This Row],[Cen.]]="","",IFERROR(VLOOKUP(MB25_VOLUMETRIA[[#This Row],[Cen.]],Dados_Empresas[],2,FALSE),"Verificar empresa"))</f>
        <v>NET MASSIVO</v>
      </c>
      <c r="O1330" s="32" t="str">
        <f>IF(MB25_VOLUMETRIA[[#This Row],[EMPRESA]]="","",IF(OR(MB25_VOLUMETRIA[[#This Row],[EMPRESA]]="NET MASSIVO",MB25_VOLUMETRIA[[#This Row],[EMPRESA]]="NET PROJETOS"),"NET","EMPRESARIAL"))</f>
        <v>NET</v>
      </c>
    </row>
    <row r="1331" spans="1:15" x14ac:dyDescent="0.25">
      <c r="A1331" s="32">
        <v>4382434</v>
      </c>
      <c r="B1331" s="32" t="s">
        <v>21</v>
      </c>
      <c r="C1331" s="33" t="s">
        <v>21</v>
      </c>
      <c r="D1331" s="35">
        <v>45448</v>
      </c>
      <c r="E1331" s="32" t="s">
        <v>185</v>
      </c>
      <c r="F1331" s="32">
        <v>22056369</v>
      </c>
      <c r="G1331" s="32" t="s">
        <v>194</v>
      </c>
      <c r="H1331" s="26" t="s">
        <v>38</v>
      </c>
      <c r="I1331" s="36">
        <v>600</v>
      </c>
      <c r="J1331" s="32">
        <f>IF(MB25_VOLUMETRIA[[#This Row],[Reserva]]="","",1)</f>
        <v>1</v>
      </c>
      <c r="K1331" s="36" t="str">
        <f>IF(MB25_VOLUMETRIA[[#This Row],[Reserva]]="","",IFERROR(VLOOKUP(MB25_VOLUMETRIA[[#This Row],[UMB]],CHAVE[],2,FALSE),"VERIFICAR"))</f>
        <v>Unidade</v>
      </c>
      <c r="L13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1" s="32" t="str">
        <f ca="1">IFERROR(VLOOKUP(MB25_VOLUMETRIA[[#This Row],[Reserva]],RES_AB[],14,FALSE),"")</f>
        <v>PLANO DO DIA</v>
      </c>
      <c r="N1331" s="32" t="str">
        <f>IF(MB25_VOLUMETRIA[[#This Row],[Cen.]]="","",IFERROR(VLOOKUP(MB25_VOLUMETRIA[[#This Row],[Cen.]],Dados_Empresas[],2,FALSE),"Verificar empresa"))</f>
        <v>NET MASSIVO</v>
      </c>
      <c r="O1331" s="32" t="str">
        <f>IF(MB25_VOLUMETRIA[[#This Row],[EMPRESA]]="","",IF(OR(MB25_VOLUMETRIA[[#This Row],[EMPRESA]]="NET MASSIVO",MB25_VOLUMETRIA[[#This Row],[EMPRESA]]="NET PROJETOS"),"NET","EMPRESARIAL"))</f>
        <v>NET</v>
      </c>
    </row>
    <row r="1332" spans="1:15" x14ac:dyDescent="0.25">
      <c r="A1332" s="32">
        <v>4382434</v>
      </c>
      <c r="B1332" s="32" t="s">
        <v>21</v>
      </c>
      <c r="C1332" s="33" t="s">
        <v>21</v>
      </c>
      <c r="D1332" s="35">
        <v>45448</v>
      </c>
      <c r="E1332" s="32" t="s">
        <v>185</v>
      </c>
      <c r="F1332" s="32">
        <v>22057635</v>
      </c>
      <c r="G1332" s="32" t="s">
        <v>223</v>
      </c>
      <c r="H1332" s="26" t="s">
        <v>38</v>
      </c>
      <c r="I1332" s="36">
        <v>100</v>
      </c>
      <c r="J1332" s="32">
        <f>IF(MB25_VOLUMETRIA[[#This Row],[Reserva]]="","",1)</f>
        <v>1</v>
      </c>
      <c r="K1332" s="36" t="str">
        <f>IF(MB25_VOLUMETRIA[[#This Row],[Reserva]]="","",IFERROR(VLOOKUP(MB25_VOLUMETRIA[[#This Row],[UMB]],CHAVE[],2,FALSE),"VERIFICAR"))</f>
        <v>Unidade</v>
      </c>
      <c r="L13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2" s="32" t="str">
        <f ca="1">IFERROR(VLOOKUP(MB25_VOLUMETRIA[[#This Row],[Reserva]],RES_AB[],14,FALSE),"")</f>
        <v>PLANO DO DIA</v>
      </c>
      <c r="N1332" s="32" t="str">
        <f>IF(MB25_VOLUMETRIA[[#This Row],[Cen.]]="","",IFERROR(VLOOKUP(MB25_VOLUMETRIA[[#This Row],[Cen.]],Dados_Empresas[],2,FALSE),"Verificar empresa"))</f>
        <v>NET MASSIVO</v>
      </c>
      <c r="O1332" s="32" t="str">
        <f>IF(MB25_VOLUMETRIA[[#This Row],[EMPRESA]]="","",IF(OR(MB25_VOLUMETRIA[[#This Row],[EMPRESA]]="NET MASSIVO",MB25_VOLUMETRIA[[#This Row],[EMPRESA]]="NET PROJETOS"),"NET","EMPRESARIAL"))</f>
        <v>NET</v>
      </c>
    </row>
    <row r="1333" spans="1:15" x14ac:dyDescent="0.25">
      <c r="A1333" s="32">
        <v>4382434</v>
      </c>
      <c r="B1333" s="32" t="s">
        <v>21</v>
      </c>
      <c r="C1333" s="33" t="s">
        <v>21</v>
      </c>
      <c r="D1333" s="35">
        <v>45448</v>
      </c>
      <c r="E1333" s="32" t="s">
        <v>185</v>
      </c>
      <c r="F1333" s="32">
        <v>22057659</v>
      </c>
      <c r="G1333" s="32" t="s">
        <v>224</v>
      </c>
      <c r="H1333" s="26" t="s">
        <v>38</v>
      </c>
      <c r="I1333" s="36">
        <v>390</v>
      </c>
      <c r="J1333" s="32">
        <f>IF(MB25_VOLUMETRIA[[#This Row],[Reserva]]="","",1)</f>
        <v>1</v>
      </c>
      <c r="K1333" s="36" t="str">
        <f>IF(MB25_VOLUMETRIA[[#This Row],[Reserva]]="","",IFERROR(VLOOKUP(MB25_VOLUMETRIA[[#This Row],[UMB]],CHAVE[],2,FALSE),"VERIFICAR"))</f>
        <v>Unidade</v>
      </c>
      <c r="L13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3" s="32" t="str">
        <f ca="1">IFERROR(VLOOKUP(MB25_VOLUMETRIA[[#This Row],[Reserva]],RES_AB[],14,FALSE),"")</f>
        <v>PLANO DO DIA</v>
      </c>
      <c r="N1333" s="32" t="str">
        <f>IF(MB25_VOLUMETRIA[[#This Row],[Cen.]]="","",IFERROR(VLOOKUP(MB25_VOLUMETRIA[[#This Row],[Cen.]],Dados_Empresas[],2,FALSE),"Verificar empresa"))</f>
        <v>NET MASSIVO</v>
      </c>
      <c r="O1333" s="32" t="str">
        <f>IF(MB25_VOLUMETRIA[[#This Row],[EMPRESA]]="","",IF(OR(MB25_VOLUMETRIA[[#This Row],[EMPRESA]]="NET MASSIVO",MB25_VOLUMETRIA[[#This Row],[EMPRESA]]="NET PROJETOS"),"NET","EMPRESARIAL"))</f>
        <v>NET</v>
      </c>
    </row>
    <row r="1334" spans="1:15" x14ac:dyDescent="0.25">
      <c r="A1334" s="32">
        <v>4382435</v>
      </c>
      <c r="B1334" s="32" t="s">
        <v>21</v>
      </c>
      <c r="C1334" s="33" t="s">
        <v>21</v>
      </c>
      <c r="D1334" s="35">
        <v>45448</v>
      </c>
      <c r="E1334" s="32" t="s">
        <v>184</v>
      </c>
      <c r="F1334" s="32">
        <v>41001553</v>
      </c>
      <c r="G1334" s="32" t="s">
        <v>295</v>
      </c>
      <c r="H1334" s="26" t="s">
        <v>38</v>
      </c>
      <c r="I1334" s="36">
        <v>50</v>
      </c>
      <c r="J1334" s="32">
        <f>IF(MB25_VOLUMETRIA[[#This Row],[Reserva]]="","",1)</f>
        <v>1</v>
      </c>
      <c r="K1334" s="36" t="str">
        <f>IF(MB25_VOLUMETRIA[[#This Row],[Reserva]]="","",IFERROR(VLOOKUP(MB25_VOLUMETRIA[[#This Row],[UMB]],CHAVE[],2,FALSE),"VERIFICAR"))</f>
        <v>Unidade</v>
      </c>
      <c r="L13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4" s="32" t="str">
        <f ca="1">IFERROR(VLOOKUP(MB25_VOLUMETRIA[[#This Row],[Reserva]],RES_AB[],14,FALSE),"")</f>
        <v>PLANO DO DIA</v>
      </c>
      <c r="N1334" s="32" t="str">
        <f>IF(MB25_VOLUMETRIA[[#This Row],[Cen.]]="","",IFERROR(VLOOKUP(MB25_VOLUMETRIA[[#This Row],[Cen.]],Dados_Empresas[],2,FALSE),"Verificar empresa"))</f>
        <v>NET MASSIVO</v>
      </c>
      <c r="O1334" s="32" t="str">
        <f>IF(MB25_VOLUMETRIA[[#This Row],[EMPRESA]]="","",IF(OR(MB25_VOLUMETRIA[[#This Row],[EMPRESA]]="NET MASSIVO",MB25_VOLUMETRIA[[#This Row],[EMPRESA]]="NET PROJETOS"),"NET","EMPRESARIAL"))</f>
        <v>NET</v>
      </c>
    </row>
    <row r="1335" spans="1:15" x14ac:dyDescent="0.25">
      <c r="A1335" s="32">
        <v>4382436</v>
      </c>
      <c r="B1335" s="32" t="s">
        <v>21</v>
      </c>
      <c r="C1335" s="33" t="s">
        <v>21</v>
      </c>
      <c r="D1335" s="35">
        <v>45448</v>
      </c>
      <c r="E1335" s="32" t="s">
        <v>184</v>
      </c>
      <c r="F1335" s="32">
        <v>41001536</v>
      </c>
      <c r="G1335" s="32" t="s">
        <v>371</v>
      </c>
      <c r="H1335" s="26" t="s">
        <v>38</v>
      </c>
      <c r="I1335" s="36">
        <v>20</v>
      </c>
      <c r="J1335" s="32">
        <f>IF(MB25_VOLUMETRIA[[#This Row],[Reserva]]="","",1)</f>
        <v>1</v>
      </c>
      <c r="K1335" s="36" t="str">
        <f>IF(MB25_VOLUMETRIA[[#This Row],[Reserva]]="","",IFERROR(VLOOKUP(MB25_VOLUMETRIA[[#This Row],[UMB]],CHAVE[],2,FALSE),"VERIFICAR"))</f>
        <v>Unidade</v>
      </c>
      <c r="L13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5" s="32" t="str">
        <f ca="1">IFERROR(VLOOKUP(MB25_VOLUMETRIA[[#This Row],[Reserva]],RES_AB[],14,FALSE),"")</f>
        <v>PLANO DO DIA</v>
      </c>
      <c r="N1335" s="32" t="str">
        <f>IF(MB25_VOLUMETRIA[[#This Row],[Cen.]]="","",IFERROR(VLOOKUP(MB25_VOLUMETRIA[[#This Row],[Cen.]],Dados_Empresas[],2,FALSE),"Verificar empresa"))</f>
        <v>NET MASSIVO</v>
      </c>
      <c r="O1335" s="32" t="str">
        <f>IF(MB25_VOLUMETRIA[[#This Row],[EMPRESA]]="","",IF(OR(MB25_VOLUMETRIA[[#This Row],[EMPRESA]]="NET MASSIVO",MB25_VOLUMETRIA[[#This Row],[EMPRESA]]="NET PROJETOS"),"NET","EMPRESARIAL"))</f>
        <v>NET</v>
      </c>
    </row>
    <row r="1336" spans="1:15" x14ac:dyDescent="0.25">
      <c r="A1336" s="32">
        <v>4382437</v>
      </c>
      <c r="B1336" s="32" t="s">
        <v>21</v>
      </c>
      <c r="C1336" s="33" t="s">
        <v>21</v>
      </c>
      <c r="D1336" s="35">
        <v>45448</v>
      </c>
      <c r="E1336" s="32" t="s">
        <v>185</v>
      </c>
      <c r="F1336" s="32">
        <v>22026189</v>
      </c>
      <c r="G1336" s="32" t="s">
        <v>200</v>
      </c>
      <c r="H1336" s="26" t="s">
        <v>38</v>
      </c>
      <c r="I1336" s="36">
        <v>1100</v>
      </c>
      <c r="J1336" s="32">
        <f>IF(MB25_VOLUMETRIA[[#This Row],[Reserva]]="","",1)</f>
        <v>1</v>
      </c>
      <c r="K1336" s="36" t="str">
        <f>IF(MB25_VOLUMETRIA[[#This Row],[Reserva]]="","",IFERROR(VLOOKUP(MB25_VOLUMETRIA[[#This Row],[UMB]],CHAVE[],2,FALSE),"VERIFICAR"))</f>
        <v>Unidade</v>
      </c>
      <c r="L13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6" s="32" t="str">
        <f ca="1">IFERROR(VLOOKUP(MB25_VOLUMETRIA[[#This Row],[Reserva]],RES_AB[],14,FALSE),"")</f>
        <v>PLANO DO DIA</v>
      </c>
      <c r="N1336" s="32" t="str">
        <f>IF(MB25_VOLUMETRIA[[#This Row],[Cen.]]="","",IFERROR(VLOOKUP(MB25_VOLUMETRIA[[#This Row],[Cen.]],Dados_Empresas[],2,FALSE),"Verificar empresa"))</f>
        <v>NET MASSIVO</v>
      </c>
      <c r="O1336" s="32" t="str">
        <f>IF(MB25_VOLUMETRIA[[#This Row],[EMPRESA]]="","",IF(OR(MB25_VOLUMETRIA[[#This Row],[EMPRESA]]="NET MASSIVO",MB25_VOLUMETRIA[[#This Row],[EMPRESA]]="NET PROJETOS"),"NET","EMPRESARIAL"))</f>
        <v>NET</v>
      </c>
    </row>
    <row r="1337" spans="1:15" x14ac:dyDescent="0.25">
      <c r="A1337" s="32">
        <v>4382437</v>
      </c>
      <c r="B1337" s="32" t="s">
        <v>21</v>
      </c>
      <c r="C1337" s="33" t="s">
        <v>21</v>
      </c>
      <c r="D1337" s="35">
        <v>45448</v>
      </c>
      <c r="E1337" s="32" t="s">
        <v>185</v>
      </c>
      <c r="F1337" s="32">
        <v>22056369</v>
      </c>
      <c r="G1337" s="32" t="s">
        <v>194</v>
      </c>
      <c r="H1337" s="26" t="s">
        <v>38</v>
      </c>
      <c r="I1337" s="36">
        <v>600</v>
      </c>
      <c r="J1337" s="32">
        <f>IF(MB25_VOLUMETRIA[[#This Row],[Reserva]]="","",1)</f>
        <v>1</v>
      </c>
      <c r="K1337" s="36" t="str">
        <f>IF(MB25_VOLUMETRIA[[#This Row],[Reserva]]="","",IFERROR(VLOOKUP(MB25_VOLUMETRIA[[#This Row],[UMB]],CHAVE[],2,FALSE),"VERIFICAR"))</f>
        <v>Unidade</v>
      </c>
      <c r="L13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7" s="32" t="str">
        <f ca="1">IFERROR(VLOOKUP(MB25_VOLUMETRIA[[#This Row],[Reserva]],RES_AB[],14,FALSE),"")</f>
        <v>PLANO DO DIA</v>
      </c>
      <c r="N1337" s="32" t="str">
        <f>IF(MB25_VOLUMETRIA[[#This Row],[Cen.]]="","",IFERROR(VLOOKUP(MB25_VOLUMETRIA[[#This Row],[Cen.]],Dados_Empresas[],2,FALSE),"Verificar empresa"))</f>
        <v>NET MASSIVO</v>
      </c>
      <c r="O1337" s="32" t="str">
        <f>IF(MB25_VOLUMETRIA[[#This Row],[EMPRESA]]="","",IF(OR(MB25_VOLUMETRIA[[#This Row],[EMPRESA]]="NET MASSIVO",MB25_VOLUMETRIA[[#This Row],[EMPRESA]]="NET PROJETOS"),"NET","EMPRESARIAL"))</f>
        <v>NET</v>
      </c>
    </row>
    <row r="1338" spans="1:15" x14ac:dyDescent="0.25">
      <c r="A1338" s="32">
        <v>4382437</v>
      </c>
      <c r="B1338" s="32" t="s">
        <v>21</v>
      </c>
      <c r="C1338" s="33" t="s">
        <v>21</v>
      </c>
      <c r="D1338" s="35">
        <v>45448</v>
      </c>
      <c r="E1338" s="32" t="s">
        <v>185</v>
      </c>
      <c r="F1338" s="32">
        <v>22057620</v>
      </c>
      <c r="G1338" s="32" t="s">
        <v>253</v>
      </c>
      <c r="H1338" s="26" t="s">
        <v>38</v>
      </c>
      <c r="I1338" s="36">
        <v>100</v>
      </c>
      <c r="J1338" s="32">
        <f>IF(MB25_VOLUMETRIA[[#This Row],[Reserva]]="","",1)</f>
        <v>1</v>
      </c>
      <c r="K1338" s="36" t="str">
        <f>IF(MB25_VOLUMETRIA[[#This Row],[Reserva]]="","",IFERROR(VLOOKUP(MB25_VOLUMETRIA[[#This Row],[UMB]],CHAVE[],2,FALSE),"VERIFICAR"))</f>
        <v>Unidade</v>
      </c>
      <c r="L13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8" s="32" t="str">
        <f ca="1">IFERROR(VLOOKUP(MB25_VOLUMETRIA[[#This Row],[Reserva]],RES_AB[],14,FALSE),"")</f>
        <v>PLANO DO DIA</v>
      </c>
      <c r="N1338" s="32" t="str">
        <f>IF(MB25_VOLUMETRIA[[#This Row],[Cen.]]="","",IFERROR(VLOOKUP(MB25_VOLUMETRIA[[#This Row],[Cen.]],Dados_Empresas[],2,FALSE),"Verificar empresa"))</f>
        <v>NET MASSIVO</v>
      </c>
      <c r="O1338" s="32" t="str">
        <f>IF(MB25_VOLUMETRIA[[#This Row],[EMPRESA]]="","",IF(OR(MB25_VOLUMETRIA[[#This Row],[EMPRESA]]="NET MASSIVO",MB25_VOLUMETRIA[[#This Row],[EMPRESA]]="NET PROJETOS"),"NET","EMPRESARIAL"))</f>
        <v>NET</v>
      </c>
    </row>
    <row r="1339" spans="1:15" x14ac:dyDescent="0.25">
      <c r="A1339" s="32">
        <v>4382437</v>
      </c>
      <c r="B1339" s="32" t="s">
        <v>21</v>
      </c>
      <c r="C1339" s="33" t="s">
        <v>21</v>
      </c>
      <c r="D1339" s="35">
        <v>45448</v>
      </c>
      <c r="E1339" s="32" t="s">
        <v>185</v>
      </c>
      <c r="F1339" s="32">
        <v>22057659</v>
      </c>
      <c r="G1339" s="32" t="s">
        <v>224</v>
      </c>
      <c r="H1339" s="26" t="s">
        <v>38</v>
      </c>
      <c r="I1339" s="36">
        <v>60</v>
      </c>
      <c r="J1339" s="32">
        <f>IF(MB25_VOLUMETRIA[[#This Row],[Reserva]]="","",1)</f>
        <v>1</v>
      </c>
      <c r="K1339" s="36" t="str">
        <f>IF(MB25_VOLUMETRIA[[#This Row],[Reserva]]="","",IFERROR(VLOOKUP(MB25_VOLUMETRIA[[#This Row],[UMB]],CHAVE[],2,FALSE),"VERIFICAR"))</f>
        <v>Unidade</v>
      </c>
      <c r="L13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39" s="32" t="str">
        <f ca="1">IFERROR(VLOOKUP(MB25_VOLUMETRIA[[#This Row],[Reserva]],RES_AB[],14,FALSE),"")</f>
        <v>PLANO DO DIA</v>
      </c>
      <c r="N1339" s="32" t="str">
        <f>IF(MB25_VOLUMETRIA[[#This Row],[Cen.]]="","",IFERROR(VLOOKUP(MB25_VOLUMETRIA[[#This Row],[Cen.]],Dados_Empresas[],2,FALSE),"Verificar empresa"))</f>
        <v>NET MASSIVO</v>
      </c>
      <c r="O1339" s="32" t="str">
        <f>IF(MB25_VOLUMETRIA[[#This Row],[EMPRESA]]="","",IF(OR(MB25_VOLUMETRIA[[#This Row],[EMPRESA]]="NET MASSIVO",MB25_VOLUMETRIA[[#This Row],[EMPRESA]]="NET PROJETOS"),"NET","EMPRESARIAL"))</f>
        <v>NET</v>
      </c>
    </row>
    <row r="1340" spans="1:15" x14ac:dyDescent="0.25">
      <c r="A1340" s="32">
        <v>4382437</v>
      </c>
      <c r="B1340" s="32" t="s">
        <v>21</v>
      </c>
      <c r="C1340" s="33" t="s">
        <v>21</v>
      </c>
      <c r="D1340" s="35">
        <v>45448</v>
      </c>
      <c r="E1340" s="32" t="s">
        <v>185</v>
      </c>
      <c r="F1340" s="32">
        <v>22061736</v>
      </c>
      <c r="G1340" s="32" t="s">
        <v>216</v>
      </c>
      <c r="H1340" s="26" t="s">
        <v>38</v>
      </c>
      <c r="I1340" s="36">
        <v>1000</v>
      </c>
      <c r="J1340" s="32">
        <f>IF(MB25_VOLUMETRIA[[#This Row],[Reserva]]="","",1)</f>
        <v>1</v>
      </c>
      <c r="K1340" s="36" t="str">
        <f>IF(MB25_VOLUMETRIA[[#This Row],[Reserva]]="","",IFERROR(VLOOKUP(MB25_VOLUMETRIA[[#This Row],[UMB]],CHAVE[],2,FALSE),"VERIFICAR"))</f>
        <v>Unidade</v>
      </c>
      <c r="L13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0" s="32" t="str">
        <f ca="1">IFERROR(VLOOKUP(MB25_VOLUMETRIA[[#This Row],[Reserva]],RES_AB[],14,FALSE),"")</f>
        <v>PLANO DO DIA</v>
      </c>
      <c r="N1340" s="32" t="str">
        <f>IF(MB25_VOLUMETRIA[[#This Row],[Cen.]]="","",IFERROR(VLOOKUP(MB25_VOLUMETRIA[[#This Row],[Cen.]],Dados_Empresas[],2,FALSE),"Verificar empresa"))</f>
        <v>NET MASSIVO</v>
      </c>
      <c r="O1340" s="32" t="str">
        <f>IF(MB25_VOLUMETRIA[[#This Row],[EMPRESA]]="","",IF(OR(MB25_VOLUMETRIA[[#This Row],[EMPRESA]]="NET MASSIVO",MB25_VOLUMETRIA[[#This Row],[EMPRESA]]="NET PROJETOS"),"NET","EMPRESARIAL"))</f>
        <v>NET</v>
      </c>
    </row>
    <row r="1341" spans="1:15" x14ac:dyDescent="0.25">
      <c r="A1341" s="32">
        <v>4382437</v>
      </c>
      <c r="B1341" s="32" t="s">
        <v>21</v>
      </c>
      <c r="C1341" s="33" t="s">
        <v>21</v>
      </c>
      <c r="D1341" s="35">
        <v>45448</v>
      </c>
      <c r="E1341" s="32" t="s">
        <v>185</v>
      </c>
      <c r="F1341" s="32">
        <v>22065719</v>
      </c>
      <c r="G1341" s="32" t="s">
        <v>228</v>
      </c>
      <c r="H1341" s="26" t="s">
        <v>38</v>
      </c>
      <c r="I1341" s="36">
        <v>100</v>
      </c>
      <c r="J1341" s="32">
        <f>IF(MB25_VOLUMETRIA[[#This Row],[Reserva]]="","",1)</f>
        <v>1</v>
      </c>
      <c r="K1341" s="36" t="str">
        <f>IF(MB25_VOLUMETRIA[[#This Row],[Reserva]]="","",IFERROR(VLOOKUP(MB25_VOLUMETRIA[[#This Row],[UMB]],CHAVE[],2,FALSE),"VERIFICAR"))</f>
        <v>Unidade</v>
      </c>
      <c r="L13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1" s="32" t="str">
        <f ca="1">IFERROR(VLOOKUP(MB25_VOLUMETRIA[[#This Row],[Reserva]],RES_AB[],14,FALSE),"")</f>
        <v>PLANO DO DIA</v>
      </c>
      <c r="N1341" s="32" t="str">
        <f>IF(MB25_VOLUMETRIA[[#This Row],[Cen.]]="","",IFERROR(VLOOKUP(MB25_VOLUMETRIA[[#This Row],[Cen.]],Dados_Empresas[],2,FALSE),"Verificar empresa"))</f>
        <v>NET MASSIVO</v>
      </c>
      <c r="O1341" s="32" t="str">
        <f>IF(MB25_VOLUMETRIA[[#This Row],[EMPRESA]]="","",IF(OR(MB25_VOLUMETRIA[[#This Row],[EMPRESA]]="NET MASSIVO",MB25_VOLUMETRIA[[#This Row],[EMPRESA]]="NET PROJETOS"),"NET","EMPRESARIAL"))</f>
        <v>NET</v>
      </c>
    </row>
    <row r="1342" spans="1:15" x14ac:dyDescent="0.25">
      <c r="A1342" s="32">
        <v>4382438</v>
      </c>
      <c r="B1342" s="32" t="s">
        <v>21</v>
      </c>
      <c r="C1342" s="33" t="s">
        <v>182</v>
      </c>
      <c r="D1342" s="35">
        <v>45448</v>
      </c>
      <c r="E1342" s="32" t="s">
        <v>184</v>
      </c>
      <c r="F1342" s="32">
        <v>41001530</v>
      </c>
      <c r="G1342" s="32" t="s">
        <v>319</v>
      </c>
      <c r="H1342" s="26" t="s">
        <v>38</v>
      </c>
      <c r="I1342" s="36">
        <v>20</v>
      </c>
      <c r="J1342" s="32">
        <f>IF(MB25_VOLUMETRIA[[#This Row],[Reserva]]="","",1)</f>
        <v>1</v>
      </c>
      <c r="K1342" s="36" t="str">
        <f>IF(MB25_VOLUMETRIA[[#This Row],[Reserva]]="","",IFERROR(VLOOKUP(MB25_VOLUMETRIA[[#This Row],[UMB]],CHAVE[],2,FALSE),"VERIFICAR"))</f>
        <v>Unidade</v>
      </c>
      <c r="L13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2" s="32" t="str">
        <f ca="1">IFERROR(VLOOKUP(MB25_VOLUMETRIA[[#This Row],[Reserva]],RES_AB[],14,FALSE),"")</f>
        <v>PLANO DO DIA</v>
      </c>
      <c r="N1342" s="32" t="str">
        <f>IF(MB25_VOLUMETRIA[[#This Row],[Cen.]]="","",IFERROR(VLOOKUP(MB25_VOLUMETRIA[[#This Row],[Cen.]],Dados_Empresas[],2,FALSE),"Verificar empresa"))</f>
        <v>NET MASSIVO</v>
      </c>
      <c r="O1342" s="32" t="str">
        <f>IF(MB25_VOLUMETRIA[[#This Row],[EMPRESA]]="","",IF(OR(MB25_VOLUMETRIA[[#This Row],[EMPRESA]]="NET MASSIVO",MB25_VOLUMETRIA[[#This Row],[EMPRESA]]="NET PROJETOS"),"NET","EMPRESARIAL"))</f>
        <v>NET</v>
      </c>
    </row>
    <row r="1343" spans="1:15" x14ac:dyDescent="0.25">
      <c r="A1343" s="32">
        <v>4382438</v>
      </c>
      <c r="B1343" s="32" t="s">
        <v>21</v>
      </c>
      <c r="C1343" s="33" t="s">
        <v>21</v>
      </c>
      <c r="D1343" s="35">
        <v>45448</v>
      </c>
      <c r="E1343" s="32" t="s">
        <v>184</v>
      </c>
      <c r="F1343" s="32">
        <v>41001552</v>
      </c>
      <c r="G1343" s="32" t="s">
        <v>336</v>
      </c>
      <c r="H1343" s="26" t="s">
        <v>38</v>
      </c>
      <c r="I1343" s="36">
        <v>30</v>
      </c>
      <c r="J1343" s="32">
        <f>IF(MB25_VOLUMETRIA[[#This Row],[Reserva]]="","",1)</f>
        <v>1</v>
      </c>
      <c r="K1343" s="36" t="str">
        <f>IF(MB25_VOLUMETRIA[[#This Row],[Reserva]]="","",IFERROR(VLOOKUP(MB25_VOLUMETRIA[[#This Row],[UMB]],CHAVE[],2,FALSE),"VERIFICAR"))</f>
        <v>Unidade</v>
      </c>
      <c r="L13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3" s="32" t="str">
        <f ca="1">IFERROR(VLOOKUP(MB25_VOLUMETRIA[[#This Row],[Reserva]],RES_AB[],14,FALSE),"")</f>
        <v>PLANO DO DIA</v>
      </c>
      <c r="N1343" s="32" t="str">
        <f>IF(MB25_VOLUMETRIA[[#This Row],[Cen.]]="","",IFERROR(VLOOKUP(MB25_VOLUMETRIA[[#This Row],[Cen.]],Dados_Empresas[],2,FALSE),"Verificar empresa"))</f>
        <v>NET MASSIVO</v>
      </c>
      <c r="O1343" s="32" t="str">
        <f>IF(MB25_VOLUMETRIA[[#This Row],[EMPRESA]]="","",IF(OR(MB25_VOLUMETRIA[[#This Row],[EMPRESA]]="NET MASSIVO",MB25_VOLUMETRIA[[#This Row],[EMPRESA]]="NET PROJETOS"),"NET","EMPRESARIAL"))</f>
        <v>NET</v>
      </c>
    </row>
    <row r="1344" spans="1:15" x14ac:dyDescent="0.25">
      <c r="A1344" s="32">
        <v>4382439</v>
      </c>
      <c r="B1344" s="32" t="s">
        <v>21</v>
      </c>
      <c r="C1344" s="33" t="s">
        <v>21</v>
      </c>
      <c r="D1344" s="35">
        <v>45448</v>
      </c>
      <c r="E1344" s="32" t="s">
        <v>184</v>
      </c>
      <c r="F1344" s="32">
        <v>41001536</v>
      </c>
      <c r="G1344" s="32" t="s">
        <v>371</v>
      </c>
      <c r="H1344" s="26" t="s">
        <v>38</v>
      </c>
      <c r="I1344" s="36">
        <v>100</v>
      </c>
      <c r="J1344" s="32">
        <f>IF(MB25_VOLUMETRIA[[#This Row],[Reserva]]="","",1)</f>
        <v>1</v>
      </c>
      <c r="K1344" s="36" t="str">
        <f>IF(MB25_VOLUMETRIA[[#This Row],[Reserva]]="","",IFERROR(VLOOKUP(MB25_VOLUMETRIA[[#This Row],[UMB]],CHAVE[],2,FALSE),"VERIFICAR"))</f>
        <v>Unidade</v>
      </c>
      <c r="L13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4" s="32" t="str">
        <f ca="1">IFERROR(VLOOKUP(MB25_VOLUMETRIA[[#This Row],[Reserva]],RES_AB[],14,FALSE),"")</f>
        <v>PLANO DO DIA</v>
      </c>
      <c r="N1344" s="32" t="str">
        <f>IF(MB25_VOLUMETRIA[[#This Row],[Cen.]]="","",IFERROR(VLOOKUP(MB25_VOLUMETRIA[[#This Row],[Cen.]],Dados_Empresas[],2,FALSE),"Verificar empresa"))</f>
        <v>NET MASSIVO</v>
      </c>
      <c r="O1344" s="32" t="str">
        <f>IF(MB25_VOLUMETRIA[[#This Row],[EMPRESA]]="","",IF(OR(MB25_VOLUMETRIA[[#This Row],[EMPRESA]]="NET MASSIVO",MB25_VOLUMETRIA[[#This Row],[EMPRESA]]="NET PROJETOS"),"NET","EMPRESARIAL"))</f>
        <v>NET</v>
      </c>
    </row>
    <row r="1345" spans="1:15" x14ac:dyDescent="0.25">
      <c r="A1345" s="32">
        <v>4382440</v>
      </c>
      <c r="B1345" s="32" t="s">
        <v>21</v>
      </c>
      <c r="C1345" s="33" t="s">
        <v>21</v>
      </c>
      <c r="D1345" s="35">
        <v>45448</v>
      </c>
      <c r="E1345" s="32" t="s">
        <v>185</v>
      </c>
      <c r="F1345" s="32">
        <v>22025136</v>
      </c>
      <c r="G1345" s="32" t="s">
        <v>215</v>
      </c>
      <c r="H1345" s="26" t="s">
        <v>38</v>
      </c>
      <c r="I1345" s="36">
        <v>250</v>
      </c>
      <c r="J1345" s="32">
        <f>IF(MB25_VOLUMETRIA[[#This Row],[Reserva]]="","",1)</f>
        <v>1</v>
      </c>
      <c r="K1345" s="36" t="str">
        <f>IF(MB25_VOLUMETRIA[[#This Row],[Reserva]]="","",IFERROR(VLOOKUP(MB25_VOLUMETRIA[[#This Row],[UMB]],CHAVE[],2,FALSE),"VERIFICAR"))</f>
        <v>Unidade</v>
      </c>
      <c r="L13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5" s="32" t="str">
        <f ca="1">IFERROR(VLOOKUP(MB25_VOLUMETRIA[[#This Row],[Reserva]],RES_AB[],14,FALSE),"")</f>
        <v>PLANO DO DIA</v>
      </c>
      <c r="N1345" s="32" t="str">
        <f>IF(MB25_VOLUMETRIA[[#This Row],[Cen.]]="","",IFERROR(VLOOKUP(MB25_VOLUMETRIA[[#This Row],[Cen.]],Dados_Empresas[],2,FALSE),"Verificar empresa"))</f>
        <v>NET MASSIVO</v>
      </c>
      <c r="O1345" s="32" t="str">
        <f>IF(MB25_VOLUMETRIA[[#This Row],[EMPRESA]]="","",IF(OR(MB25_VOLUMETRIA[[#This Row],[EMPRESA]]="NET MASSIVO",MB25_VOLUMETRIA[[#This Row],[EMPRESA]]="NET PROJETOS"),"NET","EMPRESARIAL"))</f>
        <v>NET</v>
      </c>
    </row>
    <row r="1346" spans="1:15" x14ac:dyDescent="0.25">
      <c r="A1346" s="32">
        <v>4382440</v>
      </c>
      <c r="B1346" s="32" t="s">
        <v>21</v>
      </c>
      <c r="C1346" s="33" t="s">
        <v>21</v>
      </c>
      <c r="D1346" s="35">
        <v>45448</v>
      </c>
      <c r="E1346" s="32" t="s">
        <v>185</v>
      </c>
      <c r="F1346" s="32">
        <v>22026189</v>
      </c>
      <c r="G1346" s="32" t="s">
        <v>200</v>
      </c>
      <c r="H1346" s="26" t="s">
        <v>38</v>
      </c>
      <c r="I1346" s="36">
        <v>3100</v>
      </c>
      <c r="J1346" s="32">
        <f>IF(MB25_VOLUMETRIA[[#This Row],[Reserva]]="","",1)</f>
        <v>1</v>
      </c>
      <c r="K1346" s="36" t="str">
        <f>IF(MB25_VOLUMETRIA[[#This Row],[Reserva]]="","",IFERROR(VLOOKUP(MB25_VOLUMETRIA[[#This Row],[UMB]],CHAVE[],2,FALSE),"VERIFICAR"))</f>
        <v>Unidade</v>
      </c>
      <c r="L13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6" s="32" t="str">
        <f ca="1">IFERROR(VLOOKUP(MB25_VOLUMETRIA[[#This Row],[Reserva]],RES_AB[],14,FALSE),"")</f>
        <v>PLANO DO DIA</v>
      </c>
      <c r="N1346" s="32" t="str">
        <f>IF(MB25_VOLUMETRIA[[#This Row],[Cen.]]="","",IFERROR(VLOOKUP(MB25_VOLUMETRIA[[#This Row],[Cen.]],Dados_Empresas[],2,FALSE),"Verificar empresa"))</f>
        <v>NET MASSIVO</v>
      </c>
      <c r="O1346" s="32" t="str">
        <f>IF(MB25_VOLUMETRIA[[#This Row],[EMPRESA]]="","",IF(OR(MB25_VOLUMETRIA[[#This Row],[EMPRESA]]="NET MASSIVO",MB25_VOLUMETRIA[[#This Row],[EMPRESA]]="NET PROJETOS"),"NET","EMPRESARIAL"))</f>
        <v>NET</v>
      </c>
    </row>
    <row r="1347" spans="1:15" x14ac:dyDescent="0.25">
      <c r="A1347" s="32">
        <v>4382440</v>
      </c>
      <c r="B1347" s="32" t="s">
        <v>21</v>
      </c>
      <c r="C1347" s="33" t="s">
        <v>21</v>
      </c>
      <c r="D1347" s="35">
        <v>45448</v>
      </c>
      <c r="E1347" s="32" t="s">
        <v>185</v>
      </c>
      <c r="F1347" s="32">
        <v>22026219</v>
      </c>
      <c r="G1347" s="32" t="s">
        <v>221</v>
      </c>
      <c r="H1347" s="26" t="s">
        <v>38</v>
      </c>
      <c r="I1347" s="36">
        <v>7900</v>
      </c>
      <c r="J1347" s="32">
        <f>IF(MB25_VOLUMETRIA[[#This Row],[Reserva]]="","",1)</f>
        <v>1</v>
      </c>
      <c r="K1347" s="36" t="str">
        <f>IF(MB25_VOLUMETRIA[[#This Row],[Reserva]]="","",IFERROR(VLOOKUP(MB25_VOLUMETRIA[[#This Row],[UMB]],CHAVE[],2,FALSE),"VERIFICAR"))</f>
        <v>Unidade</v>
      </c>
      <c r="L13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7" s="32" t="str">
        <f ca="1">IFERROR(VLOOKUP(MB25_VOLUMETRIA[[#This Row],[Reserva]],RES_AB[],14,FALSE),"")</f>
        <v>PLANO DO DIA</v>
      </c>
      <c r="N1347" s="32" t="str">
        <f>IF(MB25_VOLUMETRIA[[#This Row],[Cen.]]="","",IFERROR(VLOOKUP(MB25_VOLUMETRIA[[#This Row],[Cen.]],Dados_Empresas[],2,FALSE),"Verificar empresa"))</f>
        <v>NET MASSIVO</v>
      </c>
      <c r="O1347" s="32" t="str">
        <f>IF(MB25_VOLUMETRIA[[#This Row],[EMPRESA]]="","",IF(OR(MB25_VOLUMETRIA[[#This Row],[EMPRESA]]="NET MASSIVO",MB25_VOLUMETRIA[[#This Row],[EMPRESA]]="NET PROJETOS"),"NET","EMPRESARIAL"))</f>
        <v>NET</v>
      </c>
    </row>
    <row r="1348" spans="1:15" x14ac:dyDescent="0.25">
      <c r="A1348" s="32">
        <v>4382440</v>
      </c>
      <c r="B1348" s="32" t="s">
        <v>21</v>
      </c>
      <c r="C1348" s="33" t="s">
        <v>21</v>
      </c>
      <c r="D1348" s="35">
        <v>45448</v>
      </c>
      <c r="E1348" s="32" t="s">
        <v>185</v>
      </c>
      <c r="F1348" s="32">
        <v>22026544</v>
      </c>
      <c r="G1348" s="32" t="s">
        <v>206</v>
      </c>
      <c r="H1348" s="26" t="s">
        <v>38</v>
      </c>
      <c r="I1348" s="36">
        <v>50</v>
      </c>
      <c r="J1348" s="32">
        <f>IF(MB25_VOLUMETRIA[[#This Row],[Reserva]]="","",1)</f>
        <v>1</v>
      </c>
      <c r="K1348" s="36" t="str">
        <f>IF(MB25_VOLUMETRIA[[#This Row],[Reserva]]="","",IFERROR(VLOOKUP(MB25_VOLUMETRIA[[#This Row],[UMB]],CHAVE[],2,FALSE),"VERIFICAR"))</f>
        <v>Unidade</v>
      </c>
      <c r="L13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8" s="32" t="str">
        <f ca="1">IFERROR(VLOOKUP(MB25_VOLUMETRIA[[#This Row],[Reserva]],RES_AB[],14,FALSE),"")</f>
        <v>PLANO DO DIA</v>
      </c>
      <c r="N1348" s="32" t="str">
        <f>IF(MB25_VOLUMETRIA[[#This Row],[Cen.]]="","",IFERROR(VLOOKUP(MB25_VOLUMETRIA[[#This Row],[Cen.]],Dados_Empresas[],2,FALSE),"Verificar empresa"))</f>
        <v>NET MASSIVO</v>
      </c>
      <c r="O1348" s="32" t="str">
        <f>IF(MB25_VOLUMETRIA[[#This Row],[EMPRESA]]="","",IF(OR(MB25_VOLUMETRIA[[#This Row],[EMPRESA]]="NET MASSIVO",MB25_VOLUMETRIA[[#This Row],[EMPRESA]]="NET PROJETOS"),"NET","EMPRESARIAL"))</f>
        <v>NET</v>
      </c>
    </row>
    <row r="1349" spans="1:15" x14ac:dyDescent="0.25">
      <c r="A1349" s="32">
        <v>4382440</v>
      </c>
      <c r="B1349" s="32" t="s">
        <v>21</v>
      </c>
      <c r="C1349" s="33" t="s">
        <v>21</v>
      </c>
      <c r="D1349" s="35">
        <v>45448</v>
      </c>
      <c r="E1349" s="32" t="s">
        <v>185</v>
      </c>
      <c r="F1349" s="32">
        <v>22026772</v>
      </c>
      <c r="G1349" s="32" t="s">
        <v>201</v>
      </c>
      <c r="H1349" s="26" t="s">
        <v>38</v>
      </c>
      <c r="I1349" s="36">
        <v>75</v>
      </c>
      <c r="J1349" s="32">
        <f>IF(MB25_VOLUMETRIA[[#This Row],[Reserva]]="","",1)</f>
        <v>1</v>
      </c>
      <c r="K1349" s="36" t="str">
        <f>IF(MB25_VOLUMETRIA[[#This Row],[Reserva]]="","",IFERROR(VLOOKUP(MB25_VOLUMETRIA[[#This Row],[UMB]],CHAVE[],2,FALSE),"VERIFICAR"))</f>
        <v>Unidade</v>
      </c>
      <c r="L13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49" s="32" t="str">
        <f ca="1">IFERROR(VLOOKUP(MB25_VOLUMETRIA[[#This Row],[Reserva]],RES_AB[],14,FALSE),"")</f>
        <v>PLANO DO DIA</v>
      </c>
      <c r="N1349" s="32" t="str">
        <f>IF(MB25_VOLUMETRIA[[#This Row],[Cen.]]="","",IFERROR(VLOOKUP(MB25_VOLUMETRIA[[#This Row],[Cen.]],Dados_Empresas[],2,FALSE),"Verificar empresa"))</f>
        <v>NET MASSIVO</v>
      </c>
      <c r="O1349" s="32" t="str">
        <f>IF(MB25_VOLUMETRIA[[#This Row],[EMPRESA]]="","",IF(OR(MB25_VOLUMETRIA[[#This Row],[EMPRESA]]="NET MASSIVO",MB25_VOLUMETRIA[[#This Row],[EMPRESA]]="NET PROJETOS"),"NET","EMPRESARIAL"))</f>
        <v>NET</v>
      </c>
    </row>
    <row r="1350" spans="1:15" x14ac:dyDescent="0.25">
      <c r="A1350" s="32">
        <v>4382440</v>
      </c>
      <c r="B1350" s="32" t="s">
        <v>21</v>
      </c>
      <c r="C1350" s="33" t="s">
        <v>21</v>
      </c>
      <c r="D1350" s="35">
        <v>45448</v>
      </c>
      <c r="E1350" s="32" t="s">
        <v>185</v>
      </c>
      <c r="F1350" s="32">
        <v>22026809</v>
      </c>
      <c r="G1350" s="32" t="s">
        <v>231</v>
      </c>
      <c r="H1350" s="26" t="s">
        <v>38</v>
      </c>
      <c r="I1350" s="36">
        <v>150</v>
      </c>
      <c r="J1350" s="32">
        <f>IF(MB25_VOLUMETRIA[[#This Row],[Reserva]]="","",1)</f>
        <v>1</v>
      </c>
      <c r="K1350" s="36" t="str">
        <f>IF(MB25_VOLUMETRIA[[#This Row],[Reserva]]="","",IFERROR(VLOOKUP(MB25_VOLUMETRIA[[#This Row],[UMB]],CHAVE[],2,FALSE),"VERIFICAR"))</f>
        <v>Unidade</v>
      </c>
      <c r="L13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0" s="32" t="str">
        <f ca="1">IFERROR(VLOOKUP(MB25_VOLUMETRIA[[#This Row],[Reserva]],RES_AB[],14,FALSE),"")</f>
        <v>PLANO DO DIA</v>
      </c>
      <c r="N1350" s="32" t="str">
        <f>IF(MB25_VOLUMETRIA[[#This Row],[Cen.]]="","",IFERROR(VLOOKUP(MB25_VOLUMETRIA[[#This Row],[Cen.]],Dados_Empresas[],2,FALSE),"Verificar empresa"))</f>
        <v>NET MASSIVO</v>
      </c>
      <c r="O1350" s="32" t="str">
        <f>IF(MB25_VOLUMETRIA[[#This Row],[EMPRESA]]="","",IF(OR(MB25_VOLUMETRIA[[#This Row],[EMPRESA]]="NET MASSIVO",MB25_VOLUMETRIA[[#This Row],[EMPRESA]]="NET PROJETOS"),"NET","EMPRESARIAL"))</f>
        <v>NET</v>
      </c>
    </row>
    <row r="1351" spans="1:15" x14ac:dyDescent="0.25">
      <c r="A1351" s="32">
        <v>4382440</v>
      </c>
      <c r="B1351" s="32" t="s">
        <v>21</v>
      </c>
      <c r="C1351" s="33" t="s">
        <v>21</v>
      </c>
      <c r="D1351" s="35">
        <v>45448</v>
      </c>
      <c r="E1351" s="32" t="s">
        <v>185</v>
      </c>
      <c r="F1351" s="32">
        <v>22056334</v>
      </c>
      <c r="G1351" s="32" t="s">
        <v>321</v>
      </c>
      <c r="H1351" s="26" t="s">
        <v>38</v>
      </c>
      <c r="I1351" s="36">
        <v>100</v>
      </c>
      <c r="J1351" s="32">
        <f>IF(MB25_VOLUMETRIA[[#This Row],[Reserva]]="","",1)</f>
        <v>1</v>
      </c>
      <c r="K1351" s="36" t="str">
        <f>IF(MB25_VOLUMETRIA[[#This Row],[Reserva]]="","",IFERROR(VLOOKUP(MB25_VOLUMETRIA[[#This Row],[UMB]],CHAVE[],2,FALSE),"VERIFICAR"))</f>
        <v>Unidade</v>
      </c>
      <c r="L13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1" s="32" t="str">
        <f ca="1">IFERROR(VLOOKUP(MB25_VOLUMETRIA[[#This Row],[Reserva]],RES_AB[],14,FALSE),"")</f>
        <v>PLANO DO DIA</v>
      </c>
      <c r="N1351" s="32" t="str">
        <f>IF(MB25_VOLUMETRIA[[#This Row],[Cen.]]="","",IFERROR(VLOOKUP(MB25_VOLUMETRIA[[#This Row],[Cen.]],Dados_Empresas[],2,FALSE),"Verificar empresa"))</f>
        <v>NET MASSIVO</v>
      </c>
      <c r="O1351" s="32" t="str">
        <f>IF(MB25_VOLUMETRIA[[#This Row],[EMPRESA]]="","",IF(OR(MB25_VOLUMETRIA[[#This Row],[EMPRESA]]="NET MASSIVO",MB25_VOLUMETRIA[[#This Row],[EMPRESA]]="NET PROJETOS"),"NET","EMPRESARIAL"))</f>
        <v>NET</v>
      </c>
    </row>
    <row r="1352" spans="1:15" x14ac:dyDescent="0.25">
      <c r="A1352" s="32">
        <v>4382440</v>
      </c>
      <c r="B1352" s="32" t="s">
        <v>21</v>
      </c>
      <c r="C1352" s="33" t="s">
        <v>21</v>
      </c>
      <c r="D1352" s="35">
        <v>45448</v>
      </c>
      <c r="E1352" s="32" t="s">
        <v>185</v>
      </c>
      <c r="F1352" s="32">
        <v>22056343</v>
      </c>
      <c r="G1352" s="32" t="s">
        <v>234</v>
      </c>
      <c r="H1352" s="26" t="s">
        <v>38</v>
      </c>
      <c r="I1352" s="36">
        <v>100</v>
      </c>
      <c r="J1352" s="32">
        <f>IF(MB25_VOLUMETRIA[[#This Row],[Reserva]]="","",1)</f>
        <v>1</v>
      </c>
      <c r="K1352" s="36" t="str">
        <f>IF(MB25_VOLUMETRIA[[#This Row],[Reserva]]="","",IFERROR(VLOOKUP(MB25_VOLUMETRIA[[#This Row],[UMB]],CHAVE[],2,FALSE),"VERIFICAR"))</f>
        <v>Unidade</v>
      </c>
      <c r="L13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2" s="32" t="str">
        <f ca="1">IFERROR(VLOOKUP(MB25_VOLUMETRIA[[#This Row],[Reserva]],RES_AB[],14,FALSE),"")</f>
        <v>PLANO DO DIA</v>
      </c>
      <c r="N1352" s="32" t="str">
        <f>IF(MB25_VOLUMETRIA[[#This Row],[Cen.]]="","",IFERROR(VLOOKUP(MB25_VOLUMETRIA[[#This Row],[Cen.]],Dados_Empresas[],2,FALSE),"Verificar empresa"))</f>
        <v>NET MASSIVO</v>
      </c>
      <c r="O1352" s="32" t="str">
        <f>IF(MB25_VOLUMETRIA[[#This Row],[EMPRESA]]="","",IF(OR(MB25_VOLUMETRIA[[#This Row],[EMPRESA]]="NET MASSIVO",MB25_VOLUMETRIA[[#This Row],[EMPRESA]]="NET PROJETOS"),"NET","EMPRESARIAL"))</f>
        <v>NET</v>
      </c>
    </row>
    <row r="1353" spans="1:15" x14ac:dyDescent="0.25">
      <c r="A1353" s="32">
        <v>4382440</v>
      </c>
      <c r="B1353" s="32" t="s">
        <v>21</v>
      </c>
      <c r="C1353" s="33" t="s">
        <v>21</v>
      </c>
      <c r="D1353" s="35">
        <v>45448</v>
      </c>
      <c r="E1353" s="32" t="s">
        <v>185</v>
      </c>
      <c r="F1353" s="32">
        <v>22056364</v>
      </c>
      <c r="G1353" s="32" t="s">
        <v>236</v>
      </c>
      <c r="H1353" s="26" t="s">
        <v>38</v>
      </c>
      <c r="I1353" s="36">
        <v>270</v>
      </c>
      <c r="J1353" s="32">
        <f>IF(MB25_VOLUMETRIA[[#This Row],[Reserva]]="","",1)</f>
        <v>1</v>
      </c>
      <c r="K1353" s="36" t="str">
        <f>IF(MB25_VOLUMETRIA[[#This Row],[Reserva]]="","",IFERROR(VLOOKUP(MB25_VOLUMETRIA[[#This Row],[UMB]],CHAVE[],2,FALSE),"VERIFICAR"))</f>
        <v>Unidade</v>
      </c>
      <c r="L13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3" s="32" t="str">
        <f ca="1">IFERROR(VLOOKUP(MB25_VOLUMETRIA[[#This Row],[Reserva]],RES_AB[],14,FALSE),"")</f>
        <v>PLANO DO DIA</v>
      </c>
      <c r="N1353" s="32" t="str">
        <f>IF(MB25_VOLUMETRIA[[#This Row],[Cen.]]="","",IFERROR(VLOOKUP(MB25_VOLUMETRIA[[#This Row],[Cen.]],Dados_Empresas[],2,FALSE),"Verificar empresa"))</f>
        <v>NET MASSIVO</v>
      </c>
      <c r="O1353" s="32" t="str">
        <f>IF(MB25_VOLUMETRIA[[#This Row],[EMPRESA]]="","",IF(OR(MB25_VOLUMETRIA[[#This Row],[EMPRESA]]="NET MASSIVO",MB25_VOLUMETRIA[[#This Row],[EMPRESA]]="NET PROJETOS"),"NET","EMPRESARIAL"))</f>
        <v>NET</v>
      </c>
    </row>
    <row r="1354" spans="1:15" x14ac:dyDescent="0.25">
      <c r="A1354" s="32">
        <v>4382440</v>
      </c>
      <c r="B1354" s="32" t="s">
        <v>21</v>
      </c>
      <c r="C1354" s="33" t="s">
        <v>21</v>
      </c>
      <c r="D1354" s="35">
        <v>45448</v>
      </c>
      <c r="E1354" s="32" t="s">
        <v>185</v>
      </c>
      <c r="F1354" s="32">
        <v>22056365</v>
      </c>
      <c r="G1354" s="32" t="s">
        <v>244</v>
      </c>
      <c r="H1354" s="26" t="s">
        <v>38</v>
      </c>
      <c r="I1354" s="36">
        <v>270</v>
      </c>
      <c r="J1354" s="32">
        <f>IF(MB25_VOLUMETRIA[[#This Row],[Reserva]]="","",1)</f>
        <v>1</v>
      </c>
      <c r="K1354" s="36" t="str">
        <f>IF(MB25_VOLUMETRIA[[#This Row],[Reserva]]="","",IFERROR(VLOOKUP(MB25_VOLUMETRIA[[#This Row],[UMB]],CHAVE[],2,FALSE),"VERIFICAR"))</f>
        <v>Unidade</v>
      </c>
      <c r="L13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4" s="32" t="str">
        <f ca="1">IFERROR(VLOOKUP(MB25_VOLUMETRIA[[#This Row],[Reserva]],RES_AB[],14,FALSE),"")</f>
        <v>PLANO DO DIA</v>
      </c>
      <c r="N1354" s="32" t="str">
        <f>IF(MB25_VOLUMETRIA[[#This Row],[Cen.]]="","",IFERROR(VLOOKUP(MB25_VOLUMETRIA[[#This Row],[Cen.]],Dados_Empresas[],2,FALSE),"Verificar empresa"))</f>
        <v>NET MASSIVO</v>
      </c>
      <c r="O1354" s="32" t="str">
        <f>IF(MB25_VOLUMETRIA[[#This Row],[EMPRESA]]="","",IF(OR(MB25_VOLUMETRIA[[#This Row],[EMPRESA]]="NET MASSIVO",MB25_VOLUMETRIA[[#This Row],[EMPRESA]]="NET PROJETOS"),"NET","EMPRESARIAL"))</f>
        <v>NET</v>
      </c>
    </row>
    <row r="1355" spans="1:15" x14ac:dyDescent="0.25">
      <c r="A1355" s="32">
        <v>4382440</v>
      </c>
      <c r="B1355" s="32" t="s">
        <v>21</v>
      </c>
      <c r="C1355" s="33" t="s">
        <v>21</v>
      </c>
      <c r="D1355" s="35">
        <v>45448</v>
      </c>
      <c r="E1355" s="32" t="s">
        <v>185</v>
      </c>
      <c r="F1355" s="32">
        <v>22056369</v>
      </c>
      <c r="G1355" s="32" t="s">
        <v>194</v>
      </c>
      <c r="H1355" s="26" t="s">
        <v>38</v>
      </c>
      <c r="I1355" s="36">
        <v>900</v>
      </c>
      <c r="J1355" s="32">
        <f>IF(MB25_VOLUMETRIA[[#This Row],[Reserva]]="","",1)</f>
        <v>1</v>
      </c>
      <c r="K1355" s="36" t="str">
        <f>IF(MB25_VOLUMETRIA[[#This Row],[Reserva]]="","",IFERROR(VLOOKUP(MB25_VOLUMETRIA[[#This Row],[UMB]],CHAVE[],2,FALSE),"VERIFICAR"))</f>
        <v>Unidade</v>
      </c>
      <c r="L13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5" s="32" t="str">
        <f ca="1">IFERROR(VLOOKUP(MB25_VOLUMETRIA[[#This Row],[Reserva]],RES_AB[],14,FALSE),"")</f>
        <v>PLANO DO DIA</v>
      </c>
      <c r="N1355" s="32" t="str">
        <f>IF(MB25_VOLUMETRIA[[#This Row],[Cen.]]="","",IFERROR(VLOOKUP(MB25_VOLUMETRIA[[#This Row],[Cen.]],Dados_Empresas[],2,FALSE),"Verificar empresa"))</f>
        <v>NET MASSIVO</v>
      </c>
      <c r="O1355" s="32" t="str">
        <f>IF(MB25_VOLUMETRIA[[#This Row],[EMPRESA]]="","",IF(OR(MB25_VOLUMETRIA[[#This Row],[EMPRESA]]="NET MASSIVO",MB25_VOLUMETRIA[[#This Row],[EMPRESA]]="NET PROJETOS"),"NET","EMPRESARIAL"))</f>
        <v>NET</v>
      </c>
    </row>
    <row r="1356" spans="1:15" x14ac:dyDescent="0.25">
      <c r="A1356" s="32">
        <v>4382440</v>
      </c>
      <c r="B1356" s="32" t="s">
        <v>21</v>
      </c>
      <c r="C1356" s="33" t="s">
        <v>21</v>
      </c>
      <c r="D1356" s="35">
        <v>45448</v>
      </c>
      <c r="E1356" s="32" t="s">
        <v>185</v>
      </c>
      <c r="F1356" s="32">
        <v>22057620</v>
      </c>
      <c r="G1356" s="32" t="s">
        <v>253</v>
      </c>
      <c r="H1356" s="26" t="s">
        <v>38</v>
      </c>
      <c r="I1356" s="36">
        <v>400</v>
      </c>
      <c r="J1356" s="32">
        <f>IF(MB25_VOLUMETRIA[[#This Row],[Reserva]]="","",1)</f>
        <v>1</v>
      </c>
      <c r="K1356" s="36" t="str">
        <f>IF(MB25_VOLUMETRIA[[#This Row],[Reserva]]="","",IFERROR(VLOOKUP(MB25_VOLUMETRIA[[#This Row],[UMB]],CHAVE[],2,FALSE),"VERIFICAR"))</f>
        <v>Unidade</v>
      </c>
      <c r="L13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6" s="32" t="str">
        <f ca="1">IFERROR(VLOOKUP(MB25_VOLUMETRIA[[#This Row],[Reserva]],RES_AB[],14,FALSE),"")</f>
        <v>PLANO DO DIA</v>
      </c>
      <c r="N1356" s="32" t="str">
        <f>IF(MB25_VOLUMETRIA[[#This Row],[Cen.]]="","",IFERROR(VLOOKUP(MB25_VOLUMETRIA[[#This Row],[Cen.]],Dados_Empresas[],2,FALSE),"Verificar empresa"))</f>
        <v>NET MASSIVO</v>
      </c>
      <c r="O1356" s="32" t="str">
        <f>IF(MB25_VOLUMETRIA[[#This Row],[EMPRESA]]="","",IF(OR(MB25_VOLUMETRIA[[#This Row],[EMPRESA]]="NET MASSIVO",MB25_VOLUMETRIA[[#This Row],[EMPRESA]]="NET PROJETOS"),"NET","EMPRESARIAL"))</f>
        <v>NET</v>
      </c>
    </row>
    <row r="1357" spans="1:15" x14ac:dyDescent="0.25">
      <c r="A1357" s="32">
        <v>4382440</v>
      </c>
      <c r="B1357" s="32" t="s">
        <v>21</v>
      </c>
      <c r="C1357" s="33" t="s">
        <v>21</v>
      </c>
      <c r="D1357" s="35">
        <v>45448</v>
      </c>
      <c r="E1357" s="32" t="s">
        <v>185</v>
      </c>
      <c r="F1357" s="32">
        <v>22057659</v>
      </c>
      <c r="G1357" s="32" t="s">
        <v>224</v>
      </c>
      <c r="H1357" s="26" t="s">
        <v>38</v>
      </c>
      <c r="I1357" s="36">
        <v>250</v>
      </c>
      <c r="J1357" s="32">
        <f>IF(MB25_VOLUMETRIA[[#This Row],[Reserva]]="","",1)</f>
        <v>1</v>
      </c>
      <c r="K1357" s="36" t="str">
        <f>IF(MB25_VOLUMETRIA[[#This Row],[Reserva]]="","",IFERROR(VLOOKUP(MB25_VOLUMETRIA[[#This Row],[UMB]],CHAVE[],2,FALSE),"VERIFICAR"))</f>
        <v>Unidade</v>
      </c>
      <c r="L13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7" s="32" t="str">
        <f ca="1">IFERROR(VLOOKUP(MB25_VOLUMETRIA[[#This Row],[Reserva]],RES_AB[],14,FALSE),"")</f>
        <v>PLANO DO DIA</v>
      </c>
      <c r="N1357" s="32" t="str">
        <f>IF(MB25_VOLUMETRIA[[#This Row],[Cen.]]="","",IFERROR(VLOOKUP(MB25_VOLUMETRIA[[#This Row],[Cen.]],Dados_Empresas[],2,FALSE),"Verificar empresa"))</f>
        <v>NET MASSIVO</v>
      </c>
      <c r="O1357" s="32" t="str">
        <f>IF(MB25_VOLUMETRIA[[#This Row],[EMPRESA]]="","",IF(OR(MB25_VOLUMETRIA[[#This Row],[EMPRESA]]="NET MASSIVO",MB25_VOLUMETRIA[[#This Row],[EMPRESA]]="NET PROJETOS"),"NET","EMPRESARIAL"))</f>
        <v>NET</v>
      </c>
    </row>
    <row r="1358" spans="1:15" x14ac:dyDescent="0.25">
      <c r="A1358" s="32">
        <v>4382440</v>
      </c>
      <c r="B1358" s="32" t="s">
        <v>21</v>
      </c>
      <c r="C1358" s="33" t="s">
        <v>21</v>
      </c>
      <c r="D1358" s="35">
        <v>45448</v>
      </c>
      <c r="E1358" s="32" t="s">
        <v>185</v>
      </c>
      <c r="F1358" s="32">
        <v>22060738</v>
      </c>
      <c r="G1358" s="32" t="s">
        <v>199</v>
      </c>
      <c r="H1358" s="26" t="s">
        <v>38</v>
      </c>
      <c r="I1358" s="36">
        <v>3200</v>
      </c>
      <c r="J1358" s="32">
        <f>IF(MB25_VOLUMETRIA[[#This Row],[Reserva]]="","",1)</f>
        <v>1</v>
      </c>
      <c r="K1358" s="36" t="str">
        <f>IF(MB25_VOLUMETRIA[[#This Row],[Reserva]]="","",IFERROR(VLOOKUP(MB25_VOLUMETRIA[[#This Row],[UMB]],CHAVE[],2,FALSE),"VERIFICAR"))</f>
        <v>Unidade</v>
      </c>
      <c r="L13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8" s="32" t="str">
        <f ca="1">IFERROR(VLOOKUP(MB25_VOLUMETRIA[[#This Row],[Reserva]],RES_AB[],14,FALSE),"")</f>
        <v>PLANO DO DIA</v>
      </c>
      <c r="N1358" s="32" t="str">
        <f>IF(MB25_VOLUMETRIA[[#This Row],[Cen.]]="","",IFERROR(VLOOKUP(MB25_VOLUMETRIA[[#This Row],[Cen.]],Dados_Empresas[],2,FALSE),"Verificar empresa"))</f>
        <v>NET MASSIVO</v>
      </c>
      <c r="O1358" s="32" t="str">
        <f>IF(MB25_VOLUMETRIA[[#This Row],[EMPRESA]]="","",IF(OR(MB25_VOLUMETRIA[[#This Row],[EMPRESA]]="NET MASSIVO",MB25_VOLUMETRIA[[#This Row],[EMPRESA]]="NET PROJETOS"),"NET","EMPRESARIAL"))</f>
        <v>NET</v>
      </c>
    </row>
    <row r="1359" spans="1:15" x14ac:dyDescent="0.25">
      <c r="A1359" s="32">
        <v>4382440</v>
      </c>
      <c r="B1359" s="32" t="s">
        <v>21</v>
      </c>
      <c r="C1359" s="33" t="s">
        <v>21</v>
      </c>
      <c r="D1359" s="35">
        <v>45448</v>
      </c>
      <c r="E1359" s="32" t="s">
        <v>185</v>
      </c>
      <c r="F1359" s="32">
        <v>22061736</v>
      </c>
      <c r="G1359" s="32" t="s">
        <v>216</v>
      </c>
      <c r="H1359" s="26" t="s">
        <v>38</v>
      </c>
      <c r="I1359" s="36">
        <v>5500</v>
      </c>
      <c r="J1359" s="32">
        <f>IF(MB25_VOLUMETRIA[[#This Row],[Reserva]]="","",1)</f>
        <v>1</v>
      </c>
      <c r="K1359" s="36" t="str">
        <f>IF(MB25_VOLUMETRIA[[#This Row],[Reserva]]="","",IFERROR(VLOOKUP(MB25_VOLUMETRIA[[#This Row],[UMB]],CHAVE[],2,FALSE),"VERIFICAR"))</f>
        <v>Unidade</v>
      </c>
      <c r="L13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59" s="32" t="str">
        <f ca="1">IFERROR(VLOOKUP(MB25_VOLUMETRIA[[#This Row],[Reserva]],RES_AB[],14,FALSE),"")</f>
        <v>PLANO DO DIA</v>
      </c>
      <c r="N1359" s="32" t="str">
        <f>IF(MB25_VOLUMETRIA[[#This Row],[Cen.]]="","",IFERROR(VLOOKUP(MB25_VOLUMETRIA[[#This Row],[Cen.]],Dados_Empresas[],2,FALSE),"Verificar empresa"))</f>
        <v>NET MASSIVO</v>
      </c>
      <c r="O1359" s="32" t="str">
        <f>IF(MB25_VOLUMETRIA[[#This Row],[EMPRESA]]="","",IF(OR(MB25_VOLUMETRIA[[#This Row],[EMPRESA]]="NET MASSIVO",MB25_VOLUMETRIA[[#This Row],[EMPRESA]]="NET PROJETOS"),"NET","EMPRESARIAL"))</f>
        <v>NET</v>
      </c>
    </row>
    <row r="1360" spans="1:15" x14ac:dyDescent="0.25">
      <c r="A1360" s="32">
        <v>4382440</v>
      </c>
      <c r="B1360" s="32" t="s">
        <v>21</v>
      </c>
      <c r="C1360" s="33" t="s">
        <v>21</v>
      </c>
      <c r="D1360" s="35">
        <v>45448</v>
      </c>
      <c r="E1360" s="32" t="s">
        <v>185</v>
      </c>
      <c r="F1360" s="32">
        <v>22061811</v>
      </c>
      <c r="G1360" s="32" t="s">
        <v>226</v>
      </c>
      <c r="H1360" s="26" t="s">
        <v>38</v>
      </c>
      <c r="I1360" s="36">
        <v>200</v>
      </c>
      <c r="J1360" s="32">
        <f>IF(MB25_VOLUMETRIA[[#This Row],[Reserva]]="","",1)</f>
        <v>1</v>
      </c>
      <c r="K1360" s="36" t="str">
        <f>IF(MB25_VOLUMETRIA[[#This Row],[Reserva]]="","",IFERROR(VLOOKUP(MB25_VOLUMETRIA[[#This Row],[UMB]],CHAVE[],2,FALSE),"VERIFICAR"))</f>
        <v>Unidade</v>
      </c>
      <c r="L13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0" s="32" t="str">
        <f ca="1">IFERROR(VLOOKUP(MB25_VOLUMETRIA[[#This Row],[Reserva]],RES_AB[],14,FALSE),"")</f>
        <v>PLANO DO DIA</v>
      </c>
      <c r="N1360" s="32" t="str">
        <f>IF(MB25_VOLUMETRIA[[#This Row],[Cen.]]="","",IFERROR(VLOOKUP(MB25_VOLUMETRIA[[#This Row],[Cen.]],Dados_Empresas[],2,FALSE),"Verificar empresa"))</f>
        <v>NET MASSIVO</v>
      </c>
      <c r="O1360" s="32" t="str">
        <f>IF(MB25_VOLUMETRIA[[#This Row],[EMPRESA]]="","",IF(OR(MB25_VOLUMETRIA[[#This Row],[EMPRESA]]="NET MASSIVO",MB25_VOLUMETRIA[[#This Row],[EMPRESA]]="NET PROJETOS"),"NET","EMPRESARIAL"))</f>
        <v>NET</v>
      </c>
    </row>
    <row r="1361" spans="1:15" x14ac:dyDescent="0.25">
      <c r="A1361" s="32">
        <v>4382440</v>
      </c>
      <c r="B1361" s="32" t="s">
        <v>21</v>
      </c>
      <c r="C1361" s="33" t="s">
        <v>21</v>
      </c>
      <c r="D1361" s="35">
        <v>45448</v>
      </c>
      <c r="E1361" s="32" t="s">
        <v>185</v>
      </c>
      <c r="F1361" s="32">
        <v>22065724</v>
      </c>
      <c r="G1361" s="32" t="s">
        <v>400</v>
      </c>
      <c r="H1361" s="26" t="s">
        <v>38</v>
      </c>
      <c r="I1361" s="36">
        <v>100</v>
      </c>
      <c r="J1361" s="32">
        <f>IF(MB25_VOLUMETRIA[[#This Row],[Reserva]]="","",1)</f>
        <v>1</v>
      </c>
      <c r="K1361" s="36" t="str">
        <f>IF(MB25_VOLUMETRIA[[#This Row],[Reserva]]="","",IFERROR(VLOOKUP(MB25_VOLUMETRIA[[#This Row],[UMB]],CHAVE[],2,FALSE),"VERIFICAR"))</f>
        <v>Unidade</v>
      </c>
      <c r="L13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1" s="32" t="str">
        <f ca="1">IFERROR(VLOOKUP(MB25_VOLUMETRIA[[#This Row],[Reserva]],RES_AB[],14,FALSE),"")</f>
        <v>PLANO DO DIA</v>
      </c>
      <c r="N1361" s="32" t="str">
        <f>IF(MB25_VOLUMETRIA[[#This Row],[Cen.]]="","",IFERROR(VLOOKUP(MB25_VOLUMETRIA[[#This Row],[Cen.]],Dados_Empresas[],2,FALSE),"Verificar empresa"))</f>
        <v>NET MASSIVO</v>
      </c>
      <c r="O1361" s="32" t="str">
        <f>IF(MB25_VOLUMETRIA[[#This Row],[EMPRESA]]="","",IF(OR(MB25_VOLUMETRIA[[#This Row],[EMPRESA]]="NET MASSIVO",MB25_VOLUMETRIA[[#This Row],[EMPRESA]]="NET PROJETOS"),"NET","EMPRESARIAL"))</f>
        <v>NET</v>
      </c>
    </row>
    <row r="1362" spans="1:15" x14ac:dyDescent="0.25">
      <c r="A1362" s="32">
        <v>4382440</v>
      </c>
      <c r="B1362" s="32" t="s">
        <v>21</v>
      </c>
      <c r="C1362" s="33" t="s">
        <v>21</v>
      </c>
      <c r="D1362" s="35">
        <v>45448</v>
      </c>
      <c r="E1362" s="32" t="s">
        <v>185</v>
      </c>
      <c r="F1362" s="32">
        <v>22065726</v>
      </c>
      <c r="G1362" s="32" t="s">
        <v>251</v>
      </c>
      <c r="H1362" s="26" t="s">
        <v>38</v>
      </c>
      <c r="I1362" s="36">
        <v>100</v>
      </c>
      <c r="J1362" s="32">
        <f>IF(MB25_VOLUMETRIA[[#This Row],[Reserva]]="","",1)</f>
        <v>1</v>
      </c>
      <c r="K1362" s="36" t="str">
        <f>IF(MB25_VOLUMETRIA[[#This Row],[Reserva]]="","",IFERROR(VLOOKUP(MB25_VOLUMETRIA[[#This Row],[UMB]],CHAVE[],2,FALSE),"VERIFICAR"))</f>
        <v>Unidade</v>
      </c>
      <c r="L13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2" s="32" t="str">
        <f ca="1">IFERROR(VLOOKUP(MB25_VOLUMETRIA[[#This Row],[Reserva]],RES_AB[],14,FALSE),"")</f>
        <v>PLANO DO DIA</v>
      </c>
      <c r="N1362" s="32" t="str">
        <f>IF(MB25_VOLUMETRIA[[#This Row],[Cen.]]="","",IFERROR(VLOOKUP(MB25_VOLUMETRIA[[#This Row],[Cen.]],Dados_Empresas[],2,FALSE),"Verificar empresa"))</f>
        <v>NET MASSIVO</v>
      </c>
      <c r="O1362" s="32" t="str">
        <f>IF(MB25_VOLUMETRIA[[#This Row],[EMPRESA]]="","",IF(OR(MB25_VOLUMETRIA[[#This Row],[EMPRESA]]="NET MASSIVO",MB25_VOLUMETRIA[[#This Row],[EMPRESA]]="NET PROJETOS"),"NET","EMPRESARIAL"))</f>
        <v>NET</v>
      </c>
    </row>
    <row r="1363" spans="1:15" x14ac:dyDescent="0.25">
      <c r="A1363" s="32">
        <v>4382440</v>
      </c>
      <c r="B1363" s="32" t="s">
        <v>21</v>
      </c>
      <c r="C1363" s="33" t="s">
        <v>21</v>
      </c>
      <c r="D1363" s="35">
        <v>45448</v>
      </c>
      <c r="E1363" s="32" t="s">
        <v>185</v>
      </c>
      <c r="F1363" s="32">
        <v>22066517</v>
      </c>
      <c r="G1363" s="32" t="s">
        <v>325</v>
      </c>
      <c r="H1363" s="26" t="s">
        <v>38</v>
      </c>
      <c r="I1363" s="36">
        <v>300</v>
      </c>
      <c r="J1363" s="32">
        <f>IF(MB25_VOLUMETRIA[[#This Row],[Reserva]]="","",1)</f>
        <v>1</v>
      </c>
      <c r="K1363" s="36" t="str">
        <f>IF(MB25_VOLUMETRIA[[#This Row],[Reserva]]="","",IFERROR(VLOOKUP(MB25_VOLUMETRIA[[#This Row],[UMB]],CHAVE[],2,FALSE),"VERIFICAR"))</f>
        <v>Unidade</v>
      </c>
      <c r="L13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3" s="32" t="str">
        <f ca="1">IFERROR(VLOOKUP(MB25_VOLUMETRIA[[#This Row],[Reserva]],RES_AB[],14,FALSE),"")</f>
        <v>PLANO DO DIA</v>
      </c>
      <c r="N1363" s="32" t="str">
        <f>IF(MB25_VOLUMETRIA[[#This Row],[Cen.]]="","",IFERROR(VLOOKUP(MB25_VOLUMETRIA[[#This Row],[Cen.]],Dados_Empresas[],2,FALSE),"Verificar empresa"))</f>
        <v>NET MASSIVO</v>
      </c>
      <c r="O1363" s="32" t="str">
        <f>IF(MB25_VOLUMETRIA[[#This Row],[EMPRESA]]="","",IF(OR(MB25_VOLUMETRIA[[#This Row],[EMPRESA]]="NET MASSIVO",MB25_VOLUMETRIA[[#This Row],[EMPRESA]]="NET PROJETOS"),"NET","EMPRESARIAL"))</f>
        <v>NET</v>
      </c>
    </row>
    <row r="1364" spans="1:15" x14ac:dyDescent="0.25">
      <c r="A1364" s="32">
        <v>4382441</v>
      </c>
      <c r="B1364" s="32" t="s">
        <v>21</v>
      </c>
      <c r="C1364" s="33" t="s">
        <v>21</v>
      </c>
      <c r="D1364" s="35">
        <v>45448</v>
      </c>
      <c r="E1364" s="32" t="s">
        <v>184</v>
      </c>
      <c r="F1364" s="32">
        <v>41001536</v>
      </c>
      <c r="G1364" s="32" t="s">
        <v>371</v>
      </c>
      <c r="H1364" s="26" t="s">
        <v>38</v>
      </c>
      <c r="I1364" s="36">
        <v>140</v>
      </c>
      <c r="J1364" s="32">
        <f>IF(MB25_VOLUMETRIA[[#This Row],[Reserva]]="","",1)</f>
        <v>1</v>
      </c>
      <c r="K1364" s="36" t="str">
        <f>IF(MB25_VOLUMETRIA[[#This Row],[Reserva]]="","",IFERROR(VLOOKUP(MB25_VOLUMETRIA[[#This Row],[UMB]],CHAVE[],2,FALSE),"VERIFICAR"))</f>
        <v>Unidade</v>
      </c>
      <c r="L13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4" s="32" t="str">
        <f ca="1">IFERROR(VLOOKUP(MB25_VOLUMETRIA[[#This Row],[Reserva]],RES_AB[],14,FALSE),"")</f>
        <v>PLANO DO DIA</v>
      </c>
      <c r="N1364" s="32" t="str">
        <f>IF(MB25_VOLUMETRIA[[#This Row],[Cen.]]="","",IFERROR(VLOOKUP(MB25_VOLUMETRIA[[#This Row],[Cen.]],Dados_Empresas[],2,FALSE),"Verificar empresa"))</f>
        <v>NET MASSIVO</v>
      </c>
      <c r="O1364" s="32" t="str">
        <f>IF(MB25_VOLUMETRIA[[#This Row],[EMPRESA]]="","",IF(OR(MB25_VOLUMETRIA[[#This Row],[EMPRESA]]="NET MASSIVO",MB25_VOLUMETRIA[[#This Row],[EMPRESA]]="NET PROJETOS"),"NET","EMPRESARIAL"))</f>
        <v>NET</v>
      </c>
    </row>
    <row r="1365" spans="1:15" x14ac:dyDescent="0.25">
      <c r="A1365" s="32">
        <v>4382441</v>
      </c>
      <c r="B1365" s="32" t="s">
        <v>21</v>
      </c>
      <c r="C1365" s="33" t="s">
        <v>21</v>
      </c>
      <c r="D1365" s="35">
        <v>45448</v>
      </c>
      <c r="E1365" s="32" t="s">
        <v>184</v>
      </c>
      <c r="F1365" s="32">
        <v>41001553</v>
      </c>
      <c r="G1365" s="32" t="s">
        <v>295</v>
      </c>
      <c r="H1365" s="26" t="s">
        <v>38</v>
      </c>
      <c r="I1365" s="36">
        <v>180</v>
      </c>
      <c r="J1365" s="32">
        <f>IF(MB25_VOLUMETRIA[[#This Row],[Reserva]]="","",1)</f>
        <v>1</v>
      </c>
      <c r="K1365" s="36" t="str">
        <f>IF(MB25_VOLUMETRIA[[#This Row],[Reserva]]="","",IFERROR(VLOOKUP(MB25_VOLUMETRIA[[#This Row],[UMB]],CHAVE[],2,FALSE),"VERIFICAR"))</f>
        <v>Unidade</v>
      </c>
      <c r="L13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5" s="32" t="str">
        <f ca="1">IFERROR(VLOOKUP(MB25_VOLUMETRIA[[#This Row],[Reserva]],RES_AB[],14,FALSE),"")</f>
        <v>PLANO DO DIA</v>
      </c>
      <c r="N1365" s="32" t="str">
        <f>IF(MB25_VOLUMETRIA[[#This Row],[Cen.]]="","",IFERROR(VLOOKUP(MB25_VOLUMETRIA[[#This Row],[Cen.]],Dados_Empresas[],2,FALSE),"Verificar empresa"))</f>
        <v>NET MASSIVO</v>
      </c>
      <c r="O1365" s="32" t="str">
        <f>IF(MB25_VOLUMETRIA[[#This Row],[EMPRESA]]="","",IF(OR(MB25_VOLUMETRIA[[#This Row],[EMPRESA]]="NET MASSIVO",MB25_VOLUMETRIA[[#This Row],[EMPRESA]]="NET PROJETOS"),"NET","EMPRESARIAL"))</f>
        <v>NET</v>
      </c>
    </row>
    <row r="1366" spans="1:15" x14ac:dyDescent="0.25">
      <c r="A1366" s="32">
        <v>4382442</v>
      </c>
      <c r="B1366" s="32" t="s">
        <v>21</v>
      </c>
      <c r="C1366" s="33" t="s">
        <v>182</v>
      </c>
      <c r="D1366" s="35">
        <v>45448</v>
      </c>
      <c r="E1366" s="32" t="s">
        <v>184</v>
      </c>
      <c r="F1366" s="32">
        <v>41001530</v>
      </c>
      <c r="G1366" s="32" t="s">
        <v>319</v>
      </c>
      <c r="H1366" s="26" t="s">
        <v>38</v>
      </c>
      <c r="I1366" s="36">
        <v>20</v>
      </c>
      <c r="J1366" s="32">
        <f>IF(MB25_VOLUMETRIA[[#This Row],[Reserva]]="","",1)</f>
        <v>1</v>
      </c>
      <c r="K1366" s="36" t="str">
        <f>IF(MB25_VOLUMETRIA[[#This Row],[Reserva]]="","",IFERROR(VLOOKUP(MB25_VOLUMETRIA[[#This Row],[UMB]],CHAVE[],2,FALSE),"VERIFICAR"))</f>
        <v>Unidade</v>
      </c>
      <c r="L13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6" s="32" t="str">
        <f ca="1">IFERROR(VLOOKUP(MB25_VOLUMETRIA[[#This Row],[Reserva]],RES_AB[],14,FALSE),"")</f>
        <v>PLANO DO DIA</v>
      </c>
      <c r="N1366" s="32" t="str">
        <f>IF(MB25_VOLUMETRIA[[#This Row],[Cen.]]="","",IFERROR(VLOOKUP(MB25_VOLUMETRIA[[#This Row],[Cen.]],Dados_Empresas[],2,FALSE),"Verificar empresa"))</f>
        <v>NET MASSIVO</v>
      </c>
      <c r="O1366" s="32" t="str">
        <f>IF(MB25_VOLUMETRIA[[#This Row],[EMPRESA]]="","",IF(OR(MB25_VOLUMETRIA[[#This Row],[EMPRESA]]="NET MASSIVO",MB25_VOLUMETRIA[[#This Row],[EMPRESA]]="NET PROJETOS"),"NET","EMPRESARIAL"))</f>
        <v>NET</v>
      </c>
    </row>
    <row r="1367" spans="1:15" x14ac:dyDescent="0.25">
      <c r="A1367" s="32">
        <v>4382443</v>
      </c>
      <c r="B1367" s="32" t="s">
        <v>21</v>
      </c>
      <c r="C1367" s="33" t="s">
        <v>21</v>
      </c>
      <c r="D1367" s="35">
        <v>45448</v>
      </c>
      <c r="E1367" s="32" t="s">
        <v>185</v>
      </c>
      <c r="F1367" s="32">
        <v>22025049</v>
      </c>
      <c r="G1367" s="32" t="s">
        <v>198</v>
      </c>
      <c r="H1367" s="26" t="s">
        <v>38</v>
      </c>
      <c r="I1367" s="36">
        <v>12</v>
      </c>
      <c r="J1367" s="32">
        <f>IF(MB25_VOLUMETRIA[[#This Row],[Reserva]]="","",1)</f>
        <v>1</v>
      </c>
      <c r="K1367" s="36" t="str">
        <f>IF(MB25_VOLUMETRIA[[#This Row],[Reserva]]="","",IFERROR(VLOOKUP(MB25_VOLUMETRIA[[#This Row],[UMB]],CHAVE[],2,FALSE),"VERIFICAR"))</f>
        <v>Unidade</v>
      </c>
      <c r="L13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7" s="32" t="str">
        <f ca="1">IFERROR(VLOOKUP(MB25_VOLUMETRIA[[#This Row],[Reserva]],RES_AB[],14,FALSE),"")</f>
        <v>PLANO DO DIA</v>
      </c>
      <c r="N1367" s="32" t="str">
        <f>IF(MB25_VOLUMETRIA[[#This Row],[Cen.]]="","",IFERROR(VLOOKUP(MB25_VOLUMETRIA[[#This Row],[Cen.]],Dados_Empresas[],2,FALSE),"Verificar empresa"))</f>
        <v>NET MASSIVO</v>
      </c>
      <c r="O1367" s="32" t="str">
        <f>IF(MB25_VOLUMETRIA[[#This Row],[EMPRESA]]="","",IF(OR(MB25_VOLUMETRIA[[#This Row],[EMPRESA]]="NET MASSIVO",MB25_VOLUMETRIA[[#This Row],[EMPRESA]]="NET PROJETOS"),"NET","EMPRESARIAL"))</f>
        <v>NET</v>
      </c>
    </row>
    <row r="1368" spans="1:15" x14ac:dyDescent="0.25">
      <c r="A1368" s="32">
        <v>4382443</v>
      </c>
      <c r="B1368" s="32" t="s">
        <v>21</v>
      </c>
      <c r="C1368" s="33" t="s">
        <v>21</v>
      </c>
      <c r="D1368" s="35">
        <v>45448</v>
      </c>
      <c r="E1368" s="32" t="s">
        <v>185</v>
      </c>
      <c r="F1368" s="32">
        <v>22025136</v>
      </c>
      <c r="G1368" s="32" t="s">
        <v>215</v>
      </c>
      <c r="H1368" s="26" t="s">
        <v>38</v>
      </c>
      <c r="I1368" s="36">
        <v>250</v>
      </c>
      <c r="J1368" s="32">
        <f>IF(MB25_VOLUMETRIA[[#This Row],[Reserva]]="","",1)</f>
        <v>1</v>
      </c>
      <c r="K1368" s="36" t="str">
        <f>IF(MB25_VOLUMETRIA[[#This Row],[Reserva]]="","",IFERROR(VLOOKUP(MB25_VOLUMETRIA[[#This Row],[UMB]],CHAVE[],2,FALSE),"VERIFICAR"))</f>
        <v>Unidade</v>
      </c>
      <c r="L13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8" s="32" t="str">
        <f ca="1">IFERROR(VLOOKUP(MB25_VOLUMETRIA[[#This Row],[Reserva]],RES_AB[],14,FALSE),"")</f>
        <v>PLANO DO DIA</v>
      </c>
      <c r="N1368" s="32" t="str">
        <f>IF(MB25_VOLUMETRIA[[#This Row],[Cen.]]="","",IFERROR(VLOOKUP(MB25_VOLUMETRIA[[#This Row],[Cen.]],Dados_Empresas[],2,FALSE),"Verificar empresa"))</f>
        <v>NET MASSIVO</v>
      </c>
      <c r="O1368" s="32" t="str">
        <f>IF(MB25_VOLUMETRIA[[#This Row],[EMPRESA]]="","",IF(OR(MB25_VOLUMETRIA[[#This Row],[EMPRESA]]="NET MASSIVO",MB25_VOLUMETRIA[[#This Row],[EMPRESA]]="NET PROJETOS"),"NET","EMPRESARIAL"))</f>
        <v>NET</v>
      </c>
    </row>
    <row r="1369" spans="1:15" x14ac:dyDescent="0.25">
      <c r="A1369" s="32">
        <v>4382443</v>
      </c>
      <c r="B1369" s="32" t="s">
        <v>21</v>
      </c>
      <c r="C1369" s="33" t="s">
        <v>19</v>
      </c>
      <c r="D1369" s="35">
        <v>45448</v>
      </c>
      <c r="E1369" s="32" t="s">
        <v>185</v>
      </c>
      <c r="F1369" s="32">
        <v>22025241</v>
      </c>
      <c r="G1369" s="32" t="s">
        <v>212</v>
      </c>
      <c r="H1369" s="26" t="s">
        <v>38</v>
      </c>
      <c r="I1369" s="36">
        <v>100</v>
      </c>
      <c r="J1369" s="32">
        <f>IF(MB25_VOLUMETRIA[[#This Row],[Reserva]]="","",1)</f>
        <v>1</v>
      </c>
      <c r="K1369" s="36" t="str">
        <f>IF(MB25_VOLUMETRIA[[#This Row],[Reserva]]="","",IFERROR(VLOOKUP(MB25_VOLUMETRIA[[#This Row],[UMB]],CHAVE[],2,FALSE),"VERIFICAR"))</f>
        <v>Unidade</v>
      </c>
      <c r="L13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69" s="32" t="str">
        <f ca="1">IFERROR(VLOOKUP(MB25_VOLUMETRIA[[#This Row],[Reserva]],RES_AB[],14,FALSE),"")</f>
        <v>PLANO DO DIA</v>
      </c>
      <c r="N1369" s="32" t="str">
        <f>IF(MB25_VOLUMETRIA[[#This Row],[Cen.]]="","",IFERROR(VLOOKUP(MB25_VOLUMETRIA[[#This Row],[Cen.]],Dados_Empresas[],2,FALSE),"Verificar empresa"))</f>
        <v>NET MASSIVO</v>
      </c>
      <c r="O1369" s="32" t="str">
        <f>IF(MB25_VOLUMETRIA[[#This Row],[EMPRESA]]="","",IF(OR(MB25_VOLUMETRIA[[#This Row],[EMPRESA]]="NET MASSIVO",MB25_VOLUMETRIA[[#This Row],[EMPRESA]]="NET PROJETOS"),"NET","EMPRESARIAL"))</f>
        <v>NET</v>
      </c>
    </row>
    <row r="1370" spans="1:15" x14ac:dyDescent="0.25">
      <c r="A1370" s="32">
        <v>4382443</v>
      </c>
      <c r="B1370" s="32" t="s">
        <v>21</v>
      </c>
      <c r="C1370" s="33" t="s">
        <v>21</v>
      </c>
      <c r="D1370" s="35">
        <v>45448</v>
      </c>
      <c r="E1370" s="32" t="s">
        <v>185</v>
      </c>
      <c r="F1370" s="32">
        <v>22026189</v>
      </c>
      <c r="G1370" s="32" t="s">
        <v>200</v>
      </c>
      <c r="H1370" s="26" t="s">
        <v>38</v>
      </c>
      <c r="I1370" s="36">
        <v>1350</v>
      </c>
      <c r="J1370" s="32">
        <f>IF(MB25_VOLUMETRIA[[#This Row],[Reserva]]="","",1)</f>
        <v>1</v>
      </c>
      <c r="K1370" s="36" t="str">
        <f>IF(MB25_VOLUMETRIA[[#This Row],[Reserva]]="","",IFERROR(VLOOKUP(MB25_VOLUMETRIA[[#This Row],[UMB]],CHAVE[],2,FALSE),"VERIFICAR"))</f>
        <v>Unidade</v>
      </c>
      <c r="L13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0" s="32" t="str">
        <f ca="1">IFERROR(VLOOKUP(MB25_VOLUMETRIA[[#This Row],[Reserva]],RES_AB[],14,FALSE),"")</f>
        <v>PLANO DO DIA</v>
      </c>
      <c r="N1370" s="32" t="str">
        <f>IF(MB25_VOLUMETRIA[[#This Row],[Cen.]]="","",IFERROR(VLOOKUP(MB25_VOLUMETRIA[[#This Row],[Cen.]],Dados_Empresas[],2,FALSE),"Verificar empresa"))</f>
        <v>NET MASSIVO</v>
      </c>
      <c r="O1370" s="32" t="str">
        <f>IF(MB25_VOLUMETRIA[[#This Row],[EMPRESA]]="","",IF(OR(MB25_VOLUMETRIA[[#This Row],[EMPRESA]]="NET MASSIVO",MB25_VOLUMETRIA[[#This Row],[EMPRESA]]="NET PROJETOS"),"NET","EMPRESARIAL"))</f>
        <v>NET</v>
      </c>
    </row>
    <row r="1371" spans="1:15" x14ac:dyDescent="0.25">
      <c r="A1371" s="32">
        <v>4382443</v>
      </c>
      <c r="B1371" s="32" t="s">
        <v>21</v>
      </c>
      <c r="C1371" s="33" t="s">
        <v>21</v>
      </c>
      <c r="D1371" s="35">
        <v>45448</v>
      </c>
      <c r="E1371" s="32" t="s">
        <v>185</v>
      </c>
      <c r="F1371" s="32">
        <v>22026219</v>
      </c>
      <c r="G1371" s="32" t="s">
        <v>221</v>
      </c>
      <c r="H1371" s="26" t="s">
        <v>38</v>
      </c>
      <c r="I1371" s="36">
        <v>5100</v>
      </c>
      <c r="J1371" s="32">
        <f>IF(MB25_VOLUMETRIA[[#This Row],[Reserva]]="","",1)</f>
        <v>1</v>
      </c>
      <c r="K1371" s="36" t="str">
        <f>IF(MB25_VOLUMETRIA[[#This Row],[Reserva]]="","",IFERROR(VLOOKUP(MB25_VOLUMETRIA[[#This Row],[UMB]],CHAVE[],2,FALSE),"VERIFICAR"))</f>
        <v>Unidade</v>
      </c>
      <c r="L13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1" s="32" t="str">
        <f ca="1">IFERROR(VLOOKUP(MB25_VOLUMETRIA[[#This Row],[Reserva]],RES_AB[],14,FALSE),"")</f>
        <v>PLANO DO DIA</v>
      </c>
      <c r="N1371" s="32" t="str">
        <f>IF(MB25_VOLUMETRIA[[#This Row],[Cen.]]="","",IFERROR(VLOOKUP(MB25_VOLUMETRIA[[#This Row],[Cen.]],Dados_Empresas[],2,FALSE),"Verificar empresa"))</f>
        <v>NET MASSIVO</v>
      </c>
      <c r="O1371" s="32" t="str">
        <f>IF(MB25_VOLUMETRIA[[#This Row],[EMPRESA]]="","",IF(OR(MB25_VOLUMETRIA[[#This Row],[EMPRESA]]="NET MASSIVO",MB25_VOLUMETRIA[[#This Row],[EMPRESA]]="NET PROJETOS"),"NET","EMPRESARIAL"))</f>
        <v>NET</v>
      </c>
    </row>
    <row r="1372" spans="1:15" x14ac:dyDescent="0.25">
      <c r="A1372" s="32">
        <v>4382443</v>
      </c>
      <c r="B1372" s="32" t="s">
        <v>21</v>
      </c>
      <c r="C1372" s="33" t="s">
        <v>21</v>
      </c>
      <c r="D1372" s="35">
        <v>45448</v>
      </c>
      <c r="E1372" s="32" t="s">
        <v>185</v>
      </c>
      <c r="F1372" s="32">
        <v>22026223</v>
      </c>
      <c r="G1372" s="32" t="s">
        <v>195</v>
      </c>
      <c r="H1372" s="26" t="s">
        <v>38</v>
      </c>
      <c r="I1372" s="36">
        <v>3355</v>
      </c>
      <c r="J1372" s="32">
        <f>IF(MB25_VOLUMETRIA[[#This Row],[Reserva]]="","",1)</f>
        <v>1</v>
      </c>
      <c r="K1372" s="36" t="str">
        <f>IF(MB25_VOLUMETRIA[[#This Row],[Reserva]]="","",IFERROR(VLOOKUP(MB25_VOLUMETRIA[[#This Row],[UMB]],CHAVE[],2,FALSE),"VERIFICAR"))</f>
        <v>Unidade</v>
      </c>
      <c r="L13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2" s="32" t="str">
        <f ca="1">IFERROR(VLOOKUP(MB25_VOLUMETRIA[[#This Row],[Reserva]],RES_AB[],14,FALSE),"")</f>
        <v>PLANO DO DIA</v>
      </c>
      <c r="N1372" s="32" t="str">
        <f>IF(MB25_VOLUMETRIA[[#This Row],[Cen.]]="","",IFERROR(VLOOKUP(MB25_VOLUMETRIA[[#This Row],[Cen.]],Dados_Empresas[],2,FALSE),"Verificar empresa"))</f>
        <v>NET MASSIVO</v>
      </c>
      <c r="O1372" s="32" t="str">
        <f>IF(MB25_VOLUMETRIA[[#This Row],[EMPRESA]]="","",IF(OR(MB25_VOLUMETRIA[[#This Row],[EMPRESA]]="NET MASSIVO",MB25_VOLUMETRIA[[#This Row],[EMPRESA]]="NET PROJETOS"),"NET","EMPRESARIAL"))</f>
        <v>NET</v>
      </c>
    </row>
    <row r="1373" spans="1:15" x14ac:dyDescent="0.25">
      <c r="A1373" s="32">
        <v>4382443</v>
      </c>
      <c r="B1373" s="32" t="s">
        <v>21</v>
      </c>
      <c r="C1373" s="33" t="s">
        <v>21</v>
      </c>
      <c r="D1373" s="35">
        <v>45448</v>
      </c>
      <c r="E1373" s="32" t="s">
        <v>185</v>
      </c>
      <c r="F1373" s="32">
        <v>22026772</v>
      </c>
      <c r="G1373" s="32" t="s">
        <v>201</v>
      </c>
      <c r="H1373" s="26" t="s">
        <v>38</v>
      </c>
      <c r="I1373" s="36">
        <v>50</v>
      </c>
      <c r="J1373" s="32">
        <f>IF(MB25_VOLUMETRIA[[#This Row],[Reserva]]="","",1)</f>
        <v>1</v>
      </c>
      <c r="K1373" s="36" t="str">
        <f>IF(MB25_VOLUMETRIA[[#This Row],[Reserva]]="","",IFERROR(VLOOKUP(MB25_VOLUMETRIA[[#This Row],[UMB]],CHAVE[],2,FALSE),"VERIFICAR"))</f>
        <v>Unidade</v>
      </c>
      <c r="L13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3" s="32" t="str">
        <f ca="1">IFERROR(VLOOKUP(MB25_VOLUMETRIA[[#This Row],[Reserva]],RES_AB[],14,FALSE),"")</f>
        <v>PLANO DO DIA</v>
      </c>
      <c r="N1373" s="32" t="str">
        <f>IF(MB25_VOLUMETRIA[[#This Row],[Cen.]]="","",IFERROR(VLOOKUP(MB25_VOLUMETRIA[[#This Row],[Cen.]],Dados_Empresas[],2,FALSE),"Verificar empresa"))</f>
        <v>NET MASSIVO</v>
      </c>
      <c r="O1373" s="32" t="str">
        <f>IF(MB25_VOLUMETRIA[[#This Row],[EMPRESA]]="","",IF(OR(MB25_VOLUMETRIA[[#This Row],[EMPRESA]]="NET MASSIVO",MB25_VOLUMETRIA[[#This Row],[EMPRESA]]="NET PROJETOS"),"NET","EMPRESARIAL"))</f>
        <v>NET</v>
      </c>
    </row>
    <row r="1374" spans="1:15" x14ac:dyDescent="0.25">
      <c r="A1374" s="32">
        <v>4382443</v>
      </c>
      <c r="B1374" s="32" t="s">
        <v>21</v>
      </c>
      <c r="C1374" s="33" t="s">
        <v>21</v>
      </c>
      <c r="D1374" s="35">
        <v>45448</v>
      </c>
      <c r="E1374" s="32" t="s">
        <v>185</v>
      </c>
      <c r="F1374" s="32">
        <v>22056332</v>
      </c>
      <c r="G1374" s="32" t="s">
        <v>207</v>
      </c>
      <c r="H1374" s="26" t="s">
        <v>38</v>
      </c>
      <c r="I1374" s="36">
        <v>14</v>
      </c>
      <c r="J1374" s="32">
        <f>IF(MB25_VOLUMETRIA[[#This Row],[Reserva]]="","",1)</f>
        <v>1</v>
      </c>
      <c r="K1374" s="36" t="str">
        <f>IF(MB25_VOLUMETRIA[[#This Row],[Reserva]]="","",IFERROR(VLOOKUP(MB25_VOLUMETRIA[[#This Row],[UMB]],CHAVE[],2,FALSE),"VERIFICAR"))</f>
        <v>Unidade</v>
      </c>
      <c r="L13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4" s="32" t="str">
        <f ca="1">IFERROR(VLOOKUP(MB25_VOLUMETRIA[[#This Row],[Reserva]],RES_AB[],14,FALSE),"")</f>
        <v>PLANO DO DIA</v>
      </c>
      <c r="N1374" s="32" t="str">
        <f>IF(MB25_VOLUMETRIA[[#This Row],[Cen.]]="","",IFERROR(VLOOKUP(MB25_VOLUMETRIA[[#This Row],[Cen.]],Dados_Empresas[],2,FALSE),"Verificar empresa"))</f>
        <v>NET MASSIVO</v>
      </c>
      <c r="O1374" s="32" t="str">
        <f>IF(MB25_VOLUMETRIA[[#This Row],[EMPRESA]]="","",IF(OR(MB25_VOLUMETRIA[[#This Row],[EMPRESA]]="NET MASSIVO",MB25_VOLUMETRIA[[#This Row],[EMPRESA]]="NET PROJETOS"),"NET","EMPRESARIAL"))</f>
        <v>NET</v>
      </c>
    </row>
    <row r="1375" spans="1:15" x14ac:dyDescent="0.25">
      <c r="A1375" s="32">
        <v>4382443</v>
      </c>
      <c r="B1375" s="32" t="s">
        <v>21</v>
      </c>
      <c r="C1375" s="33" t="s">
        <v>21</v>
      </c>
      <c r="D1375" s="35">
        <v>45448</v>
      </c>
      <c r="E1375" s="32" t="s">
        <v>185</v>
      </c>
      <c r="F1375" s="32">
        <v>22056359</v>
      </c>
      <c r="G1375" s="32" t="s">
        <v>203</v>
      </c>
      <c r="H1375" s="26" t="s">
        <v>38</v>
      </c>
      <c r="I1375" s="36">
        <v>9</v>
      </c>
      <c r="J1375" s="32">
        <f>IF(MB25_VOLUMETRIA[[#This Row],[Reserva]]="","",1)</f>
        <v>1</v>
      </c>
      <c r="K1375" s="36" t="str">
        <f>IF(MB25_VOLUMETRIA[[#This Row],[Reserva]]="","",IFERROR(VLOOKUP(MB25_VOLUMETRIA[[#This Row],[UMB]],CHAVE[],2,FALSE),"VERIFICAR"))</f>
        <v>Unidade</v>
      </c>
      <c r="L13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5" s="32" t="str">
        <f ca="1">IFERROR(VLOOKUP(MB25_VOLUMETRIA[[#This Row],[Reserva]],RES_AB[],14,FALSE),"")</f>
        <v>PLANO DO DIA</v>
      </c>
      <c r="N1375" s="32" t="str">
        <f>IF(MB25_VOLUMETRIA[[#This Row],[Cen.]]="","",IFERROR(VLOOKUP(MB25_VOLUMETRIA[[#This Row],[Cen.]],Dados_Empresas[],2,FALSE),"Verificar empresa"))</f>
        <v>NET MASSIVO</v>
      </c>
      <c r="O1375" s="32" t="str">
        <f>IF(MB25_VOLUMETRIA[[#This Row],[EMPRESA]]="","",IF(OR(MB25_VOLUMETRIA[[#This Row],[EMPRESA]]="NET MASSIVO",MB25_VOLUMETRIA[[#This Row],[EMPRESA]]="NET PROJETOS"),"NET","EMPRESARIAL"))</f>
        <v>NET</v>
      </c>
    </row>
    <row r="1376" spans="1:15" x14ac:dyDescent="0.25">
      <c r="A1376" s="32">
        <v>4382443</v>
      </c>
      <c r="B1376" s="32" t="s">
        <v>21</v>
      </c>
      <c r="C1376" s="33" t="s">
        <v>21</v>
      </c>
      <c r="D1376" s="35">
        <v>45448</v>
      </c>
      <c r="E1376" s="32" t="s">
        <v>185</v>
      </c>
      <c r="F1376" s="32">
        <v>22056365</v>
      </c>
      <c r="G1376" s="32" t="s">
        <v>244</v>
      </c>
      <c r="H1376" s="26" t="s">
        <v>38</v>
      </c>
      <c r="I1376" s="36">
        <v>180</v>
      </c>
      <c r="J1376" s="32">
        <f>IF(MB25_VOLUMETRIA[[#This Row],[Reserva]]="","",1)</f>
        <v>1</v>
      </c>
      <c r="K1376" s="36" t="str">
        <f>IF(MB25_VOLUMETRIA[[#This Row],[Reserva]]="","",IFERROR(VLOOKUP(MB25_VOLUMETRIA[[#This Row],[UMB]],CHAVE[],2,FALSE),"VERIFICAR"))</f>
        <v>Unidade</v>
      </c>
      <c r="L13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6" s="32" t="str">
        <f ca="1">IFERROR(VLOOKUP(MB25_VOLUMETRIA[[#This Row],[Reserva]],RES_AB[],14,FALSE),"")</f>
        <v>PLANO DO DIA</v>
      </c>
      <c r="N1376" s="32" t="str">
        <f>IF(MB25_VOLUMETRIA[[#This Row],[Cen.]]="","",IFERROR(VLOOKUP(MB25_VOLUMETRIA[[#This Row],[Cen.]],Dados_Empresas[],2,FALSE),"Verificar empresa"))</f>
        <v>NET MASSIVO</v>
      </c>
      <c r="O1376" s="32" t="str">
        <f>IF(MB25_VOLUMETRIA[[#This Row],[EMPRESA]]="","",IF(OR(MB25_VOLUMETRIA[[#This Row],[EMPRESA]]="NET MASSIVO",MB25_VOLUMETRIA[[#This Row],[EMPRESA]]="NET PROJETOS"),"NET","EMPRESARIAL"))</f>
        <v>NET</v>
      </c>
    </row>
    <row r="1377" spans="1:15" x14ac:dyDescent="0.25">
      <c r="A1377" s="32">
        <v>4382443</v>
      </c>
      <c r="B1377" s="32" t="s">
        <v>21</v>
      </c>
      <c r="C1377" s="33" t="s">
        <v>21</v>
      </c>
      <c r="D1377" s="35">
        <v>45448</v>
      </c>
      <c r="E1377" s="32" t="s">
        <v>185</v>
      </c>
      <c r="F1377" s="32">
        <v>22056369</v>
      </c>
      <c r="G1377" s="32" t="s">
        <v>194</v>
      </c>
      <c r="H1377" s="26" t="s">
        <v>38</v>
      </c>
      <c r="I1377" s="36">
        <v>1200</v>
      </c>
      <c r="J1377" s="32">
        <f>IF(MB25_VOLUMETRIA[[#This Row],[Reserva]]="","",1)</f>
        <v>1</v>
      </c>
      <c r="K1377" s="36" t="str">
        <f>IF(MB25_VOLUMETRIA[[#This Row],[Reserva]]="","",IFERROR(VLOOKUP(MB25_VOLUMETRIA[[#This Row],[UMB]],CHAVE[],2,FALSE),"VERIFICAR"))</f>
        <v>Unidade</v>
      </c>
      <c r="L13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7" s="32" t="str">
        <f ca="1">IFERROR(VLOOKUP(MB25_VOLUMETRIA[[#This Row],[Reserva]],RES_AB[],14,FALSE),"")</f>
        <v>PLANO DO DIA</v>
      </c>
      <c r="N1377" s="32" t="str">
        <f>IF(MB25_VOLUMETRIA[[#This Row],[Cen.]]="","",IFERROR(VLOOKUP(MB25_VOLUMETRIA[[#This Row],[Cen.]],Dados_Empresas[],2,FALSE),"Verificar empresa"))</f>
        <v>NET MASSIVO</v>
      </c>
      <c r="O1377" s="32" t="str">
        <f>IF(MB25_VOLUMETRIA[[#This Row],[EMPRESA]]="","",IF(OR(MB25_VOLUMETRIA[[#This Row],[EMPRESA]]="NET MASSIVO",MB25_VOLUMETRIA[[#This Row],[EMPRESA]]="NET PROJETOS"),"NET","EMPRESARIAL"))</f>
        <v>NET</v>
      </c>
    </row>
    <row r="1378" spans="1:15" x14ac:dyDescent="0.25">
      <c r="A1378" s="32">
        <v>4382443</v>
      </c>
      <c r="B1378" s="32" t="s">
        <v>21</v>
      </c>
      <c r="C1378" s="33" t="s">
        <v>21</v>
      </c>
      <c r="D1378" s="35">
        <v>45448</v>
      </c>
      <c r="E1378" s="32" t="s">
        <v>185</v>
      </c>
      <c r="F1378" s="32">
        <v>22057659</v>
      </c>
      <c r="G1378" s="32" t="s">
        <v>224</v>
      </c>
      <c r="H1378" s="26" t="s">
        <v>38</v>
      </c>
      <c r="I1378" s="36">
        <v>70</v>
      </c>
      <c r="J1378" s="32">
        <f>IF(MB25_VOLUMETRIA[[#This Row],[Reserva]]="","",1)</f>
        <v>1</v>
      </c>
      <c r="K1378" s="36" t="str">
        <f>IF(MB25_VOLUMETRIA[[#This Row],[Reserva]]="","",IFERROR(VLOOKUP(MB25_VOLUMETRIA[[#This Row],[UMB]],CHAVE[],2,FALSE),"VERIFICAR"))</f>
        <v>Unidade</v>
      </c>
      <c r="L13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8" s="32" t="str">
        <f ca="1">IFERROR(VLOOKUP(MB25_VOLUMETRIA[[#This Row],[Reserva]],RES_AB[],14,FALSE),"")</f>
        <v>PLANO DO DIA</v>
      </c>
      <c r="N1378" s="32" t="str">
        <f>IF(MB25_VOLUMETRIA[[#This Row],[Cen.]]="","",IFERROR(VLOOKUP(MB25_VOLUMETRIA[[#This Row],[Cen.]],Dados_Empresas[],2,FALSE),"Verificar empresa"))</f>
        <v>NET MASSIVO</v>
      </c>
      <c r="O1378" s="32" t="str">
        <f>IF(MB25_VOLUMETRIA[[#This Row],[EMPRESA]]="","",IF(OR(MB25_VOLUMETRIA[[#This Row],[EMPRESA]]="NET MASSIVO",MB25_VOLUMETRIA[[#This Row],[EMPRESA]]="NET PROJETOS"),"NET","EMPRESARIAL"))</f>
        <v>NET</v>
      </c>
    </row>
    <row r="1379" spans="1:15" x14ac:dyDescent="0.25">
      <c r="A1379" s="32">
        <v>4382443</v>
      </c>
      <c r="B1379" s="32" t="s">
        <v>21</v>
      </c>
      <c r="C1379" s="33" t="s">
        <v>21</v>
      </c>
      <c r="D1379" s="35">
        <v>45448</v>
      </c>
      <c r="E1379" s="32" t="s">
        <v>185</v>
      </c>
      <c r="F1379" s="32">
        <v>22061736</v>
      </c>
      <c r="G1379" s="32" t="s">
        <v>216</v>
      </c>
      <c r="H1379" s="26" t="s">
        <v>38</v>
      </c>
      <c r="I1379" s="36">
        <v>2500</v>
      </c>
      <c r="J1379" s="32">
        <f>IF(MB25_VOLUMETRIA[[#This Row],[Reserva]]="","",1)</f>
        <v>1</v>
      </c>
      <c r="K1379" s="36" t="str">
        <f>IF(MB25_VOLUMETRIA[[#This Row],[Reserva]]="","",IFERROR(VLOOKUP(MB25_VOLUMETRIA[[#This Row],[UMB]],CHAVE[],2,FALSE),"VERIFICAR"))</f>
        <v>Unidade</v>
      </c>
      <c r="L13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79" s="32" t="str">
        <f ca="1">IFERROR(VLOOKUP(MB25_VOLUMETRIA[[#This Row],[Reserva]],RES_AB[],14,FALSE),"")</f>
        <v>PLANO DO DIA</v>
      </c>
      <c r="N1379" s="32" t="str">
        <f>IF(MB25_VOLUMETRIA[[#This Row],[Cen.]]="","",IFERROR(VLOOKUP(MB25_VOLUMETRIA[[#This Row],[Cen.]],Dados_Empresas[],2,FALSE),"Verificar empresa"))</f>
        <v>NET MASSIVO</v>
      </c>
      <c r="O1379" s="32" t="str">
        <f>IF(MB25_VOLUMETRIA[[#This Row],[EMPRESA]]="","",IF(OR(MB25_VOLUMETRIA[[#This Row],[EMPRESA]]="NET MASSIVO",MB25_VOLUMETRIA[[#This Row],[EMPRESA]]="NET PROJETOS"),"NET","EMPRESARIAL"))</f>
        <v>NET</v>
      </c>
    </row>
    <row r="1380" spans="1:15" x14ac:dyDescent="0.25">
      <c r="A1380" s="32">
        <v>4382443</v>
      </c>
      <c r="B1380" s="32" t="s">
        <v>21</v>
      </c>
      <c r="C1380" s="33" t="s">
        <v>21</v>
      </c>
      <c r="D1380" s="35">
        <v>45448</v>
      </c>
      <c r="E1380" s="32" t="s">
        <v>185</v>
      </c>
      <c r="F1380" s="32">
        <v>22065725</v>
      </c>
      <c r="G1380" s="32" t="s">
        <v>197</v>
      </c>
      <c r="H1380" s="26" t="s">
        <v>38</v>
      </c>
      <c r="I1380" s="36">
        <v>100</v>
      </c>
      <c r="J1380" s="32">
        <f>IF(MB25_VOLUMETRIA[[#This Row],[Reserva]]="","",1)</f>
        <v>1</v>
      </c>
      <c r="K1380" s="36" t="str">
        <f>IF(MB25_VOLUMETRIA[[#This Row],[Reserva]]="","",IFERROR(VLOOKUP(MB25_VOLUMETRIA[[#This Row],[UMB]],CHAVE[],2,FALSE),"VERIFICAR"))</f>
        <v>Unidade</v>
      </c>
      <c r="L13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0" s="32" t="str">
        <f ca="1">IFERROR(VLOOKUP(MB25_VOLUMETRIA[[#This Row],[Reserva]],RES_AB[],14,FALSE),"")</f>
        <v>PLANO DO DIA</v>
      </c>
      <c r="N1380" s="32" t="str">
        <f>IF(MB25_VOLUMETRIA[[#This Row],[Cen.]]="","",IFERROR(VLOOKUP(MB25_VOLUMETRIA[[#This Row],[Cen.]],Dados_Empresas[],2,FALSE),"Verificar empresa"))</f>
        <v>NET MASSIVO</v>
      </c>
      <c r="O1380" s="32" t="str">
        <f>IF(MB25_VOLUMETRIA[[#This Row],[EMPRESA]]="","",IF(OR(MB25_VOLUMETRIA[[#This Row],[EMPRESA]]="NET MASSIVO",MB25_VOLUMETRIA[[#This Row],[EMPRESA]]="NET PROJETOS"),"NET","EMPRESARIAL"))</f>
        <v>NET</v>
      </c>
    </row>
    <row r="1381" spans="1:15" x14ac:dyDescent="0.25">
      <c r="A1381" s="32">
        <v>4382444</v>
      </c>
      <c r="B1381" s="32" t="s">
        <v>21</v>
      </c>
      <c r="C1381" s="33" t="s">
        <v>21</v>
      </c>
      <c r="D1381" s="35">
        <v>45448</v>
      </c>
      <c r="E1381" s="32" t="s">
        <v>184</v>
      </c>
      <c r="F1381" s="32">
        <v>41001552</v>
      </c>
      <c r="G1381" s="32" t="s">
        <v>336</v>
      </c>
      <c r="H1381" s="26" t="s">
        <v>38</v>
      </c>
      <c r="I1381" s="36">
        <v>100</v>
      </c>
      <c r="J1381" s="32">
        <f>IF(MB25_VOLUMETRIA[[#This Row],[Reserva]]="","",1)</f>
        <v>1</v>
      </c>
      <c r="K1381" s="36" t="str">
        <f>IF(MB25_VOLUMETRIA[[#This Row],[Reserva]]="","",IFERROR(VLOOKUP(MB25_VOLUMETRIA[[#This Row],[UMB]],CHAVE[],2,FALSE),"VERIFICAR"))</f>
        <v>Unidade</v>
      </c>
      <c r="L13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1" s="32" t="str">
        <f ca="1">IFERROR(VLOOKUP(MB25_VOLUMETRIA[[#This Row],[Reserva]],RES_AB[],14,FALSE),"")</f>
        <v>PLANO DO DIA</v>
      </c>
      <c r="N1381" s="32" t="str">
        <f>IF(MB25_VOLUMETRIA[[#This Row],[Cen.]]="","",IFERROR(VLOOKUP(MB25_VOLUMETRIA[[#This Row],[Cen.]],Dados_Empresas[],2,FALSE),"Verificar empresa"))</f>
        <v>NET MASSIVO</v>
      </c>
      <c r="O1381" s="32" t="str">
        <f>IF(MB25_VOLUMETRIA[[#This Row],[EMPRESA]]="","",IF(OR(MB25_VOLUMETRIA[[#This Row],[EMPRESA]]="NET MASSIVO",MB25_VOLUMETRIA[[#This Row],[EMPRESA]]="NET PROJETOS"),"NET","EMPRESARIAL"))</f>
        <v>NET</v>
      </c>
    </row>
    <row r="1382" spans="1:15" x14ac:dyDescent="0.25">
      <c r="A1382" s="32">
        <v>4382445</v>
      </c>
      <c r="B1382" s="32" t="s">
        <v>21</v>
      </c>
      <c r="C1382" s="33" t="s">
        <v>21</v>
      </c>
      <c r="D1382" s="35">
        <v>45448</v>
      </c>
      <c r="E1382" s="32" t="s">
        <v>185</v>
      </c>
      <c r="F1382" s="32">
        <v>22026189</v>
      </c>
      <c r="G1382" s="32" t="s">
        <v>200</v>
      </c>
      <c r="H1382" s="26" t="s">
        <v>38</v>
      </c>
      <c r="I1382" s="36">
        <v>1700</v>
      </c>
      <c r="J1382" s="32">
        <f>IF(MB25_VOLUMETRIA[[#This Row],[Reserva]]="","",1)</f>
        <v>1</v>
      </c>
      <c r="K1382" s="36" t="str">
        <f>IF(MB25_VOLUMETRIA[[#This Row],[Reserva]]="","",IFERROR(VLOOKUP(MB25_VOLUMETRIA[[#This Row],[UMB]],CHAVE[],2,FALSE),"VERIFICAR"))</f>
        <v>Unidade</v>
      </c>
      <c r="L13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2" s="32" t="str">
        <f ca="1">IFERROR(VLOOKUP(MB25_VOLUMETRIA[[#This Row],[Reserva]],RES_AB[],14,FALSE),"")</f>
        <v>PLANO DO DIA</v>
      </c>
      <c r="N1382" s="32" t="str">
        <f>IF(MB25_VOLUMETRIA[[#This Row],[Cen.]]="","",IFERROR(VLOOKUP(MB25_VOLUMETRIA[[#This Row],[Cen.]],Dados_Empresas[],2,FALSE),"Verificar empresa"))</f>
        <v>NET MASSIVO</v>
      </c>
      <c r="O1382" s="32" t="str">
        <f>IF(MB25_VOLUMETRIA[[#This Row],[EMPRESA]]="","",IF(OR(MB25_VOLUMETRIA[[#This Row],[EMPRESA]]="NET MASSIVO",MB25_VOLUMETRIA[[#This Row],[EMPRESA]]="NET PROJETOS"),"NET","EMPRESARIAL"))</f>
        <v>NET</v>
      </c>
    </row>
    <row r="1383" spans="1:15" x14ac:dyDescent="0.25">
      <c r="A1383" s="32">
        <v>4382445</v>
      </c>
      <c r="B1383" s="32" t="s">
        <v>21</v>
      </c>
      <c r="C1383" s="33" t="s">
        <v>21</v>
      </c>
      <c r="D1383" s="35">
        <v>45448</v>
      </c>
      <c r="E1383" s="32" t="s">
        <v>185</v>
      </c>
      <c r="F1383" s="32">
        <v>22026746</v>
      </c>
      <c r="G1383" s="32" t="s">
        <v>205</v>
      </c>
      <c r="H1383" s="26" t="s">
        <v>38</v>
      </c>
      <c r="I1383" s="36">
        <v>50</v>
      </c>
      <c r="J1383" s="32">
        <f>IF(MB25_VOLUMETRIA[[#This Row],[Reserva]]="","",1)</f>
        <v>1</v>
      </c>
      <c r="K1383" s="36" t="str">
        <f>IF(MB25_VOLUMETRIA[[#This Row],[Reserva]]="","",IFERROR(VLOOKUP(MB25_VOLUMETRIA[[#This Row],[UMB]],CHAVE[],2,FALSE),"VERIFICAR"))</f>
        <v>Unidade</v>
      </c>
      <c r="L13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3" s="32" t="str">
        <f ca="1">IFERROR(VLOOKUP(MB25_VOLUMETRIA[[#This Row],[Reserva]],RES_AB[],14,FALSE),"")</f>
        <v>PLANO DO DIA</v>
      </c>
      <c r="N1383" s="32" t="str">
        <f>IF(MB25_VOLUMETRIA[[#This Row],[Cen.]]="","",IFERROR(VLOOKUP(MB25_VOLUMETRIA[[#This Row],[Cen.]],Dados_Empresas[],2,FALSE),"Verificar empresa"))</f>
        <v>NET MASSIVO</v>
      </c>
      <c r="O1383" s="32" t="str">
        <f>IF(MB25_VOLUMETRIA[[#This Row],[EMPRESA]]="","",IF(OR(MB25_VOLUMETRIA[[#This Row],[EMPRESA]]="NET MASSIVO",MB25_VOLUMETRIA[[#This Row],[EMPRESA]]="NET PROJETOS"),"NET","EMPRESARIAL"))</f>
        <v>NET</v>
      </c>
    </row>
    <row r="1384" spans="1:15" x14ac:dyDescent="0.25">
      <c r="A1384" s="32">
        <v>4382445</v>
      </c>
      <c r="B1384" s="32" t="s">
        <v>21</v>
      </c>
      <c r="C1384" s="33" t="s">
        <v>21</v>
      </c>
      <c r="D1384" s="35">
        <v>45448</v>
      </c>
      <c r="E1384" s="32" t="s">
        <v>185</v>
      </c>
      <c r="F1384" s="32">
        <v>22026772</v>
      </c>
      <c r="G1384" s="32" t="s">
        <v>201</v>
      </c>
      <c r="H1384" s="26" t="s">
        <v>38</v>
      </c>
      <c r="I1384" s="36">
        <v>175</v>
      </c>
      <c r="J1384" s="32">
        <f>IF(MB25_VOLUMETRIA[[#This Row],[Reserva]]="","",1)</f>
        <v>1</v>
      </c>
      <c r="K1384" s="36" t="str">
        <f>IF(MB25_VOLUMETRIA[[#This Row],[Reserva]]="","",IFERROR(VLOOKUP(MB25_VOLUMETRIA[[#This Row],[UMB]],CHAVE[],2,FALSE),"VERIFICAR"))</f>
        <v>Unidade</v>
      </c>
      <c r="L13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4" s="32" t="str">
        <f ca="1">IFERROR(VLOOKUP(MB25_VOLUMETRIA[[#This Row],[Reserva]],RES_AB[],14,FALSE),"")</f>
        <v>PLANO DO DIA</v>
      </c>
      <c r="N1384" s="32" t="str">
        <f>IF(MB25_VOLUMETRIA[[#This Row],[Cen.]]="","",IFERROR(VLOOKUP(MB25_VOLUMETRIA[[#This Row],[Cen.]],Dados_Empresas[],2,FALSE),"Verificar empresa"))</f>
        <v>NET MASSIVO</v>
      </c>
      <c r="O1384" s="32" t="str">
        <f>IF(MB25_VOLUMETRIA[[#This Row],[EMPRESA]]="","",IF(OR(MB25_VOLUMETRIA[[#This Row],[EMPRESA]]="NET MASSIVO",MB25_VOLUMETRIA[[#This Row],[EMPRESA]]="NET PROJETOS"),"NET","EMPRESARIAL"))</f>
        <v>NET</v>
      </c>
    </row>
    <row r="1385" spans="1:15" x14ac:dyDescent="0.25">
      <c r="A1385" s="32">
        <v>4382445</v>
      </c>
      <c r="B1385" s="32" t="s">
        <v>21</v>
      </c>
      <c r="C1385" s="33" t="s">
        <v>21</v>
      </c>
      <c r="D1385" s="35">
        <v>45448</v>
      </c>
      <c r="E1385" s="32" t="s">
        <v>185</v>
      </c>
      <c r="F1385" s="32">
        <v>22026792</v>
      </c>
      <c r="G1385" s="32" t="s">
        <v>202</v>
      </c>
      <c r="H1385" s="26" t="s">
        <v>38</v>
      </c>
      <c r="I1385" s="36">
        <v>25</v>
      </c>
      <c r="J1385" s="32">
        <f>IF(MB25_VOLUMETRIA[[#This Row],[Reserva]]="","",1)</f>
        <v>1</v>
      </c>
      <c r="K1385" s="36" t="str">
        <f>IF(MB25_VOLUMETRIA[[#This Row],[Reserva]]="","",IFERROR(VLOOKUP(MB25_VOLUMETRIA[[#This Row],[UMB]],CHAVE[],2,FALSE),"VERIFICAR"))</f>
        <v>Unidade</v>
      </c>
      <c r="L13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5" s="32" t="str">
        <f ca="1">IFERROR(VLOOKUP(MB25_VOLUMETRIA[[#This Row],[Reserva]],RES_AB[],14,FALSE),"")</f>
        <v>PLANO DO DIA</v>
      </c>
      <c r="N1385" s="32" t="str">
        <f>IF(MB25_VOLUMETRIA[[#This Row],[Cen.]]="","",IFERROR(VLOOKUP(MB25_VOLUMETRIA[[#This Row],[Cen.]],Dados_Empresas[],2,FALSE),"Verificar empresa"))</f>
        <v>NET MASSIVO</v>
      </c>
      <c r="O1385" s="32" t="str">
        <f>IF(MB25_VOLUMETRIA[[#This Row],[EMPRESA]]="","",IF(OR(MB25_VOLUMETRIA[[#This Row],[EMPRESA]]="NET MASSIVO",MB25_VOLUMETRIA[[#This Row],[EMPRESA]]="NET PROJETOS"),"NET","EMPRESARIAL"))</f>
        <v>NET</v>
      </c>
    </row>
    <row r="1386" spans="1:15" x14ac:dyDescent="0.25">
      <c r="A1386" s="32">
        <v>4382445</v>
      </c>
      <c r="B1386" s="32" t="s">
        <v>21</v>
      </c>
      <c r="C1386" s="33" t="s">
        <v>21</v>
      </c>
      <c r="D1386" s="35">
        <v>45448</v>
      </c>
      <c r="E1386" s="32" t="s">
        <v>185</v>
      </c>
      <c r="F1386" s="32">
        <v>22026795</v>
      </c>
      <c r="G1386" s="32" t="s">
        <v>261</v>
      </c>
      <c r="H1386" s="26" t="s">
        <v>38</v>
      </c>
      <c r="I1386" s="36">
        <v>25</v>
      </c>
      <c r="J1386" s="32">
        <f>IF(MB25_VOLUMETRIA[[#This Row],[Reserva]]="","",1)</f>
        <v>1</v>
      </c>
      <c r="K1386" s="36" t="str">
        <f>IF(MB25_VOLUMETRIA[[#This Row],[Reserva]]="","",IFERROR(VLOOKUP(MB25_VOLUMETRIA[[#This Row],[UMB]],CHAVE[],2,FALSE),"VERIFICAR"))</f>
        <v>Unidade</v>
      </c>
      <c r="L13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6" s="32" t="str">
        <f ca="1">IFERROR(VLOOKUP(MB25_VOLUMETRIA[[#This Row],[Reserva]],RES_AB[],14,FALSE),"")</f>
        <v>PLANO DO DIA</v>
      </c>
      <c r="N1386" s="32" t="str">
        <f>IF(MB25_VOLUMETRIA[[#This Row],[Cen.]]="","",IFERROR(VLOOKUP(MB25_VOLUMETRIA[[#This Row],[Cen.]],Dados_Empresas[],2,FALSE),"Verificar empresa"))</f>
        <v>NET MASSIVO</v>
      </c>
      <c r="O1386" s="32" t="str">
        <f>IF(MB25_VOLUMETRIA[[#This Row],[EMPRESA]]="","",IF(OR(MB25_VOLUMETRIA[[#This Row],[EMPRESA]]="NET MASSIVO",MB25_VOLUMETRIA[[#This Row],[EMPRESA]]="NET PROJETOS"),"NET","EMPRESARIAL"))</f>
        <v>NET</v>
      </c>
    </row>
    <row r="1387" spans="1:15" x14ac:dyDescent="0.25">
      <c r="A1387" s="32">
        <v>4382445</v>
      </c>
      <c r="B1387" s="32" t="s">
        <v>21</v>
      </c>
      <c r="C1387" s="33" t="s">
        <v>21</v>
      </c>
      <c r="D1387" s="35">
        <v>45448</v>
      </c>
      <c r="E1387" s="32" t="s">
        <v>185</v>
      </c>
      <c r="F1387" s="32">
        <v>22026809</v>
      </c>
      <c r="G1387" s="32" t="s">
        <v>231</v>
      </c>
      <c r="H1387" s="26" t="s">
        <v>38</v>
      </c>
      <c r="I1387" s="36">
        <v>200</v>
      </c>
      <c r="J1387" s="32">
        <f>IF(MB25_VOLUMETRIA[[#This Row],[Reserva]]="","",1)</f>
        <v>1</v>
      </c>
      <c r="K1387" s="36" t="str">
        <f>IF(MB25_VOLUMETRIA[[#This Row],[Reserva]]="","",IFERROR(VLOOKUP(MB25_VOLUMETRIA[[#This Row],[UMB]],CHAVE[],2,FALSE),"VERIFICAR"))</f>
        <v>Unidade</v>
      </c>
      <c r="L13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7" s="32" t="str">
        <f ca="1">IFERROR(VLOOKUP(MB25_VOLUMETRIA[[#This Row],[Reserva]],RES_AB[],14,FALSE),"")</f>
        <v>PLANO DO DIA</v>
      </c>
      <c r="N1387" s="32" t="str">
        <f>IF(MB25_VOLUMETRIA[[#This Row],[Cen.]]="","",IFERROR(VLOOKUP(MB25_VOLUMETRIA[[#This Row],[Cen.]],Dados_Empresas[],2,FALSE),"Verificar empresa"))</f>
        <v>NET MASSIVO</v>
      </c>
      <c r="O1387" s="32" t="str">
        <f>IF(MB25_VOLUMETRIA[[#This Row],[EMPRESA]]="","",IF(OR(MB25_VOLUMETRIA[[#This Row],[EMPRESA]]="NET MASSIVO",MB25_VOLUMETRIA[[#This Row],[EMPRESA]]="NET PROJETOS"),"NET","EMPRESARIAL"))</f>
        <v>NET</v>
      </c>
    </row>
    <row r="1388" spans="1:15" x14ac:dyDescent="0.25">
      <c r="A1388" s="32">
        <v>4382445</v>
      </c>
      <c r="B1388" s="32" t="s">
        <v>21</v>
      </c>
      <c r="C1388" s="33" t="s">
        <v>21</v>
      </c>
      <c r="D1388" s="35">
        <v>45448</v>
      </c>
      <c r="E1388" s="32" t="s">
        <v>185</v>
      </c>
      <c r="F1388" s="32">
        <v>22066517</v>
      </c>
      <c r="G1388" s="32" t="s">
        <v>325</v>
      </c>
      <c r="H1388" s="26" t="s">
        <v>38</v>
      </c>
      <c r="I1388" s="36">
        <v>150</v>
      </c>
      <c r="J1388" s="32">
        <f>IF(MB25_VOLUMETRIA[[#This Row],[Reserva]]="","",1)</f>
        <v>1</v>
      </c>
      <c r="K1388" s="36" t="str">
        <f>IF(MB25_VOLUMETRIA[[#This Row],[Reserva]]="","",IFERROR(VLOOKUP(MB25_VOLUMETRIA[[#This Row],[UMB]],CHAVE[],2,FALSE),"VERIFICAR"))</f>
        <v>Unidade</v>
      </c>
      <c r="L13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8" s="32" t="str">
        <f ca="1">IFERROR(VLOOKUP(MB25_VOLUMETRIA[[#This Row],[Reserva]],RES_AB[],14,FALSE),"")</f>
        <v>PLANO DO DIA</v>
      </c>
      <c r="N1388" s="32" t="str">
        <f>IF(MB25_VOLUMETRIA[[#This Row],[Cen.]]="","",IFERROR(VLOOKUP(MB25_VOLUMETRIA[[#This Row],[Cen.]],Dados_Empresas[],2,FALSE),"Verificar empresa"))</f>
        <v>NET MASSIVO</v>
      </c>
      <c r="O1388" s="32" t="str">
        <f>IF(MB25_VOLUMETRIA[[#This Row],[EMPRESA]]="","",IF(OR(MB25_VOLUMETRIA[[#This Row],[EMPRESA]]="NET MASSIVO",MB25_VOLUMETRIA[[#This Row],[EMPRESA]]="NET PROJETOS"),"NET","EMPRESARIAL"))</f>
        <v>NET</v>
      </c>
    </row>
    <row r="1389" spans="1:15" x14ac:dyDescent="0.25">
      <c r="A1389" s="32">
        <v>4382446</v>
      </c>
      <c r="B1389" s="32" t="s">
        <v>21</v>
      </c>
      <c r="C1389" s="33" t="s">
        <v>21</v>
      </c>
      <c r="D1389" s="35">
        <v>45448</v>
      </c>
      <c r="E1389" s="32" t="s">
        <v>184</v>
      </c>
      <c r="F1389" s="32">
        <v>41001536</v>
      </c>
      <c r="G1389" s="32" t="s">
        <v>371</v>
      </c>
      <c r="H1389" s="26" t="s">
        <v>38</v>
      </c>
      <c r="I1389" s="36">
        <v>20</v>
      </c>
      <c r="J1389" s="32">
        <f>IF(MB25_VOLUMETRIA[[#This Row],[Reserva]]="","",1)</f>
        <v>1</v>
      </c>
      <c r="K1389" s="36" t="str">
        <f>IF(MB25_VOLUMETRIA[[#This Row],[Reserva]]="","",IFERROR(VLOOKUP(MB25_VOLUMETRIA[[#This Row],[UMB]],CHAVE[],2,FALSE),"VERIFICAR"))</f>
        <v>Unidade</v>
      </c>
      <c r="L13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89" s="32" t="str">
        <f ca="1">IFERROR(VLOOKUP(MB25_VOLUMETRIA[[#This Row],[Reserva]],RES_AB[],14,FALSE),"")</f>
        <v>PLANO DO DIA</v>
      </c>
      <c r="N1389" s="32" t="str">
        <f>IF(MB25_VOLUMETRIA[[#This Row],[Cen.]]="","",IFERROR(VLOOKUP(MB25_VOLUMETRIA[[#This Row],[Cen.]],Dados_Empresas[],2,FALSE),"Verificar empresa"))</f>
        <v>NET MASSIVO</v>
      </c>
      <c r="O1389" s="32" t="str">
        <f>IF(MB25_VOLUMETRIA[[#This Row],[EMPRESA]]="","",IF(OR(MB25_VOLUMETRIA[[#This Row],[EMPRESA]]="NET MASSIVO",MB25_VOLUMETRIA[[#This Row],[EMPRESA]]="NET PROJETOS"),"NET","EMPRESARIAL"))</f>
        <v>NET</v>
      </c>
    </row>
    <row r="1390" spans="1:15" x14ac:dyDescent="0.25">
      <c r="A1390" s="32">
        <v>4382447</v>
      </c>
      <c r="B1390" s="32" t="s">
        <v>21</v>
      </c>
      <c r="C1390" s="33" t="s">
        <v>21</v>
      </c>
      <c r="D1390" s="35">
        <v>45448</v>
      </c>
      <c r="E1390" s="32" t="s">
        <v>185</v>
      </c>
      <c r="F1390" s="32">
        <v>22025049</v>
      </c>
      <c r="G1390" s="32" t="s">
        <v>198</v>
      </c>
      <c r="H1390" s="26" t="s">
        <v>38</v>
      </c>
      <c r="I1390" s="36">
        <v>6</v>
      </c>
      <c r="J1390" s="32">
        <f>IF(MB25_VOLUMETRIA[[#This Row],[Reserva]]="","",1)</f>
        <v>1</v>
      </c>
      <c r="K1390" s="36" t="str">
        <f>IF(MB25_VOLUMETRIA[[#This Row],[Reserva]]="","",IFERROR(VLOOKUP(MB25_VOLUMETRIA[[#This Row],[UMB]],CHAVE[],2,FALSE),"VERIFICAR"))</f>
        <v>Unidade</v>
      </c>
      <c r="L13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0" s="32" t="str">
        <f ca="1">IFERROR(VLOOKUP(MB25_VOLUMETRIA[[#This Row],[Reserva]],RES_AB[],14,FALSE),"")</f>
        <v>PLANO DO DIA</v>
      </c>
      <c r="N1390" s="32" t="str">
        <f>IF(MB25_VOLUMETRIA[[#This Row],[Cen.]]="","",IFERROR(VLOOKUP(MB25_VOLUMETRIA[[#This Row],[Cen.]],Dados_Empresas[],2,FALSE),"Verificar empresa"))</f>
        <v>NET MASSIVO</v>
      </c>
      <c r="O1390" s="32" t="str">
        <f>IF(MB25_VOLUMETRIA[[#This Row],[EMPRESA]]="","",IF(OR(MB25_VOLUMETRIA[[#This Row],[EMPRESA]]="NET MASSIVO",MB25_VOLUMETRIA[[#This Row],[EMPRESA]]="NET PROJETOS"),"NET","EMPRESARIAL"))</f>
        <v>NET</v>
      </c>
    </row>
    <row r="1391" spans="1:15" x14ac:dyDescent="0.25">
      <c r="A1391" s="32">
        <v>4382447</v>
      </c>
      <c r="B1391" s="32" t="s">
        <v>21</v>
      </c>
      <c r="C1391" s="33" t="s">
        <v>21</v>
      </c>
      <c r="D1391" s="35">
        <v>45448</v>
      </c>
      <c r="E1391" s="32" t="s">
        <v>185</v>
      </c>
      <c r="F1391" s="32">
        <v>22025072</v>
      </c>
      <c r="G1391" s="32" t="s">
        <v>204</v>
      </c>
      <c r="H1391" s="26" t="s">
        <v>38</v>
      </c>
      <c r="I1391" s="36">
        <v>6</v>
      </c>
      <c r="J1391" s="32">
        <f>IF(MB25_VOLUMETRIA[[#This Row],[Reserva]]="","",1)</f>
        <v>1</v>
      </c>
      <c r="K1391" s="36" t="str">
        <f>IF(MB25_VOLUMETRIA[[#This Row],[Reserva]]="","",IFERROR(VLOOKUP(MB25_VOLUMETRIA[[#This Row],[UMB]],CHAVE[],2,FALSE),"VERIFICAR"))</f>
        <v>Unidade</v>
      </c>
      <c r="L13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1" s="32" t="str">
        <f ca="1">IFERROR(VLOOKUP(MB25_VOLUMETRIA[[#This Row],[Reserva]],RES_AB[],14,FALSE),"")</f>
        <v>PLANO DO DIA</v>
      </c>
      <c r="N1391" s="32" t="str">
        <f>IF(MB25_VOLUMETRIA[[#This Row],[Cen.]]="","",IFERROR(VLOOKUP(MB25_VOLUMETRIA[[#This Row],[Cen.]],Dados_Empresas[],2,FALSE),"Verificar empresa"))</f>
        <v>NET MASSIVO</v>
      </c>
      <c r="O1391" s="32" t="str">
        <f>IF(MB25_VOLUMETRIA[[#This Row],[EMPRESA]]="","",IF(OR(MB25_VOLUMETRIA[[#This Row],[EMPRESA]]="NET MASSIVO",MB25_VOLUMETRIA[[#This Row],[EMPRESA]]="NET PROJETOS"),"NET","EMPRESARIAL"))</f>
        <v>NET</v>
      </c>
    </row>
    <row r="1392" spans="1:15" x14ac:dyDescent="0.25">
      <c r="A1392" s="32">
        <v>4382447</v>
      </c>
      <c r="B1392" s="32" t="s">
        <v>21</v>
      </c>
      <c r="C1392" s="33" t="s">
        <v>19</v>
      </c>
      <c r="D1392" s="35">
        <v>45448</v>
      </c>
      <c r="E1392" s="32" t="s">
        <v>185</v>
      </c>
      <c r="F1392" s="32">
        <v>22025250</v>
      </c>
      <c r="G1392" s="32" t="s">
        <v>213</v>
      </c>
      <c r="H1392" s="26" t="s">
        <v>38</v>
      </c>
      <c r="I1392" s="36">
        <v>100</v>
      </c>
      <c r="J1392" s="32">
        <f>IF(MB25_VOLUMETRIA[[#This Row],[Reserva]]="","",1)</f>
        <v>1</v>
      </c>
      <c r="K1392" s="36" t="str">
        <f>IF(MB25_VOLUMETRIA[[#This Row],[Reserva]]="","",IFERROR(VLOOKUP(MB25_VOLUMETRIA[[#This Row],[UMB]],CHAVE[],2,FALSE),"VERIFICAR"))</f>
        <v>Unidade</v>
      </c>
      <c r="L13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2" s="32" t="str">
        <f ca="1">IFERROR(VLOOKUP(MB25_VOLUMETRIA[[#This Row],[Reserva]],RES_AB[],14,FALSE),"")</f>
        <v>PLANO DO DIA</v>
      </c>
      <c r="N1392" s="32" t="str">
        <f>IF(MB25_VOLUMETRIA[[#This Row],[Cen.]]="","",IFERROR(VLOOKUP(MB25_VOLUMETRIA[[#This Row],[Cen.]],Dados_Empresas[],2,FALSE),"Verificar empresa"))</f>
        <v>NET MASSIVO</v>
      </c>
      <c r="O1392" s="32" t="str">
        <f>IF(MB25_VOLUMETRIA[[#This Row],[EMPRESA]]="","",IF(OR(MB25_VOLUMETRIA[[#This Row],[EMPRESA]]="NET MASSIVO",MB25_VOLUMETRIA[[#This Row],[EMPRESA]]="NET PROJETOS"),"NET","EMPRESARIAL"))</f>
        <v>NET</v>
      </c>
    </row>
    <row r="1393" spans="1:15" x14ac:dyDescent="0.25">
      <c r="A1393" s="32">
        <v>4382447</v>
      </c>
      <c r="B1393" s="32" t="s">
        <v>21</v>
      </c>
      <c r="C1393" s="33" t="s">
        <v>21</v>
      </c>
      <c r="D1393" s="35">
        <v>45448</v>
      </c>
      <c r="E1393" s="32" t="s">
        <v>185</v>
      </c>
      <c r="F1393" s="32">
        <v>22026189</v>
      </c>
      <c r="G1393" s="32" t="s">
        <v>200</v>
      </c>
      <c r="H1393" s="26" t="s">
        <v>38</v>
      </c>
      <c r="I1393" s="36">
        <v>2700</v>
      </c>
      <c r="J1393" s="32">
        <f>IF(MB25_VOLUMETRIA[[#This Row],[Reserva]]="","",1)</f>
        <v>1</v>
      </c>
      <c r="K1393" s="36" t="str">
        <f>IF(MB25_VOLUMETRIA[[#This Row],[Reserva]]="","",IFERROR(VLOOKUP(MB25_VOLUMETRIA[[#This Row],[UMB]],CHAVE[],2,FALSE),"VERIFICAR"))</f>
        <v>Unidade</v>
      </c>
      <c r="L13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3" s="32" t="str">
        <f ca="1">IFERROR(VLOOKUP(MB25_VOLUMETRIA[[#This Row],[Reserva]],RES_AB[],14,FALSE),"")</f>
        <v>PLANO DO DIA</v>
      </c>
      <c r="N1393" s="32" t="str">
        <f>IF(MB25_VOLUMETRIA[[#This Row],[Cen.]]="","",IFERROR(VLOOKUP(MB25_VOLUMETRIA[[#This Row],[Cen.]],Dados_Empresas[],2,FALSE),"Verificar empresa"))</f>
        <v>NET MASSIVO</v>
      </c>
      <c r="O1393" s="32" t="str">
        <f>IF(MB25_VOLUMETRIA[[#This Row],[EMPRESA]]="","",IF(OR(MB25_VOLUMETRIA[[#This Row],[EMPRESA]]="NET MASSIVO",MB25_VOLUMETRIA[[#This Row],[EMPRESA]]="NET PROJETOS"),"NET","EMPRESARIAL"))</f>
        <v>NET</v>
      </c>
    </row>
    <row r="1394" spans="1:15" x14ac:dyDescent="0.25">
      <c r="A1394" s="32">
        <v>4382447</v>
      </c>
      <c r="B1394" s="32" t="s">
        <v>21</v>
      </c>
      <c r="C1394" s="33" t="s">
        <v>21</v>
      </c>
      <c r="D1394" s="35">
        <v>45448</v>
      </c>
      <c r="E1394" s="32" t="s">
        <v>185</v>
      </c>
      <c r="F1394" s="32">
        <v>22026219</v>
      </c>
      <c r="G1394" s="32" t="s">
        <v>221</v>
      </c>
      <c r="H1394" s="26" t="s">
        <v>38</v>
      </c>
      <c r="I1394" s="36">
        <v>8200</v>
      </c>
      <c r="J1394" s="32">
        <f>IF(MB25_VOLUMETRIA[[#This Row],[Reserva]]="","",1)</f>
        <v>1</v>
      </c>
      <c r="K1394" s="36" t="str">
        <f>IF(MB25_VOLUMETRIA[[#This Row],[Reserva]]="","",IFERROR(VLOOKUP(MB25_VOLUMETRIA[[#This Row],[UMB]],CHAVE[],2,FALSE),"VERIFICAR"))</f>
        <v>Unidade</v>
      </c>
      <c r="L13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4" s="32" t="str">
        <f ca="1">IFERROR(VLOOKUP(MB25_VOLUMETRIA[[#This Row],[Reserva]],RES_AB[],14,FALSE),"")</f>
        <v>PLANO DO DIA</v>
      </c>
      <c r="N1394" s="32" t="str">
        <f>IF(MB25_VOLUMETRIA[[#This Row],[Cen.]]="","",IFERROR(VLOOKUP(MB25_VOLUMETRIA[[#This Row],[Cen.]],Dados_Empresas[],2,FALSE),"Verificar empresa"))</f>
        <v>NET MASSIVO</v>
      </c>
      <c r="O1394" s="32" t="str">
        <f>IF(MB25_VOLUMETRIA[[#This Row],[EMPRESA]]="","",IF(OR(MB25_VOLUMETRIA[[#This Row],[EMPRESA]]="NET MASSIVO",MB25_VOLUMETRIA[[#This Row],[EMPRESA]]="NET PROJETOS"),"NET","EMPRESARIAL"))</f>
        <v>NET</v>
      </c>
    </row>
    <row r="1395" spans="1:15" x14ac:dyDescent="0.25">
      <c r="A1395" s="32">
        <v>4382447</v>
      </c>
      <c r="B1395" s="32" t="s">
        <v>21</v>
      </c>
      <c r="C1395" s="33" t="s">
        <v>21</v>
      </c>
      <c r="D1395" s="35">
        <v>45448</v>
      </c>
      <c r="E1395" s="32" t="s">
        <v>185</v>
      </c>
      <c r="F1395" s="32">
        <v>22026746</v>
      </c>
      <c r="G1395" s="32" t="s">
        <v>205</v>
      </c>
      <c r="H1395" s="26" t="s">
        <v>38</v>
      </c>
      <c r="I1395" s="36">
        <v>50</v>
      </c>
      <c r="J1395" s="32">
        <f>IF(MB25_VOLUMETRIA[[#This Row],[Reserva]]="","",1)</f>
        <v>1</v>
      </c>
      <c r="K1395" s="36" t="str">
        <f>IF(MB25_VOLUMETRIA[[#This Row],[Reserva]]="","",IFERROR(VLOOKUP(MB25_VOLUMETRIA[[#This Row],[UMB]],CHAVE[],2,FALSE),"VERIFICAR"))</f>
        <v>Unidade</v>
      </c>
      <c r="L13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5" s="32" t="str">
        <f ca="1">IFERROR(VLOOKUP(MB25_VOLUMETRIA[[#This Row],[Reserva]],RES_AB[],14,FALSE),"")</f>
        <v>PLANO DO DIA</v>
      </c>
      <c r="N1395" s="32" t="str">
        <f>IF(MB25_VOLUMETRIA[[#This Row],[Cen.]]="","",IFERROR(VLOOKUP(MB25_VOLUMETRIA[[#This Row],[Cen.]],Dados_Empresas[],2,FALSE),"Verificar empresa"))</f>
        <v>NET MASSIVO</v>
      </c>
      <c r="O1395" s="32" t="str">
        <f>IF(MB25_VOLUMETRIA[[#This Row],[EMPRESA]]="","",IF(OR(MB25_VOLUMETRIA[[#This Row],[EMPRESA]]="NET MASSIVO",MB25_VOLUMETRIA[[#This Row],[EMPRESA]]="NET PROJETOS"),"NET","EMPRESARIAL"))</f>
        <v>NET</v>
      </c>
    </row>
    <row r="1396" spans="1:15" x14ac:dyDescent="0.25">
      <c r="A1396" s="32">
        <v>4382447</v>
      </c>
      <c r="B1396" s="32" t="s">
        <v>21</v>
      </c>
      <c r="C1396" s="33" t="s">
        <v>21</v>
      </c>
      <c r="D1396" s="35">
        <v>45448</v>
      </c>
      <c r="E1396" s="32" t="s">
        <v>185</v>
      </c>
      <c r="F1396" s="32">
        <v>22056359</v>
      </c>
      <c r="G1396" s="32" t="s">
        <v>203</v>
      </c>
      <c r="H1396" s="26" t="s">
        <v>38</v>
      </c>
      <c r="I1396" s="36">
        <v>3</v>
      </c>
      <c r="J1396" s="32">
        <f>IF(MB25_VOLUMETRIA[[#This Row],[Reserva]]="","",1)</f>
        <v>1</v>
      </c>
      <c r="K1396" s="36" t="str">
        <f>IF(MB25_VOLUMETRIA[[#This Row],[Reserva]]="","",IFERROR(VLOOKUP(MB25_VOLUMETRIA[[#This Row],[UMB]],CHAVE[],2,FALSE),"VERIFICAR"))</f>
        <v>Unidade</v>
      </c>
      <c r="L13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6" s="32" t="str">
        <f ca="1">IFERROR(VLOOKUP(MB25_VOLUMETRIA[[#This Row],[Reserva]],RES_AB[],14,FALSE),"")</f>
        <v>PLANO DO DIA</v>
      </c>
      <c r="N1396" s="32" t="str">
        <f>IF(MB25_VOLUMETRIA[[#This Row],[Cen.]]="","",IFERROR(VLOOKUP(MB25_VOLUMETRIA[[#This Row],[Cen.]],Dados_Empresas[],2,FALSE),"Verificar empresa"))</f>
        <v>NET MASSIVO</v>
      </c>
      <c r="O1396" s="32" t="str">
        <f>IF(MB25_VOLUMETRIA[[#This Row],[EMPRESA]]="","",IF(OR(MB25_VOLUMETRIA[[#This Row],[EMPRESA]]="NET MASSIVO",MB25_VOLUMETRIA[[#This Row],[EMPRESA]]="NET PROJETOS"),"NET","EMPRESARIAL"))</f>
        <v>NET</v>
      </c>
    </row>
    <row r="1397" spans="1:15" x14ac:dyDescent="0.25">
      <c r="A1397" s="32">
        <v>4382447</v>
      </c>
      <c r="B1397" s="32" t="s">
        <v>21</v>
      </c>
      <c r="C1397" s="33" t="s">
        <v>21</v>
      </c>
      <c r="D1397" s="35">
        <v>45448</v>
      </c>
      <c r="E1397" s="32" t="s">
        <v>185</v>
      </c>
      <c r="F1397" s="32">
        <v>22056364</v>
      </c>
      <c r="G1397" s="32" t="s">
        <v>236</v>
      </c>
      <c r="H1397" s="26" t="s">
        <v>38</v>
      </c>
      <c r="I1397" s="36">
        <v>330</v>
      </c>
      <c r="J1397" s="32">
        <f>IF(MB25_VOLUMETRIA[[#This Row],[Reserva]]="","",1)</f>
        <v>1</v>
      </c>
      <c r="K1397" s="36" t="str">
        <f>IF(MB25_VOLUMETRIA[[#This Row],[Reserva]]="","",IFERROR(VLOOKUP(MB25_VOLUMETRIA[[#This Row],[UMB]],CHAVE[],2,FALSE),"VERIFICAR"))</f>
        <v>Unidade</v>
      </c>
      <c r="L13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7" s="32" t="str">
        <f ca="1">IFERROR(VLOOKUP(MB25_VOLUMETRIA[[#This Row],[Reserva]],RES_AB[],14,FALSE),"")</f>
        <v>PLANO DO DIA</v>
      </c>
      <c r="N1397" s="32" t="str">
        <f>IF(MB25_VOLUMETRIA[[#This Row],[Cen.]]="","",IFERROR(VLOOKUP(MB25_VOLUMETRIA[[#This Row],[Cen.]],Dados_Empresas[],2,FALSE),"Verificar empresa"))</f>
        <v>NET MASSIVO</v>
      </c>
      <c r="O1397" s="32" t="str">
        <f>IF(MB25_VOLUMETRIA[[#This Row],[EMPRESA]]="","",IF(OR(MB25_VOLUMETRIA[[#This Row],[EMPRESA]]="NET MASSIVO",MB25_VOLUMETRIA[[#This Row],[EMPRESA]]="NET PROJETOS"),"NET","EMPRESARIAL"))</f>
        <v>NET</v>
      </c>
    </row>
    <row r="1398" spans="1:15" x14ac:dyDescent="0.25">
      <c r="A1398" s="32">
        <v>4382447</v>
      </c>
      <c r="B1398" s="32" t="s">
        <v>21</v>
      </c>
      <c r="C1398" s="33" t="s">
        <v>21</v>
      </c>
      <c r="D1398" s="35">
        <v>45448</v>
      </c>
      <c r="E1398" s="32" t="s">
        <v>185</v>
      </c>
      <c r="F1398" s="32">
        <v>22056369</v>
      </c>
      <c r="G1398" s="32" t="s">
        <v>194</v>
      </c>
      <c r="H1398" s="26" t="s">
        <v>38</v>
      </c>
      <c r="I1398" s="36">
        <v>4300</v>
      </c>
      <c r="J1398" s="32">
        <f>IF(MB25_VOLUMETRIA[[#This Row],[Reserva]]="","",1)</f>
        <v>1</v>
      </c>
      <c r="K1398" s="36" t="str">
        <f>IF(MB25_VOLUMETRIA[[#This Row],[Reserva]]="","",IFERROR(VLOOKUP(MB25_VOLUMETRIA[[#This Row],[UMB]],CHAVE[],2,FALSE),"VERIFICAR"))</f>
        <v>Unidade</v>
      </c>
      <c r="L13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8" s="32" t="str">
        <f ca="1">IFERROR(VLOOKUP(MB25_VOLUMETRIA[[#This Row],[Reserva]],RES_AB[],14,FALSE),"")</f>
        <v>PLANO DO DIA</v>
      </c>
      <c r="N1398" s="32" t="str">
        <f>IF(MB25_VOLUMETRIA[[#This Row],[Cen.]]="","",IFERROR(VLOOKUP(MB25_VOLUMETRIA[[#This Row],[Cen.]],Dados_Empresas[],2,FALSE),"Verificar empresa"))</f>
        <v>NET MASSIVO</v>
      </c>
      <c r="O1398" s="32" t="str">
        <f>IF(MB25_VOLUMETRIA[[#This Row],[EMPRESA]]="","",IF(OR(MB25_VOLUMETRIA[[#This Row],[EMPRESA]]="NET MASSIVO",MB25_VOLUMETRIA[[#This Row],[EMPRESA]]="NET PROJETOS"),"NET","EMPRESARIAL"))</f>
        <v>NET</v>
      </c>
    </row>
    <row r="1399" spans="1:15" x14ac:dyDescent="0.25">
      <c r="A1399" s="32">
        <v>4382447</v>
      </c>
      <c r="B1399" s="32" t="s">
        <v>21</v>
      </c>
      <c r="C1399" s="33" t="s">
        <v>21</v>
      </c>
      <c r="D1399" s="35">
        <v>45448</v>
      </c>
      <c r="E1399" s="32" t="s">
        <v>185</v>
      </c>
      <c r="F1399" s="32">
        <v>22061736</v>
      </c>
      <c r="G1399" s="32" t="s">
        <v>216</v>
      </c>
      <c r="H1399" s="26" t="s">
        <v>38</v>
      </c>
      <c r="I1399" s="36">
        <v>4000</v>
      </c>
      <c r="J1399" s="32">
        <f>IF(MB25_VOLUMETRIA[[#This Row],[Reserva]]="","",1)</f>
        <v>1</v>
      </c>
      <c r="K1399" s="36" t="str">
        <f>IF(MB25_VOLUMETRIA[[#This Row],[Reserva]]="","",IFERROR(VLOOKUP(MB25_VOLUMETRIA[[#This Row],[UMB]],CHAVE[],2,FALSE),"VERIFICAR"))</f>
        <v>Unidade</v>
      </c>
      <c r="L13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399" s="32" t="str">
        <f ca="1">IFERROR(VLOOKUP(MB25_VOLUMETRIA[[#This Row],[Reserva]],RES_AB[],14,FALSE),"")</f>
        <v>PLANO DO DIA</v>
      </c>
      <c r="N1399" s="32" t="str">
        <f>IF(MB25_VOLUMETRIA[[#This Row],[Cen.]]="","",IFERROR(VLOOKUP(MB25_VOLUMETRIA[[#This Row],[Cen.]],Dados_Empresas[],2,FALSE),"Verificar empresa"))</f>
        <v>NET MASSIVO</v>
      </c>
      <c r="O1399" s="32" t="str">
        <f>IF(MB25_VOLUMETRIA[[#This Row],[EMPRESA]]="","",IF(OR(MB25_VOLUMETRIA[[#This Row],[EMPRESA]]="NET MASSIVO",MB25_VOLUMETRIA[[#This Row],[EMPRESA]]="NET PROJETOS"),"NET","EMPRESARIAL"))</f>
        <v>NET</v>
      </c>
    </row>
    <row r="1400" spans="1:15" x14ac:dyDescent="0.25">
      <c r="A1400" s="32">
        <v>4382447</v>
      </c>
      <c r="B1400" s="32" t="s">
        <v>21</v>
      </c>
      <c r="C1400" s="33" t="s">
        <v>21</v>
      </c>
      <c r="D1400" s="35">
        <v>45448</v>
      </c>
      <c r="E1400" s="32" t="s">
        <v>185</v>
      </c>
      <c r="F1400" s="32">
        <v>22061811</v>
      </c>
      <c r="G1400" s="32" t="s">
        <v>226</v>
      </c>
      <c r="H1400" s="26" t="s">
        <v>38</v>
      </c>
      <c r="I1400" s="36">
        <v>600</v>
      </c>
      <c r="J1400" s="32">
        <f>IF(MB25_VOLUMETRIA[[#This Row],[Reserva]]="","",1)</f>
        <v>1</v>
      </c>
      <c r="K1400" s="36" t="str">
        <f>IF(MB25_VOLUMETRIA[[#This Row],[Reserva]]="","",IFERROR(VLOOKUP(MB25_VOLUMETRIA[[#This Row],[UMB]],CHAVE[],2,FALSE),"VERIFICAR"))</f>
        <v>Unidade</v>
      </c>
      <c r="L14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0" s="32" t="str">
        <f ca="1">IFERROR(VLOOKUP(MB25_VOLUMETRIA[[#This Row],[Reserva]],RES_AB[],14,FALSE),"")</f>
        <v>PLANO DO DIA</v>
      </c>
      <c r="N1400" s="32" t="str">
        <f>IF(MB25_VOLUMETRIA[[#This Row],[Cen.]]="","",IFERROR(VLOOKUP(MB25_VOLUMETRIA[[#This Row],[Cen.]],Dados_Empresas[],2,FALSE),"Verificar empresa"))</f>
        <v>NET MASSIVO</v>
      </c>
      <c r="O1400" s="32" t="str">
        <f>IF(MB25_VOLUMETRIA[[#This Row],[EMPRESA]]="","",IF(OR(MB25_VOLUMETRIA[[#This Row],[EMPRESA]]="NET MASSIVO",MB25_VOLUMETRIA[[#This Row],[EMPRESA]]="NET PROJETOS"),"NET","EMPRESARIAL"))</f>
        <v>NET</v>
      </c>
    </row>
    <row r="1401" spans="1:15" x14ac:dyDescent="0.25">
      <c r="A1401" s="32">
        <v>4382447</v>
      </c>
      <c r="B1401" s="32" t="s">
        <v>21</v>
      </c>
      <c r="C1401" s="33" t="s">
        <v>21</v>
      </c>
      <c r="D1401" s="35">
        <v>45448</v>
      </c>
      <c r="E1401" s="32" t="s">
        <v>185</v>
      </c>
      <c r="F1401" s="32">
        <v>22065721</v>
      </c>
      <c r="G1401" s="32" t="s">
        <v>328</v>
      </c>
      <c r="H1401" s="26" t="s">
        <v>38</v>
      </c>
      <c r="I1401" s="36">
        <v>100</v>
      </c>
      <c r="J1401" s="32">
        <f>IF(MB25_VOLUMETRIA[[#This Row],[Reserva]]="","",1)</f>
        <v>1</v>
      </c>
      <c r="K1401" s="36" t="str">
        <f>IF(MB25_VOLUMETRIA[[#This Row],[Reserva]]="","",IFERROR(VLOOKUP(MB25_VOLUMETRIA[[#This Row],[UMB]],CHAVE[],2,FALSE),"VERIFICAR"))</f>
        <v>Unidade</v>
      </c>
      <c r="L14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1" s="32" t="str">
        <f ca="1">IFERROR(VLOOKUP(MB25_VOLUMETRIA[[#This Row],[Reserva]],RES_AB[],14,FALSE),"")</f>
        <v>PLANO DO DIA</v>
      </c>
      <c r="N1401" s="32" t="str">
        <f>IF(MB25_VOLUMETRIA[[#This Row],[Cen.]]="","",IFERROR(VLOOKUP(MB25_VOLUMETRIA[[#This Row],[Cen.]],Dados_Empresas[],2,FALSE),"Verificar empresa"))</f>
        <v>NET MASSIVO</v>
      </c>
      <c r="O1401" s="32" t="str">
        <f>IF(MB25_VOLUMETRIA[[#This Row],[EMPRESA]]="","",IF(OR(MB25_VOLUMETRIA[[#This Row],[EMPRESA]]="NET MASSIVO",MB25_VOLUMETRIA[[#This Row],[EMPRESA]]="NET PROJETOS"),"NET","EMPRESARIAL"))</f>
        <v>NET</v>
      </c>
    </row>
    <row r="1402" spans="1:15" x14ac:dyDescent="0.25">
      <c r="A1402" s="32">
        <v>4382447</v>
      </c>
      <c r="B1402" s="32" t="s">
        <v>21</v>
      </c>
      <c r="C1402" s="33" t="s">
        <v>21</v>
      </c>
      <c r="D1402" s="35">
        <v>45448</v>
      </c>
      <c r="E1402" s="32" t="s">
        <v>185</v>
      </c>
      <c r="F1402" s="32">
        <v>22065722</v>
      </c>
      <c r="G1402" s="32" t="s">
        <v>196</v>
      </c>
      <c r="H1402" s="26" t="s">
        <v>38</v>
      </c>
      <c r="I1402" s="36">
        <v>100</v>
      </c>
      <c r="J1402" s="32">
        <f>IF(MB25_VOLUMETRIA[[#This Row],[Reserva]]="","",1)</f>
        <v>1</v>
      </c>
      <c r="K1402" s="36" t="str">
        <f>IF(MB25_VOLUMETRIA[[#This Row],[Reserva]]="","",IFERROR(VLOOKUP(MB25_VOLUMETRIA[[#This Row],[UMB]],CHAVE[],2,FALSE),"VERIFICAR"))</f>
        <v>Unidade</v>
      </c>
      <c r="L14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2" s="32" t="str">
        <f ca="1">IFERROR(VLOOKUP(MB25_VOLUMETRIA[[#This Row],[Reserva]],RES_AB[],14,FALSE),"")</f>
        <v>PLANO DO DIA</v>
      </c>
      <c r="N1402" s="32" t="str">
        <f>IF(MB25_VOLUMETRIA[[#This Row],[Cen.]]="","",IFERROR(VLOOKUP(MB25_VOLUMETRIA[[#This Row],[Cen.]],Dados_Empresas[],2,FALSE),"Verificar empresa"))</f>
        <v>NET MASSIVO</v>
      </c>
      <c r="O1402" s="32" t="str">
        <f>IF(MB25_VOLUMETRIA[[#This Row],[EMPRESA]]="","",IF(OR(MB25_VOLUMETRIA[[#This Row],[EMPRESA]]="NET MASSIVO",MB25_VOLUMETRIA[[#This Row],[EMPRESA]]="NET PROJETOS"),"NET","EMPRESARIAL"))</f>
        <v>NET</v>
      </c>
    </row>
    <row r="1403" spans="1:15" x14ac:dyDescent="0.25">
      <c r="A1403" s="32">
        <v>4382448</v>
      </c>
      <c r="B1403" s="32" t="s">
        <v>21</v>
      </c>
      <c r="C1403" s="33" t="s">
        <v>21</v>
      </c>
      <c r="D1403" s="35">
        <v>45448</v>
      </c>
      <c r="E1403" s="32" t="s">
        <v>184</v>
      </c>
      <c r="F1403" s="32">
        <v>41001536</v>
      </c>
      <c r="G1403" s="32" t="s">
        <v>371</v>
      </c>
      <c r="H1403" s="26" t="s">
        <v>38</v>
      </c>
      <c r="I1403" s="36">
        <v>300</v>
      </c>
      <c r="J1403" s="32">
        <f>IF(MB25_VOLUMETRIA[[#This Row],[Reserva]]="","",1)</f>
        <v>1</v>
      </c>
      <c r="K1403" s="36" t="str">
        <f>IF(MB25_VOLUMETRIA[[#This Row],[Reserva]]="","",IFERROR(VLOOKUP(MB25_VOLUMETRIA[[#This Row],[UMB]],CHAVE[],2,FALSE),"VERIFICAR"))</f>
        <v>Unidade</v>
      </c>
      <c r="L14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3" s="32" t="str">
        <f ca="1">IFERROR(VLOOKUP(MB25_VOLUMETRIA[[#This Row],[Reserva]],RES_AB[],14,FALSE),"")</f>
        <v>PLANO DO DIA</v>
      </c>
      <c r="N1403" s="32" t="str">
        <f>IF(MB25_VOLUMETRIA[[#This Row],[Cen.]]="","",IFERROR(VLOOKUP(MB25_VOLUMETRIA[[#This Row],[Cen.]],Dados_Empresas[],2,FALSE),"Verificar empresa"))</f>
        <v>NET MASSIVO</v>
      </c>
      <c r="O1403" s="32" t="str">
        <f>IF(MB25_VOLUMETRIA[[#This Row],[EMPRESA]]="","",IF(OR(MB25_VOLUMETRIA[[#This Row],[EMPRESA]]="NET MASSIVO",MB25_VOLUMETRIA[[#This Row],[EMPRESA]]="NET PROJETOS"),"NET","EMPRESARIAL"))</f>
        <v>NET</v>
      </c>
    </row>
    <row r="1404" spans="1:15" x14ac:dyDescent="0.25">
      <c r="A1404" s="32">
        <v>4382448</v>
      </c>
      <c r="B1404" s="32" t="s">
        <v>21</v>
      </c>
      <c r="C1404" s="33" t="s">
        <v>21</v>
      </c>
      <c r="D1404" s="35">
        <v>45448</v>
      </c>
      <c r="E1404" s="32" t="s">
        <v>184</v>
      </c>
      <c r="F1404" s="32">
        <v>41001553</v>
      </c>
      <c r="G1404" s="32" t="s">
        <v>295</v>
      </c>
      <c r="H1404" s="26" t="s">
        <v>38</v>
      </c>
      <c r="I1404" s="36">
        <v>60</v>
      </c>
      <c r="J1404" s="32">
        <f>IF(MB25_VOLUMETRIA[[#This Row],[Reserva]]="","",1)</f>
        <v>1</v>
      </c>
      <c r="K1404" s="36" t="str">
        <f>IF(MB25_VOLUMETRIA[[#This Row],[Reserva]]="","",IFERROR(VLOOKUP(MB25_VOLUMETRIA[[#This Row],[UMB]],CHAVE[],2,FALSE),"VERIFICAR"))</f>
        <v>Unidade</v>
      </c>
      <c r="L14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4" s="32" t="str">
        <f ca="1">IFERROR(VLOOKUP(MB25_VOLUMETRIA[[#This Row],[Reserva]],RES_AB[],14,FALSE),"")</f>
        <v>PLANO DO DIA</v>
      </c>
      <c r="N1404" s="32" t="str">
        <f>IF(MB25_VOLUMETRIA[[#This Row],[Cen.]]="","",IFERROR(VLOOKUP(MB25_VOLUMETRIA[[#This Row],[Cen.]],Dados_Empresas[],2,FALSE),"Verificar empresa"))</f>
        <v>NET MASSIVO</v>
      </c>
      <c r="O1404" s="32" t="str">
        <f>IF(MB25_VOLUMETRIA[[#This Row],[EMPRESA]]="","",IF(OR(MB25_VOLUMETRIA[[#This Row],[EMPRESA]]="NET MASSIVO",MB25_VOLUMETRIA[[#This Row],[EMPRESA]]="NET PROJETOS"),"NET","EMPRESARIAL"))</f>
        <v>NET</v>
      </c>
    </row>
    <row r="1405" spans="1:15" x14ac:dyDescent="0.25">
      <c r="A1405" s="32">
        <v>4382449</v>
      </c>
      <c r="B1405" s="32" t="s">
        <v>21</v>
      </c>
      <c r="C1405" s="33" t="s">
        <v>21</v>
      </c>
      <c r="D1405" s="35">
        <v>45448</v>
      </c>
      <c r="E1405" s="32" t="s">
        <v>185</v>
      </c>
      <c r="F1405" s="32">
        <v>22025072</v>
      </c>
      <c r="G1405" s="32" t="s">
        <v>204</v>
      </c>
      <c r="H1405" s="26" t="s">
        <v>38</v>
      </c>
      <c r="I1405" s="36">
        <v>42</v>
      </c>
      <c r="J1405" s="32">
        <f>IF(MB25_VOLUMETRIA[[#This Row],[Reserva]]="","",1)</f>
        <v>1</v>
      </c>
      <c r="K1405" s="36" t="str">
        <f>IF(MB25_VOLUMETRIA[[#This Row],[Reserva]]="","",IFERROR(VLOOKUP(MB25_VOLUMETRIA[[#This Row],[UMB]],CHAVE[],2,FALSE),"VERIFICAR"))</f>
        <v>Unidade</v>
      </c>
      <c r="L14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5" s="32" t="str">
        <f ca="1">IFERROR(VLOOKUP(MB25_VOLUMETRIA[[#This Row],[Reserva]],RES_AB[],14,FALSE),"")</f>
        <v>PLANO DO DIA</v>
      </c>
      <c r="N1405" s="32" t="str">
        <f>IF(MB25_VOLUMETRIA[[#This Row],[Cen.]]="","",IFERROR(VLOOKUP(MB25_VOLUMETRIA[[#This Row],[Cen.]],Dados_Empresas[],2,FALSE),"Verificar empresa"))</f>
        <v>NET MASSIVO</v>
      </c>
      <c r="O1405" s="32" t="str">
        <f>IF(MB25_VOLUMETRIA[[#This Row],[EMPRESA]]="","",IF(OR(MB25_VOLUMETRIA[[#This Row],[EMPRESA]]="NET MASSIVO",MB25_VOLUMETRIA[[#This Row],[EMPRESA]]="NET PROJETOS"),"NET","EMPRESARIAL"))</f>
        <v>NET</v>
      </c>
    </row>
    <row r="1406" spans="1:15" x14ac:dyDescent="0.25">
      <c r="A1406" s="32">
        <v>4382449</v>
      </c>
      <c r="B1406" s="32" t="s">
        <v>21</v>
      </c>
      <c r="C1406" s="33" t="s">
        <v>19</v>
      </c>
      <c r="D1406" s="35">
        <v>45448</v>
      </c>
      <c r="E1406" s="32" t="s">
        <v>185</v>
      </c>
      <c r="F1406" s="32">
        <v>22025238</v>
      </c>
      <c r="G1406" s="32" t="s">
        <v>368</v>
      </c>
      <c r="H1406" s="26" t="s">
        <v>38</v>
      </c>
      <c r="I1406" s="36">
        <v>100</v>
      </c>
      <c r="J1406" s="32">
        <f>IF(MB25_VOLUMETRIA[[#This Row],[Reserva]]="","",1)</f>
        <v>1</v>
      </c>
      <c r="K1406" s="36" t="str">
        <f>IF(MB25_VOLUMETRIA[[#This Row],[Reserva]]="","",IFERROR(VLOOKUP(MB25_VOLUMETRIA[[#This Row],[UMB]],CHAVE[],2,FALSE),"VERIFICAR"))</f>
        <v>Unidade</v>
      </c>
      <c r="L14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6" s="32" t="str">
        <f ca="1">IFERROR(VLOOKUP(MB25_VOLUMETRIA[[#This Row],[Reserva]],RES_AB[],14,FALSE),"")</f>
        <v>PLANO DO DIA</v>
      </c>
      <c r="N1406" s="32" t="str">
        <f>IF(MB25_VOLUMETRIA[[#This Row],[Cen.]]="","",IFERROR(VLOOKUP(MB25_VOLUMETRIA[[#This Row],[Cen.]],Dados_Empresas[],2,FALSE),"Verificar empresa"))</f>
        <v>NET MASSIVO</v>
      </c>
      <c r="O1406" s="32" t="str">
        <f>IF(MB25_VOLUMETRIA[[#This Row],[EMPRESA]]="","",IF(OR(MB25_VOLUMETRIA[[#This Row],[EMPRESA]]="NET MASSIVO",MB25_VOLUMETRIA[[#This Row],[EMPRESA]]="NET PROJETOS"),"NET","EMPRESARIAL"))</f>
        <v>NET</v>
      </c>
    </row>
    <row r="1407" spans="1:15" x14ac:dyDescent="0.25">
      <c r="A1407" s="32">
        <v>4382449</v>
      </c>
      <c r="B1407" s="32" t="s">
        <v>21</v>
      </c>
      <c r="C1407" s="33" t="s">
        <v>19</v>
      </c>
      <c r="D1407" s="35">
        <v>45448</v>
      </c>
      <c r="E1407" s="32" t="s">
        <v>185</v>
      </c>
      <c r="F1407" s="32">
        <v>22025240</v>
      </c>
      <c r="G1407" s="32" t="s">
        <v>359</v>
      </c>
      <c r="H1407" s="26" t="s">
        <v>38</v>
      </c>
      <c r="I1407" s="36">
        <v>100</v>
      </c>
      <c r="J1407" s="32">
        <f>IF(MB25_VOLUMETRIA[[#This Row],[Reserva]]="","",1)</f>
        <v>1</v>
      </c>
      <c r="K1407" s="36" t="str">
        <f>IF(MB25_VOLUMETRIA[[#This Row],[Reserva]]="","",IFERROR(VLOOKUP(MB25_VOLUMETRIA[[#This Row],[UMB]],CHAVE[],2,FALSE),"VERIFICAR"))</f>
        <v>Unidade</v>
      </c>
      <c r="L14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7" s="32" t="str">
        <f ca="1">IFERROR(VLOOKUP(MB25_VOLUMETRIA[[#This Row],[Reserva]],RES_AB[],14,FALSE),"")</f>
        <v>PLANO DO DIA</v>
      </c>
      <c r="N1407" s="32" t="str">
        <f>IF(MB25_VOLUMETRIA[[#This Row],[Cen.]]="","",IFERROR(VLOOKUP(MB25_VOLUMETRIA[[#This Row],[Cen.]],Dados_Empresas[],2,FALSE),"Verificar empresa"))</f>
        <v>NET MASSIVO</v>
      </c>
      <c r="O1407" s="32" t="str">
        <f>IF(MB25_VOLUMETRIA[[#This Row],[EMPRESA]]="","",IF(OR(MB25_VOLUMETRIA[[#This Row],[EMPRESA]]="NET MASSIVO",MB25_VOLUMETRIA[[#This Row],[EMPRESA]]="NET PROJETOS"),"NET","EMPRESARIAL"))</f>
        <v>NET</v>
      </c>
    </row>
    <row r="1408" spans="1:15" x14ac:dyDescent="0.25">
      <c r="A1408" s="32">
        <v>4382449</v>
      </c>
      <c r="B1408" s="32" t="s">
        <v>21</v>
      </c>
      <c r="C1408" s="33" t="s">
        <v>21</v>
      </c>
      <c r="D1408" s="35">
        <v>45448</v>
      </c>
      <c r="E1408" s="32" t="s">
        <v>185</v>
      </c>
      <c r="F1408" s="32">
        <v>22026265</v>
      </c>
      <c r="G1408" s="32" t="s">
        <v>222</v>
      </c>
      <c r="H1408" s="26" t="s">
        <v>38</v>
      </c>
      <c r="I1408" s="36">
        <v>1500</v>
      </c>
      <c r="J1408" s="32">
        <f>IF(MB25_VOLUMETRIA[[#This Row],[Reserva]]="","",1)</f>
        <v>1</v>
      </c>
      <c r="K1408" s="36" t="str">
        <f>IF(MB25_VOLUMETRIA[[#This Row],[Reserva]]="","",IFERROR(VLOOKUP(MB25_VOLUMETRIA[[#This Row],[UMB]],CHAVE[],2,FALSE),"VERIFICAR"))</f>
        <v>Unidade</v>
      </c>
      <c r="L14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8" s="32" t="str">
        <f ca="1">IFERROR(VLOOKUP(MB25_VOLUMETRIA[[#This Row],[Reserva]],RES_AB[],14,FALSE),"")</f>
        <v>PLANO DO DIA</v>
      </c>
      <c r="N1408" s="32" t="str">
        <f>IF(MB25_VOLUMETRIA[[#This Row],[Cen.]]="","",IFERROR(VLOOKUP(MB25_VOLUMETRIA[[#This Row],[Cen.]],Dados_Empresas[],2,FALSE),"Verificar empresa"))</f>
        <v>NET MASSIVO</v>
      </c>
      <c r="O1408" s="32" t="str">
        <f>IF(MB25_VOLUMETRIA[[#This Row],[EMPRESA]]="","",IF(OR(MB25_VOLUMETRIA[[#This Row],[EMPRESA]]="NET MASSIVO",MB25_VOLUMETRIA[[#This Row],[EMPRESA]]="NET PROJETOS"),"NET","EMPRESARIAL"))</f>
        <v>NET</v>
      </c>
    </row>
    <row r="1409" spans="1:15" x14ac:dyDescent="0.25">
      <c r="A1409" s="32">
        <v>4382449</v>
      </c>
      <c r="B1409" s="32" t="s">
        <v>21</v>
      </c>
      <c r="C1409" s="33" t="s">
        <v>21</v>
      </c>
      <c r="D1409" s="35">
        <v>45448</v>
      </c>
      <c r="E1409" s="32" t="s">
        <v>185</v>
      </c>
      <c r="F1409" s="32">
        <v>22026795</v>
      </c>
      <c r="G1409" s="32" t="s">
        <v>261</v>
      </c>
      <c r="H1409" s="26" t="s">
        <v>38</v>
      </c>
      <c r="I1409" s="36">
        <v>25</v>
      </c>
      <c r="J1409" s="32">
        <f>IF(MB25_VOLUMETRIA[[#This Row],[Reserva]]="","",1)</f>
        <v>1</v>
      </c>
      <c r="K1409" s="36" t="str">
        <f>IF(MB25_VOLUMETRIA[[#This Row],[Reserva]]="","",IFERROR(VLOOKUP(MB25_VOLUMETRIA[[#This Row],[UMB]],CHAVE[],2,FALSE),"VERIFICAR"))</f>
        <v>Unidade</v>
      </c>
      <c r="L14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09" s="32" t="str">
        <f ca="1">IFERROR(VLOOKUP(MB25_VOLUMETRIA[[#This Row],[Reserva]],RES_AB[],14,FALSE),"")</f>
        <v>PLANO DO DIA</v>
      </c>
      <c r="N1409" s="32" t="str">
        <f>IF(MB25_VOLUMETRIA[[#This Row],[Cen.]]="","",IFERROR(VLOOKUP(MB25_VOLUMETRIA[[#This Row],[Cen.]],Dados_Empresas[],2,FALSE),"Verificar empresa"))</f>
        <v>NET MASSIVO</v>
      </c>
      <c r="O1409" s="32" t="str">
        <f>IF(MB25_VOLUMETRIA[[#This Row],[EMPRESA]]="","",IF(OR(MB25_VOLUMETRIA[[#This Row],[EMPRESA]]="NET MASSIVO",MB25_VOLUMETRIA[[#This Row],[EMPRESA]]="NET PROJETOS"),"NET","EMPRESARIAL"))</f>
        <v>NET</v>
      </c>
    </row>
    <row r="1410" spans="1:15" x14ac:dyDescent="0.25">
      <c r="A1410" s="32">
        <v>4382449</v>
      </c>
      <c r="B1410" s="32" t="s">
        <v>21</v>
      </c>
      <c r="C1410" s="33" t="s">
        <v>21</v>
      </c>
      <c r="D1410" s="35">
        <v>45448</v>
      </c>
      <c r="E1410" s="32" t="s">
        <v>185</v>
      </c>
      <c r="F1410" s="32">
        <v>22057658</v>
      </c>
      <c r="G1410" s="32" t="s">
        <v>229</v>
      </c>
      <c r="H1410" s="26" t="s">
        <v>38</v>
      </c>
      <c r="I1410" s="36">
        <v>20</v>
      </c>
      <c r="J1410" s="32">
        <f>IF(MB25_VOLUMETRIA[[#This Row],[Reserva]]="","",1)</f>
        <v>1</v>
      </c>
      <c r="K1410" s="36" t="str">
        <f>IF(MB25_VOLUMETRIA[[#This Row],[Reserva]]="","",IFERROR(VLOOKUP(MB25_VOLUMETRIA[[#This Row],[UMB]],CHAVE[],2,FALSE),"VERIFICAR"))</f>
        <v>Unidade</v>
      </c>
      <c r="L14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0" s="32" t="str">
        <f ca="1">IFERROR(VLOOKUP(MB25_VOLUMETRIA[[#This Row],[Reserva]],RES_AB[],14,FALSE),"")</f>
        <v>PLANO DO DIA</v>
      </c>
      <c r="N1410" s="32" t="str">
        <f>IF(MB25_VOLUMETRIA[[#This Row],[Cen.]]="","",IFERROR(VLOOKUP(MB25_VOLUMETRIA[[#This Row],[Cen.]],Dados_Empresas[],2,FALSE),"Verificar empresa"))</f>
        <v>NET MASSIVO</v>
      </c>
      <c r="O1410" s="32" t="str">
        <f>IF(MB25_VOLUMETRIA[[#This Row],[EMPRESA]]="","",IF(OR(MB25_VOLUMETRIA[[#This Row],[EMPRESA]]="NET MASSIVO",MB25_VOLUMETRIA[[#This Row],[EMPRESA]]="NET PROJETOS"),"NET","EMPRESARIAL"))</f>
        <v>NET</v>
      </c>
    </row>
    <row r="1411" spans="1:15" x14ac:dyDescent="0.25">
      <c r="A1411" s="32">
        <v>4382450</v>
      </c>
      <c r="B1411" s="32" t="s">
        <v>21</v>
      </c>
      <c r="C1411" s="33" t="s">
        <v>21</v>
      </c>
      <c r="D1411" s="35">
        <v>45448</v>
      </c>
      <c r="E1411" s="32" t="s">
        <v>184</v>
      </c>
      <c r="F1411" s="32">
        <v>41001536</v>
      </c>
      <c r="G1411" s="32" t="s">
        <v>371</v>
      </c>
      <c r="H1411" s="26" t="s">
        <v>38</v>
      </c>
      <c r="I1411" s="36">
        <v>30</v>
      </c>
      <c r="J1411" s="32">
        <f>IF(MB25_VOLUMETRIA[[#This Row],[Reserva]]="","",1)</f>
        <v>1</v>
      </c>
      <c r="K1411" s="36" t="str">
        <f>IF(MB25_VOLUMETRIA[[#This Row],[Reserva]]="","",IFERROR(VLOOKUP(MB25_VOLUMETRIA[[#This Row],[UMB]],CHAVE[],2,FALSE),"VERIFICAR"))</f>
        <v>Unidade</v>
      </c>
      <c r="L14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1" s="32" t="str">
        <f ca="1">IFERROR(VLOOKUP(MB25_VOLUMETRIA[[#This Row],[Reserva]],RES_AB[],14,FALSE),"")</f>
        <v>PLANO DO DIA</v>
      </c>
      <c r="N1411" s="32" t="str">
        <f>IF(MB25_VOLUMETRIA[[#This Row],[Cen.]]="","",IFERROR(VLOOKUP(MB25_VOLUMETRIA[[#This Row],[Cen.]],Dados_Empresas[],2,FALSE),"Verificar empresa"))</f>
        <v>NET MASSIVO</v>
      </c>
      <c r="O1411" s="32" t="str">
        <f>IF(MB25_VOLUMETRIA[[#This Row],[EMPRESA]]="","",IF(OR(MB25_VOLUMETRIA[[#This Row],[EMPRESA]]="NET MASSIVO",MB25_VOLUMETRIA[[#This Row],[EMPRESA]]="NET PROJETOS"),"NET","EMPRESARIAL"))</f>
        <v>NET</v>
      </c>
    </row>
    <row r="1412" spans="1:15" x14ac:dyDescent="0.25">
      <c r="A1412" s="32">
        <v>4382451</v>
      </c>
      <c r="B1412" s="32" t="s">
        <v>21</v>
      </c>
      <c r="C1412" s="33" t="s">
        <v>21</v>
      </c>
      <c r="D1412" s="35">
        <v>45448</v>
      </c>
      <c r="E1412" s="32" t="s">
        <v>185</v>
      </c>
      <c r="F1412" s="32">
        <v>22025049</v>
      </c>
      <c r="G1412" s="32" t="s">
        <v>198</v>
      </c>
      <c r="H1412" s="26" t="s">
        <v>38</v>
      </c>
      <c r="I1412" s="36">
        <v>3</v>
      </c>
      <c r="J1412" s="32">
        <f>IF(MB25_VOLUMETRIA[[#This Row],[Reserva]]="","",1)</f>
        <v>1</v>
      </c>
      <c r="K1412" s="36" t="str">
        <f>IF(MB25_VOLUMETRIA[[#This Row],[Reserva]]="","",IFERROR(VLOOKUP(MB25_VOLUMETRIA[[#This Row],[UMB]],CHAVE[],2,FALSE),"VERIFICAR"))</f>
        <v>Unidade</v>
      </c>
      <c r="L14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2" s="32" t="str">
        <f ca="1">IFERROR(VLOOKUP(MB25_VOLUMETRIA[[#This Row],[Reserva]],RES_AB[],14,FALSE),"")</f>
        <v>PLANO DO DIA</v>
      </c>
      <c r="N1412" s="32" t="str">
        <f>IF(MB25_VOLUMETRIA[[#This Row],[Cen.]]="","",IFERROR(VLOOKUP(MB25_VOLUMETRIA[[#This Row],[Cen.]],Dados_Empresas[],2,FALSE),"Verificar empresa"))</f>
        <v>NET MASSIVO</v>
      </c>
      <c r="O1412" s="32" t="str">
        <f>IF(MB25_VOLUMETRIA[[#This Row],[EMPRESA]]="","",IF(OR(MB25_VOLUMETRIA[[#This Row],[EMPRESA]]="NET MASSIVO",MB25_VOLUMETRIA[[#This Row],[EMPRESA]]="NET PROJETOS"),"NET","EMPRESARIAL"))</f>
        <v>NET</v>
      </c>
    </row>
    <row r="1413" spans="1:15" x14ac:dyDescent="0.25">
      <c r="A1413" s="32">
        <v>4382451</v>
      </c>
      <c r="B1413" s="32" t="s">
        <v>21</v>
      </c>
      <c r="C1413" s="33" t="s">
        <v>21</v>
      </c>
      <c r="D1413" s="35">
        <v>45448</v>
      </c>
      <c r="E1413" s="32" t="s">
        <v>185</v>
      </c>
      <c r="F1413" s="32">
        <v>22025072</v>
      </c>
      <c r="G1413" s="32" t="s">
        <v>204</v>
      </c>
      <c r="H1413" s="26" t="s">
        <v>38</v>
      </c>
      <c r="I1413" s="36">
        <v>12</v>
      </c>
      <c r="J1413" s="32">
        <f>IF(MB25_VOLUMETRIA[[#This Row],[Reserva]]="","",1)</f>
        <v>1</v>
      </c>
      <c r="K1413" s="36" t="str">
        <f>IF(MB25_VOLUMETRIA[[#This Row],[Reserva]]="","",IFERROR(VLOOKUP(MB25_VOLUMETRIA[[#This Row],[UMB]],CHAVE[],2,FALSE),"VERIFICAR"))</f>
        <v>Unidade</v>
      </c>
      <c r="L14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3" s="32" t="str">
        <f ca="1">IFERROR(VLOOKUP(MB25_VOLUMETRIA[[#This Row],[Reserva]],RES_AB[],14,FALSE),"")</f>
        <v>PLANO DO DIA</v>
      </c>
      <c r="N1413" s="32" t="str">
        <f>IF(MB25_VOLUMETRIA[[#This Row],[Cen.]]="","",IFERROR(VLOOKUP(MB25_VOLUMETRIA[[#This Row],[Cen.]],Dados_Empresas[],2,FALSE),"Verificar empresa"))</f>
        <v>NET MASSIVO</v>
      </c>
      <c r="O1413" s="32" t="str">
        <f>IF(MB25_VOLUMETRIA[[#This Row],[EMPRESA]]="","",IF(OR(MB25_VOLUMETRIA[[#This Row],[EMPRESA]]="NET MASSIVO",MB25_VOLUMETRIA[[#This Row],[EMPRESA]]="NET PROJETOS"),"NET","EMPRESARIAL"))</f>
        <v>NET</v>
      </c>
    </row>
    <row r="1414" spans="1:15" x14ac:dyDescent="0.25">
      <c r="A1414" s="32">
        <v>4382451</v>
      </c>
      <c r="B1414" s="32" t="s">
        <v>21</v>
      </c>
      <c r="C1414" s="33" t="s">
        <v>21</v>
      </c>
      <c r="D1414" s="35">
        <v>45448</v>
      </c>
      <c r="E1414" s="32" t="s">
        <v>185</v>
      </c>
      <c r="F1414" s="32">
        <v>22025139</v>
      </c>
      <c r="G1414" s="32" t="s">
        <v>199</v>
      </c>
      <c r="H1414" s="26" t="s">
        <v>38</v>
      </c>
      <c r="I1414" s="36">
        <v>700</v>
      </c>
      <c r="J1414" s="32">
        <f>IF(MB25_VOLUMETRIA[[#This Row],[Reserva]]="","",1)</f>
        <v>1</v>
      </c>
      <c r="K1414" s="36" t="str">
        <f>IF(MB25_VOLUMETRIA[[#This Row],[Reserva]]="","",IFERROR(VLOOKUP(MB25_VOLUMETRIA[[#This Row],[UMB]],CHAVE[],2,FALSE),"VERIFICAR"))</f>
        <v>Unidade</v>
      </c>
      <c r="L14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4" s="32" t="str">
        <f ca="1">IFERROR(VLOOKUP(MB25_VOLUMETRIA[[#This Row],[Reserva]],RES_AB[],14,FALSE),"")</f>
        <v>PLANO DO DIA</v>
      </c>
      <c r="N1414" s="32" t="str">
        <f>IF(MB25_VOLUMETRIA[[#This Row],[Cen.]]="","",IFERROR(VLOOKUP(MB25_VOLUMETRIA[[#This Row],[Cen.]],Dados_Empresas[],2,FALSE),"Verificar empresa"))</f>
        <v>NET MASSIVO</v>
      </c>
      <c r="O1414" s="32" t="str">
        <f>IF(MB25_VOLUMETRIA[[#This Row],[EMPRESA]]="","",IF(OR(MB25_VOLUMETRIA[[#This Row],[EMPRESA]]="NET MASSIVO",MB25_VOLUMETRIA[[#This Row],[EMPRESA]]="NET PROJETOS"),"NET","EMPRESARIAL"))</f>
        <v>NET</v>
      </c>
    </row>
    <row r="1415" spans="1:15" x14ac:dyDescent="0.25">
      <c r="A1415" s="32">
        <v>4382451</v>
      </c>
      <c r="B1415" s="32" t="s">
        <v>21</v>
      </c>
      <c r="C1415" s="33" t="s">
        <v>19</v>
      </c>
      <c r="D1415" s="35">
        <v>45448</v>
      </c>
      <c r="E1415" s="32" t="s">
        <v>185</v>
      </c>
      <c r="F1415" s="32">
        <v>22025243</v>
      </c>
      <c r="G1415" s="32" t="s">
        <v>331</v>
      </c>
      <c r="H1415" s="26" t="s">
        <v>38</v>
      </c>
      <c r="I1415" s="36">
        <v>100</v>
      </c>
      <c r="J1415" s="32">
        <f>IF(MB25_VOLUMETRIA[[#This Row],[Reserva]]="","",1)</f>
        <v>1</v>
      </c>
      <c r="K1415" s="36" t="str">
        <f>IF(MB25_VOLUMETRIA[[#This Row],[Reserva]]="","",IFERROR(VLOOKUP(MB25_VOLUMETRIA[[#This Row],[UMB]],CHAVE[],2,FALSE),"VERIFICAR"))</f>
        <v>Unidade</v>
      </c>
      <c r="L14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5" s="32" t="str">
        <f ca="1">IFERROR(VLOOKUP(MB25_VOLUMETRIA[[#This Row],[Reserva]],RES_AB[],14,FALSE),"")</f>
        <v>PLANO DO DIA</v>
      </c>
      <c r="N1415" s="32" t="str">
        <f>IF(MB25_VOLUMETRIA[[#This Row],[Cen.]]="","",IFERROR(VLOOKUP(MB25_VOLUMETRIA[[#This Row],[Cen.]],Dados_Empresas[],2,FALSE),"Verificar empresa"))</f>
        <v>NET MASSIVO</v>
      </c>
      <c r="O1415" s="32" t="str">
        <f>IF(MB25_VOLUMETRIA[[#This Row],[EMPRESA]]="","",IF(OR(MB25_VOLUMETRIA[[#This Row],[EMPRESA]]="NET MASSIVO",MB25_VOLUMETRIA[[#This Row],[EMPRESA]]="NET PROJETOS"),"NET","EMPRESARIAL"))</f>
        <v>NET</v>
      </c>
    </row>
    <row r="1416" spans="1:15" x14ac:dyDescent="0.25">
      <c r="A1416" s="32">
        <v>4382451</v>
      </c>
      <c r="B1416" s="32" t="s">
        <v>21</v>
      </c>
      <c r="C1416" s="33" t="s">
        <v>19</v>
      </c>
      <c r="D1416" s="35">
        <v>45448</v>
      </c>
      <c r="E1416" s="32" t="s">
        <v>185</v>
      </c>
      <c r="F1416" s="32">
        <v>22025250</v>
      </c>
      <c r="G1416" s="32" t="s">
        <v>213</v>
      </c>
      <c r="H1416" s="26" t="s">
        <v>38</v>
      </c>
      <c r="I1416" s="36">
        <v>100</v>
      </c>
      <c r="J1416" s="32">
        <f>IF(MB25_VOLUMETRIA[[#This Row],[Reserva]]="","",1)</f>
        <v>1</v>
      </c>
      <c r="K1416" s="36" t="str">
        <f>IF(MB25_VOLUMETRIA[[#This Row],[Reserva]]="","",IFERROR(VLOOKUP(MB25_VOLUMETRIA[[#This Row],[UMB]],CHAVE[],2,FALSE),"VERIFICAR"))</f>
        <v>Unidade</v>
      </c>
      <c r="L14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6" s="32" t="str">
        <f ca="1">IFERROR(VLOOKUP(MB25_VOLUMETRIA[[#This Row],[Reserva]],RES_AB[],14,FALSE),"")</f>
        <v>PLANO DO DIA</v>
      </c>
      <c r="N1416" s="32" t="str">
        <f>IF(MB25_VOLUMETRIA[[#This Row],[Cen.]]="","",IFERROR(VLOOKUP(MB25_VOLUMETRIA[[#This Row],[Cen.]],Dados_Empresas[],2,FALSE),"Verificar empresa"))</f>
        <v>NET MASSIVO</v>
      </c>
      <c r="O1416" s="32" t="str">
        <f>IF(MB25_VOLUMETRIA[[#This Row],[EMPRESA]]="","",IF(OR(MB25_VOLUMETRIA[[#This Row],[EMPRESA]]="NET MASSIVO",MB25_VOLUMETRIA[[#This Row],[EMPRESA]]="NET PROJETOS"),"NET","EMPRESARIAL"))</f>
        <v>NET</v>
      </c>
    </row>
    <row r="1417" spans="1:15" x14ac:dyDescent="0.25">
      <c r="A1417" s="32">
        <v>4382451</v>
      </c>
      <c r="B1417" s="32" t="s">
        <v>21</v>
      </c>
      <c r="C1417" s="33" t="s">
        <v>21</v>
      </c>
      <c r="D1417" s="35">
        <v>45448</v>
      </c>
      <c r="E1417" s="32" t="s">
        <v>185</v>
      </c>
      <c r="F1417" s="32">
        <v>22026199</v>
      </c>
      <c r="G1417" s="32" t="s">
        <v>233</v>
      </c>
      <c r="H1417" s="26" t="s">
        <v>38</v>
      </c>
      <c r="I1417" s="36">
        <v>100</v>
      </c>
      <c r="J1417" s="32">
        <f>IF(MB25_VOLUMETRIA[[#This Row],[Reserva]]="","",1)</f>
        <v>1</v>
      </c>
      <c r="K1417" s="36" t="str">
        <f>IF(MB25_VOLUMETRIA[[#This Row],[Reserva]]="","",IFERROR(VLOOKUP(MB25_VOLUMETRIA[[#This Row],[UMB]],CHAVE[],2,FALSE),"VERIFICAR"))</f>
        <v>Unidade</v>
      </c>
      <c r="L14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7" s="32" t="str">
        <f ca="1">IFERROR(VLOOKUP(MB25_VOLUMETRIA[[#This Row],[Reserva]],RES_AB[],14,FALSE),"")</f>
        <v>PLANO DO DIA</v>
      </c>
      <c r="N1417" s="32" t="str">
        <f>IF(MB25_VOLUMETRIA[[#This Row],[Cen.]]="","",IFERROR(VLOOKUP(MB25_VOLUMETRIA[[#This Row],[Cen.]],Dados_Empresas[],2,FALSE),"Verificar empresa"))</f>
        <v>NET MASSIVO</v>
      </c>
      <c r="O1417" s="32" t="str">
        <f>IF(MB25_VOLUMETRIA[[#This Row],[EMPRESA]]="","",IF(OR(MB25_VOLUMETRIA[[#This Row],[EMPRESA]]="NET MASSIVO",MB25_VOLUMETRIA[[#This Row],[EMPRESA]]="NET PROJETOS"),"NET","EMPRESARIAL"))</f>
        <v>NET</v>
      </c>
    </row>
    <row r="1418" spans="1:15" x14ac:dyDescent="0.25">
      <c r="A1418" s="32">
        <v>4382451</v>
      </c>
      <c r="B1418" s="32" t="s">
        <v>21</v>
      </c>
      <c r="C1418" s="33" t="s">
        <v>21</v>
      </c>
      <c r="D1418" s="35">
        <v>45448</v>
      </c>
      <c r="E1418" s="32" t="s">
        <v>185</v>
      </c>
      <c r="F1418" s="32">
        <v>22026219</v>
      </c>
      <c r="G1418" s="32" t="s">
        <v>221</v>
      </c>
      <c r="H1418" s="26" t="s">
        <v>38</v>
      </c>
      <c r="I1418" s="36">
        <v>6500</v>
      </c>
      <c r="J1418" s="32">
        <f>IF(MB25_VOLUMETRIA[[#This Row],[Reserva]]="","",1)</f>
        <v>1</v>
      </c>
      <c r="K1418" s="36" t="str">
        <f>IF(MB25_VOLUMETRIA[[#This Row],[Reserva]]="","",IFERROR(VLOOKUP(MB25_VOLUMETRIA[[#This Row],[UMB]],CHAVE[],2,FALSE),"VERIFICAR"))</f>
        <v>Unidade</v>
      </c>
      <c r="L14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8" s="32" t="str">
        <f ca="1">IFERROR(VLOOKUP(MB25_VOLUMETRIA[[#This Row],[Reserva]],RES_AB[],14,FALSE),"")</f>
        <v>PLANO DO DIA</v>
      </c>
      <c r="N1418" s="32" t="str">
        <f>IF(MB25_VOLUMETRIA[[#This Row],[Cen.]]="","",IFERROR(VLOOKUP(MB25_VOLUMETRIA[[#This Row],[Cen.]],Dados_Empresas[],2,FALSE),"Verificar empresa"))</f>
        <v>NET MASSIVO</v>
      </c>
      <c r="O1418" s="32" t="str">
        <f>IF(MB25_VOLUMETRIA[[#This Row],[EMPRESA]]="","",IF(OR(MB25_VOLUMETRIA[[#This Row],[EMPRESA]]="NET MASSIVO",MB25_VOLUMETRIA[[#This Row],[EMPRESA]]="NET PROJETOS"),"NET","EMPRESARIAL"))</f>
        <v>NET</v>
      </c>
    </row>
    <row r="1419" spans="1:15" x14ac:dyDescent="0.25">
      <c r="A1419" s="32">
        <v>4382451</v>
      </c>
      <c r="B1419" s="32" t="s">
        <v>21</v>
      </c>
      <c r="C1419" s="33" t="s">
        <v>21</v>
      </c>
      <c r="D1419" s="35">
        <v>45448</v>
      </c>
      <c r="E1419" s="32" t="s">
        <v>185</v>
      </c>
      <c r="F1419" s="32">
        <v>22026223</v>
      </c>
      <c r="G1419" s="32" t="s">
        <v>195</v>
      </c>
      <c r="H1419" s="26" t="s">
        <v>38</v>
      </c>
      <c r="I1419" s="36">
        <v>6100</v>
      </c>
      <c r="J1419" s="32">
        <f>IF(MB25_VOLUMETRIA[[#This Row],[Reserva]]="","",1)</f>
        <v>1</v>
      </c>
      <c r="K1419" s="36" t="str">
        <f>IF(MB25_VOLUMETRIA[[#This Row],[Reserva]]="","",IFERROR(VLOOKUP(MB25_VOLUMETRIA[[#This Row],[UMB]],CHAVE[],2,FALSE),"VERIFICAR"))</f>
        <v>Unidade</v>
      </c>
      <c r="L14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19" s="32" t="str">
        <f ca="1">IFERROR(VLOOKUP(MB25_VOLUMETRIA[[#This Row],[Reserva]],RES_AB[],14,FALSE),"")</f>
        <v>PLANO DO DIA</v>
      </c>
      <c r="N1419" s="32" t="str">
        <f>IF(MB25_VOLUMETRIA[[#This Row],[Cen.]]="","",IFERROR(VLOOKUP(MB25_VOLUMETRIA[[#This Row],[Cen.]],Dados_Empresas[],2,FALSE),"Verificar empresa"))</f>
        <v>NET MASSIVO</v>
      </c>
      <c r="O1419" s="32" t="str">
        <f>IF(MB25_VOLUMETRIA[[#This Row],[EMPRESA]]="","",IF(OR(MB25_VOLUMETRIA[[#This Row],[EMPRESA]]="NET MASSIVO",MB25_VOLUMETRIA[[#This Row],[EMPRESA]]="NET PROJETOS"),"NET","EMPRESARIAL"))</f>
        <v>NET</v>
      </c>
    </row>
    <row r="1420" spans="1:15" x14ac:dyDescent="0.25">
      <c r="A1420" s="32">
        <v>4382451</v>
      </c>
      <c r="B1420" s="32" t="s">
        <v>21</v>
      </c>
      <c r="C1420" s="33" t="s">
        <v>21</v>
      </c>
      <c r="D1420" s="35">
        <v>45448</v>
      </c>
      <c r="E1420" s="32" t="s">
        <v>185</v>
      </c>
      <c r="F1420" s="32">
        <v>22026544</v>
      </c>
      <c r="G1420" s="32" t="s">
        <v>206</v>
      </c>
      <c r="H1420" s="26" t="s">
        <v>38</v>
      </c>
      <c r="I1420" s="36">
        <v>50</v>
      </c>
      <c r="J1420" s="32">
        <f>IF(MB25_VOLUMETRIA[[#This Row],[Reserva]]="","",1)</f>
        <v>1</v>
      </c>
      <c r="K1420" s="36" t="str">
        <f>IF(MB25_VOLUMETRIA[[#This Row],[Reserva]]="","",IFERROR(VLOOKUP(MB25_VOLUMETRIA[[#This Row],[UMB]],CHAVE[],2,FALSE),"VERIFICAR"))</f>
        <v>Unidade</v>
      </c>
      <c r="L14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0" s="32" t="str">
        <f ca="1">IFERROR(VLOOKUP(MB25_VOLUMETRIA[[#This Row],[Reserva]],RES_AB[],14,FALSE),"")</f>
        <v>PLANO DO DIA</v>
      </c>
      <c r="N1420" s="32" t="str">
        <f>IF(MB25_VOLUMETRIA[[#This Row],[Cen.]]="","",IFERROR(VLOOKUP(MB25_VOLUMETRIA[[#This Row],[Cen.]],Dados_Empresas[],2,FALSE),"Verificar empresa"))</f>
        <v>NET MASSIVO</v>
      </c>
      <c r="O1420" s="32" t="str">
        <f>IF(MB25_VOLUMETRIA[[#This Row],[EMPRESA]]="","",IF(OR(MB25_VOLUMETRIA[[#This Row],[EMPRESA]]="NET MASSIVO",MB25_VOLUMETRIA[[#This Row],[EMPRESA]]="NET PROJETOS"),"NET","EMPRESARIAL"))</f>
        <v>NET</v>
      </c>
    </row>
    <row r="1421" spans="1:15" x14ac:dyDescent="0.25">
      <c r="A1421" s="32">
        <v>4382451</v>
      </c>
      <c r="B1421" s="32" t="s">
        <v>21</v>
      </c>
      <c r="C1421" s="33" t="s">
        <v>21</v>
      </c>
      <c r="D1421" s="35">
        <v>45448</v>
      </c>
      <c r="E1421" s="32" t="s">
        <v>185</v>
      </c>
      <c r="F1421" s="32">
        <v>22026792</v>
      </c>
      <c r="G1421" s="32" t="s">
        <v>202</v>
      </c>
      <c r="H1421" s="26" t="s">
        <v>38</v>
      </c>
      <c r="I1421" s="36">
        <v>100</v>
      </c>
      <c r="J1421" s="32">
        <f>IF(MB25_VOLUMETRIA[[#This Row],[Reserva]]="","",1)</f>
        <v>1</v>
      </c>
      <c r="K1421" s="36" t="str">
        <f>IF(MB25_VOLUMETRIA[[#This Row],[Reserva]]="","",IFERROR(VLOOKUP(MB25_VOLUMETRIA[[#This Row],[UMB]],CHAVE[],2,FALSE),"VERIFICAR"))</f>
        <v>Unidade</v>
      </c>
      <c r="L14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1" s="32" t="str">
        <f ca="1">IFERROR(VLOOKUP(MB25_VOLUMETRIA[[#This Row],[Reserva]],RES_AB[],14,FALSE),"")</f>
        <v>PLANO DO DIA</v>
      </c>
      <c r="N1421" s="32" t="str">
        <f>IF(MB25_VOLUMETRIA[[#This Row],[Cen.]]="","",IFERROR(VLOOKUP(MB25_VOLUMETRIA[[#This Row],[Cen.]],Dados_Empresas[],2,FALSE),"Verificar empresa"))</f>
        <v>NET MASSIVO</v>
      </c>
      <c r="O1421" s="32" t="str">
        <f>IF(MB25_VOLUMETRIA[[#This Row],[EMPRESA]]="","",IF(OR(MB25_VOLUMETRIA[[#This Row],[EMPRESA]]="NET MASSIVO",MB25_VOLUMETRIA[[#This Row],[EMPRESA]]="NET PROJETOS"),"NET","EMPRESARIAL"))</f>
        <v>NET</v>
      </c>
    </row>
    <row r="1422" spans="1:15" x14ac:dyDescent="0.25">
      <c r="A1422" s="32">
        <v>4382451</v>
      </c>
      <c r="B1422" s="32" t="s">
        <v>21</v>
      </c>
      <c r="C1422" s="33" t="s">
        <v>21</v>
      </c>
      <c r="D1422" s="35">
        <v>45448</v>
      </c>
      <c r="E1422" s="32" t="s">
        <v>185</v>
      </c>
      <c r="F1422" s="32">
        <v>22056365</v>
      </c>
      <c r="G1422" s="32" t="s">
        <v>244</v>
      </c>
      <c r="H1422" s="26" t="s">
        <v>38</v>
      </c>
      <c r="I1422" s="36">
        <v>90</v>
      </c>
      <c r="J1422" s="32">
        <f>IF(MB25_VOLUMETRIA[[#This Row],[Reserva]]="","",1)</f>
        <v>1</v>
      </c>
      <c r="K1422" s="36" t="str">
        <f>IF(MB25_VOLUMETRIA[[#This Row],[Reserva]]="","",IFERROR(VLOOKUP(MB25_VOLUMETRIA[[#This Row],[UMB]],CHAVE[],2,FALSE),"VERIFICAR"))</f>
        <v>Unidade</v>
      </c>
      <c r="L14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2" s="32" t="str">
        <f ca="1">IFERROR(VLOOKUP(MB25_VOLUMETRIA[[#This Row],[Reserva]],RES_AB[],14,FALSE),"")</f>
        <v>PLANO DO DIA</v>
      </c>
      <c r="N1422" s="32" t="str">
        <f>IF(MB25_VOLUMETRIA[[#This Row],[Cen.]]="","",IFERROR(VLOOKUP(MB25_VOLUMETRIA[[#This Row],[Cen.]],Dados_Empresas[],2,FALSE),"Verificar empresa"))</f>
        <v>NET MASSIVO</v>
      </c>
      <c r="O1422" s="32" t="str">
        <f>IF(MB25_VOLUMETRIA[[#This Row],[EMPRESA]]="","",IF(OR(MB25_VOLUMETRIA[[#This Row],[EMPRESA]]="NET MASSIVO",MB25_VOLUMETRIA[[#This Row],[EMPRESA]]="NET PROJETOS"),"NET","EMPRESARIAL"))</f>
        <v>NET</v>
      </c>
    </row>
    <row r="1423" spans="1:15" x14ac:dyDescent="0.25">
      <c r="A1423" s="32">
        <v>4382451</v>
      </c>
      <c r="B1423" s="32" t="s">
        <v>21</v>
      </c>
      <c r="C1423" s="33" t="s">
        <v>21</v>
      </c>
      <c r="D1423" s="35">
        <v>45448</v>
      </c>
      <c r="E1423" s="32" t="s">
        <v>185</v>
      </c>
      <c r="F1423" s="32">
        <v>22056369</v>
      </c>
      <c r="G1423" s="32" t="s">
        <v>194</v>
      </c>
      <c r="H1423" s="26" t="s">
        <v>38</v>
      </c>
      <c r="I1423" s="36">
        <v>1200</v>
      </c>
      <c r="J1423" s="32">
        <f>IF(MB25_VOLUMETRIA[[#This Row],[Reserva]]="","",1)</f>
        <v>1</v>
      </c>
      <c r="K1423" s="36" t="str">
        <f>IF(MB25_VOLUMETRIA[[#This Row],[Reserva]]="","",IFERROR(VLOOKUP(MB25_VOLUMETRIA[[#This Row],[UMB]],CHAVE[],2,FALSE),"VERIFICAR"))</f>
        <v>Unidade</v>
      </c>
      <c r="L14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3" s="32" t="str">
        <f ca="1">IFERROR(VLOOKUP(MB25_VOLUMETRIA[[#This Row],[Reserva]],RES_AB[],14,FALSE),"")</f>
        <v>PLANO DO DIA</v>
      </c>
      <c r="N1423" s="32" t="str">
        <f>IF(MB25_VOLUMETRIA[[#This Row],[Cen.]]="","",IFERROR(VLOOKUP(MB25_VOLUMETRIA[[#This Row],[Cen.]],Dados_Empresas[],2,FALSE),"Verificar empresa"))</f>
        <v>NET MASSIVO</v>
      </c>
      <c r="O1423" s="32" t="str">
        <f>IF(MB25_VOLUMETRIA[[#This Row],[EMPRESA]]="","",IF(OR(MB25_VOLUMETRIA[[#This Row],[EMPRESA]]="NET MASSIVO",MB25_VOLUMETRIA[[#This Row],[EMPRESA]]="NET PROJETOS"),"NET","EMPRESARIAL"))</f>
        <v>NET</v>
      </c>
    </row>
    <row r="1424" spans="1:15" x14ac:dyDescent="0.25">
      <c r="A1424" s="32">
        <v>4382451</v>
      </c>
      <c r="B1424" s="32" t="s">
        <v>21</v>
      </c>
      <c r="C1424" s="33" t="s">
        <v>21</v>
      </c>
      <c r="D1424" s="35">
        <v>45448</v>
      </c>
      <c r="E1424" s="32" t="s">
        <v>185</v>
      </c>
      <c r="F1424" s="32">
        <v>22057620</v>
      </c>
      <c r="G1424" s="32" t="s">
        <v>253</v>
      </c>
      <c r="H1424" s="26" t="s">
        <v>38</v>
      </c>
      <c r="I1424" s="36">
        <v>200</v>
      </c>
      <c r="J1424" s="32">
        <f>IF(MB25_VOLUMETRIA[[#This Row],[Reserva]]="","",1)</f>
        <v>1</v>
      </c>
      <c r="K1424" s="36" t="str">
        <f>IF(MB25_VOLUMETRIA[[#This Row],[Reserva]]="","",IFERROR(VLOOKUP(MB25_VOLUMETRIA[[#This Row],[UMB]],CHAVE[],2,FALSE),"VERIFICAR"))</f>
        <v>Unidade</v>
      </c>
      <c r="L14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4" s="32" t="str">
        <f ca="1">IFERROR(VLOOKUP(MB25_VOLUMETRIA[[#This Row],[Reserva]],RES_AB[],14,FALSE),"")</f>
        <v>PLANO DO DIA</v>
      </c>
      <c r="N1424" s="32" t="str">
        <f>IF(MB25_VOLUMETRIA[[#This Row],[Cen.]]="","",IFERROR(VLOOKUP(MB25_VOLUMETRIA[[#This Row],[Cen.]],Dados_Empresas[],2,FALSE),"Verificar empresa"))</f>
        <v>NET MASSIVO</v>
      </c>
      <c r="O1424" s="32" t="str">
        <f>IF(MB25_VOLUMETRIA[[#This Row],[EMPRESA]]="","",IF(OR(MB25_VOLUMETRIA[[#This Row],[EMPRESA]]="NET MASSIVO",MB25_VOLUMETRIA[[#This Row],[EMPRESA]]="NET PROJETOS"),"NET","EMPRESARIAL"))</f>
        <v>NET</v>
      </c>
    </row>
    <row r="1425" spans="1:15" x14ac:dyDescent="0.25">
      <c r="A1425" s="32">
        <v>4382451</v>
      </c>
      <c r="B1425" s="32" t="s">
        <v>21</v>
      </c>
      <c r="C1425" s="33" t="s">
        <v>21</v>
      </c>
      <c r="D1425" s="35">
        <v>45448</v>
      </c>
      <c r="E1425" s="32" t="s">
        <v>185</v>
      </c>
      <c r="F1425" s="32">
        <v>22057635</v>
      </c>
      <c r="G1425" s="32" t="s">
        <v>223</v>
      </c>
      <c r="H1425" s="26" t="s">
        <v>38</v>
      </c>
      <c r="I1425" s="36">
        <v>700</v>
      </c>
      <c r="J1425" s="32">
        <f>IF(MB25_VOLUMETRIA[[#This Row],[Reserva]]="","",1)</f>
        <v>1</v>
      </c>
      <c r="K1425" s="36" t="str">
        <f>IF(MB25_VOLUMETRIA[[#This Row],[Reserva]]="","",IFERROR(VLOOKUP(MB25_VOLUMETRIA[[#This Row],[UMB]],CHAVE[],2,FALSE),"VERIFICAR"))</f>
        <v>Unidade</v>
      </c>
      <c r="L14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5" s="32" t="str">
        <f ca="1">IFERROR(VLOOKUP(MB25_VOLUMETRIA[[#This Row],[Reserva]],RES_AB[],14,FALSE),"")</f>
        <v>PLANO DO DIA</v>
      </c>
      <c r="N1425" s="32" t="str">
        <f>IF(MB25_VOLUMETRIA[[#This Row],[Cen.]]="","",IFERROR(VLOOKUP(MB25_VOLUMETRIA[[#This Row],[Cen.]],Dados_Empresas[],2,FALSE),"Verificar empresa"))</f>
        <v>NET MASSIVO</v>
      </c>
      <c r="O1425" s="32" t="str">
        <f>IF(MB25_VOLUMETRIA[[#This Row],[EMPRESA]]="","",IF(OR(MB25_VOLUMETRIA[[#This Row],[EMPRESA]]="NET MASSIVO",MB25_VOLUMETRIA[[#This Row],[EMPRESA]]="NET PROJETOS"),"NET","EMPRESARIAL"))</f>
        <v>NET</v>
      </c>
    </row>
    <row r="1426" spans="1:15" x14ac:dyDescent="0.25">
      <c r="A1426" s="32">
        <v>4382451</v>
      </c>
      <c r="B1426" s="32" t="s">
        <v>21</v>
      </c>
      <c r="C1426" s="33" t="s">
        <v>21</v>
      </c>
      <c r="D1426" s="35">
        <v>45448</v>
      </c>
      <c r="E1426" s="32" t="s">
        <v>185</v>
      </c>
      <c r="F1426" s="32">
        <v>22057659</v>
      </c>
      <c r="G1426" s="32" t="s">
        <v>224</v>
      </c>
      <c r="H1426" s="26" t="s">
        <v>38</v>
      </c>
      <c r="I1426" s="36">
        <v>120</v>
      </c>
      <c r="J1426" s="32">
        <f>IF(MB25_VOLUMETRIA[[#This Row],[Reserva]]="","",1)</f>
        <v>1</v>
      </c>
      <c r="K1426" s="36" t="str">
        <f>IF(MB25_VOLUMETRIA[[#This Row],[Reserva]]="","",IFERROR(VLOOKUP(MB25_VOLUMETRIA[[#This Row],[UMB]],CHAVE[],2,FALSE),"VERIFICAR"))</f>
        <v>Unidade</v>
      </c>
      <c r="L14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6" s="32" t="str">
        <f ca="1">IFERROR(VLOOKUP(MB25_VOLUMETRIA[[#This Row],[Reserva]],RES_AB[],14,FALSE),"")</f>
        <v>PLANO DO DIA</v>
      </c>
      <c r="N1426" s="32" t="str">
        <f>IF(MB25_VOLUMETRIA[[#This Row],[Cen.]]="","",IFERROR(VLOOKUP(MB25_VOLUMETRIA[[#This Row],[Cen.]],Dados_Empresas[],2,FALSE),"Verificar empresa"))</f>
        <v>NET MASSIVO</v>
      </c>
      <c r="O1426" s="32" t="str">
        <f>IF(MB25_VOLUMETRIA[[#This Row],[EMPRESA]]="","",IF(OR(MB25_VOLUMETRIA[[#This Row],[EMPRESA]]="NET MASSIVO",MB25_VOLUMETRIA[[#This Row],[EMPRESA]]="NET PROJETOS"),"NET","EMPRESARIAL"))</f>
        <v>NET</v>
      </c>
    </row>
    <row r="1427" spans="1:15" x14ac:dyDescent="0.25">
      <c r="A1427" s="32">
        <v>4382451</v>
      </c>
      <c r="B1427" s="32" t="s">
        <v>21</v>
      </c>
      <c r="C1427" s="33" t="s">
        <v>21</v>
      </c>
      <c r="D1427" s="35">
        <v>45448</v>
      </c>
      <c r="E1427" s="32" t="s">
        <v>185</v>
      </c>
      <c r="F1427" s="32">
        <v>22061811</v>
      </c>
      <c r="G1427" s="32" t="s">
        <v>226</v>
      </c>
      <c r="H1427" s="26" t="s">
        <v>38</v>
      </c>
      <c r="I1427" s="36">
        <v>50</v>
      </c>
      <c r="J1427" s="32">
        <f>IF(MB25_VOLUMETRIA[[#This Row],[Reserva]]="","",1)</f>
        <v>1</v>
      </c>
      <c r="K1427" s="36" t="str">
        <f>IF(MB25_VOLUMETRIA[[#This Row],[Reserva]]="","",IFERROR(VLOOKUP(MB25_VOLUMETRIA[[#This Row],[UMB]],CHAVE[],2,FALSE),"VERIFICAR"))</f>
        <v>Unidade</v>
      </c>
      <c r="L14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7" s="32" t="str">
        <f ca="1">IFERROR(VLOOKUP(MB25_VOLUMETRIA[[#This Row],[Reserva]],RES_AB[],14,FALSE),"")</f>
        <v>PLANO DO DIA</v>
      </c>
      <c r="N1427" s="32" t="str">
        <f>IF(MB25_VOLUMETRIA[[#This Row],[Cen.]]="","",IFERROR(VLOOKUP(MB25_VOLUMETRIA[[#This Row],[Cen.]],Dados_Empresas[],2,FALSE),"Verificar empresa"))</f>
        <v>NET MASSIVO</v>
      </c>
      <c r="O1427" s="32" t="str">
        <f>IF(MB25_VOLUMETRIA[[#This Row],[EMPRESA]]="","",IF(OR(MB25_VOLUMETRIA[[#This Row],[EMPRESA]]="NET MASSIVO",MB25_VOLUMETRIA[[#This Row],[EMPRESA]]="NET PROJETOS"),"NET","EMPRESARIAL"))</f>
        <v>NET</v>
      </c>
    </row>
    <row r="1428" spans="1:15" x14ac:dyDescent="0.25">
      <c r="A1428" s="32">
        <v>4382452</v>
      </c>
      <c r="B1428" s="32" t="s">
        <v>21</v>
      </c>
      <c r="C1428" s="33" t="s">
        <v>182</v>
      </c>
      <c r="D1428" s="35">
        <v>45448</v>
      </c>
      <c r="E1428" s="32" t="s">
        <v>184</v>
      </c>
      <c r="F1428" s="32">
        <v>41001530</v>
      </c>
      <c r="G1428" s="32" t="s">
        <v>319</v>
      </c>
      <c r="H1428" s="26" t="s">
        <v>38</v>
      </c>
      <c r="I1428" s="36">
        <v>20</v>
      </c>
      <c r="J1428" s="32">
        <f>IF(MB25_VOLUMETRIA[[#This Row],[Reserva]]="","",1)</f>
        <v>1</v>
      </c>
      <c r="K1428" s="36" t="str">
        <f>IF(MB25_VOLUMETRIA[[#This Row],[Reserva]]="","",IFERROR(VLOOKUP(MB25_VOLUMETRIA[[#This Row],[UMB]],CHAVE[],2,FALSE),"VERIFICAR"))</f>
        <v>Unidade</v>
      </c>
      <c r="L14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8" s="32" t="str">
        <f ca="1">IFERROR(VLOOKUP(MB25_VOLUMETRIA[[#This Row],[Reserva]],RES_AB[],14,FALSE),"")</f>
        <v>PLANO DO DIA</v>
      </c>
      <c r="N1428" s="32" t="str">
        <f>IF(MB25_VOLUMETRIA[[#This Row],[Cen.]]="","",IFERROR(VLOOKUP(MB25_VOLUMETRIA[[#This Row],[Cen.]],Dados_Empresas[],2,FALSE),"Verificar empresa"))</f>
        <v>NET MASSIVO</v>
      </c>
      <c r="O1428" s="32" t="str">
        <f>IF(MB25_VOLUMETRIA[[#This Row],[EMPRESA]]="","",IF(OR(MB25_VOLUMETRIA[[#This Row],[EMPRESA]]="NET MASSIVO",MB25_VOLUMETRIA[[#This Row],[EMPRESA]]="NET PROJETOS"),"NET","EMPRESARIAL"))</f>
        <v>NET</v>
      </c>
    </row>
    <row r="1429" spans="1:15" x14ac:dyDescent="0.25">
      <c r="A1429" s="32">
        <v>4382452</v>
      </c>
      <c r="B1429" s="32" t="s">
        <v>21</v>
      </c>
      <c r="C1429" s="33" t="s">
        <v>21</v>
      </c>
      <c r="D1429" s="35">
        <v>45448</v>
      </c>
      <c r="E1429" s="32" t="s">
        <v>184</v>
      </c>
      <c r="F1429" s="32">
        <v>41001536</v>
      </c>
      <c r="G1429" s="32" t="s">
        <v>371</v>
      </c>
      <c r="H1429" s="26" t="s">
        <v>38</v>
      </c>
      <c r="I1429" s="36">
        <v>20</v>
      </c>
      <c r="J1429" s="32">
        <f>IF(MB25_VOLUMETRIA[[#This Row],[Reserva]]="","",1)</f>
        <v>1</v>
      </c>
      <c r="K1429" s="36" t="str">
        <f>IF(MB25_VOLUMETRIA[[#This Row],[Reserva]]="","",IFERROR(VLOOKUP(MB25_VOLUMETRIA[[#This Row],[UMB]],CHAVE[],2,FALSE),"VERIFICAR"))</f>
        <v>Unidade</v>
      </c>
      <c r="L14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29" s="32" t="str">
        <f ca="1">IFERROR(VLOOKUP(MB25_VOLUMETRIA[[#This Row],[Reserva]],RES_AB[],14,FALSE),"")</f>
        <v>PLANO DO DIA</v>
      </c>
      <c r="N1429" s="32" t="str">
        <f>IF(MB25_VOLUMETRIA[[#This Row],[Cen.]]="","",IFERROR(VLOOKUP(MB25_VOLUMETRIA[[#This Row],[Cen.]],Dados_Empresas[],2,FALSE),"Verificar empresa"))</f>
        <v>NET MASSIVO</v>
      </c>
      <c r="O1429" s="32" t="str">
        <f>IF(MB25_VOLUMETRIA[[#This Row],[EMPRESA]]="","",IF(OR(MB25_VOLUMETRIA[[#This Row],[EMPRESA]]="NET MASSIVO",MB25_VOLUMETRIA[[#This Row],[EMPRESA]]="NET PROJETOS"),"NET","EMPRESARIAL"))</f>
        <v>NET</v>
      </c>
    </row>
    <row r="1430" spans="1:15" x14ac:dyDescent="0.25">
      <c r="A1430" s="32">
        <v>4382452</v>
      </c>
      <c r="B1430" s="32" t="s">
        <v>21</v>
      </c>
      <c r="C1430" s="33" t="s">
        <v>21</v>
      </c>
      <c r="D1430" s="35">
        <v>45448</v>
      </c>
      <c r="E1430" s="32" t="s">
        <v>184</v>
      </c>
      <c r="F1430" s="32">
        <v>41001552</v>
      </c>
      <c r="G1430" s="32" t="s">
        <v>336</v>
      </c>
      <c r="H1430" s="26" t="s">
        <v>38</v>
      </c>
      <c r="I1430" s="36">
        <v>50</v>
      </c>
      <c r="J1430" s="32">
        <f>IF(MB25_VOLUMETRIA[[#This Row],[Reserva]]="","",1)</f>
        <v>1</v>
      </c>
      <c r="K1430" s="36" t="str">
        <f>IF(MB25_VOLUMETRIA[[#This Row],[Reserva]]="","",IFERROR(VLOOKUP(MB25_VOLUMETRIA[[#This Row],[UMB]],CHAVE[],2,FALSE),"VERIFICAR"))</f>
        <v>Unidade</v>
      </c>
      <c r="L14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0" s="32" t="str">
        <f ca="1">IFERROR(VLOOKUP(MB25_VOLUMETRIA[[#This Row],[Reserva]],RES_AB[],14,FALSE),"")</f>
        <v>PLANO DO DIA</v>
      </c>
      <c r="N1430" s="32" t="str">
        <f>IF(MB25_VOLUMETRIA[[#This Row],[Cen.]]="","",IFERROR(VLOOKUP(MB25_VOLUMETRIA[[#This Row],[Cen.]],Dados_Empresas[],2,FALSE),"Verificar empresa"))</f>
        <v>NET MASSIVO</v>
      </c>
      <c r="O1430" s="32" t="str">
        <f>IF(MB25_VOLUMETRIA[[#This Row],[EMPRESA]]="","",IF(OR(MB25_VOLUMETRIA[[#This Row],[EMPRESA]]="NET MASSIVO",MB25_VOLUMETRIA[[#This Row],[EMPRESA]]="NET PROJETOS"),"NET","EMPRESARIAL"))</f>
        <v>NET</v>
      </c>
    </row>
    <row r="1431" spans="1:15" x14ac:dyDescent="0.25">
      <c r="A1431" s="32">
        <v>4382453</v>
      </c>
      <c r="B1431" s="32" t="s">
        <v>21</v>
      </c>
      <c r="C1431" s="33" t="s">
        <v>21</v>
      </c>
      <c r="D1431" s="35">
        <v>45448</v>
      </c>
      <c r="E1431" s="32" t="s">
        <v>185</v>
      </c>
      <c r="F1431" s="32">
        <v>22026189</v>
      </c>
      <c r="G1431" s="32" t="s">
        <v>200</v>
      </c>
      <c r="H1431" s="26" t="s">
        <v>38</v>
      </c>
      <c r="I1431" s="36">
        <v>3000</v>
      </c>
      <c r="J1431" s="32">
        <f>IF(MB25_VOLUMETRIA[[#This Row],[Reserva]]="","",1)</f>
        <v>1</v>
      </c>
      <c r="K1431" s="36" t="str">
        <f>IF(MB25_VOLUMETRIA[[#This Row],[Reserva]]="","",IFERROR(VLOOKUP(MB25_VOLUMETRIA[[#This Row],[UMB]],CHAVE[],2,FALSE),"VERIFICAR"))</f>
        <v>Unidade</v>
      </c>
      <c r="L14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1" s="32" t="str">
        <f ca="1">IFERROR(VLOOKUP(MB25_VOLUMETRIA[[#This Row],[Reserva]],RES_AB[],14,FALSE),"")</f>
        <v>PLANO DO DIA</v>
      </c>
      <c r="N1431" s="32" t="str">
        <f>IF(MB25_VOLUMETRIA[[#This Row],[Cen.]]="","",IFERROR(VLOOKUP(MB25_VOLUMETRIA[[#This Row],[Cen.]],Dados_Empresas[],2,FALSE),"Verificar empresa"))</f>
        <v>NET MASSIVO</v>
      </c>
      <c r="O1431" s="32" t="str">
        <f>IF(MB25_VOLUMETRIA[[#This Row],[EMPRESA]]="","",IF(OR(MB25_VOLUMETRIA[[#This Row],[EMPRESA]]="NET MASSIVO",MB25_VOLUMETRIA[[#This Row],[EMPRESA]]="NET PROJETOS"),"NET","EMPRESARIAL"))</f>
        <v>NET</v>
      </c>
    </row>
    <row r="1432" spans="1:15" x14ac:dyDescent="0.25">
      <c r="A1432" s="32">
        <v>4382453</v>
      </c>
      <c r="B1432" s="32" t="s">
        <v>21</v>
      </c>
      <c r="C1432" s="33" t="s">
        <v>21</v>
      </c>
      <c r="D1432" s="35">
        <v>45448</v>
      </c>
      <c r="E1432" s="32" t="s">
        <v>185</v>
      </c>
      <c r="F1432" s="32">
        <v>22026746</v>
      </c>
      <c r="G1432" s="32" t="s">
        <v>205</v>
      </c>
      <c r="H1432" s="26" t="s">
        <v>38</v>
      </c>
      <c r="I1432" s="36">
        <v>150</v>
      </c>
      <c r="J1432" s="32">
        <f>IF(MB25_VOLUMETRIA[[#This Row],[Reserva]]="","",1)</f>
        <v>1</v>
      </c>
      <c r="K1432" s="36" t="str">
        <f>IF(MB25_VOLUMETRIA[[#This Row],[Reserva]]="","",IFERROR(VLOOKUP(MB25_VOLUMETRIA[[#This Row],[UMB]],CHAVE[],2,FALSE),"VERIFICAR"))</f>
        <v>Unidade</v>
      </c>
      <c r="L14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2" s="32" t="str">
        <f ca="1">IFERROR(VLOOKUP(MB25_VOLUMETRIA[[#This Row],[Reserva]],RES_AB[],14,FALSE),"")</f>
        <v>PLANO DO DIA</v>
      </c>
      <c r="N1432" s="32" t="str">
        <f>IF(MB25_VOLUMETRIA[[#This Row],[Cen.]]="","",IFERROR(VLOOKUP(MB25_VOLUMETRIA[[#This Row],[Cen.]],Dados_Empresas[],2,FALSE),"Verificar empresa"))</f>
        <v>NET MASSIVO</v>
      </c>
      <c r="O1432" s="32" t="str">
        <f>IF(MB25_VOLUMETRIA[[#This Row],[EMPRESA]]="","",IF(OR(MB25_VOLUMETRIA[[#This Row],[EMPRESA]]="NET MASSIVO",MB25_VOLUMETRIA[[#This Row],[EMPRESA]]="NET PROJETOS"),"NET","EMPRESARIAL"))</f>
        <v>NET</v>
      </c>
    </row>
    <row r="1433" spans="1:15" x14ac:dyDescent="0.25">
      <c r="A1433" s="32">
        <v>4382453</v>
      </c>
      <c r="B1433" s="32" t="s">
        <v>21</v>
      </c>
      <c r="C1433" s="33" t="s">
        <v>21</v>
      </c>
      <c r="D1433" s="35">
        <v>45448</v>
      </c>
      <c r="E1433" s="32" t="s">
        <v>185</v>
      </c>
      <c r="F1433" s="32">
        <v>22026772</v>
      </c>
      <c r="G1433" s="32" t="s">
        <v>201</v>
      </c>
      <c r="H1433" s="26" t="s">
        <v>38</v>
      </c>
      <c r="I1433" s="36">
        <v>375</v>
      </c>
      <c r="J1433" s="32">
        <f>IF(MB25_VOLUMETRIA[[#This Row],[Reserva]]="","",1)</f>
        <v>1</v>
      </c>
      <c r="K1433" s="36" t="str">
        <f>IF(MB25_VOLUMETRIA[[#This Row],[Reserva]]="","",IFERROR(VLOOKUP(MB25_VOLUMETRIA[[#This Row],[UMB]],CHAVE[],2,FALSE),"VERIFICAR"))</f>
        <v>Unidade</v>
      </c>
      <c r="L14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3" s="32" t="str">
        <f ca="1">IFERROR(VLOOKUP(MB25_VOLUMETRIA[[#This Row],[Reserva]],RES_AB[],14,FALSE),"")</f>
        <v>PLANO DO DIA</v>
      </c>
      <c r="N1433" s="32" t="str">
        <f>IF(MB25_VOLUMETRIA[[#This Row],[Cen.]]="","",IFERROR(VLOOKUP(MB25_VOLUMETRIA[[#This Row],[Cen.]],Dados_Empresas[],2,FALSE),"Verificar empresa"))</f>
        <v>NET MASSIVO</v>
      </c>
      <c r="O1433" s="32" t="str">
        <f>IF(MB25_VOLUMETRIA[[#This Row],[EMPRESA]]="","",IF(OR(MB25_VOLUMETRIA[[#This Row],[EMPRESA]]="NET MASSIVO",MB25_VOLUMETRIA[[#This Row],[EMPRESA]]="NET PROJETOS"),"NET","EMPRESARIAL"))</f>
        <v>NET</v>
      </c>
    </row>
    <row r="1434" spans="1:15" x14ac:dyDescent="0.25">
      <c r="A1434" s="32">
        <v>4382453</v>
      </c>
      <c r="B1434" s="32" t="s">
        <v>21</v>
      </c>
      <c r="C1434" s="33" t="s">
        <v>21</v>
      </c>
      <c r="D1434" s="35">
        <v>45448</v>
      </c>
      <c r="E1434" s="32" t="s">
        <v>185</v>
      </c>
      <c r="F1434" s="32">
        <v>22026792</v>
      </c>
      <c r="G1434" s="32" t="s">
        <v>202</v>
      </c>
      <c r="H1434" s="26" t="s">
        <v>38</v>
      </c>
      <c r="I1434" s="36">
        <v>50</v>
      </c>
      <c r="J1434" s="32">
        <f>IF(MB25_VOLUMETRIA[[#This Row],[Reserva]]="","",1)</f>
        <v>1</v>
      </c>
      <c r="K1434" s="36" t="str">
        <f>IF(MB25_VOLUMETRIA[[#This Row],[Reserva]]="","",IFERROR(VLOOKUP(MB25_VOLUMETRIA[[#This Row],[UMB]],CHAVE[],2,FALSE),"VERIFICAR"))</f>
        <v>Unidade</v>
      </c>
      <c r="L14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4" s="32" t="str">
        <f ca="1">IFERROR(VLOOKUP(MB25_VOLUMETRIA[[#This Row],[Reserva]],RES_AB[],14,FALSE),"")</f>
        <v>PLANO DO DIA</v>
      </c>
      <c r="N1434" s="32" t="str">
        <f>IF(MB25_VOLUMETRIA[[#This Row],[Cen.]]="","",IFERROR(VLOOKUP(MB25_VOLUMETRIA[[#This Row],[Cen.]],Dados_Empresas[],2,FALSE),"Verificar empresa"))</f>
        <v>NET MASSIVO</v>
      </c>
      <c r="O1434" s="32" t="str">
        <f>IF(MB25_VOLUMETRIA[[#This Row],[EMPRESA]]="","",IF(OR(MB25_VOLUMETRIA[[#This Row],[EMPRESA]]="NET MASSIVO",MB25_VOLUMETRIA[[#This Row],[EMPRESA]]="NET PROJETOS"),"NET","EMPRESARIAL"))</f>
        <v>NET</v>
      </c>
    </row>
    <row r="1435" spans="1:15" x14ac:dyDescent="0.25">
      <c r="A1435" s="32">
        <v>4382453</v>
      </c>
      <c r="B1435" s="32" t="s">
        <v>21</v>
      </c>
      <c r="C1435" s="33" t="s">
        <v>21</v>
      </c>
      <c r="D1435" s="35">
        <v>45448</v>
      </c>
      <c r="E1435" s="32" t="s">
        <v>185</v>
      </c>
      <c r="F1435" s="32">
        <v>22026809</v>
      </c>
      <c r="G1435" s="32" t="s">
        <v>231</v>
      </c>
      <c r="H1435" s="26" t="s">
        <v>38</v>
      </c>
      <c r="I1435" s="36">
        <v>150</v>
      </c>
      <c r="J1435" s="32">
        <f>IF(MB25_VOLUMETRIA[[#This Row],[Reserva]]="","",1)</f>
        <v>1</v>
      </c>
      <c r="K1435" s="36" t="str">
        <f>IF(MB25_VOLUMETRIA[[#This Row],[Reserva]]="","",IFERROR(VLOOKUP(MB25_VOLUMETRIA[[#This Row],[UMB]],CHAVE[],2,FALSE),"VERIFICAR"))</f>
        <v>Unidade</v>
      </c>
      <c r="L14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5" s="32" t="str">
        <f ca="1">IFERROR(VLOOKUP(MB25_VOLUMETRIA[[#This Row],[Reserva]],RES_AB[],14,FALSE),"")</f>
        <v>PLANO DO DIA</v>
      </c>
      <c r="N1435" s="32" t="str">
        <f>IF(MB25_VOLUMETRIA[[#This Row],[Cen.]]="","",IFERROR(VLOOKUP(MB25_VOLUMETRIA[[#This Row],[Cen.]],Dados_Empresas[],2,FALSE),"Verificar empresa"))</f>
        <v>NET MASSIVO</v>
      </c>
      <c r="O1435" s="32" t="str">
        <f>IF(MB25_VOLUMETRIA[[#This Row],[EMPRESA]]="","",IF(OR(MB25_VOLUMETRIA[[#This Row],[EMPRESA]]="NET MASSIVO",MB25_VOLUMETRIA[[#This Row],[EMPRESA]]="NET PROJETOS"),"NET","EMPRESARIAL"))</f>
        <v>NET</v>
      </c>
    </row>
    <row r="1436" spans="1:15" x14ac:dyDescent="0.25">
      <c r="A1436" s="32">
        <v>4382453</v>
      </c>
      <c r="B1436" s="32" t="s">
        <v>21</v>
      </c>
      <c r="C1436" s="33" t="s">
        <v>21</v>
      </c>
      <c r="D1436" s="35">
        <v>45448</v>
      </c>
      <c r="E1436" s="32" t="s">
        <v>185</v>
      </c>
      <c r="F1436" s="32">
        <v>22056364</v>
      </c>
      <c r="G1436" s="32" t="s">
        <v>236</v>
      </c>
      <c r="H1436" s="26" t="s">
        <v>38</v>
      </c>
      <c r="I1436" s="36">
        <v>30</v>
      </c>
      <c r="J1436" s="32">
        <f>IF(MB25_VOLUMETRIA[[#This Row],[Reserva]]="","",1)</f>
        <v>1</v>
      </c>
      <c r="K1436" s="36" t="str">
        <f>IF(MB25_VOLUMETRIA[[#This Row],[Reserva]]="","",IFERROR(VLOOKUP(MB25_VOLUMETRIA[[#This Row],[UMB]],CHAVE[],2,FALSE),"VERIFICAR"))</f>
        <v>Unidade</v>
      </c>
      <c r="L14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6" s="32" t="str">
        <f ca="1">IFERROR(VLOOKUP(MB25_VOLUMETRIA[[#This Row],[Reserva]],RES_AB[],14,FALSE),"")</f>
        <v>PLANO DO DIA</v>
      </c>
      <c r="N1436" s="32" t="str">
        <f>IF(MB25_VOLUMETRIA[[#This Row],[Cen.]]="","",IFERROR(VLOOKUP(MB25_VOLUMETRIA[[#This Row],[Cen.]],Dados_Empresas[],2,FALSE),"Verificar empresa"))</f>
        <v>NET MASSIVO</v>
      </c>
      <c r="O1436" s="32" t="str">
        <f>IF(MB25_VOLUMETRIA[[#This Row],[EMPRESA]]="","",IF(OR(MB25_VOLUMETRIA[[#This Row],[EMPRESA]]="NET MASSIVO",MB25_VOLUMETRIA[[#This Row],[EMPRESA]]="NET PROJETOS"),"NET","EMPRESARIAL"))</f>
        <v>NET</v>
      </c>
    </row>
    <row r="1437" spans="1:15" x14ac:dyDescent="0.25">
      <c r="A1437" s="32">
        <v>4382453</v>
      </c>
      <c r="B1437" s="32" t="s">
        <v>21</v>
      </c>
      <c r="C1437" s="33" t="s">
        <v>21</v>
      </c>
      <c r="D1437" s="35">
        <v>45448</v>
      </c>
      <c r="E1437" s="32" t="s">
        <v>185</v>
      </c>
      <c r="F1437" s="32">
        <v>22057620</v>
      </c>
      <c r="G1437" s="32" t="s">
        <v>253</v>
      </c>
      <c r="H1437" s="26" t="s">
        <v>38</v>
      </c>
      <c r="I1437" s="36">
        <v>100</v>
      </c>
      <c r="J1437" s="32">
        <f>IF(MB25_VOLUMETRIA[[#This Row],[Reserva]]="","",1)</f>
        <v>1</v>
      </c>
      <c r="K1437" s="36" t="str">
        <f>IF(MB25_VOLUMETRIA[[#This Row],[Reserva]]="","",IFERROR(VLOOKUP(MB25_VOLUMETRIA[[#This Row],[UMB]],CHAVE[],2,FALSE),"VERIFICAR"))</f>
        <v>Unidade</v>
      </c>
      <c r="L14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7" s="32" t="str">
        <f ca="1">IFERROR(VLOOKUP(MB25_VOLUMETRIA[[#This Row],[Reserva]],RES_AB[],14,FALSE),"")</f>
        <v>PLANO DO DIA</v>
      </c>
      <c r="N1437" s="32" t="str">
        <f>IF(MB25_VOLUMETRIA[[#This Row],[Cen.]]="","",IFERROR(VLOOKUP(MB25_VOLUMETRIA[[#This Row],[Cen.]],Dados_Empresas[],2,FALSE),"Verificar empresa"))</f>
        <v>NET MASSIVO</v>
      </c>
      <c r="O1437" s="32" t="str">
        <f>IF(MB25_VOLUMETRIA[[#This Row],[EMPRESA]]="","",IF(OR(MB25_VOLUMETRIA[[#This Row],[EMPRESA]]="NET MASSIVO",MB25_VOLUMETRIA[[#This Row],[EMPRESA]]="NET PROJETOS"),"NET","EMPRESARIAL"))</f>
        <v>NET</v>
      </c>
    </row>
    <row r="1438" spans="1:15" x14ac:dyDescent="0.25">
      <c r="A1438" s="32">
        <v>4382453</v>
      </c>
      <c r="B1438" s="32" t="s">
        <v>21</v>
      </c>
      <c r="C1438" s="33" t="s">
        <v>21</v>
      </c>
      <c r="D1438" s="35">
        <v>45448</v>
      </c>
      <c r="E1438" s="32" t="s">
        <v>185</v>
      </c>
      <c r="F1438" s="32">
        <v>22066517</v>
      </c>
      <c r="G1438" s="32" t="s">
        <v>325</v>
      </c>
      <c r="H1438" s="26" t="s">
        <v>38</v>
      </c>
      <c r="I1438" s="36">
        <v>150</v>
      </c>
      <c r="J1438" s="32">
        <f>IF(MB25_VOLUMETRIA[[#This Row],[Reserva]]="","",1)</f>
        <v>1</v>
      </c>
      <c r="K1438" s="36" t="str">
        <f>IF(MB25_VOLUMETRIA[[#This Row],[Reserva]]="","",IFERROR(VLOOKUP(MB25_VOLUMETRIA[[#This Row],[UMB]],CHAVE[],2,FALSE),"VERIFICAR"))</f>
        <v>Unidade</v>
      </c>
      <c r="L14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8" s="32" t="str">
        <f ca="1">IFERROR(VLOOKUP(MB25_VOLUMETRIA[[#This Row],[Reserva]],RES_AB[],14,FALSE),"")</f>
        <v>PLANO DO DIA</v>
      </c>
      <c r="N1438" s="32" t="str">
        <f>IF(MB25_VOLUMETRIA[[#This Row],[Cen.]]="","",IFERROR(VLOOKUP(MB25_VOLUMETRIA[[#This Row],[Cen.]],Dados_Empresas[],2,FALSE),"Verificar empresa"))</f>
        <v>NET MASSIVO</v>
      </c>
      <c r="O1438" s="32" t="str">
        <f>IF(MB25_VOLUMETRIA[[#This Row],[EMPRESA]]="","",IF(OR(MB25_VOLUMETRIA[[#This Row],[EMPRESA]]="NET MASSIVO",MB25_VOLUMETRIA[[#This Row],[EMPRESA]]="NET PROJETOS"),"NET","EMPRESARIAL"))</f>
        <v>NET</v>
      </c>
    </row>
    <row r="1439" spans="1:15" x14ac:dyDescent="0.25">
      <c r="A1439" s="32">
        <v>4382454</v>
      </c>
      <c r="B1439" s="32" t="s">
        <v>21</v>
      </c>
      <c r="C1439" s="33" t="s">
        <v>21</v>
      </c>
      <c r="D1439" s="35">
        <v>45448</v>
      </c>
      <c r="E1439" s="32" t="s">
        <v>184</v>
      </c>
      <c r="F1439" s="32">
        <v>41001553</v>
      </c>
      <c r="G1439" s="32" t="s">
        <v>295</v>
      </c>
      <c r="H1439" s="26" t="s">
        <v>38</v>
      </c>
      <c r="I1439" s="36">
        <v>60</v>
      </c>
      <c r="J1439" s="32">
        <f>IF(MB25_VOLUMETRIA[[#This Row],[Reserva]]="","",1)</f>
        <v>1</v>
      </c>
      <c r="K1439" s="36" t="str">
        <f>IF(MB25_VOLUMETRIA[[#This Row],[Reserva]]="","",IFERROR(VLOOKUP(MB25_VOLUMETRIA[[#This Row],[UMB]],CHAVE[],2,FALSE),"VERIFICAR"))</f>
        <v>Unidade</v>
      </c>
      <c r="L14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39" s="32" t="str">
        <f ca="1">IFERROR(VLOOKUP(MB25_VOLUMETRIA[[#This Row],[Reserva]],RES_AB[],14,FALSE),"")</f>
        <v>PLANO DO DIA</v>
      </c>
      <c r="N1439" s="32" t="str">
        <f>IF(MB25_VOLUMETRIA[[#This Row],[Cen.]]="","",IFERROR(VLOOKUP(MB25_VOLUMETRIA[[#This Row],[Cen.]],Dados_Empresas[],2,FALSE),"Verificar empresa"))</f>
        <v>NET MASSIVO</v>
      </c>
      <c r="O1439" s="32" t="str">
        <f>IF(MB25_VOLUMETRIA[[#This Row],[EMPRESA]]="","",IF(OR(MB25_VOLUMETRIA[[#This Row],[EMPRESA]]="NET MASSIVO",MB25_VOLUMETRIA[[#This Row],[EMPRESA]]="NET PROJETOS"),"NET","EMPRESARIAL"))</f>
        <v>NET</v>
      </c>
    </row>
    <row r="1440" spans="1:15" x14ac:dyDescent="0.25">
      <c r="A1440" s="32">
        <v>4382455</v>
      </c>
      <c r="B1440" s="32" t="s">
        <v>21</v>
      </c>
      <c r="C1440" s="33" t="s">
        <v>21</v>
      </c>
      <c r="D1440" s="35">
        <v>45448</v>
      </c>
      <c r="E1440" s="32" t="s">
        <v>185</v>
      </c>
      <c r="F1440" s="32">
        <v>22025049</v>
      </c>
      <c r="G1440" s="32" t="s">
        <v>198</v>
      </c>
      <c r="H1440" s="26" t="s">
        <v>38</v>
      </c>
      <c r="I1440" s="36">
        <v>11</v>
      </c>
      <c r="J1440" s="32">
        <f>IF(MB25_VOLUMETRIA[[#This Row],[Reserva]]="","",1)</f>
        <v>1</v>
      </c>
      <c r="K1440" s="36" t="str">
        <f>IF(MB25_VOLUMETRIA[[#This Row],[Reserva]]="","",IFERROR(VLOOKUP(MB25_VOLUMETRIA[[#This Row],[UMB]],CHAVE[],2,FALSE),"VERIFICAR"))</f>
        <v>Unidade</v>
      </c>
      <c r="L14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0" s="32" t="str">
        <f ca="1">IFERROR(VLOOKUP(MB25_VOLUMETRIA[[#This Row],[Reserva]],RES_AB[],14,FALSE),"")</f>
        <v>PLANO DO DIA</v>
      </c>
      <c r="N1440" s="32" t="str">
        <f>IF(MB25_VOLUMETRIA[[#This Row],[Cen.]]="","",IFERROR(VLOOKUP(MB25_VOLUMETRIA[[#This Row],[Cen.]],Dados_Empresas[],2,FALSE),"Verificar empresa"))</f>
        <v>NET MASSIVO</v>
      </c>
      <c r="O1440" s="32" t="str">
        <f>IF(MB25_VOLUMETRIA[[#This Row],[EMPRESA]]="","",IF(OR(MB25_VOLUMETRIA[[#This Row],[EMPRESA]]="NET MASSIVO",MB25_VOLUMETRIA[[#This Row],[EMPRESA]]="NET PROJETOS"),"NET","EMPRESARIAL"))</f>
        <v>NET</v>
      </c>
    </row>
    <row r="1441" spans="1:15" x14ac:dyDescent="0.25">
      <c r="A1441" s="32">
        <v>4382455</v>
      </c>
      <c r="B1441" s="32" t="s">
        <v>21</v>
      </c>
      <c r="C1441" s="33" t="s">
        <v>21</v>
      </c>
      <c r="D1441" s="35">
        <v>45448</v>
      </c>
      <c r="E1441" s="32" t="s">
        <v>185</v>
      </c>
      <c r="F1441" s="32">
        <v>22025136</v>
      </c>
      <c r="G1441" s="32" t="s">
        <v>215</v>
      </c>
      <c r="H1441" s="26" t="s">
        <v>38</v>
      </c>
      <c r="I1441" s="36">
        <v>250</v>
      </c>
      <c r="J1441" s="32">
        <f>IF(MB25_VOLUMETRIA[[#This Row],[Reserva]]="","",1)</f>
        <v>1</v>
      </c>
      <c r="K1441" s="36" t="str">
        <f>IF(MB25_VOLUMETRIA[[#This Row],[Reserva]]="","",IFERROR(VLOOKUP(MB25_VOLUMETRIA[[#This Row],[UMB]],CHAVE[],2,FALSE),"VERIFICAR"))</f>
        <v>Unidade</v>
      </c>
      <c r="L14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1" s="32" t="str">
        <f ca="1">IFERROR(VLOOKUP(MB25_VOLUMETRIA[[#This Row],[Reserva]],RES_AB[],14,FALSE),"")</f>
        <v>PLANO DO DIA</v>
      </c>
      <c r="N1441" s="32" t="str">
        <f>IF(MB25_VOLUMETRIA[[#This Row],[Cen.]]="","",IFERROR(VLOOKUP(MB25_VOLUMETRIA[[#This Row],[Cen.]],Dados_Empresas[],2,FALSE),"Verificar empresa"))</f>
        <v>NET MASSIVO</v>
      </c>
      <c r="O1441" s="32" t="str">
        <f>IF(MB25_VOLUMETRIA[[#This Row],[EMPRESA]]="","",IF(OR(MB25_VOLUMETRIA[[#This Row],[EMPRESA]]="NET MASSIVO",MB25_VOLUMETRIA[[#This Row],[EMPRESA]]="NET PROJETOS"),"NET","EMPRESARIAL"))</f>
        <v>NET</v>
      </c>
    </row>
    <row r="1442" spans="1:15" x14ac:dyDescent="0.25">
      <c r="A1442" s="32">
        <v>4382455</v>
      </c>
      <c r="B1442" s="32" t="s">
        <v>21</v>
      </c>
      <c r="C1442" s="33" t="s">
        <v>21</v>
      </c>
      <c r="D1442" s="35">
        <v>45448</v>
      </c>
      <c r="E1442" s="32" t="s">
        <v>185</v>
      </c>
      <c r="F1442" s="32">
        <v>22025139</v>
      </c>
      <c r="G1442" s="32" t="s">
        <v>199</v>
      </c>
      <c r="H1442" s="26" t="s">
        <v>38</v>
      </c>
      <c r="I1442" s="36">
        <v>4500</v>
      </c>
      <c r="J1442" s="32">
        <f>IF(MB25_VOLUMETRIA[[#This Row],[Reserva]]="","",1)</f>
        <v>1</v>
      </c>
      <c r="K1442" s="36" t="str">
        <f>IF(MB25_VOLUMETRIA[[#This Row],[Reserva]]="","",IFERROR(VLOOKUP(MB25_VOLUMETRIA[[#This Row],[UMB]],CHAVE[],2,FALSE),"VERIFICAR"))</f>
        <v>Unidade</v>
      </c>
      <c r="L14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2" s="32" t="str">
        <f ca="1">IFERROR(VLOOKUP(MB25_VOLUMETRIA[[#This Row],[Reserva]],RES_AB[],14,FALSE),"")</f>
        <v>PLANO DO DIA</v>
      </c>
      <c r="N1442" s="32" t="str">
        <f>IF(MB25_VOLUMETRIA[[#This Row],[Cen.]]="","",IFERROR(VLOOKUP(MB25_VOLUMETRIA[[#This Row],[Cen.]],Dados_Empresas[],2,FALSE),"Verificar empresa"))</f>
        <v>NET MASSIVO</v>
      </c>
      <c r="O1442" s="32" t="str">
        <f>IF(MB25_VOLUMETRIA[[#This Row],[EMPRESA]]="","",IF(OR(MB25_VOLUMETRIA[[#This Row],[EMPRESA]]="NET MASSIVO",MB25_VOLUMETRIA[[#This Row],[EMPRESA]]="NET PROJETOS"),"NET","EMPRESARIAL"))</f>
        <v>NET</v>
      </c>
    </row>
    <row r="1443" spans="1:15" x14ac:dyDescent="0.25">
      <c r="A1443" s="32">
        <v>4382455</v>
      </c>
      <c r="B1443" s="32" t="s">
        <v>21</v>
      </c>
      <c r="C1443" s="33" t="s">
        <v>21</v>
      </c>
      <c r="D1443" s="35">
        <v>45448</v>
      </c>
      <c r="E1443" s="32" t="s">
        <v>185</v>
      </c>
      <c r="F1443" s="32">
        <v>22025349</v>
      </c>
      <c r="G1443" s="32" t="s">
        <v>217</v>
      </c>
      <c r="H1443" s="26" t="s">
        <v>38</v>
      </c>
      <c r="I1443" s="36">
        <v>100</v>
      </c>
      <c r="J1443" s="32">
        <f>IF(MB25_VOLUMETRIA[[#This Row],[Reserva]]="","",1)</f>
        <v>1</v>
      </c>
      <c r="K1443" s="36" t="str">
        <f>IF(MB25_VOLUMETRIA[[#This Row],[Reserva]]="","",IFERROR(VLOOKUP(MB25_VOLUMETRIA[[#This Row],[UMB]],CHAVE[],2,FALSE),"VERIFICAR"))</f>
        <v>Unidade</v>
      </c>
      <c r="L14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3" s="32" t="str">
        <f ca="1">IFERROR(VLOOKUP(MB25_VOLUMETRIA[[#This Row],[Reserva]],RES_AB[],14,FALSE),"")</f>
        <v>PLANO DO DIA</v>
      </c>
      <c r="N1443" s="32" t="str">
        <f>IF(MB25_VOLUMETRIA[[#This Row],[Cen.]]="","",IFERROR(VLOOKUP(MB25_VOLUMETRIA[[#This Row],[Cen.]],Dados_Empresas[],2,FALSE),"Verificar empresa"))</f>
        <v>NET MASSIVO</v>
      </c>
      <c r="O1443" s="32" t="str">
        <f>IF(MB25_VOLUMETRIA[[#This Row],[EMPRESA]]="","",IF(OR(MB25_VOLUMETRIA[[#This Row],[EMPRESA]]="NET MASSIVO",MB25_VOLUMETRIA[[#This Row],[EMPRESA]]="NET PROJETOS"),"NET","EMPRESARIAL"))</f>
        <v>NET</v>
      </c>
    </row>
    <row r="1444" spans="1:15" x14ac:dyDescent="0.25">
      <c r="A1444" s="32">
        <v>4382455</v>
      </c>
      <c r="B1444" s="32" t="s">
        <v>21</v>
      </c>
      <c r="C1444" s="33" t="s">
        <v>21</v>
      </c>
      <c r="D1444" s="35">
        <v>45448</v>
      </c>
      <c r="E1444" s="32" t="s">
        <v>185</v>
      </c>
      <c r="F1444" s="32">
        <v>22026189</v>
      </c>
      <c r="G1444" s="32" t="s">
        <v>200</v>
      </c>
      <c r="H1444" s="26" t="s">
        <v>38</v>
      </c>
      <c r="I1444" s="36">
        <v>3350</v>
      </c>
      <c r="J1444" s="32">
        <f>IF(MB25_VOLUMETRIA[[#This Row],[Reserva]]="","",1)</f>
        <v>1</v>
      </c>
      <c r="K1444" s="36" t="str">
        <f>IF(MB25_VOLUMETRIA[[#This Row],[Reserva]]="","",IFERROR(VLOOKUP(MB25_VOLUMETRIA[[#This Row],[UMB]],CHAVE[],2,FALSE),"VERIFICAR"))</f>
        <v>Unidade</v>
      </c>
      <c r="L14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4" s="32" t="str">
        <f ca="1">IFERROR(VLOOKUP(MB25_VOLUMETRIA[[#This Row],[Reserva]],RES_AB[],14,FALSE),"")</f>
        <v>PLANO DO DIA</v>
      </c>
      <c r="N1444" s="32" t="str">
        <f>IF(MB25_VOLUMETRIA[[#This Row],[Cen.]]="","",IFERROR(VLOOKUP(MB25_VOLUMETRIA[[#This Row],[Cen.]],Dados_Empresas[],2,FALSE),"Verificar empresa"))</f>
        <v>NET MASSIVO</v>
      </c>
      <c r="O1444" s="32" t="str">
        <f>IF(MB25_VOLUMETRIA[[#This Row],[EMPRESA]]="","",IF(OR(MB25_VOLUMETRIA[[#This Row],[EMPRESA]]="NET MASSIVO",MB25_VOLUMETRIA[[#This Row],[EMPRESA]]="NET PROJETOS"),"NET","EMPRESARIAL"))</f>
        <v>NET</v>
      </c>
    </row>
    <row r="1445" spans="1:15" x14ac:dyDescent="0.25">
      <c r="A1445" s="32">
        <v>4382455</v>
      </c>
      <c r="B1445" s="32" t="s">
        <v>21</v>
      </c>
      <c r="C1445" s="33" t="s">
        <v>21</v>
      </c>
      <c r="D1445" s="35">
        <v>45448</v>
      </c>
      <c r="E1445" s="32" t="s">
        <v>185</v>
      </c>
      <c r="F1445" s="32">
        <v>22026219</v>
      </c>
      <c r="G1445" s="32" t="s">
        <v>221</v>
      </c>
      <c r="H1445" s="26" t="s">
        <v>38</v>
      </c>
      <c r="I1445" s="36">
        <v>11500</v>
      </c>
      <c r="J1445" s="32">
        <f>IF(MB25_VOLUMETRIA[[#This Row],[Reserva]]="","",1)</f>
        <v>1</v>
      </c>
      <c r="K1445" s="36" t="str">
        <f>IF(MB25_VOLUMETRIA[[#This Row],[Reserva]]="","",IFERROR(VLOOKUP(MB25_VOLUMETRIA[[#This Row],[UMB]],CHAVE[],2,FALSE),"VERIFICAR"))</f>
        <v>Unidade</v>
      </c>
      <c r="L14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5" s="32" t="str">
        <f ca="1">IFERROR(VLOOKUP(MB25_VOLUMETRIA[[#This Row],[Reserva]],RES_AB[],14,FALSE),"")</f>
        <v>PLANO DO DIA</v>
      </c>
      <c r="N1445" s="32" t="str">
        <f>IF(MB25_VOLUMETRIA[[#This Row],[Cen.]]="","",IFERROR(VLOOKUP(MB25_VOLUMETRIA[[#This Row],[Cen.]],Dados_Empresas[],2,FALSE),"Verificar empresa"))</f>
        <v>NET MASSIVO</v>
      </c>
      <c r="O1445" s="32" t="str">
        <f>IF(MB25_VOLUMETRIA[[#This Row],[EMPRESA]]="","",IF(OR(MB25_VOLUMETRIA[[#This Row],[EMPRESA]]="NET MASSIVO",MB25_VOLUMETRIA[[#This Row],[EMPRESA]]="NET PROJETOS"),"NET","EMPRESARIAL"))</f>
        <v>NET</v>
      </c>
    </row>
    <row r="1446" spans="1:15" x14ac:dyDescent="0.25">
      <c r="A1446" s="32">
        <v>4382455</v>
      </c>
      <c r="B1446" s="32" t="s">
        <v>21</v>
      </c>
      <c r="C1446" s="33" t="s">
        <v>21</v>
      </c>
      <c r="D1446" s="35">
        <v>45448</v>
      </c>
      <c r="E1446" s="32" t="s">
        <v>185</v>
      </c>
      <c r="F1446" s="32">
        <v>22026223</v>
      </c>
      <c r="G1446" s="32" t="s">
        <v>195</v>
      </c>
      <c r="H1446" s="26" t="s">
        <v>38</v>
      </c>
      <c r="I1446" s="36">
        <v>6405</v>
      </c>
      <c r="J1446" s="32">
        <f>IF(MB25_VOLUMETRIA[[#This Row],[Reserva]]="","",1)</f>
        <v>1</v>
      </c>
      <c r="K1446" s="36" t="str">
        <f>IF(MB25_VOLUMETRIA[[#This Row],[Reserva]]="","",IFERROR(VLOOKUP(MB25_VOLUMETRIA[[#This Row],[UMB]],CHAVE[],2,FALSE),"VERIFICAR"))</f>
        <v>Unidade</v>
      </c>
      <c r="L14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6" s="32" t="str">
        <f ca="1">IFERROR(VLOOKUP(MB25_VOLUMETRIA[[#This Row],[Reserva]],RES_AB[],14,FALSE),"")</f>
        <v>PLANO DO DIA</v>
      </c>
      <c r="N1446" s="32" t="str">
        <f>IF(MB25_VOLUMETRIA[[#This Row],[Cen.]]="","",IFERROR(VLOOKUP(MB25_VOLUMETRIA[[#This Row],[Cen.]],Dados_Empresas[],2,FALSE),"Verificar empresa"))</f>
        <v>NET MASSIVO</v>
      </c>
      <c r="O1446" s="32" t="str">
        <f>IF(MB25_VOLUMETRIA[[#This Row],[EMPRESA]]="","",IF(OR(MB25_VOLUMETRIA[[#This Row],[EMPRESA]]="NET MASSIVO",MB25_VOLUMETRIA[[#This Row],[EMPRESA]]="NET PROJETOS"),"NET","EMPRESARIAL"))</f>
        <v>NET</v>
      </c>
    </row>
    <row r="1447" spans="1:15" x14ac:dyDescent="0.25">
      <c r="A1447" s="32">
        <v>4382455</v>
      </c>
      <c r="B1447" s="32" t="s">
        <v>21</v>
      </c>
      <c r="C1447" s="33" t="s">
        <v>21</v>
      </c>
      <c r="D1447" s="35">
        <v>45448</v>
      </c>
      <c r="E1447" s="32" t="s">
        <v>185</v>
      </c>
      <c r="F1447" s="32">
        <v>22026544</v>
      </c>
      <c r="G1447" s="32" t="s">
        <v>206</v>
      </c>
      <c r="H1447" s="26" t="s">
        <v>38</v>
      </c>
      <c r="I1447" s="36">
        <v>50</v>
      </c>
      <c r="J1447" s="32">
        <f>IF(MB25_VOLUMETRIA[[#This Row],[Reserva]]="","",1)</f>
        <v>1</v>
      </c>
      <c r="K1447" s="36" t="str">
        <f>IF(MB25_VOLUMETRIA[[#This Row],[Reserva]]="","",IFERROR(VLOOKUP(MB25_VOLUMETRIA[[#This Row],[UMB]],CHAVE[],2,FALSE),"VERIFICAR"))</f>
        <v>Unidade</v>
      </c>
      <c r="L14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7" s="32" t="str">
        <f ca="1">IFERROR(VLOOKUP(MB25_VOLUMETRIA[[#This Row],[Reserva]],RES_AB[],14,FALSE),"")</f>
        <v>PLANO DO DIA</v>
      </c>
      <c r="N1447" s="32" t="str">
        <f>IF(MB25_VOLUMETRIA[[#This Row],[Cen.]]="","",IFERROR(VLOOKUP(MB25_VOLUMETRIA[[#This Row],[Cen.]],Dados_Empresas[],2,FALSE),"Verificar empresa"))</f>
        <v>NET MASSIVO</v>
      </c>
      <c r="O1447" s="32" t="str">
        <f>IF(MB25_VOLUMETRIA[[#This Row],[EMPRESA]]="","",IF(OR(MB25_VOLUMETRIA[[#This Row],[EMPRESA]]="NET MASSIVO",MB25_VOLUMETRIA[[#This Row],[EMPRESA]]="NET PROJETOS"),"NET","EMPRESARIAL"))</f>
        <v>NET</v>
      </c>
    </row>
    <row r="1448" spans="1:15" x14ac:dyDescent="0.25">
      <c r="A1448" s="32">
        <v>4382455</v>
      </c>
      <c r="B1448" s="32" t="s">
        <v>21</v>
      </c>
      <c r="C1448" s="33" t="s">
        <v>21</v>
      </c>
      <c r="D1448" s="35">
        <v>45448</v>
      </c>
      <c r="E1448" s="32" t="s">
        <v>185</v>
      </c>
      <c r="F1448" s="32">
        <v>22026772</v>
      </c>
      <c r="G1448" s="32" t="s">
        <v>201</v>
      </c>
      <c r="H1448" s="26" t="s">
        <v>38</v>
      </c>
      <c r="I1448" s="36">
        <v>125</v>
      </c>
      <c r="J1448" s="32">
        <f>IF(MB25_VOLUMETRIA[[#This Row],[Reserva]]="","",1)</f>
        <v>1</v>
      </c>
      <c r="K1448" s="36" t="str">
        <f>IF(MB25_VOLUMETRIA[[#This Row],[Reserva]]="","",IFERROR(VLOOKUP(MB25_VOLUMETRIA[[#This Row],[UMB]],CHAVE[],2,FALSE),"VERIFICAR"))</f>
        <v>Unidade</v>
      </c>
      <c r="L14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8" s="32" t="str">
        <f ca="1">IFERROR(VLOOKUP(MB25_VOLUMETRIA[[#This Row],[Reserva]],RES_AB[],14,FALSE),"")</f>
        <v>PLANO DO DIA</v>
      </c>
      <c r="N1448" s="32" t="str">
        <f>IF(MB25_VOLUMETRIA[[#This Row],[Cen.]]="","",IFERROR(VLOOKUP(MB25_VOLUMETRIA[[#This Row],[Cen.]],Dados_Empresas[],2,FALSE),"Verificar empresa"))</f>
        <v>NET MASSIVO</v>
      </c>
      <c r="O1448" s="32" t="str">
        <f>IF(MB25_VOLUMETRIA[[#This Row],[EMPRESA]]="","",IF(OR(MB25_VOLUMETRIA[[#This Row],[EMPRESA]]="NET MASSIVO",MB25_VOLUMETRIA[[#This Row],[EMPRESA]]="NET PROJETOS"),"NET","EMPRESARIAL"))</f>
        <v>NET</v>
      </c>
    </row>
    <row r="1449" spans="1:15" x14ac:dyDescent="0.25">
      <c r="A1449" s="32">
        <v>4382455</v>
      </c>
      <c r="B1449" s="32" t="s">
        <v>21</v>
      </c>
      <c r="C1449" s="33" t="s">
        <v>21</v>
      </c>
      <c r="D1449" s="35">
        <v>45448</v>
      </c>
      <c r="E1449" s="32" t="s">
        <v>185</v>
      </c>
      <c r="F1449" s="32">
        <v>22056332</v>
      </c>
      <c r="G1449" s="32" t="s">
        <v>207</v>
      </c>
      <c r="H1449" s="26" t="s">
        <v>38</v>
      </c>
      <c r="I1449" s="36">
        <v>21</v>
      </c>
      <c r="J1449" s="32">
        <f>IF(MB25_VOLUMETRIA[[#This Row],[Reserva]]="","",1)</f>
        <v>1</v>
      </c>
      <c r="K1449" s="36" t="str">
        <f>IF(MB25_VOLUMETRIA[[#This Row],[Reserva]]="","",IFERROR(VLOOKUP(MB25_VOLUMETRIA[[#This Row],[UMB]],CHAVE[],2,FALSE),"VERIFICAR"))</f>
        <v>Unidade</v>
      </c>
      <c r="L14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49" s="32" t="str">
        <f ca="1">IFERROR(VLOOKUP(MB25_VOLUMETRIA[[#This Row],[Reserva]],RES_AB[],14,FALSE),"")</f>
        <v>PLANO DO DIA</v>
      </c>
      <c r="N1449" s="32" t="str">
        <f>IF(MB25_VOLUMETRIA[[#This Row],[Cen.]]="","",IFERROR(VLOOKUP(MB25_VOLUMETRIA[[#This Row],[Cen.]],Dados_Empresas[],2,FALSE),"Verificar empresa"))</f>
        <v>NET MASSIVO</v>
      </c>
      <c r="O1449" s="32" t="str">
        <f>IF(MB25_VOLUMETRIA[[#This Row],[EMPRESA]]="","",IF(OR(MB25_VOLUMETRIA[[#This Row],[EMPRESA]]="NET MASSIVO",MB25_VOLUMETRIA[[#This Row],[EMPRESA]]="NET PROJETOS"),"NET","EMPRESARIAL"))</f>
        <v>NET</v>
      </c>
    </row>
    <row r="1450" spans="1:15" x14ac:dyDescent="0.25">
      <c r="A1450" s="32">
        <v>4382455</v>
      </c>
      <c r="B1450" s="32" t="s">
        <v>21</v>
      </c>
      <c r="C1450" s="33" t="s">
        <v>21</v>
      </c>
      <c r="D1450" s="35">
        <v>45448</v>
      </c>
      <c r="E1450" s="32" t="s">
        <v>185</v>
      </c>
      <c r="F1450" s="32">
        <v>22056364</v>
      </c>
      <c r="G1450" s="32" t="s">
        <v>236</v>
      </c>
      <c r="H1450" s="26" t="s">
        <v>38</v>
      </c>
      <c r="I1450" s="36">
        <v>510</v>
      </c>
      <c r="J1450" s="32">
        <f>IF(MB25_VOLUMETRIA[[#This Row],[Reserva]]="","",1)</f>
        <v>1</v>
      </c>
      <c r="K1450" s="36" t="str">
        <f>IF(MB25_VOLUMETRIA[[#This Row],[Reserva]]="","",IFERROR(VLOOKUP(MB25_VOLUMETRIA[[#This Row],[UMB]],CHAVE[],2,FALSE),"VERIFICAR"))</f>
        <v>Unidade</v>
      </c>
      <c r="L14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0" s="32" t="str">
        <f ca="1">IFERROR(VLOOKUP(MB25_VOLUMETRIA[[#This Row],[Reserva]],RES_AB[],14,FALSE),"")</f>
        <v>PLANO DO DIA</v>
      </c>
      <c r="N1450" s="32" t="str">
        <f>IF(MB25_VOLUMETRIA[[#This Row],[Cen.]]="","",IFERROR(VLOOKUP(MB25_VOLUMETRIA[[#This Row],[Cen.]],Dados_Empresas[],2,FALSE),"Verificar empresa"))</f>
        <v>NET MASSIVO</v>
      </c>
      <c r="O1450" s="32" t="str">
        <f>IF(MB25_VOLUMETRIA[[#This Row],[EMPRESA]]="","",IF(OR(MB25_VOLUMETRIA[[#This Row],[EMPRESA]]="NET MASSIVO",MB25_VOLUMETRIA[[#This Row],[EMPRESA]]="NET PROJETOS"),"NET","EMPRESARIAL"))</f>
        <v>NET</v>
      </c>
    </row>
    <row r="1451" spans="1:15" x14ac:dyDescent="0.25">
      <c r="A1451" s="32">
        <v>4382455</v>
      </c>
      <c r="B1451" s="32" t="s">
        <v>21</v>
      </c>
      <c r="C1451" s="33" t="s">
        <v>21</v>
      </c>
      <c r="D1451" s="35">
        <v>45448</v>
      </c>
      <c r="E1451" s="32" t="s">
        <v>185</v>
      </c>
      <c r="F1451" s="32">
        <v>22056365</v>
      </c>
      <c r="G1451" s="32" t="s">
        <v>244</v>
      </c>
      <c r="H1451" s="26" t="s">
        <v>38</v>
      </c>
      <c r="I1451" s="36">
        <v>360</v>
      </c>
      <c r="J1451" s="32">
        <f>IF(MB25_VOLUMETRIA[[#This Row],[Reserva]]="","",1)</f>
        <v>1</v>
      </c>
      <c r="K1451" s="36" t="str">
        <f>IF(MB25_VOLUMETRIA[[#This Row],[Reserva]]="","",IFERROR(VLOOKUP(MB25_VOLUMETRIA[[#This Row],[UMB]],CHAVE[],2,FALSE),"VERIFICAR"))</f>
        <v>Unidade</v>
      </c>
      <c r="L14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1" s="32" t="str">
        <f ca="1">IFERROR(VLOOKUP(MB25_VOLUMETRIA[[#This Row],[Reserva]],RES_AB[],14,FALSE),"")</f>
        <v>PLANO DO DIA</v>
      </c>
      <c r="N1451" s="32" t="str">
        <f>IF(MB25_VOLUMETRIA[[#This Row],[Cen.]]="","",IFERROR(VLOOKUP(MB25_VOLUMETRIA[[#This Row],[Cen.]],Dados_Empresas[],2,FALSE),"Verificar empresa"))</f>
        <v>NET MASSIVO</v>
      </c>
      <c r="O1451" s="32" t="str">
        <f>IF(MB25_VOLUMETRIA[[#This Row],[EMPRESA]]="","",IF(OR(MB25_VOLUMETRIA[[#This Row],[EMPRESA]]="NET MASSIVO",MB25_VOLUMETRIA[[#This Row],[EMPRESA]]="NET PROJETOS"),"NET","EMPRESARIAL"))</f>
        <v>NET</v>
      </c>
    </row>
    <row r="1452" spans="1:15" x14ac:dyDescent="0.25">
      <c r="A1452" s="32">
        <v>4382455</v>
      </c>
      <c r="B1452" s="32" t="s">
        <v>21</v>
      </c>
      <c r="C1452" s="33" t="s">
        <v>21</v>
      </c>
      <c r="D1452" s="35">
        <v>45448</v>
      </c>
      <c r="E1452" s="32" t="s">
        <v>185</v>
      </c>
      <c r="F1452" s="32">
        <v>22056369</v>
      </c>
      <c r="G1452" s="32" t="s">
        <v>194</v>
      </c>
      <c r="H1452" s="26" t="s">
        <v>38</v>
      </c>
      <c r="I1452" s="36">
        <v>600</v>
      </c>
      <c r="J1452" s="32">
        <f>IF(MB25_VOLUMETRIA[[#This Row],[Reserva]]="","",1)</f>
        <v>1</v>
      </c>
      <c r="K1452" s="36" t="str">
        <f>IF(MB25_VOLUMETRIA[[#This Row],[Reserva]]="","",IFERROR(VLOOKUP(MB25_VOLUMETRIA[[#This Row],[UMB]],CHAVE[],2,FALSE),"VERIFICAR"))</f>
        <v>Unidade</v>
      </c>
      <c r="L14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2" s="32" t="str">
        <f ca="1">IFERROR(VLOOKUP(MB25_VOLUMETRIA[[#This Row],[Reserva]],RES_AB[],14,FALSE),"")</f>
        <v>PLANO DO DIA</v>
      </c>
      <c r="N1452" s="32" t="str">
        <f>IF(MB25_VOLUMETRIA[[#This Row],[Cen.]]="","",IFERROR(VLOOKUP(MB25_VOLUMETRIA[[#This Row],[Cen.]],Dados_Empresas[],2,FALSE),"Verificar empresa"))</f>
        <v>NET MASSIVO</v>
      </c>
      <c r="O1452" s="32" t="str">
        <f>IF(MB25_VOLUMETRIA[[#This Row],[EMPRESA]]="","",IF(OR(MB25_VOLUMETRIA[[#This Row],[EMPRESA]]="NET MASSIVO",MB25_VOLUMETRIA[[#This Row],[EMPRESA]]="NET PROJETOS"),"NET","EMPRESARIAL"))</f>
        <v>NET</v>
      </c>
    </row>
    <row r="1453" spans="1:15" x14ac:dyDescent="0.25">
      <c r="A1453" s="32">
        <v>4382455</v>
      </c>
      <c r="B1453" s="32" t="s">
        <v>21</v>
      </c>
      <c r="C1453" s="33" t="s">
        <v>21</v>
      </c>
      <c r="D1453" s="35">
        <v>45448</v>
      </c>
      <c r="E1453" s="32" t="s">
        <v>185</v>
      </c>
      <c r="F1453" s="32">
        <v>22057620</v>
      </c>
      <c r="G1453" s="32" t="s">
        <v>253</v>
      </c>
      <c r="H1453" s="26" t="s">
        <v>38</v>
      </c>
      <c r="I1453" s="36">
        <v>100</v>
      </c>
      <c r="J1453" s="32">
        <f>IF(MB25_VOLUMETRIA[[#This Row],[Reserva]]="","",1)</f>
        <v>1</v>
      </c>
      <c r="K1453" s="36" t="str">
        <f>IF(MB25_VOLUMETRIA[[#This Row],[Reserva]]="","",IFERROR(VLOOKUP(MB25_VOLUMETRIA[[#This Row],[UMB]],CHAVE[],2,FALSE),"VERIFICAR"))</f>
        <v>Unidade</v>
      </c>
      <c r="L14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3" s="32" t="str">
        <f ca="1">IFERROR(VLOOKUP(MB25_VOLUMETRIA[[#This Row],[Reserva]],RES_AB[],14,FALSE),"")</f>
        <v>PLANO DO DIA</v>
      </c>
      <c r="N1453" s="32" t="str">
        <f>IF(MB25_VOLUMETRIA[[#This Row],[Cen.]]="","",IFERROR(VLOOKUP(MB25_VOLUMETRIA[[#This Row],[Cen.]],Dados_Empresas[],2,FALSE),"Verificar empresa"))</f>
        <v>NET MASSIVO</v>
      </c>
      <c r="O1453" s="32" t="str">
        <f>IF(MB25_VOLUMETRIA[[#This Row],[EMPRESA]]="","",IF(OR(MB25_VOLUMETRIA[[#This Row],[EMPRESA]]="NET MASSIVO",MB25_VOLUMETRIA[[#This Row],[EMPRESA]]="NET PROJETOS"),"NET","EMPRESARIAL"))</f>
        <v>NET</v>
      </c>
    </row>
    <row r="1454" spans="1:15" x14ac:dyDescent="0.25">
      <c r="A1454" s="32">
        <v>4382455</v>
      </c>
      <c r="B1454" s="32" t="s">
        <v>21</v>
      </c>
      <c r="C1454" s="33" t="s">
        <v>21</v>
      </c>
      <c r="D1454" s="35">
        <v>45448</v>
      </c>
      <c r="E1454" s="32" t="s">
        <v>185</v>
      </c>
      <c r="F1454" s="32">
        <v>22057635</v>
      </c>
      <c r="G1454" s="32" t="s">
        <v>223</v>
      </c>
      <c r="H1454" s="26" t="s">
        <v>38</v>
      </c>
      <c r="I1454" s="36">
        <v>1500</v>
      </c>
      <c r="J1454" s="32">
        <f>IF(MB25_VOLUMETRIA[[#This Row],[Reserva]]="","",1)</f>
        <v>1</v>
      </c>
      <c r="K1454" s="36" t="str">
        <f>IF(MB25_VOLUMETRIA[[#This Row],[Reserva]]="","",IFERROR(VLOOKUP(MB25_VOLUMETRIA[[#This Row],[UMB]],CHAVE[],2,FALSE),"VERIFICAR"))</f>
        <v>Unidade</v>
      </c>
      <c r="L14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4" s="32" t="str">
        <f ca="1">IFERROR(VLOOKUP(MB25_VOLUMETRIA[[#This Row],[Reserva]],RES_AB[],14,FALSE),"")</f>
        <v>PLANO DO DIA</v>
      </c>
      <c r="N1454" s="32" t="str">
        <f>IF(MB25_VOLUMETRIA[[#This Row],[Cen.]]="","",IFERROR(VLOOKUP(MB25_VOLUMETRIA[[#This Row],[Cen.]],Dados_Empresas[],2,FALSE),"Verificar empresa"))</f>
        <v>NET MASSIVO</v>
      </c>
      <c r="O1454" s="32" t="str">
        <f>IF(MB25_VOLUMETRIA[[#This Row],[EMPRESA]]="","",IF(OR(MB25_VOLUMETRIA[[#This Row],[EMPRESA]]="NET MASSIVO",MB25_VOLUMETRIA[[#This Row],[EMPRESA]]="NET PROJETOS"),"NET","EMPRESARIAL"))</f>
        <v>NET</v>
      </c>
    </row>
    <row r="1455" spans="1:15" x14ac:dyDescent="0.25">
      <c r="A1455" s="32">
        <v>4382455</v>
      </c>
      <c r="B1455" s="32" t="s">
        <v>21</v>
      </c>
      <c r="C1455" s="33" t="s">
        <v>21</v>
      </c>
      <c r="D1455" s="35">
        <v>45448</v>
      </c>
      <c r="E1455" s="32" t="s">
        <v>185</v>
      </c>
      <c r="F1455" s="32">
        <v>22057866</v>
      </c>
      <c r="G1455" s="32" t="s">
        <v>225</v>
      </c>
      <c r="H1455" s="26" t="s">
        <v>38</v>
      </c>
      <c r="I1455" s="36">
        <v>30</v>
      </c>
      <c r="J1455" s="32">
        <f>IF(MB25_VOLUMETRIA[[#This Row],[Reserva]]="","",1)</f>
        <v>1</v>
      </c>
      <c r="K1455" s="36" t="str">
        <f>IF(MB25_VOLUMETRIA[[#This Row],[Reserva]]="","",IFERROR(VLOOKUP(MB25_VOLUMETRIA[[#This Row],[UMB]],CHAVE[],2,FALSE),"VERIFICAR"))</f>
        <v>Unidade</v>
      </c>
      <c r="L14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5" s="32" t="str">
        <f ca="1">IFERROR(VLOOKUP(MB25_VOLUMETRIA[[#This Row],[Reserva]],RES_AB[],14,FALSE),"")</f>
        <v>PLANO DO DIA</v>
      </c>
      <c r="N1455" s="32" t="str">
        <f>IF(MB25_VOLUMETRIA[[#This Row],[Cen.]]="","",IFERROR(VLOOKUP(MB25_VOLUMETRIA[[#This Row],[Cen.]],Dados_Empresas[],2,FALSE),"Verificar empresa"))</f>
        <v>NET MASSIVO</v>
      </c>
      <c r="O1455" s="32" t="str">
        <f>IF(MB25_VOLUMETRIA[[#This Row],[EMPRESA]]="","",IF(OR(MB25_VOLUMETRIA[[#This Row],[EMPRESA]]="NET MASSIVO",MB25_VOLUMETRIA[[#This Row],[EMPRESA]]="NET PROJETOS"),"NET","EMPRESARIAL"))</f>
        <v>NET</v>
      </c>
    </row>
    <row r="1456" spans="1:15" x14ac:dyDescent="0.25">
      <c r="A1456" s="32">
        <v>4382455</v>
      </c>
      <c r="B1456" s="32" t="s">
        <v>21</v>
      </c>
      <c r="C1456" s="33" t="s">
        <v>21</v>
      </c>
      <c r="D1456" s="35">
        <v>45448</v>
      </c>
      <c r="E1456" s="32" t="s">
        <v>185</v>
      </c>
      <c r="F1456" s="32">
        <v>22065720</v>
      </c>
      <c r="G1456" s="32" t="s">
        <v>245</v>
      </c>
      <c r="H1456" s="26" t="s">
        <v>38</v>
      </c>
      <c r="I1456" s="36">
        <v>100</v>
      </c>
      <c r="J1456" s="32">
        <f>IF(MB25_VOLUMETRIA[[#This Row],[Reserva]]="","",1)</f>
        <v>1</v>
      </c>
      <c r="K1456" s="36" t="str">
        <f>IF(MB25_VOLUMETRIA[[#This Row],[Reserva]]="","",IFERROR(VLOOKUP(MB25_VOLUMETRIA[[#This Row],[UMB]],CHAVE[],2,FALSE),"VERIFICAR"))</f>
        <v>Unidade</v>
      </c>
      <c r="L14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6" s="32" t="str">
        <f ca="1">IFERROR(VLOOKUP(MB25_VOLUMETRIA[[#This Row],[Reserva]],RES_AB[],14,FALSE),"")</f>
        <v>PLANO DO DIA</v>
      </c>
      <c r="N1456" s="32" t="str">
        <f>IF(MB25_VOLUMETRIA[[#This Row],[Cen.]]="","",IFERROR(VLOOKUP(MB25_VOLUMETRIA[[#This Row],[Cen.]],Dados_Empresas[],2,FALSE),"Verificar empresa"))</f>
        <v>NET MASSIVO</v>
      </c>
      <c r="O1456" s="32" t="str">
        <f>IF(MB25_VOLUMETRIA[[#This Row],[EMPRESA]]="","",IF(OR(MB25_VOLUMETRIA[[#This Row],[EMPRESA]]="NET MASSIVO",MB25_VOLUMETRIA[[#This Row],[EMPRESA]]="NET PROJETOS"),"NET","EMPRESARIAL"))</f>
        <v>NET</v>
      </c>
    </row>
    <row r="1457" spans="1:15" x14ac:dyDescent="0.25">
      <c r="A1457" s="32">
        <v>4382455</v>
      </c>
      <c r="B1457" s="32" t="s">
        <v>21</v>
      </c>
      <c r="C1457" s="33" t="s">
        <v>21</v>
      </c>
      <c r="D1457" s="35">
        <v>45448</v>
      </c>
      <c r="E1457" s="32" t="s">
        <v>185</v>
      </c>
      <c r="F1457" s="32">
        <v>22066517</v>
      </c>
      <c r="G1457" s="32" t="s">
        <v>325</v>
      </c>
      <c r="H1457" s="26" t="s">
        <v>38</v>
      </c>
      <c r="I1457" s="36">
        <v>150</v>
      </c>
      <c r="J1457" s="32">
        <f>IF(MB25_VOLUMETRIA[[#This Row],[Reserva]]="","",1)</f>
        <v>1</v>
      </c>
      <c r="K1457" s="36" t="str">
        <f>IF(MB25_VOLUMETRIA[[#This Row],[Reserva]]="","",IFERROR(VLOOKUP(MB25_VOLUMETRIA[[#This Row],[UMB]],CHAVE[],2,FALSE),"VERIFICAR"))</f>
        <v>Unidade</v>
      </c>
      <c r="L14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7" s="32" t="str">
        <f ca="1">IFERROR(VLOOKUP(MB25_VOLUMETRIA[[#This Row],[Reserva]],RES_AB[],14,FALSE),"")</f>
        <v>PLANO DO DIA</v>
      </c>
      <c r="N1457" s="32" t="str">
        <f>IF(MB25_VOLUMETRIA[[#This Row],[Cen.]]="","",IFERROR(VLOOKUP(MB25_VOLUMETRIA[[#This Row],[Cen.]],Dados_Empresas[],2,FALSE),"Verificar empresa"))</f>
        <v>NET MASSIVO</v>
      </c>
      <c r="O1457" s="32" t="str">
        <f>IF(MB25_VOLUMETRIA[[#This Row],[EMPRESA]]="","",IF(OR(MB25_VOLUMETRIA[[#This Row],[EMPRESA]]="NET MASSIVO",MB25_VOLUMETRIA[[#This Row],[EMPRESA]]="NET PROJETOS"),"NET","EMPRESARIAL"))</f>
        <v>NET</v>
      </c>
    </row>
    <row r="1458" spans="1:15" x14ac:dyDescent="0.25">
      <c r="A1458" s="32">
        <v>4382456</v>
      </c>
      <c r="B1458" s="32" t="s">
        <v>21</v>
      </c>
      <c r="C1458" s="33" t="s">
        <v>21</v>
      </c>
      <c r="D1458" s="35">
        <v>45448</v>
      </c>
      <c r="E1458" s="32" t="s">
        <v>184</v>
      </c>
      <c r="F1458" s="32">
        <v>41001553</v>
      </c>
      <c r="G1458" s="32" t="s">
        <v>295</v>
      </c>
      <c r="H1458" s="26" t="s">
        <v>38</v>
      </c>
      <c r="I1458" s="36">
        <v>300</v>
      </c>
      <c r="J1458" s="32">
        <f>IF(MB25_VOLUMETRIA[[#This Row],[Reserva]]="","",1)</f>
        <v>1</v>
      </c>
      <c r="K1458" s="36" t="str">
        <f>IF(MB25_VOLUMETRIA[[#This Row],[Reserva]]="","",IFERROR(VLOOKUP(MB25_VOLUMETRIA[[#This Row],[UMB]],CHAVE[],2,FALSE),"VERIFICAR"))</f>
        <v>Unidade</v>
      </c>
      <c r="L14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8" s="32" t="str">
        <f ca="1">IFERROR(VLOOKUP(MB25_VOLUMETRIA[[#This Row],[Reserva]],RES_AB[],14,FALSE),"")</f>
        <v>PLANO DO DIA</v>
      </c>
      <c r="N1458" s="32" t="str">
        <f>IF(MB25_VOLUMETRIA[[#This Row],[Cen.]]="","",IFERROR(VLOOKUP(MB25_VOLUMETRIA[[#This Row],[Cen.]],Dados_Empresas[],2,FALSE),"Verificar empresa"))</f>
        <v>NET MASSIVO</v>
      </c>
      <c r="O1458" s="32" t="str">
        <f>IF(MB25_VOLUMETRIA[[#This Row],[EMPRESA]]="","",IF(OR(MB25_VOLUMETRIA[[#This Row],[EMPRESA]]="NET MASSIVO",MB25_VOLUMETRIA[[#This Row],[EMPRESA]]="NET PROJETOS"),"NET","EMPRESARIAL"))</f>
        <v>NET</v>
      </c>
    </row>
    <row r="1459" spans="1:15" x14ac:dyDescent="0.25">
      <c r="A1459" s="32">
        <v>4382457</v>
      </c>
      <c r="B1459" s="32" t="s">
        <v>21</v>
      </c>
      <c r="C1459" s="33" t="s">
        <v>19</v>
      </c>
      <c r="D1459" s="35">
        <v>45448</v>
      </c>
      <c r="E1459" s="32" t="s">
        <v>185</v>
      </c>
      <c r="F1459" s="32">
        <v>22025116</v>
      </c>
      <c r="G1459" s="32" t="s">
        <v>362</v>
      </c>
      <c r="H1459" s="26" t="s">
        <v>38</v>
      </c>
      <c r="I1459" s="36">
        <v>20</v>
      </c>
      <c r="J1459" s="32">
        <f>IF(MB25_VOLUMETRIA[[#This Row],[Reserva]]="","",1)</f>
        <v>1</v>
      </c>
      <c r="K1459" s="36" t="str">
        <f>IF(MB25_VOLUMETRIA[[#This Row],[Reserva]]="","",IFERROR(VLOOKUP(MB25_VOLUMETRIA[[#This Row],[UMB]],CHAVE[],2,FALSE),"VERIFICAR"))</f>
        <v>Unidade</v>
      </c>
      <c r="L14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59" s="32" t="str">
        <f ca="1">IFERROR(VLOOKUP(MB25_VOLUMETRIA[[#This Row],[Reserva]],RES_AB[],14,FALSE),"")</f>
        <v>PLANO DO DIA</v>
      </c>
      <c r="N1459" s="32" t="str">
        <f>IF(MB25_VOLUMETRIA[[#This Row],[Cen.]]="","",IFERROR(VLOOKUP(MB25_VOLUMETRIA[[#This Row],[Cen.]],Dados_Empresas[],2,FALSE),"Verificar empresa"))</f>
        <v>NET MASSIVO</v>
      </c>
      <c r="O1459" s="32" t="str">
        <f>IF(MB25_VOLUMETRIA[[#This Row],[EMPRESA]]="","",IF(OR(MB25_VOLUMETRIA[[#This Row],[EMPRESA]]="NET MASSIVO",MB25_VOLUMETRIA[[#This Row],[EMPRESA]]="NET PROJETOS"),"NET","EMPRESARIAL"))</f>
        <v>NET</v>
      </c>
    </row>
    <row r="1460" spans="1:15" x14ac:dyDescent="0.25">
      <c r="A1460" s="32">
        <v>4382457</v>
      </c>
      <c r="B1460" s="32" t="s">
        <v>21</v>
      </c>
      <c r="C1460" s="33" t="s">
        <v>21</v>
      </c>
      <c r="D1460" s="35">
        <v>45448</v>
      </c>
      <c r="E1460" s="32" t="s">
        <v>185</v>
      </c>
      <c r="F1460" s="32">
        <v>22025250</v>
      </c>
      <c r="G1460" s="32" t="s">
        <v>213</v>
      </c>
      <c r="H1460" s="26" t="s">
        <v>38</v>
      </c>
      <c r="I1460" s="36">
        <v>100</v>
      </c>
      <c r="J1460" s="32">
        <f>IF(MB25_VOLUMETRIA[[#This Row],[Reserva]]="","",1)</f>
        <v>1</v>
      </c>
      <c r="K1460" s="36" t="str">
        <f>IF(MB25_VOLUMETRIA[[#This Row],[Reserva]]="","",IFERROR(VLOOKUP(MB25_VOLUMETRIA[[#This Row],[UMB]],CHAVE[],2,FALSE),"VERIFICAR"))</f>
        <v>Unidade</v>
      </c>
      <c r="L14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0" s="32" t="str">
        <f ca="1">IFERROR(VLOOKUP(MB25_VOLUMETRIA[[#This Row],[Reserva]],RES_AB[],14,FALSE),"")</f>
        <v>PLANO DO DIA</v>
      </c>
      <c r="N1460" s="32" t="str">
        <f>IF(MB25_VOLUMETRIA[[#This Row],[Cen.]]="","",IFERROR(VLOOKUP(MB25_VOLUMETRIA[[#This Row],[Cen.]],Dados_Empresas[],2,FALSE),"Verificar empresa"))</f>
        <v>NET MASSIVO</v>
      </c>
      <c r="O1460" s="32" t="str">
        <f>IF(MB25_VOLUMETRIA[[#This Row],[EMPRESA]]="","",IF(OR(MB25_VOLUMETRIA[[#This Row],[EMPRESA]]="NET MASSIVO",MB25_VOLUMETRIA[[#This Row],[EMPRESA]]="NET PROJETOS"),"NET","EMPRESARIAL"))</f>
        <v>NET</v>
      </c>
    </row>
    <row r="1461" spans="1:15" x14ac:dyDescent="0.25">
      <c r="A1461" s="32">
        <v>4382457</v>
      </c>
      <c r="B1461" s="32" t="s">
        <v>21</v>
      </c>
      <c r="C1461" s="33" t="s">
        <v>21</v>
      </c>
      <c r="D1461" s="35">
        <v>45448</v>
      </c>
      <c r="E1461" s="32" t="s">
        <v>185</v>
      </c>
      <c r="F1461" s="32">
        <v>22026189</v>
      </c>
      <c r="G1461" s="32" t="s">
        <v>200</v>
      </c>
      <c r="H1461" s="26" t="s">
        <v>38</v>
      </c>
      <c r="I1461" s="36">
        <v>2300</v>
      </c>
      <c r="J1461" s="32">
        <f>IF(MB25_VOLUMETRIA[[#This Row],[Reserva]]="","",1)</f>
        <v>1</v>
      </c>
      <c r="K1461" s="36" t="str">
        <f>IF(MB25_VOLUMETRIA[[#This Row],[Reserva]]="","",IFERROR(VLOOKUP(MB25_VOLUMETRIA[[#This Row],[UMB]],CHAVE[],2,FALSE),"VERIFICAR"))</f>
        <v>Unidade</v>
      </c>
      <c r="L14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1" s="32" t="str">
        <f ca="1">IFERROR(VLOOKUP(MB25_VOLUMETRIA[[#This Row],[Reserva]],RES_AB[],14,FALSE),"")</f>
        <v>PLANO DO DIA</v>
      </c>
      <c r="N1461" s="32" t="str">
        <f>IF(MB25_VOLUMETRIA[[#This Row],[Cen.]]="","",IFERROR(VLOOKUP(MB25_VOLUMETRIA[[#This Row],[Cen.]],Dados_Empresas[],2,FALSE),"Verificar empresa"))</f>
        <v>NET MASSIVO</v>
      </c>
      <c r="O1461" s="32" t="str">
        <f>IF(MB25_VOLUMETRIA[[#This Row],[EMPRESA]]="","",IF(OR(MB25_VOLUMETRIA[[#This Row],[EMPRESA]]="NET MASSIVO",MB25_VOLUMETRIA[[#This Row],[EMPRESA]]="NET PROJETOS"),"NET","EMPRESARIAL"))</f>
        <v>NET</v>
      </c>
    </row>
    <row r="1462" spans="1:15" x14ac:dyDescent="0.25">
      <c r="A1462" s="32">
        <v>4382457</v>
      </c>
      <c r="B1462" s="32" t="s">
        <v>21</v>
      </c>
      <c r="C1462" s="33" t="s">
        <v>21</v>
      </c>
      <c r="D1462" s="35">
        <v>45448</v>
      </c>
      <c r="E1462" s="32" t="s">
        <v>185</v>
      </c>
      <c r="F1462" s="32">
        <v>22026772</v>
      </c>
      <c r="G1462" s="32" t="s">
        <v>201</v>
      </c>
      <c r="H1462" s="26" t="s">
        <v>38</v>
      </c>
      <c r="I1462" s="36">
        <v>100</v>
      </c>
      <c r="J1462" s="32">
        <f>IF(MB25_VOLUMETRIA[[#This Row],[Reserva]]="","",1)</f>
        <v>1</v>
      </c>
      <c r="K1462" s="36" t="str">
        <f>IF(MB25_VOLUMETRIA[[#This Row],[Reserva]]="","",IFERROR(VLOOKUP(MB25_VOLUMETRIA[[#This Row],[UMB]],CHAVE[],2,FALSE),"VERIFICAR"))</f>
        <v>Unidade</v>
      </c>
      <c r="L14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2" s="32" t="str">
        <f ca="1">IFERROR(VLOOKUP(MB25_VOLUMETRIA[[#This Row],[Reserva]],RES_AB[],14,FALSE),"")</f>
        <v>PLANO DO DIA</v>
      </c>
      <c r="N1462" s="32" t="str">
        <f>IF(MB25_VOLUMETRIA[[#This Row],[Cen.]]="","",IFERROR(VLOOKUP(MB25_VOLUMETRIA[[#This Row],[Cen.]],Dados_Empresas[],2,FALSE),"Verificar empresa"))</f>
        <v>NET MASSIVO</v>
      </c>
      <c r="O1462" s="32" t="str">
        <f>IF(MB25_VOLUMETRIA[[#This Row],[EMPRESA]]="","",IF(OR(MB25_VOLUMETRIA[[#This Row],[EMPRESA]]="NET MASSIVO",MB25_VOLUMETRIA[[#This Row],[EMPRESA]]="NET PROJETOS"),"NET","EMPRESARIAL"))</f>
        <v>NET</v>
      </c>
    </row>
    <row r="1463" spans="1:15" x14ac:dyDescent="0.25">
      <c r="A1463" s="32">
        <v>4382457</v>
      </c>
      <c r="B1463" s="32" t="s">
        <v>21</v>
      </c>
      <c r="C1463" s="33" t="s">
        <v>21</v>
      </c>
      <c r="D1463" s="35">
        <v>45448</v>
      </c>
      <c r="E1463" s="32" t="s">
        <v>185</v>
      </c>
      <c r="F1463" s="32">
        <v>22026792</v>
      </c>
      <c r="G1463" s="32" t="s">
        <v>202</v>
      </c>
      <c r="H1463" s="26" t="s">
        <v>38</v>
      </c>
      <c r="I1463" s="36">
        <v>25</v>
      </c>
      <c r="J1463" s="32">
        <f>IF(MB25_VOLUMETRIA[[#This Row],[Reserva]]="","",1)</f>
        <v>1</v>
      </c>
      <c r="K1463" s="36" t="str">
        <f>IF(MB25_VOLUMETRIA[[#This Row],[Reserva]]="","",IFERROR(VLOOKUP(MB25_VOLUMETRIA[[#This Row],[UMB]],CHAVE[],2,FALSE),"VERIFICAR"))</f>
        <v>Unidade</v>
      </c>
      <c r="L14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3" s="32" t="str">
        <f ca="1">IFERROR(VLOOKUP(MB25_VOLUMETRIA[[#This Row],[Reserva]],RES_AB[],14,FALSE),"")</f>
        <v>PLANO DO DIA</v>
      </c>
      <c r="N1463" s="32" t="str">
        <f>IF(MB25_VOLUMETRIA[[#This Row],[Cen.]]="","",IFERROR(VLOOKUP(MB25_VOLUMETRIA[[#This Row],[Cen.]],Dados_Empresas[],2,FALSE),"Verificar empresa"))</f>
        <v>NET MASSIVO</v>
      </c>
      <c r="O1463" s="32" t="str">
        <f>IF(MB25_VOLUMETRIA[[#This Row],[EMPRESA]]="","",IF(OR(MB25_VOLUMETRIA[[#This Row],[EMPRESA]]="NET MASSIVO",MB25_VOLUMETRIA[[#This Row],[EMPRESA]]="NET PROJETOS"),"NET","EMPRESARIAL"))</f>
        <v>NET</v>
      </c>
    </row>
    <row r="1464" spans="1:15" x14ac:dyDescent="0.25">
      <c r="A1464" s="32">
        <v>4382457</v>
      </c>
      <c r="B1464" s="32" t="s">
        <v>21</v>
      </c>
      <c r="C1464" s="33" t="s">
        <v>21</v>
      </c>
      <c r="D1464" s="35">
        <v>45448</v>
      </c>
      <c r="E1464" s="32" t="s">
        <v>185</v>
      </c>
      <c r="F1464" s="32">
        <v>22056359</v>
      </c>
      <c r="G1464" s="32" t="s">
        <v>203</v>
      </c>
      <c r="H1464" s="26" t="s">
        <v>38</v>
      </c>
      <c r="I1464" s="36">
        <v>6</v>
      </c>
      <c r="J1464" s="32">
        <f>IF(MB25_VOLUMETRIA[[#This Row],[Reserva]]="","",1)</f>
        <v>1</v>
      </c>
      <c r="K1464" s="36" t="str">
        <f>IF(MB25_VOLUMETRIA[[#This Row],[Reserva]]="","",IFERROR(VLOOKUP(MB25_VOLUMETRIA[[#This Row],[UMB]],CHAVE[],2,FALSE),"VERIFICAR"))</f>
        <v>Unidade</v>
      </c>
      <c r="L14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4" s="32" t="str">
        <f ca="1">IFERROR(VLOOKUP(MB25_VOLUMETRIA[[#This Row],[Reserva]],RES_AB[],14,FALSE),"")</f>
        <v>PLANO DO DIA</v>
      </c>
      <c r="N1464" s="32" t="str">
        <f>IF(MB25_VOLUMETRIA[[#This Row],[Cen.]]="","",IFERROR(VLOOKUP(MB25_VOLUMETRIA[[#This Row],[Cen.]],Dados_Empresas[],2,FALSE),"Verificar empresa"))</f>
        <v>NET MASSIVO</v>
      </c>
      <c r="O1464" s="32" t="str">
        <f>IF(MB25_VOLUMETRIA[[#This Row],[EMPRESA]]="","",IF(OR(MB25_VOLUMETRIA[[#This Row],[EMPRESA]]="NET MASSIVO",MB25_VOLUMETRIA[[#This Row],[EMPRESA]]="NET PROJETOS"),"NET","EMPRESARIAL"))</f>
        <v>NET</v>
      </c>
    </row>
    <row r="1465" spans="1:15" x14ac:dyDescent="0.25">
      <c r="A1465" s="32">
        <v>4382457</v>
      </c>
      <c r="B1465" s="32" t="s">
        <v>21</v>
      </c>
      <c r="C1465" s="33" t="s">
        <v>21</v>
      </c>
      <c r="D1465" s="35">
        <v>45448</v>
      </c>
      <c r="E1465" s="32" t="s">
        <v>185</v>
      </c>
      <c r="F1465" s="32">
        <v>22056364</v>
      </c>
      <c r="G1465" s="32" t="s">
        <v>236</v>
      </c>
      <c r="H1465" s="26" t="s">
        <v>38</v>
      </c>
      <c r="I1465" s="36">
        <v>420</v>
      </c>
      <c r="J1465" s="32">
        <f>IF(MB25_VOLUMETRIA[[#This Row],[Reserva]]="","",1)</f>
        <v>1</v>
      </c>
      <c r="K1465" s="36" t="str">
        <f>IF(MB25_VOLUMETRIA[[#This Row],[Reserva]]="","",IFERROR(VLOOKUP(MB25_VOLUMETRIA[[#This Row],[UMB]],CHAVE[],2,FALSE),"VERIFICAR"))</f>
        <v>Unidade</v>
      </c>
      <c r="L14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5" s="32" t="str">
        <f ca="1">IFERROR(VLOOKUP(MB25_VOLUMETRIA[[#This Row],[Reserva]],RES_AB[],14,FALSE),"")</f>
        <v>PLANO DO DIA</v>
      </c>
      <c r="N1465" s="32" t="str">
        <f>IF(MB25_VOLUMETRIA[[#This Row],[Cen.]]="","",IFERROR(VLOOKUP(MB25_VOLUMETRIA[[#This Row],[Cen.]],Dados_Empresas[],2,FALSE),"Verificar empresa"))</f>
        <v>NET MASSIVO</v>
      </c>
      <c r="O1465" s="32" t="str">
        <f>IF(MB25_VOLUMETRIA[[#This Row],[EMPRESA]]="","",IF(OR(MB25_VOLUMETRIA[[#This Row],[EMPRESA]]="NET MASSIVO",MB25_VOLUMETRIA[[#This Row],[EMPRESA]]="NET PROJETOS"),"NET","EMPRESARIAL"))</f>
        <v>NET</v>
      </c>
    </row>
    <row r="1466" spans="1:15" x14ac:dyDescent="0.25">
      <c r="A1466" s="32">
        <v>4382457</v>
      </c>
      <c r="B1466" s="32" t="s">
        <v>21</v>
      </c>
      <c r="C1466" s="33" t="s">
        <v>21</v>
      </c>
      <c r="D1466" s="35">
        <v>45448</v>
      </c>
      <c r="E1466" s="32" t="s">
        <v>185</v>
      </c>
      <c r="F1466" s="32">
        <v>22065720</v>
      </c>
      <c r="G1466" s="32" t="s">
        <v>245</v>
      </c>
      <c r="H1466" s="26" t="s">
        <v>38</v>
      </c>
      <c r="I1466" s="36">
        <v>100</v>
      </c>
      <c r="J1466" s="32">
        <f>IF(MB25_VOLUMETRIA[[#This Row],[Reserva]]="","",1)</f>
        <v>1</v>
      </c>
      <c r="K1466" s="36" t="str">
        <f>IF(MB25_VOLUMETRIA[[#This Row],[Reserva]]="","",IFERROR(VLOOKUP(MB25_VOLUMETRIA[[#This Row],[UMB]],CHAVE[],2,FALSE),"VERIFICAR"))</f>
        <v>Unidade</v>
      </c>
      <c r="L14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6" s="32" t="str">
        <f ca="1">IFERROR(VLOOKUP(MB25_VOLUMETRIA[[#This Row],[Reserva]],RES_AB[],14,FALSE),"")</f>
        <v>PLANO DO DIA</v>
      </c>
      <c r="N1466" s="32" t="str">
        <f>IF(MB25_VOLUMETRIA[[#This Row],[Cen.]]="","",IFERROR(VLOOKUP(MB25_VOLUMETRIA[[#This Row],[Cen.]],Dados_Empresas[],2,FALSE),"Verificar empresa"))</f>
        <v>NET MASSIVO</v>
      </c>
      <c r="O1466" s="32" t="str">
        <f>IF(MB25_VOLUMETRIA[[#This Row],[EMPRESA]]="","",IF(OR(MB25_VOLUMETRIA[[#This Row],[EMPRESA]]="NET MASSIVO",MB25_VOLUMETRIA[[#This Row],[EMPRESA]]="NET PROJETOS"),"NET","EMPRESARIAL"))</f>
        <v>NET</v>
      </c>
    </row>
    <row r="1467" spans="1:15" x14ac:dyDescent="0.25">
      <c r="A1467" s="32">
        <v>4382458</v>
      </c>
      <c r="B1467" s="32" t="s">
        <v>21</v>
      </c>
      <c r="C1467" s="33" t="s">
        <v>21</v>
      </c>
      <c r="D1467" s="35">
        <v>45448</v>
      </c>
      <c r="E1467" s="32" t="s">
        <v>184</v>
      </c>
      <c r="F1467" s="32">
        <v>41001536</v>
      </c>
      <c r="G1467" s="32" t="s">
        <v>371</v>
      </c>
      <c r="H1467" s="26" t="s">
        <v>38</v>
      </c>
      <c r="I1467" s="36">
        <v>140</v>
      </c>
      <c r="J1467" s="32">
        <f>IF(MB25_VOLUMETRIA[[#This Row],[Reserva]]="","",1)</f>
        <v>1</v>
      </c>
      <c r="K1467" s="36" t="str">
        <f>IF(MB25_VOLUMETRIA[[#This Row],[Reserva]]="","",IFERROR(VLOOKUP(MB25_VOLUMETRIA[[#This Row],[UMB]],CHAVE[],2,FALSE),"VERIFICAR"))</f>
        <v>Unidade</v>
      </c>
      <c r="L14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7" s="32" t="str">
        <f ca="1">IFERROR(VLOOKUP(MB25_VOLUMETRIA[[#This Row],[Reserva]],RES_AB[],14,FALSE),"")</f>
        <v>PLANO DO DIA</v>
      </c>
      <c r="N1467" s="32" t="str">
        <f>IF(MB25_VOLUMETRIA[[#This Row],[Cen.]]="","",IFERROR(VLOOKUP(MB25_VOLUMETRIA[[#This Row],[Cen.]],Dados_Empresas[],2,FALSE),"Verificar empresa"))</f>
        <v>NET MASSIVO</v>
      </c>
      <c r="O1467" s="32" t="str">
        <f>IF(MB25_VOLUMETRIA[[#This Row],[EMPRESA]]="","",IF(OR(MB25_VOLUMETRIA[[#This Row],[EMPRESA]]="NET MASSIVO",MB25_VOLUMETRIA[[#This Row],[EMPRESA]]="NET PROJETOS"),"NET","EMPRESARIAL"))</f>
        <v>NET</v>
      </c>
    </row>
    <row r="1468" spans="1:15" x14ac:dyDescent="0.25">
      <c r="A1468" s="32">
        <v>4382458</v>
      </c>
      <c r="B1468" s="32" t="s">
        <v>21</v>
      </c>
      <c r="C1468" s="33" t="s">
        <v>21</v>
      </c>
      <c r="D1468" s="35">
        <v>45448</v>
      </c>
      <c r="E1468" s="32" t="s">
        <v>184</v>
      </c>
      <c r="F1468" s="32">
        <v>41001553</v>
      </c>
      <c r="G1468" s="32" t="s">
        <v>295</v>
      </c>
      <c r="H1468" s="26" t="s">
        <v>38</v>
      </c>
      <c r="I1468" s="36">
        <v>140</v>
      </c>
      <c r="J1468" s="32">
        <f>IF(MB25_VOLUMETRIA[[#This Row],[Reserva]]="","",1)</f>
        <v>1</v>
      </c>
      <c r="K1468" s="36" t="str">
        <f>IF(MB25_VOLUMETRIA[[#This Row],[Reserva]]="","",IFERROR(VLOOKUP(MB25_VOLUMETRIA[[#This Row],[UMB]],CHAVE[],2,FALSE),"VERIFICAR"))</f>
        <v>Unidade</v>
      </c>
      <c r="L14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8" s="32" t="str">
        <f ca="1">IFERROR(VLOOKUP(MB25_VOLUMETRIA[[#This Row],[Reserva]],RES_AB[],14,FALSE),"")</f>
        <v>PLANO DO DIA</v>
      </c>
      <c r="N1468" s="32" t="str">
        <f>IF(MB25_VOLUMETRIA[[#This Row],[Cen.]]="","",IFERROR(VLOOKUP(MB25_VOLUMETRIA[[#This Row],[Cen.]],Dados_Empresas[],2,FALSE),"Verificar empresa"))</f>
        <v>NET MASSIVO</v>
      </c>
      <c r="O1468" s="32" t="str">
        <f>IF(MB25_VOLUMETRIA[[#This Row],[EMPRESA]]="","",IF(OR(MB25_VOLUMETRIA[[#This Row],[EMPRESA]]="NET MASSIVO",MB25_VOLUMETRIA[[#This Row],[EMPRESA]]="NET PROJETOS"),"NET","EMPRESARIAL"))</f>
        <v>NET</v>
      </c>
    </row>
    <row r="1469" spans="1:15" x14ac:dyDescent="0.25">
      <c r="A1469" s="32">
        <v>4382459</v>
      </c>
      <c r="B1469" s="32" t="s">
        <v>21</v>
      </c>
      <c r="C1469" s="33" t="s">
        <v>19</v>
      </c>
      <c r="D1469" s="35">
        <v>45448</v>
      </c>
      <c r="E1469" s="32" t="s">
        <v>185</v>
      </c>
      <c r="F1469" s="32">
        <v>22025241</v>
      </c>
      <c r="G1469" s="32" t="s">
        <v>212</v>
      </c>
      <c r="H1469" s="26" t="s">
        <v>38</v>
      </c>
      <c r="I1469" s="36">
        <v>100</v>
      </c>
      <c r="J1469" s="32">
        <f>IF(MB25_VOLUMETRIA[[#This Row],[Reserva]]="","",1)</f>
        <v>1</v>
      </c>
      <c r="K1469" s="36" t="str">
        <f>IF(MB25_VOLUMETRIA[[#This Row],[Reserva]]="","",IFERROR(VLOOKUP(MB25_VOLUMETRIA[[#This Row],[UMB]],CHAVE[],2,FALSE),"VERIFICAR"))</f>
        <v>Unidade</v>
      </c>
      <c r="L14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69" s="32" t="str">
        <f ca="1">IFERROR(VLOOKUP(MB25_VOLUMETRIA[[#This Row],[Reserva]],RES_AB[],14,FALSE),"")</f>
        <v>PLANO DO DIA</v>
      </c>
      <c r="N1469" s="32" t="str">
        <f>IF(MB25_VOLUMETRIA[[#This Row],[Cen.]]="","",IFERROR(VLOOKUP(MB25_VOLUMETRIA[[#This Row],[Cen.]],Dados_Empresas[],2,FALSE),"Verificar empresa"))</f>
        <v>NET MASSIVO</v>
      </c>
      <c r="O1469" s="32" t="str">
        <f>IF(MB25_VOLUMETRIA[[#This Row],[EMPRESA]]="","",IF(OR(MB25_VOLUMETRIA[[#This Row],[EMPRESA]]="NET MASSIVO",MB25_VOLUMETRIA[[#This Row],[EMPRESA]]="NET PROJETOS"),"NET","EMPRESARIAL"))</f>
        <v>NET</v>
      </c>
    </row>
    <row r="1470" spans="1:15" x14ac:dyDescent="0.25">
      <c r="A1470" s="32">
        <v>4382459</v>
      </c>
      <c r="B1470" s="32" t="s">
        <v>21</v>
      </c>
      <c r="C1470" s="33" t="s">
        <v>21</v>
      </c>
      <c r="D1470" s="35">
        <v>45448</v>
      </c>
      <c r="E1470" s="32" t="s">
        <v>185</v>
      </c>
      <c r="F1470" s="32">
        <v>22026265</v>
      </c>
      <c r="G1470" s="32" t="s">
        <v>222</v>
      </c>
      <c r="H1470" s="26" t="s">
        <v>38</v>
      </c>
      <c r="I1470" s="36">
        <v>1000</v>
      </c>
      <c r="J1470" s="32">
        <f>IF(MB25_VOLUMETRIA[[#This Row],[Reserva]]="","",1)</f>
        <v>1</v>
      </c>
      <c r="K1470" s="36" t="str">
        <f>IF(MB25_VOLUMETRIA[[#This Row],[Reserva]]="","",IFERROR(VLOOKUP(MB25_VOLUMETRIA[[#This Row],[UMB]],CHAVE[],2,FALSE),"VERIFICAR"))</f>
        <v>Unidade</v>
      </c>
      <c r="L14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0" s="32" t="str">
        <f ca="1">IFERROR(VLOOKUP(MB25_VOLUMETRIA[[#This Row],[Reserva]],RES_AB[],14,FALSE),"")</f>
        <v>PLANO DO DIA</v>
      </c>
      <c r="N1470" s="32" t="str">
        <f>IF(MB25_VOLUMETRIA[[#This Row],[Cen.]]="","",IFERROR(VLOOKUP(MB25_VOLUMETRIA[[#This Row],[Cen.]],Dados_Empresas[],2,FALSE),"Verificar empresa"))</f>
        <v>NET MASSIVO</v>
      </c>
      <c r="O1470" s="32" t="str">
        <f>IF(MB25_VOLUMETRIA[[#This Row],[EMPRESA]]="","",IF(OR(MB25_VOLUMETRIA[[#This Row],[EMPRESA]]="NET MASSIVO",MB25_VOLUMETRIA[[#This Row],[EMPRESA]]="NET PROJETOS"),"NET","EMPRESARIAL"))</f>
        <v>NET</v>
      </c>
    </row>
    <row r="1471" spans="1:15" x14ac:dyDescent="0.25">
      <c r="A1471" s="32">
        <v>4382459</v>
      </c>
      <c r="B1471" s="32" t="s">
        <v>21</v>
      </c>
      <c r="C1471" s="33" t="s">
        <v>21</v>
      </c>
      <c r="D1471" s="35">
        <v>45448</v>
      </c>
      <c r="E1471" s="32" t="s">
        <v>185</v>
      </c>
      <c r="F1471" s="32">
        <v>22056334</v>
      </c>
      <c r="G1471" s="32" t="s">
        <v>321</v>
      </c>
      <c r="H1471" s="26" t="s">
        <v>38</v>
      </c>
      <c r="I1471" s="36">
        <v>100</v>
      </c>
      <c r="J1471" s="32">
        <f>IF(MB25_VOLUMETRIA[[#This Row],[Reserva]]="","",1)</f>
        <v>1</v>
      </c>
      <c r="K1471" s="36" t="str">
        <f>IF(MB25_VOLUMETRIA[[#This Row],[Reserva]]="","",IFERROR(VLOOKUP(MB25_VOLUMETRIA[[#This Row],[UMB]],CHAVE[],2,FALSE),"VERIFICAR"))</f>
        <v>Unidade</v>
      </c>
      <c r="L14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1" s="32" t="str">
        <f ca="1">IFERROR(VLOOKUP(MB25_VOLUMETRIA[[#This Row],[Reserva]],RES_AB[],14,FALSE),"")</f>
        <v>PLANO DO DIA</v>
      </c>
      <c r="N1471" s="32" t="str">
        <f>IF(MB25_VOLUMETRIA[[#This Row],[Cen.]]="","",IFERROR(VLOOKUP(MB25_VOLUMETRIA[[#This Row],[Cen.]],Dados_Empresas[],2,FALSE),"Verificar empresa"))</f>
        <v>NET MASSIVO</v>
      </c>
      <c r="O1471" s="32" t="str">
        <f>IF(MB25_VOLUMETRIA[[#This Row],[EMPRESA]]="","",IF(OR(MB25_VOLUMETRIA[[#This Row],[EMPRESA]]="NET MASSIVO",MB25_VOLUMETRIA[[#This Row],[EMPRESA]]="NET PROJETOS"),"NET","EMPRESARIAL"))</f>
        <v>NET</v>
      </c>
    </row>
    <row r="1472" spans="1:15" x14ac:dyDescent="0.25">
      <c r="A1472" s="32">
        <v>4382459</v>
      </c>
      <c r="B1472" s="32" t="s">
        <v>21</v>
      </c>
      <c r="C1472" s="33" t="s">
        <v>21</v>
      </c>
      <c r="D1472" s="35">
        <v>45448</v>
      </c>
      <c r="E1472" s="32" t="s">
        <v>185</v>
      </c>
      <c r="F1472" s="32">
        <v>22065726</v>
      </c>
      <c r="G1472" s="32" t="s">
        <v>251</v>
      </c>
      <c r="H1472" s="26" t="s">
        <v>38</v>
      </c>
      <c r="I1472" s="36">
        <v>100</v>
      </c>
      <c r="J1472" s="32">
        <f>IF(MB25_VOLUMETRIA[[#This Row],[Reserva]]="","",1)</f>
        <v>1</v>
      </c>
      <c r="K1472" s="36" t="str">
        <f>IF(MB25_VOLUMETRIA[[#This Row],[Reserva]]="","",IFERROR(VLOOKUP(MB25_VOLUMETRIA[[#This Row],[UMB]],CHAVE[],2,FALSE),"VERIFICAR"))</f>
        <v>Unidade</v>
      </c>
      <c r="L14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2" s="32" t="str">
        <f ca="1">IFERROR(VLOOKUP(MB25_VOLUMETRIA[[#This Row],[Reserva]],RES_AB[],14,FALSE),"")</f>
        <v>PLANO DO DIA</v>
      </c>
      <c r="N1472" s="32" t="str">
        <f>IF(MB25_VOLUMETRIA[[#This Row],[Cen.]]="","",IFERROR(VLOOKUP(MB25_VOLUMETRIA[[#This Row],[Cen.]],Dados_Empresas[],2,FALSE),"Verificar empresa"))</f>
        <v>NET MASSIVO</v>
      </c>
      <c r="O1472" s="32" t="str">
        <f>IF(MB25_VOLUMETRIA[[#This Row],[EMPRESA]]="","",IF(OR(MB25_VOLUMETRIA[[#This Row],[EMPRESA]]="NET MASSIVO",MB25_VOLUMETRIA[[#This Row],[EMPRESA]]="NET PROJETOS"),"NET","EMPRESARIAL"))</f>
        <v>NET</v>
      </c>
    </row>
    <row r="1473" spans="1:15" x14ac:dyDescent="0.25">
      <c r="A1473" s="32">
        <v>4382460</v>
      </c>
      <c r="B1473" s="32" t="s">
        <v>21</v>
      </c>
      <c r="C1473" s="33" t="s">
        <v>182</v>
      </c>
      <c r="D1473" s="35">
        <v>45448</v>
      </c>
      <c r="E1473" s="32" t="s">
        <v>184</v>
      </c>
      <c r="F1473" s="32">
        <v>41001530</v>
      </c>
      <c r="G1473" s="32" t="s">
        <v>319</v>
      </c>
      <c r="H1473" s="26" t="s">
        <v>38</v>
      </c>
      <c r="I1473" s="36">
        <v>90</v>
      </c>
      <c r="J1473" s="32">
        <f>IF(MB25_VOLUMETRIA[[#This Row],[Reserva]]="","",1)</f>
        <v>1</v>
      </c>
      <c r="K1473" s="36" t="str">
        <f>IF(MB25_VOLUMETRIA[[#This Row],[Reserva]]="","",IFERROR(VLOOKUP(MB25_VOLUMETRIA[[#This Row],[UMB]],CHAVE[],2,FALSE),"VERIFICAR"))</f>
        <v>Unidade</v>
      </c>
      <c r="L14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3" s="32" t="str">
        <f ca="1">IFERROR(VLOOKUP(MB25_VOLUMETRIA[[#This Row],[Reserva]],RES_AB[],14,FALSE),"")</f>
        <v>PLANO DO DIA</v>
      </c>
      <c r="N1473" s="32" t="str">
        <f>IF(MB25_VOLUMETRIA[[#This Row],[Cen.]]="","",IFERROR(VLOOKUP(MB25_VOLUMETRIA[[#This Row],[Cen.]],Dados_Empresas[],2,FALSE),"Verificar empresa"))</f>
        <v>NET MASSIVO</v>
      </c>
      <c r="O1473" s="32" t="str">
        <f>IF(MB25_VOLUMETRIA[[#This Row],[EMPRESA]]="","",IF(OR(MB25_VOLUMETRIA[[#This Row],[EMPRESA]]="NET MASSIVO",MB25_VOLUMETRIA[[#This Row],[EMPRESA]]="NET PROJETOS"),"NET","EMPRESARIAL"))</f>
        <v>NET</v>
      </c>
    </row>
    <row r="1474" spans="1:15" x14ac:dyDescent="0.25">
      <c r="A1474" s="32">
        <v>4382460</v>
      </c>
      <c r="B1474" s="32" t="s">
        <v>21</v>
      </c>
      <c r="C1474" s="33" t="s">
        <v>21</v>
      </c>
      <c r="D1474" s="35">
        <v>45448</v>
      </c>
      <c r="E1474" s="32" t="s">
        <v>184</v>
      </c>
      <c r="F1474" s="32">
        <v>41001552</v>
      </c>
      <c r="G1474" s="32" t="s">
        <v>336</v>
      </c>
      <c r="H1474" s="26" t="s">
        <v>38</v>
      </c>
      <c r="I1474" s="36">
        <v>90</v>
      </c>
      <c r="J1474" s="32">
        <f>IF(MB25_VOLUMETRIA[[#This Row],[Reserva]]="","",1)</f>
        <v>1</v>
      </c>
      <c r="K1474" s="36" t="str">
        <f>IF(MB25_VOLUMETRIA[[#This Row],[Reserva]]="","",IFERROR(VLOOKUP(MB25_VOLUMETRIA[[#This Row],[UMB]],CHAVE[],2,FALSE),"VERIFICAR"))</f>
        <v>Unidade</v>
      </c>
      <c r="L14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4" s="32" t="str">
        <f ca="1">IFERROR(VLOOKUP(MB25_VOLUMETRIA[[#This Row],[Reserva]],RES_AB[],14,FALSE),"")</f>
        <v>PLANO DO DIA</v>
      </c>
      <c r="N1474" s="32" t="str">
        <f>IF(MB25_VOLUMETRIA[[#This Row],[Cen.]]="","",IFERROR(VLOOKUP(MB25_VOLUMETRIA[[#This Row],[Cen.]],Dados_Empresas[],2,FALSE),"Verificar empresa"))</f>
        <v>NET MASSIVO</v>
      </c>
      <c r="O1474" s="32" t="str">
        <f>IF(MB25_VOLUMETRIA[[#This Row],[EMPRESA]]="","",IF(OR(MB25_VOLUMETRIA[[#This Row],[EMPRESA]]="NET MASSIVO",MB25_VOLUMETRIA[[#This Row],[EMPRESA]]="NET PROJETOS"),"NET","EMPRESARIAL"))</f>
        <v>NET</v>
      </c>
    </row>
    <row r="1475" spans="1:15" x14ac:dyDescent="0.25">
      <c r="A1475" s="32">
        <v>4382461</v>
      </c>
      <c r="B1475" s="32" t="s">
        <v>21</v>
      </c>
      <c r="C1475" s="33" t="s">
        <v>21</v>
      </c>
      <c r="D1475" s="35">
        <v>45448</v>
      </c>
      <c r="E1475" s="32" t="s">
        <v>184</v>
      </c>
      <c r="F1475" s="32">
        <v>41001536</v>
      </c>
      <c r="G1475" s="32" t="s">
        <v>371</v>
      </c>
      <c r="H1475" s="26" t="s">
        <v>38</v>
      </c>
      <c r="I1475" s="36">
        <v>140</v>
      </c>
      <c r="J1475" s="32">
        <f>IF(MB25_VOLUMETRIA[[#This Row],[Reserva]]="","",1)</f>
        <v>1</v>
      </c>
      <c r="K1475" s="36" t="str">
        <f>IF(MB25_VOLUMETRIA[[#This Row],[Reserva]]="","",IFERROR(VLOOKUP(MB25_VOLUMETRIA[[#This Row],[UMB]],CHAVE[],2,FALSE),"VERIFICAR"))</f>
        <v>Unidade</v>
      </c>
      <c r="L14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5" s="32" t="str">
        <f ca="1">IFERROR(VLOOKUP(MB25_VOLUMETRIA[[#This Row],[Reserva]],RES_AB[],14,FALSE),"")</f>
        <v>PLANO DO DIA</v>
      </c>
      <c r="N1475" s="32" t="str">
        <f>IF(MB25_VOLUMETRIA[[#This Row],[Cen.]]="","",IFERROR(VLOOKUP(MB25_VOLUMETRIA[[#This Row],[Cen.]],Dados_Empresas[],2,FALSE),"Verificar empresa"))</f>
        <v>NET MASSIVO</v>
      </c>
      <c r="O1475" s="32" t="str">
        <f>IF(MB25_VOLUMETRIA[[#This Row],[EMPRESA]]="","",IF(OR(MB25_VOLUMETRIA[[#This Row],[EMPRESA]]="NET MASSIVO",MB25_VOLUMETRIA[[#This Row],[EMPRESA]]="NET PROJETOS"),"NET","EMPRESARIAL"))</f>
        <v>NET</v>
      </c>
    </row>
    <row r="1476" spans="1:15" x14ac:dyDescent="0.25">
      <c r="A1476" s="32">
        <v>4382461</v>
      </c>
      <c r="B1476" s="32" t="s">
        <v>21</v>
      </c>
      <c r="C1476" s="33" t="s">
        <v>21</v>
      </c>
      <c r="D1476" s="35">
        <v>45448</v>
      </c>
      <c r="E1476" s="32" t="s">
        <v>184</v>
      </c>
      <c r="F1476" s="32">
        <v>41001553</v>
      </c>
      <c r="G1476" s="32" t="s">
        <v>295</v>
      </c>
      <c r="H1476" s="26" t="s">
        <v>38</v>
      </c>
      <c r="I1476" s="36">
        <v>200</v>
      </c>
      <c r="J1476" s="32">
        <f>IF(MB25_VOLUMETRIA[[#This Row],[Reserva]]="","",1)</f>
        <v>1</v>
      </c>
      <c r="K1476" s="36" t="str">
        <f>IF(MB25_VOLUMETRIA[[#This Row],[Reserva]]="","",IFERROR(VLOOKUP(MB25_VOLUMETRIA[[#This Row],[UMB]],CHAVE[],2,FALSE),"VERIFICAR"))</f>
        <v>Unidade</v>
      </c>
      <c r="L14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6" s="32" t="str">
        <f ca="1">IFERROR(VLOOKUP(MB25_VOLUMETRIA[[#This Row],[Reserva]],RES_AB[],14,FALSE),"")</f>
        <v>PLANO DO DIA</v>
      </c>
      <c r="N1476" s="32" t="str">
        <f>IF(MB25_VOLUMETRIA[[#This Row],[Cen.]]="","",IFERROR(VLOOKUP(MB25_VOLUMETRIA[[#This Row],[Cen.]],Dados_Empresas[],2,FALSE),"Verificar empresa"))</f>
        <v>NET MASSIVO</v>
      </c>
      <c r="O1476" s="32" t="str">
        <f>IF(MB25_VOLUMETRIA[[#This Row],[EMPRESA]]="","",IF(OR(MB25_VOLUMETRIA[[#This Row],[EMPRESA]]="NET MASSIVO",MB25_VOLUMETRIA[[#This Row],[EMPRESA]]="NET PROJETOS"),"NET","EMPRESARIAL"))</f>
        <v>NET</v>
      </c>
    </row>
    <row r="1477" spans="1:15" x14ac:dyDescent="0.25">
      <c r="A1477" s="32">
        <v>4382462</v>
      </c>
      <c r="B1477" s="32" t="s">
        <v>21</v>
      </c>
      <c r="C1477" s="33" t="s">
        <v>182</v>
      </c>
      <c r="D1477" s="35">
        <v>45448</v>
      </c>
      <c r="E1477" s="32" t="s">
        <v>184</v>
      </c>
      <c r="F1477" s="32">
        <v>41001530</v>
      </c>
      <c r="G1477" s="32" t="s">
        <v>319</v>
      </c>
      <c r="H1477" s="26" t="s">
        <v>38</v>
      </c>
      <c r="I1477" s="36">
        <v>30</v>
      </c>
      <c r="J1477" s="32">
        <f>IF(MB25_VOLUMETRIA[[#This Row],[Reserva]]="","",1)</f>
        <v>1</v>
      </c>
      <c r="K1477" s="36" t="str">
        <f>IF(MB25_VOLUMETRIA[[#This Row],[Reserva]]="","",IFERROR(VLOOKUP(MB25_VOLUMETRIA[[#This Row],[UMB]],CHAVE[],2,FALSE),"VERIFICAR"))</f>
        <v>Unidade</v>
      </c>
      <c r="L14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7" s="32" t="str">
        <f ca="1">IFERROR(VLOOKUP(MB25_VOLUMETRIA[[#This Row],[Reserva]],RES_AB[],14,FALSE),"")</f>
        <v>PLANO DO DIA</v>
      </c>
      <c r="N1477" s="32" t="str">
        <f>IF(MB25_VOLUMETRIA[[#This Row],[Cen.]]="","",IFERROR(VLOOKUP(MB25_VOLUMETRIA[[#This Row],[Cen.]],Dados_Empresas[],2,FALSE),"Verificar empresa"))</f>
        <v>NET MASSIVO</v>
      </c>
      <c r="O1477" s="32" t="str">
        <f>IF(MB25_VOLUMETRIA[[#This Row],[EMPRESA]]="","",IF(OR(MB25_VOLUMETRIA[[#This Row],[EMPRESA]]="NET MASSIVO",MB25_VOLUMETRIA[[#This Row],[EMPRESA]]="NET PROJETOS"),"NET","EMPRESARIAL"))</f>
        <v>NET</v>
      </c>
    </row>
    <row r="1478" spans="1:15" x14ac:dyDescent="0.25">
      <c r="A1478" s="32">
        <v>4382462</v>
      </c>
      <c r="B1478" s="32" t="s">
        <v>21</v>
      </c>
      <c r="C1478" s="33" t="s">
        <v>21</v>
      </c>
      <c r="D1478" s="35">
        <v>45448</v>
      </c>
      <c r="E1478" s="32" t="s">
        <v>184</v>
      </c>
      <c r="F1478" s="32">
        <v>41001536</v>
      </c>
      <c r="G1478" s="32" t="s">
        <v>371</v>
      </c>
      <c r="H1478" s="26" t="s">
        <v>38</v>
      </c>
      <c r="I1478" s="36">
        <v>280</v>
      </c>
      <c r="J1478" s="32">
        <f>IF(MB25_VOLUMETRIA[[#This Row],[Reserva]]="","",1)</f>
        <v>1</v>
      </c>
      <c r="K1478" s="36" t="str">
        <f>IF(MB25_VOLUMETRIA[[#This Row],[Reserva]]="","",IFERROR(VLOOKUP(MB25_VOLUMETRIA[[#This Row],[UMB]],CHAVE[],2,FALSE),"VERIFICAR"))</f>
        <v>Unidade</v>
      </c>
      <c r="L14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8" s="32" t="str">
        <f ca="1">IFERROR(VLOOKUP(MB25_VOLUMETRIA[[#This Row],[Reserva]],RES_AB[],14,FALSE),"")</f>
        <v>PLANO DO DIA</v>
      </c>
      <c r="N1478" s="32" t="str">
        <f>IF(MB25_VOLUMETRIA[[#This Row],[Cen.]]="","",IFERROR(VLOOKUP(MB25_VOLUMETRIA[[#This Row],[Cen.]],Dados_Empresas[],2,FALSE),"Verificar empresa"))</f>
        <v>NET MASSIVO</v>
      </c>
      <c r="O1478" s="32" t="str">
        <f>IF(MB25_VOLUMETRIA[[#This Row],[EMPRESA]]="","",IF(OR(MB25_VOLUMETRIA[[#This Row],[EMPRESA]]="NET MASSIVO",MB25_VOLUMETRIA[[#This Row],[EMPRESA]]="NET PROJETOS"),"NET","EMPRESARIAL"))</f>
        <v>NET</v>
      </c>
    </row>
    <row r="1479" spans="1:15" x14ac:dyDescent="0.25">
      <c r="A1479" s="32">
        <v>4382462</v>
      </c>
      <c r="B1479" s="32" t="s">
        <v>21</v>
      </c>
      <c r="C1479" s="33" t="s">
        <v>21</v>
      </c>
      <c r="D1479" s="35">
        <v>45448</v>
      </c>
      <c r="E1479" s="32" t="s">
        <v>184</v>
      </c>
      <c r="F1479" s="32">
        <v>41001553</v>
      </c>
      <c r="G1479" s="32" t="s">
        <v>295</v>
      </c>
      <c r="H1479" s="26" t="s">
        <v>38</v>
      </c>
      <c r="I1479" s="36">
        <v>130</v>
      </c>
      <c r="J1479" s="32">
        <f>IF(MB25_VOLUMETRIA[[#This Row],[Reserva]]="","",1)</f>
        <v>1</v>
      </c>
      <c r="K1479" s="36" t="str">
        <f>IF(MB25_VOLUMETRIA[[#This Row],[Reserva]]="","",IFERROR(VLOOKUP(MB25_VOLUMETRIA[[#This Row],[UMB]],CHAVE[],2,FALSE),"VERIFICAR"))</f>
        <v>Unidade</v>
      </c>
      <c r="L14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79" s="32" t="str">
        <f ca="1">IFERROR(VLOOKUP(MB25_VOLUMETRIA[[#This Row],[Reserva]],RES_AB[],14,FALSE),"")</f>
        <v>PLANO DO DIA</v>
      </c>
      <c r="N1479" s="32" t="str">
        <f>IF(MB25_VOLUMETRIA[[#This Row],[Cen.]]="","",IFERROR(VLOOKUP(MB25_VOLUMETRIA[[#This Row],[Cen.]],Dados_Empresas[],2,FALSE),"Verificar empresa"))</f>
        <v>NET MASSIVO</v>
      </c>
      <c r="O1479" s="32" t="str">
        <f>IF(MB25_VOLUMETRIA[[#This Row],[EMPRESA]]="","",IF(OR(MB25_VOLUMETRIA[[#This Row],[EMPRESA]]="NET MASSIVO",MB25_VOLUMETRIA[[#This Row],[EMPRESA]]="NET PROJETOS"),"NET","EMPRESARIAL"))</f>
        <v>NET</v>
      </c>
    </row>
    <row r="1480" spans="1:15" x14ac:dyDescent="0.25">
      <c r="A1480" s="32">
        <v>4382463</v>
      </c>
      <c r="B1480" s="32" t="s">
        <v>21</v>
      </c>
      <c r="C1480" s="33" t="s">
        <v>21</v>
      </c>
      <c r="D1480" s="35">
        <v>45448</v>
      </c>
      <c r="E1480" s="32" t="s">
        <v>185</v>
      </c>
      <c r="F1480" s="32">
        <v>22026223</v>
      </c>
      <c r="G1480" s="32" t="s">
        <v>195</v>
      </c>
      <c r="H1480" s="26" t="s">
        <v>38</v>
      </c>
      <c r="I1480" s="36">
        <v>305</v>
      </c>
      <c r="J1480" s="32">
        <f>IF(MB25_VOLUMETRIA[[#This Row],[Reserva]]="","",1)</f>
        <v>1</v>
      </c>
      <c r="K1480" s="36" t="str">
        <f>IF(MB25_VOLUMETRIA[[#This Row],[Reserva]]="","",IFERROR(VLOOKUP(MB25_VOLUMETRIA[[#This Row],[UMB]],CHAVE[],2,FALSE),"VERIFICAR"))</f>
        <v>Unidade</v>
      </c>
      <c r="L14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0" s="32" t="str">
        <f ca="1">IFERROR(VLOOKUP(MB25_VOLUMETRIA[[#This Row],[Reserva]],RES_AB[],14,FALSE),"")</f>
        <v>PLANO DO DIA</v>
      </c>
      <c r="N1480" s="32" t="str">
        <f>IF(MB25_VOLUMETRIA[[#This Row],[Cen.]]="","",IFERROR(VLOOKUP(MB25_VOLUMETRIA[[#This Row],[Cen.]],Dados_Empresas[],2,FALSE),"Verificar empresa"))</f>
        <v>NET MASSIVO</v>
      </c>
      <c r="O1480" s="32" t="str">
        <f>IF(MB25_VOLUMETRIA[[#This Row],[EMPRESA]]="","",IF(OR(MB25_VOLUMETRIA[[#This Row],[EMPRESA]]="NET MASSIVO",MB25_VOLUMETRIA[[#This Row],[EMPRESA]]="NET PROJETOS"),"NET","EMPRESARIAL"))</f>
        <v>NET</v>
      </c>
    </row>
    <row r="1481" spans="1:15" x14ac:dyDescent="0.25">
      <c r="A1481" s="32">
        <v>4382463</v>
      </c>
      <c r="B1481" s="32" t="s">
        <v>21</v>
      </c>
      <c r="C1481" s="33" t="s">
        <v>21</v>
      </c>
      <c r="D1481" s="35">
        <v>45448</v>
      </c>
      <c r="E1481" s="32" t="s">
        <v>185</v>
      </c>
      <c r="F1481" s="32">
        <v>22026809</v>
      </c>
      <c r="G1481" s="32" t="s">
        <v>231</v>
      </c>
      <c r="H1481" s="26" t="s">
        <v>38</v>
      </c>
      <c r="I1481" s="36">
        <v>100</v>
      </c>
      <c r="J1481" s="32">
        <f>IF(MB25_VOLUMETRIA[[#This Row],[Reserva]]="","",1)</f>
        <v>1</v>
      </c>
      <c r="K1481" s="36" t="str">
        <f>IF(MB25_VOLUMETRIA[[#This Row],[Reserva]]="","",IFERROR(VLOOKUP(MB25_VOLUMETRIA[[#This Row],[UMB]],CHAVE[],2,FALSE),"VERIFICAR"))</f>
        <v>Unidade</v>
      </c>
      <c r="L14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1" s="32" t="str">
        <f ca="1">IFERROR(VLOOKUP(MB25_VOLUMETRIA[[#This Row],[Reserva]],RES_AB[],14,FALSE),"")</f>
        <v>PLANO DO DIA</v>
      </c>
      <c r="N1481" s="32" t="str">
        <f>IF(MB25_VOLUMETRIA[[#This Row],[Cen.]]="","",IFERROR(VLOOKUP(MB25_VOLUMETRIA[[#This Row],[Cen.]],Dados_Empresas[],2,FALSE),"Verificar empresa"))</f>
        <v>NET MASSIVO</v>
      </c>
      <c r="O1481" s="32" t="str">
        <f>IF(MB25_VOLUMETRIA[[#This Row],[EMPRESA]]="","",IF(OR(MB25_VOLUMETRIA[[#This Row],[EMPRESA]]="NET MASSIVO",MB25_VOLUMETRIA[[#This Row],[EMPRESA]]="NET PROJETOS"),"NET","EMPRESARIAL"))</f>
        <v>NET</v>
      </c>
    </row>
    <row r="1482" spans="1:15" x14ac:dyDescent="0.25">
      <c r="A1482" s="32">
        <v>4382463</v>
      </c>
      <c r="B1482" s="32" t="s">
        <v>21</v>
      </c>
      <c r="C1482" s="33" t="s">
        <v>21</v>
      </c>
      <c r="D1482" s="35">
        <v>45448</v>
      </c>
      <c r="E1482" s="32" t="s">
        <v>185</v>
      </c>
      <c r="F1482" s="32">
        <v>22056366</v>
      </c>
      <c r="G1482" s="32" t="s">
        <v>237</v>
      </c>
      <c r="H1482" s="26" t="s">
        <v>38</v>
      </c>
      <c r="I1482" s="36">
        <v>20</v>
      </c>
      <c r="J1482" s="32">
        <f>IF(MB25_VOLUMETRIA[[#This Row],[Reserva]]="","",1)</f>
        <v>1</v>
      </c>
      <c r="K1482" s="36" t="str">
        <f>IF(MB25_VOLUMETRIA[[#This Row],[Reserva]]="","",IFERROR(VLOOKUP(MB25_VOLUMETRIA[[#This Row],[UMB]],CHAVE[],2,FALSE),"VERIFICAR"))</f>
        <v>Unidade</v>
      </c>
      <c r="L14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2" s="32" t="str">
        <f ca="1">IFERROR(VLOOKUP(MB25_VOLUMETRIA[[#This Row],[Reserva]],RES_AB[],14,FALSE),"")</f>
        <v>PLANO DO DIA</v>
      </c>
      <c r="N1482" s="32" t="str">
        <f>IF(MB25_VOLUMETRIA[[#This Row],[Cen.]]="","",IFERROR(VLOOKUP(MB25_VOLUMETRIA[[#This Row],[Cen.]],Dados_Empresas[],2,FALSE),"Verificar empresa"))</f>
        <v>NET MASSIVO</v>
      </c>
      <c r="O1482" s="32" t="str">
        <f>IF(MB25_VOLUMETRIA[[#This Row],[EMPRESA]]="","",IF(OR(MB25_VOLUMETRIA[[#This Row],[EMPRESA]]="NET MASSIVO",MB25_VOLUMETRIA[[#This Row],[EMPRESA]]="NET PROJETOS"),"NET","EMPRESARIAL"))</f>
        <v>NET</v>
      </c>
    </row>
    <row r="1483" spans="1:15" x14ac:dyDescent="0.25">
      <c r="A1483" s="32">
        <v>4382464</v>
      </c>
      <c r="B1483" s="32" t="s">
        <v>21</v>
      </c>
      <c r="C1483" s="33" t="s">
        <v>19</v>
      </c>
      <c r="D1483" s="35">
        <v>45448</v>
      </c>
      <c r="E1483" s="32" t="s">
        <v>192</v>
      </c>
      <c r="F1483" s="32">
        <v>41001481</v>
      </c>
      <c r="G1483" s="32" t="s">
        <v>403</v>
      </c>
      <c r="H1483" s="26" t="s">
        <v>38</v>
      </c>
      <c r="I1483" s="36">
        <v>60</v>
      </c>
      <c r="J1483" s="32">
        <f>IF(MB25_VOLUMETRIA[[#This Row],[Reserva]]="","",1)</f>
        <v>1</v>
      </c>
      <c r="K1483" s="36" t="str">
        <f>IF(MB25_VOLUMETRIA[[#This Row],[Reserva]]="","",IFERROR(VLOOKUP(MB25_VOLUMETRIA[[#This Row],[UMB]],CHAVE[],2,FALSE),"VERIFICAR"))</f>
        <v>Unidade</v>
      </c>
      <c r="L14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3" s="32" t="str">
        <f ca="1">IFERROR(VLOOKUP(MB25_VOLUMETRIA[[#This Row],[Reserva]],RES_AB[],14,FALSE),"")</f>
        <v>PLANO DO DIA</v>
      </c>
      <c r="N1483" s="32" t="str">
        <f>IF(MB25_VOLUMETRIA[[#This Row],[Cen.]]="","",IFERROR(VLOOKUP(MB25_VOLUMETRIA[[#This Row],[Cen.]],Dados_Empresas[],2,FALSE),"Verificar empresa"))</f>
        <v>NET MASSIVO</v>
      </c>
      <c r="O1483" s="32" t="str">
        <f>IF(MB25_VOLUMETRIA[[#This Row],[EMPRESA]]="","",IF(OR(MB25_VOLUMETRIA[[#This Row],[EMPRESA]]="NET MASSIVO",MB25_VOLUMETRIA[[#This Row],[EMPRESA]]="NET PROJETOS"),"NET","EMPRESARIAL"))</f>
        <v>NET</v>
      </c>
    </row>
    <row r="1484" spans="1:15" x14ac:dyDescent="0.25">
      <c r="A1484" s="32">
        <v>4382465</v>
      </c>
      <c r="B1484" s="32" t="s">
        <v>21</v>
      </c>
      <c r="C1484" s="33" t="s">
        <v>19</v>
      </c>
      <c r="D1484" s="35">
        <v>45448</v>
      </c>
      <c r="E1484" s="32" t="s">
        <v>185</v>
      </c>
      <c r="F1484" s="32">
        <v>22025116</v>
      </c>
      <c r="G1484" s="32" t="s">
        <v>362</v>
      </c>
      <c r="H1484" s="26" t="s">
        <v>38</v>
      </c>
      <c r="I1484" s="36">
        <v>20</v>
      </c>
      <c r="J1484" s="32">
        <f>IF(MB25_VOLUMETRIA[[#This Row],[Reserva]]="","",1)</f>
        <v>1</v>
      </c>
      <c r="K1484" s="36" t="str">
        <f>IF(MB25_VOLUMETRIA[[#This Row],[Reserva]]="","",IFERROR(VLOOKUP(MB25_VOLUMETRIA[[#This Row],[UMB]],CHAVE[],2,FALSE),"VERIFICAR"))</f>
        <v>Unidade</v>
      </c>
      <c r="L14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4" s="32" t="str">
        <f ca="1">IFERROR(VLOOKUP(MB25_VOLUMETRIA[[#This Row],[Reserva]],RES_AB[],14,FALSE),"")</f>
        <v>PLANO DO DIA</v>
      </c>
      <c r="N1484" s="32" t="str">
        <f>IF(MB25_VOLUMETRIA[[#This Row],[Cen.]]="","",IFERROR(VLOOKUP(MB25_VOLUMETRIA[[#This Row],[Cen.]],Dados_Empresas[],2,FALSE),"Verificar empresa"))</f>
        <v>NET MASSIVO</v>
      </c>
      <c r="O1484" s="32" t="str">
        <f>IF(MB25_VOLUMETRIA[[#This Row],[EMPRESA]]="","",IF(OR(MB25_VOLUMETRIA[[#This Row],[EMPRESA]]="NET MASSIVO",MB25_VOLUMETRIA[[#This Row],[EMPRESA]]="NET PROJETOS"),"NET","EMPRESARIAL"))</f>
        <v>NET</v>
      </c>
    </row>
    <row r="1485" spans="1:15" x14ac:dyDescent="0.25">
      <c r="A1485" s="32">
        <v>4382465</v>
      </c>
      <c r="B1485" s="32" t="s">
        <v>21</v>
      </c>
      <c r="C1485" s="33" t="s">
        <v>19</v>
      </c>
      <c r="D1485" s="35">
        <v>45448</v>
      </c>
      <c r="E1485" s="32" t="s">
        <v>185</v>
      </c>
      <c r="F1485" s="32">
        <v>22025241</v>
      </c>
      <c r="G1485" s="32" t="s">
        <v>212</v>
      </c>
      <c r="H1485" s="26" t="s">
        <v>38</v>
      </c>
      <c r="I1485" s="36">
        <v>25</v>
      </c>
      <c r="J1485" s="32">
        <f>IF(MB25_VOLUMETRIA[[#This Row],[Reserva]]="","",1)</f>
        <v>1</v>
      </c>
      <c r="K1485" s="36" t="str">
        <f>IF(MB25_VOLUMETRIA[[#This Row],[Reserva]]="","",IFERROR(VLOOKUP(MB25_VOLUMETRIA[[#This Row],[UMB]],CHAVE[],2,FALSE),"VERIFICAR"))</f>
        <v>Unidade</v>
      </c>
      <c r="L14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5" s="32" t="str">
        <f ca="1">IFERROR(VLOOKUP(MB25_VOLUMETRIA[[#This Row],[Reserva]],RES_AB[],14,FALSE),"")</f>
        <v>PLANO DO DIA</v>
      </c>
      <c r="N1485" s="32" t="str">
        <f>IF(MB25_VOLUMETRIA[[#This Row],[Cen.]]="","",IFERROR(VLOOKUP(MB25_VOLUMETRIA[[#This Row],[Cen.]],Dados_Empresas[],2,FALSE),"Verificar empresa"))</f>
        <v>NET MASSIVO</v>
      </c>
      <c r="O1485" s="32" t="str">
        <f>IF(MB25_VOLUMETRIA[[#This Row],[EMPRESA]]="","",IF(OR(MB25_VOLUMETRIA[[#This Row],[EMPRESA]]="NET MASSIVO",MB25_VOLUMETRIA[[#This Row],[EMPRESA]]="NET PROJETOS"),"NET","EMPRESARIAL"))</f>
        <v>NET</v>
      </c>
    </row>
    <row r="1486" spans="1:15" x14ac:dyDescent="0.25">
      <c r="A1486" s="32">
        <v>4382465</v>
      </c>
      <c r="B1486" s="32" t="s">
        <v>21</v>
      </c>
      <c r="C1486" s="33" t="s">
        <v>19</v>
      </c>
      <c r="D1486" s="35">
        <v>45448</v>
      </c>
      <c r="E1486" s="32" t="s">
        <v>185</v>
      </c>
      <c r="F1486" s="32">
        <v>22025321</v>
      </c>
      <c r="G1486" s="32" t="s">
        <v>220</v>
      </c>
      <c r="H1486" s="26" t="s">
        <v>38</v>
      </c>
      <c r="I1486" s="36">
        <v>10</v>
      </c>
      <c r="J1486" s="32">
        <f>IF(MB25_VOLUMETRIA[[#This Row],[Reserva]]="","",1)</f>
        <v>1</v>
      </c>
      <c r="K1486" s="36" t="str">
        <f>IF(MB25_VOLUMETRIA[[#This Row],[Reserva]]="","",IFERROR(VLOOKUP(MB25_VOLUMETRIA[[#This Row],[UMB]],CHAVE[],2,FALSE),"VERIFICAR"))</f>
        <v>Unidade</v>
      </c>
      <c r="L14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6" s="32" t="str">
        <f ca="1">IFERROR(VLOOKUP(MB25_VOLUMETRIA[[#This Row],[Reserva]],RES_AB[],14,FALSE),"")</f>
        <v>PLANO DO DIA</v>
      </c>
      <c r="N1486" s="32" t="str">
        <f>IF(MB25_VOLUMETRIA[[#This Row],[Cen.]]="","",IFERROR(VLOOKUP(MB25_VOLUMETRIA[[#This Row],[Cen.]],Dados_Empresas[],2,FALSE),"Verificar empresa"))</f>
        <v>NET MASSIVO</v>
      </c>
      <c r="O1486" s="32" t="str">
        <f>IF(MB25_VOLUMETRIA[[#This Row],[EMPRESA]]="","",IF(OR(MB25_VOLUMETRIA[[#This Row],[EMPRESA]]="NET MASSIVO",MB25_VOLUMETRIA[[#This Row],[EMPRESA]]="NET PROJETOS"),"NET","EMPRESARIAL"))</f>
        <v>NET</v>
      </c>
    </row>
    <row r="1487" spans="1:15" x14ac:dyDescent="0.25">
      <c r="A1487" s="32">
        <v>4382465</v>
      </c>
      <c r="B1487" s="32" t="s">
        <v>21</v>
      </c>
      <c r="C1487" s="33" t="s">
        <v>19</v>
      </c>
      <c r="D1487" s="35">
        <v>45448</v>
      </c>
      <c r="E1487" s="32" t="s">
        <v>185</v>
      </c>
      <c r="F1487" s="32">
        <v>22026149</v>
      </c>
      <c r="G1487" s="32" t="s">
        <v>340</v>
      </c>
      <c r="H1487" s="26" t="s">
        <v>38</v>
      </c>
      <c r="I1487" s="36">
        <v>100</v>
      </c>
      <c r="J1487" s="32">
        <f>IF(MB25_VOLUMETRIA[[#This Row],[Reserva]]="","",1)</f>
        <v>1</v>
      </c>
      <c r="K1487" s="36" t="str">
        <f>IF(MB25_VOLUMETRIA[[#This Row],[Reserva]]="","",IFERROR(VLOOKUP(MB25_VOLUMETRIA[[#This Row],[UMB]],CHAVE[],2,FALSE),"VERIFICAR"))</f>
        <v>Unidade</v>
      </c>
      <c r="L14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7" s="32" t="str">
        <f ca="1">IFERROR(VLOOKUP(MB25_VOLUMETRIA[[#This Row],[Reserva]],RES_AB[],14,FALSE),"")</f>
        <v>PLANO DO DIA</v>
      </c>
      <c r="N1487" s="32" t="str">
        <f>IF(MB25_VOLUMETRIA[[#This Row],[Cen.]]="","",IFERROR(VLOOKUP(MB25_VOLUMETRIA[[#This Row],[Cen.]],Dados_Empresas[],2,FALSE),"Verificar empresa"))</f>
        <v>NET MASSIVO</v>
      </c>
      <c r="O1487" s="32" t="str">
        <f>IF(MB25_VOLUMETRIA[[#This Row],[EMPRESA]]="","",IF(OR(MB25_VOLUMETRIA[[#This Row],[EMPRESA]]="NET MASSIVO",MB25_VOLUMETRIA[[#This Row],[EMPRESA]]="NET PROJETOS"),"NET","EMPRESARIAL"))</f>
        <v>NET</v>
      </c>
    </row>
    <row r="1488" spans="1:15" x14ac:dyDescent="0.25">
      <c r="A1488" s="32">
        <v>4382465</v>
      </c>
      <c r="B1488" s="32" t="s">
        <v>21</v>
      </c>
      <c r="C1488" s="33" t="s">
        <v>21</v>
      </c>
      <c r="D1488" s="35">
        <v>45448</v>
      </c>
      <c r="E1488" s="32" t="s">
        <v>185</v>
      </c>
      <c r="F1488" s="32">
        <v>22026199</v>
      </c>
      <c r="G1488" s="32" t="s">
        <v>233</v>
      </c>
      <c r="H1488" s="26" t="s">
        <v>38</v>
      </c>
      <c r="I1488" s="36">
        <v>20</v>
      </c>
      <c r="J1488" s="32">
        <f>IF(MB25_VOLUMETRIA[[#This Row],[Reserva]]="","",1)</f>
        <v>1</v>
      </c>
      <c r="K1488" s="36" t="str">
        <f>IF(MB25_VOLUMETRIA[[#This Row],[Reserva]]="","",IFERROR(VLOOKUP(MB25_VOLUMETRIA[[#This Row],[UMB]],CHAVE[],2,FALSE),"VERIFICAR"))</f>
        <v>Unidade</v>
      </c>
      <c r="L14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8" s="32" t="str">
        <f ca="1">IFERROR(VLOOKUP(MB25_VOLUMETRIA[[#This Row],[Reserva]],RES_AB[],14,FALSE),"")</f>
        <v>PLANO DO DIA</v>
      </c>
      <c r="N1488" s="32" t="str">
        <f>IF(MB25_VOLUMETRIA[[#This Row],[Cen.]]="","",IFERROR(VLOOKUP(MB25_VOLUMETRIA[[#This Row],[Cen.]],Dados_Empresas[],2,FALSE),"Verificar empresa"))</f>
        <v>NET MASSIVO</v>
      </c>
      <c r="O1488" s="32" t="str">
        <f>IF(MB25_VOLUMETRIA[[#This Row],[EMPRESA]]="","",IF(OR(MB25_VOLUMETRIA[[#This Row],[EMPRESA]]="NET MASSIVO",MB25_VOLUMETRIA[[#This Row],[EMPRESA]]="NET PROJETOS"),"NET","EMPRESARIAL"))</f>
        <v>NET</v>
      </c>
    </row>
    <row r="1489" spans="1:15" x14ac:dyDescent="0.25">
      <c r="A1489" s="32">
        <v>4382465</v>
      </c>
      <c r="B1489" s="32" t="s">
        <v>21</v>
      </c>
      <c r="C1489" s="33" t="s">
        <v>19</v>
      </c>
      <c r="D1489" s="35">
        <v>45448</v>
      </c>
      <c r="E1489" s="32" t="s">
        <v>185</v>
      </c>
      <c r="F1489" s="32">
        <v>22026251</v>
      </c>
      <c r="G1489" s="32" t="s">
        <v>247</v>
      </c>
      <c r="H1489" s="26" t="s">
        <v>38</v>
      </c>
      <c r="I1489" s="36">
        <v>6</v>
      </c>
      <c r="J1489" s="32">
        <f>IF(MB25_VOLUMETRIA[[#This Row],[Reserva]]="","",1)</f>
        <v>1</v>
      </c>
      <c r="K1489" s="36" t="str">
        <f>IF(MB25_VOLUMETRIA[[#This Row],[Reserva]]="","",IFERROR(VLOOKUP(MB25_VOLUMETRIA[[#This Row],[UMB]],CHAVE[],2,FALSE),"VERIFICAR"))</f>
        <v>Unidade</v>
      </c>
      <c r="L14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89" s="32" t="str">
        <f ca="1">IFERROR(VLOOKUP(MB25_VOLUMETRIA[[#This Row],[Reserva]],RES_AB[],14,FALSE),"")</f>
        <v>PLANO DO DIA</v>
      </c>
      <c r="N1489" s="32" t="str">
        <f>IF(MB25_VOLUMETRIA[[#This Row],[Cen.]]="","",IFERROR(VLOOKUP(MB25_VOLUMETRIA[[#This Row],[Cen.]],Dados_Empresas[],2,FALSE),"Verificar empresa"))</f>
        <v>NET MASSIVO</v>
      </c>
      <c r="O1489" s="32" t="str">
        <f>IF(MB25_VOLUMETRIA[[#This Row],[EMPRESA]]="","",IF(OR(MB25_VOLUMETRIA[[#This Row],[EMPRESA]]="NET MASSIVO",MB25_VOLUMETRIA[[#This Row],[EMPRESA]]="NET PROJETOS"),"NET","EMPRESARIAL"))</f>
        <v>NET</v>
      </c>
    </row>
    <row r="1490" spans="1:15" x14ac:dyDescent="0.25">
      <c r="A1490" s="32">
        <v>4382465</v>
      </c>
      <c r="B1490" s="32" t="s">
        <v>21</v>
      </c>
      <c r="C1490" s="33" t="s">
        <v>21</v>
      </c>
      <c r="D1490" s="35">
        <v>45448</v>
      </c>
      <c r="E1490" s="32" t="s">
        <v>185</v>
      </c>
      <c r="F1490" s="32">
        <v>22026772</v>
      </c>
      <c r="G1490" s="32" t="s">
        <v>201</v>
      </c>
      <c r="H1490" s="26" t="s">
        <v>38</v>
      </c>
      <c r="I1490" s="36">
        <v>75</v>
      </c>
      <c r="J1490" s="32">
        <f>IF(MB25_VOLUMETRIA[[#This Row],[Reserva]]="","",1)</f>
        <v>1</v>
      </c>
      <c r="K1490" s="36" t="str">
        <f>IF(MB25_VOLUMETRIA[[#This Row],[Reserva]]="","",IFERROR(VLOOKUP(MB25_VOLUMETRIA[[#This Row],[UMB]],CHAVE[],2,FALSE),"VERIFICAR"))</f>
        <v>Unidade</v>
      </c>
      <c r="L14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0" s="32" t="str">
        <f ca="1">IFERROR(VLOOKUP(MB25_VOLUMETRIA[[#This Row],[Reserva]],RES_AB[],14,FALSE),"")</f>
        <v>PLANO DO DIA</v>
      </c>
      <c r="N1490" s="32" t="str">
        <f>IF(MB25_VOLUMETRIA[[#This Row],[Cen.]]="","",IFERROR(VLOOKUP(MB25_VOLUMETRIA[[#This Row],[Cen.]],Dados_Empresas[],2,FALSE),"Verificar empresa"))</f>
        <v>NET MASSIVO</v>
      </c>
      <c r="O1490" s="32" t="str">
        <f>IF(MB25_VOLUMETRIA[[#This Row],[EMPRESA]]="","",IF(OR(MB25_VOLUMETRIA[[#This Row],[EMPRESA]]="NET MASSIVO",MB25_VOLUMETRIA[[#This Row],[EMPRESA]]="NET PROJETOS"),"NET","EMPRESARIAL"))</f>
        <v>NET</v>
      </c>
    </row>
    <row r="1491" spans="1:15" x14ac:dyDescent="0.25">
      <c r="A1491" s="32">
        <v>4382465</v>
      </c>
      <c r="B1491" s="32" t="s">
        <v>21</v>
      </c>
      <c r="C1491" s="33" t="s">
        <v>21</v>
      </c>
      <c r="D1491" s="35">
        <v>45448</v>
      </c>
      <c r="E1491" s="32" t="s">
        <v>185</v>
      </c>
      <c r="F1491" s="32">
        <v>22026792</v>
      </c>
      <c r="G1491" s="32" t="s">
        <v>202</v>
      </c>
      <c r="H1491" s="26" t="s">
        <v>38</v>
      </c>
      <c r="I1491" s="36">
        <v>25</v>
      </c>
      <c r="J1491" s="32">
        <f>IF(MB25_VOLUMETRIA[[#This Row],[Reserva]]="","",1)</f>
        <v>1</v>
      </c>
      <c r="K1491" s="36" t="str">
        <f>IF(MB25_VOLUMETRIA[[#This Row],[Reserva]]="","",IFERROR(VLOOKUP(MB25_VOLUMETRIA[[#This Row],[UMB]],CHAVE[],2,FALSE),"VERIFICAR"))</f>
        <v>Unidade</v>
      </c>
      <c r="L14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1" s="32" t="str">
        <f ca="1">IFERROR(VLOOKUP(MB25_VOLUMETRIA[[#This Row],[Reserva]],RES_AB[],14,FALSE),"")</f>
        <v>PLANO DO DIA</v>
      </c>
      <c r="N1491" s="32" t="str">
        <f>IF(MB25_VOLUMETRIA[[#This Row],[Cen.]]="","",IFERROR(VLOOKUP(MB25_VOLUMETRIA[[#This Row],[Cen.]],Dados_Empresas[],2,FALSE),"Verificar empresa"))</f>
        <v>NET MASSIVO</v>
      </c>
      <c r="O1491" s="32" t="str">
        <f>IF(MB25_VOLUMETRIA[[#This Row],[EMPRESA]]="","",IF(OR(MB25_VOLUMETRIA[[#This Row],[EMPRESA]]="NET MASSIVO",MB25_VOLUMETRIA[[#This Row],[EMPRESA]]="NET PROJETOS"),"NET","EMPRESARIAL"))</f>
        <v>NET</v>
      </c>
    </row>
    <row r="1492" spans="1:15" x14ac:dyDescent="0.25">
      <c r="A1492" s="32">
        <v>4382465</v>
      </c>
      <c r="B1492" s="32" t="s">
        <v>21</v>
      </c>
      <c r="C1492" s="33" t="s">
        <v>21</v>
      </c>
      <c r="D1492" s="35">
        <v>45448</v>
      </c>
      <c r="E1492" s="32" t="s">
        <v>185</v>
      </c>
      <c r="F1492" s="32">
        <v>22026795</v>
      </c>
      <c r="G1492" s="32" t="s">
        <v>261</v>
      </c>
      <c r="H1492" s="26" t="s">
        <v>38</v>
      </c>
      <c r="I1492" s="36">
        <v>25</v>
      </c>
      <c r="J1492" s="32">
        <f>IF(MB25_VOLUMETRIA[[#This Row],[Reserva]]="","",1)</f>
        <v>1</v>
      </c>
      <c r="K1492" s="36" t="str">
        <f>IF(MB25_VOLUMETRIA[[#This Row],[Reserva]]="","",IFERROR(VLOOKUP(MB25_VOLUMETRIA[[#This Row],[UMB]],CHAVE[],2,FALSE),"VERIFICAR"))</f>
        <v>Unidade</v>
      </c>
      <c r="L14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2" s="32" t="str">
        <f ca="1">IFERROR(VLOOKUP(MB25_VOLUMETRIA[[#This Row],[Reserva]],RES_AB[],14,FALSE),"")</f>
        <v>PLANO DO DIA</v>
      </c>
      <c r="N1492" s="32" t="str">
        <f>IF(MB25_VOLUMETRIA[[#This Row],[Cen.]]="","",IFERROR(VLOOKUP(MB25_VOLUMETRIA[[#This Row],[Cen.]],Dados_Empresas[],2,FALSE),"Verificar empresa"))</f>
        <v>NET MASSIVO</v>
      </c>
      <c r="O1492" s="32" t="str">
        <f>IF(MB25_VOLUMETRIA[[#This Row],[EMPRESA]]="","",IF(OR(MB25_VOLUMETRIA[[#This Row],[EMPRESA]]="NET MASSIVO",MB25_VOLUMETRIA[[#This Row],[EMPRESA]]="NET PROJETOS"),"NET","EMPRESARIAL"))</f>
        <v>NET</v>
      </c>
    </row>
    <row r="1493" spans="1:15" x14ac:dyDescent="0.25">
      <c r="A1493" s="32">
        <v>4382465</v>
      </c>
      <c r="B1493" s="32" t="s">
        <v>21</v>
      </c>
      <c r="C1493" s="33" t="s">
        <v>21</v>
      </c>
      <c r="D1493" s="35">
        <v>45448</v>
      </c>
      <c r="E1493" s="32" t="s">
        <v>185</v>
      </c>
      <c r="F1493" s="32">
        <v>22026809</v>
      </c>
      <c r="G1493" s="32" t="s">
        <v>231</v>
      </c>
      <c r="H1493" s="26" t="s">
        <v>38</v>
      </c>
      <c r="I1493" s="36">
        <v>50</v>
      </c>
      <c r="J1493" s="32">
        <f>IF(MB25_VOLUMETRIA[[#This Row],[Reserva]]="","",1)</f>
        <v>1</v>
      </c>
      <c r="K1493" s="36" t="str">
        <f>IF(MB25_VOLUMETRIA[[#This Row],[Reserva]]="","",IFERROR(VLOOKUP(MB25_VOLUMETRIA[[#This Row],[UMB]],CHAVE[],2,FALSE),"VERIFICAR"))</f>
        <v>Unidade</v>
      </c>
      <c r="L14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3" s="32" t="str">
        <f ca="1">IFERROR(VLOOKUP(MB25_VOLUMETRIA[[#This Row],[Reserva]],RES_AB[],14,FALSE),"")</f>
        <v>PLANO DO DIA</v>
      </c>
      <c r="N1493" s="32" t="str">
        <f>IF(MB25_VOLUMETRIA[[#This Row],[Cen.]]="","",IFERROR(VLOOKUP(MB25_VOLUMETRIA[[#This Row],[Cen.]],Dados_Empresas[],2,FALSE),"Verificar empresa"))</f>
        <v>NET MASSIVO</v>
      </c>
      <c r="O1493" s="32" t="str">
        <f>IF(MB25_VOLUMETRIA[[#This Row],[EMPRESA]]="","",IF(OR(MB25_VOLUMETRIA[[#This Row],[EMPRESA]]="NET MASSIVO",MB25_VOLUMETRIA[[#This Row],[EMPRESA]]="NET PROJETOS"),"NET","EMPRESARIAL"))</f>
        <v>NET</v>
      </c>
    </row>
    <row r="1494" spans="1:15" x14ac:dyDescent="0.25">
      <c r="A1494" s="32">
        <v>4382465</v>
      </c>
      <c r="B1494" s="32" t="s">
        <v>21</v>
      </c>
      <c r="C1494" s="33" t="s">
        <v>21</v>
      </c>
      <c r="D1494" s="35">
        <v>45448</v>
      </c>
      <c r="E1494" s="32" t="s">
        <v>185</v>
      </c>
      <c r="F1494" s="32">
        <v>22056339</v>
      </c>
      <c r="G1494" s="32" t="s">
        <v>243</v>
      </c>
      <c r="H1494" s="26" t="s">
        <v>38</v>
      </c>
      <c r="I1494" s="36">
        <v>50</v>
      </c>
      <c r="J1494" s="32">
        <f>IF(MB25_VOLUMETRIA[[#This Row],[Reserva]]="","",1)</f>
        <v>1</v>
      </c>
      <c r="K1494" s="36" t="str">
        <f>IF(MB25_VOLUMETRIA[[#This Row],[Reserva]]="","",IFERROR(VLOOKUP(MB25_VOLUMETRIA[[#This Row],[UMB]],CHAVE[],2,FALSE),"VERIFICAR"))</f>
        <v>Unidade</v>
      </c>
      <c r="L14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4" s="32" t="str">
        <f ca="1">IFERROR(VLOOKUP(MB25_VOLUMETRIA[[#This Row],[Reserva]],RES_AB[],14,FALSE),"")</f>
        <v>PLANO DO DIA</v>
      </c>
      <c r="N1494" s="32" t="str">
        <f>IF(MB25_VOLUMETRIA[[#This Row],[Cen.]]="","",IFERROR(VLOOKUP(MB25_VOLUMETRIA[[#This Row],[Cen.]],Dados_Empresas[],2,FALSE),"Verificar empresa"))</f>
        <v>NET MASSIVO</v>
      </c>
      <c r="O1494" s="32" t="str">
        <f>IF(MB25_VOLUMETRIA[[#This Row],[EMPRESA]]="","",IF(OR(MB25_VOLUMETRIA[[#This Row],[EMPRESA]]="NET MASSIVO",MB25_VOLUMETRIA[[#This Row],[EMPRESA]]="NET PROJETOS"),"NET","EMPRESARIAL"))</f>
        <v>NET</v>
      </c>
    </row>
    <row r="1495" spans="1:15" x14ac:dyDescent="0.25">
      <c r="A1495" s="32">
        <v>4382465</v>
      </c>
      <c r="B1495" s="32" t="s">
        <v>21</v>
      </c>
      <c r="C1495" s="33" t="s">
        <v>21</v>
      </c>
      <c r="D1495" s="35">
        <v>45448</v>
      </c>
      <c r="E1495" s="32" t="s">
        <v>185</v>
      </c>
      <c r="F1495" s="32">
        <v>22056345</v>
      </c>
      <c r="G1495" s="32" t="s">
        <v>255</v>
      </c>
      <c r="H1495" s="26" t="s">
        <v>38</v>
      </c>
      <c r="I1495" s="36">
        <v>50</v>
      </c>
      <c r="J1495" s="32">
        <f>IF(MB25_VOLUMETRIA[[#This Row],[Reserva]]="","",1)</f>
        <v>1</v>
      </c>
      <c r="K1495" s="36" t="str">
        <f>IF(MB25_VOLUMETRIA[[#This Row],[Reserva]]="","",IFERROR(VLOOKUP(MB25_VOLUMETRIA[[#This Row],[UMB]],CHAVE[],2,FALSE),"VERIFICAR"))</f>
        <v>Unidade</v>
      </c>
      <c r="L14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5" s="32" t="str">
        <f ca="1">IFERROR(VLOOKUP(MB25_VOLUMETRIA[[#This Row],[Reserva]],RES_AB[],14,FALSE),"")</f>
        <v>PLANO DO DIA</v>
      </c>
      <c r="N1495" s="32" t="str">
        <f>IF(MB25_VOLUMETRIA[[#This Row],[Cen.]]="","",IFERROR(VLOOKUP(MB25_VOLUMETRIA[[#This Row],[Cen.]],Dados_Empresas[],2,FALSE),"Verificar empresa"))</f>
        <v>NET MASSIVO</v>
      </c>
      <c r="O1495" s="32" t="str">
        <f>IF(MB25_VOLUMETRIA[[#This Row],[EMPRESA]]="","",IF(OR(MB25_VOLUMETRIA[[#This Row],[EMPRESA]]="NET MASSIVO",MB25_VOLUMETRIA[[#This Row],[EMPRESA]]="NET PROJETOS"),"NET","EMPRESARIAL"))</f>
        <v>NET</v>
      </c>
    </row>
    <row r="1496" spans="1:15" x14ac:dyDescent="0.25">
      <c r="A1496" s="32">
        <v>4382465</v>
      </c>
      <c r="B1496" s="32" t="s">
        <v>21</v>
      </c>
      <c r="C1496" s="33" t="s">
        <v>21</v>
      </c>
      <c r="D1496" s="35">
        <v>45448</v>
      </c>
      <c r="E1496" s="32" t="s">
        <v>185</v>
      </c>
      <c r="F1496" s="32">
        <v>22056364</v>
      </c>
      <c r="G1496" s="32" t="s">
        <v>236</v>
      </c>
      <c r="H1496" s="26" t="s">
        <v>38</v>
      </c>
      <c r="I1496" s="36">
        <v>30</v>
      </c>
      <c r="J1496" s="32">
        <f>IF(MB25_VOLUMETRIA[[#This Row],[Reserva]]="","",1)</f>
        <v>1</v>
      </c>
      <c r="K1496" s="36" t="str">
        <f>IF(MB25_VOLUMETRIA[[#This Row],[Reserva]]="","",IFERROR(VLOOKUP(MB25_VOLUMETRIA[[#This Row],[UMB]],CHAVE[],2,FALSE),"VERIFICAR"))</f>
        <v>Unidade</v>
      </c>
      <c r="L14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6" s="32" t="str">
        <f ca="1">IFERROR(VLOOKUP(MB25_VOLUMETRIA[[#This Row],[Reserva]],RES_AB[],14,FALSE),"")</f>
        <v>PLANO DO DIA</v>
      </c>
      <c r="N1496" s="32" t="str">
        <f>IF(MB25_VOLUMETRIA[[#This Row],[Cen.]]="","",IFERROR(VLOOKUP(MB25_VOLUMETRIA[[#This Row],[Cen.]],Dados_Empresas[],2,FALSE),"Verificar empresa"))</f>
        <v>NET MASSIVO</v>
      </c>
      <c r="O1496" s="32" t="str">
        <f>IF(MB25_VOLUMETRIA[[#This Row],[EMPRESA]]="","",IF(OR(MB25_VOLUMETRIA[[#This Row],[EMPRESA]]="NET MASSIVO",MB25_VOLUMETRIA[[#This Row],[EMPRESA]]="NET PROJETOS"),"NET","EMPRESARIAL"))</f>
        <v>NET</v>
      </c>
    </row>
    <row r="1497" spans="1:15" x14ac:dyDescent="0.25">
      <c r="A1497" s="32">
        <v>4382465</v>
      </c>
      <c r="B1497" s="32" t="s">
        <v>21</v>
      </c>
      <c r="C1497" s="33" t="s">
        <v>21</v>
      </c>
      <c r="D1497" s="35">
        <v>45448</v>
      </c>
      <c r="E1497" s="32" t="s">
        <v>185</v>
      </c>
      <c r="F1497" s="32">
        <v>22057866</v>
      </c>
      <c r="G1497" s="32" t="s">
        <v>225</v>
      </c>
      <c r="H1497" s="26" t="s">
        <v>38</v>
      </c>
      <c r="I1497" s="36">
        <v>20</v>
      </c>
      <c r="J1497" s="32">
        <f>IF(MB25_VOLUMETRIA[[#This Row],[Reserva]]="","",1)</f>
        <v>1</v>
      </c>
      <c r="K1497" s="36" t="str">
        <f>IF(MB25_VOLUMETRIA[[#This Row],[Reserva]]="","",IFERROR(VLOOKUP(MB25_VOLUMETRIA[[#This Row],[UMB]],CHAVE[],2,FALSE),"VERIFICAR"))</f>
        <v>Unidade</v>
      </c>
      <c r="L14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7" s="32" t="str">
        <f ca="1">IFERROR(VLOOKUP(MB25_VOLUMETRIA[[#This Row],[Reserva]],RES_AB[],14,FALSE),"")</f>
        <v>PLANO DO DIA</v>
      </c>
      <c r="N1497" s="32" t="str">
        <f>IF(MB25_VOLUMETRIA[[#This Row],[Cen.]]="","",IFERROR(VLOOKUP(MB25_VOLUMETRIA[[#This Row],[Cen.]],Dados_Empresas[],2,FALSE),"Verificar empresa"))</f>
        <v>NET MASSIVO</v>
      </c>
      <c r="O1497" s="32" t="str">
        <f>IF(MB25_VOLUMETRIA[[#This Row],[EMPRESA]]="","",IF(OR(MB25_VOLUMETRIA[[#This Row],[EMPRESA]]="NET MASSIVO",MB25_VOLUMETRIA[[#This Row],[EMPRESA]]="NET PROJETOS"),"NET","EMPRESARIAL"))</f>
        <v>NET</v>
      </c>
    </row>
    <row r="1498" spans="1:15" x14ac:dyDescent="0.25">
      <c r="A1498" s="32">
        <v>4382466</v>
      </c>
      <c r="B1498" s="32" t="s">
        <v>21</v>
      </c>
      <c r="C1498" s="33" t="s">
        <v>21</v>
      </c>
      <c r="D1498" s="35">
        <v>45448</v>
      </c>
      <c r="E1498" s="32" t="s">
        <v>185</v>
      </c>
      <c r="F1498" s="32">
        <v>22026152</v>
      </c>
      <c r="G1498" s="32" t="s">
        <v>404</v>
      </c>
      <c r="H1498" s="26" t="s">
        <v>38</v>
      </c>
      <c r="I1498" s="36">
        <v>100</v>
      </c>
      <c r="J1498" s="32">
        <f>IF(MB25_VOLUMETRIA[[#This Row],[Reserva]]="","",1)</f>
        <v>1</v>
      </c>
      <c r="K1498" s="36" t="str">
        <f>IF(MB25_VOLUMETRIA[[#This Row],[Reserva]]="","",IFERROR(VLOOKUP(MB25_VOLUMETRIA[[#This Row],[UMB]],CHAVE[],2,FALSE),"VERIFICAR"))</f>
        <v>Unidade</v>
      </c>
      <c r="L14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8" s="32" t="str">
        <f ca="1">IFERROR(VLOOKUP(MB25_VOLUMETRIA[[#This Row],[Reserva]],RES_AB[],14,FALSE),"")</f>
        <v>PLANO DO DIA</v>
      </c>
      <c r="N1498" s="32" t="str">
        <f>IF(MB25_VOLUMETRIA[[#This Row],[Cen.]]="","",IFERROR(VLOOKUP(MB25_VOLUMETRIA[[#This Row],[Cen.]],Dados_Empresas[],2,FALSE),"Verificar empresa"))</f>
        <v>NET MASSIVO</v>
      </c>
      <c r="O1498" s="32" t="str">
        <f>IF(MB25_VOLUMETRIA[[#This Row],[EMPRESA]]="","",IF(OR(MB25_VOLUMETRIA[[#This Row],[EMPRESA]]="NET MASSIVO",MB25_VOLUMETRIA[[#This Row],[EMPRESA]]="NET PROJETOS"),"NET","EMPRESARIAL"))</f>
        <v>NET</v>
      </c>
    </row>
    <row r="1499" spans="1:15" x14ac:dyDescent="0.25">
      <c r="A1499" s="32">
        <v>4382466</v>
      </c>
      <c r="B1499" s="32" t="s">
        <v>21</v>
      </c>
      <c r="C1499" s="33" t="s">
        <v>21</v>
      </c>
      <c r="D1499" s="35">
        <v>45448</v>
      </c>
      <c r="E1499" s="32" t="s">
        <v>185</v>
      </c>
      <c r="F1499" s="32">
        <v>22026158</v>
      </c>
      <c r="G1499" s="32" t="s">
        <v>232</v>
      </c>
      <c r="H1499" s="26" t="s">
        <v>38</v>
      </c>
      <c r="I1499" s="36">
        <v>36</v>
      </c>
      <c r="J1499" s="32">
        <f>IF(MB25_VOLUMETRIA[[#This Row],[Reserva]]="","",1)</f>
        <v>1</v>
      </c>
      <c r="K1499" s="36" t="str">
        <f>IF(MB25_VOLUMETRIA[[#This Row],[Reserva]]="","",IFERROR(VLOOKUP(MB25_VOLUMETRIA[[#This Row],[UMB]],CHAVE[],2,FALSE),"VERIFICAR"))</f>
        <v>Unidade</v>
      </c>
      <c r="L14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499" s="32" t="str">
        <f ca="1">IFERROR(VLOOKUP(MB25_VOLUMETRIA[[#This Row],[Reserva]],RES_AB[],14,FALSE),"")</f>
        <v>PLANO DO DIA</v>
      </c>
      <c r="N1499" s="32" t="str">
        <f>IF(MB25_VOLUMETRIA[[#This Row],[Cen.]]="","",IFERROR(VLOOKUP(MB25_VOLUMETRIA[[#This Row],[Cen.]],Dados_Empresas[],2,FALSE),"Verificar empresa"))</f>
        <v>NET MASSIVO</v>
      </c>
      <c r="O1499" s="32" t="str">
        <f>IF(MB25_VOLUMETRIA[[#This Row],[EMPRESA]]="","",IF(OR(MB25_VOLUMETRIA[[#This Row],[EMPRESA]]="NET MASSIVO",MB25_VOLUMETRIA[[#This Row],[EMPRESA]]="NET PROJETOS"),"NET","EMPRESARIAL"))</f>
        <v>NET</v>
      </c>
    </row>
    <row r="1500" spans="1:15" x14ac:dyDescent="0.25">
      <c r="A1500" s="32">
        <v>4382466</v>
      </c>
      <c r="B1500" s="32" t="s">
        <v>21</v>
      </c>
      <c r="C1500" s="33" t="s">
        <v>21</v>
      </c>
      <c r="D1500" s="35">
        <v>45448</v>
      </c>
      <c r="E1500" s="32" t="s">
        <v>185</v>
      </c>
      <c r="F1500" s="32">
        <v>22026189</v>
      </c>
      <c r="G1500" s="32" t="s">
        <v>200</v>
      </c>
      <c r="H1500" s="26" t="s">
        <v>38</v>
      </c>
      <c r="I1500" s="36">
        <v>1200</v>
      </c>
      <c r="J1500" s="32">
        <f>IF(MB25_VOLUMETRIA[[#This Row],[Reserva]]="","",1)</f>
        <v>1</v>
      </c>
      <c r="K1500" s="36" t="str">
        <f>IF(MB25_VOLUMETRIA[[#This Row],[Reserva]]="","",IFERROR(VLOOKUP(MB25_VOLUMETRIA[[#This Row],[UMB]],CHAVE[],2,FALSE),"VERIFICAR"))</f>
        <v>Unidade</v>
      </c>
      <c r="L15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0" s="32" t="str">
        <f ca="1">IFERROR(VLOOKUP(MB25_VOLUMETRIA[[#This Row],[Reserva]],RES_AB[],14,FALSE),"")</f>
        <v>PLANO DO DIA</v>
      </c>
      <c r="N1500" s="32" t="str">
        <f>IF(MB25_VOLUMETRIA[[#This Row],[Cen.]]="","",IFERROR(VLOOKUP(MB25_VOLUMETRIA[[#This Row],[Cen.]],Dados_Empresas[],2,FALSE),"Verificar empresa"))</f>
        <v>NET MASSIVO</v>
      </c>
      <c r="O1500" s="32" t="str">
        <f>IF(MB25_VOLUMETRIA[[#This Row],[EMPRESA]]="","",IF(OR(MB25_VOLUMETRIA[[#This Row],[EMPRESA]]="NET MASSIVO",MB25_VOLUMETRIA[[#This Row],[EMPRESA]]="NET PROJETOS"),"NET","EMPRESARIAL"))</f>
        <v>NET</v>
      </c>
    </row>
    <row r="1501" spans="1:15" x14ac:dyDescent="0.25">
      <c r="A1501" s="32">
        <v>4382466</v>
      </c>
      <c r="B1501" s="32" t="s">
        <v>21</v>
      </c>
      <c r="C1501" s="33" t="s">
        <v>21</v>
      </c>
      <c r="D1501" s="35">
        <v>45448</v>
      </c>
      <c r="E1501" s="32" t="s">
        <v>185</v>
      </c>
      <c r="F1501" s="32">
        <v>22026772</v>
      </c>
      <c r="G1501" s="32" t="s">
        <v>201</v>
      </c>
      <c r="H1501" s="26" t="s">
        <v>38</v>
      </c>
      <c r="I1501" s="36">
        <v>100</v>
      </c>
      <c r="J1501" s="32">
        <f>IF(MB25_VOLUMETRIA[[#This Row],[Reserva]]="","",1)</f>
        <v>1</v>
      </c>
      <c r="K1501" s="36" t="str">
        <f>IF(MB25_VOLUMETRIA[[#This Row],[Reserva]]="","",IFERROR(VLOOKUP(MB25_VOLUMETRIA[[#This Row],[UMB]],CHAVE[],2,FALSE),"VERIFICAR"))</f>
        <v>Unidade</v>
      </c>
      <c r="L15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1" s="32" t="str">
        <f ca="1">IFERROR(VLOOKUP(MB25_VOLUMETRIA[[#This Row],[Reserva]],RES_AB[],14,FALSE),"")</f>
        <v>PLANO DO DIA</v>
      </c>
      <c r="N1501" s="32" t="str">
        <f>IF(MB25_VOLUMETRIA[[#This Row],[Cen.]]="","",IFERROR(VLOOKUP(MB25_VOLUMETRIA[[#This Row],[Cen.]],Dados_Empresas[],2,FALSE),"Verificar empresa"))</f>
        <v>NET MASSIVO</v>
      </c>
      <c r="O1501" s="32" t="str">
        <f>IF(MB25_VOLUMETRIA[[#This Row],[EMPRESA]]="","",IF(OR(MB25_VOLUMETRIA[[#This Row],[EMPRESA]]="NET MASSIVO",MB25_VOLUMETRIA[[#This Row],[EMPRESA]]="NET PROJETOS"),"NET","EMPRESARIAL"))</f>
        <v>NET</v>
      </c>
    </row>
    <row r="1502" spans="1:15" x14ac:dyDescent="0.25">
      <c r="A1502" s="32">
        <v>4382466</v>
      </c>
      <c r="B1502" s="32" t="s">
        <v>21</v>
      </c>
      <c r="C1502" s="33" t="s">
        <v>21</v>
      </c>
      <c r="D1502" s="35">
        <v>45448</v>
      </c>
      <c r="E1502" s="32" t="s">
        <v>185</v>
      </c>
      <c r="F1502" s="32">
        <v>22061736</v>
      </c>
      <c r="G1502" s="32" t="s">
        <v>216</v>
      </c>
      <c r="H1502" s="26" t="s">
        <v>38</v>
      </c>
      <c r="I1502" s="36">
        <v>500</v>
      </c>
      <c r="J1502" s="32">
        <f>IF(MB25_VOLUMETRIA[[#This Row],[Reserva]]="","",1)</f>
        <v>1</v>
      </c>
      <c r="K1502" s="36" t="str">
        <f>IF(MB25_VOLUMETRIA[[#This Row],[Reserva]]="","",IFERROR(VLOOKUP(MB25_VOLUMETRIA[[#This Row],[UMB]],CHAVE[],2,FALSE),"VERIFICAR"))</f>
        <v>Unidade</v>
      </c>
      <c r="L15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2" s="32" t="str">
        <f ca="1">IFERROR(VLOOKUP(MB25_VOLUMETRIA[[#This Row],[Reserva]],RES_AB[],14,FALSE),"")</f>
        <v>PLANO DO DIA</v>
      </c>
      <c r="N1502" s="32" t="str">
        <f>IF(MB25_VOLUMETRIA[[#This Row],[Cen.]]="","",IFERROR(VLOOKUP(MB25_VOLUMETRIA[[#This Row],[Cen.]],Dados_Empresas[],2,FALSE),"Verificar empresa"))</f>
        <v>NET MASSIVO</v>
      </c>
      <c r="O1502" s="32" t="str">
        <f>IF(MB25_VOLUMETRIA[[#This Row],[EMPRESA]]="","",IF(OR(MB25_VOLUMETRIA[[#This Row],[EMPRESA]]="NET MASSIVO",MB25_VOLUMETRIA[[#This Row],[EMPRESA]]="NET PROJETOS"),"NET","EMPRESARIAL"))</f>
        <v>NET</v>
      </c>
    </row>
    <row r="1503" spans="1:15" x14ac:dyDescent="0.25">
      <c r="A1503" s="32">
        <v>4382467</v>
      </c>
      <c r="B1503" s="32" t="s">
        <v>21</v>
      </c>
      <c r="C1503" s="33" t="s">
        <v>19</v>
      </c>
      <c r="D1503" s="35">
        <v>45448</v>
      </c>
      <c r="E1503" s="32" t="s">
        <v>192</v>
      </c>
      <c r="F1503" s="32">
        <v>41001481</v>
      </c>
      <c r="G1503" s="32" t="s">
        <v>403</v>
      </c>
      <c r="H1503" s="26" t="s">
        <v>38</v>
      </c>
      <c r="I1503" s="36">
        <v>20</v>
      </c>
      <c r="J1503" s="32">
        <f>IF(MB25_VOLUMETRIA[[#This Row],[Reserva]]="","",1)</f>
        <v>1</v>
      </c>
      <c r="K1503" s="36" t="str">
        <f>IF(MB25_VOLUMETRIA[[#This Row],[Reserva]]="","",IFERROR(VLOOKUP(MB25_VOLUMETRIA[[#This Row],[UMB]],CHAVE[],2,FALSE),"VERIFICAR"))</f>
        <v>Unidade</v>
      </c>
      <c r="L15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3" s="32" t="str">
        <f ca="1">IFERROR(VLOOKUP(MB25_VOLUMETRIA[[#This Row],[Reserva]],RES_AB[],14,FALSE),"")</f>
        <v>PLANO DO DIA</v>
      </c>
      <c r="N1503" s="32" t="str">
        <f>IF(MB25_VOLUMETRIA[[#This Row],[Cen.]]="","",IFERROR(VLOOKUP(MB25_VOLUMETRIA[[#This Row],[Cen.]],Dados_Empresas[],2,FALSE),"Verificar empresa"))</f>
        <v>NET MASSIVO</v>
      </c>
      <c r="O1503" s="32" t="str">
        <f>IF(MB25_VOLUMETRIA[[#This Row],[EMPRESA]]="","",IF(OR(MB25_VOLUMETRIA[[#This Row],[EMPRESA]]="NET MASSIVO",MB25_VOLUMETRIA[[#This Row],[EMPRESA]]="NET PROJETOS"),"NET","EMPRESARIAL"))</f>
        <v>NET</v>
      </c>
    </row>
    <row r="1504" spans="1:15" x14ac:dyDescent="0.25">
      <c r="A1504" s="32">
        <v>4382468</v>
      </c>
      <c r="B1504" s="32" t="s">
        <v>21</v>
      </c>
      <c r="C1504" s="33" t="s">
        <v>19</v>
      </c>
      <c r="D1504" s="35">
        <v>45448</v>
      </c>
      <c r="E1504" s="32" t="s">
        <v>192</v>
      </c>
      <c r="F1504" s="32">
        <v>41001481</v>
      </c>
      <c r="G1504" s="32" t="s">
        <v>403</v>
      </c>
      <c r="H1504" s="26" t="s">
        <v>38</v>
      </c>
      <c r="I1504" s="36">
        <v>50</v>
      </c>
      <c r="J1504" s="32">
        <f>IF(MB25_VOLUMETRIA[[#This Row],[Reserva]]="","",1)</f>
        <v>1</v>
      </c>
      <c r="K1504" s="36" t="str">
        <f>IF(MB25_VOLUMETRIA[[#This Row],[Reserva]]="","",IFERROR(VLOOKUP(MB25_VOLUMETRIA[[#This Row],[UMB]],CHAVE[],2,FALSE),"VERIFICAR"))</f>
        <v>Unidade</v>
      </c>
      <c r="L15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4" s="32" t="str">
        <f ca="1">IFERROR(VLOOKUP(MB25_VOLUMETRIA[[#This Row],[Reserva]],RES_AB[],14,FALSE),"")</f>
        <v>PLANO DO DIA</v>
      </c>
      <c r="N1504" s="32" t="str">
        <f>IF(MB25_VOLUMETRIA[[#This Row],[Cen.]]="","",IFERROR(VLOOKUP(MB25_VOLUMETRIA[[#This Row],[Cen.]],Dados_Empresas[],2,FALSE),"Verificar empresa"))</f>
        <v>NET MASSIVO</v>
      </c>
      <c r="O1504" s="32" t="str">
        <f>IF(MB25_VOLUMETRIA[[#This Row],[EMPRESA]]="","",IF(OR(MB25_VOLUMETRIA[[#This Row],[EMPRESA]]="NET MASSIVO",MB25_VOLUMETRIA[[#This Row],[EMPRESA]]="NET PROJETOS"),"NET","EMPRESARIAL"))</f>
        <v>NET</v>
      </c>
    </row>
    <row r="1505" spans="1:15" x14ac:dyDescent="0.25">
      <c r="A1505" s="32">
        <v>4382469</v>
      </c>
      <c r="B1505" s="32" t="s">
        <v>21</v>
      </c>
      <c r="C1505" s="33" t="s">
        <v>19</v>
      </c>
      <c r="D1505" s="35">
        <v>45448</v>
      </c>
      <c r="E1505" s="32" t="s">
        <v>185</v>
      </c>
      <c r="F1505" s="32">
        <v>22026147</v>
      </c>
      <c r="G1505" s="32" t="s">
        <v>254</v>
      </c>
      <c r="H1505" s="26" t="s">
        <v>38</v>
      </c>
      <c r="I1505" s="36">
        <v>25</v>
      </c>
      <c r="J1505" s="32">
        <f>IF(MB25_VOLUMETRIA[[#This Row],[Reserva]]="","",1)</f>
        <v>1</v>
      </c>
      <c r="K1505" s="36" t="str">
        <f>IF(MB25_VOLUMETRIA[[#This Row],[Reserva]]="","",IFERROR(VLOOKUP(MB25_VOLUMETRIA[[#This Row],[UMB]],CHAVE[],2,FALSE),"VERIFICAR"))</f>
        <v>Unidade</v>
      </c>
      <c r="L15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5" s="32" t="str">
        <f ca="1">IFERROR(VLOOKUP(MB25_VOLUMETRIA[[#This Row],[Reserva]],RES_AB[],14,FALSE),"")</f>
        <v>PLANO DO DIA</v>
      </c>
      <c r="N1505" s="32" t="str">
        <f>IF(MB25_VOLUMETRIA[[#This Row],[Cen.]]="","",IFERROR(VLOOKUP(MB25_VOLUMETRIA[[#This Row],[Cen.]],Dados_Empresas[],2,FALSE),"Verificar empresa"))</f>
        <v>NET MASSIVO</v>
      </c>
      <c r="O1505" s="32" t="str">
        <f>IF(MB25_VOLUMETRIA[[#This Row],[EMPRESA]]="","",IF(OR(MB25_VOLUMETRIA[[#This Row],[EMPRESA]]="NET MASSIVO",MB25_VOLUMETRIA[[#This Row],[EMPRESA]]="NET PROJETOS"),"NET","EMPRESARIAL"))</f>
        <v>NET</v>
      </c>
    </row>
    <row r="1506" spans="1:15" x14ac:dyDescent="0.25">
      <c r="A1506" s="32">
        <v>4382469</v>
      </c>
      <c r="B1506" s="32" t="s">
        <v>21</v>
      </c>
      <c r="C1506" s="33" t="s">
        <v>21</v>
      </c>
      <c r="D1506" s="35">
        <v>45448</v>
      </c>
      <c r="E1506" s="32" t="s">
        <v>185</v>
      </c>
      <c r="F1506" s="32">
        <v>22026223</v>
      </c>
      <c r="G1506" s="32" t="s">
        <v>195</v>
      </c>
      <c r="H1506" s="26" t="s">
        <v>38</v>
      </c>
      <c r="I1506" s="36">
        <v>305</v>
      </c>
      <c r="J1506" s="32">
        <f>IF(MB25_VOLUMETRIA[[#This Row],[Reserva]]="","",1)</f>
        <v>1</v>
      </c>
      <c r="K1506" s="36" t="str">
        <f>IF(MB25_VOLUMETRIA[[#This Row],[Reserva]]="","",IFERROR(VLOOKUP(MB25_VOLUMETRIA[[#This Row],[UMB]],CHAVE[],2,FALSE),"VERIFICAR"))</f>
        <v>Unidade</v>
      </c>
      <c r="L15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6" s="32" t="str">
        <f ca="1">IFERROR(VLOOKUP(MB25_VOLUMETRIA[[#This Row],[Reserva]],RES_AB[],14,FALSE),"")</f>
        <v>PLANO DO DIA</v>
      </c>
      <c r="N1506" s="32" t="str">
        <f>IF(MB25_VOLUMETRIA[[#This Row],[Cen.]]="","",IFERROR(VLOOKUP(MB25_VOLUMETRIA[[#This Row],[Cen.]],Dados_Empresas[],2,FALSE),"Verificar empresa"))</f>
        <v>NET MASSIVO</v>
      </c>
      <c r="O1506" s="32" t="str">
        <f>IF(MB25_VOLUMETRIA[[#This Row],[EMPRESA]]="","",IF(OR(MB25_VOLUMETRIA[[#This Row],[EMPRESA]]="NET MASSIVO",MB25_VOLUMETRIA[[#This Row],[EMPRESA]]="NET PROJETOS"),"NET","EMPRESARIAL"))</f>
        <v>NET</v>
      </c>
    </row>
    <row r="1507" spans="1:15" x14ac:dyDescent="0.25">
      <c r="A1507" s="32">
        <v>4382470</v>
      </c>
      <c r="B1507" s="32" t="s">
        <v>21</v>
      </c>
      <c r="C1507" s="33" t="s">
        <v>19</v>
      </c>
      <c r="D1507" s="35">
        <v>45448</v>
      </c>
      <c r="E1507" s="32" t="s">
        <v>192</v>
      </c>
      <c r="F1507" s="32">
        <v>41001481</v>
      </c>
      <c r="G1507" s="32" t="s">
        <v>403</v>
      </c>
      <c r="H1507" s="26" t="s">
        <v>38</v>
      </c>
      <c r="I1507" s="36">
        <v>60</v>
      </c>
      <c r="J1507" s="32">
        <f>IF(MB25_VOLUMETRIA[[#This Row],[Reserva]]="","",1)</f>
        <v>1</v>
      </c>
      <c r="K1507" s="36" t="str">
        <f>IF(MB25_VOLUMETRIA[[#This Row],[Reserva]]="","",IFERROR(VLOOKUP(MB25_VOLUMETRIA[[#This Row],[UMB]],CHAVE[],2,FALSE),"VERIFICAR"))</f>
        <v>Unidade</v>
      </c>
      <c r="L15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7" s="32" t="str">
        <f ca="1">IFERROR(VLOOKUP(MB25_VOLUMETRIA[[#This Row],[Reserva]],RES_AB[],14,FALSE),"")</f>
        <v>PLANO DO DIA</v>
      </c>
      <c r="N1507" s="32" t="str">
        <f>IF(MB25_VOLUMETRIA[[#This Row],[Cen.]]="","",IFERROR(VLOOKUP(MB25_VOLUMETRIA[[#This Row],[Cen.]],Dados_Empresas[],2,FALSE),"Verificar empresa"))</f>
        <v>NET MASSIVO</v>
      </c>
      <c r="O1507" s="32" t="str">
        <f>IF(MB25_VOLUMETRIA[[#This Row],[EMPRESA]]="","",IF(OR(MB25_VOLUMETRIA[[#This Row],[EMPRESA]]="NET MASSIVO",MB25_VOLUMETRIA[[#This Row],[EMPRESA]]="NET PROJETOS"),"NET","EMPRESARIAL"))</f>
        <v>NET</v>
      </c>
    </row>
    <row r="1508" spans="1:15" x14ac:dyDescent="0.25">
      <c r="A1508" s="32">
        <v>4382471</v>
      </c>
      <c r="B1508" s="32" t="s">
        <v>21</v>
      </c>
      <c r="C1508" s="33" t="s">
        <v>19</v>
      </c>
      <c r="D1508" s="35">
        <v>45448</v>
      </c>
      <c r="E1508" s="32" t="s">
        <v>192</v>
      </c>
      <c r="F1508" s="32">
        <v>41001481</v>
      </c>
      <c r="G1508" s="32" t="s">
        <v>403</v>
      </c>
      <c r="H1508" s="26" t="s">
        <v>38</v>
      </c>
      <c r="I1508" s="36">
        <v>20</v>
      </c>
      <c r="J1508" s="32">
        <f>IF(MB25_VOLUMETRIA[[#This Row],[Reserva]]="","",1)</f>
        <v>1</v>
      </c>
      <c r="K1508" s="36" t="str">
        <f>IF(MB25_VOLUMETRIA[[#This Row],[Reserva]]="","",IFERROR(VLOOKUP(MB25_VOLUMETRIA[[#This Row],[UMB]],CHAVE[],2,FALSE),"VERIFICAR"))</f>
        <v>Unidade</v>
      </c>
      <c r="L15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8" s="32" t="str">
        <f ca="1">IFERROR(VLOOKUP(MB25_VOLUMETRIA[[#This Row],[Reserva]],RES_AB[],14,FALSE),"")</f>
        <v>PLANO DO DIA</v>
      </c>
      <c r="N1508" s="32" t="str">
        <f>IF(MB25_VOLUMETRIA[[#This Row],[Cen.]]="","",IFERROR(VLOOKUP(MB25_VOLUMETRIA[[#This Row],[Cen.]],Dados_Empresas[],2,FALSE),"Verificar empresa"))</f>
        <v>NET MASSIVO</v>
      </c>
      <c r="O1508" s="32" t="str">
        <f>IF(MB25_VOLUMETRIA[[#This Row],[EMPRESA]]="","",IF(OR(MB25_VOLUMETRIA[[#This Row],[EMPRESA]]="NET MASSIVO",MB25_VOLUMETRIA[[#This Row],[EMPRESA]]="NET PROJETOS"),"NET","EMPRESARIAL"))</f>
        <v>NET</v>
      </c>
    </row>
    <row r="1509" spans="1:15" x14ac:dyDescent="0.25">
      <c r="A1509" s="32">
        <v>4382472</v>
      </c>
      <c r="B1509" s="32" t="s">
        <v>21</v>
      </c>
      <c r="C1509" s="33" t="s">
        <v>21</v>
      </c>
      <c r="D1509" s="35">
        <v>45448</v>
      </c>
      <c r="E1509" s="32" t="s">
        <v>185</v>
      </c>
      <c r="F1509" s="32">
        <v>22023400</v>
      </c>
      <c r="G1509" s="32" t="s">
        <v>219</v>
      </c>
      <c r="H1509" s="26" t="s">
        <v>38</v>
      </c>
      <c r="I1509" s="36">
        <v>100</v>
      </c>
      <c r="J1509" s="32">
        <f>IF(MB25_VOLUMETRIA[[#This Row],[Reserva]]="","",1)</f>
        <v>1</v>
      </c>
      <c r="K1509" s="36" t="str">
        <f>IF(MB25_VOLUMETRIA[[#This Row],[Reserva]]="","",IFERROR(VLOOKUP(MB25_VOLUMETRIA[[#This Row],[UMB]],CHAVE[],2,FALSE),"VERIFICAR"))</f>
        <v>Unidade</v>
      </c>
      <c r="L15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09" s="32" t="str">
        <f ca="1">IFERROR(VLOOKUP(MB25_VOLUMETRIA[[#This Row],[Reserva]],RES_AB[],14,FALSE),"")</f>
        <v>PLANO DO DIA</v>
      </c>
      <c r="N1509" s="32" t="str">
        <f>IF(MB25_VOLUMETRIA[[#This Row],[Cen.]]="","",IFERROR(VLOOKUP(MB25_VOLUMETRIA[[#This Row],[Cen.]],Dados_Empresas[],2,FALSE),"Verificar empresa"))</f>
        <v>NET MASSIVO</v>
      </c>
      <c r="O1509" s="32" t="str">
        <f>IF(MB25_VOLUMETRIA[[#This Row],[EMPRESA]]="","",IF(OR(MB25_VOLUMETRIA[[#This Row],[EMPRESA]]="NET MASSIVO",MB25_VOLUMETRIA[[#This Row],[EMPRESA]]="NET PROJETOS"),"NET","EMPRESARIAL"))</f>
        <v>NET</v>
      </c>
    </row>
    <row r="1510" spans="1:15" x14ac:dyDescent="0.25">
      <c r="A1510" s="32">
        <v>4382472</v>
      </c>
      <c r="B1510" s="32" t="s">
        <v>21</v>
      </c>
      <c r="C1510" s="33" t="s">
        <v>21</v>
      </c>
      <c r="D1510" s="35">
        <v>45448</v>
      </c>
      <c r="E1510" s="32" t="s">
        <v>185</v>
      </c>
      <c r="F1510" s="32">
        <v>22026223</v>
      </c>
      <c r="G1510" s="32" t="s">
        <v>195</v>
      </c>
      <c r="H1510" s="26" t="s">
        <v>38</v>
      </c>
      <c r="I1510" s="36">
        <v>305</v>
      </c>
      <c r="J1510" s="32">
        <f>IF(MB25_VOLUMETRIA[[#This Row],[Reserva]]="","",1)</f>
        <v>1</v>
      </c>
      <c r="K1510" s="36" t="str">
        <f>IF(MB25_VOLUMETRIA[[#This Row],[Reserva]]="","",IFERROR(VLOOKUP(MB25_VOLUMETRIA[[#This Row],[UMB]],CHAVE[],2,FALSE),"VERIFICAR"))</f>
        <v>Unidade</v>
      </c>
      <c r="L15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0" s="32" t="str">
        <f ca="1">IFERROR(VLOOKUP(MB25_VOLUMETRIA[[#This Row],[Reserva]],RES_AB[],14,FALSE),"")</f>
        <v>PLANO DO DIA</v>
      </c>
      <c r="N1510" s="32" t="str">
        <f>IF(MB25_VOLUMETRIA[[#This Row],[Cen.]]="","",IFERROR(VLOOKUP(MB25_VOLUMETRIA[[#This Row],[Cen.]],Dados_Empresas[],2,FALSE),"Verificar empresa"))</f>
        <v>NET MASSIVO</v>
      </c>
      <c r="O1510" s="32" t="str">
        <f>IF(MB25_VOLUMETRIA[[#This Row],[EMPRESA]]="","",IF(OR(MB25_VOLUMETRIA[[#This Row],[EMPRESA]]="NET MASSIVO",MB25_VOLUMETRIA[[#This Row],[EMPRESA]]="NET PROJETOS"),"NET","EMPRESARIAL"))</f>
        <v>NET</v>
      </c>
    </row>
    <row r="1511" spans="1:15" x14ac:dyDescent="0.25">
      <c r="A1511" s="32">
        <v>4382472</v>
      </c>
      <c r="B1511" s="32" t="s">
        <v>21</v>
      </c>
      <c r="C1511" s="33" t="s">
        <v>19</v>
      </c>
      <c r="D1511" s="35">
        <v>45448</v>
      </c>
      <c r="E1511" s="32" t="s">
        <v>185</v>
      </c>
      <c r="F1511" s="32">
        <v>22026251</v>
      </c>
      <c r="G1511" s="32" t="s">
        <v>247</v>
      </c>
      <c r="H1511" s="26" t="s">
        <v>38</v>
      </c>
      <c r="I1511" s="36">
        <v>20</v>
      </c>
      <c r="J1511" s="32">
        <f>IF(MB25_VOLUMETRIA[[#This Row],[Reserva]]="","",1)</f>
        <v>1</v>
      </c>
      <c r="K1511" s="36" t="str">
        <f>IF(MB25_VOLUMETRIA[[#This Row],[Reserva]]="","",IFERROR(VLOOKUP(MB25_VOLUMETRIA[[#This Row],[UMB]],CHAVE[],2,FALSE),"VERIFICAR"))</f>
        <v>Unidade</v>
      </c>
      <c r="L15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1" s="32" t="str">
        <f ca="1">IFERROR(VLOOKUP(MB25_VOLUMETRIA[[#This Row],[Reserva]],RES_AB[],14,FALSE),"")</f>
        <v>PLANO DO DIA</v>
      </c>
      <c r="N1511" s="32" t="str">
        <f>IF(MB25_VOLUMETRIA[[#This Row],[Cen.]]="","",IFERROR(VLOOKUP(MB25_VOLUMETRIA[[#This Row],[Cen.]],Dados_Empresas[],2,FALSE),"Verificar empresa"))</f>
        <v>NET MASSIVO</v>
      </c>
      <c r="O1511" s="32" t="str">
        <f>IF(MB25_VOLUMETRIA[[#This Row],[EMPRESA]]="","",IF(OR(MB25_VOLUMETRIA[[#This Row],[EMPRESA]]="NET MASSIVO",MB25_VOLUMETRIA[[#This Row],[EMPRESA]]="NET PROJETOS"),"NET","EMPRESARIAL"))</f>
        <v>NET</v>
      </c>
    </row>
    <row r="1512" spans="1:15" x14ac:dyDescent="0.25">
      <c r="A1512" s="32">
        <v>4382472</v>
      </c>
      <c r="B1512" s="32" t="s">
        <v>21</v>
      </c>
      <c r="C1512" s="33" t="s">
        <v>21</v>
      </c>
      <c r="D1512" s="35">
        <v>45448</v>
      </c>
      <c r="E1512" s="32" t="s">
        <v>185</v>
      </c>
      <c r="F1512" s="32">
        <v>22065513</v>
      </c>
      <c r="G1512" s="32" t="s">
        <v>227</v>
      </c>
      <c r="H1512" s="26" t="s">
        <v>38</v>
      </c>
      <c r="I1512" s="36">
        <v>20</v>
      </c>
      <c r="J1512" s="32">
        <f>IF(MB25_VOLUMETRIA[[#This Row],[Reserva]]="","",1)</f>
        <v>1</v>
      </c>
      <c r="K1512" s="36" t="str">
        <f>IF(MB25_VOLUMETRIA[[#This Row],[Reserva]]="","",IFERROR(VLOOKUP(MB25_VOLUMETRIA[[#This Row],[UMB]],CHAVE[],2,FALSE),"VERIFICAR"))</f>
        <v>Unidade</v>
      </c>
      <c r="L15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2" s="32" t="str">
        <f ca="1">IFERROR(VLOOKUP(MB25_VOLUMETRIA[[#This Row],[Reserva]],RES_AB[],14,FALSE),"")</f>
        <v>PLANO DO DIA</v>
      </c>
      <c r="N1512" s="32" t="str">
        <f>IF(MB25_VOLUMETRIA[[#This Row],[Cen.]]="","",IFERROR(VLOOKUP(MB25_VOLUMETRIA[[#This Row],[Cen.]],Dados_Empresas[],2,FALSE),"Verificar empresa"))</f>
        <v>NET MASSIVO</v>
      </c>
      <c r="O1512" s="32" t="str">
        <f>IF(MB25_VOLUMETRIA[[#This Row],[EMPRESA]]="","",IF(OR(MB25_VOLUMETRIA[[#This Row],[EMPRESA]]="NET MASSIVO",MB25_VOLUMETRIA[[#This Row],[EMPRESA]]="NET PROJETOS"),"NET","EMPRESARIAL"))</f>
        <v>NET</v>
      </c>
    </row>
    <row r="1513" spans="1:15" x14ac:dyDescent="0.25">
      <c r="A1513" s="32">
        <v>4382473</v>
      </c>
      <c r="B1513" s="32" t="s">
        <v>21</v>
      </c>
      <c r="C1513" s="33" t="s">
        <v>19</v>
      </c>
      <c r="D1513" s="35">
        <v>45448</v>
      </c>
      <c r="E1513" s="32" t="s">
        <v>192</v>
      </c>
      <c r="F1513" s="32">
        <v>41001481</v>
      </c>
      <c r="G1513" s="32" t="s">
        <v>403</v>
      </c>
      <c r="H1513" s="26" t="s">
        <v>38</v>
      </c>
      <c r="I1513" s="36">
        <v>20</v>
      </c>
      <c r="J1513" s="32">
        <f>IF(MB25_VOLUMETRIA[[#This Row],[Reserva]]="","",1)</f>
        <v>1</v>
      </c>
      <c r="K1513" s="36" t="str">
        <f>IF(MB25_VOLUMETRIA[[#This Row],[Reserva]]="","",IFERROR(VLOOKUP(MB25_VOLUMETRIA[[#This Row],[UMB]],CHAVE[],2,FALSE),"VERIFICAR"))</f>
        <v>Unidade</v>
      </c>
      <c r="L15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3" s="32" t="str">
        <f ca="1">IFERROR(VLOOKUP(MB25_VOLUMETRIA[[#This Row],[Reserva]],RES_AB[],14,FALSE),"")</f>
        <v>PLANO DO DIA</v>
      </c>
      <c r="N1513" s="32" t="str">
        <f>IF(MB25_VOLUMETRIA[[#This Row],[Cen.]]="","",IFERROR(VLOOKUP(MB25_VOLUMETRIA[[#This Row],[Cen.]],Dados_Empresas[],2,FALSE),"Verificar empresa"))</f>
        <v>NET MASSIVO</v>
      </c>
      <c r="O1513" s="32" t="str">
        <f>IF(MB25_VOLUMETRIA[[#This Row],[EMPRESA]]="","",IF(OR(MB25_VOLUMETRIA[[#This Row],[EMPRESA]]="NET MASSIVO",MB25_VOLUMETRIA[[#This Row],[EMPRESA]]="NET PROJETOS"),"NET","EMPRESARIAL"))</f>
        <v>NET</v>
      </c>
    </row>
    <row r="1514" spans="1:15" x14ac:dyDescent="0.25">
      <c r="A1514" s="32">
        <v>4382474</v>
      </c>
      <c r="B1514" s="32" t="s">
        <v>21</v>
      </c>
      <c r="C1514" s="33" t="s">
        <v>19</v>
      </c>
      <c r="D1514" s="35">
        <v>45448</v>
      </c>
      <c r="E1514" s="32" t="s">
        <v>192</v>
      </c>
      <c r="F1514" s="32">
        <v>41001481</v>
      </c>
      <c r="G1514" s="32" t="s">
        <v>403</v>
      </c>
      <c r="H1514" s="26" t="s">
        <v>38</v>
      </c>
      <c r="I1514" s="36">
        <v>90</v>
      </c>
      <c r="J1514" s="32">
        <f>IF(MB25_VOLUMETRIA[[#This Row],[Reserva]]="","",1)</f>
        <v>1</v>
      </c>
      <c r="K1514" s="36" t="str">
        <f>IF(MB25_VOLUMETRIA[[#This Row],[Reserva]]="","",IFERROR(VLOOKUP(MB25_VOLUMETRIA[[#This Row],[UMB]],CHAVE[],2,FALSE),"VERIFICAR"))</f>
        <v>Unidade</v>
      </c>
      <c r="L15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4" s="32" t="str">
        <f ca="1">IFERROR(VLOOKUP(MB25_VOLUMETRIA[[#This Row],[Reserva]],RES_AB[],14,FALSE),"")</f>
        <v>PLANO DO DIA</v>
      </c>
      <c r="N1514" s="32" t="str">
        <f>IF(MB25_VOLUMETRIA[[#This Row],[Cen.]]="","",IFERROR(VLOOKUP(MB25_VOLUMETRIA[[#This Row],[Cen.]],Dados_Empresas[],2,FALSE),"Verificar empresa"))</f>
        <v>NET MASSIVO</v>
      </c>
      <c r="O1514" s="32" t="str">
        <f>IF(MB25_VOLUMETRIA[[#This Row],[EMPRESA]]="","",IF(OR(MB25_VOLUMETRIA[[#This Row],[EMPRESA]]="NET MASSIVO",MB25_VOLUMETRIA[[#This Row],[EMPRESA]]="NET PROJETOS"),"NET","EMPRESARIAL"))</f>
        <v>NET</v>
      </c>
    </row>
    <row r="1515" spans="1:15" x14ac:dyDescent="0.25">
      <c r="A1515" s="32">
        <v>4382475</v>
      </c>
      <c r="B1515" s="32" t="s">
        <v>21</v>
      </c>
      <c r="C1515" s="33" t="s">
        <v>19</v>
      </c>
      <c r="D1515" s="35">
        <v>45448</v>
      </c>
      <c r="E1515" s="32" t="s">
        <v>185</v>
      </c>
      <c r="F1515" s="32">
        <v>22026251</v>
      </c>
      <c r="G1515" s="32" t="s">
        <v>247</v>
      </c>
      <c r="H1515" s="26" t="s">
        <v>38</v>
      </c>
      <c r="I1515" s="36">
        <v>60</v>
      </c>
      <c r="J1515" s="32">
        <f>IF(MB25_VOLUMETRIA[[#This Row],[Reserva]]="","",1)</f>
        <v>1</v>
      </c>
      <c r="K1515" s="36" t="str">
        <f>IF(MB25_VOLUMETRIA[[#This Row],[Reserva]]="","",IFERROR(VLOOKUP(MB25_VOLUMETRIA[[#This Row],[UMB]],CHAVE[],2,FALSE),"VERIFICAR"))</f>
        <v>Unidade</v>
      </c>
      <c r="L15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5" s="32" t="str">
        <f ca="1">IFERROR(VLOOKUP(MB25_VOLUMETRIA[[#This Row],[Reserva]],RES_AB[],14,FALSE),"")</f>
        <v>PLANO DO DIA</v>
      </c>
      <c r="N1515" s="32" t="str">
        <f>IF(MB25_VOLUMETRIA[[#This Row],[Cen.]]="","",IFERROR(VLOOKUP(MB25_VOLUMETRIA[[#This Row],[Cen.]],Dados_Empresas[],2,FALSE),"Verificar empresa"))</f>
        <v>NET MASSIVO</v>
      </c>
      <c r="O1515" s="32" t="str">
        <f>IF(MB25_VOLUMETRIA[[#This Row],[EMPRESA]]="","",IF(OR(MB25_VOLUMETRIA[[#This Row],[EMPRESA]]="NET MASSIVO",MB25_VOLUMETRIA[[#This Row],[EMPRESA]]="NET PROJETOS"),"NET","EMPRESARIAL"))</f>
        <v>NET</v>
      </c>
    </row>
    <row r="1516" spans="1:15" x14ac:dyDescent="0.25">
      <c r="A1516" s="32">
        <v>4382476</v>
      </c>
      <c r="B1516" s="32" t="s">
        <v>21</v>
      </c>
      <c r="C1516" s="33" t="s">
        <v>19</v>
      </c>
      <c r="D1516" s="35">
        <v>45448</v>
      </c>
      <c r="E1516" s="32" t="s">
        <v>192</v>
      </c>
      <c r="F1516" s="32">
        <v>41001481</v>
      </c>
      <c r="G1516" s="32" t="s">
        <v>403</v>
      </c>
      <c r="H1516" s="26" t="s">
        <v>38</v>
      </c>
      <c r="I1516" s="36">
        <v>20</v>
      </c>
      <c r="J1516" s="32">
        <f>IF(MB25_VOLUMETRIA[[#This Row],[Reserva]]="","",1)</f>
        <v>1</v>
      </c>
      <c r="K1516" s="36" t="str">
        <f>IF(MB25_VOLUMETRIA[[#This Row],[Reserva]]="","",IFERROR(VLOOKUP(MB25_VOLUMETRIA[[#This Row],[UMB]],CHAVE[],2,FALSE),"VERIFICAR"))</f>
        <v>Unidade</v>
      </c>
      <c r="L15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6" s="32" t="str">
        <f ca="1">IFERROR(VLOOKUP(MB25_VOLUMETRIA[[#This Row],[Reserva]],RES_AB[],14,FALSE),"")</f>
        <v>PLANO DO DIA</v>
      </c>
      <c r="N1516" s="32" t="str">
        <f>IF(MB25_VOLUMETRIA[[#This Row],[Cen.]]="","",IFERROR(VLOOKUP(MB25_VOLUMETRIA[[#This Row],[Cen.]],Dados_Empresas[],2,FALSE),"Verificar empresa"))</f>
        <v>NET MASSIVO</v>
      </c>
      <c r="O1516" s="32" t="str">
        <f>IF(MB25_VOLUMETRIA[[#This Row],[EMPRESA]]="","",IF(OR(MB25_VOLUMETRIA[[#This Row],[EMPRESA]]="NET MASSIVO",MB25_VOLUMETRIA[[#This Row],[EMPRESA]]="NET PROJETOS"),"NET","EMPRESARIAL"))</f>
        <v>NET</v>
      </c>
    </row>
    <row r="1517" spans="1:15" x14ac:dyDescent="0.25">
      <c r="A1517" s="32">
        <v>4382477</v>
      </c>
      <c r="B1517" s="32" t="s">
        <v>21</v>
      </c>
      <c r="C1517" s="33" t="s">
        <v>19</v>
      </c>
      <c r="D1517" s="35">
        <v>45448</v>
      </c>
      <c r="E1517" s="32" t="s">
        <v>185</v>
      </c>
      <c r="F1517" s="32">
        <v>22025320</v>
      </c>
      <c r="G1517" s="32" t="s">
        <v>405</v>
      </c>
      <c r="H1517" s="26" t="s">
        <v>38</v>
      </c>
      <c r="I1517" s="36">
        <v>10</v>
      </c>
      <c r="J1517" s="32">
        <f>IF(MB25_VOLUMETRIA[[#This Row],[Reserva]]="","",1)</f>
        <v>1</v>
      </c>
      <c r="K1517" s="36" t="str">
        <f>IF(MB25_VOLUMETRIA[[#This Row],[Reserva]]="","",IFERROR(VLOOKUP(MB25_VOLUMETRIA[[#This Row],[UMB]],CHAVE[],2,FALSE),"VERIFICAR"))</f>
        <v>Unidade</v>
      </c>
      <c r="L15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7" s="32" t="str">
        <f ca="1">IFERROR(VLOOKUP(MB25_VOLUMETRIA[[#This Row],[Reserva]],RES_AB[],14,FALSE),"")</f>
        <v>PLANO DO DIA</v>
      </c>
      <c r="N1517" s="32" t="str">
        <f>IF(MB25_VOLUMETRIA[[#This Row],[Cen.]]="","",IFERROR(VLOOKUP(MB25_VOLUMETRIA[[#This Row],[Cen.]],Dados_Empresas[],2,FALSE),"Verificar empresa"))</f>
        <v>NET MASSIVO</v>
      </c>
      <c r="O1517" s="32" t="str">
        <f>IF(MB25_VOLUMETRIA[[#This Row],[EMPRESA]]="","",IF(OR(MB25_VOLUMETRIA[[#This Row],[EMPRESA]]="NET MASSIVO",MB25_VOLUMETRIA[[#This Row],[EMPRESA]]="NET PROJETOS"),"NET","EMPRESARIAL"))</f>
        <v>NET</v>
      </c>
    </row>
    <row r="1518" spans="1:15" x14ac:dyDescent="0.25">
      <c r="A1518" s="32">
        <v>4382477</v>
      </c>
      <c r="B1518" s="32" t="s">
        <v>21</v>
      </c>
      <c r="C1518" s="33" t="s">
        <v>21</v>
      </c>
      <c r="D1518" s="35">
        <v>45448</v>
      </c>
      <c r="E1518" s="32" t="s">
        <v>185</v>
      </c>
      <c r="F1518" s="32">
        <v>22026158</v>
      </c>
      <c r="G1518" s="32" t="s">
        <v>232</v>
      </c>
      <c r="H1518" s="26" t="s">
        <v>38</v>
      </c>
      <c r="I1518" s="36">
        <v>20</v>
      </c>
      <c r="J1518" s="32">
        <f>IF(MB25_VOLUMETRIA[[#This Row],[Reserva]]="","",1)</f>
        <v>1</v>
      </c>
      <c r="K1518" s="36" t="str">
        <f>IF(MB25_VOLUMETRIA[[#This Row],[Reserva]]="","",IFERROR(VLOOKUP(MB25_VOLUMETRIA[[#This Row],[UMB]],CHAVE[],2,FALSE),"VERIFICAR"))</f>
        <v>Unidade</v>
      </c>
      <c r="L15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8" s="32" t="str">
        <f ca="1">IFERROR(VLOOKUP(MB25_VOLUMETRIA[[#This Row],[Reserva]],RES_AB[],14,FALSE),"")</f>
        <v>PLANO DO DIA</v>
      </c>
      <c r="N1518" s="32" t="str">
        <f>IF(MB25_VOLUMETRIA[[#This Row],[Cen.]]="","",IFERROR(VLOOKUP(MB25_VOLUMETRIA[[#This Row],[Cen.]],Dados_Empresas[],2,FALSE),"Verificar empresa"))</f>
        <v>NET MASSIVO</v>
      </c>
      <c r="O1518" s="32" t="str">
        <f>IF(MB25_VOLUMETRIA[[#This Row],[EMPRESA]]="","",IF(OR(MB25_VOLUMETRIA[[#This Row],[EMPRESA]]="NET MASSIVO",MB25_VOLUMETRIA[[#This Row],[EMPRESA]]="NET PROJETOS"),"NET","EMPRESARIAL"))</f>
        <v>NET</v>
      </c>
    </row>
    <row r="1519" spans="1:15" x14ac:dyDescent="0.25">
      <c r="A1519" s="32">
        <v>4382477</v>
      </c>
      <c r="B1519" s="32" t="s">
        <v>21</v>
      </c>
      <c r="C1519" s="33" t="s">
        <v>21</v>
      </c>
      <c r="D1519" s="35">
        <v>45448</v>
      </c>
      <c r="E1519" s="32" t="s">
        <v>185</v>
      </c>
      <c r="F1519" s="32">
        <v>22026189</v>
      </c>
      <c r="G1519" s="32" t="s">
        <v>200</v>
      </c>
      <c r="H1519" s="26" t="s">
        <v>38</v>
      </c>
      <c r="I1519" s="36">
        <v>800</v>
      </c>
      <c r="J1519" s="32">
        <f>IF(MB25_VOLUMETRIA[[#This Row],[Reserva]]="","",1)</f>
        <v>1</v>
      </c>
      <c r="K1519" s="36" t="str">
        <f>IF(MB25_VOLUMETRIA[[#This Row],[Reserva]]="","",IFERROR(VLOOKUP(MB25_VOLUMETRIA[[#This Row],[UMB]],CHAVE[],2,FALSE),"VERIFICAR"))</f>
        <v>Unidade</v>
      </c>
      <c r="L15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19" s="32" t="str">
        <f ca="1">IFERROR(VLOOKUP(MB25_VOLUMETRIA[[#This Row],[Reserva]],RES_AB[],14,FALSE),"")</f>
        <v>PLANO DO DIA</v>
      </c>
      <c r="N1519" s="32" t="str">
        <f>IF(MB25_VOLUMETRIA[[#This Row],[Cen.]]="","",IFERROR(VLOOKUP(MB25_VOLUMETRIA[[#This Row],[Cen.]],Dados_Empresas[],2,FALSE),"Verificar empresa"))</f>
        <v>NET MASSIVO</v>
      </c>
      <c r="O1519" s="32" t="str">
        <f>IF(MB25_VOLUMETRIA[[#This Row],[EMPRESA]]="","",IF(OR(MB25_VOLUMETRIA[[#This Row],[EMPRESA]]="NET MASSIVO",MB25_VOLUMETRIA[[#This Row],[EMPRESA]]="NET PROJETOS"),"NET","EMPRESARIAL"))</f>
        <v>NET</v>
      </c>
    </row>
    <row r="1520" spans="1:15" x14ac:dyDescent="0.25">
      <c r="A1520" s="32">
        <v>4382477</v>
      </c>
      <c r="B1520" s="32" t="s">
        <v>21</v>
      </c>
      <c r="C1520" s="33" t="s">
        <v>19</v>
      </c>
      <c r="D1520" s="35">
        <v>45448</v>
      </c>
      <c r="E1520" s="32" t="s">
        <v>185</v>
      </c>
      <c r="F1520" s="32">
        <v>22026251</v>
      </c>
      <c r="G1520" s="32" t="s">
        <v>247</v>
      </c>
      <c r="H1520" s="26" t="s">
        <v>38</v>
      </c>
      <c r="I1520" s="36">
        <v>30</v>
      </c>
      <c r="J1520" s="32">
        <f>IF(MB25_VOLUMETRIA[[#This Row],[Reserva]]="","",1)</f>
        <v>1</v>
      </c>
      <c r="K1520" s="36" t="str">
        <f>IF(MB25_VOLUMETRIA[[#This Row],[Reserva]]="","",IFERROR(VLOOKUP(MB25_VOLUMETRIA[[#This Row],[UMB]],CHAVE[],2,FALSE),"VERIFICAR"))</f>
        <v>Unidade</v>
      </c>
      <c r="L15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0" s="32" t="str">
        <f ca="1">IFERROR(VLOOKUP(MB25_VOLUMETRIA[[#This Row],[Reserva]],RES_AB[],14,FALSE),"")</f>
        <v>PLANO DO DIA</v>
      </c>
      <c r="N1520" s="32" t="str">
        <f>IF(MB25_VOLUMETRIA[[#This Row],[Cen.]]="","",IFERROR(VLOOKUP(MB25_VOLUMETRIA[[#This Row],[Cen.]],Dados_Empresas[],2,FALSE),"Verificar empresa"))</f>
        <v>NET MASSIVO</v>
      </c>
      <c r="O1520" s="32" t="str">
        <f>IF(MB25_VOLUMETRIA[[#This Row],[EMPRESA]]="","",IF(OR(MB25_VOLUMETRIA[[#This Row],[EMPRESA]]="NET MASSIVO",MB25_VOLUMETRIA[[#This Row],[EMPRESA]]="NET PROJETOS"),"NET","EMPRESARIAL"))</f>
        <v>NET</v>
      </c>
    </row>
    <row r="1521" spans="1:15" x14ac:dyDescent="0.25">
      <c r="A1521" s="32">
        <v>4382477</v>
      </c>
      <c r="B1521" s="32" t="s">
        <v>21</v>
      </c>
      <c r="C1521" s="33" t="s">
        <v>21</v>
      </c>
      <c r="D1521" s="35">
        <v>45448</v>
      </c>
      <c r="E1521" s="32" t="s">
        <v>185</v>
      </c>
      <c r="F1521" s="32">
        <v>22026746</v>
      </c>
      <c r="G1521" s="32" t="s">
        <v>205</v>
      </c>
      <c r="H1521" s="26" t="s">
        <v>38</v>
      </c>
      <c r="I1521" s="36">
        <v>50</v>
      </c>
      <c r="J1521" s="32">
        <f>IF(MB25_VOLUMETRIA[[#This Row],[Reserva]]="","",1)</f>
        <v>1</v>
      </c>
      <c r="K1521" s="36" t="str">
        <f>IF(MB25_VOLUMETRIA[[#This Row],[Reserva]]="","",IFERROR(VLOOKUP(MB25_VOLUMETRIA[[#This Row],[UMB]],CHAVE[],2,FALSE),"VERIFICAR"))</f>
        <v>Unidade</v>
      </c>
      <c r="L15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1" s="32" t="str">
        <f ca="1">IFERROR(VLOOKUP(MB25_VOLUMETRIA[[#This Row],[Reserva]],RES_AB[],14,FALSE),"")</f>
        <v>PLANO DO DIA</v>
      </c>
      <c r="N1521" s="32" t="str">
        <f>IF(MB25_VOLUMETRIA[[#This Row],[Cen.]]="","",IFERROR(VLOOKUP(MB25_VOLUMETRIA[[#This Row],[Cen.]],Dados_Empresas[],2,FALSE),"Verificar empresa"))</f>
        <v>NET MASSIVO</v>
      </c>
      <c r="O1521" s="32" t="str">
        <f>IF(MB25_VOLUMETRIA[[#This Row],[EMPRESA]]="","",IF(OR(MB25_VOLUMETRIA[[#This Row],[EMPRESA]]="NET MASSIVO",MB25_VOLUMETRIA[[#This Row],[EMPRESA]]="NET PROJETOS"),"NET","EMPRESARIAL"))</f>
        <v>NET</v>
      </c>
    </row>
    <row r="1522" spans="1:15" x14ac:dyDescent="0.25">
      <c r="A1522" s="32">
        <v>4382477</v>
      </c>
      <c r="B1522" s="32" t="s">
        <v>21</v>
      </c>
      <c r="C1522" s="33" t="s">
        <v>21</v>
      </c>
      <c r="D1522" s="35">
        <v>45448</v>
      </c>
      <c r="E1522" s="32" t="s">
        <v>185</v>
      </c>
      <c r="F1522" s="32">
        <v>22026772</v>
      </c>
      <c r="G1522" s="32" t="s">
        <v>201</v>
      </c>
      <c r="H1522" s="26" t="s">
        <v>38</v>
      </c>
      <c r="I1522" s="36">
        <v>100</v>
      </c>
      <c r="J1522" s="32">
        <f>IF(MB25_VOLUMETRIA[[#This Row],[Reserva]]="","",1)</f>
        <v>1</v>
      </c>
      <c r="K1522" s="36" t="str">
        <f>IF(MB25_VOLUMETRIA[[#This Row],[Reserva]]="","",IFERROR(VLOOKUP(MB25_VOLUMETRIA[[#This Row],[UMB]],CHAVE[],2,FALSE),"VERIFICAR"))</f>
        <v>Unidade</v>
      </c>
      <c r="L15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2" s="32" t="str">
        <f ca="1">IFERROR(VLOOKUP(MB25_VOLUMETRIA[[#This Row],[Reserva]],RES_AB[],14,FALSE),"")</f>
        <v>PLANO DO DIA</v>
      </c>
      <c r="N1522" s="32" t="str">
        <f>IF(MB25_VOLUMETRIA[[#This Row],[Cen.]]="","",IFERROR(VLOOKUP(MB25_VOLUMETRIA[[#This Row],[Cen.]],Dados_Empresas[],2,FALSE),"Verificar empresa"))</f>
        <v>NET MASSIVO</v>
      </c>
      <c r="O1522" s="32" t="str">
        <f>IF(MB25_VOLUMETRIA[[#This Row],[EMPRESA]]="","",IF(OR(MB25_VOLUMETRIA[[#This Row],[EMPRESA]]="NET MASSIVO",MB25_VOLUMETRIA[[#This Row],[EMPRESA]]="NET PROJETOS"),"NET","EMPRESARIAL"))</f>
        <v>NET</v>
      </c>
    </row>
    <row r="1523" spans="1:15" x14ac:dyDescent="0.25">
      <c r="A1523" s="32">
        <v>4382477</v>
      </c>
      <c r="B1523" s="32" t="s">
        <v>21</v>
      </c>
      <c r="C1523" s="33" t="s">
        <v>21</v>
      </c>
      <c r="D1523" s="35">
        <v>45448</v>
      </c>
      <c r="E1523" s="32" t="s">
        <v>185</v>
      </c>
      <c r="F1523" s="32">
        <v>22026792</v>
      </c>
      <c r="G1523" s="32" t="s">
        <v>202</v>
      </c>
      <c r="H1523" s="26" t="s">
        <v>38</v>
      </c>
      <c r="I1523" s="36">
        <v>25</v>
      </c>
      <c r="J1523" s="32">
        <f>IF(MB25_VOLUMETRIA[[#This Row],[Reserva]]="","",1)</f>
        <v>1</v>
      </c>
      <c r="K1523" s="36" t="str">
        <f>IF(MB25_VOLUMETRIA[[#This Row],[Reserva]]="","",IFERROR(VLOOKUP(MB25_VOLUMETRIA[[#This Row],[UMB]],CHAVE[],2,FALSE),"VERIFICAR"))</f>
        <v>Unidade</v>
      </c>
      <c r="L15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3" s="32" t="str">
        <f ca="1">IFERROR(VLOOKUP(MB25_VOLUMETRIA[[#This Row],[Reserva]],RES_AB[],14,FALSE),"")</f>
        <v>PLANO DO DIA</v>
      </c>
      <c r="N1523" s="32" t="str">
        <f>IF(MB25_VOLUMETRIA[[#This Row],[Cen.]]="","",IFERROR(VLOOKUP(MB25_VOLUMETRIA[[#This Row],[Cen.]],Dados_Empresas[],2,FALSE),"Verificar empresa"))</f>
        <v>NET MASSIVO</v>
      </c>
      <c r="O1523" s="32" t="str">
        <f>IF(MB25_VOLUMETRIA[[#This Row],[EMPRESA]]="","",IF(OR(MB25_VOLUMETRIA[[#This Row],[EMPRESA]]="NET MASSIVO",MB25_VOLUMETRIA[[#This Row],[EMPRESA]]="NET PROJETOS"),"NET","EMPRESARIAL"))</f>
        <v>NET</v>
      </c>
    </row>
    <row r="1524" spans="1:15" x14ac:dyDescent="0.25">
      <c r="A1524" s="32">
        <v>4382477</v>
      </c>
      <c r="B1524" s="32" t="s">
        <v>21</v>
      </c>
      <c r="C1524" s="33" t="s">
        <v>21</v>
      </c>
      <c r="D1524" s="35">
        <v>45448</v>
      </c>
      <c r="E1524" s="32" t="s">
        <v>185</v>
      </c>
      <c r="F1524" s="32">
        <v>22026809</v>
      </c>
      <c r="G1524" s="32" t="s">
        <v>231</v>
      </c>
      <c r="H1524" s="26" t="s">
        <v>38</v>
      </c>
      <c r="I1524" s="36">
        <v>100</v>
      </c>
      <c r="J1524" s="32">
        <f>IF(MB25_VOLUMETRIA[[#This Row],[Reserva]]="","",1)</f>
        <v>1</v>
      </c>
      <c r="K1524" s="36" t="str">
        <f>IF(MB25_VOLUMETRIA[[#This Row],[Reserva]]="","",IFERROR(VLOOKUP(MB25_VOLUMETRIA[[#This Row],[UMB]],CHAVE[],2,FALSE),"VERIFICAR"))</f>
        <v>Unidade</v>
      </c>
      <c r="L15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4" s="32" t="str">
        <f ca="1">IFERROR(VLOOKUP(MB25_VOLUMETRIA[[#This Row],[Reserva]],RES_AB[],14,FALSE),"")</f>
        <v>PLANO DO DIA</v>
      </c>
      <c r="N1524" s="32" t="str">
        <f>IF(MB25_VOLUMETRIA[[#This Row],[Cen.]]="","",IFERROR(VLOOKUP(MB25_VOLUMETRIA[[#This Row],[Cen.]],Dados_Empresas[],2,FALSE),"Verificar empresa"))</f>
        <v>NET MASSIVO</v>
      </c>
      <c r="O1524" s="32" t="str">
        <f>IF(MB25_VOLUMETRIA[[#This Row],[EMPRESA]]="","",IF(OR(MB25_VOLUMETRIA[[#This Row],[EMPRESA]]="NET MASSIVO",MB25_VOLUMETRIA[[#This Row],[EMPRESA]]="NET PROJETOS"),"NET","EMPRESARIAL"))</f>
        <v>NET</v>
      </c>
    </row>
    <row r="1525" spans="1:15" x14ac:dyDescent="0.25">
      <c r="A1525" s="32">
        <v>4382477</v>
      </c>
      <c r="B1525" s="32" t="s">
        <v>21</v>
      </c>
      <c r="C1525" s="33" t="s">
        <v>21</v>
      </c>
      <c r="D1525" s="35">
        <v>45448</v>
      </c>
      <c r="E1525" s="32" t="s">
        <v>185</v>
      </c>
      <c r="F1525" s="32">
        <v>22056366</v>
      </c>
      <c r="G1525" s="32" t="s">
        <v>237</v>
      </c>
      <c r="H1525" s="26" t="s">
        <v>38</v>
      </c>
      <c r="I1525" s="36">
        <v>20</v>
      </c>
      <c r="J1525" s="32">
        <f>IF(MB25_VOLUMETRIA[[#This Row],[Reserva]]="","",1)</f>
        <v>1</v>
      </c>
      <c r="K1525" s="36" t="str">
        <f>IF(MB25_VOLUMETRIA[[#This Row],[Reserva]]="","",IFERROR(VLOOKUP(MB25_VOLUMETRIA[[#This Row],[UMB]],CHAVE[],2,FALSE),"VERIFICAR"))</f>
        <v>Unidade</v>
      </c>
      <c r="L15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5" s="32" t="str">
        <f ca="1">IFERROR(VLOOKUP(MB25_VOLUMETRIA[[#This Row],[Reserva]],RES_AB[],14,FALSE),"")</f>
        <v>PLANO DO DIA</v>
      </c>
      <c r="N1525" s="32" t="str">
        <f>IF(MB25_VOLUMETRIA[[#This Row],[Cen.]]="","",IFERROR(VLOOKUP(MB25_VOLUMETRIA[[#This Row],[Cen.]],Dados_Empresas[],2,FALSE),"Verificar empresa"))</f>
        <v>NET MASSIVO</v>
      </c>
      <c r="O1525" s="32" t="str">
        <f>IF(MB25_VOLUMETRIA[[#This Row],[EMPRESA]]="","",IF(OR(MB25_VOLUMETRIA[[#This Row],[EMPRESA]]="NET MASSIVO",MB25_VOLUMETRIA[[#This Row],[EMPRESA]]="NET PROJETOS"),"NET","EMPRESARIAL"))</f>
        <v>NET</v>
      </c>
    </row>
    <row r="1526" spans="1:15" x14ac:dyDescent="0.25">
      <c r="A1526" s="32">
        <v>4382477</v>
      </c>
      <c r="B1526" s="32" t="s">
        <v>21</v>
      </c>
      <c r="C1526" s="33" t="s">
        <v>21</v>
      </c>
      <c r="D1526" s="35">
        <v>45448</v>
      </c>
      <c r="E1526" s="32" t="s">
        <v>185</v>
      </c>
      <c r="F1526" s="32">
        <v>22056369</v>
      </c>
      <c r="G1526" s="32" t="s">
        <v>194</v>
      </c>
      <c r="H1526" s="26" t="s">
        <v>38</v>
      </c>
      <c r="I1526" s="36">
        <v>100</v>
      </c>
      <c r="J1526" s="32">
        <f>IF(MB25_VOLUMETRIA[[#This Row],[Reserva]]="","",1)</f>
        <v>1</v>
      </c>
      <c r="K1526" s="36" t="str">
        <f>IF(MB25_VOLUMETRIA[[#This Row],[Reserva]]="","",IFERROR(VLOOKUP(MB25_VOLUMETRIA[[#This Row],[UMB]],CHAVE[],2,FALSE),"VERIFICAR"))</f>
        <v>Unidade</v>
      </c>
      <c r="L15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6" s="32" t="str">
        <f ca="1">IFERROR(VLOOKUP(MB25_VOLUMETRIA[[#This Row],[Reserva]],RES_AB[],14,FALSE),"")</f>
        <v>PLANO DO DIA</v>
      </c>
      <c r="N1526" s="32" t="str">
        <f>IF(MB25_VOLUMETRIA[[#This Row],[Cen.]]="","",IFERROR(VLOOKUP(MB25_VOLUMETRIA[[#This Row],[Cen.]],Dados_Empresas[],2,FALSE),"Verificar empresa"))</f>
        <v>NET MASSIVO</v>
      </c>
      <c r="O1526" s="32" t="str">
        <f>IF(MB25_VOLUMETRIA[[#This Row],[EMPRESA]]="","",IF(OR(MB25_VOLUMETRIA[[#This Row],[EMPRESA]]="NET MASSIVO",MB25_VOLUMETRIA[[#This Row],[EMPRESA]]="NET PROJETOS"),"NET","EMPRESARIAL"))</f>
        <v>NET</v>
      </c>
    </row>
    <row r="1527" spans="1:15" x14ac:dyDescent="0.25">
      <c r="A1527" s="32">
        <v>4382477</v>
      </c>
      <c r="B1527" s="32" t="s">
        <v>21</v>
      </c>
      <c r="C1527" s="33" t="s">
        <v>21</v>
      </c>
      <c r="D1527" s="35">
        <v>45448</v>
      </c>
      <c r="E1527" s="32" t="s">
        <v>185</v>
      </c>
      <c r="F1527" s="32">
        <v>22061811</v>
      </c>
      <c r="G1527" s="32" t="s">
        <v>226</v>
      </c>
      <c r="H1527" s="26" t="s">
        <v>38</v>
      </c>
      <c r="I1527" s="36">
        <v>100</v>
      </c>
      <c r="J1527" s="32">
        <f>IF(MB25_VOLUMETRIA[[#This Row],[Reserva]]="","",1)</f>
        <v>1</v>
      </c>
      <c r="K1527" s="36" t="str">
        <f>IF(MB25_VOLUMETRIA[[#This Row],[Reserva]]="","",IFERROR(VLOOKUP(MB25_VOLUMETRIA[[#This Row],[UMB]],CHAVE[],2,FALSE),"VERIFICAR"))</f>
        <v>Unidade</v>
      </c>
      <c r="L15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7" s="32" t="str">
        <f ca="1">IFERROR(VLOOKUP(MB25_VOLUMETRIA[[#This Row],[Reserva]],RES_AB[],14,FALSE),"")</f>
        <v>PLANO DO DIA</v>
      </c>
      <c r="N1527" s="32" t="str">
        <f>IF(MB25_VOLUMETRIA[[#This Row],[Cen.]]="","",IFERROR(VLOOKUP(MB25_VOLUMETRIA[[#This Row],[Cen.]],Dados_Empresas[],2,FALSE),"Verificar empresa"))</f>
        <v>NET MASSIVO</v>
      </c>
      <c r="O1527" s="32" t="str">
        <f>IF(MB25_VOLUMETRIA[[#This Row],[EMPRESA]]="","",IF(OR(MB25_VOLUMETRIA[[#This Row],[EMPRESA]]="NET MASSIVO",MB25_VOLUMETRIA[[#This Row],[EMPRESA]]="NET PROJETOS"),"NET","EMPRESARIAL"))</f>
        <v>NET</v>
      </c>
    </row>
    <row r="1528" spans="1:15" x14ac:dyDescent="0.25">
      <c r="A1528" s="32">
        <v>4382477</v>
      </c>
      <c r="B1528" s="32" t="s">
        <v>21</v>
      </c>
      <c r="C1528" s="33" t="s">
        <v>21</v>
      </c>
      <c r="D1528" s="35">
        <v>45448</v>
      </c>
      <c r="E1528" s="32" t="s">
        <v>185</v>
      </c>
      <c r="F1528" s="32">
        <v>22065513</v>
      </c>
      <c r="G1528" s="32" t="s">
        <v>227</v>
      </c>
      <c r="H1528" s="26" t="s">
        <v>38</v>
      </c>
      <c r="I1528" s="36">
        <v>30</v>
      </c>
      <c r="J1528" s="32">
        <f>IF(MB25_VOLUMETRIA[[#This Row],[Reserva]]="","",1)</f>
        <v>1</v>
      </c>
      <c r="K1528" s="36" t="str">
        <f>IF(MB25_VOLUMETRIA[[#This Row],[Reserva]]="","",IFERROR(VLOOKUP(MB25_VOLUMETRIA[[#This Row],[UMB]],CHAVE[],2,FALSE),"VERIFICAR"))</f>
        <v>Unidade</v>
      </c>
      <c r="L15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8" s="32" t="str">
        <f ca="1">IFERROR(VLOOKUP(MB25_VOLUMETRIA[[#This Row],[Reserva]],RES_AB[],14,FALSE),"")</f>
        <v>PLANO DO DIA</v>
      </c>
      <c r="N1528" s="32" t="str">
        <f>IF(MB25_VOLUMETRIA[[#This Row],[Cen.]]="","",IFERROR(VLOOKUP(MB25_VOLUMETRIA[[#This Row],[Cen.]],Dados_Empresas[],2,FALSE),"Verificar empresa"))</f>
        <v>NET MASSIVO</v>
      </c>
      <c r="O1528" s="32" t="str">
        <f>IF(MB25_VOLUMETRIA[[#This Row],[EMPRESA]]="","",IF(OR(MB25_VOLUMETRIA[[#This Row],[EMPRESA]]="NET MASSIVO",MB25_VOLUMETRIA[[#This Row],[EMPRESA]]="NET PROJETOS"),"NET","EMPRESARIAL"))</f>
        <v>NET</v>
      </c>
    </row>
    <row r="1529" spans="1:15" x14ac:dyDescent="0.25">
      <c r="A1529" s="32">
        <v>4382478</v>
      </c>
      <c r="B1529" s="32" t="s">
        <v>21</v>
      </c>
      <c r="C1529" s="33" t="s">
        <v>19</v>
      </c>
      <c r="D1529" s="35">
        <v>45448</v>
      </c>
      <c r="E1529" s="32" t="s">
        <v>192</v>
      </c>
      <c r="F1529" s="32">
        <v>41001481</v>
      </c>
      <c r="G1529" s="32" t="s">
        <v>403</v>
      </c>
      <c r="H1529" s="26" t="s">
        <v>38</v>
      </c>
      <c r="I1529" s="36">
        <v>30</v>
      </c>
      <c r="J1529" s="32">
        <f>IF(MB25_VOLUMETRIA[[#This Row],[Reserva]]="","",1)</f>
        <v>1</v>
      </c>
      <c r="K1529" s="36" t="str">
        <f>IF(MB25_VOLUMETRIA[[#This Row],[Reserva]]="","",IFERROR(VLOOKUP(MB25_VOLUMETRIA[[#This Row],[UMB]],CHAVE[],2,FALSE),"VERIFICAR"))</f>
        <v>Unidade</v>
      </c>
      <c r="L15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29" s="32" t="str">
        <f ca="1">IFERROR(VLOOKUP(MB25_VOLUMETRIA[[#This Row],[Reserva]],RES_AB[],14,FALSE),"")</f>
        <v>PLANO DO DIA</v>
      </c>
      <c r="N1529" s="32" t="str">
        <f>IF(MB25_VOLUMETRIA[[#This Row],[Cen.]]="","",IFERROR(VLOOKUP(MB25_VOLUMETRIA[[#This Row],[Cen.]],Dados_Empresas[],2,FALSE),"Verificar empresa"))</f>
        <v>NET MASSIVO</v>
      </c>
      <c r="O1529" s="32" t="str">
        <f>IF(MB25_VOLUMETRIA[[#This Row],[EMPRESA]]="","",IF(OR(MB25_VOLUMETRIA[[#This Row],[EMPRESA]]="NET MASSIVO",MB25_VOLUMETRIA[[#This Row],[EMPRESA]]="NET PROJETOS"),"NET","EMPRESARIAL"))</f>
        <v>NET</v>
      </c>
    </row>
    <row r="1530" spans="1:15" x14ac:dyDescent="0.25">
      <c r="A1530" s="32">
        <v>4382478</v>
      </c>
      <c r="B1530" s="32" t="s">
        <v>21</v>
      </c>
      <c r="C1530" s="33" t="s">
        <v>21</v>
      </c>
      <c r="D1530" s="35">
        <v>45448</v>
      </c>
      <c r="E1530" s="32" t="s">
        <v>192</v>
      </c>
      <c r="F1530" s="32">
        <v>41001536</v>
      </c>
      <c r="G1530" s="32" t="s">
        <v>371</v>
      </c>
      <c r="H1530" s="26" t="s">
        <v>38</v>
      </c>
      <c r="I1530" s="36">
        <v>20</v>
      </c>
      <c r="J1530" s="32">
        <f>IF(MB25_VOLUMETRIA[[#This Row],[Reserva]]="","",1)</f>
        <v>1</v>
      </c>
      <c r="K1530" s="36" t="str">
        <f>IF(MB25_VOLUMETRIA[[#This Row],[Reserva]]="","",IFERROR(VLOOKUP(MB25_VOLUMETRIA[[#This Row],[UMB]],CHAVE[],2,FALSE),"VERIFICAR"))</f>
        <v>Unidade</v>
      </c>
      <c r="L15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0" s="32" t="str">
        <f ca="1">IFERROR(VLOOKUP(MB25_VOLUMETRIA[[#This Row],[Reserva]],RES_AB[],14,FALSE),"")</f>
        <v>PLANO DO DIA</v>
      </c>
      <c r="N1530" s="32" t="str">
        <f>IF(MB25_VOLUMETRIA[[#This Row],[Cen.]]="","",IFERROR(VLOOKUP(MB25_VOLUMETRIA[[#This Row],[Cen.]],Dados_Empresas[],2,FALSE),"Verificar empresa"))</f>
        <v>NET MASSIVO</v>
      </c>
      <c r="O1530" s="32" t="str">
        <f>IF(MB25_VOLUMETRIA[[#This Row],[EMPRESA]]="","",IF(OR(MB25_VOLUMETRIA[[#This Row],[EMPRESA]]="NET MASSIVO",MB25_VOLUMETRIA[[#This Row],[EMPRESA]]="NET PROJETOS"),"NET","EMPRESARIAL"))</f>
        <v>NET</v>
      </c>
    </row>
    <row r="1531" spans="1:15" x14ac:dyDescent="0.25">
      <c r="A1531" s="32">
        <v>4382479</v>
      </c>
      <c r="B1531" s="32" t="s">
        <v>21</v>
      </c>
      <c r="C1531" s="33" t="s">
        <v>19</v>
      </c>
      <c r="D1531" s="35">
        <v>45448</v>
      </c>
      <c r="E1531" s="32" t="s">
        <v>192</v>
      </c>
      <c r="F1531" s="32">
        <v>41001481</v>
      </c>
      <c r="G1531" s="32" t="s">
        <v>403</v>
      </c>
      <c r="H1531" s="26" t="s">
        <v>38</v>
      </c>
      <c r="I1531" s="36">
        <v>50</v>
      </c>
      <c r="J1531" s="32">
        <f>IF(MB25_VOLUMETRIA[[#This Row],[Reserva]]="","",1)</f>
        <v>1</v>
      </c>
      <c r="K1531" s="36" t="str">
        <f>IF(MB25_VOLUMETRIA[[#This Row],[Reserva]]="","",IFERROR(VLOOKUP(MB25_VOLUMETRIA[[#This Row],[UMB]],CHAVE[],2,FALSE),"VERIFICAR"))</f>
        <v>Unidade</v>
      </c>
      <c r="L15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1" s="32" t="str">
        <f ca="1">IFERROR(VLOOKUP(MB25_VOLUMETRIA[[#This Row],[Reserva]],RES_AB[],14,FALSE),"")</f>
        <v>PLANO DO DIA</v>
      </c>
      <c r="N1531" s="32" t="str">
        <f>IF(MB25_VOLUMETRIA[[#This Row],[Cen.]]="","",IFERROR(VLOOKUP(MB25_VOLUMETRIA[[#This Row],[Cen.]],Dados_Empresas[],2,FALSE),"Verificar empresa"))</f>
        <v>NET MASSIVO</v>
      </c>
      <c r="O1531" s="32" t="str">
        <f>IF(MB25_VOLUMETRIA[[#This Row],[EMPRESA]]="","",IF(OR(MB25_VOLUMETRIA[[#This Row],[EMPRESA]]="NET MASSIVO",MB25_VOLUMETRIA[[#This Row],[EMPRESA]]="NET PROJETOS"),"NET","EMPRESARIAL"))</f>
        <v>NET</v>
      </c>
    </row>
    <row r="1532" spans="1:15" x14ac:dyDescent="0.25">
      <c r="A1532" s="32">
        <v>4382480</v>
      </c>
      <c r="B1532" s="32" t="s">
        <v>21</v>
      </c>
      <c r="C1532" s="33" t="s">
        <v>19</v>
      </c>
      <c r="D1532" s="35">
        <v>45448</v>
      </c>
      <c r="E1532" s="32" t="s">
        <v>192</v>
      </c>
      <c r="F1532" s="32">
        <v>41001481</v>
      </c>
      <c r="G1532" s="32" t="s">
        <v>403</v>
      </c>
      <c r="H1532" s="26" t="s">
        <v>38</v>
      </c>
      <c r="I1532" s="36">
        <v>20</v>
      </c>
      <c r="J1532" s="32">
        <f>IF(MB25_VOLUMETRIA[[#This Row],[Reserva]]="","",1)</f>
        <v>1</v>
      </c>
      <c r="K1532" s="36" t="str">
        <f>IF(MB25_VOLUMETRIA[[#This Row],[Reserva]]="","",IFERROR(VLOOKUP(MB25_VOLUMETRIA[[#This Row],[UMB]],CHAVE[],2,FALSE),"VERIFICAR"))</f>
        <v>Unidade</v>
      </c>
      <c r="L15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2" s="32" t="str">
        <f ca="1">IFERROR(VLOOKUP(MB25_VOLUMETRIA[[#This Row],[Reserva]],RES_AB[],14,FALSE),"")</f>
        <v>PLANO DO DIA</v>
      </c>
      <c r="N1532" s="32" t="str">
        <f>IF(MB25_VOLUMETRIA[[#This Row],[Cen.]]="","",IFERROR(VLOOKUP(MB25_VOLUMETRIA[[#This Row],[Cen.]],Dados_Empresas[],2,FALSE),"Verificar empresa"))</f>
        <v>NET MASSIVO</v>
      </c>
      <c r="O1532" s="32" t="str">
        <f>IF(MB25_VOLUMETRIA[[#This Row],[EMPRESA]]="","",IF(OR(MB25_VOLUMETRIA[[#This Row],[EMPRESA]]="NET MASSIVO",MB25_VOLUMETRIA[[#This Row],[EMPRESA]]="NET PROJETOS"),"NET","EMPRESARIAL"))</f>
        <v>NET</v>
      </c>
    </row>
    <row r="1533" spans="1:15" x14ac:dyDescent="0.25">
      <c r="A1533" s="32">
        <v>4382481</v>
      </c>
      <c r="B1533" s="32" t="s">
        <v>21</v>
      </c>
      <c r="C1533" s="33" t="s">
        <v>19</v>
      </c>
      <c r="D1533" s="35">
        <v>45448</v>
      </c>
      <c r="E1533" s="32" t="s">
        <v>192</v>
      </c>
      <c r="F1533" s="32">
        <v>41001481</v>
      </c>
      <c r="G1533" s="32" t="s">
        <v>403</v>
      </c>
      <c r="H1533" s="26" t="s">
        <v>38</v>
      </c>
      <c r="I1533" s="36">
        <v>30</v>
      </c>
      <c r="J1533" s="32">
        <f>IF(MB25_VOLUMETRIA[[#This Row],[Reserva]]="","",1)</f>
        <v>1</v>
      </c>
      <c r="K1533" s="36" t="str">
        <f>IF(MB25_VOLUMETRIA[[#This Row],[Reserva]]="","",IFERROR(VLOOKUP(MB25_VOLUMETRIA[[#This Row],[UMB]],CHAVE[],2,FALSE),"VERIFICAR"))</f>
        <v>Unidade</v>
      </c>
      <c r="L15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3" s="32" t="str">
        <f ca="1">IFERROR(VLOOKUP(MB25_VOLUMETRIA[[#This Row],[Reserva]],RES_AB[],14,FALSE),"")</f>
        <v>PLANO DO DIA</v>
      </c>
      <c r="N1533" s="32" t="str">
        <f>IF(MB25_VOLUMETRIA[[#This Row],[Cen.]]="","",IFERROR(VLOOKUP(MB25_VOLUMETRIA[[#This Row],[Cen.]],Dados_Empresas[],2,FALSE),"Verificar empresa"))</f>
        <v>NET MASSIVO</v>
      </c>
      <c r="O1533" s="32" t="str">
        <f>IF(MB25_VOLUMETRIA[[#This Row],[EMPRESA]]="","",IF(OR(MB25_VOLUMETRIA[[#This Row],[EMPRESA]]="NET MASSIVO",MB25_VOLUMETRIA[[#This Row],[EMPRESA]]="NET PROJETOS"),"NET","EMPRESARIAL"))</f>
        <v>NET</v>
      </c>
    </row>
    <row r="1534" spans="1:15" x14ac:dyDescent="0.25">
      <c r="A1534" s="32">
        <v>4382481</v>
      </c>
      <c r="B1534" s="32" t="s">
        <v>21</v>
      </c>
      <c r="C1534" s="33" t="s">
        <v>21</v>
      </c>
      <c r="D1534" s="35">
        <v>45448</v>
      </c>
      <c r="E1534" s="32" t="s">
        <v>192</v>
      </c>
      <c r="F1534" s="32">
        <v>41001553</v>
      </c>
      <c r="G1534" s="32" t="s">
        <v>295</v>
      </c>
      <c r="H1534" s="26" t="s">
        <v>38</v>
      </c>
      <c r="I1534" s="36">
        <v>20</v>
      </c>
      <c r="J1534" s="32">
        <f>IF(MB25_VOLUMETRIA[[#This Row],[Reserva]]="","",1)</f>
        <v>1</v>
      </c>
      <c r="K1534" s="36" t="str">
        <f>IF(MB25_VOLUMETRIA[[#This Row],[Reserva]]="","",IFERROR(VLOOKUP(MB25_VOLUMETRIA[[#This Row],[UMB]],CHAVE[],2,FALSE),"VERIFICAR"))</f>
        <v>Unidade</v>
      </c>
      <c r="L15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4" s="32" t="str">
        <f ca="1">IFERROR(VLOOKUP(MB25_VOLUMETRIA[[#This Row],[Reserva]],RES_AB[],14,FALSE),"")</f>
        <v>PLANO DO DIA</v>
      </c>
      <c r="N1534" s="32" t="str">
        <f>IF(MB25_VOLUMETRIA[[#This Row],[Cen.]]="","",IFERROR(VLOOKUP(MB25_VOLUMETRIA[[#This Row],[Cen.]],Dados_Empresas[],2,FALSE),"Verificar empresa"))</f>
        <v>NET MASSIVO</v>
      </c>
      <c r="O1534" s="32" t="str">
        <f>IF(MB25_VOLUMETRIA[[#This Row],[EMPRESA]]="","",IF(OR(MB25_VOLUMETRIA[[#This Row],[EMPRESA]]="NET MASSIVO",MB25_VOLUMETRIA[[#This Row],[EMPRESA]]="NET PROJETOS"),"NET","EMPRESARIAL"))</f>
        <v>NET</v>
      </c>
    </row>
    <row r="1535" spans="1:15" x14ac:dyDescent="0.25">
      <c r="A1535" s="32">
        <v>4382482</v>
      </c>
      <c r="B1535" s="32" t="s">
        <v>21</v>
      </c>
      <c r="C1535" s="33" t="s">
        <v>19</v>
      </c>
      <c r="D1535" s="35">
        <v>45448</v>
      </c>
      <c r="E1535" s="32" t="s">
        <v>192</v>
      </c>
      <c r="F1535" s="32">
        <v>41001481</v>
      </c>
      <c r="G1535" s="32" t="s">
        <v>403</v>
      </c>
      <c r="H1535" s="26" t="s">
        <v>38</v>
      </c>
      <c r="I1535" s="36">
        <v>100</v>
      </c>
      <c r="J1535" s="32">
        <f>IF(MB25_VOLUMETRIA[[#This Row],[Reserva]]="","",1)</f>
        <v>1</v>
      </c>
      <c r="K1535" s="36" t="str">
        <f>IF(MB25_VOLUMETRIA[[#This Row],[Reserva]]="","",IFERROR(VLOOKUP(MB25_VOLUMETRIA[[#This Row],[UMB]],CHAVE[],2,FALSE),"VERIFICAR"))</f>
        <v>Unidade</v>
      </c>
      <c r="L15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5" s="32" t="str">
        <f ca="1">IFERROR(VLOOKUP(MB25_VOLUMETRIA[[#This Row],[Reserva]],RES_AB[],14,FALSE),"")</f>
        <v>PLANO DO DIA</v>
      </c>
      <c r="N1535" s="32" t="str">
        <f>IF(MB25_VOLUMETRIA[[#This Row],[Cen.]]="","",IFERROR(VLOOKUP(MB25_VOLUMETRIA[[#This Row],[Cen.]],Dados_Empresas[],2,FALSE),"Verificar empresa"))</f>
        <v>NET MASSIVO</v>
      </c>
      <c r="O1535" s="32" t="str">
        <f>IF(MB25_VOLUMETRIA[[#This Row],[EMPRESA]]="","",IF(OR(MB25_VOLUMETRIA[[#This Row],[EMPRESA]]="NET MASSIVO",MB25_VOLUMETRIA[[#This Row],[EMPRESA]]="NET PROJETOS"),"NET","EMPRESARIAL"))</f>
        <v>NET</v>
      </c>
    </row>
    <row r="1536" spans="1:15" x14ac:dyDescent="0.25">
      <c r="A1536" s="32">
        <v>4382483</v>
      </c>
      <c r="B1536" s="32" t="s">
        <v>21</v>
      </c>
      <c r="C1536" s="33" t="s">
        <v>21</v>
      </c>
      <c r="D1536" s="35">
        <v>45448</v>
      </c>
      <c r="E1536" s="32" t="s">
        <v>185</v>
      </c>
      <c r="F1536" s="32">
        <v>22026219</v>
      </c>
      <c r="G1536" s="32" t="s">
        <v>221</v>
      </c>
      <c r="H1536" s="26" t="s">
        <v>38</v>
      </c>
      <c r="I1536" s="36">
        <v>300</v>
      </c>
      <c r="J1536" s="32">
        <f>IF(MB25_VOLUMETRIA[[#This Row],[Reserva]]="","",1)</f>
        <v>1</v>
      </c>
      <c r="K1536" s="36" t="str">
        <f>IF(MB25_VOLUMETRIA[[#This Row],[Reserva]]="","",IFERROR(VLOOKUP(MB25_VOLUMETRIA[[#This Row],[UMB]],CHAVE[],2,FALSE),"VERIFICAR"))</f>
        <v>Unidade</v>
      </c>
      <c r="L15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6" s="32" t="str">
        <f ca="1">IFERROR(VLOOKUP(MB25_VOLUMETRIA[[#This Row],[Reserva]],RES_AB[],14,FALSE),"")</f>
        <v>PLANO DO DIA</v>
      </c>
      <c r="N1536" s="32" t="str">
        <f>IF(MB25_VOLUMETRIA[[#This Row],[Cen.]]="","",IFERROR(VLOOKUP(MB25_VOLUMETRIA[[#This Row],[Cen.]],Dados_Empresas[],2,FALSE),"Verificar empresa"))</f>
        <v>NET MASSIVO</v>
      </c>
      <c r="O1536" s="32" t="str">
        <f>IF(MB25_VOLUMETRIA[[#This Row],[EMPRESA]]="","",IF(OR(MB25_VOLUMETRIA[[#This Row],[EMPRESA]]="NET MASSIVO",MB25_VOLUMETRIA[[#This Row],[EMPRESA]]="NET PROJETOS"),"NET","EMPRESARIAL"))</f>
        <v>NET</v>
      </c>
    </row>
    <row r="1537" spans="1:15" x14ac:dyDescent="0.25">
      <c r="A1537" s="32">
        <v>4382484</v>
      </c>
      <c r="B1537" s="32" t="s">
        <v>21</v>
      </c>
      <c r="C1537" s="33" t="s">
        <v>19</v>
      </c>
      <c r="D1537" s="35">
        <v>45448</v>
      </c>
      <c r="E1537" s="32" t="s">
        <v>192</v>
      </c>
      <c r="F1537" s="32">
        <v>41001481</v>
      </c>
      <c r="G1537" s="32" t="s">
        <v>403</v>
      </c>
      <c r="H1537" s="26" t="s">
        <v>38</v>
      </c>
      <c r="I1537" s="36">
        <v>50</v>
      </c>
      <c r="J1537" s="32">
        <f>IF(MB25_VOLUMETRIA[[#This Row],[Reserva]]="","",1)</f>
        <v>1</v>
      </c>
      <c r="K1537" s="36" t="str">
        <f>IF(MB25_VOLUMETRIA[[#This Row],[Reserva]]="","",IFERROR(VLOOKUP(MB25_VOLUMETRIA[[#This Row],[UMB]],CHAVE[],2,FALSE),"VERIFICAR"))</f>
        <v>Unidade</v>
      </c>
      <c r="L15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7" s="32" t="str">
        <f ca="1">IFERROR(VLOOKUP(MB25_VOLUMETRIA[[#This Row],[Reserva]],RES_AB[],14,FALSE),"")</f>
        <v>PLANO DO DIA</v>
      </c>
      <c r="N1537" s="32" t="str">
        <f>IF(MB25_VOLUMETRIA[[#This Row],[Cen.]]="","",IFERROR(VLOOKUP(MB25_VOLUMETRIA[[#This Row],[Cen.]],Dados_Empresas[],2,FALSE),"Verificar empresa"))</f>
        <v>NET MASSIVO</v>
      </c>
      <c r="O1537" s="32" t="str">
        <f>IF(MB25_VOLUMETRIA[[#This Row],[EMPRESA]]="","",IF(OR(MB25_VOLUMETRIA[[#This Row],[EMPRESA]]="NET MASSIVO",MB25_VOLUMETRIA[[#This Row],[EMPRESA]]="NET PROJETOS"),"NET","EMPRESARIAL"))</f>
        <v>NET</v>
      </c>
    </row>
    <row r="1538" spans="1:15" x14ac:dyDescent="0.25">
      <c r="A1538" s="32">
        <v>4382485</v>
      </c>
      <c r="B1538" s="32" t="s">
        <v>21</v>
      </c>
      <c r="C1538" s="33" t="s">
        <v>19</v>
      </c>
      <c r="D1538" s="35">
        <v>45448</v>
      </c>
      <c r="E1538" s="32" t="s">
        <v>192</v>
      </c>
      <c r="F1538" s="32">
        <v>41001481</v>
      </c>
      <c r="G1538" s="32" t="s">
        <v>403</v>
      </c>
      <c r="H1538" s="26" t="s">
        <v>38</v>
      </c>
      <c r="I1538" s="36">
        <v>130</v>
      </c>
      <c r="J1538" s="32">
        <f>IF(MB25_VOLUMETRIA[[#This Row],[Reserva]]="","",1)</f>
        <v>1</v>
      </c>
      <c r="K1538" s="36" t="str">
        <f>IF(MB25_VOLUMETRIA[[#This Row],[Reserva]]="","",IFERROR(VLOOKUP(MB25_VOLUMETRIA[[#This Row],[UMB]],CHAVE[],2,FALSE),"VERIFICAR"))</f>
        <v>Unidade</v>
      </c>
      <c r="L15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8" s="32" t="str">
        <f ca="1">IFERROR(VLOOKUP(MB25_VOLUMETRIA[[#This Row],[Reserva]],RES_AB[],14,FALSE),"")</f>
        <v>PLANO DO DIA</v>
      </c>
      <c r="N1538" s="32" t="str">
        <f>IF(MB25_VOLUMETRIA[[#This Row],[Cen.]]="","",IFERROR(VLOOKUP(MB25_VOLUMETRIA[[#This Row],[Cen.]],Dados_Empresas[],2,FALSE),"Verificar empresa"))</f>
        <v>NET MASSIVO</v>
      </c>
      <c r="O1538" s="32" t="str">
        <f>IF(MB25_VOLUMETRIA[[#This Row],[EMPRESA]]="","",IF(OR(MB25_VOLUMETRIA[[#This Row],[EMPRESA]]="NET MASSIVO",MB25_VOLUMETRIA[[#This Row],[EMPRESA]]="NET PROJETOS"),"NET","EMPRESARIAL"))</f>
        <v>NET</v>
      </c>
    </row>
    <row r="1539" spans="1:15" x14ac:dyDescent="0.25">
      <c r="A1539" s="32">
        <v>4382486</v>
      </c>
      <c r="B1539" s="32" t="s">
        <v>21</v>
      </c>
      <c r="C1539" s="33" t="s">
        <v>19</v>
      </c>
      <c r="D1539" s="35">
        <v>45448</v>
      </c>
      <c r="E1539" s="32" t="s">
        <v>192</v>
      </c>
      <c r="F1539" s="32">
        <v>41001481</v>
      </c>
      <c r="G1539" s="32" t="s">
        <v>403</v>
      </c>
      <c r="H1539" s="26" t="s">
        <v>38</v>
      </c>
      <c r="I1539" s="36">
        <v>170</v>
      </c>
      <c r="J1539" s="32">
        <f>IF(MB25_VOLUMETRIA[[#This Row],[Reserva]]="","",1)</f>
        <v>1</v>
      </c>
      <c r="K1539" s="36" t="str">
        <f>IF(MB25_VOLUMETRIA[[#This Row],[Reserva]]="","",IFERROR(VLOOKUP(MB25_VOLUMETRIA[[#This Row],[UMB]],CHAVE[],2,FALSE),"VERIFICAR"))</f>
        <v>Unidade</v>
      </c>
      <c r="L15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39" s="32" t="str">
        <f ca="1">IFERROR(VLOOKUP(MB25_VOLUMETRIA[[#This Row],[Reserva]],RES_AB[],14,FALSE),"")</f>
        <v>PLANO DO DIA</v>
      </c>
      <c r="N1539" s="32" t="str">
        <f>IF(MB25_VOLUMETRIA[[#This Row],[Cen.]]="","",IFERROR(VLOOKUP(MB25_VOLUMETRIA[[#This Row],[Cen.]],Dados_Empresas[],2,FALSE),"Verificar empresa"))</f>
        <v>NET MASSIVO</v>
      </c>
      <c r="O1539" s="32" t="str">
        <f>IF(MB25_VOLUMETRIA[[#This Row],[EMPRESA]]="","",IF(OR(MB25_VOLUMETRIA[[#This Row],[EMPRESA]]="NET MASSIVO",MB25_VOLUMETRIA[[#This Row],[EMPRESA]]="NET PROJETOS"),"NET","EMPRESARIAL"))</f>
        <v>NET</v>
      </c>
    </row>
    <row r="1540" spans="1:15" x14ac:dyDescent="0.25">
      <c r="A1540" s="32">
        <v>4382487</v>
      </c>
      <c r="B1540" s="32" t="s">
        <v>21</v>
      </c>
      <c r="C1540" s="33" t="s">
        <v>19</v>
      </c>
      <c r="D1540" s="35">
        <v>45448</v>
      </c>
      <c r="E1540" s="32" t="s">
        <v>192</v>
      </c>
      <c r="F1540" s="32">
        <v>41001481</v>
      </c>
      <c r="G1540" s="32" t="s">
        <v>403</v>
      </c>
      <c r="H1540" s="26" t="s">
        <v>38</v>
      </c>
      <c r="I1540" s="36">
        <v>170</v>
      </c>
      <c r="J1540" s="32">
        <f>IF(MB25_VOLUMETRIA[[#This Row],[Reserva]]="","",1)</f>
        <v>1</v>
      </c>
      <c r="K1540" s="36" t="str">
        <f>IF(MB25_VOLUMETRIA[[#This Row],[Reserva]]="","",IFERROR(VLOOKUP(MB25_VOLUMETRIA[[#This Row],[UMB]],CHAVE[],2,FALSE),"VERIFICAR"))</f>
        <v>Unidade</v>
      </c>
      <c r="L15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0" s="32" t="str">
        <f ca="1">IFERROR(VLOOKUP(MB25_VOLUMETRIA[[#This Row],[Reserva]],RES_AB[],14,FALSE),"")</f>
        <v>PLANO DO DIA</v>
      </c>
      <c r="N1540" s="32" t="str">
        <f>IF(MB25_VOLUMETRIA[[#This Row],[Cen.]]="","",IFERROR(VLOOKUP(MB25_VOLUMETRIA[[#This Row],[Cen.]],Dados_Empresas[],2,FALSE),"Verificar empresa"))</f>
        <v>NET MASSIVO</v>
      </c>
      <c r="O1540" s="32" t="str">
        <f>IF(MB25_VOLUMETRIA[[#This Row],[EMPRESA]]="","",IF(OR(MB25_VOLUMETRIA[[#This Row],[EMPRESA]]="NET MASSIVO",MB25_VOLUMETRIA[[#This Row],[EMPRESA]]="NET PROJETOS"),"NET","EMPRESARIAL"))</f>
        <v>NET</v>
      </c>
    </row>
    <row r="1541" spans="1:15" x14ac:dyDescent="0.25">
      <c r="A1541" s="32">
        <v>4382488</v>
      </c>
      <c r="B1541" s="32" t="s">
        <v>21</v>
      </c>
      <c r="C1541" s="33" t="s">
        <v>19</v>
      </c>
      <c r="D1541" s="35">
        <v>45448</v>
      </c>
      <c r="E1541" s="32" t="s">
        <v>192</v>
      </c>
      <c r="F1541" s="32">
        <v>41001481</v>
      </c>
      <c r="G1541" s="32" t="s">
        <v>403</v>
      </c>
      <c r="H1541" s="26" t="s">
        <v>38</v>
      </c>
      <c r="I1541" s="36">
        <v>200</v>
      </c>
      <c r="J1541" s="32">
        <f>IF(MB25_VOLUMETRIA[[#This Row],[Reserva]]="","",1)</f>
        <v>1</v>
      </c>
      <c r="K1541" s="36" t="str">
        <f>IF(MB25_VOLUMETRIA[[#This Row],[Reserva]]="","",IFERROR(VLOOKUP(MB25_VOLUMETRIA[[#This Row],[UMB]],CHAVE[],2,FALSE),"VERIFICAR"))</f>
        <v>Unidade</v>
      </c>
      <c r="L15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1" s="32" t="str">
        <f ca="1">IFERROR(VLOOKUP(MB25_VOLUMETRIA[[#This Row],[Reserva]],RES_AB[],14,FALSE),"")</f>
        <v>PLANO DO DIA</v>
      </c>
      <c r="N1541" s="32" t="str">
        <f>IF(MB25_VOLUMETRIA[[#This Row],[Cen.]]="","",IFERROR(VLOOKUP(MB25_VOLUMETRIA[[#This Row],[Cen.]],Dados_Empresas[],2,FALSE),"Verificar empresa"))</f>
        <v>NET MASSIVO</v>
      </c>
      <c r="O1541" s="32" t="str">
        <f>IF(MB25_VOLUMETRIA[[#This Row],[EMPRESA]]="","",IF(OR(MB25_VOLUMETRIA[[#This Row],[EMPRESA]]="NET MASSIVO",MB25_VOLUMETRIA[[#This Row],[EMPRESA]]="NET PROJETOS"),"NET","EMPRESARIAL"))</f>
        <v>NET</v>
      </c>
    </row>
    <row r="1542" spans="1:15" x14ac:dyDescent="0.25">
      <c r="A1542" s="32">
        <v>4382489</v>
      </c>
      <c r="B1542" s="32" t="s">
        <v>21</v>
      </c>
      <c r="C1542" s="33" t="s">
        <v>19</v>
      </c>
      <c r="D1542" s="35">
        <v>45448</v>
      </c>
      <c r="E1542" s="32" t="s">
        <v>192</v>
      </c>
      <c r="F1542" s="32">
        <v>41001481</v>
      </c>
      <c r="G1542" s="32" t="s">
        <v>403</v>
      </c>
      <c r="H1542" s="26" t="s">
        <v>38</v>
      </c>
      <c r="I1542" s="36">
        <v>160</v>
      </c>
      <c r="J1542" s="32">
        <f>IF(MB25_VOLUMETRIA[[#This Row],[Reserva]]="","",1)</f>
        <v>1</v>
      </c>
      <c r="K1542" s="36" t="str">
        <f>IF(MB25_VOLUMETRIA[[#This Row],[Reserva]]="","",IFERROR(VLOOKUP(MB25_VOLUMETRIA[[#This Row],[UMB]],CHAVE[],2,FALSE),"VERIFICAR"))</f>
        <v>Unidade</v>
      </c>
      <c r="L15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2" s="32" t="str">
        <f ca="1">IFERROR(VLOOKUP(MB25_VOLUMETRIA[[#This Row],[Reserva]],RES_AB[],14,FALSE),"")</f>
        <v>PLANO DO DIA</v>
      </c>
      <c r="N1542" s="32" t="str">
        <f>IF(MB25_VOLUMETRIA[[#This Row],[Cen.]]="","",IFERROR(VLOOKUP(MB25_VOLUMETRIA[[#This Row],[Cen.]],Dados_Empresas[],2,FALSE),"Verificar empresa"))</f>
        <v>NET MASSIVO</v>
      </c>
      <c r="O1542" s="32" t="str">
        <f>IF(MB25_VOLUMETRIA[[#This Row],[EMPRESA]]="","",IF(OR(MB25_VOLUMETRIA[[#This Row],[EMPRESA]]="NET MASSIVO",MB25_VOLUMETRIA[[#This Row],[EMPRESA]]="NET PROJETOS"),"NET","EMPRESARIAL"))</f>
        <v>NET</v>
      </c>
    </row>
    <row r="1543" spans="1:15" x14ac:dyDescent="0.25">
      <c r="A1543" s="32">
        <v>4382490</v>
      </c>
      <c r="B1543" s="32" t="s">
        <v>21</v>
      </c>
      <c r="C1543" s="33" t="s">
        <v>19</v>
      </c>
      <c r="D1543" s="35">
        <v>45448</v>
      </c>
      <c r="E1543" s="32" t="s">
        <v>192</v>
      </c>
      <c r="F1543" s="32">
        <v>41001481</v>
      </c>
      <c r="G1543" s="32" t="s">
        <v>403</v>
      </c>
      <c r="H1543" s="26" t="s">
        <v>38</v>
      </c>
      <c r="I1543" s="36">
        <v>20</v>
      </c>
      <c r="J1543" s="32">
        <f>IF(MB25_VOLUMETRIA[[#This Row],[Reserva]]="","",1)</f>
        <v>1</v>
      </c>
      <c r="K1543" s="36" t="str">
        <f>IF(MB25_VOLUMETRIA[[#This Row],[Reserva]]="","",IFERROR(VLOOKUP(MB25_VOLUMETRIA[[#This Row],[UMB]],CHAVE[],2,FALSE),"VERIFICAR"))</f>
        <v>Unidade</v>
      </c>
      <c r="L15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3" s="32" t="str">
        <f ca="1">IFERROR(VLOOKUP(MB25_VOLUMETRIA[[#This Row],[Reserva]],RES_AB[],14,FALSE),"")</f>
        <v>PLANO DO DIA</v>
      </c>
      <c r="N1543" s="32" t="str">
        <f>IF(MB25_VOLUMETRIA[[#This Row],[Cen.]]="","",IFERROR(VLOOKUP(MB25_VOLUMETRIA[[#This Row],[Cen.]],Dados_Empresas[],2,FALSE),"Verificar empresa"))</f>
        <v>NET MASSIVO</v>
      </c>
      <c r="O1543" s="32" t="str">
        <f>IF(MB25_VOLUMETRIA[[#This Row],[EMPRESA]]="","",IF(OR(MB25_VOLUMETRIA[[#This Row],[EMPRESA]]="NET MASSIVO",MB25_VOLUMETRIA[[#This Row],[EMPRESA]]="NET PROJETOS"),"NET","EMPRESARIAL"))</f>
        <v>NET</v>
      </c>
    </row>
    <row r="1544" spans="1:15" x14ac:dyDescent="0.25">
      <c r="A1544" s="32">
        <v>4382491</v>
      </c>
      <c r="B1544" s="32" t="s">
        <v>21</v>
      </c>
      <c r="C1544" s="33" t="s">
        <v>21</v>
      </c>
      <c r="D1544" s="35">
        <v>45448</v>
      </c>
      <c r="E1544" s="32" t="s">
        <v>185</v>
      </c>
      <c r="F1544" s="32">
        <v>22026189</v>
      </c>
      <c r="G1544" s="32" t="s">
        <v>200</v>
      </c>
      <c r="H1544" s="26" t="s">
        <v>38</v>
      </c>
      <c r="I1544" s="36">
        <v>100</v>
      </c>
      <c r="J1544" s="32">
        <f>IF(MB25_VOLUMETRIA[[#This Row],[Reserva]]="","",1)</f>
        <v>1</v>
      </c>
      <c r="K1544" s="36" t="str">
        <f>IF(MB25_VOLUMETRIA[[#This Row],[Reserva]]="","",IFERROR(VLOOKUP(MB25_VOLUMETRIA[[#This Row],[UMB]],CHAVE[],2,FALSE),"VERIFICAR"))</f>
        <v>Unidade</v>
      </c>
      <c r="L15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4" s="32" t="str">
        <f ca="1">IFERROR(VLOOKUP(MB25_VOLUMETRIA[[#This Row],[Reserva]],RES_AB[],14,FALSE),"")</f>
        <v>PLANO DO DIA</v>
      </c>
      <c r="N1544" s="32" t="str">
        <f>IF(MB25_VOLUMETRIA[[#This Row],[Cen.]]="","",IFERROR(VLOOKUP(MB25_VOLUMETRIA[[#This Row],[Cen.]],Dados_Empresas[],2,FALSE),"Verificar empresa"))</f>
        <v>NET MASSIVO</v>
      </c>
      <c r="O1544" s="32" t="str">
        <f>IF(MB25_VOLUMETRIA[[#This Row],[EMPRESA]]="","",IF(OR(MB25_VOLUMETRIA[[#This Row],[EMPRESA]]="NET MASSIVO",MB25_VOLUMETRIA[[#This Row],[EMPRESA]]="NET PROJETOS"),"NET","EMPRESARIAL"))</f>
        <v>NET</v>
      </c>
    </row>
    <row r="1545" spans="1:15" x14ac:dyDescent="0.25">
      <c r="A1545" s="32">
        <v>4382491</v>
      </c>
      <c r="B1545" s="32" t="s">
        <v>21</v>
      </c>
      <c r="C1545" s="33" t="s">
        <v>19</v>
      </c>
      <c r="D1545" s="35">
        <v>45448</v>
      </c>
      <c r="E1545" s="32" t="s">
        <v>185</v>
      </c>
      <c r="F1545" s="32">
        <v>22026251</v>
      </c>
      <c r="G1545" s="32" t="s">
        <v>247</v>
      </c>
      <c r="H1545" s="26" t="s">
        <v>38</v>
      </c>
      <c r="I1545" s="36">
        <v>30</v>
      </c>
      <c r="J1545" s="32">
        <f>IF(MB25_VOLUMETRIA[[#This Row],[Reserva]]="","",1)</f>
        <v>1</v>
      </c>
      <c r="K1545" s="36" t="str">
        <f>IF(MB25_VOLUMETRIA[[#This Row],[Reserva]]="","",IFERROR(VLOOKUP(MB25_VOLUMETRIA[[#This Row],[UMB]],CHAVE[],2,FALSE),"VERIFICAR"))</f>
        <v>Unidade</v>
      </c>
      <c r="L15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5" s="32" t="str">
        <f ca="1">IFERROR(VLOOKUP(MB25_VOLUMETRIA[[#This Row],[Reserva]],RES_AB[],14,FALSE),"")</f>
        <v>PLANO DO DIA</v>
      </c>
      <c r="N1545" s="32" t="str">
        <f>IF(MB25_VOLUMETRIA[[#This Row],[Cen.]]="","",IFERROR(VLOOKUP(MB25_VOLUMETRIA[[#This Row],[Cen.]],Dados_Empresas[],2,FALSE),"Verificar empresa"))</f>
        <v>NET MASSIVO</v>
      </c>
      <c r="O1545" s="32" t="str">
        <f>IF(MB25_VOLUMETRIA[[#This Row],[EMPRESA]]="","",IF(OR(MB25_VOLUMETRIA[[#This Row],[EMPRESA]]="NET MASSIVO",MB25_VOLUMETRIA[[#This Row],[EMPRESA]]="NET PROJETOS"),"NET","EMPRESARIAL"))</f>
        <v>NET</v>
      </c>
    </row>
    <row r="1546" spans="1:15" x14ac:dyDescent="0.25">
      <c r="A1546" s="32">
        <v>4382492</v>
      </c>
      <c r="B1546" s="32" t="s">
        <v>21</v>
      </c>
      <c r="C1546" s="33" t="s">
        <v>19</v>
      </c>
      <c r="D1546" s="35">
        <v>45448</v>
      </c>
      <c r="E1546" s="32" t="s">
        <v>192</v>
      </c>
      <c r="F1546" s="32">
        <v>41001481</v>
      </c>
      <c r="G1546" s="32" t="s">
        <v>403</v>
      </c>
      <c r="H1546" s="26" t="s">
        <v>38</v>
      </c>
      <c r="I1546" s="36">
        <v>20</v>
      </c>
      <c r="J1546" s="32">
        <f>IF(MB25_VOLUMETRIA[[#This Row],[Reserva]]="","",1)</f>
        <v>1</v>
      </c>
      <c r="K1546" s="36" t="str">
        <f>IF(MB25_VOLUMETRIA[[#This Row],[Reserva]]="","",IFERROR(VLOOKUP(MB25_VOLUMETRIA[[#This Row],[UMB]],CHAVE[],2,FALSE),"VERIFICAR"))</f>
        <v>Unidade</v>
      </c>
      <c r="L15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6" s="32" t="str">
        <f ca="1">IFERROR(VLOOKUP(MB25_VOLUMETRIA[[#This Row],[Reserva]],RES_AB[],14,FALSE),"")</f>
        <v>PLANO DO DIA</v>
      </c>
      <c r="N1546" s="32" t="str">
        <f>IF(MB25_VOLUMETRIA[[#This Row],[Cen.]]="","",IFERROR(VLOOKUP(MB25_VOLUMETRIA[[#This Row],[Cen.]],Dados_Empresas[],2,FALSE),"Verificar empresa"))</f>
        <v>NET MASSIVO</v>
      </c>
      <c r="O1546" s="32" t="str">
        <f>IF(MB25_VOLUMETRIA[[#This Row],[EMPRESA]]="","",IF(OR(MB25_VOLUMETRIA[[#This Row],[EMPRESA]]="NET MASSIVO",MB25_VOLUMETRIA[[#This Row],[EMPRESA]]="NET PROJETOS"),"NET","EMPRESARIAL"))</f>
        <v>NET</v>
      </c>
    </row>
    <row r="1547" spans="1:15" x14ac:dyDescent="0.25">
      <c r="A1547" s="32">
        <v>4382772</v>
      </c>
      <c r="B1547" s="32" t="s">
        <v>21</v>
      </c>
      <c r="C1547" s="33" t="s">
        <v>21</v>
      </c>
      <c r="D1547" s="35">
        <v>45449</v>
      </c>
      <c r="E1547" s="32">
        <v>201</v>
      </c>
      <c r="F1547" s="32">
        <v>252815</v>
      </c>
      <c r="G1547" s="32" t="s">
        <v>219</v>
      </c>
      <c r="H1547" s="26" t="s">
        <v>38</v>
      </c>
      <c r="I1547" s="36">
        <v>400</v>
      </c>
      <c r="J1547" s="32">
        <f>IF(MB25_VOLUMETRIA[[#This Row],[Reserva]]="","",1)</f>
        <v>1</v>
      </c>
      <c r="K1547" s="36" t="str">
        <f>IF(MB25_VOLUMETRIA[[#This Row],[Reserva]]="","",IFERROR(VLOOKUP(MB25_VOLUMETRIA[[#This Row],[UMB]],CHAVE[],2,FALSE),"VERIFICAR"))</f>
        <v>Unidade</v>
      </c>
      <c r="L15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7" s="32" t="str">
        <f ca="1">IFERROR(VLOOKUP(MB25_VOLUMETRIA[[#This Row],[Reserva]],RES_AB[],14,FALSE),"")</f>
        <v>RESERVAS PENDENTES</v>
      </c>
      <c r="N1547" s="32" t="str">
        <f>IF(MB25_VOLUMETRIA[[#This Row],[Cen.]]="","",IFERROR(VLOOKUP(MB25_VOLUMETRIA[[#This Row],[Cen.]],Dados_Empresas[],2,FALSE),"Verificar empresa"))</f>
        <v>NET MASSIVO</v>
      </c>
      <c r="O1547" s="32" t="str">
        <f>IF(MB25_VOLUMETRIA[[#This Row],[EMPRESA]]="","",IF(OR(MB25_VOLUMETRIA[[#This Row],[EMPRESA]]="NET MASSIVO",MB25_VOLUMETRIA[[#This Row],[EMPRESA]]="NET PROJETOS"),"NET","EMPRESARIAL"))</f>
        <v>NET</v>
      </c>
    </row>
    <row r="1548" spans="1:15" x14ac:dyDescent="0.25">
      <c r="A1548" s="32">
        <v>4382811</v>
      </c>
      <c r="B1548" s="32" t="s">
        <v>21</v>
      </c>
      <c r="C1548" s="33" t="s">
        <v>21</v>
      </c>
      <c r="D1548" s="35">
        <v>45449</v>
      </c>
      <c r="E1548" s="32">
        <v>221</v>
      </c>
      <c r="F1548" s="32">
        <v>22056815</v>
      </c>
      <c r="G1548" s="32" t="s">
        <v>261</v>
      </c>
      <c r="H1548" s="26" t="s">
        <v>38</v>
      </c>
      <c r="I1548" s="36">
        <v>11</v>
      </c>
      <c r="J1548" s="32">
        <f>IF(MB25_VOLUMETRIA[[#This Row],[Reserva]]="","",1)</f>
        <v>1</v>
      </c>
      <c r="K1548" s="36" t="str">
        <f>IF(MB25_VOLUMETRIA[[#This Row],[Reserva]]="","",IFERROR(VLOOKUP(MB25_VOLUMETRIA[[#This Row],[UMB]],CHAVE[],2,FALSE),"VERIFICAR"))</f>
        <v>Unidade</v>
      </c>
      <c r="L15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8" s="32" t="str">
        <f ca="1">IFERROR(VLOOKUP(MB25_VOLUMETRIA[[#This Row],[Reserva]],RES_AB[],14,FALSE),"")</f>
        <v>RESERVAS PENDENTES</v>
      </c>
      <c r="N1548" s="32" t="str">
        <f>IF(MB25_VOLUMETRIA[[#This Row],[Cen.]]="","",IFERROR(VLOOKUP(MB25_VOLUMETRIA[[#This Row],[Cen.]],Dados_Empresas[],2,FALSE),"Verificar empresa"))</f>
        <v>NET MASSIVO</v>
      </c>
      <c r="O1548" s="32" t="str">
        <f>IF(MB25_VOLUMETRIA[[#This Row],[EMPRESA]]="","",IF(OR(MB25_VOLUMETRIA[[#This Row],[EMPRESA]]="NET MASSIVO",MB25_VOLUMETRIA[[#This Row],[EMPRESA]]="NET PROJETOS"),"NET","EMPRESARIAL"))</f>
        <v>NET</v>
      </c>
    </row>
    <row r="1549" spans="1:15" x14ac:dyDescent="0.25">
      <c r="A1549" s="32">
        <v>4383406</v>
      </c>
      <c r="B1549" s="32" t="s">
        <v>21</v>
      </c>
      <c r="C1549" s="33" t="s">
        <v>21</v>
      </c>
      <c r="D1549" s="35">
        <v>45449</v>
      </c>
      <c r="E1549" s="32" t="s">
        <v>308</v>
      </c>
      <c r="F1549" s="32">
        <v>22062001</v>
      </c>
      <c r="G1549" s="32" t="s">
        <v>402</v>
      </c>
      <c r="H1549" s="26" t="s">
        <v>38</v>
      </c>
      <c r="I1549" s="36">
        <v>2000</v>
      </c>
      <c r="J1549" s="32">
        <f>IF(MB25_VOLUMETRIA[[#This Row],[Reserva]]="","",1)</f>
        <v>1</v>
      </c>
      <c r="K1549" s="36" t="str">
        <f>IF(MB25_VOLUMETRIA[[#This Row],[Reserva]]="","",IFERROR(VLOOKUP(MB25_VOLUMETRIA[[#This Row],[UMB]],CHAVE[],2,FALSE),"VERIFICAR"))</f>
        <v>Unidade</v>
      </c>
      <c r="L15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49" s="32" t="str">
        <f ca="1">IFERROR(VLOOKUP(MB25_VOLUMETRIA[[#This Row],[Reserva]],RES_AB[],14,FALSE),"")</f>
        <v>RESERVAS PENDENTES</v>
      </c>
      <c r="N1549" s="32" t="str">
        <f>IF(MB25_VOLUMETRIA[[#This Row],[Cen.]]="","",IFERROR(VLOOKUP(MB25_VOLUMETRIA[[#This Row],[Cen.]],Dados_Empresas[],2,FALSE),"Verificar empresa"))</f>
        <v>NET MASSIVO</v>
      </c>
      <c r="O1549" s="32" t="str">
        <f>IF(MB25_VOLUMETRIA[[#This Row],[EMPRESA]]="","",IF(OR(MB25_VOLUMETRIA[[#This Row],[EMPRESA]]="NET MASSIVO",MB25_VOLUMETRIA[[#This Row],[EMPRESA]]="NET PROJETOS"),"NET","EMPRESARIAL"))</f>
        <v>NET</v>
      </c>
    </row>
    <row r="1550" spans="1:15" x14ac:dyDescent="0.25">
      <c r="A1550" s="32">
        <v>4383638</v>
      </c>
      <c r="B1550" s="32" t="s">
        <v>21</v>
      </c>
      <c r="C1550" s="33" t="s">
        <v>19</v>
      </c>
      <c r="D1550" s="35">
        <v>45449</v>
      </c>
      <c r="E1550" s="32" t="s">
        <v>185</v>
      </c>
      <c r="F1550" s="32">
        <v>22026096</v>
      </c>
      <c r="G1550" s="32" t="s">
        <v>464</v>
      </c>
      <c r="H1550" s="26" t="s">
        <v>38</v>
      </c>
      <c r="I1550" s="36">
        <v>320</v>
      </c>
      <c r="J1550" s="32">
        <f>IF(MB25_VOLUMETRIA[[#This Row],[Reserva]]="","",1)</f>
        <v>1</v>
      </c>
      <c r="K1550" s="36" t="str">
        <f>IF(MB25_VOLUMETRIA[[#This Row],[Reserva]]="","",IFERROR(VLOOKUP(MB25_VOLUMETRIA[[#This Row],[UMB]],CHAVE[],2,FALSE),"VERIFICAR"))</f>
        <v>Unidade</v>
      </c>
      <c r="L15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0" s="32" t="str">
        <f ca="1">IFERROR(VLOOKUP(MB25_VOLUMETRIA[[#This Row],[Reserva]],RES_AB[],14,FALSE),"")</f>
        <v>RESERVAS PENDENTES</v>
      </c>
      <c r="N1550" s="32" t="str">
        <f>IF(MB25_VOLUMETRIA[[#This Row],[Cen.]]="","",IFERROR(VLOOKUP(MB25_VOLUMETRIA[[#This Row],[Cen.]],Dados_Empresas[],2,FALSE),"Verificar empresa"))</f>
        <v>NET MASSIVO</v>
      </c>
      <c r="O1550" s="32" t="str">
        <f>IF(MB25_VOLUMETRIA[[#This Row],[EMPRESA]]="","",IF(OR(MB25_VOLUMETRIA[[#This Row],[EMPRESA]]="NET MASSIVO",MB25_VOLUMETRIA[[#This Row],[EMPRESA]]="NET PROJETOS"),"NET","EMPRESARIAL"))</f>
        <v>NET</v>
      </c>
    </row>
    <row r="1551" spans="1:15" x14ac:dyDescent="0.25">
      <c r="A1551" s="32">
        <v>4383638</v>
      </c>
      <c r="B1551" s="32" t="s">
        <v>21</v>
      </c>
      <c r="C1551" s="33" t="s">
        <v>19</v>
      </c>
      <c r="D1551" s="35">
        <v>45449</v>
      </c>
      <c r="E1551" s="32" t="s">
        <v>185</v>
      </c>
      <c r="F1551" s="32">
        <v>22058639</v>
      </c>
      <c r="G1551" s="32" t="s">
        <v>290</v>
      </c>
      <c r="H1551" s="26" t="s">
        <v>38</v>
      </c>
      <c r="I1551" s="36">
        <v>60</v>
      </c>
      <c r="J1551" s="32">
        <f>IF(MB25_VOLUMETRIA[[#This Row],[Reserva]]="","",1)</f>
        <v>1</v>
      </c>
      <c r="K1551" s="36" t="str">
        <f>IF(MB25_VOLUMETRIA[[#This Row],[Reserva]]="","",IFERROR(VLOOKUP(MB25_VOLUMETRIA[[#This Row],[UMB]],CHAVE[],2,FALSE),"VERIFICAR"))</f>
        <v>Unidade</v>
      </c>
      <c r="L15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1" s="32" t="str">
        <f ca="1">IFERROR(VLOOKUP(MB25_VOLUMETRIA[[#This Row],[Reserva]],RES_AB[],14,FALSE),"")</f>
        <v>RESERVAS PENDENTES</v>
      </c>
      <c r="N1551" s="32" t="str">
        <f>IF(MB25_VOLUMETRIA[[#This Row],[Cen.]]="","",IFERROR(VLOOKUP(MB25_VOLUMETRIA[[#This Row],[Cen.]],Dados_Empresas[],2,FALSE),"Verificar empresa"))</f>
        <v>NET MASSIVO</v>
      </c>
      <c r="O1551" s="32" t="str">
        <f>IF(MB25_VOLUMETRIA[[#This Row],[EMPRESA]]="","",IF(OR(MB25_VOLUMETRIA[[#This Row],[EMPRESA]]="NET MASSIVO",MB25_VOLUMETRIA[[#This Row],[EMPRESA]]="NET PROJETOS"),"NET","EMPRESARIAL"))</f>
        <v>NET</v>
      </c>
    </row>
    <row r="1552" spans="1:15" x14ac:dyDescent="0.25">
      <c r="A1552" s="32">
        <v>4383638</v>
      </c>
      <c r="B1552" s="32" t="s">
        <v>21</v>
      </c>
      <c r="C1552" s="33" t="s">
        <v>19</v>
      </c>
      <c r="D1552" s="35">
        <v>45449</v>
      </c>
      <c r="E1552" s="32" t="s">
        <v>185</v>
      </c>
      <c r="F1552" s="32">
        <v>22060287</v>
      </c>
      <c r="G1552" s="32" t="s">
        <v>465</v>
      </c>
      <c r="H1552" s="26" t="s">
        <v>38</v>
      </c>
      <c r="I1552" s="36">
        <v>320</v>
      </c>
      <c r="J1552" s="32">
        <f>IF(MB25_VOLUMETRIA[[#This Row],[Reserva]]="","",1)</f>
        <v>1</v>
      </c>
      <c r="K1552" s="36" t="str">
        <f>IF(MB25_VOLUMETRIA[[#This Row],[Reserva]]="","",IFERROR(VLOOKUP(MB25_VOLUMETRIA[[#This Row],[UMB]],CHAVE[],2,FALSE),"VERIFICAR"))</f>
        <v>Unidade</v>
      </c>
      <c r="L15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2" s="32" t="str">
        <f ca="1">IFERROR(VLOOKUP(MB25_VOLUMETRIA[[#This Row],[Reserva]],RES_AB[],14,FALSE),"")</f>
        <v>RESERVAS PENDENTES</v>
      </c>
      <c r="N1552" s="32" t="str">
        <f>IF(MB25_VOLUMETRIA[[#This Row],[Cen.]]="","",IFERROR(VLOOKUP(MB25_VOLUMETRIA[[#This Row],[Cen.]],Dados_Empresas[],2,FALSE),"Verificar empresa"))</f>
        <v>NET MASSIVO</v>
      </c>
      <c r="O1552" s="32" t="str">
        <f>IF(MB25_VOLUMETRIA[[#This Row],[EMPRESA]]="","",IF(OR(MB25_VOLUMETRIA[[#This Row],[EMPRESA]]="NET MASSIVO",MB25_VOLUMETRIA[[#This Row],[EMPRESA]]="NET PROJETOS"),"NET","EMPRESARIAL"))</f>
        <v>NET</v>
      </c>
    </row>
    <row r="1553" spans="1:15" x14ac:dyDescent="0.25">
      <c r="A1553" s="32">
        <v>4383639</v>
      </c>
      <c r="B1553" s="32" t="s">
        <v>21</v>
      </c>
      <c r="C1553" s="33" t="s">
        <v>19</v>
      </c>
      <c r="D1553" s="35">
        <v>45449</v>
      </c>
      <c r="E1553" s="32" t="s">
        <v>184</v>
      </c>
      <c r="F1553" s="32">
        <v>41001095</v>
      </c>
      <c r="G1553" s="32" t="s">
        <v>246</v>
      </c>
      <c r="H1553" s="26" t="s">
        <v>38</v>
      </c>
      <c r="I1553" s="36">
        <v>60</v>
      </c>
      <c r="J1553" s="32">
        <f>IF(MB25_VOLUMETRIA[[#This Row],[Reserva]]="","",1)</f>
        <v>1</v>
      </c>
      <c r="K1553" s="36" t="str">
        <f>IF(MB25_VOLUMETRIA[[#This Row],[Reserva]]="","",IFERROR(VLOOKUP(MB25_VOLUMETRIA[[#This Row],[UMB]],CHAVE[],2,FALSE),"VERIFICAR"))</f>
        <v>Unidade</v>
      </c>
      <c r="L15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3" s="32" t="str">
        <f ca="1">IFERROR(VLOOKUP(MB25_VOLUMETRIA[[#This Row],[Reserva]],RES_AB[],14,FALSE),"")</f>
        <v>RESERVAS PENDENTES</v>
      </c>
      <c r="N1553" s="32" t="str">
        <f>IF(MB25_VOLUMETRIA[[#This Row],[Cen.]]="","",IFERROR(VLOOKUP(MB25_VOLUMETRIA[[#This Row],[Cen.]],Dados_Empresas[],2,FALSE),"Verificar empresa"))</f>
        <v>NET MASSIVO</v>
      </c>
      <c r="O1553" s="32" t="str">
        <f>IF(MB25_VOLUMETRIA[[#This Row],[EMPRESA]]="","",IF(OR(MB25_VOLUMETRIA[[#This Row],[EMPRESA]]="NET MASSIVO",MB25_VOLUMETRIA[[#This Row],[EMPRESA]]="NET PROJETOS"),"NET","EMPRESARIAL"))</f>
        <v>NET</v>
      </c>
    </row>
    <row r="1554" spans="1:15" x14ac:dyDescent="0.25">
      <c r="A1554" s="32">
        <v>4383639</v>
      </c>
      <c r="B1554" s="32" t="s">
        <v>21</v>
      </c>
      <c r="C1554" s="33" t="s">
        <v>19</v>
      </c>
      <c r="D1554" s="35">
        <v>45449</v>
      </c>
      <c r="E1554" s="32" t="s">
        <v>184</v>
      </c>
      <c r="F1554" s="32">
        <v>41001481</v>
      </c>
      <c r="G1554" s="32" t="s">
        <v>403</v>
      </c>
      <c r="H1554" s="26" t="s">
        <v>38</v>
      </c>
      <c r="I1554" s="36">
        <v>320</v>
      </c>
      <c r="J1554" s="32">
        <f>IF(MB25_VOLUMETRIA[[#This Row],[Reserva]]="","",1)</f>
        <v>1</v>
      </c>
      <c r="K1554" s="36" t="str">
        <f>IF(MB25_VOLUMETRIA[[#This Row],[Reserva]]="","",IFERROR(VLOOKUP(MB25_VOLUMETRIA[[#This Row],[UMB]],CHAVE[],2,FALSE),"VERIFICAR"))</f>
        <v>Unidade</v>
      </c>
      <c r="L15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4" s="32" t="str">
        <f ca="1">IFERROR(VLOOKUP(MB25_VOLUMETRIA[[#This Row],[Reserva]],RES_AB[],14,FALSE),"")</f>
        <v>RESERVAS PENDENTES</v>
      </c>
      <c r="N1554" s="32" t="str">
        <f>IF(MB25_VOLUMETRIA[[#This Row],[Cen.]]="","",IFERROR(VLOOKUP(MB25_VOLUMETRIA[[#This Row],[Cen.]],Dados_Empresas[],2,FALSE),"Verificar empresa"))</f>
        <v>NET MASSIVO</v>
      </c>
      <c r="O1554" s="32" t="str">
        <f>IF(MB25_VOLUMETRIA[[#This Row],[EMPRESA]]="","",IF(OR(MB25_VOLUMETRIA[[#This Row],[EMPRESA]]="NET MASSIVO",MB25_VOLUMETRIA[[#This Row],[EMPRESA]]="NET PROJETOS"),"NET","EMPRESARIAL"))</f>
        <v>NET</v>
      </c>
    </row>
    <row r="1555" spans="1:15" x14ac:dyDescent="0.25">
      <c r="A1555" s="32">
        <v>4383639</v>
      </c>
      <c r="B1555" s="32" t="s">
        <v>21</v>
      </c>
      <c r="C1555" s="33" t="s">
        <v>21</v>
      </c>
      <c r="D1555" s="35">
        <v>45449</v>
      </c>
      <c r="E1555" s="32" t="s">
        <v>184</v>
      </c>
      <c r="F1555" s="32">
        <v>41001535</v>
      </c>
      <c r="G1555" s="32" t="s">
        <v>191</v>
      </c>
      <c r="H1555" s="26" t="s">
        <v>38</v>
      </c>
      <c r="I1555" s="36">
        <v>90</v>
      </c>
      <c r="J1555" s="32">
        <f>IF(MB25_VOLUMETRIA[[#This Row],[Reserva]]="","",1)</f>
        <v>1</v>
      </c>
      <c r="K1555" s="36" t="str">
        <f>IF(MB25_VOLUMETRIA[[#This Row],[Reserva]]="","",IFERROR(VLOOKUP(MB25_VOLUMETRIA[[#This Row],[UMB]],CHAVE[],2,FALSE),"VERIFICAR"))</f>
        <v>Unidade</v>
      </c>
      <c r="L15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5" s="32" t="str">
        <f ca="1">IFERROR(VLOOKUP(MB25_VOLUMETRIA[[#This Row],[Reserva]],RES_AB[],14,FALSE),"")</f>
        <v>RESERVAS PENDENTES</v>
      </c>
      <c r="N1555" s="32" t="str">
        <f>IF(MB25_VOLUMETRIA[[#This Row],[Cen.]]="","",IFERROR(VLOOKUP(MB25_VOLUMETRIA[[#This Row],[Cen.]],Dados_Empresas[],2,FALSE),"Verificar empresa"))</f>
        <v>NET MASSIVO</v>
      </c>
      <c r="O1555" s="32" t="str">
        <f>IF(MB25_VOLUMETRIA[[#This Row],[EMPRESA]]="","",IF(OR(MB25_VOLUMETRIA[[#This Row],[EMPRESA]]="NET MASSIVO",MB25_VOLUMETRIA[[#This Row],[EMPRESA]]="NET PROJETOS"),"NET","EMPRESARIAL"))</f>
        <v>NET</v>
      </c>
    </row>
    <row r="1556" spans="1:15" x14ac:dyDescent="0.25">
      <c r="A1556" s="32">
        <v>4383640</v>
      </c>
      <c r="B1556" s="32" t="s">
        <v>21</v>
      </c>
      <c r="C1556" s="33" t="s">
        <v>19</v>
      </c>
      <c r="D1556" s="35">
        <v>45449</v>
      </c>
      <c r="E1556" s="32" t="s">
        <v>185</v>
      </c>
      <c r="F1556" s="32">
        <v>22026096</v>
      </c>
      <c r="G1556" s="32" t="s">
        <v>464</v>
      </c>
      <c r="H1556" s="26" t="s">
        <v>38</v>
      </c>
      <c r="I1556" s="36">
        <v>110</v>
      </c>
      <c r="J1556" s="32">
        <f>IF(MB25_VOLUMETRIA[[#This Row],[Reserva]]="","",1)</f>
        <v>1</v>
      </c>
      <c r="K1556" s="36" t="str">
        <f>IF(MB25_VOLUMETRIA[[#This Row],[Reserva]]="","",IFERROR(VLOOKUP(MB25_VOLUMETRIA[[#This Row],[UMB]],CHAVE[],2,FALSE),"VERIFICAR"))</f>
        <v>Unidade</v>
      </c>
      <c r="L15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6" s="32" t="str">
        <f ca="1">IFERROR(VLOOKUP(MB25_VOLUMETRIA[[#This Row],[Reserva]],RES_AB[],14,FALSE),"")</f>
        <v>RESERVAS PENDENTES</v>
      </c>
      <c r="N1556" s="32" t="str">
        <f>IF(MB25_VOLUMETRIA[[#This Row],[Cen.]]="","",IFERROR(VLOOKUP(MB25_VOLUMETRIA[[#This Row],[Cen.]],Dados_Empresas[],2,FALSE),"Verificar empresa"))</f>
        <v>NET MASSIVO</v>
      </c>
      <c r="O1556" s="32" t="str">
        <f>IF(MB25_VOLUMETRIA[[#This Row],[EMPRESA]]="","",IF(OR(MB25_VOLUMETRIA[[#This Row],[EMPRESA]]="NET MASSIVO",MB25_VOLUMETRIA[[#This Row],[EMPRESA]]="NET PROJETOS"),"NET","EMPRESARIAL"))</f>
        <v>NET</v>
      </c>
    </row>
    <row r="1557" spans="1:15" x14ac:dyDescent="0.25">
      <c r="A1557" s="32">
        <v>4383640</v>
      </c>
      <c r="B1557" s="32" t="s">
        <v>21</v>
      </c>
      <c r="C1557" s="33" t="s">
        <v>19</v>
      </c>
      <c r="D1557" s="35">
        <v>45449</v>
      </c>
      <c r="E1557" s="32" t="s">
        <v>185</v>
      </c>
      <c r="F1557" s="32">
        <v>22026293</v>
      </c>
      <c r="G1557" s="32" t="s">
        <v>352</v>
      </c>
      <c r="H1557" s="26" t="s">
        <v>38</v>
      </c>
      <c r="I1557" s="36">
        <v>50</v>
      </c>
      <c r="J1557" s="32">
        <f>IF(MB25_VOLUMETRIA[[#This Row],[Reserva]]="","",1)</f>
        <v>1</v>
      </c>
      <c r="K1557" s="36" t="str">
        <f>IF(MB25_VOLUMETRIA[[#This Row],[Reserva]]="","",IFERROR(VLOOKUP(MB25_VOLUMETRIA[[#This Row],[UMB]],CHAVE[],2,FALSE),"VERIFICAR"))</f>
        <v>Unidade</v>
      </c>
      <c r="L15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7" s="32" t="str">
        <f ca="1">IFERROR(VLOOKUP(MB25_VOLUMETRIA[[#This Row],[Reserva]],RES_AB[],14,FALSE),"")</f>
        <v>RESERVAS PENDENTES</v>
      </c>
      <c r="N1557" s="32" t="str">
        <f>IF(MB25_VOLUMETRIA[[#This Row],[Cen.]]="","",IFERROR(VLOOKUP(MB25_VOLUMETRIA[[#This Row],[Cen.]],Dados_Empresas[],2,FALSE),"Verificar empresa"))</f>
        <v>NET MASSIVO</v>
      </c>
      <c r="O1557" s="32" t="str">
        <f>IF(MB25_VOLUMETRIA[[#This Row],[EMPRESA]]="","",IF(OR(MB25_VOLUMETRIA[[#This Row],[EMPRESA]]="NET MASSIVO",MB25_VOLUMETRIA[[#This Row],[EMPRESA]]="NET PROJETOS"),"NET","EMPRESARIAL"))</f>
        <v>NET</v>
      </c>
    </row>
    <row r="1558" spans="1:15" x14ac:dyDescent="0.25">
      <c r="A1558" s="32">
        <v>4383640</v>
      </c>
      <c r="B1558" s="32" t="s">
        <v>21</v>
      </c>
      <c r="C1558" s="33" t="s">
        <v>19</v>
      </c>
      <c r="D1558" s="35">
        <v>45449</v>
      </c>
      <c r="E1558" s="32" t="s">
        <v>185</v>
      </c>
      <c r="F1558" s="32">
        <v>22060287</v>
      </c>
      <c r="G1558" s="32" t="s">
        <v>465</v>
      </c>
      <c r="H1558" s="26" t="s">
        <v>38</v>
      </c>
      <c r="I1558" s="36">
        <v>110</v>
      </c>
      <c r="J1558" s="32">
        <f>IF(MB25_VOLUMETRIA[[#This Row],[Reserva]]="","",1)</f>
        <v>1</v>
      </c>
      <c r="K1558" s="36" t="str">
        <f>IF(MB25_VOLUMETRIA[[#This Row],[Reserva]]="","",IFERROR(VLOOKUP(MB25_VOLUMETRIA[[#This Row],[UMB]],CHAVE[],2,FALSE),"VERIFICAR"))</f>
        <v>Unidade</v>
      </c>
      <c r="L15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8" s="32" t="str">
        <f ca="1">IFERROR(VLOOKUP(MB25_VOLUMETRIA[[#This Row],[Reserva]],RES_AB[],14,FALSE),"")</f>
        <v>RESERVAS PENDENTES</v>
      </c>
      <c r="N1558" s="32" t="str">
        <f>IF(MB25_VOLUMETRIA[[#This Row],[Cen.]]="","",IFERROR(VLOOKUP(MB25_VOLUMETRIA[[#This Row],[Cen.]],Dados_Empresas[],2,FALSE),"Verificar empresa"))</f>
        <v>NET MASSIVO</v>
      </c>
      <c r="O1558" s="32" t="str">
        <f>IF(MB25_VOLUMETRIA[[#This Row],[EMPRESA]]="","",IF(OR(MB25_VOLUMETRIA[[#This Row],[EMPRESA]]="NET MASSIVO",MB25_VOLUMETRIA[[#This Row],[EMPRESA]]="NET PROJETOS"),"NET","EMPRESARIAL"))</f>
        <v>NET</v>
      </c>
    </row>
    <row r="1559" spans="1:15" x14ac:dyDescent="0.25">
      <c r="A1559" s="32">
        <v>4383640</v>
      </c>
      <c r="B1559" s="32" t="s">
        <v>21</v>
      </c>
      <c r="C1559" s="33" t="s">
        <v>21</v>
      </c>
      <c r="D1559" s="35">
        <v>45449</v>
      </c>
      <c r="E1559" s="32" t="s">
        <v>185</v>
      </c>
      <c r="F1559" s="32">
        <v>22060422</v>
      </c>
      <c r="G1559" s="32" t="s">
        <v>298</v>
      </c>
      <c r="H1559" s="26" t="s">
        <v>38</v>
      </c>
      <c r="I1559" s="36">
        <v>50</v>
      </c>
      <c r="J1559" s="32">
        <f>IF(MB25_VOLUMETRIA[[#This Row],[Reserva]]="","",1)</f>
        <v>1</v>
      </c>
      <c r="K1559" s="36" t="str">
        <f>IF(MB25_VOLUMETRIA[[#This Row],[Reserva]]="","",IFERROR(VLOOKUP(MB25_VOLUMETRIA[[#This Row],[UMB]],CHAVE[],2,FALSE),"VERIFICAR"))</f>
        <v>Unidade</v>
      </c>
      <c r="L15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59" s="32" t="str">
        <f ca="1">IFERROR(VLOOKUP(MB25_VOLUMETRIA[[#This Row],[Reserva]],RES_AB[],14,FALSE),"")</f>
        <v>RESERVAS PENDENTES</v>
      </c>
      <c r="N1559" s="32" t="str">
        <f>IF(MB25_VOLUMETRIA[[#This Row],[Cen.]]="","",IFERROR(VLOOKUP(MB25_VOLUMETRIA[[#This Row],[Cen.]],Dados_Empresas[],2,FALSE),"Verificar empresa"))</f>
        <v>NET MASSIVO</v>
      </c>
      <c r="O1559" s="32" t="str">
        <f>IF(MB25_VOLUMETRIA[[#This Row],[EMPRESA]]="","",IF(OR(MB25_VOLUMETRIA[[#This Row],[EMPRESA]]="NET MASSIVO",MB25_VOLUMETRIA[[#This Row],[EMPRESA]]="NET PROJETOS"),"NET","EMPRESARIAL"))</f>
        <v>NET</v>
      </c>
    </row>
    <row r="1560" spans="1:15" x14ac:dyDescent="0.25">
      <c r="A1560" s="32">
        <v>4383901</v>
      </c>
      <c r="B1560" s="32" t="s">
        <v>21</v>
      </c>
      <c r="C1560" s="33" t="s">
        <v>19</v>
      </c>
      <c r="D1560" s="35">
        <v>45449</v>
      </c>
      <c r="E1560" s="32" t="s">
        <v>184</v>
      </c>
      <c r="F1560" s="32">
        <v>41001234</v>
      </c>
      <c r="G1560" s="32" t="s">
        <v>189</v>
      </c>
      <c r="H1560" s="26" t="s">
        <v>38</v>
      </c>
      <c r="I1560" s="36">
        <v>50</v>
      </c>
      <c r="J1560" s="32">
        <f>IF(MB25_VOLUMETRIA[[#This Row],[Reserva]]="","",1)</f>
        <v>1</v>
      </c>
      <c r="K1560" s="36" t="str">
        <f>IF(MB25_VOLUMETRIA[[#This Row],[Reserva]]="","",IFERROR(VLOOKUP(MB25_VOLUMETRIA[[#This Row],[UMB]],CHAVE[],2,FALSE),"VERIFICAR"))</f>
        <v>Unidade</v>
      </c>
      <c r="L15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0" s="32" t="str">
        <f ca="1">IFERROR(VLOOKUP(MB25_VOLUMETRIA[[#This Row],[Reserva]],RES_AB[],14,FALSE),"")</f>
        <v>RESERVAS PENDENTES</v>
      </c>
      <c r="N1560" s="32" t="str">
        <f>IF(MB25_VOLUMETRIA[[#This Row],[Cen.]]="","",IFERROR(VLOOKUP(MB25_VOLUMETRIA[[#This Row],[Cen.]],Dados_Empresas[],2,FALSE),"Verificar empresa"))</f>
        <v>NET MASSIVO</v>
      </c>
      <c r="O1560" s="32" t="str">
        <f>IF(MB25_VOLUMETRIA[[#This Row],[EMPRESA]]="","",IF(OR(MB25_VOLUMETRIA[[#This Row],[EMPRESA]]="NET MASSIVO",MB25_VOLUMETRIA[[#This Row],[EMPRESA]]="NET PROJETOS"),"NET","EMPRESARIAL"))</f>
        <v>NET</v>
      </c>
    </row>
    <row r="1561" spans="1:15" x14ac:dyDescent="0.25">
      <c r="A1561" s="32">
        <v>4383901</v>
      </c>
      <c r="B1561" s="32" t="s">
        <v>21</v>
      </c>
      <c r="C1561" s="33" t="s">
        <v>19</v>
      </c>
      <c r="D1561" s="35">
        <v>45449</v>
      </c>
      <c r="E1561" s="32" t="s">
        <v>184</v>
      </c>
      <c r="F1561" s="32">
        <v>41001277</v>
      </c>
      <c r="G1561" s="32" t="s">
        <v>466</v>
      </c>
      <c r="H1561" s="26" t="s">
        <v>38</v>
      </c>
      <c r="I1561" s="36">
        <v>50</v>
      </c>
      <c r="J1561" s="32">
        <f>IF(MB25_VOLUMETRIA[[#This Row],[Reserva]]="","",1)</f>
        <v>1</v>
      </c>
      <c r="K1561" s="36" t="str">
        <f>IF(MB25_VOLUMETRIA[[#This Row],[Reserva]]="","",IFERROR(VLOOKUP(MB25_VOLUMETRIA[[#This Row],[UMB]],CHAVE[],2,FALSE),"VERIFICAR"))</f>
        <v>Unidade</v>
      </c>
      <c r="L15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1" s="32" t="str">
        <f ca="1">IFERROR(VLOOKUP(MB25_VOLUMETRIA[[#This Row],[Reserva]],RES_AB[],14,FALSE),"")</f>
        <v>RESERVAS PENDENTES</v>
      </c>
      <c r="N1561" s="32" t="str">
        <f>IF(MB25_VOLUMETRIA[[#This Row],[Cen.]]="","",IFERROR(VLOOKUP(MB25_VOLUMETRIA[[#This Row],[Cen.]],Dados_Empresas[],2,FALSE),"Verificar empresa"))</f>
        <v>NET MASSIVO</v>
      </c>
      <c r="O1561" s="32" t="str">
        <f>IF(MB25_VOLUMETRIA[[#This Row],[EMPRESA]]="","",IF(OR(MB25_VOLUMETRIA[[#This Row],[EMPRESA]]="NET MASSIVO",MB25_VOLUMETRIA[[#This Row],[EMPRESA]]="NET PROJETOS"),"NET","EMPRESARIAL"))</f>
        <v>NET</v>
      </c>
    </row>
    <row r="1562" spans="1:15" x14ac:dyDescent="0.25">
      <c r="A1562" s="32">
        <v>4383901</v>
      </c>
      <c r="B1562" s="32" t="s">
        <v>21</v>
      </c>
      <c r="C1562" s="33" t="s">
        <v>19</v>
      </c>
      <c r="D1562" s="35">
        <v>45449</v>
      </c>
      <c r="E1562" s="32" t="s">
        <v>184</v>
      </c>
      <c r="F1562" s="32">
        <v>41001481</v>
      </c>
      <c r="G1562" s="32" t="s">
        <v>403</v>
      </c>
      <c r="H1562" s="26" t="s">
        <v>38</v>
      </c>
      <c r="I1562" s="36">
        <v>110</v>
      </c>
      <c r="J1562" s="32">
        <f>IF(MB25_VOLUMETRIA[[#This Row],[Reserva]]="","",1)</f>
        <v>1</v>
      </c>
      <c r="K1562" s="36" t="str">
        <f>IF(MB25_VOLUMETRIA[[#This Row],[Reserva]]="","",IFERROR(VLOOKUP(MB25_VOLUMETRIA[[#This Row],[UMB]],CHAVE[],2,FALSE),"VERIFICAR"))</f>
        <v>Unidade</v>
      </c>
      <c r="L15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2" s="32" t="str">
        <f ca="1">IFERROR(VLOOKUP(MB25_VOLUMETRIA[[#This Row],[Reserva]],RES_AB[],14,FALSE),"")</f>
        <v>RESERVAS PENDENTES</v>
      </c>
      <c r="N1562" s="32" t="str">
        <f>IF(MB25_VOLUMETRIA[[#This Row],[Cen.]]="","",IFERROR(VLOOKUP(MB25_VOLUMETRIA[[#This Row],[Cen.]],Dados_Empresas[],2,FALSE),"Verificar empresa"))</f>
        <v>NET MASSIVO</v>
      </c>
      <c r="O1562" s="32" t="str">
        <f>IF(MB25_VOLUMETRIA[[#This Row],[EMPRESA]]="","",IF(OR(MB25_VOLUMETRIA[[#This Row],[EMPRESA]]="NET MASSIVO",MB25_VOLUMETRIA[[#This Row],[EMPRESA]]="NET PROJETOS"),"NET","EMPRESARIAL"))</f>
        <v>NET</v>
      </c>
    </row>
    <row r="1563" spans="1:15" x14ac:dyDescent="0.25">
      <c r="A1563" s="32">
        <v>4383901</v>
      </c>
      <c r="B1563" s="32" t="s">
        <v>21</v>
      </c>
      <c r="C1563" s="33" t="s">
        <v>21</v>
      </c>
      <c r="D1563" s="35">
        <v>45449</v>
      </c>
      <c r="E1563" s="32" t="s">
        <v>184</v>
      </c>
      <c r="F1563" s="32">
        <v>41001535</v>
      </c>
      <c r="G1563" s="32" t="s">
        <v>191</v>
      </c>
      <c r="H1563" s="26" t="s">
        <v>38</v>
      </c>
      <c r="I1563" s="36">
        <v>90</v>
      </c>
      <c r="J1563" s="32">
        <f>IF(MB25_VOLUMETRIA[[#This Row],[Reserva]]="","",1)</f>
        <v>1</v>
      </c>
      <c r="K1563" s="36" t="str">
        <f>IF(MB25_VOLUMETRIA[[#This Row],[Reserva]]="","",IFERROR(VLOOKUP(MB25_VOLUMETRIA[[#This Row],[UMB]],CHAVE[],2,FALSE),"VERIFICAR"))</f>
        <v>Unidade</v>
      </c>
      <c r="L15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3" s="32" t="str">
        <f ca="1">IFERROR(VLOOKUP(MB25_VOLUMETRIA[[#This Row],[Reserva]],RES_AB[],14,FALSE),"")</f>
        <v>RESERVAS PENDENTES</v>
      </c>
      <c r="N1563" s="32" t="str">
        <f>IF(MB25_VOLUMETRIA[[#This Row],[Cen.]]="","",IFERROR(VLOOKUP(MB25_VOLUMETRIA[[#This Row],[Cen.]],Dados_Empresas[],2,FALSE),"Verificar empresa"))</f>
        <v>NET MASSIVO</v>
      </c>
      <c r="O1563" s="32" t="str">
        <f>IF(MB25_VOLUMETRIA[[#This Row],[EMPRESA]]="","",IF(OR(MB25_VOLUMETRIA[[#This Row],[EMPRESA]]="NET MASSIVO",MB25_VOLUMETRIA[[#This Row],[EMPRESA]]="NET PROJETOS"),"NET","EMPRESARIAL"))</f>
        <v>NET</v>
      </c>
    </row>
    <row r="1564" spans="1:15" x14ac:dyDescent="0.25">
      <c r="A1564" s="32">
        <v>4383902</v>
      </c>
      <c r="B1564" s="32" t="s">
        <v>21</v>
      </c>
      <c r="C1564" s="33" t="s">
        <v>19</v>
      </c>
      <c r="D1564" s="35">
        <v>45449</v>
      </c>
      <c r="E1564" s="32" t="s">
        <v>185</v>
      </c>
      <c r="F1564" s="32">
        <v>22026279</v>
      </c>
      <c r="G1564" s="32" t="s">
        <v>350</v>
      </c>
      <c r="H1564" s="26" t="s">
        <v>38</v>
      </c>
      <c r="I1564" s="36">
        <v>240</v>
      </c>
      <c r="J1564" s="32">
        <f>IF(MB25_VOLUMETRIA[[#This Row],[Reserva]]="","",1)</f>
        <v>1</v>
      </c>
      <c r="K1564" s="36" t="str">
        <f>IF(MB25_VOLUMETRIA[[#This Row],[Reserva]]="","",IFERROR(VLOOKUP(MB25_VOLUMETRIA[[#This Row],[UMB]],CHAVE[],2,FALSE),"VERIFICAR"))</f>
        <v>Unidade</v>
      </c>
      <c r="L15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4" s="32" t="str">
        <f ca="1">IFERROR(VLOOKUP(MB25_VOLUMETRIA[[#This Row],[Reserva]],RES_AB[],14,FALSE),"")</f>
        <v>RESERVAS PENDENTES</v>
      </c>
      <c r="N1564" s="32" t="str">
        <f>IF(MB25_VOLUMETRIA[[#This Row],[Cen.]]="","",IFERROR(VLOOKUP(MB25_VOLUMETRIA[[#This Row],[Cen.]],Dados_Empresas[],2,FALSE),"Verificar empresa"))</f>
        <v>NET MASSIVO</v>
      </c>
      <c r="O1564" s="32" t="str">
        <f>IF(MB25_VOLUMETRIA[[#This Row],[EMPRESA]]="","",IF(OR(MB25_VOLUMETRIA[[#This Row],[EMPRESA]]="NET MASSIVO",MB25_VOLUMETRIA[[#This Row],[EMPRESA]]="NET PROJETOS"),"NET","EMPRESARIAL"))</f>
        <v>NET</v>
      </c>
    </row>
    <row r="1565" spans="1:15" x14ac:dyDescent="0.25">
      <c r="A1565" s="32">
        <v>4383902</v>
      </c>
      <c r="B1565" s="32" t="s">
        <v>21</v>
      </c>
      <c r="C1565" s="33" t="s">
        <v>19</v>
      </c>
      <c r="D1565" s="35">
        <v>45449</v>
      </c>
      <c r="E1565" s="32" t="s">
        <v>185</v>
      </c>
      <c r="F1565" s="32">
        <v>22026293</v>
      </c>
      <c r="G1565" s="32" t="s">
        <v>352</v>
      </c>
      <c r="H1565" s="26" t="s">
        <v>38</v>
      </c>
      <c r="I1565" s="36">
        <v>210</v>
      </c>
      <c r="J1565" s="32">
        <f>IF(MB25_VOLUMETRIA[[#This Row],[Reserva]]="","",1)</f>
        <v>1</v>
      </c>
      <c r="K1565" s="36" t="str">
        <f>IF(MB25_VOLUMETRIA[[#This Row],[Reserva]]="","",IFERROR(VLOOKUP(MB25_VOLUMETRIA[[#This Row],[UMB]],CHAVE[],2,FALSE),"VERIFICAR"))</f>
        <v>Unidade</v>
      </c>
      <c r="L15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5" s="32" t="str">
        <f ca="1">IFERROR(VLOOKUP(MB25_VOLUMETRIA[[#This Row],[Reserva]],RES_AB[],14,FALSE),"")</f>
        <v>RESERVAS PENDENTES</v>
      </c>
      <c r="N1565" s="32" t="str">
        <f>IF(MB25_VOLUMETRIA[[#This Row],[Cen.]]="","",IFERROR(VLOOKUP(MB25_VOLUMETRIA[[#This Row],[Cen.]],Dados_Empresas[],2,FALSE),"Verificar empresa"))</f>
        <v>NET MASSIVO</v>
      </c>
      <c r="O1565" s="32" t="str">
        <f>IF(MB25_VOLUMETRIA[[#This Row],[EMPRESA]]="","",IF(OR(MB25_VOLUMETRIA[[#This Row],[EMPRESA]]="NET MASSIVO",MB25_VOLUMETRIA[[#This Row],[EMPRESA]]="NET PROJETOS"),"NET","EMPRESARIAL"))</f>
        <v>NET</v>
      </c>
    </row>
    <row r="1566" spans="1:15" x14ac:dyDescent="0.25">
      <c r="A1566" s="32">
        <v>4383902</v>
      </c>
      <c r="B1566" s="32" t="s">
        <v>21</v>
      </c>
      <c r="C1566" s="33" t="s">
        <v>21</v>
      </c>
      <c r="D1566" s="35">
        <v>45449</v>
      </c>
      <c r="E1566" s="32" t="s">
        <v>185</v>
      </c>
      <c r="F1566" s="32">
        <v>22060422</v>
      </c>
      <c r="G1566" s="32" t="s">
        <v>298</v>
      </c>
      <c r="H1566" s="26" t="s">
        <v>38</v>
      </c>
      <c r="I1566" s="36">
        <v>210</v>
      </c>
      <c r="J1566" s="32">
        <f>IF(MB25_VOLUMETRIA[[#This Row],[Reserva]]="","",1)</f>
        <v>1</v>
      </c>
      <c r="K1566" s="36" t="str">
        <f>IF(MB25_VOLUMETRIA[[#This Row],[Reserva]]="","",IFERROR(VLOOKUP(MB25_VOLUMETRIA[[#This Row],[UMB]],CHAVE[],2,FALSE),"VERIFICAR"))</f>
        <v>Unidade</v>
      </c>
      <c r="L15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6" s="32" t="str">
        <f ca="1">IFERROR(VLOOKUP(MB25_VOLUMETRIA[[#This Row],[Reserva]],RES_AB[],14,FALSE),"")</f>
        <v>RESERVAS PENDENTES</v>
      </c>
      <c r="N1566" s="32" t="str">
        <f>IF(MB25_VOLUMETRIA[[#This Row],[Cen.]]="","",IFERROR(VLOOKUP(MB25_VOLUMETRIA[[#This Row],[Cen.]],Dados_Empresas[],2,FALSE),"Verificar empresa"))</f>
        <v>NET MASSIVO</v>
      </c>
      <c r="O1566" s="32" t="str">
        <f>IF(MB25_VOLUMETRIA[[#This Row],[EMPRESA]]="","",IF(OR(MB25_VOLUMETRIA[[#This Row],[EMPRESA]]="NET MASSIVO",MB25_VOLUMETRIA[[#This Row],[EMPRESA]]="NET PROJETOS"),"NET","EMPRESARIAL"))</f>
        <v>NET</v>
      </c>
    </row>
    <row r="1567" spans="1:15" x14ac:dyDescent="0.25">
      <c r="A1567" s="32">
        <v>4383902</v>
      </c>
      <c r="B1567" s="32" t="s">
        <v>21</v>
      </c>
      <c r="C1567" s="33" t="s">
        <v>21</v>
      </c>
      <c r="D1567" s="35">
        <v>45449</v>
      </c>
      <c r="E1567" s="32" t="s">
        <v>185</v>
      </c>
      <c r="F1567" s="32">
        <v>22062577</v>
      </c>
      <c r="G1567" s="32" t="s">
        <v>467</v>
      </c>
      <c r="H1567" s="26" t="s">
        <v>38</v>
      </c>
      <c r="I1567" s="36">
        <v>140</v>
      </c>
      <c r="J1567" s="32">
        <f>IF(MB25_VOLUMETRIA[[#This Row],[Reserva]]="","",1)</f>
        <v>1</v>
      </c>
      <c r="K1567" s="36" t="str">
        <f>IF(MB25_VOLUMETRIA[[#This Row],[Reserva]]="","",IFERROR(VLOOKUP(MB25_VOLUMETRIA[[#This Row],[UMB]],CHAVE[],2,FALSE),"VERIFICAR"))</f>
        <v>Unidade</v>
      </c>
      <c r="L15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7" s="32" t="str">
        <f ca="1">IFERROR(VLOOKUP(MB25_VOLUMETRIA[[#This Row],[Reserva]],RES_AB[],14,FALSE),"")</f>
        <v>RESERVAS PENDENTES</v>
      </c>
      <c r="N1567" s="32" t="str">
        <f>IF(MB25_VOLUMETRIA[[#This Row],[Cen.]]="","",IFERROR(VLOOKUP(MB25_VOLUMETRIA[[#This Row],[Cen.]],Dados_Empresas[],2,FALSE),"Verificar empresa"))</f>
        <v>NET MASSIVO</v>
      </c>
      <c r="O1567" s="32" t="str">
        <f>IF(MB25_VOLUMETRIA[[#This Row],[EMPRESA]]="","",IF(OR(MB25_VOLUMETRIA[[#This Row],[EMPRESA]]="NET MASSIVO",MB25_VOLUMETRIA[[#This Row],[EMPRESA]]="NET PROJETOS"),"NET","EMPRESARIAL"))</f>
        <v>NET</v>
      </c>
    </row>
    <row r="1568" spans="1:15" x14ac:dyDescent="0.25">
      <c r="A1568" s="32">
        <v>4383903</v>
      </c>
      <c r="B1568" s="32" t="s">
        <v>21</v>
      </c>
      <c r="C1568" s="33" t="s">
        <v>19</v>
      </c>
      <c r="D1568" s="35">
        <v>45449</v>
      </c>
      <c r="E1568" s="32" t="s">
        <v>184</v>
      </c>
      <c r="F1568" s="32">
        <v>41001234</v>
      </c>
      <c r="G1568" s="32" t="s">
        <v>189</v>
      </c>
      <c r="H1568" s="26" t="s">
        <v>38</v>
      </c>
      <c r="I1568" s="36">
        <v>210</v>
      </c>
      <c r="J1568" s="32">
        <f>IF(MB25_VOLUMETRIA[[#This Row],[Reserva]]="","",1)</f>
        <v>1</v>
      </c>
      <c r="K1568" s="36" t="str">
        <f>IF(MB25_VOLUMETRIA[[#This Row],[Reserva]]="","",IFERROR(VLOOKUP(MB25_VOLUMETRIA[[#This Row],[UMB]],CHAVE[],2,FALSE),"VERIFICAR"))</f>
        <v>Unidade</v>
      </c>
      <c r="L15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8" s="32" t="str">
        <f ca="1">IFERROR(VLOOKUP(MB25_VOLUMETRIA[[#This Row],[Reserva]],RES_AB[],14,FALSE),"")</f>
        <v>RESERVAS PENDENTES</v>
      </c>
      <c r="N1568" s="32" t="str">
        <f>IF(MB25_VOLUMETRIA[[#This Row],[Cen.]]="","",IFERROR(VLOOKUP(MB25_VOLUMETRIA[[#This Row],[Cen.]],Dados_Empresas[],2,FALSE),"Verificar empresa"))</f>
        <v>NET MASSIVO</v>
      </c>
      <c r="O1568" s="32" t="str">
        <f>IF(MB25_VOLUMETRIA[[#This Row],[EMPRESA]]="","",IF(OR(MB25_VOLUMETRIA[[#This Row],[EMPRESA]]="NET MASSIVO",MB25_VOLUMETRIA[[#This Row],[EMPRESA]]="NET PROJETOS"),"NET","EMPRESARIAL"))</f>
        <v>NET</v>
      </c>
    </row>
    <row r="1569" spans="1:15" x14ac:dyDescent="0.25">
      <c r="A1569" s="32">
        <v>4383903</v>
      </c>
      <c r="B1569" s="32" t="s">
        <v>21</v>
      </c>
      <c r="C1569" s="33" t="s">
        <v>19</v>
      </c>
      <c r="D1569" s="35">
        <v>45449</v>
      </c>
      <c r="E1569" s="32" t="s">
        <v>184</v>
      </c>
      <c r="F1569" s="32">
        <v>41001277</v>
      </c>
      <c r="G1569" s="32" t="s">
        <v>466</v>
      </c>
      <c r="H1569" s="26" t="s">
        <v>38</v>
      </c>
      <c r="I1569" s="36">
        <v>210</v>
      </c>
      <c r="J1569" s="32">
        <f>IF(MB25_VOLUMETRIA[[#This Row],[Reserva]]="","",1)</f>
        <v>1</v>
      </c>
      <c r="K1569" s="36" t="str">
        <f>IF(MB25_VOLUMETRIA[[#This Row],[Reserva]]="","",IFERROR(VLOOKUP(MB25_VOLUMETRIA[[#This Row],[UMB]],CHAVE[],2,FALSE),"VERIFICAR"))</f>
        <v>Unidade</v>
      </c>
      <c r="L15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69" s="32" t="str">
        <f ca="1">IFERROR(VLOOKUP(MB25_VOLUMETRIA[[#This Row],[Reserva]],RES_AB[],14,FALSE),"")</f>
        <v>RESERVAS PENDENTES</v>
      </c>
      <c r="N1569" s="32" t="str">
        <f>IF(MB25_VOLUMETRIA[[#This Row],[Cen.]]="","",IFERROR(VLOOKUP(MB25_VOLUMETRIA[[#This Row],[Cen.]],Dados_Empresas[],2,FALSE),"Verificar empresa"))</f>
        <v>NET MASSIVO</v>
      </c>
      <c r="O1569" s="32" t="str">
        <f>IF(MB25_VOLUMETRIA[[#This Row],[EMPRESA]]="","",IF(OR(MB25_VOLUMETRIA[[#This Row],[EMPRESA]]="NET MASSIVO",MB25_VOLUMETRIA[[#This Row],[EMPRESA]]="NET PROJETOS"),"NET","EMPRESARIAL"))</f>
        <v>NET</v>
      </c>
    </row>
    <row r="1570" spans="1:15" x14ac:dyDescent="0.25">
      <c r="A1570" s="32">
        <v>4383903</v>
      </c>
      <c r="B1570" s="32" t="s">
        <v>21</v>
      </c>
      <c r="C1570" s="33" t="s">
        <v>19</v>
      </c>
      <c r="D1570" s="35">
        <v>45449</v>
      </c>
      <c r="E1570" s="32" t="s">
        <v>184</v>
      </c>
      <c r="F1570" s="32">
        <v>41001293</v>
      </c>
      <c r="G1570" s="32" t="s">
        <v>468</v>
      </c>
      <c r="H1570" s="26" t="s">
        <v>38</v>
      </c>
      <c r="I1570" s="36">
        <v>240</v>
      </c>
      <c r="J1570" s="32">
        <f>IF(MB25_VOLUMETRIA[[#This Row],[Reserva]]="","",1)</f>
        <v>1</v>
      </c>
      <c r="K1570" s="36" t="str">
        <f>IF(MB25_VOLUMETRIA[[#This Row],[Reserva]]="","",IFERROR(VLOOKUP(MB25_VOLUMETRIA[[#This Row],[UMB]],CHAVE[],2,FALSE),"VERIFICAR"))</f>
        <v>Unidade</v>
      </c>
      <c r="L15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0" s="32" t="str">
        <f ca="1">IFERROR(VLOOKUP(MB25_VOLUMETRIA[[#This Row],[Reserva]],RES_AB[],14,FALSE),"")</f>
        <v>RESERVAS PENDENTES</v>
      </c>
      <c r="N1570" s="32" t="str">
        <f>IF(MB25_VOLUMETRIA[[#This Row],[Cen.]]="","",IFERROR(VLOOKUP(MB25_VOLUMETRIA[[#This Row],[Cen.]],Dados_Empresas[],2,FALSE),"Verificar empresa"))</f>
        <v>NET MASSIVO</v>
      </c>
      <c r="O1570" s="32" t="str">
        <f>IF(MB25_VOLUMETRIA[[#This Row],[EMPRESA]]="","",IF(OR(MB25_VOLUMETRIA[[#This Row],[EMPRESA]]="NET MASSIVO",MB25_VOLUMETRIA[[#This Row],[EMPRESA]]="NET PROJETOS"),"NET","EMPRESARIAL"))</f>
        <v>NET</v>
      </c>
    </row>
    <row r="1571" spans="1:15" x14ac:dyDescent="0.25">
      <c r="A1571" s="32">
        <v>4383903</v>
      </c>
      <c r="B1571" s="32" t="s">
        <v>21</v>
      </c>
      <c r="C1571" s="33" t="s">
        <v>19</v>
      </c>
      <c r="D1571" s="35">
        <v>45449</v>
      </c>
      <c r="E1571" s="32" t="s">
        <v>184</v>
      </c>
      <c r="F1571" s="32">
        <v>41001485</v>
      </c>
      <c r="G1571" s="32" t="s">
        <v>469</v>
      </c>
      <c r="H1571" s="26" t="s">
        <v>38</v>
      </c>
      <c r="I1571" s="36">
        <v>140</v>
      </c>
      <c r="J1571" s="32">
        <f>IF(MB25_VOLUMETRIA[[#This Row],[Reserva]]="","",1)</f>
        <v>1</v>
      </c>
      <c r="K1571" s="36" t="str">
        <f>IF(MB25_VOLUMETRIA[[#This Row],[Reserva]]="","",IFERROR(VLOOKUP(MB25_VOLUMETRIA[[#This Row],[UMB]],CHAVE[],2,FALSE),"VERIFICAR"))</f>
        <v>Unidade</v>
      </c>
      <c r="L15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1" s="32" t="str">
        <f ca="1">IFERROR(VLOOKUP(MB25_VOLUMETRIA[[#This Row],[Reserva]],RES_AB[],14,FALSE),"")</f>
        <v>RESERVAS PENDENTES</v>
      </c>
      <c r="N1571" s="32" t="str">
        <f>IF(MB25_VOLUMETRIA[[#This Row],[Cen.]]="","",IFERROR(VLOOKUP(MB25_VOLUMETRIA[[#This Row],[Cen.]],Dados_Empresas[],2,FALSE),"Verificar empresa"))</f>
        <v>NET MASSIVO</v>
      </c>
      <c r="O1571" s="32" t="str">
        <f>IF(MB25_VOLUMETRIA[[#This Row],[EMPRESA]]="","",IF(OR(MB25_VOLUMETRIA[[#This Row],[EMPRESA]]="NET MASSIVO",MB25_VOLUMETRIA[[#This Row],[EMPRESA]]="NET PROJETOS"),"NET","EMPRESARIAL"))</f>
        <v>NET</v>
      </c>
    </row>
    <row r="1572" spans="1:15" x14ac:dyDescent="0.25">
      <c r="A1572" s="32">
        <v>4383903</v>
      </c>
      <c r="B1572" s="32" t="s">
        <v>21</v>
      </c>
      <c r="C1572" s="33" t="s">
        <v>182</v>
      </c>
      <c r="D1572" s="35">
        <v>45449</v>
      </c>
      <c r="E1572" s="32" t="s">
        <v>184</v>
      </c>
      <c r="F1572" s="32">
        <v>41001530</v>
      </c>
      <c r="G1572" s="32" t="s">
        <v>319</v>
      </c>
      <c r="H1572" s="26" t="s">
        <v>38</v>
      </c>
      <c r="I1572" s="36">
        <v>70</v>
      </c>
      <c r="J1572" s="32">
        <f>IF(MB25_VOLUMETRIA[[#This Row],[Reserva]]="","",1)</f>
        <v>1</v>
      </c>
      <c r="K1572" s="36" t="str">
        <f>IF(MB25_VOLUMETRIA[[#This Row],[Reserva]]="","",IFERROR(VLOOKUP(MB25_VOLUMETRIA[[#This Row],[UMB]],CHAVE[],2,FALSE),"VERIFICAR"))</f>
        <v>Unidade</v>
      </c>
      <c r="L15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2" s="32" t="str">
        <f ca="1">IFERROR(VLOOKUP(MB25_VOLUMETRIA[[#This Row],[Reserva]],RES_AB[],14,FALSE),"")</f>
        <v>RESERVAS PENDENTES</v>
      </c>
      <c r="N1572" s="32" t="str">
        <f>IF(MB25_VOLUMETRIA[[#This Row],[Cen.]]="","",IFERROR(VLOOKUP(MB25_VOLUMETRIA[[#This Row],[Cen.]],Dados_Empresas[],2,FALSE),"Verificar empresa"))</f>
        <v>NET MASSIVO</v>
      </c>
      <c r="O1572" s="32" t="str">
        <f>IF(MB25_VOLUMETRIA[[#This Row],[EMPRESA]]="","",IF(OR(MB25_VOLUMETRIA[[#This Row],[EMPRESA]]="NET MASSIVO",MB25_VOLUMETRIA[[#This Row],[EMPRESA]]="NET PROJETOS"),"NET","EMPRESARIAL"))</f>
        <v>NET</v>
      </c>
    </row>
    <row r="1573" spans="1:15" x14ac:dyDescent="0.25">
      <c r="A1573" s="32">
        <v>4383903</v>
      </c>
      <c r="B1573" s="32" t="s">
        <v>21</v>
      </c>
      <c r="C1573" s="33" t="s">
        <v>21</v>
      </c>
      <c r="D1573" s="35">
        <v>45449</v>
      </c>
      <c r="E1573" s="32" t="s">
        <v>184</v>
      </c>
      <c r="F1573" s="32">
        <v>41001573</v>
      </c>
      <c r="G1573" s="32" t="s">
        <v>259</v>
      </c>
      <c r="H1573" s="26" t="s">
        <v>38</v>
      </c>
      <c r="I1573" s="36">
        <v>40</v>
      </c>
      <c r="J1573" s="32">
        <f>IF(MB25_VOLUMETRIA[[#This Row],[Reserva]]="","",1)</f>
        <v>1</v>
      </c>
      <c r="K1573" s="36" t="str">
        <f>IF(MB25_VOLUMETRIA[[#This Row],[Reserva]]="","",IFERROR(VLOOKUP(MB25_VOLUMETRIA[[#This Row],[UMB]],CHAVE[],2,FALSE),"VERIFICAR"))</f>
        <v>Unidade</v>
      </c>
      <c r="L15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3" s="32" t="str">
        <f ca="1">IFERROR(VLOOKUP(MB25_VOLUMETRIA[[#This Row],[Reserva]],RES_AB[],14,FALSE),"")</f>
        <v>RESERVAS PENDENTES</v>
      </c>
      <c r="N1573" s="32" t="str">
        <f>IF(MB25_VOLUMETRIA[[#This Row],[Cen.]]="","",IFERROR(VLOOKUP(MB25_VOLUMETRIA[[#This Row],[Cen.]],Dados_Empresas[],2,FALSE),"Verificar empresa"))</f>
        <v>NET MASSIVO</v>
      </c>
      <c r="O1573" s="32" t="str">
        <f>IF(MB25_VOLUMETRIA[[#This Row],[EMPRESA]]="","",IF(OR(MB25_VOLUMETRIA[[#This Row],[EMPRESA]]="NET MASSIVO",MB25_VOLUMETRIA[[#This Row],[EMPRESA]]="NET PROJETOS"),"NET","EMPRESARIAL"))</f>
        <v>NET</v>
      </c>
    </row>
    <row r="1574" spans="1:15" x14ac:dyDescent="0.25">
      <c r="A1574" s="32">
        <v>4383905</v>
      </c>
      <c r="B1574" s="32" t="s">
        <v>21</v>
      </c>
      <c r="C1574" s="33" t="s">
        <v>19</v>
      </c>
      <c r="D1574" s="35">
        <v>45449</v>
      </c>
      <c r="E1574" s="32" t="s">
        <v>185</v>
      </c>
      <c r="F1574" s="32">
        <v>22026279</v>
      </c>
      <c r="G1574" s="32" t="s">
        <v>350</v>
      </c>
      <c r="H1574" s="26" t="s">
        <v>38</v>
      </c>
      <c r="I1574" s="36">
        <v>300</v>
      </c>
      <c r="J1574" s="32">
        <f>IF(MB25_VOLUMETRIA[[#This Row],[Reserva]]="","",1)</f>
        <v>1</v>
      </c>
      <c r="K1574" s="36" t="str">
        <f>IF(MB25_VOLUMETRIA[[#This Row],[Reserva]]="","",IFERROR(VLOOKUP(MB25_VOLUMETRIA[[#This Row],[UMB]],CHAVE[],2,FALSE),"VERIFICAR"))</f>
        <v>Unidade</v>
      </c>
      <c r="L15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4" s="32" t="str">
        <f ca="1">IFERROR(VLOOKUP(MB25_VOLUMETRIA[[#This Row],[Reserva]],RES_AB[],14,FALSE),"")</f>
        <v>RESERVAS PENDENTES</v>
      </c>
      <c r="N1574" s="32" t="str">
        <f>IF(MB25_VOLUMETRIA[[#This Row],[Cen.]]="","",IFERROR(VLOOKUP(MB25_VOLUMETRIA[[#This Row],[Cen.]],Dados_Empresas[],2,FALSE),"Verificar empresa"))</f>
        <v>NET MASSIVO</v>
      </c>
      <c r="O1574" s="32" t="str">
        <f>IF(MB25_VOLUMETRIA[[#This Row],[EMPRESA]]="","",IF(OR(MB25_VOLUMETRIA[[#This Row],[EMPRESA]]="NET MASSIVO",MB25_VOLUMETRIA[[#This Row],[EMPRESA]]="NET PROJETOS"),"NET","EMPRESARIAL"))</f>
        <v>NET</v>
      </c>
    </row>
    <row r="1575" spans="1:15" x14ac:dyDescent="0.25">
      <c r="A1575" s="32">
        <v>4383905</v>
      </c>
      <c r="B1575" s="32" t="s">
        <v>21</v>
      </c>
      <c r="C1575" s="33" t="s">
        <v>19</v>
      </c>
      <c r="D1575" s="35">
        <v>45449</v>
      </c>
      <c r="E1575" s="32" t="s">
        <v>185</v>
      </c>
      <c r="F1575" s="32">
        <v>22026293</v>
      </c>
      <c r="G1575" s="32" t="s">
        <v>352</v>
      </c>
      <c r="H1575" s="26" t="s">
        <v>38</v>
      </c>
      <c r="I1575" s="36">
        <v>100</v>
      </c>
      <c r="J1575" s="32">
        <f>IF(MB25_VOLUMETRIA[[#This Row],[Reserva]]="","",1)</f>
        <v>1</v>
      </c>
      <c r="K1575" s="36" t="str">
        <f>IF(MB25_VOLUMETRIA[[#This Row],[Reserva]]="","",IFERROR(VLOOKUP(MB25_VOLUMETRIA[[#This Row],[UMB]],CHAVE[],2,FALSE),"VERIFICAR"))</f>
        <v>Unidade</v>
      </c>
      <c r="L15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5" s="32" t="str">
        <f ca="1">IFERROR(VLOOKUP(MB25_VOLUMETRIA[[#This Row],[Reserva]],RES_AB[],14,FALSE),"")</f>
        <v>RESERVAS PENDENTES</v>
      </c>
      <c r="N1575" s="32" t="str">
        <f>IF(MB25_VOLUMETRIA[[#This Row],[Cen.]]="","",IFERROR(VLOOKUP(MB25_VOLUMETRIA[[#This Row],[Cen.]],Dados_Empresas[],2,FALSE),"Verificar empresa"))</f>
        <v>NET MASSIVO</v>
      </c>
      <c r="O1575" s="32" t="str">
        <f>IF(MB25_VOLUMETRIA[[#This Row],[EMPRESA]]="","",IF(OR(MB25_VOLUMETRIA[[#This Row],[EMPRESA]]="NET MASSIVO",MB25_VOLUMETRIA[[#This Row],[EMPRESA]]="NET PROJETOS"),"NET","EMPRESARIAL"))</f>
        <v>NET</v>
      </c>
    </row>
    <row r="1576" spans="1:15" x14ac:dyDescent="0.25">
      <c r="A1576" s="32">
        <v>4383905</v>
      </c>
      <c r="B1576" s="32" t="s">
        <v>21</v>
      </c>
      <c r="C1576" s="33" t="s">
        <v>21</v>
      </c>
      <c r="D1576" s="35">
        <v>45449</v>
      </c>
      <c r="E1576" s="32" t="s">
        <v>185</v>
      </c>
      <c r="F1576" s="32">
        <v>22060422</v>
      </c>
      <c r="G1576" s="32" t="s">
        <v>298</v>
      </c>
      <c r="H1576" s="26" t="s">
        <v>38</v>
      </c>
      <c r="I1576" s="36">
        <v>100</v>
      </c>
      <c r="J1576" s="32">
        <f>IF(MB25_VOLUMETRIA[[#This Row],[Reserva]]="","",1)</f>
        <v>1</v>
      </c>
      <c r="K1576" s="36" t="str">
        <f>IF(MB25_VOLUMETRIA[[#This Row],[Reserva]]="","",IFERROR(VLOOKUP(MB25_VOLUMETRIA[[#This Row],[UMB]],CHAVE[],2,FALSE),"VERIFICAR"))</f>
        <v>Unidade</v>
      </c>
      <c r="L15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6" s="32" t="str">
        <f ca="1">IFERROR(VLOOKUP(MB25_VOLUMETRIA[[#This Row],[Reserva]],RES_AB[],14,FALSE),"")</f>
        <v>RESERVAS PENDENTES</v>
      </c>
      <c r="N1576" s="32" t="str">
        <f>IF(MB25_VOLUMETRIA[[#This Row],[Cen.]]="","",IFERROR(VLOOKUP(MB25_VOLUMETRIA[[#This Row],[Cen.]],Dados_Empresas[],2,FALSE),"Verificar empresa"))</f>
        <v>NET MASSIVO</v>
      </c>
      <c r="O1576" s="32" t="str">
        <f>IF(MB25_VOLUMETRIA[[#This Row],[EMPRESA]]="","",IF(OR(MB25_VOLUMETRIA[[#This Row],[EMPRESA]]="NET MASSIVO",MB25_VOLUMETRIA[[#This Row],[EMPRESA]]="NET PROJETOS"),"NET","EMPRESARIAL"))</f>
        <v>NET</v>
      </c>
    </row>
    <row r="1577" spans="1:15" x14ac:dyDescent="0.25">
      <c r="A1577" s="32">
        <v>4383905</v>
      </c>
      <c r="B1577" s="32" t="s">
        <v>21</v>
      </c>
      <c r="C1577" s="33" t="s">
        <v>21</v>
      </c>
      <c r="D1577" s="35">
        <v>45449</v>
      </c>
      <c r="E1577" s="32" t="s">
        <v>185</v>
      </c>
      <c r="F1577" s="32">
        <v>22062577</v>
      </c>
      <c r="G1577" s="32" t="s">
        <v>467</v>
      </c>
      <c r="H1577" s="26" t="s">
        <v>38</v>
      </c>
      <c r="I1577" s="36">
        <v>800</v>
      </c>
      <c r="J1577" s="32">
        <f>IF(MB25_VOLUMETRIA[[#This Row],[Reserva]]="","",1)</f>
        <v>1</v>
      </c>
      <c r="K1577" s="36" t="str">
        <f>IF(MB25_VOLUMETRIA[[#This Row],[Reserva]]="","",IFERROR(VLOOKUP(MB25_VOLUMETRIA[[#This Row],[UMB]],CHAVE[],2,FALSE),"VERIFICAR"))</f>
        <v>Unidade</v>
      </c>
      <c r="L15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7" s="32" t="str">
        <f ca="1">IFERROR(VLOOKUP(MB25_VOLUMETRIA[[#This Row],[Reserva]],RES_AB[],14,FALSE),"")</f>
        <v>RESERVAS PENDENTES</v>
      </c>
      <c r="N1577" s="32" t="str">
        <f>IF(MB25_VOLUMETRIA[[#This Row],[Cen.]]="","",IFERROR(VLOOKUP(MB25_VOLUMETRIA[[#This Row],[Cen.]],Dados_Empresas[],2,FALSE),"Verificar empresa"))</f>
        <v>NET MASSIVO</v>
      </c>
      <c r="O1577" s="32" t="str">
        <f>IF(MB25_VOLUMETRIA[[#This Row],[EMPRESA]]="","",IF(OR(MB25_VOLUMETRIA[[#This Row],[EMPRESA]]="NET MASSIVO",MB25_VOLUMETRIA[[#This Row],[EMPRESA]]="NET PROJETOS"),"NET","EMPRESARIAL"))</f>
        <v>NET</v>
      </c>
    </row>
    <row r="1578" spans="1:15" x14ac:dyDescent="0.25">
      <c r="A1578" s="32">
        <v>4383906</v>
      </c>
      <c r="B1578" s="32" t="s">
        <v>21</v>
      </c>
      <c r="C1578" s="33" t="s">
        <v>19</v>
      </c>
      <c r="D1578" s="35">
        <v>45449</v>
      </c>
      <c r="E1578" s="32" t="s">
        <v>184</v>
      </c>
      <c r="F1578" s="32">
        <v>41001234</v>
      </c>
      <c r="G1578" s="32" t="s">
        <v>189</v>
      </c>
      <c r="H1578" s="26" t="s">
        <v>38</v>
      </c>
      <c r="I1578" s="36">
        <v>100</v>
      </c>
      <c r="J1578" s="32">
        <f>IF(MB25_VOLUMETRIA[[#This Row],[Reserva]]="","",1)</f>
        <v>1</v>
      </c>
      <c r="K1578" s="36" t="str">
        <f>IF(MB25_VOLUMETRIA[[#This Row],[Reserva]]="","",IFERROR(VLOOKUP(MB25_VOLUMETRIA[[#This Row],[UMB]],CHAVE[],2,FALSE),"VERIFICAR"))</f>
        <v>Unidade</v>
      </c>
      <c r="L15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8" s="32" t="str">
        <f ca="1">IFERROR(VLOOKUP(MB25_VOLUMETRIA[[#This Row],[Reserva]],RES_AB[],14,FALSE),"")</f>
        <v>RESERVAS PENDENTES</v>
      </c>
      <c r="N1578" s="32" t="str">
        <f>IF(MB25_VOLUMETRIA[[#This Row],[Cen.]]="","",IFERROR(VLOOKUP(MB25_VOLUMETRIA[[#This Row],[Cen.]],Dados_Empresas[],2,FALSE),"Verificar empresa"))</f>
        <v>NET MASSIVO</v>
      </c>
      <c r="O1578" s="32" t="str">
        <f>IF(MB25_VOLUMETRIA[[#This Row],[EMPRESA]]="","",IF(OR(MB25_VOLUMETRIA[[#This Row],[EMPRESA]]="NET MASSIVO",MB25_VOLUMETRIA[[#This Row],[EMPRESA]]="NET PROJETOS"),"NET","EMPRESARIAL"))</f>
        <v>NET</v>
      </c>
    </row>
    <row r="1579" spans="1:15" x14ac:dyDescent="0.25">
      <c r="A1579" s="32">
        <v>4383906</v>
      </c>
      <c r="B1579" s="32" t="s">
        <v>21</v>
      </c>
      <c r="C1579" s="33" t="s">
        <v>19</v>
      </c>
      <c r="D1579" s="35">
        <v>45449</v>
      </c>
      <c r="E1579" s="32" t="s">
        <v>184</v>
      </c>
      <c r="F1579" s="32">
        <v>41001277</v>
      </c>
      <c r="G1579" s="32" t="s">
        <v>466</v>
      </c>
      <c r="H1579" s="26" t="s">
        <v>38</v>
      </c>
      <c r="I1579" s="36">
        <v>100</v>
      </c>
      <c r="J1579" s="32">
        <f>IF(MB25_VOLUMETRIA[[#This Row],[Reserva]]="","",1)</f>
        <v>1</v>
      </c>
      <c r="K1579" s="36" t="str">
        <f>IF(MB25_VOLUMETRIA[[#This Row],[Reserva]]="","",IFERROR(VLOOKUP(MB25_VOLUMETRIA[[#This Row],[UMB]],CHAVE[],2,FALSE),"VERIFICAR"))</f>
        <v>Unidade</v>
      </c>
      <c r="L15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79" s="32" t="str">
        <f ca="1">IFERROR(VLOOKUP(MB25_VOLUMETRIA[[#This Row],[Reserva]],RES_AB[],14,FALSE),"")</f>
        <v>RESERVAS PENDENTES</v>
      </c>
      <c r="N1579" s="32" t="str">
        <f>IF(MB25_VOLUMETRIA[[#This Row],[Cen.]]="","",IFERROR(VLOOKUP(MB25_VOLUMETRIA[[#This Row],[Cen.]],Dados_Empresas[],2,FALSE),"Verificar empresa"))</f>
        <v>NET MASSIVO</v>
      </c>
      <c r="O1579" s="32" t="str">
        <f>IF(MB25_VOLUMETRIA[[#This Row],[EMPRESA]]="","",IF(OR(MB25_VOLUMETRIA[[#This Row],[EMPRESA]]="NET MASSIVO",MB25_VOLUMETRIA[[#This Row],[EMPRESA]]="NET PROJETOS"),"NET","EMPRESARIAL"))</f>
        <v>NET</v>
      </c>
    </row>
    <row r="1580" spans="1:15" x14ac:dyDescent="0.25">
      <c r="A1580" s="32">
        <v>4383906</v>
      </c>
      <c r="B1580" s="32" t="s">
        <v>21</v>
      </c>
      <c r="C1580" s="33" t="s">
        <v>19</v>
      </c>
      <c r="D1580" s="35">
        <v>45449</v>
      </c>
      <c r="E1580" s="32" t="s">
        <v>184</v>
      </c>
      <c r="F1580" s="32">
        <v>41001293</v>
      </c>
      <c r="G1580" s="32" t="s">
        <v>468</v>
      </c>
      <c r="H1580" s="26" t="s">
        <v>38</v>
      </c>
      <c r="I1580" s="36">
        <v>300</v>
      </c>
      <c r="J1580" s="32">
        <f>IF(MB25_VOLUMETRIA[[#This Row],[Reserva]]="","",1)</f>
        <v>1</v>
      </c>
      <c r="K1580" s="36" t="str">
        <f>IF(MB25_VOLUMETRIA[[#This Row],[Reserva]]="","",IFERROR(VLOOKUP(MB25_VOLUMETRIA[[#This Row],[UMB]],CHAVE[],2,FALSE),"VERIFICAR"))</f>
        <v>Unidade</v>
      </c>
      <c r="L15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0" s="32" t="str">
        <f ca="1">IFERROR(VLOOKUP(MB25_VOLUMETRIA[[#This Row],[Reserva]],RES_AB[],14,FALSE),"")</f>
        <v>RESERVAS PENDENTES</v>
      </c>
      <c r="N1580" s="32" t="str">
        <f>IF(MB25_VOLUMETRIA[[#This Row],[Cen.]]="","",IFERROR(VLOOKUP(MB25_VOLUMETRIA[[#This Row],[Cen.]],Dados_Empresas[],2,FALSE),"Verificar empresa"))</f>
        <v>NET MASSIVO</v>
      </c>
      <c r="O1580" s="32" t="str">
        <f>IF(MB25_VOLUMETRIA[[#This Row],[EMPRESA]]="","",IF(OR(MB25_VOLUMETRIA[[#This Row],[EMPRESA]]="NET MASSIVO",MB25_VOLUMETRIA[[#This Row],[EMPRESA]]="NET PROJETOS"),"NET","EMPRESARIAL"))</f>
        <v>NET</v>
      </c>
    </row>
    <row r="1581" spans="1:15" x14ac:dyDescent="0.25">
      <c r="A1581" s="32">
        <v>4383906</v>
      </c>
      <c r="B1581" s="32" t="s">
        <v>21</v>
      </c>
      <c r="C1581" s="33" t="s">
        <v>19</v>
      </c>
      <c r="D1581" s="35">
        <v>45449</v>
      </c>
      <c r="E1581" s="32" t="s">
        <v>184</v>
      </c>
      <c r="F1581" s="32">
        <v>41001485</v>
      </c>
      <c r="G1581" s="32" t="s">
        <v>469</v>
      </c>
      <c r="H1581" s="26" t="s">
        <v>38</v>
      </c>
      <c r="I1581" s="36">
        <v>800</v>
      </c>
      <c r="J1581" s="32">
        <f>IF(MB25_VOLUMETRIA[[#This Row],[Reserva]]="","",1)</f>
        <v>1</v>
      </c>
      <c r="K1581" s="36" t="str">
        <f>IF(MB25_VOLUMETRIA[[#This Row],[Reserva]]="","",IFERROR(VLOOKUP(MB25_VOLUMETRIA[[#This Row],[UMB]],CHAVE[],2,FALSE),"VERIFICAR"))</f>
        <v>Unidade</v>
      </c>
      <c r="L15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1" s="32" t="str">
        <f ca="1">IFERROR(VLOOKUP(MB25_VOLUMETRIA[[#This Row],[Reserva]],RES_AB[],14,FALSE),"")</f>
        <v>RESERVAS PENDENTES</v>
      </c>
      <c r="N1581" s="32" t="str">
        <f>IF(MB25_VOLUMETRIA[[#This Row],[Cen.]]="","",IFERROR(VLOOKUP(MB25_VOLUMETRIA[[#This Row],[Cen.]],Dados_Empresas[],2,FALSE),"Verificar empresa"))</f>
        <v>NET MASSIVO</v>
      </c>
      <c r="O1581" s="32" t="str">
        <f>IF(MB25_VOLUMETRIA[[#This Row],[EMPRESA]]="","",IF(OR(MB25_VOLUMETRIA[[#This Row],[EMPRESA]]="NET MASSIVO",MB25_VOLUMETRIA[[#This Row],[EMPRESA]]="NET PROJETOS"),"NET","EMPRESARIAL"))</f>
        <v>NET</v>
      </c>
    </row>
    <row r="1582" spans="1:15" x14ac:dyDescent="0.25">
      <c r="A1582" s="32">
        <v>4383906</v>
      </c>
      <c r="B1582" s="32" t="s">
        <v>21</v>
      </c>
      <c r="C1582" s="33" t="s">
        <v>21</v>
      </c>
      <c r="D1582" s="35">
        <v>45449</v>
      </c>
      <c r="E1582" s="32" t="s">
        <v>184</v>
      </c>
      <c r="F1582" s="32">
        <v>41001573</v>
      </c>
      <c r="G1582" s="32" t="s">
        <v>259</v>
      </c>
      <c r="H1582" s="26" t="s">
        <v>38</v>
      </c>
      <c r="I1582" s="36">
        <v>20</v>
      </c>
      <c r="J1582" s="32">
        <f>IF(MB25_VOLUMETRIA[[#This Row],[Reserva]]="","",1)</f>
        <v>1</v>
      </c>
      <c r="K1582" s="36" t="str">
        <f>IF(MB25_VOLUMETRIA[[#This Row],[Reserva]]="","",IFERROR(VLOOKUP(MB25_VOLUMETRIA[[#This Row],[UMB]],CHAVE[],2,FALSE),"VERIFICAR"))</f>
        <v>Unidade</v>
      </c>
      <c r="L15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2" s="32" t="str">
        <f ca="1">IFERROR(VLOOKUP(MB25_VOLUMETRIA[[#This Row],[Reserva]],RES_AB[],14,FALSE),"")</f>
        <v>RESERVAS PENDENTES</v>
      </c>
      <c r="N1582" s="32" t="str">
        <f>IF(MB25_VOLUMETRIA[[#This Row],[Cen.]]="","",IFERROR(VLOOKUP(MB25_VOLUMETRIA[[#This Row],[Cen.]],Dados_Empresas[],2,FALSE),"Verificar empresa"))</f>
        <v>NET MASSIVO</v>
      </c>
      <c r="O1582" s="32" t="str">
        <f>IF(MB25_VOLUMETRIA[[#This Row],[EMPRESA]]="","",IF(OR(MB25_VOLUMETRIA[[#This Row],[EMPRESA]]="NET MASSIVO",MB25_VOLUMETRIA[[#This Row],[EMPRESA]]="NET PROJETOS"),"NET","EMPRESARIAL"))</f>
        <v>NET</v>
      </c>
    </row>
    <row r="1583" spans="1:15" x14ac:dyDescent="0.25">
      <c r="A1583" s="32">
        <v>4383907</v>
      </c>
      <c r="B1583" s="32" t="s">
        <v>21</v>
      </c>
      <c r="C1583" s="33" t="s">
        <v>19</v>
      </c>
      <c r="D1583" s="35">
        <v>45449</v>
      </c>
      <c r="E1583" s="32" t="s">
        <v>185</v>
      </c>
      <c r="F1583" s="32">
        <v>22026096</v>
      </c>
      <c r="G1583" s="32" t="s">
        <v>464</v>
      </c>
      <c r="H1583" s="26" t="s">
        <v>38</v>
      </c>
      <c r="I1583" s="36">
        <v>80</v>
      </c>
      <c r="J1583" s="32">
        <f>IF(MB25_VOLUMETRIA[[#This Row],[Reserva]]="","",1)</f>
        <v>1</v>
      </c>
      <c r="K1583" s="36" t="str">
        <f>IF(MB25_VOLUMETRIA[[#This Row],[Reserva]]="","",IFERROR(VLOOKUP(MB25_VOLUMETRIA[[#This Row],[UMB]],CHAVE[],2,FALSE),"VERIFICAR"))</f>
        <v>Unidade</v>
      </c>
      <c r="L15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3" s="32" t="str">
        <f ca="1">IFERROR(VLOOKUP(MB25_VOLUMETRIA[[#This Row],[Reserva]],RES_AB[],14,FALSE),"")</f>
        <v>RESERVAS PENDENTES</v>
      </c>
      <c r="N1583" s="32" t="str">
        <f>IF(MB25_VOLUMETRIA[[#This Row],[Cen.]]="","",IFERROR(VLOOKUP(MB25_VOLUMETRIA[[#This Row],[Cen.]],Dados_Empresas[],2,FALSE),"Verificar empresa"))</f>
        <v>NET MASSIVO</v>
      </c>
      <c r="O1583" s="32" t="str">
        <f>IF(MB25_VOLUMETRIA[[#This Row],[EMPRESA]]="","",IF(OR(MB25_VOLUMETRIA[[#This Row],[EMPRESA]]="NET MASSIVO",MB25_VOLUMETRIA[[#This Row],[EMPRESA]]="NET PROJETOS"),"NET","EMPRESARIAL"))</f>
        <v>NET</v>
      </c>
    </row>
    <row r="1584" spans="1:15" x14ac:dyDescent="0.25">
      <c r="A1584" s="32">
        <v>4383907</v>
      </c>
      <c r="B1584" s="32" t="s">
        <v>21</v>
      </c>
      <c r="C1584" s="33" t="s">
        <v>21</v>
      </c>
      <c r="D1584" s="35">
        <v>45449</v>
      </c>
      <c r="E1584" s="32" t="s">
        <v>185</v>
      </c>
      <c r="F1584" s="32">
        <v>22026189</v>
      </c>
      <c r="G1584" s="32" t="s">
        <v>200</v>
      </c>
      <c r="H1584" s="26" t="s">
        <v>38</v>
      </c>
      <c r="I1584" s="36">
        <v>250</v>
      </c>
      <c r="J1584" s="32">
        <f>IF(MB25_VOLUMETRIA[[#This Row],[Reserva]]="","",1)</f>
        <v>1</v>
      </c>
      <c r="K1584" s="36" t="str">
        <f>IF(MB25_VOLUMETRIA[[#This Row],[Reserva]]="","",IFERROR(VLOOKUP(MB25_VOLUMETRIA[[#This Row],[UMB]],CHAVE[],2,FALSE),"VERIFICAR"))</f>
        <v>Unidade</v>
      </c>
      <c r="L15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4" s="32" t="str">
        <f ca="1">IFERROR(VLOOKUP(MB25_VOLUMETRIA[[#This Row],[Reserva]],RES_AB[],14,FALSE),"")</f>
        <v>RESERVAS PENDENTES</v>
      </c>
      <c r="N1584" s="32" t="str">
        <f>IF(MB25_VOLUMETRIA[[#This Row],[Cen.]]="","",IFERROR(VLOOKUP(MB25_VOLUMETRIA[[#This Row],[Cen.]],Dados_Empresas[],2,FALSE),"Verificar empresa"))</f>
        <v>NET MASSIVO</v>
      </c>
      <c r="O1584" s="32" t="str">
        <f>IF(MB25_VOLUMETRIA[[#This Row],[EMPRESA]]="","",IF(OR(MB25_VOLUMETRIA[[#This Row],[EMPRESA]]="NET MASSIVO",MB25_VOLUMETRIA[[#This Row],[EMPRESA]]="NET PROJETOS"),"NET","EMPRESARIAL"))</f>
        <v>NET</v>
      </c>
    </row>
    <row r="1585" spans="1:15" x14ac:dyDescent="0.25">
      <c r="A1585" s="32">
        <v>4383907</v>
      </c>
      <c r="B1585" s="32" t="s">
        <v>21</v>
      </c>
      <c r="C1585" s="33" t="s">
        <v>21</v>
      </c>
      <c r="D1585" s="35">
        <v>45449</v>
      </c>
      <c r="E1585" s="32" t="s">
        <v>185</v>
      </c>
      <c r="F1585" s="32">
        <v>22026219</v>
      </c>
      <c r="G1585" s="32" t="s">
        <v>221</v>
      </c>
      <c r="H1585" s="26" t="s">
        <v>38</v>
      </c>
      <c r="I1585" s="36">
        <v>800</v>
      </c>
      <c r="J1585" s="32">
        <f>IF(MB25_VOLUMETRIA[[#This Row],[Reserva]]="","",1)</f>
        <v>1</v>
      </c>
      <c r="K1585" s="36" t="str">
        <f>IF(MB25_VOLUMETRIA[[#This Row],[Reserva]]="","",IFERROR(VLOOKUP(MB25_VOLUMETRIA[[#This Row],[UMB]],CHAVE[],2,FALSE),"VERIFICAR"))</f>
        <v>Unidade</v>
      </c>
      <c r="L15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5" s="32" t="str">
        <f ca="1">IFERROR(VLOOKUP(MB25_VOLUMETRIA[[#This Row],[Reserva]],RES_AB[],14,FALSE),"")</f>
        <v>RESERVAS PENDENTES</v>
      </c>
      <c r="N1585" s="32" t="str">
        <f>IF(MB25_VOLUMETRIA[[#This Row],[Cen.]]="","",IFERROR(VLOOKUP(MB25_VOLUMETRIA[[#This Row],[Cen.]],Dados_Empresas[],2,FALSE),"Verificar empresa"))</f>
        <v>NET MASSIVO</v>
      </c>
      <c r="O1585" s="32" t="str">
        <f>IF(MB25_VOLUMETRIA[[#This Row],[EMPRESA]]="","",IF(OR(MB25_VOLUMETRIA[[#This Row],[EMPRESA]]="NET MASSIVO",MB25_VOLUMETRIA[[#This Row],[EMPRESA]]="NET PROJETOS"),"NET","EMPRESARIAL"))</f>
        <v>NET</v>
      </c>
    </row>
    <row r="1586" spans="1:15" x14ac:dyDescent="0.25">
      <c r="A1586" s="32">
        <v>4383907</v>
      </c>
      <c r="B1586" s="32" t="s">
        <v>21</v>
      </c>
      <c r="C1586" s="33" t="s">
        <v>21</v>
      </c>
      <c r="D1586" s="35">
        <v>45449</v>
      </c>
      <c r="E1586" s="32" t="s">
        <v>185</v>
      </c>
      <c r="F1586" s="32">
        <v>22056342</v>
      </c>
      <c r="G1586" s="32" t="s">
        <v>327</v>
      </c>
      <c r="H1586" s="26" t="s">
        <v>38</v>
      </c>
      <c r="I1586" s="36">
        <v>100</v>
      </c>
      <c r="J1586" s="32">
        <f>IF(MB25_VOLUMETRIA[[#This Row],[Reserva]]="","",1)</f>
        <v>1</v>
      </c>
      <c r="K1586" s="36" t="str">
        <f>IF(MB25_VOLUMETRIA[[#This Row],[Reserva]]="","",IFERROR(VLOOKUP(MB25_VOLUMETRIA[[#This Row],[UMB]],CHAVE[],2,FALSE),"VERIFICAR"))</f>
        <v>Unidade</v>
      </c>
      <c r="L15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6" s="32" t="str">
        <f ca="1">IFERROR(VLOOKUP(MB25_VOLUMETRIA[[#This Row],[Reserva]],RES_AB[],14,FALSE),"")</f>
        <v>RESERVAS PENDENTES</v>
      </c>
      <c r="N1586" s="32" t="str">
        <f>IF(MB25_VOLUMETRIA[[#This Row],[Cen.]]="","",IFERROR(VLOOKUP(MB25_VOLUMETRIA[[#This Row],[Cen.]],Dados_Empresas[],2,FALSE),"Verificar empresa"))</f>
        <v>NET MASSIVO</v>
      </c>
      <c r="O1586" s="32" t="str">
        <f>IF(MB25_VOLUMETRIA[[#This Row],[EMPRESA]]="","",IF(OR(MB25_VOLUMETRIA[[#This Row],[EMPRESA]]="NET MASSIVO",MB25_VOLUMETRIA[[#This Row],[EMPRESA]]="NET PROJETOS"),"NET","EMPRESARIAL"))</f>
        <v>NET</v>
      </c>
    </row>
    <row r="1587" spans="1:15" x14ac:dyDescent="0.25">
      <c r="A1587" s="32">
        <v>4383907</v>
      </c>
      <c r="B1587" s="32" t="s">
        <v>21</v>
      </c>
      <c r="C1587" s="33" t="s">
        <v>21</v>
      </c>
      <c r="D1587" s="35">
        <v>45449</v>
      </c>
      <c r="E1587" s="32" t="s">
        <v>185</v>
      </c>
      <c r="F1587" s="32">
        <v>22056344</v>
      </c>
      <c r="G1587" s="32" t="s">
        <v>235</v>
      </c>
      <c r="H1587" s="26" t="s">
        <v>38</v>
      </c>
      <c r="I1587" s="36">
        <v>100</v>
      </c>
      <c r="J1587" s="32">
        <f>IF(MB25_VOLUMETRIA[[#This Row],[Reserva]]="","",1)</f>
        <v>1</v>
      </c>
      <c r="K1587" s="36" t="str">
        <f>IF(MB25_VOLUMETRIA[[#This Row],[Reserva]]="","",IFERROR(VLOOKUP(MB25_VOLUMETRIA[[#This Row],[UMB]],CHAVE[],2,FALSE),"VERIFICAR"))</f>
        <v>Unidade</v>
      </c>
      <c r="L15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7" s="32" t="str">
        <f ca="1">IFERROR(VLOOKUP(MB25_VOLUMETRIA[[#This Row],[Reserva]],RES_AB[],14,FALSE),"")</f>
        <v>RESERVAS PENDENTES</v>
      </c>
      <c r="N1587" s="32" t="str">
        <f>IF(MB25_VOLUMETRIA[[#This Row],[Cen.]]="","",IFERROR(VLOOKUP(MB25_VOLUMETRIA[[#This Row],[Cen.]],Dados_Empresas[],2,FALSE),"Verificar empresa"))</f>
        <v>NET MASSIVO</v>
      </c>
      <c r="O1587" s="32" t="str">
        <f>IF(MB25_VOLUMETRIA[[#This Row],[EMPRESA]]="","",IF(OR(MB25_VOLUMETRIA[[#This Row],[EMPRESA]]="NET MASSIVO",MB25_VOLUMETRIA[[#This Row],[EMPRESA]]="NET PROJETOS"),"NET","EMPRESARIAL"))</f>
        <v>NET</v>
      </c>
    </row>
    <row r="1588" spans="1:15" x14ac:dyDescent="0.25">
      <c r="A1588" s="32">
        <v>4383907</v>
      </c>
      <c r="B1588" s="32" t="s">
        <v>21</v>
      </c>
      <c r="C1588" s="33" t="s">
        <v>19</v>
      </c>
      <c r="D1588" s="35">
        <v>45449</v>
      </c>
      <c r="E1588" s="32" t="s">
        <v>185</v>
      </c>
      <c r="F1588" s="32">
        <v>22060287</v>
      </c>
      <c r="G1588" s="32" t="s">
        <v>465</v>
      </c>
      <c r="H1588" s="26" t="s">
        <v>38</v>
      </c>
      <c r="I1588" s="36">
        <v>80</v>
      </c>
      <c r="J1588" s="32">
        <f>IF(MB25_VOLUMETRIA[[#This Row],[Reserva]]="","",1)</f>
        <v>1</v>
      </c>
      <c r="K1588" s="36" t="str">
        <f>IF(MB25_VOLUMETRIA[[#This Row],[Reserva]]="","",IFERROR(VLOOKUP(MB25_VOLUMETRIA[[#This Row],[UMB]],CHAVE[],2,FALSE),"VERIFICAR"))</f>
        <v>Unidade</v>
      </c>
      <c r="L15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8" s="32" t="str">
        <f ca="1">IFERROR(VLOOKUP(MB25_VOLUMETRIA[[#This Row],[Reserva]],RES_AB[],14,FALSE),"")</f>
        <v>RESERVAS PENDENTES</v>
      </c>
      <c r="N1588" s="32" t="str">
        <f>IF(MB25_VOLUMETRIA[[#This Row],[Cen.]]="","",IFERROR(VLOOKUP(MB25_VOLUMETRIA[[#This Row],[Cen.]],Dados_Empresas[],2,FALSE),"Verificar empresa"))</f>
        <v>NET MASSIVO</v>
      </c>
      <c r="O1588" s="32" t="str">
        <f>IF(MB25_VOLUMETRIA[[#This Row],[EMPRESA]]="","",IF(OR(MB25_VOLUMETRIA[[#This Row],[EMPRESA]]="NET MASSIVO",MB25_VOLUMETRIA[[#This Row],[EMPRESA]]="NET PROJETOS"),"NET","EMPRESARIAL"))</f>
        <v>NET</v>
      </c>
    </row>
    <row r="1589" spans="1:15" x14ac:dyDescent="0.25">
      <c r="A1589" s="32">
        <v>4383907</v>
      </c>
      <c r="B1589" s="32" t="s">
        <v>21</v>
      </c>
      <c r="C1589" s="33" t="s">
        <v>21</v>
      </c>
      <c r="D1589" s="35">
        <v>45449</v>
      </c>
      <c r="E1589" s="32" t="s">
        <v>185</v>
      </c>
      <c r="F1589" s="32">
        <v>22061736</v>
      </c>
      <c r="G1589" s="32" t="s">
        <v>216</v>
      </c>
      <c r="H1589" s="26" t="s">
        <v>38</v>
      </c>
      <c r="I1589" s="36">
        <v>3000</v>
      </c>
      <c r="J1589" s="32">
        <f>IF(MB25_VOLUMETRIA[[#This Row],[Reserva]]="","",1)</f>
        <v>1</v>
      </c>
      <c r="K1589" s="36" t="str">
        <f>IF(MB25_VOLUMETRIA[[#This Row],[Reserva]]="","",IFERROR(VLOOKUP(MB25_VOLUMETRIA[[#This Row],[UMB]],CHAVE[],2,FALSE),"VERIFICAR"))</f>
        <v>Unidade</v>
      </c>
      <c r="L15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89" s="32" t="str">
        <f ca="1">IFERROR(VLOOKUP(MB25_VOLUMETRIA[[#This Row],[Reserva]],RES_AB[],14,FALSE),"")</f>
        <v>RESERVAS PENDENTES</v>
      </c>
      <c r="N1589" s="32" t="str">
        <f>IF(MB25_VOLUMETRIA[[#This Row],[Cen.]]="","",IFERROR(VLOOKUP(MB25_VOLUMETRIA[[#This Row],[Cen.]],Dados_Empresas[],2,FALSE),"Verificar empresa"))</f>
        <v>NET MASSIVO</v>
      </c>
      <c r="O1589" s="32" t="str">
        <f>IF(MB25_VOLUMETRIA[[#This Row],[EMPRESA]]="","",IF(OR(MB25_VOLUMETRIA[[#This Row],[EMPRESA]]="NET MASSIVO",MB25_VOLUMETRIA[[#This Row],[EMPRESA]]="NET PROJETOS"),"NET","EMPRESARIAL"))</f>
        <v>NET</v>
      </c>
    </row>
    <row r="1590" spans="1:15" x14ac:dyDescent="0.25">
      <c r="A1590" s="32">
        <v>4383907</v>
      </c>
      <c r="B1590" s="32" t="s">
        <v>21</v>
      </c>
      <c r="C1590" s="33" t="s">
        <v>21</v>
      </c>
      <c r="D1590" s="35">
        <v>45449</v>
      </c>
      <c r="E1590" s="32" t="s">
        <v>185</v>
      </c>
      <c r="F1590" s="32">
        <v>22065722</v>
      </c>
      <c r="G1590" s="32" t="s">
        <v>196</v>
      </c>
      <c r="H1590" s="26" t="s">
        <v>38</v>
      </c>
      <c r="I1590" s="36">
        <v>100</v>
      </c>
      <c r="J1590" s="32">
        <f>IF(MB25_VOLUMETRIA[[#This Row],[Reserva]]="","",1)</f>
        <v>1</v>
      </c>
      <c r="K1590" s="36" t="str">
        <f>IF(MB25_VOLUMETRIA[[#This Row],[Reserva]]="","",IFERROR(VLOOKUP(MB25_VOLUMETRIA[[#This Row],[UMB]],CHAVE[],2,FALSE),"VERIFICAR"))</f>
        <v>Unidade</v>
      </c>
      <c r="L15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0" s="32" t="str">
        <f ca="1">IFERROR(VLOOKUP(MB25_VOLUMETRIA[[#This Row],[Reserva]],RES_AB[],14,FALSE),"")</f>
        <v>RESERVAS PENDENTES</v>
      </c>
      <c r="N1590" s="32" t="str">
        <f>IF(MB25_VOLUMETRIA[[#This Row],[Cen.]]="","",IFERROR(VLOOKUP(MB25_VOLUMETRIA[[#This Row],[Cen.]],Dados_Empresas[],2,FALSE),"Verificar empresa"))</f>
        <v>NET MASSIVO</v>
      </c>
      <c r="O1590" s="32" t="str">
        <f>IF(MB25_VOLUMETRIA[[#This Row],[EMPRESA]]="","",IF(OR(MB25_VOLUMETRIA[[#This Row],[EMPRESA]]="NET MASSIVO",MB25_VOLUMETRIA[[#This Row],[EMPRESA]]="NET PROJETOS"),"NET","EMPRESARIAL"))</f>
        <v>NET</v>
      </c>
    </row>
    <row r="1591" spans="1:15" x14ac:dyDescent="0.25">
      <c r="A1591" s="32">
        <v>4383907</v>
      </c>
      <c r="B1591" s="32" t="s">
        <v>21</v>
      </c>
      <c r="C1591" s="33" t="s">
        <v>21</v>
      </c>
      <c r="D1591" s="35">
        <v>45449</v>
      </c>
      <c r="E1591" s="32" t="s">
        <v>185</v>
      </c>
      <c r="F1591" s="32">
        <v>22065725</v>
      </c>
      <c r="G1591" s="32" t="s">
        <v>197</v>
      </c>
      <c r="H1591" s="26" t="s">
        <v>38</v>
      </c>
      <c r="I1591" s="36">
        <v>100</v>
      </c>
      <c r="J1591" s="32">
        <f>IF(MB25_VOLUMETRIA[[#This Row],[Reserva]]="","",1)</f>
        <v>1</v>
      </c>
      <c r="K1591" s="36" t="str">
        <f>IF(MB25_VOLUMETRIA[[#This Row],[Reserva]]="","",IFERROR(VLOOKUP(MB25_VOLUMETRIA[[#This Row],[UMB]],CHAVE[],2,FALSE),"VERIFICAR"))</f>
        <v>Unidade</v>
      </c>
      <c r="L15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1" s="32" t="str">
        <f ca="1">IFERROR(VLOOKUP(MB25_VOLUMETRIA[[#This Row],[Reserva]],RES_AB[],14,FALSE),"")</f>
        <v>RESERVAS PENDENTES</v>
      </c>
      <c r="N1591" s="32" t="str">
        <f>IF(MB25_VOLUMETRIA[[#This Row],[Cen.]]="","",IFERROR(VLOOKUP(MB25_VOLUMETRIA[[#This Row],[Cen.]],Dados_Empresas[],2,FALSE),"Verificar empresa"))</f>
        <v>NET MASSIVO</v>
      </c>
      <c r="O1591" s="32" t="str">
        <f>IF(MB25_VOLUMETRIA[[#This Row],[EMPRESA]]="","",IF(OR(MB25_VOLUMETRIA[[#This Row],[EMPRESA]]="NET MASSIVO",MB25_VOLUMETRIA[[#This Row],[EMPRESA]]="NET PROJETOS"),"NET","EMPRESARIAL"))</f>
        <v>NET</v>
      </c>
    </row>
    <row r="1592" spans="1:15" x14ac:dyDescent="0.25">
      <c r="A1592" s="32">
        <v>4383908</v>
      </c>
      <c r="B1592" s="32" t="s">
        <v>21</v>
      </c>
      <c r="C1592" s="33" t="s">
        <v>19</v>
      </c>
      <c r="D1592" s="35">
        <v>45449</v>
      </c>
      <c r="E1592" s="32" t="s">
        <v>184</v>
      </c>
      <c r="F1592" s="32">
        <v>41001481</v>
      </c>
      <c r="G1592" s="32" t="s">
        <v>403</v>
      </c>
      <c r="H1592" s="26" t="s">
        <v>38</v>
      </c>
      <c r="I1592" s="36">
        <v>80</v>
      </c>
      <c r="J1592" s="32">
        <f>IF(MB25_VOLUMETRIA[[#This Row],[Reserva]]="","",1)</f>
        <v>1</v>
      </c>
      <c r="K1592" s="36" t="str">
        <f>IF(MB25_VOLUMETRIA[[#This Row],[Reserva]]="","",IFERROR(VLOOKUP(MB25_VOLUMETRIA[[#This Row],[UMB]],CHAVE[],2,FALSE),"VERIFICAR"))</f>
        <v>Unidade</v>
      </c>
      <c r="L15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2" s="32" t="str">
        <f ca="1">IFERROR(VLOOKUP(MB25_VOLUMETRIA[[#This Row],[Reserva]],RES_AB[],14,FALSE),"")</f>
        <v>RESERVAS PENDENTES</v>
      </c>
      <c r="N1592" s="32" t="str">
        <f>IF(MB25_VOLUMETRIA[[#This Row],[Cen.]]="","",IFERROR(VLOOKUP(MB25_VOLUMETRIA[[#This Row],[Cen.]],Dados_Empresas[],2,FALSE),"Verificar empresa"))</f>
        <v>NET MASSIVO</v>
      </c>
      <c r="O1592" s="32" t="str">
        <f>IF(MB25_VOLUMETRIA[[#This Row],[EMPRESA]]="","",IF(OR(MB25_VOLUMETRIA[[#This Row],[EMPRESA]]="NET MASSIVO",MB25_VOLUMETRIA[[#This Row],[EMPRESA]]="NET PROJETOS"),"NET","EMPRESARIAL"))</f>
        <v>NET</v>
      </c>
    </row>
    <row r="1593" spans="1:15" x14ac:dyDescent="0.25">
      <c r="A1593" s="32">
        <v>4383909</v>
      </c>
      <c r="B1593" s="32" t="s">
        <v>21</v>
      </c>
      <c r="C1593" s="33" t="s">
        <v>19</v>
      </c>
      <c r="D1593" s="35">
        <v>45449</v>
      </c>
      <c r="E1593" s="32" t="s">
        <v>185</v>
      </c>
      <c r="F1593" s="32">
        <v>22025241</v>
      </c>
      <c r="G1593" s="32" t="s">
        <v>212</v>
      </c>
      <c r="H1593" s="26" t="s">
        <v>38</v>
      </c>
      <c r="I1593" s="36">
        <v>100</v>
      </c>
      <c r="J1593" s="32">
        <f>IF(MB25_VOLUMETRIA[[#This Row],[Reserva]]="","",1)</f>
        <v>1</v>
      </c>
      <c r="K1593" s="36" t="str">
        <f>IF(MB25_VOLUMETRIA[[#This Row],[Reserva]]="","",IFERROR(VLOOKUP(MB25_VOLUMETRIA[[#This Row],[UMB]],CHAVE[],2,FALSE),"VERIFICAR"))</f>
        <v>Unidade</v>
      </c>
      <c r="L15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3" s="32" t="str">
        <f ca="1">IFERROR(VLOOKUP(MB25_VOLUMETRIA[[#This Row],[Reserva]],RES_AB[],14,FALSE),"")</f>
        <v>RESERVAS PENDENTES</v>
      </c>
      <c r="N1593" s="32" t="str">
        <f>IF(MB25_VOLUMETRIA[[#This Row],[Cen.]]="","",IFERROR(VLOOKUP(MB25_VOLUMETRIA[[#This Row],[Cen.]],Dados_Empresas[],2,FALSE),"Verificar empresa"))</f>
        <v>NET MASSIVO</v>
      </c>
      <c r="O1593" s="32" t="str">
        <f>IF(MB25_VOLUMETRIA[[#This Row],[EMPRESA]]="","",IF(OR(MB25_VOLUMETRIA[[#This Row],[EMPRESA]]="NET MASSIVO",MB25_VOLUMETRIA[[#This Row],[EMPRESA]]="NET PROJETOS"),"NET","EMPRESARIAL"))</f>
        <v>NET</v>
      </c>
    </row>
    <row r="1594" spans="1:15" x14ac:dyDescent="0.25">
      <c r="A1594" s="32">
        <v>4383909</v>
      </c>
      <c r="B1594" s="32" t="s">
        <v>21</v>
      </c>
      <c r="C1594" s="33" t="s">
        <v>19</v>
      </c>
      <c r="D1594" s="35">
        <v>45449</v>
      </c>
      <c r="E1594" s="32" t="s">
        <v>185</v>
      </c>
      <c r="F1594" s="32">
        <v>22025242</v>
      </c>
      <c r="G1594" s="32" t="s">
        <v>329</v>
      </c>
      <c r="H1594" s="26" t="s">
        <v>38</v>
      </c>
      <c r="I1594" s="36">
        <v>100</v>
      </c>
      <c r="J1594" s="32">
        <f>IF(MB25_VOLUMETRIA[[#This Row],[Reserva]]="","",1)</f>
        <v>1</v>
      </c>
      <c r="K1594" s="36" t="str">
        <f>IF(MB25_VOLUMETRIA[[#This Row],[Reserva]]="","",IFERROR(VLOOKUP(MB25_VOLUMETRIA[[#This Row],[UMB]],CHAVE[],2,FALSE),"VERIFICAR"))</f>
        <v>Unidade</v>
      </c>
      <c r="L15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4" s="32" t="str">
        <f ca="1">IFERROR(VLOOKUP(MB25_VOLUMETRIA[[#This Row],[Reserva]],RES_AB[],14,FALSE),"")</f>
        <v>RESERVAS PENDENTES</v>
      </c>
      <c r="N1594" s="32" t="str">
        <f>IF(MB25_VOLUMETRIA[[#This Row],[Cen.]]="","",IFERROR(VLOOKUP(MB25_VOLUMETRIA[[#This Row],[Cen.]],Dados_Empresas[],2,FALSE),"Verificar empresa"))</f>
        <v>NET MASSIVO</v>
      </c>
      <c r="O1594" s="32" t="str">
        <f>IF(MB25_VOLUMETRIA[[#This Row],[EMPRESA]]="","",IF(OR(MB25_VOLUMETRIA[[#This Row],[EMPRESA]]="NET MASSIVO",MB25_VOLUMETRIA[[#This Row],[EMPRESA]]="NET PROJETOS"),"NET","EMPRESARIAL"))</f>
        <v>NET</v>
      </c>
    </row>
    <row r="1595" spans="1:15" x14ac:dyDescent="0.25">
      <c r="A1595" s="32">
        <v>4383909</v>
      </c>
      <c r="B1595" s="32" t="s">
        <v>21</v>
      </c>
      <c r="C1595" s="33" t="s">
        <v>21</v>
      </c>
      <c r="D1595" s="35">
        <v>45449</v>
      </c>
      <c r="E1595" s="32" t="s">
        <v>185</v>
      </c>
      <c r="F1595" s="32">
        <v>22026189</v>
      </c>
      <c r="G1595" s="32" t="s">
        <v>200</v>
      </c>
      <c r="H1595" s="26" t="s">
        <v>38</v>
      </c>
      <c r="I1595" s="36">
        <v>3100</v>
      </c>
      <c r="J1595" s="32">
        <f>IF(MB25_VOLUMETRIA[[#This Row],[Reserva]]="","",1)</f>
        <v>1</v>
      </c>
      <c r="K1595" s="36" t="str">
        <f>IF(MB25_VOLUMETRIA[[#This Row],[Reserva]]="","",IFERROR(VLOOKUP(MB25_VOLUMETRIA[[#This Row],[UMB]],CHAVE[],2,FALSE),"VERIFICAR"))</f>
        <v>Unidade</v>
      </c>
      <c r="L15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5" s="32" t="str">
        <f ca="1">IFERROR(VLOOKUP(MB25_VOLUMETRIA[[#This Row],[Reserva]],RES_AB[],14,FALSE),"")</f>
        <v>RESERVAS PENDENTES</v>
      </c>
      <c r="N1595" s="32" t="str">
        <f>IF(MB25_VOLUMETRIA[[#This Row],[Cen.]]="","",IFERROR(VLOOKUP(MB25_VOLUMETRIA[[#This Row],[Cen.]],Dados_Empresas[],2,FALSE),"Verificar empresa"))</f>
        <v>NET MASSIVO</v>
      </c>
      <c r="O1595" s="32" t="str">
        <f>IF(MB25_VOLUMETRIA[[#This Row],[EMPRESA]]="","",IF(OR(MB25_VOLUMETRIA[[#This Row],[EMPRESA]]="NET MASSIVO",MB25_VOLUMETRIA[[#This Row],[EMPRESA]]="NET PROJETOS"),"NET","EMPRESARIAL"))</f>
        <v>NET</v>
      </c>
    </row>
    <row r="1596" spans="1:15" x14ac:dyDescent="0.25">
      <c r="A1596" s="32">
        <v>4383909</v>
      </c>
      <c r="B1596" s="32" t="s">
        <v>21</v>
      </c>
      <c r="C1596" s="33" t="s">
        <v>21</v>
      </c>
      <c r="D1596" s="35">
        <v>45449</v>
      </c>
      <c r="E1596" s="32" t="s">
        <v>185</v>
      </c>
      <c r="F1596" s="32">
        <v>22026219</v>
      </c>
      <c r="G1596" s="32" t="s">
        <v>221</v>
      </c>
      <c r="H1596" s="26" t="s">
        <v>38</v>
      </c>
      <c r="I1596" s="36">
        <v>4500</v>
      </c>
      <c r="J1596" s="32">
        <f>IF(MB25_VOLUMETRIA[[#This Row],[Reserva]]="","",1)</f>
        <v>1</v>
      </c>
      <c r="K1596" s="36" t="str">
        <f>IF(MB25_VOLUMETRIA[[#This Row],[Reserva]]="","",IFERROR(VLOOKUP(MB25_VOLUMETRIA[[#This Row],[UMB]],CHAVE[],2,FALSE),"VERIFICAR"))</f>
        <v>Unidade</v>
      </c>
      <c r="L15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6" s="32" t="str">
        <f ca="1">IFERROR(VLOOKUP(MB25_VOLUMETRIA[[#This Row],[Reserva]],RES_AB[],14,FALSE),"")</f>
        <v>RESERVAS PENDENTES</v>
      </c>
      <c r="N1596" s="32" t="str">
        <f>IF(MB25_VOLUMETRIA[[#This Row],[Cen.]]="","",IFERROR(VLOOKUP(MB25_VOLUMETRIA[[#This Row],[Cen.]],Dados_Empresas[],2,FALSE),"Verificar empresa"))</f>
        <v>NET MASSIVO</v>
      </c>
      <c r="O1596" s="32" t="str">
        <f>IF(MB25_VOLUMETRIA[[#This Row],[EMPRESA]]="","",IF(OR(MB25_VOLUMETRIA[[#This Row],[EMPRESA]]="NET MASSIVO",MB25_VOLUMETRIA[[#This Row],[EMPRESA]]="NET PROJETOS"),"NET","EMPRESARIAL"))</f>
        <v>NET</v>
      </c>
    </row>
    <row r="1597" spans="1:15" x14ac:dyDescent="0.25">
      <c r="A1597" s="32">
        <v>4383909</v>
      </c>
      <c r="B1597" s="32" t="s">
        <v>21</v>
      </c>
      <c r="C1597" s="33" t="s">
        <v>19</v>
      </c>
      <c r="D1597" s="35">
        <v>45449</v>
      </c>
      <c r="E1597" s="32" t="s">
        <v>185</v>
      </c>
      <c r="F1597" s="32">
        <v>22026293</v>
      </c>
      <c r="G1597" s="32" t="s">
        <v>352</v>
      </c>
      <c r="H1597" s="26" t="s">
        <v>38</v>
      </c>
      <c r="I1597" s="36">
        <v>20</v>
      </c>
      <c r="J1597" s="32">
        <f>IF(MB25_VOLUMETRIA[[#This Row],[Reserva]]="","",1)</f>
        <v>1</v>
      </c>
      <c r="K1597" s="36" t="str">
        <f>IF(MB25_VOLUMETRIA[[#This Row],[Reserva]]="","",IFERROR(VLOOKUP(MB25_VOLUMETRIA[[#This Row],[UMB]],CHAVE[],2,FALSE),"VERIFICAR"))</f>
        <v>Unidade</v>
      </c>
      <c r="L15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7" s="32" t="str">
        <f ca="1">IFERROR(VLOOKUP(MB25_VOLUMETRIA[[#This Row],[Reserva]],RES_AB[],14,FALSE),"")</f>
        <v>RESERVAS PENDENTES</v>
      </c>
      <c r="N1597" s="32" t="str">
        <f>IF(MB25_VOLUMETRIA[[#This Row],[Cen.]]="","",IFERROR(VLOOKUP(MB25_VOLUMETRIA[[#This Row],[Cen.]],Dados_Empresas[],2,FALSE),"Verificar empresa"))</f>
        <v>NET MASSIVO</v>
      </c>
      <c r="O1597" s="32" t="str">
        <f>IF(MB25_VOLUMETRIA[[#This Row],[EMPRESA]]="","",IF(OR(MB25_VOLUMETRIA[[#This Row],[EMPRESA]]="NET MASSIVO",MB25_VOLUMETRIA[[#This Row],[EMPRESA]]="NET PROJETOS"),"NET","EMPRESARIAL"))</f>
        <v>NET</v>
      </c>
    </row>
    <row r="1598" spans="1:15" x14ac:dyDescent="0.25">
      <c r="A1598" s="32">
        <v>4383909</v>
      </c>
      <c r="B1598" s="32" t="s">
        <v>21</v>
      </c>
      <c r="C1598" s="33" t="s">
        <v>21</v>
      </c>
      <c r="D1598" s="35">
        <v>45449</v>
      </c>
      <c r="E1598" s="32" t="s">
        <v>185</v>
      </c>
      <c r="F1598" s="32">
        <v>22026746</v>
      </c>
      <c r="G1598" s="32" t="s">
        <v>205</v>
      </c>
      <c r="H1598" s="26" t="s">
        <v>38</v>
      </c>
      <c r="I1598" s="36">
        <v>50</v>
      </c>
      <c r="J1598" s="32">
        <f>IF(MB25_VOLUMETRIA[[#This Row],[Reserva]]="","",1)</f>
        <v>1</v>
      </c>
      <c r="K1598" s="36" t="str">
        <f>IF(MB25_VOLUMETRIA[[#This Row],[Reserva]]="","",IFERROR(VLOOKUP(MB25_VOLUMETRIA[[#This Row],[UMB]],CHAVE[],2,FALSE),"VERIFICAR"))</f>
        <v>Unidade</v>
      </c>
      <c r="L15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8" s="32" t="str">
        <f ca="1">IFERROR(VLOOKUP(MB25_VOLUMETRIA[[#This Row],[Reserva]],RES_AB[],14,FALSE),"")</f>
        <v>RESERVAS PENDENTES</v>
      </c>
      <c r="N1598" s="32" t="str">
        <f>IF(MB25_VOLUMETRIA[[#This Row],[Cen.]]="","",IFERROR(VLOOKUP(MB25_VOLUMETRIA[[#This Row],[Cen.]],Dados_Empresas[],2,FALSE),"Verificar empresa"))</f>
        <v>NET MASSIVO</v>
      </c>
      <c r="O1598" s="32" t="str">
        <f>IF(MB25_VOLUMETRIA[[#This Row],[EMPRESA]]="","",IF(OR(MB25_VOLUMETRIA[[#This Row],[EMPRESA]]="NET MASSIVO",MB25_VOLUMETRIA[[#This Row],[EMPRESA]]="NET PROJETOS"),"NET","EMPRESARIAL"))</f>
        <v>NET</v>
      </c>
    </row>
    <row r="1599" spans="1:15" x14ac:dyDescent="0.25">
      <c r="A1599" s="32">
        <v>4383909</v>
      </c>
      <c r="B1599" s="32" t="s">
        <v>21</v>
      </c>
      <c r="C1599" s="33" t="s">
        <v>21</v>
      </c>
      <c r="D1599" s="35">
        <v>45449</v>
      </c>
      <c r="E1599" s="32" t="s">
        <v>185</v>
      </c>
      <c r="F1599" s="32">
        <v>22026772</v>
      </c>
      <c r="G1599" s="32" t="s">
        <v>201</v>
      </c>
      <c r="H1599" s="26" t="s">
        <v>38</v>
      </c>
      <c r="I1599" s="36">
        <v>75</v>
      </c>
      <c r="J1599" s="32">
        <f>IF(MB25_VOLUMETRIA[[#This Row],[Reserva]]="","",1)</f>
        <v>1</v>
      </c>
      <c r="K1599" s="36" t="str">
        <f>IF(MB25_VOLUMETRIA[[#This Row],[Reserva]]="","",IFERROR(VLOOKUP(MB25_VOLUMETRIA[[#This Row],[UMB]],CHAVE[],2,FALSE),"VERIFICAR"))</f>
        <v>Unidade</v>
      </c>
      <c r="L15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599" s="32" t="str">
        <f ca="1">IFERROR(VLOOKUP(MB25_VOLUMETRIA[[#This Row],[Reserva]],RES_AB[],14,FALSE),"")</f>
        <v>RESERVAS PENDENTES</v>
      </c>
      <c r="N1599" s="32" t="str">
        <f>IF(MB25_VOLUMETRIA[[#This Row],[Cen.]]="","",IFERROR(VLOOKUP(MB25_VOLUMETRIA[[#This Row],[Cen.]],Dados_Empresas[],2,FALSE),"Verificar empresa"))</f>
        <v>NET MASSIVO</v>
      </c>
      <c r="O1599" s="32" t="str">
        <f>IF(MB25_VOLUMETRIA[[#This Row],[EMPRESA]]="","",IF(OR(MB25_VOLUMETRIA[[#This Row],[EMPRESA]]="NET MASSIVO",MB25_VOLUMETRIA[[#This Row],[EMPRESA]]="NET PROJETOS"),"NET","EMPRESARIAL"))</f>
        <v>NET</v>
      </c>
    </row>
    <row r="1600" spans="1:15" x14ac:dyDescent="0.25">
      <c r="A1600" s="32">
        <v>4383909</v>
      </c>
      <c r="B1600" s="32" t="s">
        <v>21</v>
      </c>
      <c r="C1600" s="33" t="s">
        <v>19</v>
      </c>
      <c r="D1600" s="35">
        <v>45449</v>
      </c>
      <c r="E1600" s="32" t="s">
        <v>185</v>
      </c>
      <c r="F1600" s="32">
        <v>22056339</v>
      </c>
      <c r="G1600" s="32" t="s">
        <v>243</v>
      </c>
      <c r="H1600" s="26" t="s">
        <v>38</v>
      </c>
      <c r="I1600" s="36">
        <v>100</v>
      </c>
      <c r="J1600" s="32">
        <f>IF(MB25_VOLUMETRIA[[#This Row],[Reserva]]="","",1)</f>
        <v>1</v>
      </c>
      <c r="K1600" s="36" t="str">
        <f>IF(MB25_VOLUMETRIA[[#This Row],[Reserva]]="","",IFERROR(VLOOKUP(MB25_VOLUMETRIA[[#This Row],[UMB]],CHAVE[],2,FALSE),"VERIFICAR"))</f>
        <v>Unidade</v>
      </c>
      <c r="L16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0" s="32" t="str">
        <f ca="1">IFERROR(VLOOKUP(MB25_VOLUMETRIA[[#This Row],[Reserva]],RES_AB[],14,FALSE),"")</f>
        <v>RESERVAS PENDENTES</v>
      </c>
      <c r="N1600" s="32" t="str">
        <f>IF(MB25_VOLUMETRIA[[#This Row],[Cen.]]="","",IFERROR(VLOOKUP(MB25_VOLUMETRIA[[#This Row],[Cen.]],Dados_Empresas[],2,FALSE),"Verificar empresa"))</f>
        <v>NET MASSIVO</v>
      </c>
      <c r="O1600" s="32" t="str">
        <f>IF(MB25_VOLUMETRIA[[#This Row],[EMPRESA]]="","",IF(OR(MB25_VOLUMETRIA[[#This Row],[EMPRESA]]="NET MASSIVO",MB25_VOLUMETRIA[[#This Row],[EMPRESA]]="NET PROJETOS"),"NET","EMPRESARIAL"))</f>
        <v>NET</v>
      </c>
    </row>
    <row r="1601" spans="1:15" x14ac:dyDescent="0.25">
      <c r="A1601" s="32">
        <v>4383909</v>
      </c>
      <c r="B1601" s="32" t="s">
        <v>21</v>
      </c>
      <c r="C1601" s="33" t="s">
        <v>21</v>
      </c>
      <c r="D1601" s="35">
        <v>45449</v>
      </c>
      <c r="E1601" s="32" t="s">
        <v>185</v>
      </c>
      <c r="F1601" s="32">
        <v>22056359</v>
      </c>
      <c r="G1601" s="32" t="s">
        <v>203</v>
      </c>
      <c r="H1601" s="26" t="s">
        <v>38</v>
      </c>
      <c r="I1601" s="36">
        <v>15</v>
      </c>
      <c r="J1601" s="32">
        <f>IF(MB25_VOLUMETRIA[[#This Row],[Reserva]]="","",1)</f>
        <v>1</v>
      </c>
      <c r="K1601" s="36" t="str">
        <f>IF(MB25_VOLUMETRIA[[#This Row],[Reserva]]="","",IFERROR(VLOOKUP(MB25_VOLUMETRIA[[#This Row],[UMB]],CHAVE[],2,FALSE),"VERIFICAR"))</f>
        <v>Unidade</v>
      </c>
      <c r="L16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1" s="32" t="str">
        <f ca="1">IFERROR(VLOOKUP(MB25_VOLUMETRIA[[#This Row],[Reserva]],RES_AB[],14,FALSE),"")</f>
        <v>RESERVAS PENDENTES</v>
      </c>
      <c r="N1601" s="32" t="str">
        <f>IF(MB25_VOLUMETRIA[[#This Row],[Cen.]]="","",IFERROR(VLOOKUP(MB25_VOLUMETRIA[[#This Row],[Cen.]],Dados_Empresas[],2,FALSE),"Verificar empresa"))</f>
        <v>NET MASSIVO</v>
      </c>
      <c r="O1601" s="32" t="str">
        <f>IF(MB25_VOLUMETRIA[[#This Row],[EMPRESA]]="","",IF(OR(MB25_VOLUMETRIA[[#This Row],[EMPRESA]]="NET MASSIVO",MB25_VOLUMETRIA[[#This Row],[EMPRESA]]="NET PROJETOS"),"NET","EMPRESARIAL"))</f>
        <v>NET</v>
      </c>
    </row>
    <row r="1602" spans="1:15" x14ac:dyDescent="0.25">
      <c r="A1602" s="32">
        <v>4383909</v>
      </c>
      <c r="B1602" s="32" t="s">
        <v>21</v>
      </c>
      <c r="C1602" s="33" t="s">
        <v>21</v>
      </c>
      <c r="D1602" s="35">
        <v>45449</v>
      </c>
      <c r="E1602" s="32" t="s">
        <v>185</v>
      </c>
      <c r="F1602" s="32">
        <v>22056364</v>
      </c>
      <c r="G1602" s="32" t="s">
        <v>236</v>
      </c>
      <c r="H1602" s="26" t="s">
        <v>38</v>
      </c>
      <c r="I1602" s="36">
        <v>240</v>
      </c>
      <c r="J1602" s="32">
        <f>IF(MB25_VOLUMETRIA[[#This Row],[Reserva]]="","",1)</f>
        <v>1</v>
      </c>
      <c r="K1602" s="36" t="str">
        <f>IF(MB25_VOLUMETRIA[[#This Row],[Reserva]]="","",IFERROR(VLOOKUP(MB25_VOLUMETRIA[[#This Row],[UMB]],CHAVE[],2,FALSE),"VERIFICAR"))</f>
        <v>Unidade</v>
      </c>
      <c r="L16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2" s="32" t="str">
        <f ca="1">IFERROR(VLOOKUP(MB25_VOLUMETRIA[[#This Row],[Reserva]],RES_AB[],14,FALSE),"")</f>
        <v>RESERVAS PENDENTES</v>
      </c>
      <c r="N1602" s="32" t="str">
        <f>IF(MB25_VOLUMETRIA[[#This Row],[Cen.]]="","",IFERROR(VLOOKUP(MB25_VOLUMETRIA[[#This Row],[Cen.]],Dados_Empresas[],2,FALSE),"Verificar empresa"))</f>
        <v>NET MASSIVO</v>
      </c>
      <c r="O1602" s="32" t="str">
        <f>IF(MB25_VOLUMETRIA[[#This Row],[EMPRESA]]="","",IF(OR(MB25_VOLUMETRIA[[#This Row],[EMPRESA]]="NET MASSIVO",MB25_VOLUMETRIA[[#This Row],[EMPRESA]]="NET PROJETOS"),"NET","EMPRESARIAL"))</f>
        <v>NET</v>
      </c>
    </row>
    <row r="1603" spans="1:15" x14ac:dyDescent="0.25">
      <c r="A1603" s="32">
        <v>4383909</v>
      </c>
      <c r="B1603" s="32" t="s">
        <v>21</v>
      </c>
      <c r="C1603" s="33" t="s">
        <v>21</v>
      </c>
      <c r="D1603" s="35">
        <v>45449</v>
      </c>
      <c r="E1603" s="32" t="s">
        <v>185</v>
      </c>
      <c r="F1603" s="32">
        <v>22060422</v>
      </c>
      <c r="G1603" s="32" t="s">
        <v>298</v>
      </c>
      <c r="H1603" s="26" t="s">
        <v>38</v>
      </c>
      <c r="I1603" s="36">
        <v>20</v>
      </c>
      <c r="J1603" s="32">
        <f>IF(MB25_VOLUMETRIA[[#This Row],[Reserva]]="","",1)</f>
        <v>1</v>
      </c>
      <c r="K1603" s="36" t="str">
        <f>IF(MB25_VOLUMETRIA[[#This Row],[Reserva]]="","",IFERROR(VLOOKUP(MB25_VOLUMETRIA[[#This Row],[UMB]],CHAVE[],2,FALSE),"VERIFICAR"))</f>
        <v>Unidade</v>
      </c>
      <c r="L16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3" s="32" t="str">
        <f ca="1">IFERROR(VLOOKUP(MB25_VOLUMETRIA[[#This Row],[Reserva]],RES_AB[],14,FALSE),"")</f>
        <v>RESERVAS PENDENTES</v>
      </c>
      <c r="N1603" s="32" t="str">
        <f>IF(MB25_VOLUMETRIA[[#This Row],[Cen.]]="","",IFERROR(VLOOKUP(MB25_VOLUMETRIA[[#This Row],[Cen.]],Dados_Empresas[],2,FALSE),"Verificar empresa"))</f>
        <v>NET MASSIVO</v>
      </c>
      <c r="O1603" s="32" t="str">
        <f>IF(MB25_VOLUMETRIA[[#This Row],[EMPRESA]]="","",IF(OR(MB25_VOLUMETRIA[[#This Row],[EMPRESA]]="NET MASSIVO",MB25_VOLUMETRIA[[#This Row],[EMPRESA]]="NET PROJETOS"),"NET","EMPRESARIAL"))</f>
        <v>NET</v>
      </c>
    </row>
    <row r="1604" spans="1:15" x14ac:dyDescent="0.25">
      <c r="A1604" s="32">
        <v>4383910</v>
      </c>
      <c r="B1604" s="32" t="s">
        <v>21</v>
      </c>
      <c r="C1604" s="33" t="s">
        <v>19</v>
      </c>
      <c r="D1604" s="35">
        <v>45449</v>
      </c>
      <c r="E1604" s="32" t="s">
        <v>184</v>
      </c>
      <c r="F1604" s="32">
        <v>41001234</v>
      </c>
      <c r="G1604" s="32" t="s">
        <v>189</v>
      </c>
      <c r="H1604" s="26" t="s">
        <v>38</v>
      </c>
      <c r="I1604" s="36">
        <v>20</v>
      </c>
      <c r="J1604" s="32">
        <f>IF(MB25_VOLUMETRIA[[#This Row],[Reserva]]="","",1)</f>
        <v>1</v>
      </c>
      <c r="K1604" s="36" t="str">
        <f>IF(MB25_VOLUMETRIA[[#This Row],[Reserva]]="","",IFERROR(VLOOKUP(MB25_VOLUMETRIA[[#This Row],[UMB]],CHAVE[],2,FALSE),"VERIFICAR"))</f>
        <v>Unidade</v>
      </c>
      <c r="L16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4" s="32" t="str">
        <f ca="1">IFERROR(VLOOKUP(MB25_VOLUMETRIA[[#This Row],[Reserva]],RES_AB[],14,FALSE),"")</f>
        <v>RESERVAS PENDENTES</v>
      </c>
      <c r="N1604" s="32" t="str">
        <f>IF(MB25_VOLUMETRIA[[#This Row],[Cen.]]="","",IFERROR(VLOOKUP(MB25_VOLUMETRIA[[#This Row],[Cen.]],Dados_Empresas[],2,FALSE),"Verificar empresa"))</f>
        <v>NET MASSIVO</v>
      </c>
      <c r="O1604" s="32" t="str">
        <f>IF(MB25_VOLUMETRIA[[#This Row],[EMPRESA]]="","",IF(OR(MB25_VOLUMETRIA[[#This Row],[EMPRESA]]="NET MASSIVO",MB25_VOLUMETRIA[[#This Row],[EMPRESA]]="NET PROJETOS"),"NET","EMPRESARIAL"))</f>
        <v>NET</v>
      </c>
    </row>
    <row r="1605" spans="1:15" x14ac:dyDescent="0.25">
      <c r="A1605" s="32">
        <v>4383910</v>
      </c>
      <c r="B1605" s="32" t="s">
        <v>21</v>
      </c>
      <c r="C1605" s="33" t="s">
        <v>19</v>
      </c>
      <c r="D1605" s="35">
        <v>45449</v>
      </c>
      <c r="E1605" s="32" t="s">
        <v>184</v>
      </c>
      <c r="F1605" s="32">
        <v>41001277</v>
      </c>
      <c r="G1605" s="32" t="s">
        <v>466</v>
      </c>
      <c r="H1605" s="26" t="s">
        <v>38</v>
      </c>
      <c r="I1605" s="36">
        <v>20</v>
      </c>
      <c r="J1605" s="32">
        <f>IF(MB25_VOLUMETRIA[[#This Row],[Reserva]]="","",1)</f>
        <v>1</v>
      </c>
      <c r="K1605" s="36" t="str">
        <f>IF(MB25_VOLUMETRIA[[#This Row],[Reserva]]="","",IFERROR(VLOOKUP(MB25_VOLUMETRIA[[#This Row],[UMB]],CHAVE[],2,FALSE),"VERIFICAR"))</f>
        <v>Unidade</v>
      </c>
      <c r="L16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5" s="32" t="str">
        <f ca="1">IFERROR(VLOOKUP(MB25_VOLUMETRIA[[#This Row],[Reserva]],RES_AB[],14,FALSE),"")</f>
        <v>RESERVAS PENDENTES</v>
      </c>
      <c r="N1605" s="32" t="str">
        <f>IF(MB25_VOLUMETRIA[[#This Row],[Cen.]]="","",IFERROR(VLOOKUP(MB25_VOLUMETRIA[[#This Row],[Cen.]],Dados_Empresas[],2,FALSE),"Verificar empresa"))</f>
        <v>NET MASSIVO</v>
      </c>
      <c r="O1605" s="32" t="str">
        <f>IF(MB25_VOLUMETRIA[[#This Row],[EMPRESA]]="","",IF(OR(MB25_VOLUMETRIA[[#This Row],[EMPRESA]]="NET MASSIVO",MB25_VOLUMETRIA[[#This Row],[EMPRESA]]="NET PROJETOS"),"NET","EMPRESARIAL"))</f>
        <v>NET</v>
      </c>
    </row>
    <row r="1606" spans="1:15" x14ac:dyDescent="0.25">
      <c r="A1606" s="32">
        <v>4383911</v>
      </c>
      <c r="B1606" s="32" t="s">
        <v>21</v>
      </c>
      <c r="C1606" s="33" t="s">
        <v>19</v>
      </c>
      <c r="D1606" s="35">
        <v>45449</v>
      </c>
      <c r="E1606" s="32" t="s">
        <v>185</v>
      </c>
      <c r="F1606" s="32">
        <v>22026096</v>
      </c>
      <c r="G1606" s="32" t="s">
        <v>464</v>
      </c>
      <c r="H1606" s="26" t="s">
        <v>38</v>
      </c>
      <c r="I1606" s="36">
        <v>20</v>
      </c>
      <c r="J1606" s="32">
        <f>IF(MB25_VOLUMETRIA[[#This Row],[Reserva]]="","",1)</f>
        <v>1</v>
      </c>
      <c r="K1606" s="36" t="str">
        <f>IF(MB25_VOLUMETRIA[[#This Row],[Reserva]]="","",IFERROR(VLOOKUP(MB25_VOLUMETRIA[[#This Row],[UMB]],CHAVE[],2,FALSE),"VERIFICAR"))</f>
        <v>Unidade</v>
      </c>
      <c r="L16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6" s="32" t="str">
        <f ca="1">IFERROR(VLOOKUP(MB25_VOLUMETRIA[[#This Row],[Reserva]],RES_AB[],14,FALSE),"")</f>
        <v>RESERVAS PENDENTES</v>
      </c>
      <c r="N1606" s="32" t="str">
        <f>IF(MB25_VOLUMETRIA[[#This Row],[Cen.]]="","",IFERROR(VLOOKUP(MB25_VOLUMETRIA[[#This Row],[Cen.]],Dados_Empresas[],2,FALSE),"Verificar empresa"))</f>
        <v>NET MASSIVO</v>
      </c>
      <c r="O1606" s="32" t="str">
        <f>IF(MB25_VOLUMETRIA[[#This Row],[EMPRESA]]="","",IF(OR(MB25_VOLUMETRIA[[#This Row],[EMPRESA]]="NET MASSIVO",MB25_VOLUMETRIA[[#This Row],[EMPRESA]]="NET PROJETOS"),"NET","EMPRESARIAL"))</f>
        <v>NET</v>
      </c>
    </row>
    <row r="1607" spans="1:15" x14ac:dyDescent="0.25">
      <c r="A1607" s="32">
        <v>4383911</v>
      </c>
      <c r="B1607" s="32" t="s">
        <v>21</v>
      </c>
      <c r="C1607" s="33" t="s">
        <v>19</v>
      </c>
      <c r="D1607" s="35">
        <v>45449</v>
      </c>
      <c r="E1607" s="32" t="s">
        <v>185</v>
      </c>
      <c r="F1607" s="32">
        <v>22058639</v>
      </c>
      <c r="G1607" s="32" t="s">
        <v>290</v>
      </c>
      <c r="H1607" s="26" t="s">
        <v>38</v>
      </c>
      <c r="I1607" s="36">
        <v>80</v>
      </c>
      <c r="J1607" s="32">
        <f>IF(MB25_VOLUMETRIA[[#This Row],[Reserva]]="","",1)</f>
        <v>1</v>
      </c>
      <c r="K1607" s="36" t="str">
        <f>IF(MB25_VOLUMETRIA[[#This Row],[Reserva]]="","",IFERROR(VLOOKUP(MB25_VOLUMETRIA[[#This Row],[UMB]],CHAVE[],2,FALSE),"VERIFICAR"))</f>
        <v>Unidade</v>
      </c>
      <c r="L16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7" s="32" t="str">
        <f ca="1">IFERROR(VLOOKUP(MB25_VOLUMETRIA[[#This Row],[Reserva]],RES_AB[],14,FALSE),"")</f>
        <v>RESERVAS PENDENTES</v>
      </c>
      <c r="N1607" s="32" t="str">
        <f>IF(MB25_VOLUMETRIA[[#This Row],[Cen.]]="","",IFERROR(VLOOKUP(MB25_VOLUMETRIA[[#This Row],[Cen.]],Dados_Empresas[],2,FALSE),"Verificar empresa"))</f>
        <v>NET MASSIVO</v>
      </c>
      <c r="O1607" s="32" t="str">
        <f>IF(MB25_VOLUMETRIA[[#This Row],[EMPRESA]]="","",IF(OR(MB25_VOLUMETRIA[[#This Row],[EMPRESA]]="NET MASSIVO",MB25_VOLUMETRIA[[#This Row],[EMPRESA]]="NET PROJETOS"),"NET","EMPRESARIAL"))</f>
        <v>NET</v>
      </c>
    </row>
    <row r="1608" spans="1:15" x14ac:dyDescent="0.25">
      <c r="A1608" s="32">
        <v>4383911</v>
      </c>
      <c r="B1608" s="32" t="s">
        <v>21</v>
      </c>
      <c r="C1608" s="33" t="s">
        <v>19</v>
      </c>
      <c r="D1608" s="35">
        <v>45449</v>
      </c>
      <c r="E1608" s="32" t="s">
        <v>185</v>
      </c>
      <c r="F1608" s="32">
        <v>22060287</v>
      </c>
      <c r="G1608" s="32" t="s">
        <v>465</v>
      </c>
      <c r="H1608" s="26" t="s">
        <v>38</v>
      </c>
      <c r="I1608" s="36">
        <v>20</v>
      </c>
      <c r="J1608" s="32">
        <f>IF(MB25_VOLUMETRIA[[#This Row],[Reserva]]="","",1)</f>
        <v>1</v>
      </c>
      <c r="K1608" s="36" t="str">
        <f>IF(MB25_VOLUMETRIA[[#This Row],[Reserva]]="","",IFERROR(VLOOKUP(MB25_VOLUMETRIA[[#This Row],[UMB]],CHAVE[],2,FALSE),"VERIFICAR"))</f>
        <v>Unidade</v>
      </c>
      <c r="L16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8" s="32" t="str">
        <f ca="1">IFERROR(VLOOKUP(MB25_VOLUMETRIA[[#This Row],[Reserva]],RES_AB[],14,FALSE),"")</f>
        <v>RESERVAS PENDENTES</v>
      </c>
      <c r="N1608" s="32" t="str">
        <f>IF(MB25_VOLUMETRIA[[#This Row],[Cen.]]="","",IFERROR(VLOOKUP(MB25_VOLUMETRIA[[#This Row],[Cen.]],Dados_Empresas[],2,FALSE),"Verificar empresa"))</f>
        <v>NET MASSIVO</v>
      </c>
      <c r="O1608" s="32" t="str">
        <f>IF(MB25_VOLUMETRIA[[#This Row],[EMPRESA]]="","",IF(OR(MB25_VOLUMETRIA[[#This Row],[EMPRESA]]="NET MASSIVO",MB25_VOLUMETRIA[[#This Row],[EMPRESA]]="NET PROJETOS"),"NET","EMPRESARIAL"))</f>
        <v>NET</v>
      </c>
    </row>
    <row r="1609" spans="1:15" x14ac:dyDescent="0.25">
      <c r="A1609" s="32">
        <v>4383912</v>
      </c>
      <c r="B1609" s="32" t="s">
        <v>21</v>
      </c>
      <c r="C1609" s="33" t="s">
        <v>19</v>
      </c>
      <c r="D1609" s="35">
        <v>45449</v>
      </c>
      <c r="E1609" s="32" t="s">
        <v>184</v>
      </c>
      <c r="F1609" s="32">
        <v>41001095</v>
      </c>
      <c r="G1609" s="32" t="s">
        <v>246</v>
      </c>
      <c r="H1609" s="26" t="s">
        <v>38</v>
      </c>
      <c r="I1609" s="36">
        <v>80</v>
      </c>
      <c r="J1609" s="32">
        <f>IF(MB25_VOLUMETRIA[[#This Row],[Reserva]]="","",1)</f>
        <v>1</v>
      </c>
      <c r="K1609" s="36" t="str">
        <f>IF(MB25_VOLUMETRIA[[#This Row],[Reserva]]="","",IFERROR(VLOOKUP(MB25_VOLUMETRIA[[#This Row],[UMB]],CHAVE[],2,FALSE),"VERIFICAR"))</f>
        <v>Unidade</v>
      </c>
      <c r="L16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09" s="32" t="str">
        <f ca="1">IFERROR(VLOOKUP(MB25_VOLUMETRIA[[#This Row],[Reserva]],RES_AB[],14,FALSE),"")</f>
        <v>RESERVAS PENDENTES</v>
      </c>
      <c r="N1609" s="32" t="str">
        <f>IF(MB25_VOLUMETRIA[[#This Row],[Cen.]]="","",IFERROR(VLOOKUP(MB25_VOLUMETRIA[[#This Row],[Cen.]],Dados_Empresas[],2,FALSE),"Verificar empresa"))</f>
        <v>NET MASSIVO</v>
      </c>
      <c r="O1609" s="32" t="str">
        <f>IF(MB25_VOLUMETRIA[[#This Row],[EMPRESA]]="","",IF(OR(MB25_VOLUMETRIA[[#This Row],[EMPRESA]]="NET MASSIVO",MB25_VOLUMETRIA[[#This Row],[EMPRESA]]="NET PROJETOS"),"NET","EMPRESARIAL"))</f>
        <v>NET</v>
      </c>
    </row>
    <row r="1610" spans="1:15" x14ac:dyDescent="0.25">
      <c r="A1610" s="32">
        <v>4383912</v>
      </c>
      <c r="B1610" s="32" t="s">
        <v>21</v>
      </c>
      <c r="C1610" s="33" t="s">
        <v>19</v>
      </c>
      <c r="D1610" s="35">
        <v>45449</v>
      </c>
      <c r="E1610" s="32" t="s">
        <v>184</v>
      </c>
      <c r="F1610" s="32">
        <v>41001481</v>
      </c>
      <c r="G1610" s="32" t="s">
        <v>403</v>
      </c>
      <c r="H1610" s="26" t="s">
        <v>38</v>
      </c>
      <c r="I1610" s="36">
        <v>20</v>
      </c>
      <c r="J1610" s="32">
        <f>IF(MB25_VOLUMETRIA[[#This Row],[Reserva]]="","",1)</f>
        <v>1</v>
      </c>
      <c r="K1610" s="36" t="str">
        <f>IF(MB25_VOLUMETRIA[[#This Row],[Reserva]]="","",IFERROR(VLOOKUP(MB25_VOLUMETRIA[[#This Row],[UMB]],CHAVE[],2,FALSE),"VERIFICAR"))</f>
        <v>Unidade</v>
      </c>
      <c r="L16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0" s="32" t="str">
        <f ca="1">IFERROR(VLOOKUP(MB25_VOLUMETRIA[[#This Row],[Reserva]],RES_AB[],14,FALSE),"")</f>
        <v>RESERVAS PENDENTES</v>
      </c>
      <c r="N1610" s="32" t="str">
        <f>IF(MB25_VOLUMETRIA[[#This Row],[Cen.]]="","",IFERROR(VLOOKUP(MB25_VOLUMETRIA[[#This Row],[Cen.]],Dados_Empresas[],2,FALSE),"Verificar empresa"))</f>
        <v>NET MASSIVO</v>
      </c>
      <c r="O1610" s="32" t="str">
        <f>IF(MB25_VOLUMETRIA[[#This Row],[EMPRESA]]="","",IF(OR(MB25_VOLUMETRIA[[#This Row],[EMPRESA]]="NET MASSIVO",MB25_VOLUMETRIA[[#This Row],[EMPRESA]]="NET PROJETOS"),"NET","EMPRESARIAL"))</f>
        <v>NET</v>
      </c>
    </row>
    <row r="1611" spans="1:15" x14ac:dyDescent="0.25">
      <c r="A1611" s="32">
        <v>4383913</v>
      </c>
      <c r="B1611" s="32" t="s">
        <v>21</v>
      </c>
      <c r="C1611" s="33" t="s">
        <v>19</v>
      </c>
      <c r="D1611" s="35">
        <v>45449</v>
      </c>
      <c r="E1611" s="32" t="s">
        <v>185</v>
      </c>
      <c r="F1611" s="32">
        <v>22026096</v>
      </c>
      <c r="G1611" s="32" t="s">
        <v>464</v>
      </c>
      <c r="H1611" s="26" t="s">
        <v>38</v>
      </c>
      <c r="I1611" s="36">
        <v>150</v>
      </c>
      <c r="J1611" s="32">
        <f>IF(MB25_VOLUMETRIA[[#This Row],[Reserva]]="","",1)</f>
        <v>1</v>
      </c>
      <c r="K1611" s="36" t="str">
        <f>IF(MB25_VOLUMETRIA[[#This Row],[Reserva]]="","",IFERROR(VLOOKUP(MB25_VOLUMETRIA[[#This Row],[UMB]],CHAVE[],2,FALSE),"VERIFICAR"))</f>
        <v>Unidade</v>
      </c>
      <c r="L16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1" s="32" t="str">
        <f ca="1">IFERROR(VLOOKUP(MB25_VOLUMETRIA[[#This Row],[Reserva]],RES_AB[],14,FALSE),"")</f>
        <v>RESERVAS PENDENTES</v>
      </c>
      <c r="N1611" s="32" t="str">
        <f>IF(MB25_VOLUMETRIA[[#This Row],[Cen.]]="","",IFERROR(VLOOKUP(MB25_VOLUMETRIA[[#This Row],[Cen.]],Dados_Empresas[],2,FALSE),"Verificar empresa"))</f>
        <v>NET MASSIVO</v>
      </c>
      <c r="O1611" s="32" t="str">
        <f>IF(MB25_VOLUMETRIA[[#This Row],[EMPRESA]]="","",IF(OR(MB25_VOLUMETRIA[[#This Row],[EMPRESA]]="NET MASSIVO",MB25_VOLUMETRIA[[#This Row],[EMPRESA]]="NET PROJETOS"),"NET","EMPRESARIAL"))</f>
        <v>NET</v>
      </c>
    </row>
    <row r="1612" spans="1:15" x14ac:dyDescent="0.25">
      <c r="A1612" s="32">
        <v>4383913</v>
      </c>
      <c r="B1612" s="32" t="s">
        <v>21</v>
      </c>
      <c r="C1612" s="33" t="s">
        <v>19</v>
      </c>
      <c r="D1612" s="35">
        <v>45449</v>
      </c>
      <c r="E1612" s="32" t="s">
        <v>185</v>
      </c>
      <c r="F1612" s="32">
        <v>22026293</v>
      </c>
      <c r="G1612" s="32" t="s">
        <v>352</v>
      </c>
      <c r="H1612" s="26" t="s">
        <v>38</v>
      </c>
      <c r="I1612" s="36">
        <v>160</v>
      </c>
      <c r="J1612" s="32">
        <f>IF(MB25_VOLUMETRIA[[#This Row],[Reserva]]="","",1)</f>
        <v>1</v>
      </c>
      <c r="K1612" s="36" t="str">
        <f>IF(MB25_VOLUMETRIA[[#This Row],[Reserva]]="","",IFERROR(VLOOKUP(MB25_VOLUMETRIA[[#This Row],[UMB]],CHAVE[],2,FALSE),"VERIFICAR"))</f>
        <v>Unidade</v>
      </c>
      <c r="L16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2" s="32" t="str">
        <f ca="1">IFERROR(VLOOKUP(MB25_VOLUMETRIA[[#This Row],[Reserva]],RES_AB[],14,FALSE),"")</f>
        <v>RESERVAS PENDENTES</v>
      </c>
      <c r="N1612" s="32" t="str">
        <f>IF(MB25_VOLUMETRIA[[#This Row],[Cen.]]="","",IFERROR(VLOOKUP(MB25_VOLUMETRIA[[#This Row],[Cen.]],Dados_Empresas[],2,FALSE),"Verificar empresa"))</f>
        <v>NET MASSIVO</v>
      </c>
      <c r="O1612" s="32" t="str">
        <f>IF(MB25_VOLUMETRIA[[#This Row],[EMPRESA]]="","",IF(OR(MB25_VOLUMETRIA[[#This Row],[EMPRESA]]="NET MASSIVO",MB25_VOLUMETRIA[[#This Row],[EMPRESA]]="NET PROJETOS"),"NET","EMPRESARIAL"))</f>
        <v>NET</v>
      </c>
    </row>
    <row r="1613" spans="1:15" x14ac:dyDescent="0.25">
      <c r="A1613" s="32">
        <v>4383913</v>
      </c>
      <c r="B1613" s="32" t="s">
        <v>21</v>
      </c>
      <c r="C1613" s="33" t="s">
        <v>19</v>
      </c>
      <c r="D1613" s="35">
        <v>45449</v>
      </c>
      <c r="E1613" s="32" t="s">
        <v>185</v>
      </c>
      <c r="F1613" s="32">
        <v>22060287</v>
      </c>
      <c r="G1613" s="32" t="s">
        <v>465</v>
      </c>
      <c r="H1613" s="26" t="s">
        <v>38</v>
      </c>
      <c r="I1613" s="36">
        <v>150</v>
      </c>
      <c r="J1613" s="32">
        <f>IF(MB25_VOLUMETRIA[[#This Row],[Reserva]]="","",1)</f>
        <v>1</v>
      </c>
      <c r="K1613" s="36" t="str">
        <f>IF(MB25_VOLUMETRIA[[#This Row],[Reserva]]="","",IFERROR(VLOOKUP(MB25_VOLUMETRIA[[#This Row],[UMB]],CHAVE[],2,FALSE),"VERIFICAR"))</f>
        <v>Unidade</v>
      </c>
      <c r="L16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3" s="32" t="str">
        <f ca="1">IFERROR(VLOOKUP(MB25_VOLUMETRIA[[#This Row],[Reserva]],RES_AB[],14,FALSE),"")</f>
        <v>RESERVAS PENDENTES</v>
      </c>
      <c r="N1613" s="32" t="str">
        <f>IF(MB25_VOLUMETRIA[[#This Row],[Cen.]]="","",IFERROR(VLOOKUP(MB25_VOLUMETRIA[[#This Row],[Cen.]],Dados_Empresas[],2,FALSE),"Verificar empresa"))</f>
        <v>NET MASSIVO</v>
      </c>
      <c r="O1613" s="32" t="str">
        <f>IF(MB25_VOLUMETRIA[[#This Row],[EMPRESA]]="","",IF(OR(MB25_VOLUMETRIA[[#This Row],[EMPRESA]]="NET MASSIVO",MB25_VOLUMETRIA[[#This Row],[EMPRESA]]="NET PROJETOS"),"NET","EMPRESARIAL"))</f>
        <v>NET</v>
      </c>
    </row>
    <row r="1614" spans="1:15" x14ac:dyDescent="0.25">
      <c r="A1614" s="32">
        <v>4383913</v>
      </c>
      <c r="B1614" s="32" t="s">
        <v>21</v>
      </c>
      <c r="C1614" s="33" t="s">
        <v>21</v>
      </c>
      <c r="D1614" s="35">
        <v>45449</v>
      </c>
      <c r="E1614" s="32" t="s">
        <v>185</v>
      </c>
      <c r="F1614" s="32">
        <v>22060422</v>
      </c>
      <c r="G1614" s="32" t="s">
        <v>298</v>
      </c>
      <c r="H1614" s="26" t="s">
        <v>38</v>
      </c>
      <c r="I1614" s="36">
        <v>160</v>
      </c>
      <c r="J1614" s="32">
        <f>IF(MB25_VOLUMETRIA[[#This Row],[Reserva]]="","",1)</f>
        <v>1</v>
      </c>
      <c r="K1614" s="36" t="str">
        <f>IF(MB25_VOLUMETRIA[[#This Row],[Reserva]]="","",IFERROR(VLOOKUP(MB25_VOLUMETRIA[[#This Row],[UMB]],CHAVE[],2,FALSE),"VERIFICAR"))</f>
        <v>Unidade</v>
      </c>
      <c r="L16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4" s="32" t="str">
        <f ca="1">IFERROR(VLOOKUP(MB25_VOLUMETRIA[[#This Row],[Reserva]],RES_AB[],14,FALSE),"")</f>
        <v>RESERVAS PENDENTES</v>
      </c>
      <c r="N1614" s="32" t="str">
        <f>IF(MB25_VOLUMETRIA[[#This Row],[Cen.]]="","",IFERROR(VLOOKUP(MB25_VOLUMETRIA[[#This Row],[Cen.]],Dados_Empresas[],2,FALSE),"Verificar empresa"))</f>
        <v>NET MASSIVO</v>
      </c>
      <c r="O1614" s="32" t="str">
        <f>IF(MB25_VOLUMETRIA[[#This Row],[EMPRESA]]="","",IF(OR(MB25_VOLUMETRIA[[#This Row],[EMPRESA]]="NET MASSIVO",MB25_VOLUMETRIA[[#This Row],[EMPRESA]]="NET PROJETOS"),"NET","EMPRESARIAL"))</f>
        <v>NET</v>
      </c>
    </row>
    <row r="1615" spans="1:15" x14ac:dyDescent="0.25">
      <c r="A1615" s="32">
        <v>4383914</v>
      </c>
      <c r="B1615" s="32" t="s">
        <v>21</v>
      </c>
      <c r="C1615" s="33" t="s">
        <v>19</v>
      </c>
      <c r="D1615" s="35">
        <v>45449</v>
      </c>
      <c r="E1615" s="32" t="s">
        <v>184</v>
      </c>
      <c r="F1615" s="32">
        <v>41001234</v>
      </c>
      <c r="G1615" s="32" t="s">
        <v>189</v>
      </c>
      <c r="H1615" s="26" t="s">
        <v>38</v>
      </c>
      <c r="I1615" s="36">
        <v>160</v>
      </c>
      <c r="J1615" s="32">
        <f>IF(MB25_VOLUMETRIA[[#This Row],[Reserva]]="","",1)</f>
        <v>1</v>
      </c>
      <c r="K1615" s="36" t="str">
        <f>IF(MB25_VOLUMETRIA[[#This Row],[Reserva]]="","",IFERROR(VLOOKUP(MB25_VOLUMETRIA[[#This Row],[UMB]],CHAVE[],2,FALSE),"VERIFICAR"))</f>
        <v>Unidade</v>
      </c>
      <c r="L16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5" s="32" t="str">
        <f ca="1">IFERROR(VLOOKUP(MB25_VOLUMETRIA[[#This Row],[Reserva]],RES_AB[],14,FALSE),"")</f>
        <v>RESERVAS PENDENTES</v>
      </c>
      <c r="N1615" s="32" t="str">
        <f>IF(MB25_VOLUMETRIA[[#This Row],[Cen.]]="","",IFERROR(VLOOKUP(MB25_VOLUMETRIA[[#This Row],[Cen.]],Dados_Empresas[],2,FALSE),"Verificar empresa"))</f>
        <v>NET MASSIVO</v>
      </c>
      <c r="O1615" s="32" t="str">
        <f>IF(MB25_VOLUMETRIA[[#This Row],[EMPRESA]]="","",IF(OR(MB25_VOLUMETRIA[[#This Row],[EMPRESA]]="NET MASSIVO",MB25_VOLUMETRIA[[#This Row],[EMPRESA]]="NET PROJETOS"),"NET","EMPRESARIAL"))</f>
        <v>NET</v>
      </c>
    </row>
    <row r="1616" spans="1:15" x14ac:dyDescent="0.25">
      <c r="A1616" s="32">
        <v>4383914</v>
      </c>
      <c r="B1616" s="32" t="s">
        <v>21</v>
      </c>
      <c r="C1616" s="33" t="s">
        <v>19</v>
      </c>
      <c r="D1616" s="35">
        <v>45449</v>
      </c>
      <c r="E1616" s="32" t="s">
        <v>184</v>
      </c>
      <c r="F1616" s="32">
        <v>41001277</v>
      </c>
      <c r="G1616" s="32" t="s">
        <v>466</v>
      </c>
      <c r="H1616" s="26" t="s">
        <v>38</v>
      </c>
      <c r="I1616" s="36">
        <v>160</v>
      </c>
      <c r="J1616" s="32">
        <f>IF(MB25_VOLUMETRIA[[#This Row],[Reserva]]="","",1)</f>
        <v>1</v>
      </c>
      <c r="K1616" s="36" t="str">
        <f>IF(MB25_VOLUMETRIA[[#This Row],[Reserva]]="","",IFERROR(VLOOKUP(MB25_VOLUMETRIA[[#This Row],[UMB]],CHAVE[],2,FALSE),"VERIFICAR"))</f>
        <v>Unidade</v>
      </c>
      <c r="L16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6" s="32" t="str">
        <f ca="1">IFERROR(VLOOKUP(MB25_VOLUMETRIA[[#This Row],[Reserva]],RES_AB[],14,FALSE),"")</f>
        <v>RESERVAS PENDENTES</v>
      </c>
      <c r="N1616" s="32" t="str">
        <f>IF(MB25_VOLUMETRIA[[#This Row],[Cen.]]="","",IFERROR(VLOOKUP(MB25_VOLUMETRIA[[#This Row],[Cen.]],Dados_Empresas[],2,FALSE),"Verificar empresa"))</f>
        <v>NET MASSIVO</v>
      </c>
      <c r="O1616" s="32" t="str">
        <f>IF(MB25_VOLUMETRIA[[#This Row],[EMPRESA]]="","",IF(OR(MB25_VOLUMETRIA[[#This Row],[EMPRESA]]="NET MASSIVO",MB25_VOLUMETRIA[[#This Row],[EMPRESA]]="NET PROJETOS"),"NET","EMPRESARIAL"))</f>
        <v>NET</v>
      </c>
    </row>
    <row r="1617" spans="1:15" x14ac:dyDescent="0.25">
      <c r="A1617" s="32">
        <v>4383914</v>
      </c>
      <c r="B1617" s="32" t="s">
        <v>21</v>
      </c>
      <c r="C1617" s="33" t="s">
        <v>19</v>
      </c>
      <c r="D1617" s="35">
        <v>45449</v>
      </c>
      <c r="E1617" s="32" t="s">
        <v>184</v>
      </c>
      <c r="F1617" s="32">
        <v>41001481</v>
      </c>
      <c r="G1617" s="32" t="s">
        <v>403</v>
      </c>
      <c r="H1617" s="26" t="s">
        <v>38</v>
      </c>
      <c r="I1617" s="36">
        <v>150</v>
      </c>
      <c r="J1617" s="32">
        <f>IF(MB25_VOLUMETRIA[[#This Row],[Reserva]]="","",1)</f>
        <v>1</v>
      </c>
      <c r="K1617" s="36" t="str">
        <f>IF(MB25_VOLUMETRIA[[#This Row],[Reserva]]="","",IFERROR(VLOOKUP(MB25_VOLUMETRIA[[#This Row],[UMB]],CHAVE[],2,FALSE),"VERIFICAR"))</f>
        <v>Unidade</v>
      </c>
      <c r="L16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7" s="32" t="str">
        <f ca="1">IFERROR(VLOOKUP(MB25_VOLUMETRIA[[#This Row],[Reserva]],RES_AB[],14,FALSE),"")</f>
        <v>RESERVAS PENDENTES</v>
      </c>
      <c r="N1617" s="32" t="str">
        <f>IF(MB25_VOLUMETRIA[[#This Row],[Cen.]]="","",IFERROR(VLOOKUP(MB25_VOLUMETRIA[[#This Row],[Cen.]],Dados_Empresas[],2,FALSE),"Verificar empresa"))</f>
        <v>NET MASSIVO</v>
      </c>
      <c r="O1617" s="32" t="str">
        <f>IF(MB25_VOLUMETRIA[[#This Row],[EMPRESA]]="","",IF(OR(MB25_VOLUMETRIA[[#This Row],[EMPRESA]]="NET MASSIVO",MB25_VOLUMETRIA[[#This Row],[EMPRESA]]="NET PROJETOS"),"NET","EMPRESARIAL"))</f>
        <v>NET</v>
      </c>
    </row>
    <row r="1618" spans="1:15" x14ac:dyDescent="0.25">
      <c r="A1618" s="32">
        <v>4383914</v>
      </c>
      <c r="B1618" s="32" t="s">
        <v>21</v>
      </c>
      <c r="C1618" s="33" t="s">
        <v>21</v>
      </c>
      <c r="D1618" s="35">
        <v>45449</v>
      </c>
      <c r="E1618" s="32" t="s">
        <v>184</v>
      </c>
      <c r="F1618" s="32">
        <v>41001535</v>
      </c>
      <c r="G1618" s="32" t="s">
        <v>191</v>
      </c>
      <c r="H1618" s="26" t="s">
        <v>38</v>
      </c>
      <c r="I1618" s="36">
        <v>90</v>
      </c>
      <c r="J1618" s="32">
        <f>IF(MB25_VOLUMETRIA[[#This Row],[Reserva]]="","",1)</f>
        <v>1</v>
      </c>
      <c r="K1618" s="36" t="str">
        <f>IF(MB25_VOLUMETRIA[[#This Row],[Reserva]]="","",IFERROR(VLOOKUP(MB25_VOLUMETRIA[[#This Row],[UMB]],CHAVE[],2,FALSE),"VERIFICAR"))</f>
        <v>Unidade</v>
      </c>
      <c r="L16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8" s="32" t="str">
        <f ca="1">IFERROR(VLOOKUP(MB25_VOLUMETRIA[[#This Row],[Reserva]],RES_AB[],14,FALSE),"")</f>
        <v>RESERVAS PENDENTES</v>
      </c>
      <c r="N1618" s="32" t="str">
        <f>IF(MB25_VOLUMETRIA[[#This Row],[Cen.]]="","",IFERROR(VLOOKUP(MB25_VOLUMETRIA[[#This Row],[Cen.]],Dados_Empresas[],2,FALSE),"Verificar empresa"))</f>
        <v>NET MASSIVO</v>
      </c>
      <c r="O1618" s="32" t="str">
        <f>IF(MB25_VOLUMETRIA[[#This Row],[EMPRESA]]="","",IF(OR(MB25_VOLUMETRIA[[#This Row],[EMPRESA]]="NET MASSIVO",MB25_VOLUMETRIA[[#This Row],[EMPRESA]]="NET PROJETOS"),"NET","EMPRESARIAL"))</f>
        <v>NET</v>
      </c>
    </row>
    <row r="1619" spans="1:15" x14ac:dyDescent="0.25">
      <c r="A1619" s="32">
        <v>4383915</v>
      </c>
      <c r="B1619" s="32" t="s">
        <v>21</v>
      </c>
      <c r="C1619" s="33" t="s">
        <v>19</v>
      </c>
      <c r="D1619" s="35">
        <v>45449</v>
      </c>
      <c r="E1619" s="32" t="s">
        <v>185</v>
      </c>
      <c r="F1619" s="32">
        <v>22026279</v>
      </c>
      <c r="G1619" s="32" t="s">
        <v>350</v>
      </c>
      <c r="H1619" s="26" t="s">
        <v>38</v>
      </c>
      <c r="I1619" s="36">
        <v>310</v>
      </c>
      <c r="J1619" s="32">
        <f>IF(MB25_VOLUMETRIA[[#This Row],[Reserva]]="","",1)</f>
        <v>1</v>
      </c>
      <c r="K1619" s="36" t="str">
        <f>IF(MB25_VOLUMETRIA[[#This Row],[Reserva]]="","",IFERROR(VLOOKUP(MB25_VOLUMETRIA[[#This Row],[UMB]],CHAVE[],2,FALSE),"VERIFICAR"))</f>
        <v>Unidade</v>
      </c>
      <c r="L16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19" s="32" t="str">
        <f ca="1">IFERROR(VLOOKUP(MB25_VOLUMETRIA[[#This Row],[Reserva]],RES_AB[],14,FALSE),"")</f>
        <v>RESERVAS PENDENTES</v>
      </c>
      <c r="N1619" s="32" t="str">
        <f>IF(MB25_VOLUMETRIA[[#This Row],[Cen.]]="","",IFERROR(VLOOKUP(MB25_VOLUMETRIA[[#This Row],[Cen.]],Dados_Empresas[],2,FALSE),"Verificar empresa"))</f>
        <v>NET MASSIVO</v>
      </c>
      <c r="O1619" s="32" t="str">
        <f>IF(MB25_VOLUMETRIA[[#This Row],[EMPRESA]]="","",IF(OR(MB25_VOLUMETRIA[[#This Row],[EMPRESA]]="NET MASSIVO",MB25_VOLUMETRIA[[#This Row],[EMPRESA]]="NET PROJETOS"),"NET","EMPRESARIAL"))</f>
        <v>NET</v>
      </c>
    </row>
    <row r="1620" spans="1:15" x14ac:dyDescent="0.25">
      <c r="A1620" s="32">
        <v>4383916</v>
      </c>
      <c r="B1620" s="32" t="s">
        <v>21</v>
      </c>
      <c r="C1620" s="33" t="s">
        <v>19</v>
      </c>
      <c r="D1620" s="35">
        <v>45449</v>
      </c>
      <c r="E1620" s="32" t="s">
        <v>184</v>
      </c>
      <c r="F1620" s="32">
        <v>41001293</v>
      </c>
      <c r="G1620" s="32" t="s">
        <v>468</v>
      </c>
      <c r="H1620" s="26" t="s">
        <v>38</v>
      </c>
      <c r="I1620" s="36">
        <v>310</v>
      </c>
      <c r="J1620" s="32">
        <f>IF(MB25_VOLUMETRIA[[#This Row],[Reserva]]="","",1)</f>
        <v>1</v>
      </c>
      <c r="K1620" s="36" t="str">
        <f>IF(MB25_VOLUMETRIA[[#This Row],[Reserva]]="","",IFERROR(VLOOKUP(MB25_VOLUMETRIA[[#This Row],[UMB]],CHAVE[],2,FALSE),"VERIFICAR"))</f>
        <v>Unidade</v>
      </c>
      <c r="L16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0" s="32" t="str">
        <f ca="1">IFERROR(VLOOKUP(MB25_VOLUMETRIA[[#This Row],[Reserva]],RES_AB[],14,FALSE),"")</f>
        <v>RESERVAS PENDENTES</v>
      </c>
      <c r="N1620" s="32" t="str">
        <f>IF(MB25_VOLUMETRIA[[#This Row],[Cen.]]="","",IFERROR(VLOOKUP(MB25_VOLUMETRIA[[#This Row],[Cen.]],Dados_Empresas[],2,FALSE),"Verificar empresa"))</f>
        <v>NET MASSIVO</v>
      </c>
      <c r="O1620" s="32" t="str">
        <f>IF(MB25_VOLUMETRIA[[#This Row],[EMPRESA]]="","",IF(OR(MB25_VOLUMETRIA[[#This Row],[EMPRESA]]="NET MASSIVO",MB25_VOLUMETRIA[[#This Row],[EMPRESA]]="NET PROJETOS"),"NET","EMPRESARIAL"))</f>
        <v>NET</v>
      </c>
    </row>
    <row r="1621" spans="1:15" x14ac:dyDescent="0.25">
      <c r="A1621" s="32">
        <v>4383916</v>
      </c>
      <c r="B1621" s="32" t="s">
        <v>21</v>
      </c>
      <c r="C1621" s="33" t="s">
        <v>182</v>
      </c>
      <c r="D1621" s="35">
        <v>45449</v>
      </c>
      <c r="E1621" s="32" t="s">
        <v>184</v>
      </c>
      <c r="F1621" s="32">
        <v>41001530</v>
      </c>
      <c r="G1621" s="32" t="s">
        <v>319</v>
      </c>
      <c r="H1621" s="26" t="s">
        <v>38</v>
      </c>
      <c r="I1621" s="36">
        <v>100</v>
      </c>
      <c r="J1621" s="32">
        <f>IF(MB25_VOLUMETRIA[[#This Row],[Reserva]]="","",1)</f>
        <v>1</v>
      </c>
      <c r="K1621" s="36" t="str">
        <f>IF(MB25_VOLUMETRIA[[#This Row],[Reserva]]="","",IFERROR(VLOOKUP(MB25_VOLUMETRIA[[#This Row],[UMB]],CHAVE[],2,FALSE),"VERIFICAR"))</f>
        <v>Unidade</v>
      </c>
      <c r="L16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1" s="32" t="str">
        <f ca="1">IFERROR(VLOOKUP(MB25_VOLUMETRIA[[#This Row],[Reserva]],RES_AB[],14,FALSE),"")</f>
        <v>RESERVAS PENDENTES</v>
      </c>
      <c r="N1621" s="32" t="str">
        <f>IF(MB25_VOLUMETRIA[[#This Row],[Cen.]]="","",IFERROR(VLOOKUP(MB25_VOLUMETRIA[[#This Row],[Cen.]],Dados_Empresas[],2,FALSE),"Verificar empresa"))</f>
        <v>NET MASSIVO</v>
      </c>
      <c r="O1621" s="32" t="str">
        <f>IF(MB25_VOLUMETRIA[[#This Row],[EMPRESA]]="","",IF(OR(MB25_VOLUMETRIA[[#This Row],[EMPRESA]]="NET MASSIVO",MB25_VOLUMETRIA[[#This Row],[EMPRESA]]="NET PROJETOS"),"NET","EMPRESARIAL"))</f>
        <v>NET</v>
      </c>
    </row>
    <row r="1622" spans="1:15" x14ac:dyDescent="0.25">
      <c r="A1622" s="32">
        <v>4383918</v>
      </c>
      <c r="B1622" s="32" t="s">
        <v>21</v>
      </c>
      <c r="C1622" s="33" t="s">
        <v>19</v>
      </c>
      <c r="D1622" s="35">
        <v>45449</v>
      </c>
      <c r="E1622" s="32" t="s">
        <v>185</v>
      </c>
      <c r="F1622" s="32">
        <v>22026096</v>
      </c>
      <c r="G1622" s="32" t="s">
        <v>464</v>
      </c>
      <c r="H1622" s="26" t="s">
        <v>38</v>
      </c>
      <c r="I1622" s="36">
        <v>40</v>
      </c>
      <c r="J1622" s="32">
        <f>IF(MB25_VOLUMETRIA[[#This Row],[Reserva]]="","",1)</f>
        <v>1</v>
      </c>
      <c r="K1622" s="36" t="str">
        <f>IF(MB25_VOLUMETRIA[[#This Row],[Reserva]]="","",IFERROR(VLOOKUP(MB25_VOLUMETRIA[[#This Row],[UMB]],CHAVE[],2,FALSE),"VERIFICAR"))</f>
        <v>Unidade</v>
      </c>
      <c r="L16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2" s="32" t="str">
        <f ca="1">IFERROR(VLOOKUP(MB25_VOLUMETRIA[[#This Row],[Reserva]],RES_AB[],14,FALSE),"")</f>
        <v>RESERVAS PENDENTES</v>
      </c>
      <c r="N1622" s="32" t="str">
        <f>IF(MB25_VOLUMETRIA[[#This Row],[Cen.]]="","",IFERROR(VLOOKUP(MB25_VOLUMETRIA[[#This Row],[Cen.]],Dados_Empresas[],2,FALSE),"Verificar empresa"))</f>
        <v>NET MASSIVO</v>
      </c>
      <c r="O1622" s="32" t="str">
        <f>IF(MB25_VOLUMETRIA[[#This Row],[EMPRESA]]="","",IF(OR(MB25_VOLUMETRIA[[#This Row],[EMPRESA]]="NET MASSIVO",MB25_VOLUMETRIA[[#This Row],[EMPRESA]]="NET PROJETOS"),"NET","EMPRESARIAL"))</f>
        <v>NET</v>
      </c>
    </row>
    <row r="1623" spans="1:15" x14ac:dyDescent="0.25">
      <c r="A1623" s="32">
        <v>4383918</v>
      </c>
      <c r="B1623" s="32" t="s">
        <v>21</v>
      </c>
      <c r="C1623" s="33" t="s">
        <v>21</v>
      </c>
      <c r="D1623" s="35">
        <v>45449</v>
      </c>
      <c r="E1623" s="32" t="s">
        <v>185</v>
      </c>
      <c r="F1623" s="32">
        <v>22026219</v>
      </c>
      <c r="G1623" s="32" t="s">
        <v>221</v>
      </c>
      <c r="H1623" s="26" t="s">
        <v>38</v>
      </c>
      <c r="I1623" s="36">
        <v>7500</v>
      </c>
      <c r="J1623" s="32">
        <f>IF(MB25_VOLUMETRIA[[#This Row],[Reserva]]="","",1)</f>
        <v>1</v>
      </c>
      <c r="K1623" s="36" t="str">
        <f>IF(MB25_VOLUMETRIA[[#This Row],[Reserva]]="","",IFERROR(VLOOKUP(MB25_VOLUMETRIA[[#This Row],[UMB]],CHAVE[],2,FALSE),"VERIFICAR"))</f>
        <v>Unidade</v>
      </c>
      <c r="L16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3" s="32" t="str">
        <f ca="1">IFERROR(VLOOKUP(MB25_VOLUMETRIA[[#This Row],[Reserva]],RES_AB[],14,FALSE),"")</f>
        <v>RESERVAS PENDENTES</v>
      </c>
      <c r="N1623" s="32" t="str">
        <f>IF(MB25_VOLUMETRIA[[#This Row],[Cen.]]="","",IFERROR(VLOOKUP(MB25_VOLUMETRIA[[#This Row],[Cen.]],Dados_Empresas[],2,FALSE),"Verificar empresa"))</f>
        <v>NET MASSIVO</v>
      </c>
      <c r="O1623" s="32" t="str">
        <f>IF(MB25_VOLUMETRIA[[#This Row],[EMPRESA]]="","",IF(OR(MB25_VOLUMETRIA[[#This Row],[EMPRESA]]="NET MASSIVO",MB25_VOLUMETRIA[[#This Row],[EMPRESA]]="NET PROJETOS"),"NET","EMPRESARIAL"))</f>
        <v>NET</v>
      </c>
    </row>
    <row r="1624" spans="1:15" x14ac:dyDescent="0.25">
      <c r="A1624" s="32">
        <v>4383918</v>
      </c>
      <c r="B1624" s="32" t="s">
        <v>21</v>
      </c>
      <c r="C1624" s="33" t="s">
        <v>21</v>
      </c>
      <c r="D1624" s="35">
        <v>45449</v>
      </c>
      <c r="E1624" s="32" t="s">
        <v>185</v>
      </c>
      <c r="F1624" s="32">
        <v>22026223</v>
      </c>
      <c r="G1624" s="32" t="s">
        <v>195</v>
      </c>
      <c r="H1624" s="26" t="s">
        <v>38</v>
      </c>
      <c r="I1624" s="36">
        <v>4880</v>
      </c>
      <c r="J1624" s="32">
        <f>IF(MB25_VOLUMETRIA[[#This Row],[Reserva]]="","",1)</f>
        <v>1</v>
      </c>
      <c r="K1624" s="36" t="str">
        <f>IF(MB25_VOLUMETRIA[[#This Row],[Reserva]]="","",IFERROR(VLOOKUP(MB25_VOLUMETRIA[[#This Row],[UMB]],CHAVE[],2,FALSE),"VERIFICAR"))</f>
        <v>Unidade</v>
      </c>
      <c r="L16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4" s="32" t="str">
        <f ca="1">IFERROR(VLOOKUP(MB25_VOLUMETRIA[[#This Row],[Reserva]],RES_AB[],14,FALSE),"")</f>
        <v>RESERVAS PENDENTES</v>
      </c>
      <c r="N1624" s="32" t="str">
        <f>IF(MB25_VOLUMETRIA[[#This Row],[Cen.]]="","",IFERROR(VLOOKUP(MB25_VOLUMETRIA[[#This Row],[Cen.]],Dados_Empresas[],2,FALSE),"Verificar empresa"))</f>
        <v>NET MASSIVO</v>
      </c>
      <c r="O1624" s="32" t="str">
        <f>IF(MB25_VOLUMETRIA[[#This Row],[EMPRESA]]="","",IF(OR(MB25_VOLUMETRIA[[#This Row],[EMPRESA]]="NET MASSIVO",MB25_VOLUMETRIA[[#This Row],[EMPRESA]]="NET PROJETOS"),"NET","EMPRESARIAL"))</f>
        <v>NET</v>
      </c>
    </row>
    <row r="1625" spans="1:15" x14ac:dyDescent="0.25">
      <c r="A1625" s="32">
        <v>4383918</v>
      </c>
      <c r="B1625" s="32" t="s">
        <v>21</v>
      </c>
      <c r="C1625" s="33" t="s">
        <v>19</v>
      </c>
      <c r="D1625" s="35">
        <v>45449</v>
      </c>
      <c r="E1625" s="32" t="s">
        <v>185</v>
      </c>
      <c r="F1625" s="32">
        <v>22026293</v>
      </c>
      <c r="G1625" s="32" t="s">
        <v>352</v>
      </c>
      <c r="H1625" s="26" t="s">
        <v>38</v>
      </c>
      <c r="I1625" s="36">
        <v>50</v>
      </c>
      <c r="J1625" s="32">
        <f>IF(MB25_VOLUMETRIA[[#This Row],[Reserva]]="","",1)</f>
        <v>1</v>
      </c>
      <c r="K1625" s="36" t="str">
        <f>IF(MB25_VOLUMETRIA[[#This Row],[Reserva]]="","",IFERROR(VLOOKUP(MB25_VOLUMETRIA[[#This Row],[UMB]],CHAVE[],2,FALSE),"VERIFICAR"))</f>
        <v>Unidade</v>
      </c>
      <c r="L16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5" s="32" t="str">
        <f ca="1">IFERROR(VLOOKUP(MB25_VOLUMETRIA[[#This Row],[Reserva]],RES_AB[],14,FALSE),"")</f>
        <v>RESERVAS PENDENTES</v>
      </c>
      <c r="N1625" s="32" t="str">
        <f>IF(MB25_VOLUMETRIA[[#This Row],[Cen.]]="","",IFERROR(VLOOKUP(MB25_VOLUMETRIA[[#This Row],[Cen.]],Dados_Empresas[],2,FALSE),"Verificar empresa"))</f>
        <v>NET MASSIVO</v>
      </c>
      <c r="O1625" s="32" t="str">
        <f>IF(MB25_VOLUMETRIA[[#This Row],[EMPRESA]]="","",IF(OR(MB25_VOLUMETRIA[[#This Row],[EMPRESA]]="NET MASSIVO",MB25_VOLUMETRIA[[#This Row],[EMPRESA]]="NET PROJETOS"),"NET","EMPRESARIAL"))</f>
        <v>NET</v>
      </c>
    </row>
    <row r="1626" spans="1:15" x14ac:dyDescent="0.25">
      <c r="A1626" s="32">
        <v>4383918</v>
      </c>
      <c r="B1626" s="32" t="s">
        <v>21</v>
      </c>
      <c r="C1626" s="33" t="s">
        <v>21</v>
      </c>
      <c r="D1626" s="35">
        <v>45449</v>
      </c>
      <c r="E1626" s="32" t="s">
        <v>185</v>
      </c>
      <c r="F1626" s="32">
        <v>22026795</v>
      </c>
      <c r="G1626" s="32" t="s">
        <v>261</v>
      </c>
      <c r="H1626" s="26" t="s">
        <v>38</v>
      </c>
      <c r="I1626" s="36">
        <v>25</v>
      </c>
      <c r="J1626" s="32">
        <f>IF(MB25_VOLUMETRIA[[#This Row],[Reserva]]="","",1)</f>
        <v>1</v>
      </c>
      <c r="K1626" s="36" t="str">
        <f>IF(MB25_VOLUMETRIA[[#This Row],[Reserva]]="","",IFERROR(VLOOKUP(MB25_VOLUMETRIA[[#This Row],[UMB]],CHAVE[],2,FALSE),"VERIFICAR"))</f>
        <v>Unidade</v>
      </c>
      <c r="L16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6" s="32" t="str">
        <f ca="1">IFERROR(VLOOKUP(MB25_VOLUMETRIA[[#This Row],[Reserva]],RES_AB[],14,FALSE),"")</f>
        <v>RESERVAS PENDENTES</v>
      </c>
      <c r="N1626" s="32" t="str">
        <f>IF(MB25_VOLUMETRIA[[#This Row],[Cen.]]="","",IFERROR(VLOOKUP(MB25_VOLUMETRIA[[#This Row],[Cen.]],Dados_Empresas[],2,FALSE),"Verificar empresa"))</f>
        <v>NET MASSIVO</v>
      </c>
      <c r="O1626" s="32" t="str">
        <f>IF(MB25_VOLUMETRIA[[#This Row],[EMPRESA]]="","",IF(OR(MB25_VOLUMETRIA[[#This Row],[EMPRESA]]="NET MASSIVO",MB25_VOLUMETRIA[[#This Row],[EMPRESA]]="NET PROJETOS"),"NET","EMPRESARIAL"))</f>
        <v>NET</v>
      </c>
    </row>
    <row r="1627" spans="1:15" x14ac:dyDescent="0.25">
      <c r="A1627" s="32">
        <v>4383918</v>
      </c>
      <c r="B1627" s="32" t="s">
        <v>21</v>
      </c>
      <c r="C1627" s="33" t="s">
        <v>19</v>
      </c>
      <c r="D1627" s="35">
        <v>45449</v>
      </c>
      <c r="E1627" s="32" t="s">
        <v>185</v>
      </c>
      <c r="F1627" s="32">
        <v>22056339</v>
      </c>
      <c r="G1627" s="32" t="s">
        <v>243</v>
      </c>
      <c r="H1627" s="26" t="s">
        <v>38</v>
      </c>
      <c r="I1627" s="36">
        <v>100</v>
      </c>
      <c r="J1627" s="32">
        <f>IF(MB25_VOLUMETRIA[[#This Row],[Reserva]]="","",1)</f>
        <v>1</v>
      </c>
      <c r="K1627" s="36" t="str">
        <f>IF(MB25_VOLUMETRIA[[#This Row],[Reserva]]="","",IFERROR(VLOOKUP(MB25_VOLUMETRIA[[#This Row],[UMB]],CHAVE[],2,FALSE),"VERIFICAR"))</f>
        <v>Unidade</v>
      </c>
      <c r="L16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7" s="32" t="str">
        <f ca="1">IFERROR(VLOOKUP(MB25_VOLUMETRIA[[#This Row],[Reserva]],RES_AB[],14,FALSE),"")</f>
        <v>RESERVAS PENDENTES</v>
      </c>
      <c r="N1627" s="32" t="str">
        <f>IF(MB25_VOLUMETRIA[[#This Row],[Cen.]]="","",IFERROR(VLOOKUP(MB25_VOLUMETRIA[[#This Row],[Cen.]],Dados_Empresas[],2,FALSE),"Verificar empresa"))</f>
        <v>NET MASSIVO</v>
      </c>
      <c r="O1627" s="32" t="str">
        <f>IF(MB25_VOLUMETRIA[[#This Row],[EMPRESA]]="","",IF(OR(MB25_VOLUMETRIA[[#This Row],[EMPRESA]]="NET MASSIVO",MB25_VOLUMETRIA[[#This Row],[EMPRESA]]="NET PROJETOS"),"NET","EMPRESARIAL"))</f>
        <v>NET</v>
      </c>
    </row>
    <row r="1628" spans="1:15" x14ac:dyDescent="0.25">
      <c r="A1628" s="32">
        <v>4383918</v>
      </c>
      <c r="B1628" s="32" t="s">
        <v>21</v>
      </c>
      <c r="C1628" s="33" t="s">
        <v>21</v>
      </c>
      <c r="D1628" s="35">
        <v>45449</v>
      </c>
      <c r="E1628" s="32" t="s">
        <v>185</v>
      </c>
      <c r="F1628" s="32">
        <v>22060422</v>
      </c>
      <c r="G1628" s="32" t="s">
        <v>298</v>
      </c>
      <c r="H1628" s="26" t="s">
        <v>38</v>
      </c>
      <c r="I1628" s="36">
        <v>50</v>
      </c>
      <c r="J1628" s="32">
        <f>IF(MB25_VOLUMETRIA[[#This Row],[Reserva]]="","",1)</f>
        <v>1</v>
      </c>
      <c r="K1628" s="36" t="str">
        <f>IF(MB25_VOLUMETRIA[[#This Row],[Reserva]]="","",IFERROR(VLOOKUP(MB25_VOLUMETRIA[[#This Row],[UMB]],CHAVE[],2,FALSE),"VERIFICAR"))</f>
        <v>Unidade</v>
      </c>
      <c r="L16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8" s="32" t="str">
        <f ca="1">IFERROR(VLOOKUP(MB25_VOLUMETRIA[[#This Row],[Reserva]],RES_AB[],14,FALSE),"")</f>
        <v>RESERVAS PENDENTES</v>
      </c>
      <c r="N1628" s="32" t="str">
        <f>IF(MB25_VOLUMETRIA[[#This Row],[Cen.]]="","",IFERROR(VLOOKUP(MB25_VOLUMETRIA[[#This Row],[Cen.]],Dados_Empresas[],2,FALSE),"Verificar empresa"))</f>
        <v>NET MASSIVO</v>
      </c>
      <c r="O1628" s="32" t="str">
        <f>IF(MB25_VOLUMETRIA[[#This Row],[EMPRESA]]="","",IF(OR(MB25_VOLUMETRIA[[#This Row],[EMPRESA]]="NET MASSIVO",MB25_VOLUMETRIA[[#This Row],[EMPRESA]]="NET PROJETOS"),"NET","EMPRESARIAL"))</f>
        <v>NET</v>
      </c>
    </row>
    <row r="1629" spans="1:15" x14ac:dyDescent="0.25">
      <c r="A1629" s="32">
        <v>4383918</v>
      </c>
      <c r="B1629" s="32" t="s">
        <v>21</v>
      </c>
      <c r="C1629" s="33" t="s">
        <v>19</v>
      </c>
      <c r="D1629" s="35">
        <v>45449</v>
      </c>
      <c r="E1629" s="32" t="s">
        <v>185</v>
      </c>
      <c r="F1629" s="32">
        <v>22062556</v>
      </c>
      <c r="G1629" s="32" t="s">
        <v>470</v>
      </c>
      <c r="H1629" s="26" t="s">
        <v>38</v>
      </c>
      <c r="I1629" s="36">
        <v>40</v>
      </c>
      <c r="J1629" s="32">
        <f>IF(MB25_VOLUMETRIA[[#This Row],[Reserva]]="","",1)</f>
        <v>1</v>
      </c>
      <c r="K1629" s="36" t="str">
        <f>IF(MB25_VOLUMETRIA[[#This Row],[Reserva]]="","",IFERROR(VLOOKUP(MB25_VOLUMETRIA[[#This Row],[UMB]],CHAVE[],2,FALSE),"VERIFICAR"))</f>
        <v>Unidade</v>
      </c>
      <c r="L16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29" s="32" t="str">
        <f ca="1">IFERROR(VLOOKUP(MB25_VOLUMETRIA[[#This Row],[Reserva]],RES_AB[],14,FALSE),"")</f>
        <v>RESERVAS PENDENTES</v>
      </c>
      <c r="N1629" s="32" t="str">
        <f>IF(MB25_VOLUMETRIA[[#This Row],[Cen.]]="","",IFERROR(VLOOKUP(MB25_VOLUMETRIA[[#This Row],[Cen.]],Dados_Empresas[],2,FALSE),"Verificar empresa"))</f>
        <v>NET MASSIVO</v>
      </c>
      <c r="O1629" s="32" t="str">
        <f>IF(MB25_VOLUMETRIA[[#This Row],[EMPRESA]]="","",IF(OR(MB25_VOLUMETRIA[[#This Row],[EMPRESA]]="NET MASSIVO",MB25_VOLUMETRIA[[#This Row],[EMPRESA]]="NET PROJETOS"),"NET","EMPRESARIAL"))</f>
        <v>NET</v>
      </c>
    </row>
    <row r="1630" spans="1:15" x14ac:dyDescent="0.25">
      <c r="A1630" s="32">
        <v>4383919</v>
      </c>
      <c r="B1630" s="32" t="s">
        <v>21</v>
      </c>
      <c r="C1630" s="33" t="s">
        <v>19</v>
      </c>
      <c r="D1630" s="35">
        <v>45449</v>
      </c>
      <c r="E1630" s="32" t="s">
        <v>184</v>
      </c>
      <c r="F1630" s="32">
        <v>41001234</v>
      </c>
      <c r="G1630" s="32" t="s">
        <v>189</v>
      </c>
      <c r="H1630" s="26" t="s">
        <v>38</v>
      </c>
      <c r="I1630" s="36">
        <v>50</v>
      </c>
      <c r="J1630" s="32">
        <f>IF(MB25_VOLUMETRIA[[#This Row],[Reserva]]="","",1)</f>
        <v>1</v>
      </c>
      <c r="K1630" s="36" t="str">
        <f>IF(MB25_VOLUMETRIA[[#This Row],[Reserva]]="","",IFERROR(VLOOKUP(MB25_VOLUMETRIA[[#This Row],[UMB]],CHAVE[],2,FALSE),"VERIFICAR"))</f>
        <v>Unidade</v>
      </c>
      <c r="L16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0" s="32" t="str">
        <f ca="1">IFERROR(VLOOKUP(MB25_VOLUMETRIA[[#This Row],[Reserva]],RES_AB[],14,FALSE),"")</f>
        <v>RESERVAS PENDENTES</v>
      </c>
      <c r="N1630" s="32" t="str">
        <f>IF(MB25_VOLUMETRIA[[#This Row],[Cen.]]="","",IFERROR(VLOOKUP(MB25_VOLUMETRIA[[#This Row],[Cen.]],Dados_Empresas[],2,FALSE),"Verificar empresa"))</f>
        <v>NET MASSIVO</v>
      </c>
      <c r="O1630" s="32" t="str">
        <f>IF(MB25_VOLUMETRIA[[#This Row],[EMPRESA]]="","",IF(OR(MB25_VOLUMETRIA[[#This Row],[EMPRESA]]="NET MASSIVO",MB25_VOLUMETRIA[[#This Row],[EMPRESA]]="NET PROJETOS"),"NET","EMPRESARIAL"))</f>
        <v>NET</v>
      </c>
    </row>
    <row r="1631" spans="1:15" x14ac:dyDescent="0.25">
      <c r="A1631" s="32">
        <v>4383919</v>
      </c>
      <c r="B1631" s="32" t="s">
        <v>21</v>
      </c>
      <c r="C1631" s="33" t="s">
        <v>19</v>
      </c>
      <c r="D1631" s="35">
        <v>45449</v>
      </c>
      <c r="E1631" s="32" t="s">
        <v>184</v>
      </c>
      <c r="F1631" s="32">
        <v>41001277</v>
      </c>
      <c r="G1631" s="32" t="s">
        <v>466</v>
      </c>
      <c r="H1631" s="26" t="s">
        <v>38</v>
      </c>
      <c r="I1631" s="36">
        <v>50</v>
      </c>
      <c r="J1631" s="32">
        <f>IF(MB25_VOLUMETRIA[[#This Row],[Reserva]]="","",1)</f>
        <v>1</v>
      </c>
      <c r="K1631" s="36" t="str">
        <f>IF(MB25_VOLUMETRIA[[#This Row],[Reserva]]="","",IFERROR(VLOOKUP(MB25_VOLUMETRIA[[#This Row],[UMB]],CHAVE[],2,FALSE),"VERIFICAR"))</f>
        <v>Unidade</v>
      </c>
      <c r="L16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1" s="32" t="str">
        <f ca="1">IFERROR(VLOOKUP(MB25_VOLUMETRIA[[#This Row],[Reserva]],RES_AB[],14,FALSE),"")</f>
        <v>RESERVAS PENDENTES</v>
      </c>
      <c r="N1631" s="32" t="str">
        <f>IF(MB25_VOLUMETRIA[[#This Row],[Cen.]]="","",IFERROR(VLOOKUP(MB25_VOLUMETRIA[[#This Row],[Cen.]],Dados_Empresas[],2,FALSE),"Verificar empresa"))</f>
        <v>NET MASSIVO</v>
      </c>
      <c r="O1631" s="32" t="str">
        <f>IF(MB25_VOLUMETRIA[[#This Row],[EMPRESA]]="","",IF(OR(MB25_VOLUMETRIA[[#This Row],[EMPRESA]]="NET MASSIVO",MB25_VOLUMETRIA[[#This Row],[EMPRESA]]="NET PROJETOS"),"NET","EMPRESARIAL"))</f>
        <v>NET</v>
      </c>
    </row>
    <row r="1632" spans="1:15" x14ac:dyDescent="0.25">
      <c r="A1632" s="32">
        <v>4383919</v>
      </c>
      <c r="B1632" s="32" t="s">
        <v>21</v>
      </c>
      <c r="C1632" s="33" t="s">
        <v>19</v>
      </c>
      <c r="D1632" s="35">
        <v>45449</v>
      </c>
      <c r="E1632" s="32" t="s">
        <v>184</v>
      </c>
      <c r="F1632" s="32">
        <v>41001481</v>
      </c>
      <c r="G1632" s="32" t="s">
        <v>403</v>
      </c>
      <c r="H1632" s="26" t="s">
        <v>38</v>
      </c>
      <c r="I1632" s="36">
        <v>40</v>
      </c>
      <c r="J1632" s="32">
        <f>IF(MB25_VOLUMETRIA[[#This Row],[Reserva]]="","",1)</f>
        <v>1</v>
      </c>
      <c r="K1632" s="36" t="str">
        <f>IF(MB25_VOLUMETRIA[[#This Row],[Reserva]]="","",IFERROR(VLOOKUP(MB25_VOLUMETRIA[[#This Row],[UMB]],CHAVE[],2,FALSE),"VERIFICAR"))</f>
        <v>Unidade</v>
      </c>
      <c r="L16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2" s="32" t="str">
        <f ca="1">IFERROR(VLOOKUP(MB25_VOLUMETRIA[[#This Row],[Reserva]],RES_AB[],14,FALSE),"")</f>
        <v>RESERVAS PENDENTES</v>
      </c>
      <c r="N1632" s="32" t="str">
        <f>IF(MB25_VOLUMETRIA[[#This Row],[Cen.]]="","",IFERROR(VLOOKUP(MB25_VOLUMETRIA[[#This Row],[Cen.]],Dados_Empresas[],2,FALSE),"Verificar empresa"))</f>
        <v>NET MASSIVO</v>
      </c>
      <c r="O1632" s="32" t="str">
        <f>IF(MB25_VOLUMETRIA[[#This Row],[EMPRESA]]="","",IF(OR(MB25_VOLUMETRIA[[#This Row],[EMPRESA]]="NET MASSIVO",MB25_VOLUMETRIA[[#This Row],[EMPRESA]]="NET PROJETOS"),"NET","EMPRESARIAL"))</f>
        <v>NET</v>
      </c>
    </row>
    <row r="1633" spans="1:15" x14ac:dyDescent="0.25">
      <c r="A1633" s="32">
        <v>4383919</v>
      </c>
      <c r="B1633" s="32" t="s">
        <v>21</v>
      </c>
      <c r="C1633" s="33" t="s">
        <v>182</v>
      </c>
      <c r="D1633" s="35">
        <v>45449</v>
      </c>
      <c r="E1633" s="32" t="s">
        <v>184</v>
      </c>
      <c r="F1633" s="32">
        <v>41001530</v>
      </c>
      <c r="G1633" s="32" t="s">
        <v>319</v>
      </c>
      <c r="H1633" s="26" t="s">
        <v>38</v>
      </c>
      <c r="I1633" s="36">
        <v>20</v>
      </c>
      <c r="J1633" s="32">
        <f>IF(MB25_VOLUMETRIA[[#This Row],[Reserva]]="","",1)</f>
        <v>1</v>
      </c>
      <c r="K1633" s="36" t="str">
        <f>IF(MB25_VOLUMETRIA[[#This Row],[Reserva]]="","",IFERROR(VLOOKUP(MB25_VOLUMETRIA[[#This Row],[UMB]],CHAVE[],2,FALSE),"VERIFICAR"))</f>
        <v>Unidade</v>
      </c>
      <c r="L16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3" s="32" t="str">
        <f ca="1">IFERROR(VLOOKUP(MB25_VOLUMETRIA[[#This Row],[Reserva]],RES_AB[],14,FALSE),"")</f>
        <v>RESERVAS PENDENTES</v>
      </c>
      <c r="N1633" s="32" t="str">
        <f>IF(MB25_VOLUMETRIA[[#This Row],[Cen.]]="","",IFERROR(VLOOKUP(MB25_VOLUMETRIA[[#This Row],[Cen.]],Dados_Empresas[],2,FALSE),"Verificar empresa"))</f>
        <v>NET MASSIVO</v>
      </c>
      <c r="O1633" s="32" t="str">
        <f>IF(MB25_VOLUMETRIA[[#This Row],[EMPRESA]]="","",IF(OR(MB25_VOLUMETRIA[[#This Row],[EMPRESA]]="NET MASSIVO",MB25_VOLUMETRIA[[#This Row],[EMPRESA]]="NET PROJETOS"),"NET","EMPRESARIAL"))</f>
        <v>NET</v>
      </c>
    </row>
    <row r="1634" spans="1:15" x14ac:dyDescent="0.25">
      <c r="A1634" s="32">
        <v>4383919</v>
      </c>
      <c r="B1634" s="32" t="s">
        <v>21</v>
      </c>
      <c r="C1634" s="33" t="s">
        <v>21</v>
      </c>
      <c r="D1634" s="35">
        <v>45449</v>
      </c>
      <c r="E1634" s="32" t="s">
        <v>184</v>
      </c>
      <c r="F1634" s="32">
        <v>41001535</v>
      </c>
      <c r="G1634" s="32" t="s">
        <v>191</v>
      </c>
      <c r="H1634" s="26" t="s">
        <v>38</v>
      </c>
      <c r="I1634" s="36">
        <v>20</v>
      </c>
      <c r="J1634" s="32">
        <f>IF(MB25_VOLUMETRIA[[#This Row],[Reserva]]="","",1)</f>
        <v>1</v>
      </c>
      <c r="K1634" s="36" t="str">
        <f>IF(MB25_VOLUMETRIA[[#This Row],[Reserva]]="","",IFERROR(VLOOKUP(MB25_VOLUMETRIA[[#This Row],[UMB]],CHAVE[],2,FALSE),"VERIFICAR"))</f>
        <v>Unidade</v>
      </c>
      <c r="L16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4" s="32" t="str">
        <f ca="1">IFERROR(VLOOKUP(MB25_VOLUMETRIA[[#This Row],[Reserva]],RES_AB[],14,FALSE),"")</f>
        <v>RESERVAS PENDENTES</v>
      </c>
      <c r="N1634" s="32" t="str">
        <f>IF(MB25_VOLUMETRIA[[#This Row],[Cen.]]="","",IFERROR(VLOOKUP(MB25_VOLUMETRIA[[#This Row],[Cen.]],Dados_Empresas[],2,FALSE),"Verificar empresa"))</f>
        <v>NET MASSIVO</v>
      </c>
      <c r="O1634" s="32" t="str">
        <f>IF(MB25_VOLUMETRIA[[#This Row],[EMPRESA]]="","",IF(OR(MB25_VOLUMETRIA[[#This Row],[EMPRESA]]="NET MASSIVO",MB25_VOLUMETRIA[[#This Row],[EMPRESA]]="NET PROJETOS"),"NET","EMPRESARIAL"))</f>
        <v>NET</v>
      </c>
    </row>
    <row r="1635" spans="1:15" x14ac:dyDescent="0.25">
      <c r="A1635" s="32">
        <v>4383919</v>
      </c>
      <c r="B1635" s="32" t="s">
        <v>21</v>
      </c>
      <c r="C1635" s="33" t="s">
        <v>21</v>
      </c>
      <c r="D1635" s="35">
        <v>45449</v>
      </c>
      <c r="E1635" s="32" t="s">
        <v>184</v>
      </c>
      <c r="F1635" s="32">
        <v>41001553</v>
      </c>
      <c r="G1635" s="32" t="s">
        <v>295</v>
      </c>
      <c r="H1635" s="26" t="s">
        <v>38</v>
      </c>
      <c r="I1635" s="36">
        <v>20</v>
      </c>
      <c r="J1635" s="32">
        <f>IF(MB25_VOLUMETRIA[[#This Row],[Reserva]]="","",1)</f>
        <v>1</v>
      </c>
      <c r="K1635" s="36" t="str">
        <f>IF(MB25_VOLUMETRIA[[#This Row],[Reserva]]="","",IFERROR(VLOOKUP(MB25_VOLUMETRIA[[#This Row],[UMB]],CHAVE[],2,FALSE),"VERIFICAR"))</f>
        <v>Unidade</v>
      </c>
      <c r="L16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5" s="32" t="str">
        <f ca="1">IFERROR(VLOOKUP(MB25_VOLUMETRIA[[#This Row],[Reserva]],RES_AB[],14,FALSE),"")</f>
        <v>RESERVAS PENDENTES</v>
      </c>
      <c r="N1635" s="32" t="str">
        <f>IF(MB25_VOLUMETRIA[[#This Row],[Cen.]]="","",IFERROR(VLOOKUP(MB25_VOLUMETRIA[[#This Row],[Cen.]],Dados_Empresas[],2,FALSE),"Verificar empresa"))</f>
        <v>NET MASSIVO</v>
      </c>
      <c r="O1635" s="32" t="str">
        <f>IF(MB25_VOLUMETRIA[[#This Row],[EMPRESA]]="","",IF(OR(MB25_VOLUMETRIA[[#This Row],[EMPRESA]]="NET MASSIVO",MB25_VOLUMETRIA[[#This Row],[EMPRESA]]="NET PROJETOS"),"NET","EMPRESARIAL"))</f>
        <v>NET</v>
      </c>
    </row>
    <row r="1636" spans="1:15" x14ac:dyDescent="0.25">
      <c r="A1636" s="32">
        <v>4383920</v>
      </c>
      <c r="B1636" s="32" t="s">
        <v>21</v>
      </c>
      <c r="C1636" s="33" t="s">
        <v>21</v>
      </c>
      <c r="D1636" s="35">
        <v>45449</v>
      </c>
      <c r="E1636" s="32" t="s">
        <v>185</v>
      </c>
      <c r="F1636" s="32">
        <v>22062577</v>
      </c>
      <c r="G1636" s="32" t="s">
        <v>467</v>
      </c>
      <c r="H1636" s="26" t="s">
        <v>38</v>
      </c>
      <c r="I1636" s="36">
        <v>240</v>
      </c>
      <c r="J1636" s="32">
        <f>IF(MB25_VOLUMETRIA[[#This Row],[Reserva]]="","",1)</f>
        <v>1</v>
      </c>
      <c r="K1636" s="36" t="str">
        <f>IF(MB25_VOLUMETRIA[[#This Row],[Reserva]]="","",IFERROR(VLOOKUP(MB25_VOLUMETRIA[[#This Row],[UMB]],CHAVE[],2,FALSE),"VERIFICAR"))</f>
        <v>Unidade</v>
      </c>
      <c r="L16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6" s="32" t="str">
        <f ca="1">IFERROR(VLOOKUP(MB25_VOLUMETRIA[[#This Row],[Reserva]],RES_AB[],14,FALSE),"")</f>
        <v>RESERVAS PENDENTES</v>
      </c>
      <c r="N1636" s="32" t="str">
        <f>IF(MB25_VOLUMETRIA[[#This Row],[Cen.]]="","",IFERROR(VLOOKUP(MB25_VOLUMETRIA[[#This Row],[Cen.]],Dados_Empresas[],2,FALSE),"Verificar empresa"))</f>
        <v>NET MASSIVO</v>
      </c>
      <c r="O1636" s="32" t="str">
        <f>IF(MB25_VOLUMETRIA[[#This Row],[EMPRESA]]="","",IF(OR(MB25_VOLUMETRIA[[#This Row],[EMPRESA]]="NET MASSIVO",MB25_VOLUMETRIA[[#This Row],[EMPRESA]]="NET PROJETOS"),"NET","EMPRESARIAL"))</f>
        <v>NET</v>
      </c>
    </row>
    <row r="1637" spans="1:15" x14ac:dyDescent="0.25">
      <c r="A1637" s="32">
        <v>4383921</v>
      </c>
      <c r="B1637" s="32" t="s">
        <v>21</v>
      </c>
      <c r="C1637" s="33" t="s">
        <v>19</v>
      </c>
      <c r="D1637" s="35">
        <v>45449</v>
      </c>
      <c r="E1637" s="32" t="s">
        <v>184</v>
      </c>
      <c r="F1637" s="32">
        <v>41001234</v>
      </c>
      <c r="G1637" s="32" t="s">
        <v>189</v>
      </c>
      <c r="H1637" s="26" t="s">
        <v>38</v>
      </c>
      <c r="I1637" s="36">
        <v>30</v>
      </c>
      <c r="J1637" s="32">
        <f>IF(MB25_VOLUMETRIA[[#This Row],[Reserva]]="","",1)</f>
        <v>1</v>
      </c>
      <c r="K1637" s="36" t="str">
        <f>IF(MB25_VOLUMETRIA[[#This Row],[Reserva]]="","",IFERROR(VLOOKUP(MB25_VOLUMETRIA[[#This Row],[UMB]],CHAVE[],2,FALSE),"VERIFICAR"))</f>
        <v>Unidade</v>
      </c>
      <c r="L16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7" s="32" t="str">
        <f ca="1">IFERROR(VLOOKUP(MB25_VOLUMETRIA[[#This Row],[Reserva]],RES_AB[],14,FALSE),"")</f>
        <v>RESERVAS PENDENTES</v>
      </c>
      <c r="N1637" s="32" t="str">
        <f>IF(MB25_VOLUMETRIA[[#This Row],[Cen.]]="","",IFERROR(VLOOKUP(MB25_VOLUMETRIA[[#This Row],[Cen.]],Dados_Empresas[],2,FALSE),"Verificar empresa"))</f>
        <v>NET MASSIVO</v>
      </c>
      <c r="O1637" s="32" t="str">
        <f>IF(MB25_VOLUMETRIA[[#This Row],[EMPRESA]]="","",IF(OR(MB25_VOLUMETRIA[[#This Row],[EMPRESA]]="NET MASSIVO",MB25_VOLUMETRIA[[#This Row],[EMPRESA]]="NET PROJETOS"),"NET","EMPRESARIAL"))</f>
        <v>NET</v>
      </c>
    </row>
    <row r="1638" spans="1:15" x14ac:dyDescent="0.25">
      <c r="A1638" s="32">
        <v>4383921</v>
      </c>
      <c r="B1638" s="32" t="s">
        <v>21</v>
      </c>
      <c r="C1638" s="33" t="s">
        <v>19</v>
      </c>
      <c r="D1638" s="35">
        <v>45449</v>
      </c>
      <c r="E1638" s="32" t="s">
        <v>184</v>
      </c>
      <c r="F1638" s="32">
        <v>41001277</v>
      </c>
      <c r="G1638" s="32" t="s">
        <v>466</v>
      </c>
      <c r="H1638" s="26" t="s">
        <v>38</v>
      </c>
      <c r="I1638" s="36">
        <v>30</v>
      </c>
      <c r="J1638" s="32">
        <f>IF(MB25_VOLUMETRIA[[#This Row],[Reserva]]="","",1)</f>
        <v>1</v>
      </c>
      <c r="K1638" s="36" t="str">
        <f>IF(MB25_VOLUMETRIA[[#This Row],[Reserva]]="","",IFERROR(VLOOKUP(MB25_VOLUMETRIA[[#This Row],[UMB]],CHAVE[],2,FALSE),"VERIFICAR"))</f>
        <v>Unidade</v>
      </c>
      <c r="L16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8" s="32" t="str">
        <f ca="1">IFERROR(VLOOKUP(MB25_VOLUMETRIA[[#This Row],[Reserva]],RES_AB[],14,FALSE),"")</f>
        <v>RESERVAS PENDENTES</v>
      </c>
      <c r="N1638" s="32" t="str">
        <f>IF(MB25_VOLUMETRIA[[#This Row],[Cen.]]="","",IFERROR(VLOOKUP(MB25_VOLUMETRIA[[#This Row],[Cen.]],Dados_Empresas[],2,FALSE),"Verificar empresa"))</f>
        <v>NET MASSIVO</v>
      </c>
      <c r="O1638" s="32" t="str">
        <f>IF(MB25_VOLUMETRIA[[#This Row],[EMPRESA]]="","",IF(OR(MB25_VOLUMETRIA[[#This Row],[EMPRESA]]="NET MASSIVO",MB25_VOLUMETRIA[[#This Row],[EMPRESA]]="NET PROJETOS"),"NET","EMPRESARIAL"))</f>
        <v>NET</v>
      </c>
    </row>
    <row r="1639" spans="1:15" x14ac:dyDescent="0.25">
      <c r="A1639" s="32">
        <v>4383921</v>
      </c>
      <c r="B1639" s="32" t="s">
        <v>21</v>
      </c>
      <c r="C1639" s="33" t="s">
        <v>19</v>
      </c>
      <c r="D1639" s="35">
        <v>45449</v>
      </c>
      <c r="E1639" s="32" t="s">
        <v>184</v>
      </c>
      <c r="F1639" s="32">
        <v>41001485</v>
      </c>
      <c r="G1639" s="32" t="s">
        <v>469</v>
      </c>
      <c r="H1639" s="26" t="s">
        <v>38</v>
      </c>
      <c r="I1639" s="36">
        <v>240</v>
      </c>
      <c r="J1639" s="32">
        <f>IF(MB25_VOLUMETRIA[[#This Row],[Reserva]]="","",1)</f>
        <v>1</v>
      </c>
      <c r="K1639" s="36" t="str">
        <f>IF(MB25_VOLUMETRIA[[#This Row],[Reserva]]="","",IFERROR(VLOOKUP(MB25_VOLUMETRIA[[#This Row],[UMB]],CHAVE[],2,FALSE),"VERIFICAR"))</f>
        <v>Unidade</v>
      </c>
      <c r="L16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39" s="32" t="str">
        <f ca="1">IFERROR(VLOOKUP(MB25_VOLUMETRIA[[#This Row],[Reserva]],RES_AB[],14,FALSE),"")</f>
        <v>RESERVAS PENDENTES</v>
      </c>
      <c r="N1639" s="32" t="str">
        <f>IF(MB25_VOLUMETRIA[[#This Row],[Cen.]]="","",IFERROR(VLOOKUP(MB25_VOLUMETRIA[[#This Row],[Cen.]],Dados_Empresas[],2,FALSE),"Verificar empresa"))</f>
        <v>NET MASSIVO</v>
      </c>
      <c r="O1639" s="32" t="str">
        <f>IF(MB25_VOLUMETRIA[[#This Row],[EMPRESA]]="","",IF(OR(MB25_VOLUMETRIA[[#This Row],[EMPRESA]]="NET MASSIVO",MB25_VOLUMETRIA[[#This Row],[EMPRESA]]="NET PROJETOS"),"NET","EMPRESARIAL"))</f>
        <v>NET</v>
      </c>
    </row>
    <row r="1640" spans="1:15" x14ac:dyDescent="0.25">
      <c r="A1640" s="32">
        <v>4383922</v>
      </c>
      <c r="B1640" s="32" t="s">
        <v>21</v>
      </c>
      <c r="C1640" s="33" t="s">
        <v>19</v>
      </c>
      <c r="D1640" s="35">
        <v>45449</v>
      </c>
      <c r="E1640" s="32" t="s">
        <v>185</v>
      </c>
      <c r="F1640" s="32">
        <v>22026096</v>
      </c>
      <c r="G1640" s="32" t="s">
        <v>464</v>
      </c>
      <c r="H1640" s="26" t="s">
        <v>38</v>
      </c>
      <c r="I1640" s="36">
        <v>120</v>
      </c>
      <c r="J1640" s="32">
        <f>IF(MB25_VOLUMETRIA[[#This Row],[Reserva]]="","",1)</f>
        <v>1</v>
      </c>
      <c r="K1640" s="36" t="str">
        <f>IF(MB25_VOLUMETRIA[[#This Row],[Reserva]]="","",IFERROR(VLOOKUP(MB25_VOLUMETRIA[[#This Row],[UMB]],CHAVE[],2,FALSE),"VERIFICAR"))</f>
        <v>Unidade</v>
      </c>
      <c r="L16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0" s="32" t="str">
        <f ca="1">IFERROR(VLOOKUP(MB25_VOLUMETRIA[[#This Row],[Reserva]],RES_AB[],14,FALSE),"")</f>
        <v>RESERVAS PENDENTES</v>
      </c>
      <c r="N1640" s="32" t="str">
        <f>IF(MB25_VOLUMETRIA[[#This Row],[Cen.]]="","",IFERROR(VLOOKUP(MB25_VOLUMETRIA[[#This Row],[Cen.]],Dados_Empresas[],2,FALSE),"Verificar empresa"))</f>
        <v>NET MASSIVO</v>
      </c>
      <c r="O1640" s="32" t="str">
        <f>IF(MB25_VOLUMETRIA[[#This Row],[EMPRESA]]="","",IF(OR(MB25_VOLUMETRIA[[#This Row],[EMPRESA]]="NET MASSIVO",MB25_VOLUMETRIA[[#This Row],[EMPRESA]]="NET PROJETOS"),"NET","EMPRESARIAL"))</f>
        <v>NET</v>
      </c>
    </row>
    <row r="1641" spans="1:15" x14ac:dyDescent="0.25">
      <c r="A1641" s="32">
        <v>4383922</v>
      </c>
      <c r="B1641" s="32" t="s">
        <v>21</v>
      </c>
      <c r="C1641" s="33" t="s">
        <v>19</v>
      </c>
      <c r="D1641" s="35">
        <v>45449</v>
      </c>
      <c r="E1641" s="32" t="s">
        <v>185</v>
      </c>
      <c r="F1641" s="32">
        <v>22062556</v>
      </c>
      <c r="G1641" s="32" t="s">
        <v>470</v>
      </c>
      <c r="H1641" s="26" t="s">
        <v>38</v>
      </c>
      <c r="I1641" s="36">
        <v>120</v>
      </c>
      <c r="J1641" s="32">
        <f>IF(MB25_VOLUMETRIA[[#This Row],[Reserva]]="","",1)</f>
        <v>1</v>
      </c>
      <c r="K1641" s="36" t="str">
        <f>IF(MB25_VOLUMETRIA[[#This Row],[Reserva]]="","",IFERROR(VLOOKUP(MB25_VOLUMETRIA[[#This Row],[UMB]],CHAVE[],2,FALSE),"VERIFICAR"))</f>
        <v>Unidade</v>
      </c>
      <c r="L16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1" s="32" t="str">
        <f ca="1">IFERROR(VLOOKUP(MB25_VOLUMETRIA[[#This Row],[Reserva]],RES_AB[],14,FALSE),"")</f>
        <v>RESERVAS PENDENTES</v>
      </c>
      <c r="N1641" s="32" t="str">
        <f>IF(MB25_VOLUMETRIA[[#This Row],[Cen.]]="","",IFERROR(VLOOKUP(MB25_VOLUMETRIA[[#This Row],[Cen.]],Dados_Empresas[],2,FALSE),"Verificar empresa"))</f>
        <v>NET MASSIVO</v>
      </c>
      <c r="O1641" s="32" t="str">
        <f>IF(MB25_VOLUMETRIA[[#This Row],[EMPRESA]]="","",IF(OR(MB25_VOLUMETRIA[[#This Row],[EMPRESA]]="NET MASSIVO",MB25_VOLUMETRIA[[#This Row],[EMPRESA]]="NET PROJETOS"),"NET","EMPRESARIAL"))</f>
        <v>NET</v>
      </c>
    </row>
    <row r="1642" spans="1:15" x14ac:dyDescent="0.25">
      <c r="A1642" s="32">
        <v>4383923</v>
      </c>
      <c r="B1642" s="32" t="s">
        <v>21</v>
      </c>
      <c r="C1642" s="33" t="s">
        <v>19</v>
      </c>
      <c r="D1642" s="35">
        <v>45449</v>
      </c>
      <c r="E1642" s="32" t="s">
        <v>184</v>
      </c>
      <c r="F1642" s="32">
        <v>41001481</v>
      </c>
      <c r="G1642" s="32" t="s">
        <v>403</v>
      </c>
      <c r="H1642" s="26" t="s">
        <v>38</v>
      </c>
      <c r="I1642" s="36">
        <v>120</v>
      </c>
      <c r="J1642" s="32">
        <f>IF(MB25_VOLUMETRIA[[#This Row],[Reserva]]="","",1)</f>
        <v>1</v>
      </c>
      <c r="K1642" s="36" t="str">
        <f>IF(MB25_VOLUMETRIA[[#This Row],[Reserva]]="","",IFERROR(VLOOKUP(MB25_VOLUMETRIA[[#This Row],[UMB]],CHAVE[],2,FALSE),"VERIFICAR"))</f>
        <v>Unidade</v>
      </c>
      <c r="L16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2" s="32" t="str">
        <f ca="1">IFERROR(VLOOKUP(MB25_VOLUMETRIA[[#This Row],[Reserva]],RES_AB[],14,FALSE),"")</f>
        <v>RESERVAS PENDENTES</v>
      </c>
      <c r="N1642" s="32" t="str">
        <f>IF(MB25_VOLUMETRIA[[#This Row],[Cen.]]="","",IFERROR(VLOOKUP(MB25_VOLUMETRIA[[#This Row],[Cen.]],Dados_Empresas[],2,FALSE),"Verificar empresa"))</f>
        <v>NET MASSIVO</v>
      </c>
      <c r="O1642" s="32" t="str">
        <f>IF(MB25_VOLUMETRIA[[#This Row],[EMPRESA]]="","",IF(OR(MB25_VOLUMETRIA[[#This Row],[EMPRESA]]="NET MASSIVO",MB25_VOLUMETRIA[[#This Row],[EMPRESA]]="NET PROJETOS"),"NET","EMPRESARIAL"))</f>
        <v>NET</v>
      </c>
    </row>
    <row r="1643" spans="1:15" x14ac:dyDescent="0.25">
      <c r="A1643" s="32">
        <v>4383923</v>
      </c>
      <c r="B1643" s="32" t="s">
        <v>21</v>
      </c>
      <c r="C1643" s="33" t="s">
        <v>21</v>
      </c>
      <c r="D1643" s="35">
        <v>45449</v>
      </c>
      <c r="E1643" s="32" t="s">
        <v>184</v>
      </c>
      <c r="F1643" s="32">
        <v>41001535</v>
      </c>
      <c r="G1643" s="32" t="s">
        <v>191</v>
      </c>
      <c r="H1643" s="26" t="s">
        <v>38</v>
      </c>
      <c r="I1643" s="36">
        <v>20</v>
      </c>
      <c r="J1643" s="32">
        <f>IF(MB25_VOLUMETRIA[[#This Row],[Reserva]]="","",1)</f>
        <v>1</v>
      </c>
      <c r="K1643" s="36" t="str">
        <f>IF(MB25_VOLUMETRIA[[#This Row],[Reserva]]="","",IFERROR(VLOOKUP(MB25_VOLUMETRIA[[#This Row],[UMB]],CHAVE[],2,FALSE),"VERIFICAR"))</f>
        <v>Unidade</v>
      </c>
      <c r="L16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3" s="32" t="str">
        <f ca="1">IFERROR(VLOOKUP(MB25_VOLUMETRIA[[#This Row],[Reserva]],RES_AB[],14,FALSE),"")</f>
        <v>RESERVAS PENDENTES</v>
      </c>
      <c r="N1643" s="32" t="str">
        <f>IF(MB25_VOLUMETRIA[[#This Row],[Cen.]]="","",IFERROR(VLOOKUP(MB25_VOLUMETRIA[[#This Row],[Cen.]],Dados_Empresas[],2,FALSE),"Verificar empresa"))</f>
        <v>NET MASSIVO</v>
      </c>
      <c r="O1643" s="32" t="str">
        <f>IF(MB25_VOLUMETRIA[[#This Row],[EMPRESA]]="","",IF(OR(MB25_VOLUMETRIA[[#This Row],[EMPRESA]]="NET MASSIVO",MB25_VOLUMETRIA[[#This Row],[EMPRESA]]="NET PROJETOS"),"NET","EMPRESARIAL"))</f>
        <v>NET</v>
      </c>
    </row>
    <row r="1644" spans="1:15" x14ac:dyDescent="0.25">
      <c r="A1644" s="32">
        <v>4383924</v>
      </c>
      <c r="B1644" s="32" t="s">
        <v>21</v>
      </c>
      <c r="C1644" s="33" t="s">
        <v>21</v>
      </c>
      <c r="D1644" s="35">
        <v>45449</v>
      </c>
      <c r="E1644" s="32" t="s">
        <v>185</v>
      </c>
      <c r="F1644" s="32">
        <v>22025136</v>
      </c>
      <c r="G1644" s="32" t="s">
        <v>215</v>
      </c>
      <c r="H1644" s="26" t="s">
        <v>38</v>
      </c>
      <c r="I1644" s="36">
        <v>250</v>
      </c>
      <c r="J1644" s="32">
        <f>IF(MB25_VOLUMETRIA[[#This Row],[Reserva]]="","",1)</f>
        <v>1</v>
      </c>
      <c r="K1644" s="36" t="str">
        <f>IF(MB25_VOLUMETRIA[[#This Row],[Reserva]]="","",IFERROR(VLOOKUP(MB25_VOLUMETRIA[[#This Row],[UMB]],CHAVE[],2,FALSE),"VERIFICAR"))</f>
        <v>Unidade</v>
      </c>
      <c r="L16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4" s="32" t="str">
        <f ca="1">IFERROR(VLOOKUP(MB25_VOLUMETRIA[[#This Row],[Reserva]],RES_AB[],14,FALSE),"")</f>
        <v>RESERVAS PENDENTES</v>
      </c>
      <c r="N1644" s="32" t="str">
        <f>IF(MB25_VOLUMETRIA[[#This Row],[Cen.]]="","",IFERROR(VLOOKUP(MB25_VOLUMETRIA[[#This Row],[Cen.]],Dados_Empresas[],2,FALSE),"Verificar empresa"))</f>
        <v>NET MASSIVO</v>
      </c>
      <c r="O1644" s="32" t="str">
        <f>IF(MB25_VOLUMETRIA[[#This Row],[EMPRESA]]="","",IF(OR(MB25_VOLUMETRIA[[#This Row],[EMPRESA]]="NET MASSIVO",MB25_VOLUMETRIA[[#This Row],[EMPRESA]]="NET PROJETOS"),"NET","EMPRESARIAL"))</f>
        <v>NET</v>
      </c>
    </row>
    <row r="1645" spans="1:15" x14ac:dyDescent="0.25">
      <c r="A1645" s="32">
        <v>4383924</v>
      </c>
      <c r="B1645" s="32" t="s">
        <v>21</v>
      </c>
      <c r="C1645" s="33" t="s">
        <v>19</v>
      </c>
      <c r="D1645" s="35">
        <v>45449</v>
      </c>
      <c r="E1645" s="32" t="s">
        <v>185</v>
      </c>
      <c r="F1645" s="32">
        <v>22025242</v>
      </c>
      <c r="G1645" s="32" t="s">
        <v>329</v>
      </c>
      <c r="H1645" s="26" t="s">
        <v>38</v>
      </c>
      <c r="I1645" s="36">
        <v>100</v>
      </c>
      <c r="J1645" s="32">
        <f>IF(MB25_VOLUMETRIA[[#This Row],[Reserva]]="","",1)</f>
        <v>1</v>
      </c>
      <c r="K1645" s="36" t="str">
        <f>IF(MB25_VOLUMETRIA[[#This Row],[Reserva]]="","",IFERROR(VLOOKUP(MB25_VOLUMETRIA[[#This Row],[UMB]],CHAVE[],2,FALSE),"VERIFICAR"))</f>
        <v>Unidade</v>
      </c>
      <c r="L16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5" s="32" t="str">
        <f ca="1">IFERROR(VLOOKUP(MB25_VOLUMETRIA[[#This Row],[Reserva]],RES_AB[],14,FALSE),"")</f>
        <v>RESERVAS PENDENTES</v>
      </c>
      <c r="N1645" s="32" t="str">
        <f>IF(MB25_VOLUMETRIA[[#This Row],[Cen.]]="","",IFERROR(VLOOKUP(MB25_VOLUMETRIA[[#This Row],[Cen.]],Dados_Empresas[],2,FALSE),"Verificar empresa"))</f>
        <v>NET MASSIVO</v>
      </c>
      <c r="O1645" s="32" t="str">
        <f>IF(MB25_VOLUMETRIA[[#This Row],[EMPRESA]]="","",IF(OR(MB25_VOLUMETRIA[[#This Row],[EMPRESA]]="NET MASSIVO",MB25_VOLUMETRIA[[#This Row],[EMPRESA]]="NET PROJETOS"),"NET","EMPRESARIAL"))</f>
        <v>NET</v>
      </c>
    </row>
    <row r="1646" spans="1:15" x14ac:dyDescent="0.25">
      <c r="A1646" s="32">
        <v>4383924</v>
      </c>
      <c r="B1646" s="32" t="s">
        <v>21</v>
      </c>
      <c r="C1646" s="33" t="s">
        <v>19</v>
      </c>
      <c r="D1646" s="35">
        <v>45449</v>
      </c>
      <c r="E1646" s="32" t="s">
        <v>185</v>
      </c>
      <c r="F1646" s="32">
        <v>22026096</v>
      </c>
      <c r="G1646" s="32" t="s">
        <v>464</v>
      </c>
      <c r="H1646" s="26" t="s">
        <v>38</v>
      </c>
      <c r="I1646" s="36">
        <v>250</v>
      </c>
      <c r="J1646" s="32">
        <f>IF(MB25_VOLUMETRIA[[#This Row],[Reserva]]="","",1)</f>
        <v>1</v>
      </c>
      <c r="K1646" s="36" t="str">
        <f>IF(MB25_VOLUMETRIA[[#This Row],[Reserva]]="","",IFERROR(VLOOKUP(MB25_VOLUMETRIA[[#This Row],[UMB]],CHAVE[],2,FALSE),"VERIFICAR"))</f>
        <v>Unidade</v>
      </c>
      <c r="L16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6" s="32" t="str">
        <f ca="1">IFERROR(VLOOKUP(MB25_VOLUMETRIA[[#This Row],[Reserva]],RES_AB[],14,FALSE),"")</f>
        <v>RESERVAS PENDENTES</v>
      </c>
      <c r="N1646" s="32" t="str">
        <f>IF(MB25_VOLUMETRIA[[#This Row],[Cen.]]="","",IFERROR(VLOOKUP(MB25_VOLUMETRIA[[#This Row],[Cen.]],Dados_Empresas[],2,FALSE),"Verificar empresa"))</f>
        <v>NET MASSIVO</v>
      </c>
      <c r="O1646" s="32" t="str">
        <f>IF(MB25_VOLUMETRIA[[#This Row],[EMPRESA]]="","",IF(OR(MB25_VOLUMETRIA[[#This Row],[EMPRESA]]="NET MASSIVO",MB25_VOLUMETRIA[[#This Row],[EMPRESA]]="NET PROJETOS"),"NET","EMPRESARIAL"))</f>
        <v>NET</v>
      </c>
    </row>
    <row r="1647" spans="1:15" x14ac:dyDescent="0.25">
      <c r="A1647" s="32">
        <v>4383924</v>
      </c>
      <c r="B1647" s="32" t="s">
        <v>21</v>
      </c>
      <c r="C1647" s="33" t="s">
        <v>21</v>
      </c>
      <c r="D1647" s="35">
        <v>45449</v>
      </c>
      <c r="E1647" s="32" t="s">
        <v>185</v>
      </c>
      <c r="F1647" s="32">
        <v>22026746</v>
      </c>
      <c r="G1647" s="32" t="s">
        <v>205</v>
      </c>
      <c r="H1647" s="26" t="s">
        <v>38</v>
      </c>
      <c r="I1647" s="36">
        <v>50</v>
      </c>
      <c r="J1647" s="32">
        <f>IF(MB25_VOLUMETRIA[[#This Row],[Reserva]]="","",1)</f>
        <v>1</v>
      </c>
      <c r="K1647" s="36" t="str">
        <f>IF(MB25_VOLUMETRIA[[#This Row],[Reserva]]="","",IFERROR(VLOOKUP(MB25_VOLUMETRIA[[#This Row],[UMB]],CHAVE[],2,FALSE),"VERIFICAR"))</f>
        <v>Unidade</v>
      </c>
      <c r="L16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7" s="32" t="str">
        <f ca="1">IFERROR(VLOOKUP(MB25_VOLUMETRIA[[#This Row],[Reserva]],RES_AB[],14,FALSE),"")</f>
        <v>RESERVAS PENDENTES</v>
      </c>
      <c r="N1647" s="32" t="str">
        <f>IF(MB25_VOLUMETRIA[[#This Row],[Cen.]]="","",IFERROR(VLOOKUP(MB25_VOLUMETRIA[[#This Row],[Cen.]],Dados_Empresas[],2,FALSE),"Verificar empresa"))</f>
        <v>NET MASSIVO</v>
      </c>
      <c r="O1647" s="32" t="str">
        <f>IF(MB25_VOLUMETRIA[[#This Row],[EMPRESA]]="","",IF(OR(MB25_VOLUMETRIA[[#This Row],[EMPRESA]]="NET MASSIVO",MB25_VOLUMETRIA[[#This Row],[EMPRESA]]="NET PROJETOS"),"NET","EMPRESARIAL"))</f>
        <v>NET</v>
      </c>
    </row>
    <row r="1648" spans="1:15" x14ac:dyDescent="0.25">
      <c r="A1648" s="32">
        <v>4383924</v>
      </c>
      <c r="B1648" s="32" t="s">
        <v>21</v>
      </c>
      <c r="C1648" s="33" t="s">
        <v>21</v>
      </c>
      <c r="D1648" s="35">
        <v>45449</v>
      </c>
      <c r="E1648" s="32" t="s">
        <v>185</v>
      </c>
      <c r="F1648" s="32">
        <v>22056343</v>
      </c>
      <c r="G1648" s="32" t="s">
        <v>234</v>
      </c>
      <c r="H1648" s="26" t="s">
        <v>38</v>
      </c>
      <c r="I1648" s="36">
        <v>200</v>
      </c>
      <c r="J1648" s="32">
        <f>IF(MB25_VOLUMETRIA[[#This Row],[Reserva]]="","",1)</f>
        <v>1</v>
      </c>
      <c r="K1648" s="36" t="str">
        <f>IF(MB25_VOLUMETRIA[[#This Row],[Reserva]]="","",IFERROR(VLOOKUP(MB25_VOLUMETRIA[[#This Row],[UMB]],CHAVE[],2,FALSE),"VERIFICAR"))</f>
        <v>Unidade</v>
      </c>
      <c r="L16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8" s="32" t="str">
        <f ca="1">IFERROR(VLOOKUP(MB25_VOLUMETRIA[[#This Row],[Reserva]],RES_AB[],14,FALSE),"")</f>
        <v>RESERVAS PENDENTES</v>
      </c>
      <c r="N1648" s="32" t="str">
        <f>IF(MB25_VOLUMETRIA[[#This Row],[Cen.]]="","",IFERROR(VLOOKUP(MB25_VOLUMETRIA[[#This Row],[Cen.]],Dados_Empresas[],2,FALSE),"Verificar empresa"))</f>
        <v>NET MASSIVO</v>
      </c>
      <c r="O1648" s="32" t="str">
        <f>IF(MB25_VOLUMETRIA[[#This Row],[EMPRESA]]="","",IF(OR(MB25_VOLUMETRIA[[#This Row],[EMPRESA]]="NET MASSIVO",MB25_VOLUMETRIA[[#This Row],[EMPRESA]]="NET PROJETOS"),"NET","EMPRESARIAL"))</f>
        <v>NET</v>
      </c>
    </row>
    <row r="1649" spans="1:15" x14ac:dyDescent="0.25">
      <c r="A1649" s="32">
        <v>4383924</v>
      </c>
      <c r="B1649" s="32" t="s">
        <v>21</v>
      </c>
      <c r="C1649" s="33" t="s">
        <v>21</v>
      </c>
      <c r="D1649" s="35">
        <v>45449</v>
      </c>
      <c r="E1649" s="32" t="s">
        <v>185</v>
      </c>
      <c r="F1649" s="32">
        <v>22056364</v>
      </c>
      <c r="G1649" s="32" t="s">
        <v>236</v>
      </c>
      <c r="H1649" s="26" t="s">
        <v>38</v>
      </c>
      <c r="I1649" s="36">
        <v>150</v>
      </c>
      <c r="J1649" s="32">
        <f>IF(MB25_VOLUMETRIA[[#This Row],[Reserva]]="","",1)</f>
        <v>1</v>
      </c>
      <c r="K1649" s="36" t="str">
        <f>IF(MB25_VOLUMETRIA[[#This Row],[Reserva]]="","",IFERROR(VLOOKUP(MB25_VOLUMETRIA[[#This Row],[UMB]],CHAVE[],2,FALSE),"VERIFICAR"))</f>
        <v>Unidade</v>
      </c>
      <c r="L16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49" s="32" t="str">
        <f ca="1">IFERROR(VLOOKUP(MB25_VOLUMETRIA[[#This Row],[Reserva]],RES_AB[],14,FALSE),"")</f>
        <v>RESERVAS PENDENTES</v>
      </c>
      <c r="N1649" s="32" t="str">
        <f>IF(MB25_VOLUMETRIA[[#This Row],[Cen.]]="","",IFERROR(VLOOKUP(MB25_VOLUMETRIA[[#This Row],[Cen.]],Dados_Empresas[],2,FALSE),"Verificar empresa"))</f>
        <v>NET MASSIVO</v>
      </c>
      <c r="O1649" s="32" t="str">
        <f>IF(MB25_VOLUMETRIA[[#This Row],[EMPRESA]]="","",IF(OR(MB25_VOLUMETRIA[[#This Row],[EMPRESA]]="NET MASSIVO",MB25_VOLUMETRIA[[#This Row],[EMPRESA]]="NET PROJETOS"),"NET","EMPRESARIAL"))</f>
        <v>NET</v>
      </c>
    </row>
    <row r="1650" spans="1:15" x14ac:dyDescent="0.25">
      <c r="A1650" s="32">
        <v>4383924</v>
      </c>
      <c r="B1650" s="32" t="s">
        <v>21</v>
      </c>
      <c r="C1650" s="33" t="s">
        <v>21</v>
      </c>
      <c r="D1650" s="35">
        <v>45449</v>
      </c>
      <c r="E1650" s="32" t="s">
        <v>185</v>
      </c>
      <c r="F1650" s="32">
        <v>22057635</v>
      </c>
      <c r="G1650" s="32" t="s">
        <v>223</v>
      </c>
      <c r="H1650" s="26" t="s">
        <v>38</v>
      </c>
      <c r="I1650" s="36">
        <v>300</v>
      </c>
      <c r="J1650" s="32">
        <f>IF(MB25_VOLUMETRIA[[#This Row],[Reserva]]="","",1)</f>
        <v>1</v>
      </c>
      <c r="K1650" s="36" t="str">
        <f>IF(MB25_VOLUMETRIA[[#This Row],[Reserva]]="","",IFERROR(VLOOKUP(MB25_VOLUMETRIA[[#This Row],[UMB]],CHAVE[],2,FALSE),"VERIFICAR"))</f>
        <v>Unidade</v>
      </c>
      <c r="L16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0" s="32" t="str">
        <f ca="1">IFERROR(VLOOKUP(MB25_VOLUMETRIA[[#This Row],[Reserva]],RES_AB[],14,FALSE),"")</f>
        <v>RESERVAS PENDENTES</v>
      </c>
      <c r="N1650" s="32" t="str">
        <f>IF(MB25_VOLUMETRIA[[#This Row],[Cen.]]="","",IFERROR(VLOOKUP(MB25_VOLUMETRIA[[#This Row],[Cen.]],Dados_Empresas[],2,FALSE),"Verificar empresa"))</f>
        <v>NET MASSIVO</v>
      </c>
      <c r="O1650" s="32" t="str">
        <f>IF(MB25_VOLUMETRIA[[#This Row],[EMPRESA]]="","",IF(OR(MB25_VOLUMETRIA[[#This Row],[EMPRESA]]="NET MASSIVO",MB25_VOLUMETRIA[[#This Row],[EMPRESA]]="NET PROJETOS"),"NET","EMPRESARIAL"))</f>
        <v>NET</v>
      </c>
    </row>
    <row r="1651" spans="1:15" x14ac:dyDescent="0.25">
      <c r="A1651" s="32">
        <v>4383924</v>
      </c>
      <c r="B1651" s="32" t="s">
        <v>21</v>
      </c>
      <c r="C1651" s="33" t="s">
        <v>19</v>
      </c>
      <c r="D1651" s="35">
        <v>45449</v>
      </c>
      <c r="E1651" s="32" t="s">
        <v>185</v>
      </c>
      <c r="F1651" s="32">
        <v>22058639</v>
      </c>
      <c r="G1651" s="32" t="s">
        <v>290</v>
      </c>
      <c r="H1651" s="26" t="s">
        <v>38</v>
      </c>
      <c r="I1651" s="36">
        <v>110</v>
      </c>
      <c r="J1651" s="32">
        <f>IF(MB25_VOLUMETRIA[[#This Row],[Reserva]]="","",1)</f>
        <v>1</v>
      </c>
      <c r="K1651" s="36" t="str">
        <f>IF(MB25_VOLUMETRIA[[#This Row],[Reserva]]="","",IFERROR(VLOOKUP(MB25_VOLUMETRIA[[#This Row],[UMB]],CHAVE[],2,FALSE),"VERIFICAR"))</f>
        <v>Unidade</v>
      </c>
      <c r="L16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1" s="32" t="str">
        <f ca="1">IFERROR(VLOOKUP(MB25_VOLUMETRIA[[#This Row],[Reserva]],RES_AB[],14,FALSE),"")</f>
        <v>RESERVAS PENDENTES</v>
      </c>
      <c r="N1651" s="32" t="str">
        <f>IF(MB25_VOLUMETRIA[[#This Row],[Cen.]]="","",IFERROR(VLOOKUP(MB25_VOLUMETRIA[[#This Row],[Cen.]],Dados_Empresas[],2,FALSE),"Verificar empresa"))</f>
        <v>NET MASSIVO</v>
      </c>
      <c r="O1651" s="32" t="str">
        <f>IF(MB25_VOLUMETRIA[[#This Row],[EMPRESA]]="","",IF(OR(MB25_VOLUMETRIA[[#This Row],[EMPRESA]]="NET MASSIVO",MB25_VOLUMETRIA[[#This Row],[EMPRESA]]="NET PROJETOS"),"NET","EMPRESARIAL"))</f>
        <v>NET</v>
      </c>
    </row>
    <row r="1652" spans="1:15" x14ac:dyDescent="0.25">
      <c r="A1652" s="32">
        <v>4383924</v>
      </c>
      <c r="B1652" s="32" t="s">
        <v>21</v>
      </c>
      <c r="C1652" s="33" t="s">
        <v>19</v>
      </c>
      <c r="D1652" s="35">
        <v>45449</v>
      </c>
      <c r="E1652" s="32" t="s">
        <v>185</v>
      </c>
      <c r="F1652" s="32">
        <v>22062556</v>
      </c>
      <c r="G1652" s="32" t="s">
        <v>470</v>
      </c>
      <c r="H1652" s="26" t="s">
        <v>38</v>
      </c>
      <c r="I1652" s="36">
        <v>250</v>
      </c>
      <c r="J1652" s="32">
        <f>IF(MB25_VOLUMETRIA[[#This Row],[Reserva]]="","",1)</f>
        <v>1</v>
      </c>
      <c r="K1652" s="36" t="str">
        <f>IF(MB25_VOLUMETRIA[[#This Row],[Reserva]]="","",IFERROR(VLOOKUP(MB25_VOLUMETRIA[[#This Row],[UMB]],CHAVE[],2,FALSE),"VERIFICAR"))</f>
        <v>Unidade</v>
      </c>
      <c r="L16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2" s="32" t="str">
        <f ca="1">IFERROR(VLOOKUP(MB25_VOLUMETRIA[[#This Row],[Reserva]],RES_AB[],14,FALSE),"")</f>
        <v>RESERVAS PENDENTES</v>
      </c>
      <c r="N1652" s="32" t="str">
        <f>IF(MB25_VOLUMETRIA[[#This Row],[Cen.]]="","",IFERROR(VLOOKUP(MB25_VOLUMETRIA[[#This Row],[Cen.]],Dados_Empresas[],2,FALSE),"Verificar empresa"))</f>
        <v>NET MASSIVO</v>
      </c>
      <c r="O1652" s="32" t="str">
        <f>IF(MB25_VOLUMETRIA[[#This Row],[EMPRESA]]="","",IF(OR(MB25_VOLUMETRIA[[#This Row],[EMPRESA]]="NET MASSIVO",MB25_VOLUMETRIA[[#This Row],[EMPRESA]]="NET PROJETOS"),"NET","EMPRESARIAL"))</f>
        <v>NET</v>
      </c>
    </row>
    <row r="1653" spans="1:15" x14ac:dyDescent="0.25">
      <c r="A1653" s="32">
        <v>4383925</v>
      </c>
      <c r="B1653" s="32" t="s">
        <v>21</v>
      </c>
      <c r="C1653" s="33" t="s">
        <v>19</v>
      </c>
      <c r="D1653" s="35">
        <v>45449</v>
      </c>
      <c r="E1653" s="32" t="s">
        <v>184</v>
      </c>
      <c r="F1653" s="32">
        <v>41001095</v>
      </c>
      <c r="G1653" s="32" t="s">
        <v>246</v>
      </c>
      <c r="H1653" s="26" t="s">
        <v>38</v>
      </c>
      <c r="I1653" s="36">
        <v>110</v>
      </c>
      <c r="J1653" s="32">
        <f>IF(MB25_VOLUMETRIA[[#This Row],[Reserva]]="","",1)</f>
        <v>1</v>
      </c>
      <c r="K1653" s="36" t="str">
        <f>IF(MB25_VOLUMETRIA[[#This Row],[Reserva]]="","",IFERROR(VLOOKUP(MB25_VOLUMETRIA[[#This Row],[UMB]],CHAVE[],2,FALSE),"VERIFICAR"))</f>
        <v>Unidade</v>
      </c>
      <c r="L16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3" s="32" t="str">
        <f ca="1">IFERROR(VLOOKUP(MB25_VOLUMETRIA[[#This Row],[Reserva]],RES_AB[],14,FALSE),"")</f>
        <v>RESERVAS PENDENTES</v>
      </c>
      <c r="N1653" s="32" t="str">
        <f>IF(MB25_VOLUMETRIA[[#This Row],[Cen.]]="","",IFERROR(VLOOKUP(MB25_VOLUMETRIA[[#This Row],[Cen.]],Dados_Empresas[],2,FALSE),"Verificar empresa"))</f>
        <v>NET MASSIVO</v>
      </c>
      <c r="O1653" s="32" t="str">
        <f>IF(MB25_VOLUMETRIA[[#This Row],[EMPRESA]]="","",IF(OR(MB25_VOLUMETRIA[[#This Row],[EMPRESA]]="NET MASSIVO",MB25_VOLUMETRIA[[#This Row],[EMPRESA]]="NET PROJETOS"),"NET","EMPRESARIAL"))</f>
        <v>NET</v>
      </c>
    </row>
    <row r="1654" spans="1:15" x14ac:dyDescent="0.25">
      <c r="A1654" s="32">
        <v>4383925</v>
      </c>
      <c r="B1654" s="32" t="s">
        <v>21</v>
      </c>
      <c r="C1654" s="33" t="s">
        <v>19</v>
      </c>
      <c r="D1654" s="35">
        <v>45449</v>
      </c>
      <c r="E1654" s="32" t="s">
        <v>184</v>
      </c>
      <c r="F1654" s="32">
        <v>41001481</v>
      </c>
      <c r="G1654" s="32" t="s">
        <v>403</v>
      </c>
      <c r="H1654" s="26" t="s">
        <v>38</v>
      </c>
      <c r="I1654" s="36">
        <v>250</v>
      </c>
      <c r="J1654" s="32">
        <f>IF(MB25_VOLUMETRIA[[#This Row],[Reserva]]="","",1)</f>
        <v>1</v>
      </c>
      <c r="K1654" s="36" t="str">
        <f>IF(MB25_VOLUMETRIA[[#This Row],[Reserva]]="","",IFERROR(VLOOKUP(MB25_VOLUMETRIA[[#This Row],[UMB]],CHAVE[],2,FALSE),"VERIFICAR"))</f>
        <v>Unidade</v>
      </c>
      <c r="L16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4" s="32" t="str">
        <f ca="1">IFERROR(VLOOKUP(MB25_VOLUMETRIA[[#This Row],[Reserva]],RES_AB[],14,FALSE),"")</f>
        <v>RESERVAS PENDENTES</v>
      </c>
      <c r="N1654" s="32" t="str">
        <f>IF(MB25_VOLUMETRIA[[#This Row],[Cen.]]="","",IFERROR(VLOOKUP(MB25_VOLUMETRIA[[#This Row],[Cen.]],Dados_Empresas[],2,FALSE),"Verificar empresa"))</f>
        <v>NET MASSIVO</v>
      </c>
      <c r="O1654" s="32" t="str">
        <f>IF(MB25_VOLUMETRIA[[#This Row],[EMPRESA]]="","",IF(OR(MB25_VOLUMETRIA[[#This Row],[EMPRESA]]="NET MASSIVO",MB25_VOLUMETRIA[[#This Row],[EMPRESA]]="NET PROJETOS"),"NET","EMPRESARIAL"))</f>
        <v>NET</v>
      </c>
    </row>
    <row r="1655" spans="1:15" x14ac:dyDescent="0.25">
      <c r="A1655" s="32">
        <v>4383925</v>
      </c>
      <c r="B1655" s="32" t="s">
        <v>21</v>
      </c>
      <c r="C1655" s="33" t="s">
        <v>21</v>
      </c>
      <c r="D1655" s="35">
        <v>45449</v>
      </c>
      <c r="E1655" s="32" t="s">
        <v>184</v>
      </c>
      <c r="F1655" s="32">
        <v>41001535</v>
      </c>
      <c r="G1655" s="32" t="s">
        <v>191</v>
      </c>
      <c r="H1655" s="26" t="s">
        <v>38</v>
      </c>
      <c r="I1655" s="36">
        <v>130</v>
      </c>
      <c r="J1655" s="32">
        <f>IF(MB25_VOLUMETRIA[[#This Row],[Reserva]]="","",1)</f>
        <v>1</v>
      </c>
      <c r="K1655" s="36" t="str">
        <f>IF(MB25_VOLUMETRIA[[#This Row],[Reserva]]="","",IFERROR(VLOOKUP(MB25_VOLUMETRIA[[#This Row],[UMB]],CHAVE[],2,FALSE),"VERIFICAR"))</f>
        <v>Unidade</v>
      </c>
      <c r="L16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5" s="32" t="str">
        <f ca="1">IFERROR(VLOOKUP(MB25_VOLUMETRIA[[#This Row],[Reserva]],RES_AB[],14,FALSE),"")</f>
        <v>RESERVAS PENDENTES</v>
      </c>
      <c r="N1655" s="32" t="str">
        <f>IF(MB25_VOLUMETRIA[[#This Row],[Cen.]]="","",IFERROR(VLOOKUP(MB25_VOLUMETRIA[[#This Row],[Cen.]],Dados_Empresas[],2,FALSE),"Verificar empresa"))</f>
        <v>NET MASSIVO</v>
      </c>
      <c r="O1655" s="32" t="str">
        <f>IF(MB25_VOLUMETRIA[[#This Row],[EMPRESA]]="","",IF(OR(MB25_VOLUMETRIA[[#This Row],[EMPRESA]]="NET MASSIVO",MB25_VOLUMETRIA[[#This Row],[EMPRESA]]="NET PROJETOS"),"NET","EMPRESARIAL"))</f>
        <v>NET</v>
      </c>
    </row>
    <row r="1656" spans="1:15" x14ac:dyDescent="0.25">
      <c r="A1656" s="32">
        <v>4383926</v>
      </c>
      <c r="B1656" s="32" t="s">
        <v>21</v>
      </c>
      <c r="C1656" s="33" t="s">
        <v>19</v>
      </c>
      <c r="D1656" s="35">
        <v>45449</v>
      </c>
      <c r="E1656" s="32" t="s">
        <v>185</v>
      </c>
      <c r="F1656" s="32">
        <v>22026293</v>
      </c>
      <c r="G1656" s="32" t="s">
        <v>352</v>
      </c>
      <c r="H1656" s="26" t="s">
        <v>38</v>
      </c>
      <c r="I1656" s="36">
        <v>30</v>
      </c>
      <c r="J1656" s="32">
        <f>IF(MB25_VOLUMETRIA[[#This Row],[Reserva]]="","",1)</f>
        <v>1</v>
      </c>
      <c r="K1656" s="36" t="str">
        <f>IF(MB25_VOLUMETRIA[[#This Row],[Reserva]]="","",IFERROR(VLOOKUP(MB25_VOLUMETRIA[[#This Row],[UMB]],CHAVE[],2,FALSE),"VERIFICAR"))</f>
        <v>Unidade</v>
      </c>
      <c r="L16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6" s="32" t="str">
        <f ca="1">IFERROR(VLOOKUP(MB25_VOLUMETRIA[[#This Row],[Reserva]],RES_AB[],14,FALSE),"")</f>
        <v>RESERVAS PENDENTES</v>
      </c>
      <c r="N1656" s="32" t="str">
        <f>IF(MB25_VOLUMETRIA[[#This Row],[Cen.]]="","",IFERROR(VLOOKUP(MB25_VOLUMETRIA[[#This Row],[Cen.]],Dados_Empresas[],2,FALSE),"Verificar empresa"))</f>
        <v>NET MASSIVO</v>
      </c>
      <c r="O1656" s="32" t="str">
        <f>IF(MB25_VOLUMETRIA[[#This Row],[EMPRESA]]="","",IF(OR(MB25_VOLUMETRIA[[#This Row],[EMPRESA]]="NET MASSIVO",MB25_VOLUMETRIA[[#This Row],[EMPRESA]]="NET PROJETOS"),"NET","EMPRESARIAL"))</f>
        <v>NET</v>
      </c>
    </row>
    <row r="1657" spans="1:15" x14ac:dyDescent="0.25">
      <c r="A1657" s="32">
        <v>4383926</v>
      </c>
      <c r="B1657" s="32" t="s">
        <v>21</v>
      </c>
      <c r="C1657" s="33" t="s">
        <v>21</v>
      </c>
      <c r="D1657" s="35">
        <v>45449</v>
      </c>
      <c r="E1657" s="32" t="s">
        <v>185</v>
      </c>
      <c r="F1657" s="32">
        <v>22060422</v>
      </c>
      <c r="G1657" s="32" t="s">
        <v>298</v>
      </c>
      <c r="H1657" s="26" t="s">
        <v>38</v>
      </c>
      <c r="I1657" s="36">
        <v>30</v>
      </c>
      <c r="J1657" s="32">
        <f>IF(MB25_VOLUMETRIA[[#This Row],[Reserva]]="","",1)</f>
        <v>1</v>
      </c>
      <c r="K1657" s="36" t="str">
        <f>IF(MB25_VOLUMETRIA[[#This Row],[Reserva]]="","",IFERROR(VLOOKUP(MB25_VOLUMETRIA[[#This Row],[UMB]],CHAVE[],2,FALSE),"VERIFICAR"))</f>
        <v>Unidade</v>
      </c>
      <c r="L16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7" s="32" t="str">
        <f ca="1">IFERROR(VLOOKUP(MB25_VOLUMETRIA[[#This Row],[Reserva]],RES_AB[],14,FALSE),"")</f>
        <v>RESERVAS PENDENTES</v>
      </c>
      <c r="N1657" s="32" t="str">
        <f>IF(MB25_VOLUMETRIA[[#This Row],[Cen.]]="","",IFERROR(VLOOKUP(MB25_VOLUMETRIA[[#This Row],[Cen.]],Dados_Empresas[],2,FALSE),"Verificar empresa"))</f>
        <v>NET MASSIVO</v>
      </c>
      <c r="O1657" s="32" t="str">
        <f>IF(MB25_VOLUMETRIA[[#This Row],[EMPRESA]]="","",IF(OR(MB25_VOLUMETRIA[[#This Row],[EMPRESA]]="NET MASSIVO",MB25_VOLUMETRIA[[#This Row],[EMPRESA]]="NET PROJETOS"),"NET","EMPRESARIAL"))</f>
        <v>NET</v>
      </c>
    </row>
    <row r="1658" spans="1:15" x14ac:dyDescent="0.25">
      <c r="A1658" s="32">
        <v>4383927</v>
      </c>
      <c r="B1658" s="32" t="s">
        <v>21</v>
      </c>
      <c r="C1658" s="33" t="s">
        <v>19</v>
      </c>
      <c r="D1658" s="35">
        <v>45449</v>
      </c>
      <c r="E1658" s="32" t="s">
        <v>184</v>
      </c>
      <c r="F1658" s="32">
        <v>41001234</v>
      </c>
      <c r="G1658" s="32" t="s">
        <v>189</v>
      </c>
      <c r="H1658" s="26" t="s">
        <v>38</v>
      </c>
      <c r="I1658" s="36">
        <v>30</v>
      </c>
      <c r="J1658" s="32">
        <f>IF(MB25_VOLUMETRIA[[#This Row],[Reserva]]="","",1)</f>
        <v>1</v>
      </c>
      <c r="K1658" s="36" t="str">
        <f>IF(MB25_VOLUMETRIA[[#This Row],[Reserva]]="","",IFERROR(VLOOKUP(MB25_VOLUMETRIA[[#This Row],[UMB]],CHAVE[],2,FALSE),"VERIFICAR"))</f>
        <v>Unidade</v>
      </c>
      <c r="L16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8" s="32" t="str">
        <f ca="1">IFERROR(VLOOKUP(MB25_VOLUMETRIA[[#This Row],[Reserva]],RES_AB[],14,FALSE),"")</f>
        <v>RESERVAS PENDENTES</v>
      </c>
      <c r="N1658" s="32" t="str">
        <f>IF(MB25_VOLUMETRIA[[#This Row],[Cen.]]="","",IFERROR(VLOOKUP(MB25_VOLUMETRIA[[#This Row],[Cen.]],Dados_Empresas[],2,FALSE),"Verificar empresa"))</f>
        <v>NET MASSIVO</v>
      </c>
      <c r="O1658" s="32" t="str">
        <f>IF(MB25_VOLUMETRIA[[#This Row],[EMPRESA]]="","",IF(OR(MB25_VOLUMETRIA[[#This Row],[EMPRESA]]="NET MASSIVO",MB25_VOLUMETRIA[[#This Row],[EMPRESA]]="NET PROJETOS"),"NET","EMPRESARIAL"))</f>
        <v>NET</v>
      </c>
    </row>
    <row r="1659" spans="1:15" x14ac:dyDescent="0.25">
      <c r="A1659" s="32">
        <v>4383927</v>
      </c>
      <c r="B1659" s="32" t="s">
        <v>21</v>
      </c>
      <c r="C1659" s="33" t="s">
        <v>19</v>
      </c>
      <c r="D1659" s="35">
        <v>45449</v>
      </c>
      <c r="E1659" s="32" t="s">
        <v>184</v>
      </c>
      <c r="F1659" s="32">
        <v>41001277</v>
      </c>
      <c r="G1659" s="32" t="s">
        <v>466</v>
      </c>
      <c r="H1659" s="26" t="s">
        <v>38</v>
      </c>
      <c r="I1659" s="36">
        <v>30</v>
      </c>
      <c r="J1659" s="32">
        <f>IF(MB25_VOLUMETRIA[[#This Row],[Reserva]]="","",1)</f>
        <v>1</v>
      </c>
      <c r="K1659" s="36" t="str">
        <f>IF(MB25_VOLUMETRIA[[#This Row],[Reserva]]="","",IFERROR(VLOOKUP(MB25_VOLUMETRIA[[#This Row],[UMB]],CHAVE[],2,FALSE),"VERIFICAR"))</f>
        <v>Unidade</v>
      </c>
      <c r="L16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59" s="32" t="str">
        <f ca="1">IFERROR(VLOOKUP(MB25_VOLUMETRIA[[#This Row],[Reserva]],RES_AB[],14,FALSE),"")</f>
        <v>RESERVAS PENDENTES</v>
      </c>
      <c r="N1659" s="32" t="str">
        <f>IF(MB25_VOLUMETRIA[[#This Row],[Cen.]]="","",IFERROR(VLOOKUP(MB25_VOLUMETRIA[[#This Row],[Cen.]],Dados_Empresas[],2,FALSE),"Verificar empresa"))</f>
        <v>NET MASSIVO</v>
      </c>
      <c r="O1659" s="32" t="str">
        <f>IF(MB25_VOLUMETRIA[[#This Row],[EMPRESA]]="","",IF(OR(MB25_VOLUMETRIA[[#This Row],[EMPRESA]]="NET MASSIVO",MB25_VOLUMETRIA[[#This Row],[EMPRESA]]="NET PROJETOS"),"NET","EMPRESARIAL"))</f>
        <v>NET</v>
      </c>
    </row>
    <row r="1660" spans="1:15" x14ac:dyDescent="0.25">
      <c r="A1660" s="32">
        <v>4383927</v>
      </c>
      <c r="B1660" s="32" t="s">
        <v>21</v>
      </c>
      <c r="C1660" s="33" t="s">
        <v>21</v>
      </c>
      <c r="D1660" s="35">
        <v>45449</v>
      </c>
      <c r="E1660" s="32" t="s">
        <v>184</v>
      </c>
      <c r="F1660" s="32">
        <v>41001535</v>
      </c>
      <c r="G1660" s="32" t="s">
        <v>191</v>
      </c>
      <c r="H1660" s="26" t="s">
        <v>38</v>
      </c>
      <c r="I1660" s="36">
        <v>100</v>
      </c>
      <c r="J1660" s="32">
        <f>IF(MB25_VOLUMETRIA[[#This Row],[Reserva]]="","",1)</f>
        <v>1</v>
      </c>
      <c r="K1660" s="36" t="str">
        <f>IF(MB25_VOLUMETRIA[[#This Row],[Reserva]]="","",IFERROR(VLOOKUP(MB25_VOLUMETRIA[[#This Row],[UMB]],CHAVE[],2,FALSE),"VERIFICAR"))</f>
        <v>Unidade</v>
      </c>
      <c r="L16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0" s="32" t="str">
        <f ca="1">IFERROR(VLOOKUP(MB25_VOLUMETRIA[[#This Row],[Reserva]],RES_AB[],14,FALSE),"")</f>
        <v>RESERVAS PENDENTES</v>
      </c>
      <c r="N1660" s="32" t="str">
        <f>IF(MB25_VOLUMETRIA[[#This Row],[Cen.]]="","",IFERROR(VLOOKUP(MB25_VOLUMETRIA[[#This Row],[Cen.]],Dados_Empresas[],2,FALSE),"Verificar empresa"))</f>
        <v>NET MASSIVO</v>
      </c>
      <c r="O1660" s="32" t="str">
        <f>IF(MB25_VOLUMETRIA[[#This Row],[EMPRESA]]="","",IF(OR(MB25_VOLUMETRIA[[#This Row],[EMPRESA]]="NET MASSIVO",MB25_VOLUMETRIA[[#This Row],[EMPRESA]]="NET PROJETOS"),"NET","EMPRESARIAL"))</f>
        <v>NET</v>
      </c>
    </row>
    <row r="1661" spans="1:15" x14ac:dyDescent="0.25">
      <c r="A1661" s="32">
        <v>4383928</v>
      </c>
      <c r="B1661" s="32" t="s">
        <v>21</v>
      </c>
      <c r="C1661" s="33" t="s">
        <v>19</v>
      </c>
      <c r="D1661" s="35">
        <v>45449</v>
      </c>
      <c r="E1661" s="32" t="s">
        <v>185</v>
      </c>
      <c r="F1661" s="32">
        <v>22026279</v>
      </c>
      <c r="G1661" s="32" t="s">
        <v>350</v>
      </c>
      <c r="H1661" s="26" t="s">
        <v>38</v>
      </c>
      <c r="I1661" s="36">
        <v>570</v>
      </c>
      <c r="J1661" s="32">
        <f>IF(MB25_VOLUMETRIA[[#This Row],[Reserva]]="","",1)</f>
        <v>1</v>
      </c>
      <c r="K1661" s="36" t="str">
        <f>IF(MB25_VOLUMETRIA[[#This Row],[Reserva]]="","",IFERROR(VLOOKUP(MB25_VOLUMETRIA[[#This Row],[UMB]],CHAVE[],2,FALSE),"VERIFICAR"))</f>
        <v>Unidade</v>
      </c>
      <c r="L16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1" s="32" t="str">
        <f ca="1">IFERROR(VLOOKUP(MB25_VOLUMETRIA[[#This Row],[Reserva]],RES_AB[],14,FALSE),"")</f>
        <v>RESERVAS PENDENTES</v>
      </c>
      <c r="N1661" s="32" t="str">
        <f>IF(MB25_VOLUMETRIA[[#This Row],[Cen.]]="","",IFERROR(VLOOKUP(MB25_VOLUMETRIA[[#This Row],[Cen.]],Dados_Empresas[],2,FALSE),"Verificar empresa"))</f>
        <v>NET MASSIVO</v>
      </c>
      <c r="O1661" s="32" t="str">
        <f>IF(MB25_VOLUMETRIA[[#This Row],[EMPRESA]]="","",IF(OR(MB25_VOLUMETRIA[[#This Row],[EMPRESA]]="NET MASSIVO",MB25_VOLUMETRIA[[#This Row],[EMPRESA]]="NET PROJETOS"),"NET","EMPRESARIAL"))</f>
        <v>NET</v>
      </c>
    </row>
    <row r="1662" spans="1:15" x14ac:dyDescent="0.25">
      <c r="A1662" s="32">
        <v>4383928</v>
      </c>
      <c r="B1662" s="32" t="s">
        <v>21</v>
      </c>
      <c r="C1662" s="33" t="s">
        <v>19</v>
      </c>
      <c r="D1662" s="35">
        <v>45449</v>
      </c>
      <c r="E1662" s="32" t="s">
        <v>185</v>
      </c>
      <c r="F1662" s="32">
        <v>22026293</v>
      </c>
      <c r="G1662" s="32" t="s">
        <v>352</v>
      </c>
      <c r="H1662" s="26" t="s">
        <v>38</v>
      </c>
      <c r="I1662" s="36">
        <v>60</v>
      </c>
      <c r="J1662" s="32">
        <f>IF(MB25_VOLUMETRIA[[#This Row],[Reserva]]="","",1)</f>
        <v>1</v>
      </c>
      <c r="K1662" s="36" t="str">
        <f>IF(MB25_VOLUMETRIA[[#This Row],[Reserva]]="","",IFERROR(VLOOKUP(MB25_VOLUMETRIA[[#This Row],[UMB]],CHAVE[],2,FALSE),"VERIFICAR"))</f>
        <v>Unidade</v>
      </c>
      <c r="L16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2" s="32" t="str">
        <f ca="1">IFERROR(VLOOKUP(MB25_VOLUMETRIA[[#This Row],[Reserva]],RES_AB[],14,FALSE),"")</f>
        <v>RESERVAS PENDENTES</v>
      </c>
      <c r="N1662" s="32" t="str">
        <f>IF(MB25_VOLUMETRIA[[#This Row],[Cen.]]="","",IFERROR(VLOOKUP(MB25_VOLUMETRIA[[#This Row],[Cen.]],Dados_Empresas[],2,FALSE),"Verificar empresa"))</f>
        <v>NET MASSIVO</v>
      </c>
      <c r="O1662" s="32" t="str">
        <f>IF(MB25_VOLUMETRIA[[#This Row],[EMPRESA]]="","",IF(OR(MB25_VOLUMETRIA[[#This Row],[EMPRESA]]="NET MASSIVO",MB25_VOLUMETRIA[[#This Row],[EMPRESA]]="NET PROJETOS"),"NET","EMPRESARIAL"))</f>
        <v>NET</v>
      </c>
    </row>
    <row r="1663" spans="1:15" x14ac:dyDescent="0.25">
      <c r="A1663" s="32">
        <v>4383928</v>
      </c>
      <c r="B1663" s="32" t="s">
        <v>21</v>
      </c>
      <c r="C1663" s="33" t="s">
        <v>21</v>
      </c>
      <c r="D1663" s="35">
        <v>45449</v>
      </c>
      <c r="E1663" s="32" t="s">
        <v>185</v>
      </c>
      <c r="F1663" s="32">
        <v>22060422</v>
      </c>
      <c r="G1663" s="32" t="s">
        <v>298</v>
      </c>
      <c r="H1663" s="26" t="s">
        <v>38</v>
      </c>
      <c r="I1663" s="36">
        <v>60</v>
      </c>
      <c r="J1663" s="32">
        <f>IF(MB25_VOLUMETRIA[[#This Row],[Reserva]]="","",1)</f>
        <v>1</v>
      </c>
      <c r="K1663" s="36" t="str">
        <f>IF(MB25_VOLUMETRIA[[#This Row],[Reserva]]="","",IFERROR(VLOOKUP(MB25_VOLUMETRIA[[#This Row],[UMB]],CHAVE[],2,FALSE),"VERIFICAR"))</f>
        <v>Unidade</v>
      </c>
      <c r="L16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3" s="32" t="str">
        <f ca="1">IFERROR(VLOOKUP(MB25_VOLUMETRIA[[#This Row],[Reserva]],RES_AB[],14,FALSE),"")</f>
        <v>RESERVAS PENDENTES</v>
      </c>
      <c r="N1663" s="32" t="str">
        <f>IF(MB25_VOLUMETRIA[[#This Row],[Cen.]]="","",IFERROR(VLOOKUP(MB25_VOLUMETRIA[[#This Row],[Cen.]],Dados_Empresas[],2,FALSE),"Verificar empresa"))</f>
        <v>NET MASSIVO</v>
      </c>
      <c r="O1663" s="32" t="str">
        <f>IF(MB25_VOLUMETRIA[[#This Row],[EMPRESA]]="","",IF(OR(MB25_VOLUMETRIA[[#This Row],[EMPRESA]]="NET MASSIVO",MB25_VOLUMETRIA[[#This Row],[EMPRESA]]="NET PROJETOS"),"NET","EMPRESARIAL"))</f>
        <v>NET</v>
      </c>
    </row>
    <row r="1664" spans="1:15" x14ac:dyDescent="0.25">
      <c r="A1664" s="32">
        <v>4383928</v>
      </c>
      <c r="B1664" s="32" t="s">
        <v>21</v>
      </c>
      <c r="C1664" s="33" t="s">
        <v>21</v>
      </c>
      <c r="D1664" s="35">
        <v>45449</v>
      </c>
      <c r="E1664" s="32" t="s">
        <v>185</v>
      </c>
      <c r="F1664" s="32">
        <v>22062577</v>
      </c>
      <c r="G1664" s="32" t="s">
        <v>467</v>
      </c>
      <c r="H1664" s="26" t="s">
        <v>38</v>
      </c>
      <c r="I1664" s="36">
        <v>330</v>
      </c>
      <c r="J1664" s="32">
        <f>IF(MB25_VOLUMETRIA[[#This Row],[Reserva]]="","",1)</f>
        <v>1</v>
      </c>
      <c r="K1664" s="36" t="str">
        <f>IF(MB25_VOLUMETRIA[[#This Row],[Reserva]]="","",IFERROR(VLOOKUP(MB25_VOLUMETRIA[[#This Row],[UMB]],CHAVE[],2,FALSE),"VERIFICAR"))</f>
        <v>Unidade</v>
      </c>
      <c r="L16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4" s="32" t="str">
        <f ca="1">IFERROR(VLOOKUP(MB25_VOLUMETRIA[[#This Row],[Reserva]],RES_AB[],14,FALSE),"")</f>
        <v>RESERVAS PENDENTES</v>
      </c>
      <c r="N1664" s="32" t="str">
        <f>IF(MB25_VOLUMETRIA[[#This Row],[Cen.]]="","",IFERROR(VLOOKUP(MB25_VOLUMETRIA[[#This Row],[Cen.]],Dados_Empresas[],2,FALSE),"Verificar empresa"))</f>
        <v>NET MASSIVO</v>
      </c>
      <c r="O1664" s="32" t="str">
        <f>IF(MB25_VOLUMETRIA[[#This Row],[EMPRESA]]="","",IF(OR(MB25_VOLUMETRIA[[#This Row],[EMPRESA]]="NET MASSIVO",MB25_VOLUMETRIA[[#This Row],[EMPRESA]]="NET PROJETOS"),"NET","EMPRESARIAL"))</f>
        <v>NET</v>
      </c>
    </row>
    <row r="1665" spans="1:15" x14ac:dyDescent="0.25">
      <c r="A1665" s="32">
        <v>4383929</v>
      </c>
      <c r="B1665" s="32" t="s">
        <v>21</v>
      </c>
      <c r="C1665" s="33" t="s">
        <v>19</v>
      </c>
      <c r="D1665" s="35">
        <v>45449</v>
      </c>
      <c r="E1665" s="32" t="s">
        <v>184</v>
      </c>
      <c r="F1665" s="32">
        <v>41001234</v>
      </c>
      <c r="G1665" s="32" t="s">
        <v>189</v>
      </c>
      <c r="H1665" s="26" t="s">
        <v>38</v>
      </c>
      <c r="I1665" s="36">
        <v>60</v>
      </c>
      <c r="J1665" s="32">
        <f>IF(MB25_VOLUMETRIA[[#This Row],[Reserva]]="","",1)</f>
        <v>1</v>
      </c>
      <c r="K1665" s="36" t="str">
        <f>IF(MB25_VOLUMETRIA[[#This Row],[Reserva]]="","",IFERROR(VLOOKUP(MB25_VOLUMETRIA[[#This Row],[UMB]],CHAVE[],2,FALSE),"VERIFICAR"))</f>
        <v>Unidade</v>
      </c>
      <c r="L16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5" s="32" t="str">
        <f ca="1">IFERROR(VLOOKUP(MB25_VOLUMETRIA[[#This Row],[Reserva]],RES_AB[],14,FALSE),"")</f>
        <v>RESERVAS PENDENTES</v>
      </c>
      <c r="N1665" s="32" t="str">
        <f>IF(MB25_VOLUMETRIA[[#This Row],[Cen.]]="","",IFERROR(VLOOKUP(MB25_VOLUMETRIA[[#This Row],[Cen.]],Dados_Empresas[],2,FALSE),"Verificar empresa"))</f>
        <v>NET MASSIVO</v>
      </c>
      <c r="O1665" s="32" t="str">
        <f>IF(MB25_VOLUMETRIA[[#This Row],[EMPRESA]]="","",IF(OR(MB25_VOLUMETRIA[[#This Row],[EMPRESA]]="NET MASSIVO",MB25_VOLUMETRIA[[#This Row],[EMPRESA]]="NET PROJETOS"),"NET","EMPRESARIAL"))</f>
        <v>NET</v>
      </c>
    </row>
    <row r="1666" spans="1:15" x14ac:dyDescent="0.25">
      <c r="A1666" s="32">
        <v>4383929</v>
      </c>
      <c r="B1666" s="32" t="s">
        <v>21</v>
      </c>
      <c r="C1666" s="33" t="s">
        <v>19</v>
      </c>
      <c r="D1666" s="35">
        <v>45449</v>
      </c>
      <c r="E1666" s="32" t="s">
        <v>184</v>
      </c>
      <c r="F1666" s="32">
        <v>41001277</v>
      </c>
      <c r="G1666" s="32" t="s">
        <v>466</v>
      </c>
      <c r="H1666" s="26" t="s">
        <v>38</v>
      </c>
      <c r="I1666" s="36">
        <v>60</v>
      </c>
      <c r="J1666" s="32">
        <f>IF(MB25_VOLUMETRIA[[#This Row],[Reserva]]="","",1)</f>
        <v>1</v>
      </c>
      <c r="K1666" s="36" t="str">
        <f>IF(MB25_VOLUMETRIA[[#This Row],[Reserva]]="","",IFERROR(VLOOKUP(MB25_VOLUMETRIA[[#This Row],[UMB]],CHAVE[],2,FALSE),"VERIFICAR"))</f>
        <v>Unidade</v>
      </c>
      <c r="L16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6" s="32" t="str">
        <f ca="1">IFERROR(VLOOKUP(MB25_VOLUMETRIA[[#This Row],[Reserva]],RES_AB[],14,FALSE),"")</f>
        <v>RESERVAS PENDENTES</v>
      </c>
      <c r="N1666" s="32" t="str">
        <f>IF(MB25_VOLUMETRIA[[#This Row],[Cen.]]="","",IFERROR(VLOOKUP(MB25_VOLUMETRIA[[#This Row],[Cen.]],Dados_Empresas[],2,FALSE),"Verificar empresa"))</f>
        <v>NET MASSIVO</v>
      </c>
      <c r="O1666" s="32" t="str">
        <f>IF(MB25_VOLUMETRIA[[#This Row],[EMPRESA]]="","",IF(OR(MB25_VOLUMETRIA[[#This Row],[EMPRESA]]="NET MASSIVO",MB25_VOLUMETRIA[[#This Row],[EMPRESA]]="NET PROJETOS"),"NET","EMPRESARIAL"))</f>
        <v>NET</v>
      </c>
    </row>
    <row r="1667" spans="1:15" x14ac:dyDescent="0.25">
      <c r="A1667" s="32">
        <v>4383929</v>
      </c>
      <c r="B1667" s="32" t="s">
        <v>21</v>
      </c>
      <c r="C1667" s="33" t="s">
        <v>19</v>
      </c>
      <c r="D1667" s="35">
        <v>45449</v>
      </c>
      <c r="E1667" s="32" t="s">
        <v>184</v>
      </c>
      <c r="F1667" s="32">
        <v>41001293</v>
      </c>
      <c r="G1667" s="32" t="s">
        <v>468</v>
      </c>
      <c r="H1667" s="26" t="s">
        <v>38</v>
      </c>
      <c r="I1667" s="36">
        <v>570</v>
      </c>
      <c r="J1667" s="32">
        <f>IF(MB25_VOLUMETRIA[[#This Row],[Reserva]]="","",1)</f>
        <v>1</v>
      </c>
      <c r="K1667" s="36" t="str">
        <f>IF(MB25_VOLUMETRIA[[#This Row],[Reserva]]="","",IFERROR(VLOOKUP(MB25_VOLUMETRIA[[#This Row],[UMB]],CHAVE[],2,FALSE),"VERIFICAR"))</f>
        <v>Unidade</v>
      </c>
      <c r="L16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7" s="32" t="str">
        <f ca="1">IFERROR(VLOOKUP(MB25_VOLUMETRIA[[#This Row],[Reserva]],RES_AB[],14,FALSE),"")</f>
        <v>RESERVAS PENDENTES</v>
      </c>
      <c r="N1667" s="32" t="str">
        <f>IF(MB25_VOLUMETRIA[[#This Row],[Cen.]]="","",IFERROR(VLOOKUP(MB25_VOLUMETRIA[[#This Row],[Cen.]],Dados_Empresas[],2,FALSE),"Verificar empresa"))</f>
        <v>NET MASSIVO</v>
      </c>
      <c r="O1667" s="32" t="str">
        <f>IF(MB25_VOLUMETRIA[[#This Row],[EMPRESA]]="","",IF(OR(MB25_VOLUMETRIA[[#This Row],[EMPRESA]]="NET MASSIVO",MB25_VOLUMETRIA[[#This Row],[EMPRESA]]="NET PROJETOS"),"NET","EMPRESARIAL"))</f>
        <v>NET</v>
      </c>
    </row>
    <row r="1668" spans="1:15" x14ac:dyDescent="0.25">
      <c r="A1668" s="32">
        <v>4383929</v>
      </c>
      <c r="B1668" s="32" t="s">
        <v>21</v>
      </c>
      <c r="C1668" s="33" t="s">
        <v>19</v>
      </c>
      <c r="D1668" s="35">
        <v>45449</v>
      </c>
      <c r="E1668" s="32" t="s">
        <v>184</v>
      </c>
      <c r="F1668" s="32">
        <v>41001485</v>
      </c>
      <c r="G1668" s="32" t="s">
        <v>469</v>
      </c>
      <c r="H1668" s="26" t="s">
        <v>38</v>
      </c>
      <c r="I1668" s="36">
        <v>330</v>
      </c>
      <c r="J1668" s="32">
        <f>IF(MB25_VOLUMETRIA[[#This Row],[Reserva]]="","",1)</f>
        <v>1</v>
      </c>
      <c r="K1668" s="36" t="str">
        <f>IF(MB25_VOLUMETRIA[[#This Row],[Reserva]]="","",IFERROR(VLOOKUP(MB25_VOLUMETRIA[[#This Row],[UMB]],CHAVE[],2,FALSE),"VERIFICAR"))</f>
        <v>Unidade</v>
      </c>
      <c r="L16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8" s="32" t="str">
        <f ca="1">IFERROR(VLOOKUP(MB25_VOLUMETRIA[[#This Row],[Reserva]],RES_AB[],14,FALSE),"")</f>
        <v>RESERVAS PENDENTES</v>
      </c>
      <c r="N1668" s="32" t="str">
        <f>IF(MB25_VOLUMETRIA[[#This Row],[Cen.]]="","",IFERROR(VLOOKUP(MB25_VOLUMETRIA[[#This Row],[Cen.]],Dados_Empresas[],2,FALSE),"Verificar empresa"))</f>
        <v>NET MASSIVO</v>
      </c>
      <c r="O1668" s="32" t="str">
        <f>IF(MB25_VOLUMETRIA[[#This Row],[EMPRESA]]="","",IF(OR(MB25_VOLUMETRIA[[#This Row],[EMPRESA]]="NET MASSIVO",MB25_VOLUMETRIA[[#This Row],[EMPRESA]]="NET PROJETOS"),"NET","EMPRESARIAL"))</f>
        <v>NET</v>
      </c>
    </row>
    <row r="1669" spans="1:15" x14ac:dyDescent="0.25">
      <c r="A1669" s="32">
        <v>4383929</v>
      </c>
      <c r="B1669" s="32" t="s">
        <v>21</v>
      </c>
      <c r="C1669" s="33" t="s">
        <v>21</v>
      </c>
      <c r="D1669" s="35">
        <v>45449</v>
      </c>
      <c r="E1669" s="32" t="s">
        <v>184</v>
      </c>
      <c r="F1669" s="32">
        <v>41001573</v>
      </c>
      <c r="G1669" s="32" t="s">
        <v>259</v>
      </c>
      <c r="H1669" s="26" t="s">
        <v>38</v>
      </c>
      <c r="I1669" s="36">
        <v>30</v>
      </c>
      <c r="J1669" s="32">
        <f>IF(MB25_VOLUMETRIA[[#This Row],[Reserva]]="","",1)</f>
        <v>1</v>
      </c>
      <c r="K1669" s="36" t="str">
        <f>IF(MB25_VOLUMETRIA[[#This Row],[Reserva]]="","",IFERROR(VLOOKUP(MB25_VOLUMETRIA[[#This Row],[UMB]],CHAVE[],2,FALSE),"VERIFICAR"))</f>
        <v>Unidade</v>
      </c>
      <c r="L16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69" s="32" t="str">
        <f ca="1">IFERROR(VLOOKUP(MB25_VOLUMETRIA[[#This Row],[Reserva]],RES_AB[],14,FALSE),"")</f>
        <v>RESERVAS PENDENTES</v>
      </c>
      <c r="N1669" s="32" t="str">
        <f>IF(MB25_VOLUMETRIA[[#This Row],[Cen.]]="","",IFERROR(VLOOKUP(MB25_VOLUMETRIA[[#This Row],[Cen.]],Dados_Empresas[],2,FALSE),"Verificar empresa"))</f>
        <v>NET MASSIVO</v>
      </c>
      <c r="O1669" s="32" t="str">
        <f>IF(MB25_VOLUMETRIA[[#This Row],[EMPRESA]]="","",IF(OR(MB25_VOLUMETRIA[[#This Row],[EMPRESA]]="NET MASSIVO",MB25_VOLUMETRIA[[#This Row],[EMPRESA]]="NET PROJETOS"),"NET","EMPRESARIAL"))</f>
        <v>NET</v>
      </c>
    </row>
    <row r="1670" spans="1:15" x14ac:dyDescent="0.25">
      <c r="A1670" s="32">
        <v>4383931</v>
      </c>
      <c r="B1670" s="32" t="s">
        <v>21</v>
      </c>
      <c r="C1670" s="33" t="s">
        <v>182</v>
      </c>
      <c r="D1670" s="35">
        <v>45449</v>
      </c>
      <c r="E1670" s="32" t="s">
        <v>184</v>
      </c>
      <c r="F1670" s="32">
        <v>41001530</v>
      </c>
      <c r="G1670" s="32" t="s">
        <v>319</v>
      </c>
      <c r="H1670" s="26" t="s">
        <v>38</v>
      </c>
      <c r="I1670" s="36">
        <v>20</v>
      </c>
      <c r="J1670" s="32">
        <f>IF(MB25_VOLUMETRIA[[#This Row],[Reserva]]="","",1)</f>
        <v>1</v>
      </c>
      <c r="K1670" s="36" t="str">
        <f>IF(MB25_VOLUMETRIA[[#This Row],[Reserva]]="","",IFERROR(VLOOKUP(MB25_VOLUMETRIA[[#This Row],[UMB]],CHAVE[],2,FALSE),"VERIFICAR"))</f>
        <v>Unidade</v>
      </c>
      <c r="L16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0" s="32" t="str">
        <f ca="1">IFERROR(VLOOKUP(MB25_VOLUMETRIA[[#This Row],[Reserva]],RES_AB[],14,FALSE),"")</f>
        <v>RESERVAS PENDENTES</v>
      </c>
      <c r="N1670" s="32" t="str">
        <f>IF(MB25_VOLUMETRIA[[#This Row],[Cen.]]="","",IFERROR(VLOOKUP(MB25_VOLUMETRIA[[#This Row],[Cen.]],Dados_Empresas[],2,FALSE),"Verificar empresa"))</f>
        <v>NET MASSIVO</v>
      </c>
      <c r="O1670" s="32" t="str">
        <f>IF(MB25_VOLUMETRIA[[#This Row],[EMPRESA]]="","",IF(OR(MB25_VOLUMETRIA[[#This Row],[EMPRESA]]="NET MASSIVO",MB25_VOLUMETRIA[[#This Row],[EMPRESA]]="NET PROJETOS"),"NET","EMPRESARIAL"))</f>
        <v>NET</v>
      </c>
    </row>
    <row r="1671" spans="1:15" x14ac:dyDescent="0.25">
      <c r="A1671" s="32">
        <v>4383931</v>
      </c>
      <c r="B1671" s="32" t="s">
        <v>21</v>
      </c>
      <c r="C1671" s="33" t="s">
        <v>21</v>
      </c>
      <c r="D1671" s="35">
        <v>45449</v>
      </c>
      <c r="E1671" s="32" t="s">
        <v>184</v>
      </c>
      <c r="F1671" s="32">
        <v>41001536</v>
      </c>
      <c r="G1671" s="32" t="s">
        <v>371</v>
      </c>
      <c r="H1671" s="26" t="s">
        <v>38</v>
      </c>
      <c r="I1671" s="36">
        <v>70</v>
      </c>
      <c r="J1671" s="32">
        <f>IF(MB25_VOLUMETRIA[[#This Row],[Reserva]]="","",1)</f>
        <v>1</v>
      </c>
      <c r="K1671" s="36" t="str">
        <f>IF(MB25_VOLUMETRIA[[#This Row],[Reserva]]="","",IFERROR(VLOOKUP(MB25_VOLUMETRIA[[#This Row],[UMB]],CHAVE[],2,FALSE),"VERIFICAR"))</f>
        <v>Unidade</v>
      </c>
      <c r="L16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1" s="32" t="str">
        <f ca="1">IFERROR(VLOOKUP(MB25_VOLUMETRIA[[#This Row],[Reserva]],RES_AB[],14,FALSE),"")</f>
        <v>RESERVAS PENDENTES</v>
      </c>
      <c r="N1671" s="32" t="str">
        <f>IF(MB25_VOLUMETRIA[[#This Row],[Cen.]]="","",IFERROR(VLOOKUP(MB25_VOLUMETRIA[[#This Row],[Cen.]],Dados_Empresas[],2,FALSE),"Verificar empresa"))</f>
        <v>NET MASSIVO</v>
      </c>
      <c r="O1671" s="32" t="str">
        <f>IF(MB25_VOLUMETRIA[[#This Row],[EMPRESA]]="","",IF(OR(MB25_VOLUMETRIA[[#This Row],[EMPRESA]]="NET MASSIVO",MB25_VOLUMETRIA[[#This Row],[EMPRESA]]="NET PROJETOS"),"NET","EMPRESARIAL"))</f>
        <v>NET</v>
      </c>
    </row>
    <row r="1672" spans="1:15" x14ac:dyDescent="0.25">
      <c r="A1672" s="32">
        <v>4383931</v>
      </c>
      <c r="B1672" s="32" t="s">
        <v>21</v>
      </c>
      <c r="C1672" s="33" t="s">
        <v>21</v>
      </c>
      <c r="D1672" s="35">
        <v>45449</v>
      </c>
      <c r="E1672" s="32" t="s">
        <v>184</v>
      </c>
      <c r="F1672" s="32">
        <v>41001590</v>
      </c>
      <c r="G1672" s="32" t="s">
        <v>239</v>
      </c>
      <c r="H1672" s="26" t="s">
        <v>38</v>
      </c>
      <c r="I1672" s="36">
        <v>40</v>
      </c>
      <c r="J1672" s="32">
        <f>IF(MB25_VOLUMETRIA[[#This Row],[Reserva]]="","",1)</f>
        <v>1</v>
      </c>
      <c r="K1672" s="36" t="str">
        <f>IF(MB25_VOLUMETRIA[[#This Row],[Reserva]]="","",IFERROR(VLOOKUP(MB25_VOLUMETRIA[[#This Row],[UMB]],CHAVE[],2,FALSE),"VERIFICAR"))</f>
        <v>Unidade</v>
      </c>
      <c r="L16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2" s="32" t="str">
        <f ca="1">IFERROR(VLOOKUP(MB25_VOLUMETRIA[[#This Row],[Reserva]],RES_AB[],14,FALSE),"")</f>
        <v>RESERVAS PENDENTES</v>
      </c>
      <c r="N1672" s="32" t="str">
        <f>IF(MB25_VOLUMETRIA[[#This Row],[Cen.]]="","",IFERROR(VLOOKUP(MB25_VOLUMETRIA[[#This Row],[Cen.]],Dados_Empresas[],2,FALSE),"Verificar empresa"))</f>
        <v>NET MASSIVO</v>
      </c>
      <c r="O1672" s="32" t="str">
        <f>IF(MB25_VOLUMETRIA[[#This Row],[EMPRESA]]="","",IF(OR(MB25_VOLUMETRIA[[#This Row],[EMPRESA]]="NET MASSIVO",MB25_VOLUMETRIA[[#This Row],[EMPRESA]]="NET PROJETOS"),"NET","EMPRESARIAL"))</f>
        <v>NET</v>
      </c>
    </row>
    <row r="1673" spans="1:15" x14ac:dyDescent="0.25">
      <c r="A1673" s="32">
        <v>4383932</v>
      </c>
      <c r="B1673" s="32" t="s">
        <v>21</v>
      </c>
      <c r="C1673" s="33" t="s">
        <v>182</v>
      </c>
      <c r="D1673" s="35">
        <v>45449</v>
      </c>
      <c r="E1673" s="32" t="s">
        <v>184</v>
      </c>
      <c r="F1673" s="32">
        <v>41001530</v>
      </c>
      <c r="G1673" s="32" t="s">
        <v>319</v>
      </c>
      <c r="H1673" s="26" t="s">
        <v>38</v>
      </c>
      <c r="I1673" s="36">
        <v>20</v>
      </c>
      <c r="J1673" s="32">
        <f>IF(MB25_VOLUMETRIA[[#This Row],[Reserva]]="","",1)</f>
        <v>1</v>
      </c>
      <c r="K1673" s="36" t="str">
        <f>IF(MB25_VOLUMETRIA[[#This Row],[Reserva]]="","",IFERROR(VLOOKUP(MB25_VOLUMETRIA[[#This Row],[UMB]],CHAVE[],2,FALSE),"VERIFICAR"))</f>
        <v>Unidade</v>
      </c>
      <c r="L16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3" s="32" t="str">
        <f ca="1">IFERROR(VLOOKUP(MB25_VOLUMETRIA[[#This Row],[Reserva]],RES_AB[],14,FALSE),"")</f>
        <v>RESERVAS PENDENTES</v>
      </c>
      <c r="N1673" s="32" t="str">
        <f>IF(MB25_VOLUMETRIA[[#This Row],[Cen.]]="","",IFERROR(VLOOKUP(MB25_VOLUMETRIA[[#This Row],[Cen.]],Dados_Empresas[],2,FALSE),"Verificar empresa"))</f>
        <v>NET MASSIVO</v>
      </c>
      <c r="O1673" s="32" t="str">
        <f>IF(MB25_VOLUMETRIA[[#This Row],[EMPRESA]]="","",IF(OR(MB25_VOLUMETRIA[[#This Row],[EMPRESA]]="NET MASSIVO",MB25_VOLUMETRIA[[#This Row],[EMPRESA]]="NET PROJETOS"),"NET","EMPRESARIAL"))</f>
        <v>NET</v>
      </c>
    </row>
    <row r="1674" spans="1:15" x14ac:dyDescent="0.25">
      <c r="A1674" s="32">
        <v>4383933</v>
      </c>
      <c r="B1674" s="32" t="s">
        <v>21</v>
      </c>
      <c r="C1674" s="33" t="s">
        <v>19</v>
      </c>
      <c r="D1674" s="35">
        <v>45449</v>
      </c>
      <c r="E1674" s="32" t="s">
        <v>185</v>
      </c>
      <c r="F1674" s="32">
        <v>22026096</v>
      </c>
      <c r="G1674" s="32" t="s">
        <v>464</v>
      </c>
      <c r="H1674" s="26" t="s">
        <v>38</v>
      </c>
      <c r="I1674" s="36">
        <v>40</v>
      </c>
      <c r="J1674" s="32">
        <f>IF(MB25_VOLUMETRIA[[#This Row],[Reserva]]="","",1)</f>
        <v>1</v>
      </c>
      <c r="K1674" s="36" t="str">
        <f>IF(MB25_VOLUMETRIA[[#This Row],[Reserva]]="","",IFERROR(VLOOKUP(MB25_VOLUMETRIA[[#This Row],[UMB]],CHAVE[],2,FALSE),"VERIFICAR"))</f>
        <v>Unidade</v>
      </c>
      <c r="L16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4" s="32" t="str">
        <f ca="1">IFERROR(VLOOKUP(MB25_VOLUMETRIA[[#This Row],[Reserva]],RES_AB[],14,FALSE),"")</f>
        <v>RESERVAS PENDENTES</v>
      </c>
      <c r="N1674" s="32" t="str">
        <f>IF(MB25_VOLUMETRIA[[#This Row],[Cen.]]="","",IFERROR(VLOOKUP(MB25_VOLUMETRIA[[#This Row],[Cen.]],Dados_Empresas[],2,FALSE),"Verificar empresa"))</f>
        <v>NET MASSIVO</v>
      </c>
      <c r="O1674" s="32" t="str">
        <f>IF(MB25_VOLUMETRIA[[#This Row],[EMPRESA]]="","",IF(OR(MB25_VOLUMETRIA[[#This Row],[EMPRESA]]="NET MASSIVO",MB25_VOLUMETRIA[[#This Row],[EMPRESA]]="NET PROJETOS"),"NET","EMPRESARIAL"))</f>
        <v>NET</v>
      </c>
    </row>
    <row r="1675" spans="1:15" x14ac:dyDescent="0.25">
      <c r="A1675" s="32">
        <v>4383933</v>
      </c>
      <c r="B1675" s="32" t="s">
        <v>21</v>
      </c>
      <c r="C1675" s="33" t="s">
        <v>19</v>
      </c>
      <c r="D1675" s="35">
        <v>45449</v>
      </c>
      <c r="E1675" s="32" t="s">
        <v>185</v>
      </c>
      <c r="F1675" s="32">
        <v>22026293</v>
      </c>
      <c r="G1675" s="32" t="s">
        <v>352</v>
      </c>
      <c r="H1675" s="26" t="s">
        <v>38</v>
      </c>
      <c r="I1675" s="36">
        <v>30</v>
      </c>
      <c r="J1675" s="32">
        <f>IF(MB25_VOLUMETRIA[[#This Row],[Reserva]]="","",1)</f>
        <v>1</v>
      </c>
      <c r="K1675" s="36" t="str">
        <f>IF(MB25_VOLUMETRIA[[#This Row],[Reserva]]="","",IFERROR(VLOOKUP(MB25_VOLUMETRIA[[#This Row],[UMB]],CHAVE[],2,FALSE),"VERIFICAR"))</f>
        <v>Unidade</v>
      </c>
      <c r="L16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5" s="32" t="str">
        <f ca="1">IFERROR(VLOOKUP(MB25_VOLUMETRIA[[#This Row],[Reserva]],RES_AB[],14,FALSE),"")</f>
        <v>RESERVAS PENDENTES</v>
      </c>
      <c r="N1675" s="32" t="str">
        <f>IF(MB25_VOLUMETRIA[[#This Row],[Cen.]]="","",IFERROR(VLOOKUP(MB25_VOLUMETRIA[[#This Row],[Cen.]],Dados_Empresas[],2,FALSE),"Verificar empresa"))</f>
        <v>NET MASSIVO</v>
      </c>
      <c r="O1675" s="32" t="str">
        <f>IF(MB25_VOLUMETRIA[[#This Row],[EMPRESA]]="","",IF(OR(MB25_VOLUMETRIA[[#This Row],[EMPRESA]]="NET MASSIVO",MB25_VOLUMETRIA[[#This Row],[EMPRESA]]="NET PROJETOS"),"NET","EMPRESARIAL"))</f>
        <v>NET</v>
      </c>
    </row>
    <row r="1676" spans="1:15" x14ac:dyDescent="0.25">
      <c r="A1676" s="32">
        <v>4383933</v>
      </c>
      <c r="B1676" s="32" t="s">
        <v>21</v>
      </c>
      <c r="C1676" s="33" t="s">
        <v>21</v>
      </c>
      <c r="D1676" s="35">
        <v>45449</v>
      </c>
      <c r="E1676" s="32" t="s">
        <v>185</v>
      </c>
      <c r="F1676" s="32">
        <v>22060422</v>
      </c>
      <c r="G1676" s="32" t="s">
        <v>298</v>
      </c>
      <c r="H1676" s="26" t="s">
        <v>38</v>
      </c>
      <c r="I1676" s="36">
        <v>30</v>
      </c>
      <c r="J1676" s="32">
        <f>IF(MB25_VOLUMETRIA[[#This Row],[Reserva]]="","",1)</f>
        <v>1</v>
      </c>
      <c r="K1676" s="36" t="str">
        <f>IF(MB25_VOLUMETRIA[[#This Row],[Reserva]]="","",IFERROR(VLOOKUP(MB25_VOLUMETRIA[[#This Row],[UMB]],CHAVE[],2,FALSE),"VERIFICAR"))</f>
        <v>Unidade</v>
      </c>
      <c r="L16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6" s="32" t="str">
        <f ca="1">IFERROR(VLOOKUP(MB25_VOLUMETRIA[[#This Row],[Reserva]],RES_AB[],14,FALSE),"")</f>
        <v>RESERVAS PENDENTES</v>
      </c>
      <c r="N1676" s="32" t="str">
        <f>IF(MB25_VOLUMETRIA[[#This Row],[Cen.]]="","",IFERROR(VLOOKUP(MB25_VOLUMETRIA[[#This Row],[Cen.]],Dados_Empresas[],2,FALSE),"Verificar empresa"))</f>
        <v>NET MASSIVO</v>
      </c>
      <c r="O1676" s="32" t="str">
        <f>IF(MB25_VOLUMETRIA[[#This Row],[EMPRESA]]="","",IF(OR(MB25_VOLUMETRIA[[#This Row],[EMPRESA]]="NET MASSIVO",MB25_VOLUMETRIA[[#This Row],[EMPRESA]]="NET PROJETOS"),"NET","EMPRESARIAL"))</f>
        <v>NET</v>
      </c>
    </row>
    <row r="1677" spans="1:15" x14ac:dyDescent="0.25">
      <c r="A1677" s="32">
        <v>4383933</v>
      </c>
      <c r="B1677" s="32" t="s">
        <v>21</v>
      </c>
      <c r="C1677" s="33" t="s">
        <v>21</v>
      </c>
      <c r="D1677" s="35">
        <v>45449</v>
      </c>
      <c r="E1677" s="32" t="s">
        <v>185</v>
      </c>
      <c r="F1677" s="32">
        <v>22062556</v>
      </c>
      <c r="G1677" s="32" t="s">
        <v>470</v>
      </c>
      <c r="H1677" s="26" t="s">
        <v>38</v>
      </c>
      <c r="I1677" s="36">
        <v>40</v>
      </c>
      <c r="J1677" s="32">
        <f>IF(MB25_VOLUMETRIA[[#This Row],[Reserva]]="","",1)</f>
        <v>1</v>
      </c>
      <c r="K1677" s="36" t="str">
        <f>IF(MB25_VOLUMETRIA[[#This Row],[Reserva]]="","",IFERROR(VLOOKUP(MB25_VOLUMETRIA[[#This Row],[UMB]],CHAVE[],2,FALSE),"VERIFICAR"))</f>
        <v>Unidade</v>
      </c>
      <c r="L16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7" s="32" t="str">
        <f ca="1">IFERROR(VLOOKUP(MB25_VOLUMETRIA[[#This Row],[Reserva]],RES_AB[],14,FALSE),"")</f>
        <v>RESERVAS PENDENTES</v>
      </c>
      <c r="N1677" s="32" t="str">
        <f>IF(MB25_VOLUMETRIA[[#This Row],[Cen.]]="","",IFERROR(VLOOKUP(MB25_VOLUMETRIA[[#This Row],[Cen.]],Dados_Empresas[],2,FALSE),"Verificar empresa"))</f>
        <v>NET MASSIVO</v>
      </c>
      <c r="O1677" s="32" t="str">
        <f>IF(MB25_VOLUMETRIA[[#This Row],[EMPRESA]]="","",IF(OR(MB25_VOLUMETRIA[[#This Row],[EMPRESA]]="NET MASSIVO",MB25_VOLUMETRIA[[#This Row],[EMPRESA]]="NET PROJETOS"),"NET","EMPRESARIAL"))</f>
        <v>NET</v>
      </c>
    </row>
    <row r="1678" spans="1:15" x14ac:dyDescent="0.25">
      <c r="A1678" s="32">
        <v>4383934</v>
      </c>
      <c r="B1678" s="32" t="s">
        <v>21</v>
      </c>
      <c r="C1678" s="33" t="s">
        <v>19</v>
      </c>
      <c r="D1678" s="35">
        <v>45449</v>
      </c>
      <c r="E1678" s="32" t="s">
        <v>184</v>
      </c>
      <c r="F1678" s="32">
        <v>41001234</v>
      </c>
      <c r="G1678" s="32" t="s">
        <v>189</v>
      </c>
      <c r="H1678" s="26" t="s">
        <v>38</v>
      </c>
      <c r="I1678" s="36">
        <v>30</v>
      </c>
      <c r="J1678" s="32">
        <f>IF(MB25_VOLUMETRIA[[#This Row],[Reserva]]="","",1)</f>
        <v>1</v>
      </c>
      <c r="K1678" s="36" t="str">
        <f>IF(MB25_VOLUMETRIA[[#This Row],[Reserva]]="","",IFERROR(VLOOKUP(MB25_VOLUMETRIA[[#This Row],[UMB]],CHAVE[],2,FALSE),"VERIFICAR"))</f>
        <v>Unidade</v>
      </c>
      <c r="L16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8" s="32" t="str">
        <f ca="1">IFERROR(VLOOKUP(MB25_VOLUMETRIA[[#This Row],[Reserva]],RES_AB[],14,FALSE),"")</f>
        <v>RESERVAS PENDENTES</v>
      </c>
      <c r="N1678" s="32" t="str">
        <f>IF(MB25_VOLUMETRIA[[#This Row],[Cen.]]="","",IFERROR(VLOOKUP(MB25_VOLUMETRIA[[#This Row],[Cen.]],Dados_Empresas[],2,FALSE),"Verificar empresa"))</f>
        <v>NET MASSIVO</v>
      </c>
      <c r="O1678" s="32" t="str">
        <f>IF(MB25_VOLUMETRIA[[#This Row],[EMPRESA]]="","",IF(OR(MB25_VOLUMETRIA[[#This Row],[EMPRESA]]="NET MASSIVO",MB25_VOLUMETRIA[[#This Row],[EMPRESA]]="NET PROJETOS"),"NET","EMPRESARIAL"))</f>
        <v>NET</v>
      </c>
    </row>
    <row r="1679" spans="1:15" x14ac:dyDescent="0.25">
      <c r="A1679" s="32">
        <v>4383934</v>
      </c>
      <c r="B1679" s="32" t="s">
        <v>21</v>
      </c>
      <c r="C1679" s="33" t="s">
        <v>19</v>
      </c>
      <c r="D1679" s="35">
        <v>45449</v>
      </c>
      <c r="E1679" s="32" t="s">
        <v>184</v>
      </c>
      <c r="F1679" s="32">
        <v>41001277</v>
      </c>
      <c r="G1679" s="32" t="s">
        <v>466</v>
      </c>
      <c r="H1679" s="26" t="s">
        <v>38</v>
      </c>
      <c r="I1679" s="36">
        <v>30</v>
      </c>
      <c r="J1679" s="32">
        <f>IF(MB25_VOLUMETRIA[[#This Row],[Reserva]]="","",1)</f>
        <v>1</v>
      </c>
      <c r="K1679" s="36" t="str">
        <f>IF(MB25_VOLUMETRIA[[#This Row],[Reserva]]="","",IFERROR(VLOOKUP(MB25_VOLUMETRIA[[#This Row],[UMB]],CHAVE[],2,FALSE),"VERIFICAR"))</f>
        <v>Unidade</v>
      </c>
      <c r="L16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79" s="32" t="str">
        <f ca="1">IFERROR(VLOOKUP(MB25_VOLUMETRIA[[#This Row],[Reserva]],RES_AB[],14,FALSE),"")</f>
        <v>RESERVAS PENDENTES</v>
      </c>
      <c r="N1679" s="32" t="str">
        <f>IF(MB25_VOLUMETRIA[[#This Row],[Cen.]]="","",IFERROR(VLOOKUP(MB25_VOLUMETRIA[[#This Row],[Cen.]],Dados_Empresas[],2,FALSE),"Verificar empresa"))</f>
        <v>NET MASSIVO</v>
      </c>
      <c r="O1679" s="32" t="str">
        <f>IF(MB25_VOLUMETRIA[[#This Row],[EMPRESA]]="","",IF(OR(MB25_VOLUMETRIA[[#This Row],[EMPRESA]]="NET MASSIVO",MB25_VOLUMETRIA[[#This Row],[EMPRESA]]="NET PROJETOS"),"NET","EMPRESARIAL"))</f>
        <v>NET</v>
      </c>
    </row>
    <row r="1680" spans="1:15" x14ac:dyDescent="0.25">
      <c r="A1680" s="32">
        <v>4383934</v>
      </c>
      <c r="B1680" s="32" t="s">
        <v>21</v>
      </c>
      <c r="C1680" s="33" t="s">
        <v>19</v>
      </c>
      <c r="D1680" s="35">
        <v>45449</v>
      </c>
      <c r="E1680" s="32" t="s">
        <v>184</v>
      </c>
      <c r="F1680" s="32">
        <v>41001481</v>
      </c>
      <c r="G1680" s="32" t="s">
        <v>403</v>
      </c>
      <c r="H1680" s="26" t="s">
        <v>38</v>
      </c>
      <c r="I1680" s="36">
        <v>40</v>
      </c>
      <c r="J1680" s="32">
        <f>IF(MB25_VOLUMETRIA[[#This Row],[Reserva]]="","",1)</f>
        <v>1</v>
      </c>
      <c r="K1680" s="36" t="str">
        <f>IF(MB25_VOLUMETRIA[[#This Row],[Reserva]]="","",IFERROR(VLOOKUP(MB25_VOLUMETRIA[[#This Row],[UMB]],CHAVE[],2,FALSE),"VERIFICAR"))</f>
        <v>Unidade</v>
      </c>
      <c r="L16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0" s="32" t="str">
        <f ca="1">IFERROR(VLOOKUP(MB25_VOLUMETRIA[[#This Row],[Reserva]],RES_AB[],14,FALSE),"")</f>
        <v>RESERVAS PENDENTES</v>
      </c>
      <c r="N1680" s="32" t="str">
        <f>IF(MB25_VOLUMETRIA[[#This Row],[Cen.]]="","",IFERROR(VLOOKUP(MB25_VOLUMETRIA[[#This Row],[Cen.]],Dados_Empresas[],2,FALSE),"Verificar empresa"))</f>
        <v>NET MASSIVO</v>
      </c>
      <c r="O1680" s="32" t="str">
        <f>IF(MB25_VOLUMETRIA[[#This Row],[EMPRESA]]="","",IF(OR(MB25_VOLUMETRIA[[#This Row],[EMPRESA]]="NET MASSIVO",MB25_VOLUMETRIA[[#This Row],[EMPRESA]]="NET PROJETOS"),"NET","EMPRESARIAL"))</f>
        <v>NET</v>
      </c>
    </row>
    <row r="1681" spans="1:15" x14ac:dyDescent="0.25">
      <c r="A1681" s="32">
        <v>4383934</v>
      </c>
      <c r="B1681" s="32" t="s">
        <v>21</v>
      </c>
      <c r="C1681" s="33" t="s">
        <v>182</v>
      </c>
      <c r="D1681" s="35">
        <v>45449</v>
      </c>
      <c r="E1681" s="32" t="s">
        <v>184</v>
      </c>
      <c r="F1681" s="32">
        <v>41001530</v>
      </c>
      <c r="G1681" s="32" t="s">
        <v>319</v>
      </c>
      <c r="H1681" s="26" t="s">
        <v>38</v>
      </c>
      <c r="I1681" s="36">
        <v>20</v>
      </c>
      <c r="J1681" s="32">
        <f>IF(MB25_VOLUMETRIA[[#This Row],[Reserva]]="","",1)</f>
        <v>1</v>
      </c>
      <c r="K1681" s="36" t="str">
        <f>IF(MB25_VOLUMETRIA[[#This Row],[Reserva]]="","",IFERROR(VLOOKUP(MB25_VOLUMETRIA[[#This Row],[UMB]],CHAVE[],2,FALSE),"VERIFICAR"))</f>
        <v>Unidade</v>
      </c>
      <c r="L16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1" s="32" t="str">
        <f ca="1">IFERROR(VLOOKUP(MB25_VOLUMETRIA[[#This Row],[Reserva]],RES_AB[],14,FALSE),"")</f>
        <v>RESERVAS PENDENTES</v>
      </c>
      <c r="N1681" s="32" t="str">
        <f>IF(MB25_VOLUMETRIA[[#This Row],[Cen.]]="","",IFERROR(VLOOKUP(MB25_VOLUMETRIA[[#This Row],[Cen.]],Dados_Empresas[],2,FALSE),"Verificar empresa"))</f>
        <v>NET MASSIVO</v>
      </c>
      <c r="O1681" s="32" t="str">
        <f>IF(MB25_VOLUMETRIA[[#This Row],[EMPRESA]]="","",IF(OR(MB25_VOLUMETRIA[[#This Row],[EMPRESA]]="NET MASSIVO",MB25_VOLUMETRIA[[#This Row],[EMPRESA]]="NET PROJETOS"),"NET","EMPRESARIAL"))</f>
        <v>NET</v>
      </c>
    </row>
    <row r="1682" spans="1:15" x14ac:dyDescent="0.25">
      <c r="A1682" s="32">
        <v>4383934</v>
      </c>
      <c r="B1682" s="32" t="s">
        <v>21</v>
      </c>
      <c r="C1682" s="33" t="s">
        <v>21</v>
      </c>
      <c r="D1682" s="35">
        <v>45449</v>
      </c>
      <c r="E1682" s="32" t="s">
        <v>184</v>
      </c>
      <c r="F1682" s="32">
        <v>41001535</v>
      </c>
      <c r="G1682" s="32" t="s">
        <v>191</v>
      </c>
      <c r="H1682" s="26" t="s">
        <v>38</v>
      </c>
      <c r="I1682" s="36">
        <v>50</v>
      </c>
      <c r="J1682" s="32">
        <f>IF(MB25_VOLUMETRIA[[#This Row],[Reserva]]="","",1)</f>
        <v>1</v>
      </c>
      <c r="K1682" s="36" t="str">
        <f>IF(MB25_VOLUMETRIA[[#This Row],[Reserva]]="","",IFERROR(VLOOKUP(MB25_VOLUMETRIA[[#This Row],[UMB]],CHAVE[],2,FALSE),"VERIFICAR"))</f>
        <v>Unidade</v>
      </c>
      <c r="L16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2" s="32" t="str">
        <f ca="1">IFERROR(VLOOKUP(MB25_VOLUMETRIA[[#This Row],[Reserva]],RES_AB[],14,FALSE),"")</f>
        <v>RESERVAS PENDENTES</v>
      </c>
      <c r="N1682" s="32" t="str">
        <f>IF(MB25_VOLUMETRIA[[#This Row],[Cen.]]="","",IFERROR(VLOOKUP(MB25_VOLUMETRIA[[#This Row],[Cen.]],Dados_Empresas[],2,FALSE),"Verificar empresa"))</f>
        <v>NET MASSIVO</v>
      </c>
      <c r="O1682" s="32" t="str">
        <f>IF(MB25_VOLUMETRIA[[#This Row],[EMPRESA]]="","",IF(OR(MB25_VOLUMETRIA[[#This Row],[EMPRESA]]="NET MASSIVO",MB25_VOLUMETRIA[[#This Row],[EMPRESA]]="NET PROJETOS"),"NET","EMPRESARIAL"))</f>
        <v>NET</v>
      </c>
    </row>
    <row r="1683" spans="1:15" x14ac:dyDescent="0.25">
      <c r="A1683" s="32">
        <v>4383935</v>
      </c>
      <c r="B1683" s="32" t="s">
        <v>21</v>
      </c>
      <c r="C1683" s="33" t="s">
        <v>19</v>
      </c>
      <c r="D1683" s="35">
        <v>45449</v>
      </c>
      <c r="E1683" s="32" t="s">
        <v>185</v>
      </c>
      <c r="F1683" s="32">
        <v>22026096</v>
      </c>
      <c r="G1683" s="32" t="s">
        <v>464</v>
      </c>
      <c r="H1683" s="26" t="s">
        <v>38</v>
      </c>
      <c r="I1683" s="36">
        <v>140</v>
      </c>
      <c r="J1683" s="32">
        <f>IF(MB25_VOLUMETRIA[[#This Row],[Reserva]]="","",1)</f>
        <v>1</v>
      </c>
      <c r="K1683" s="36" t="str">
        <f>IF(MB25_VOLUMETRIA[[#This Row],[Reserva]]="","",IFERROR(VLOOKUP(MB25_VOLUMETRIA[[#This Row],[UMB]],CHAVE[],2,FALSE),"VERIFICAR"))</f>
        <v>Unidade</v>
      </c>
      <c r="L16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3" s="32" t="str">
        <f ca="1">IFERROR(VLOOKUP(MB25_VOLUMETRIA[[#This Row],[Reserva]],RES_AB[],14,FALSE),"")</f>
        <v>RESERVAS PENDENTES</v>
      </c>
      <c r="N1683" s="32" t="str">
        <f>IF(MB25_VOLUMETRIA[[#This Row],[Cen.]]="","",IFERROR(VLOOKUP(MB25_VOLUMETRIA[[#This Row],[Cen.]],Dados_Empresas[],2,FALSE),"Verificar empresa"))</f>
        <v>NET MASSIVO</v>
      </c>
      <c r="O1683" s="32" t="str">
        <f>IF(MB25_VOLUMETRIA[[#This Row],[EMPRESA]]="","",IF(OR(MB25_VOLUMETRIA[[#This Row],[EMPRESA]]="NET MASSIVO",MB25_VOLUMETRIA[[#This Row],[EMPRESA]]="NET PROJETOS"),"NET","EMPRESARIAL"))</f>
        <v>NET</v>
      </c>
    </row>
    <row r="1684" spans="1:15" x14ac:dyDescent="0.25">
      <c r="A1684" s="32">
        <v>4383935</v>
      </c>
      <c r="B1684" s="32" t="s">
        <v>21</v>
      </c>
      <c r="C1684" s="33" t="s">
        <v>19</v>
      </c>
      <c r="D1684" s="35">
        <v>45449</v>
      </c>
      <c r="E1684" s="32" t="s">
        <v>185</v>
      </c>
      <c r="F1684" s="32">
        <v>22026293</v>
      </c>
      <c r="G1684" s="32" t="s">
        <v>352</v>
      </c>
      <c r="H1684" s="26" t="s">
        <v>38</v>
      </c>
      <c r="I1684" s="36">
        <v>140</v>
      </c>
      <c r="J1684" s="32">
        <f>IF(MB25_VOLUMETRIA[[#This Row],[Reserva]]="","",1)</f>
        <v>1</v>
      </c>
      <c r="K1684" s="36" t="str">
        <f>IF(MB25_VOLUMETRIA[[#This Row],[Reserva]]="","",IFERROR(VLOOKUP(MB25_VOLUMETRIA[[#This Row],[UMB]],CHAVE[],2,FALSE),"VERIFICAR"))</f>
        <v>Unidade</v>
      </c>
      <c r="L16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4" s="32" t="str">
        <f ca="1">IFERROR(VLOOKUP(MB25_VOLUMETRIA[[#This Row],[Reserva]],RES_AB[],14,FALSE),"")</f>
        <v>RESERVAS PENDENTES</v>
      </c>
      <c r="N1684" s="32" t="str">
        <f>IF(MB25_VOLUMETRIA[[#This Row],[Cen.]]="","",IFERROR(VLOOKUP(MB25_VOLUMETRIA[[#This Row],[Cen.]],Dados_Empresas[],2,FALSE),"Verificar empresa"))</f>
        <v>NET MASSIVO</v>
      </c>
      <c r="O1684" s="32" t="str">
        <f>IF(MB25_VOLUMETRIA[[#This Row],[EMPRESA]]="","",IF(OR(MB25_VOLUMETRIA[[#This Row],[EMPRESA]]="NET MASSIVO",MB25_VOLUMETRIA[[#This Row],[EMPRESA]]="NET PROJETOS"),"NET","EMPRESARIAL"))</f>
        <v>NET</v>
      </c>
    </row>
    <row r="1685" spans="1:15" x14ac:dyDescent="0.25">
      <c r="A1685" s="32">
        <v>4383935</v>
      </c>
      <c r="B1685" s="32" t="s">
        <v>21</v>
      </c>
      <c r="C1685" s="33" t="s">
        <v>19</v>
      </c>
      <c r="D1685" s="35">
        <v>45449</v>
      </c>
      <c r="E1685" s="32" t="s">
        <v>185</v>
      </c>
      <c r="F1685" s="32">
        <v>22058639</v>
      </c>
      <c r="G1685" s="32" t="s">
        <v>290</v>
      </c>
      <c r="H1685" s="26" t="s">
        <v>38</v>
      </c>
      <c r="I1685" s="36">
        <v>70</v>
      </c>
      <c r="J1685" s="32">
        <f>IF(MB25_VOLUMETRIA[[#This Row],[Reserva]]="","",1)</f>
        <v>1</v>
      </c>
      <c r="K1685" s="36" t="str">
        <f>IF(MB25_VOLUMETRIA[[#This Row],[Reserva]]="","",IFERROR(VLOOKUP(MB25_VOLUMETRIA[[#This Row],[UMB]],CHAVE[],2,FALSE),"VERIFICAR"))</f>
        <v>Unidade</v>
      </c>
      <c r="L16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5" s="32" t="str">
        <f ca="1">IFERROR(VLOOKUP(MB25_VOLUMETRIA[[#This Row],[Reserva]],RES_AB[],14,FALSE),"")</f>
        <v>RESERVAS PENDENTES</v>
      </c>
      <c r="N1685" s="32" t="str">
        <f>IF(MB25_VOLUMETRIA[[#This Row],[Cen.]]="","",IFERROR(VLOOKUP(MB25_VOLUMETRIA[[#This Row],[Cen.]],Dados_Empresas[],2,FALSE),"Verificar empresa"))</f>
        <v>NET MASSIVO</v>
      </c>
      <c r="O1685" s="32" t="str">
        <f>IF(MB25_VOLUMETRIA[[#This Row],[EMPRESA]]="","",IF(OR(MB25_VOLUMETRIA[[#This Row],[EMPRESA]]="NET MASSIVO",MB25_VOLUMETRIA[[#This Row],[EMPRESA]]="NET PROJETOS"),"NET","EMPRESARIAL"))</f>
        <v>NET</v>
      </c>
    </row>
    <row r="1686" spans="1:15" x14ac:dyDescent="0.25">
      <c r="A1686" s="32">
        <v>4383935</v>
      </c>
      <c r="B1686" s="32" t="s">
        <v>21</v>
      </c>
      <c r="C1686" s="33" t="s">
        <v>21</v>
      </c>
      <c r="D1686" s="35">
        <v>45449</v>
      </c>
      <c r="E1686" s="32" t="s">
        <v>185</v>
      </c>
      <c r="F1686" s="32">
        <v>22060422</v>
      </c>
      <c r="G1686" s="32" t="s">
        <v>298</v>
      </c>
      <c r="H1686" s="26" t="s">
        <v>38</v>
      </c>
      <c r="I1686" s="36">
        <v>140</v>
      </c>
      <c r="J1686" s="32">
        <f>IF(MB25_VOLUMETRIA[[#This Row],[Reserva]]="","",1)</f>
        <v>1</v>
      </c>
      <c r="K1686" s="36" t="str">
        <f>IF(MB25_VOLUMETRIA[[#This Row],[Reserva]]="","",IFERROR(VLOOKUP(MB25_VOLUMETRIA[[#This Row],[UMB]],CHAVE[],2,FALSE),"VERIFICAR"))</f>
        <v>Unidade</v>
      </c>
      <c r="L16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6" s="32" t="str">
        <f ca="1">IFERROR(VLOOKUP(MB25_VOLUMETRIA[[#This Row],[Reserva]],RES_AB[],14,FALSE),"")</f>
        <v>RESERVAS PENDENTES</v>
      </c>
      <c r="N1686" s="32" t="str">
        <f>IF(MB25_VOLUMETRIA[[#This Row],[Cen.]]="","",IFERROR(VLOOKUP(MB25_VOLUMETRIA[[#This Row],[Cen.]],Dados_Empresas[],2,FALSE),"Verificar empresa"))</f>
        <v>NET MASSIVO</v>
      </c>
      <c r="O1686" s="32" t="str">
        <f>IF(MB25_VOLUMETRIA[[#This Row],[EMPRESA]]="","",IF(OR(MB25_VOLUMETRIA[[#This Row],[EMPRESA]]="NET MASSIVO",MB25_VOLUMETRIA[[#This Row],[EMPRESA]]="NET PROJETOS"),"NET","EMPRESARIAL"))</f>
        <v>NET</v>
      </c>
    </row>
    <row r="1687" spans="1:15" x14ac:dyDescent="0.25">
      <c r="A1687" s="32">
        <v>4383935</v>
      </c>
      <c r="B1687" s="32" t="s">
        <v>21</v>
      </c>
      <c r="C1687" s="33" t="s">
        <v>21</v>
      </c>
      <c r="D1687" s="35">
        <v>45449</v>
      </c>
      <c r="E1687" s="32" t="s">
        <v>185</v>
      </c>
      <c r="F1687" s="32">
        <v>22062556</v>
      </c>
      <c r="G1687" s="32" t="s">
        <v>470</v>
      </c>
      <c r="H1687" s="26" t="s">
        <v>38</v>
      </c>
      <c r="I1687" s="36">
        <v>140</v>
      </c>
      <c r="J1687" s="32">
        <f>IF(MB25_VOLUMETRIA[[#This Row],[Reserva]]="","",1)</f>
        <v>1</v>
      </c>
      <c r="K1687" s="36" t="str">
        <f>IF(MB25_VOLUMETRIA[[#This Row],[Reserva]]="","",IFERROR(VLOOKUP(MB25_VOLUMETRIA[[#This Row],[UMB]],CHAVE[],2,FALSE),"VERIFICAR"))</f>
        <v>Unidade</v>
      </c>
      <c r="L16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7" s="32" t="str">
        <f ca="1">IFERROR(VLOOKUP(MB25_VOLUMETRIA[[#This Row],[Reserva]],RES_AB[],14,FALSE),"")</f>
        <v>RESERVAS PENDENTES</v>
      </c>
      <c r="N1687" s="32" t="str">
        <f>IF(MB25_VOLUMETRIA[[#This Row],[Cen.]]="","",IFERROR(VLOOKUP(MB25_VOLUMETRIA[[#This Row],[Cen.]],Dados_Empresas[],2,FALSE),"Verificar empresa"))</f>
        <v>NET MASSIVO</v>
      </c>
      <c r="O1687" s="32" t="str">
        <f>IF(MB25_VOLUMETRIA[[#This Row],[EMPRESA]]="","",IF(OR(MB25_VOLUMETRIA[[#This Row],[EMPRESA]]="NET MASSIVO",MB25_VOLUMETRIA[[#This Row],[EMPRESA]]="NET PROJETOS"),"NET","EMPRESARIAL"))</f>
        <v>NET</v>
      </c>
    </row>
    <row r="1688" spans="1:15" x14ac:dyDescent="0.25">
      <c r="A1688" s="32">
        <v>4383936</v>
      </c>
      <c r="B1688" s="32" t="s">
        <v>21</v>
      </c>
      <c r="C1688" s="33" t="s">
        <v>19</v>
      </c>
      <c r="D1688" s="35">
        <v>45449</v>
      </c>
      <c r="E1688" s="32" t="s">
        <v>184</v>
      </c>
      <c r="F1688" s="32">
        <v>41001095</v>
      </c>
      <c r="G1688" s="32" t="s">
        <v>246</v>
      </c>
      <c r="H1688" s="26" t="s">
        <v>38</v>
      </c>
      <c r="I1688" s="36">
        <v>70</v>
      </c>
      <c r="J1688" s="32">
        <f>IF(MB25_VOLUMETRIA[[#This Row],[Reserva]]="","",1)</f>
        <v>1</v>
      </c>
      <c r="K1688" s="36" t="str">
        <f>IF(MB25_VOLUMETRIA[[#This Row],[Reserva]]="","",IFERROR(VLOOKUP(MB25_VOLUMETRIA[[#This Row],[UMB]],CHAVE[],2,FALSE),"VERIFICAR"))</f>
        <v>Unidade</v>
      </c>
      <c r="L16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8" s="32" t="str">
        <f ca="1">IFERROR(VLOOKUP(MB25_VOLUMETRIA[[#This Row],[Reserva]],RES_AB[],14,FALSE),"")</f>
        <v>RESERVAS PENDENTES</v>
      </c>
      <c r="N1688" s="32" t="str">
        <f>IF(MB25_VOLUMETRIA[[#This Row],[Cen.]]="","",IFERROR(VLOOKUP(MB25_VOLUMETRIA[[#This Row],[Cen.]],Dados_Empresas[],2,FALSE),"Verificar empresa"))</f>
        <v>NET MASSIVO</v>
      </c>
      <c r="O1688" s="32" t="str">
        <f>IF(MB25_VOLUMETRIA[[#This Row],[EMPRESA]]="","",IF(OR(MB25_VOLUMETRIA[[#This Row],[EMPRESA]]="NET MASSIVO",MB25_VOLUMETRIA[[#This Row],[EMPRESA]]="NET PROJETOS"),"NET","EMPRESARIAL"))</f>
        <v>NET</v>
      </c>
    </row>
    <row r="1689" spans="1:15" x14ac:dyDescent="0.25">
      <c r="A1689" s="32">
        <v>4383936</v>
      </c>
      <c r="B1689" s="32" t="s">
        <v>21</v>
      </c>
      <c r="C1689" s="33" t="s">
        <v>19</v>
      </c>
      <c r="D1689" s="35">
        <v>45449</v>
      </c>
      <c r="E1689" s="32" t="s">
        <v>184</v>
      </c>
      <c r="F1689" s="32">
        <v>41001234</v>
      </c>
      <c r="G1689" s="32" t="s">
        <v>189</v>
      </c>
      <c r="H1689" s="26" t="s">
        <v>38</v>
      </c>
      <c r="I1689" s="36">
        <v>140</v>
      </c>
      <c r="J1689" s="32">
        <f>IF(MB25_VOLUMETRIA[[#This Row],[Reserva]]="","",1)</f>
        <v>1</v>
      </c>
      <c r="K1689" s="36" t="str">
        <f>IF(MB25_VOLUMETRIA[[#This Row],[Reserva]]="","",IFERROR(VLOOKUP(MB25_VOLUMETRIA[[#This Row],[UMB]],CHAVE[],2,FALSE),"VERIFICAR"))</f>
        <v>Unidade</v>
      </c>
      <c r="L16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89" s="32" t="str">
        <f ca="1">IFERROR(VLOOKUP(MB25_VOLUMETRIA[[#This Row],[Reserva]],RES_AB[],14,FALSE),"")</f>
        <v>RESERVAS PENDENTES</v>
      </c>
      <c r="N1689" s="32" t="str">
        <f>IF(MB25_VOLUMETRIA[[#This Row],[Cen.]]="","",IFERROR(VLOOKUP(MB25_VOLUMETRIA[[#This Row],[Cen.]],Dados_Empresas[],2,FALSE),"Verificar empresa"))</f>
        <v>NET MASSIVO</v>
      </c>
      <c r="O1689" s="32" t="str">
        <f>IF(MB25_VOLUMETRIA[[#This Row],[EMPRESA]]="","",IF(OR(MB25_VOLUMETRIA[[#This Row],[EMPRESA]]="NET MASSIVO",MB25_VOLUMETRIA[[#This Row],[EMPRESA]]="NET PROJETOS"),"NET","EMPRESARIAL"))</f>
        <v>NET</v>
      </c>
    </row>
    <row r="1690" spans="1:15" x14ac:dyDescent="0.25">
      <c r="A1690" s="32">
        <v>4383936</v>
      </c>
      <c r="B1690" s="32" t="s">
        <v>21</v>
      </c>
      <c r="C1690" s="33" t="s">
        <v>19</v>
      </c>
      <c r="D1690" s="35">
        <v>45449</v>
      </c>
      <c r="E1690" s="32" t="s">
        <v>184</v>
      </c>
      <c r="F1690" s="32">
        <v>41001277</v>
      </c>
      <c r="G1690" s="32" t="s">
        <v>466</v>
      </c>
      <c r="H1690" s="26" t="s">
        <v>38</v>
      </c>
      <c r="I1690" s="36">
        <v>140</v>
      </c>
      <c r="J1690" s="32">
        <f>IF(MB25_VOLUMETRIA[[#This Row],[Reserva]]="","",1)</f>
        <v>1</v>
      </c>
      <c r="K1690" s="36" t="str">
        <f>IF(MB25_VOLUMETRIA[[#This Row],[Reserva]]="","",IFERROR(VLOOKUP(MB25_VOLUMETRIA[[#This Row],[UMB]],CHAVE[],2,FALSE),"VERIFICAR"))</f>
        <v>Unidade</v>
      </c>
      <c r="L16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0" s="32" t="str">
        <f ca="1">IFERROR(VLOOKUP(MB25_VOLUMETRIA[[#This Row],[Reserva]],RES_AB[],14,FALSE),"")</f>
        <v>RESERVAS PENDENTES</v>
      </c>
      <c r="N1690" s="32" t="str">
        <f>IF(MB25_VOLUMETRIA[[#This Row],[Cen.]]="","",IFERROR(VLOOKUP(MB25_VOLUMETRIA[[#This Row],[Cen.]],Dados_Empresas[],2,FALSE),"Verificar empresa"))</f>
        <v>NET MASSIVO</v>
      </c>
      <c r="O1690" s="32" t="str">
        <f>IF(MB25_VOLUMETRIA[[#This Row],[EMPRESA]]="","",IF(OR(MB25_VOLUMETRIA[[#This Row],[EMPRESA]]="NET MASSIVO",MB25_VOLUMETRIA[[#This Row],[EMPRESA]]="NET PROJETOS"),"NET","EMPRESARIAL"))</f>
        <v>NET</v>
      </c>
    </row>
    <row r="1691" spans="1:15" x14ac:dyDescent="0.25">
      <c r="A1691" s="32">
        <v>4383936</v>
      </c>
      <c r="B1691" s="32" t="s">
        <v>21</v>
      </c>
      <c r="C1691" s="33" t="s">
        <v>19</v>
      </c>
      <c r="D1691" s="35">
        <v>45449</v>
      </c>
      <c r="E1691" s="32" t="s">
        <v>184</v>
      </c>
      <c r="F1691" s="32">
        <v>41001481</v>
      </c>
      <c r="G1691" s="32" t="s">
        <v>403</v>
      </c>
      <c r="H1691" s="26" t="s">
        <v>38</v>
      </c>
      <c r="I1691" s="36">
        <v>140</v>
      </c>
      <c r="J1691" s="32">
        <f>IF(MB25_VOLUMETRIA[[#This Row],[Reserva]]="","",1)</f>
        <v>1</v>
      </c>
      <c r="K1691" s="36" t="str">
        <f>IF(MB25_VOLUMETRIA[[#This Row],[Reserva]]="","",IFERROR(VLOOKUP(MB25_VOLUMETRIA[[#This Row],[UMB]],CHAVE[],2,FALSE),"VERIFICAR"))</f>
        <v>Unidade</v>
      </c>
      <c r="L16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1" s="32" t="str">
        <f ca="1">IFERROR(VLOOKUP(MB25_VOLUMETRIA[[#This Row],[Reserva]],RES_AB[],14,FALSE),"")</f>
        <v>RESERVAS PENDENTES</v>
      </c>
      <c r="N1691" s="32" t="str">
        <f>IF(MB25_VOLUMETRIA[[#This Row],[Cen.]]="","",IFERROR(VLOOKUP(MB25_VOLUMETRIA[[#This Row],[Cen.]],Dados_Empresas[],2,FALSE),"Verificar empresa"))</f>
        <v>NET MASSIVO</v>
      </c>
      <c r="O1691" s="32" t="str">
        <f>IF(MB25_VOLUMETRIA[[#This Row],[EMPRESA]]="","",IF(OR(MB25_VOLUMETRIA[[#This Row],[EMPRESA]]="NET MASSIVO",MB25_VOLUMETRIA[[#This Row],[EMPRESA]]="NET PROJETOS"),"NET","EMPRESARIAL"))</f>
        <v>NET</v>
      </c>
    </row>
    <row r="1692" spans="1:15" x14ac:dyDescent="0.25">
      <c r="A1692" s="32">
        <v>4383936</v>
      </c>
      <c r="B1692" s="32" t="s">
        <v>21</v>
      </c>
      <c r="C1692" s="33" t="s">
        <v>21</v>
      </c>
      <c r="D1692" s="35">
        <v>45449</v>
      </c>
      <c r="E1692" s="32" t="s">
        <v>184</v>
      </c>
      <c r="F1692" s="32">
        <v>41001573</v>
      </c>
      <c r="G1692" s="32" t="s">
        <v>259</v>
      </c>
      <c r="H1692" s="26" t="s">
        <v>38</v>
      </c>
      <c r="I1692" s="36">
        <v>30</v>
      </c>
      <c r="J1692" s="32">
        <f>IF(MB25_VOLUMETRIA[[#This Row],[Reserva]]="","",1)</f>
        <v>1</v>
      </c>
      <c r="K1692" s="36" t="str">
        <f>IF(MB25_VOLUMETRIA[[#This Row],[Reserva]]="","",IFERROR(VLOOKUP(MB25_VOLUMETRIA[[#This Row],[UMB]],CHAVE[],2,FALSE),"VERIFICAR"))</f>
        <v>Unidade</v>
      </c>
      <c r="L16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2" s="32" t="str">
        <f ca="1">IFERROR(VLOOKUP(MB25_VOLUMETRIA[[#This Row],[Reserva]],RES_AB[],14,FALSE),"")</f>
        <v>RESERVAS PENDENTES</v>
      </c>
      <c r="N1692" s="32" t="str">
        <f>IF(MB25_VOLUMETRIA[[#This Row],[Cen.]]="","",IFERROR(VLOOKUP(MB25_VOLUMETRIA[[#This Row],[Cen.]],Dados_Empresas[],2,FALSE),"Verificar empresa"))</f>
        <v>NET MASSIVO</v>
      </c>
      <c r="O1692" s="32" t="str">
        <f>IF(MB25_VOLUMETRIA[[#This Row],[EMPRESA]]="","",IF(OR(MB25_VOLUMETRIA[[#This Row],[EMPRESA]]="NET MASSIVO",MB25_VOLUMETRIA[[#This Row],[EMPRESA]]="NET PROJETOS"),"NET","EMPRESARIAL"))</f>
        <v>NET</v>
      </c>
    </row>
    <row r="1693" spans="1:15" x14ac:dyDescent="0.25">
      <c r="A1693" s="32">
        <v>4383937</v>
      </c>
      <c r="B1693" s="32" t="s">
        <v>21</v>
      </c>
      <c r="C1693" s="33" t="s">
        <v>21</v>
      </c>
      <c r="D1693" s="35">
        <v>45449</v>
      </c>
      <c r="E1693" s="32" t="s">
        <v>185</v>
      </c>
      <c r="F1693" s="32">
        <v>22062577</v>
      </c>
      <c r="G1693" s="32" t="s">
        <v>467</v>
      </c>
      <c r="H1693" s="26" t="s">
        <v>38</v>
      </c>
      <c r="I1693" s="36">
        <v>200</v>
      </c>
      <c r="J1693" s="32">
        <f>IF(MB25_VOLUMETRIA[[#This Row],[Reserva]]="","",1)</f>
        <v>1</v>
      </c>
      <c r="K1693" s="36" t="str">
        <f>IF(MB25_VOLUMETRIA[[#This Row],[Reserva]]="","",IFERROR(VLOOKUP(MB25_VOLUMETRIA[[#This Row],[UMB]],CHAVE[],2,FALSE),"VERIFICAR"))</f>
        <v>Unidade</v>
      </c>
      <c r="L16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3" s="32" t="str">
        <f ca="1">IFERROR(VLOOKUP(MB25_VOLUMETRIA[[#This Row],[Reserva]],RES_AB[],14,FALSE),"")</f>
        <v>RESERVAS PENDENTES</v>
      </c>
      <c r="N1693" s="32" t="str">
        <f>IF(MB25_VOLUMETRIA[[#This Row],[Cen.]]="","",IFERROR(VLOOKUP(MB25_VOLUMETRIA[[#This Row],[Cen.]],Dados_Empresas[],2,FALSE),"Verificar empresa"))</f>
        <v>NET MASSIVO</v>
      </c>
      <c r="O1693" s="32" t="str">
        <f>IF(MB25_VOLUMETRIA[[#This Row],[EMPRESA]]="","",IF(OR(MB25_VOLUMETRIA[[#This Row],[EMPRESA]]="NET MASSIVO",MB25_VOLUMETRIA[[#This Row],[EMPRESA]]="NET PROJETOS"),"NET","EMPRESARIAL"))</f>
        <v>NET</v>
      </c>
    </row>
    <row r="1694" spans="1:15" x14ac:dyDescent="0.25">
      <c r="A1694" s="32">
        <v>4383938</v>
      </c>
      <c r="B1694" s="32" t="s">
        <v>21</v>
      </c>
      <c r="C1694" s="33" t="s">
        <v>19</v>
      </c>
      <c r="D1694" s="35">
        <v>45449</v>
      </c>
      <c r="E1694" s="32" t="s">
        <v>184</v>
      </c>
      <c r="F1694" s="32">
        <v>41001485</v>
      </c>
      <c r="G1694" s="32" t="s">
        <v>469</v>
      </c>
      <c r="H1694" s="26" t="s">
        <v>38</v>
      </c>
      <c r="I1694" s="36">
        <v>200</v>
      </c>
      <c r="J1694" s="32">
        <f>IF(MB25_VOLUMETRIA[[#This Row],[Reserva]]="","",1)</f>
        <v>1</v>
      </c>
      <c r="K1694" s="36" t="str">
        <f>IF(MB25_VOLUMETRIA[[#This Row],[Reserva]]="","",IFERROR(VLOOKUP(MB25_VOLUMETRIA[[#This Row],[UMB]],CHAVE[],2,FALSE),"VERIFICAR"))</f>
        <v>Unidade</v>
      </c>
      <c r="L16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4" s="32" t="str">
        <f ca="1">IFERROR(VLOOKUP(MB25_VOLUMETRIA[[#This Row],[Reserva]],RES_AB[],14,FALSE),"")</f>
        <v>RESERVAS PENDENTES</v>
      </c>
      <c r="N1694" s="32" t="str">
        <f>IF(MB25_VOLUMETRIA[[#This Row],[Cen.]]="","",IFERROR(VLOOKUP(MB25_VOLUMETRIA[[#This Row],[Cen.]],Dados_Empresas[],2,FALSE),"Verificar empresa"))</f>
        <v>NET MASSIVO</v>
      </c>
      <c r="O1694" s="32" t="str">
        <f>IF(MB25_VOLUMETRIA[[#This Row],[EMPRESA]]="","",IF(OR(MB25_VOLUMETRIA[[#This Row],[EMPRESA]]="NET MASSIVO",MB25_VOLUMETRIA[[#This Row],[EMPRESA]]="NET PROJETOS"),"NET","EMPRESARIAL"))</f>
        <v>NET</v>
      </c>
    </row>
    <row r="1695" spans="1:15" x14ac:dyDescent="0.25">
      <c r="A1695" s="32">
        <v>4383939</v>
      </c>
      <c r="B1695" s="32" t="s">
        <v>21</v>
      </c>
      <c r="C1695" s="33" t="s">
        <v>19</v>
      </c>
      <c r="D1695" s="35">
        <v>45449</v>
      </c>
      <c r="E1695" s="32" t="s">
        <v>185</v>
      </c>
      <c r="F1695" s="32">
        <v>22026096</v>
      </c>
      <c r="G1695" s="32" t="s">
        <v>464</v>
      </c>
      <c r="H1695" s="26" t="s">
        <v>38</v>
      </c>
      <c r="I1695" s="36">
        <v>60</v>
      </c>
      <c r="J1695" s="32">
        <f>IF(MB25_VOLUMETRIA[[#This Row],[Reserva]]="","",1)</f>
        <v>1</v>
      </c>
      <c r="K1695" s="36" t="str">
        <f>IF(MB25_VOLUMETRIA[[#This Row],[Reserva]]="","",IFERROR(VLOOKUP(MB25_VOLUMETRIA[[#This Row],[UMB]],CHAVE[],2,FALSE),"VERIFICAR"))</f>
        <v>Unidade</v>
      </c>
      <c r="L16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5" s="32" t="str">
        <f ca="1">IFERROR(VLOOKUP(MB25_VOLUMETRIA[[#This Row],[Reserva]],RES_AB[],14,FALSE),"")</f>
        <v>RESERVAS PENDENTES</v>
      </c>
      <c r="N1695" s="32" t="str">
        <f>IF(MB25_VOLUMETRIA[[#This Row],[Cen.]]="","",IFERROR(VLOOKUP(MB25_VOLUMETRIA[[#This Row],[Cen.]],Dados_Empresas[],2,FALSE),"Verificar empresa"))</f>
        <v>NET MASSIVO</v>
      </c>
      <c r="O1695" s="32" t="str">
        <f>IF(MB25_VOLUMETRIA[[#This Row],[EMPRESA]]="","",IF(OR(MB25_VOLUMETRIA[[#This Row],[EMPRESA]]="NET MASSIVO",MB25_VOLUMETRIA[[#This Row],[EMPRESA]]="NET PROJETOS"),"NET","EMPRESARIAL"))</f>
        <v>NET</v>
      </c>
    </row>
    <row r="1696" spans="1:15" x14ac:dyDescent="0.25">
      <c r="A1696" s="32">
        <v>4383939</v>
      </c>
      <c r="B1696" s="32" t="s">
        <v>21</v>
      </c>
      <c r="C1696" s="33" t="s">
        <v>19</v>
      </c>
      <c r="D1696" s="35">
        <v>45449</v>
      </c>
      <c r="E1696" s="32" t="s">
        <v>185</v>
      </c>
      <c r="F1696" s="32">
        <v>22026103</v>
      </c>
      <c r="G1696" s="32" t="s">
        <v>322</v>
      </c>
      <c r="H1696" s="26" t="s">
        <v>38</v>
      </c>
      <c r="I1696" s="36">
        <v>20</v>
      </c>
      <c r="J1696" s="32">
        <f>IF(MB25_VOLUMETRIA[[#This Row],[Reserva]]="","",1)</f>
        <v>1</v>
      </c>
      <c r="K1696" s="36" t="str">
        <f>IF(MB25_VOLUMETRIA[[#This Row],[Reserva]]="","",IFERROR(VLOOKUP(MB25_VOLUMETRIA[[#This Row],[UMB]],CHAVE[],2,FALSE),"VERIFICAR"))</f>
        <v>Unidade</v>
      </c>
      <c r="L16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6" s="32" t="str">
        <f ca="1">IFERROR(VLOOKUP(MB25_VOLUMETRIA[[#This Row],[Reserva]],RES_AB[],14,FALSE),"")</f>
        <v>RESERVAS PENDENTES</v>
      </c>
      <c r="N1696" s="32" t="str">
        <f>IF(MB25_VOLUMETRIA[[#This Row],[Cen.]]="","",IFERROR(VLOOKUP(MB25_VOLUMETRIA[[#This Row],[Cen.]],Dados_Empresas[],2,FALSE),"Verificar empresa"))</f>
        <v>NET MASSIVO</v>
      </c>
      <c r="O1696" s="32" t="str">
        <f>IF(MB25_VOLUMETRIA[[#This Row],[EMPRESA]]="","",IF(OR(MB25_VOLUMETRIA[[#This Row],[EMPRESA]]="NET MASSIVO",MB25_VOLUMETRIA[[#This Row],[EMPRESA]]="NET PROJETOS"),"NET","EMPRESARIAL"))</f>
        <v>NET</v>
      </c>
    </row>
    <row r="1697" spans="1:15" x14ac:dyDescent="0.25">
      <c r="A1697" s="32">
        <v>4383939</v>
      </c>
      <c r="B1697" s="32" t="s">
        <v>21</v>
      </c>
      <c r="C1697" s="33" t="s">
        <v>19</v>
      </c>
      <c r="D1697" s="35">
        <v>45449</v>
      </c>
      <c r="E1697" s="32" t="s">
        <v>185</v>
      </c>
      <c r="F1697" s="32">
        <v>22026293</v>
      </c>
      <c r="G1697" s="32" t="s">
        <v>352</v>
      </c>
      <c r="H1697" s="26" t="s">
        <v>38</v>
      </c>
      <c r="I1697" s="36">
        <v>130</v>
      </c>
      <c r="J1697" s="32">
        <f>IF(MB25_VOLUMETRIA[[#This Row],[Reserva]]="","",1)</f>
        <v>1</v>
      </c>
      <c r="K1697" s="36" t="str">
        <f>IF(MB25_VOLUMETRIA[[#This Row],[Reserva]]="","",IFERROR(VLOOKUP(MB25_VOLUMETRIA[[#This Row],[UMB]],CHAVE[],2,FALSE),"VERIFICAR"))</f>
        <v>Unidade</v>
      </c>
      <c r="L16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7" s="32" t="str">
        <f ca="1">IFERROR(VLOOKUP(MB25_VOLUMETRIA[[#This Row],[Reserva]],RES_AB[],14,FALSE),"")</f>
        <v>RESERVAS PENDENTES</v>
      </c>
      <c r="N1697" s="32" t="str">
        <f>IF(MB25_VOLUMETRIA[[#This Row],[Cen.]]="","",IFERROR(VLOOKUP(MB25_VOLUMETRIA[[#This Row],[Cen.]],Dados_Empresas[],2,FALSE),"Verificar empresa"))</f>
        <v>NET MASSIVO</v>
      </c>
      <c r="O1697" s="32" t="str">
        <f>IF(MB25_VOLUMETRIA[[#This Row],[EMPRESA]]="","",IF(OR(MB25_VOLUMETRIA[[#This Row],[EMPRESA]]="NET MASSIVO",MB25_VOLUMETRIA[[#This Row],[EMPRESA]]="NET PROJETOS"),"NET","EMPRESARIAL"))</f>
        <v>NET</v>
      </c>
    </row>
    <row r="1698" spans="1:15" x14ac:dyDescent="0.25">
      <c r="A1698" s="32">
        <v>4383939</v>
      </c>
      <c r="B1698" s="32" t="s">
        <v>21</v>
      </c>
      <c r="C1698" s="33" t="s">
        <v>19</v>
      </c>
      <c r="D1698" s="35">
        <v>45449</v>
      </c>
      <c r="E1698" s="32" t="s">
        <v>185</v>
      </c>
      <c r="F1698" s="32">
        <v>22058639</v>
      </c>
      <c r="G1698" s="32" t="s">
        <v>290</v>
      </c>
      <c r="H1698" s="26" t="s">
        <v>38</v>
      </c>
      <c r="I1698" s="36">
        <v>20</v>
      </c>
      <c r="J1698" s="32">
        <f>IF(MB25_VOLUMETRIA[[#This Row],[Reserva]]="","",1)</f>
        <v>1</v>
      </c>
      <c r="K1698" s="36" t="str">
        <f>IF(MB25_VOLUMETRIA[[#This Row],[Reserva]]="","",IFERROR(VLOOKUP(MB25_VOLUMETRIA[[#This Row],[UMB]],CHAVE[],2,FALSE),"VERIFICAR"))</f>
        <v>Unidade</v>
      </c>
      <c r="L16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8" s="32" t="str">
        <f ca="1">IFERROR(VLOOKUP(MB25_VOLUMETRIA[[#This Row],[Reserva]],RES_AB[],14,FALSE),"")</f>
        <v>RESERVAS PENDENTES</v>
      </c>
      <c r="N1698" s="32" t="str">
        <f>IF(MB25_VOLUMETRIA[[#This Row],[Cen.]]="","",IFERROR(VLOOKUP(MB25_VOLUMETRIA[[#This Row],[Cen.]],Dados_Empresas[],2,FALSE),"Verificar empresa"))</f>
        <v>NET MASSIVO</v>
      </c>
      <c r="O1698" s="32" t="str">
        <f>IF(MB25_VOLUMETRIA[[#This Row],[EMPRESA]]="","",IF(OR(MB25_VOLUMETRIA[[#This Row],[EMPRESA]]="NET MASSIVO",MB25_VOLUMETRIA[[#This Row],[EMPRESA]]="NET PROJETOS"),"NET","EMPRESARIAL"))</f>
        <v>NET</v>
      </c>
    </row>
    <row r="1699" spans="1:15" x14ac:dyDescent="0.25">
      <c r="A1699" s="32">
        <v>4383939</v>
      </c>
      <c r="B1699" s="32" t="s">
        <v>21</v>
      </c>
      <c r="C1699" s="33" t="s">
        <v>19</v>
      </c>
      <c r="D1699" s="35">
        <v>45449</v>
      </c>
      <c r="E1699" s="32" t="s">
        <v>185</v>
      </c>
      <c r="F1699" s="32">
        <v>22060287</v>
      </c>
      <c r="G1699" s="32" t="s">
        <v>465</v>
      </c>
      <c r="H1699" s="26" t="s">
        <v>38</v>
      </c>
      <c r="I1699" s="36">
        <v>60</v>
      </c>
      <c r="J1699" s="32">
        <f>IF(MB25_VOLUMETRIA[[#This Row],[Reserva]]="","",1)</f>
        <v>1</v>
      </c>
      <c r="K1699" s="36" t="str">
        <f>IF(MB25_VOLUMETRIA[[#This Row],[Reserva]]="","",IFERROR(VLOOKUP(MB25_VOLUMETRIA[[#This Row],[UMB]],CHAVE[],2,FALSE),"VERIFICAR"))</f>
        <v>Unidade</v>
      </c>
      <c r="L16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699" s="32" t="str">
        <f ca="1">IFERROR(VLOOKUP(MB25_VOLUMETRIA[[#This Row],[Reserva]],RES_AB[],14,FALSE),"")</f>
        <v>RESERVAS PENDENTES</v>
      </c>
      <c r="N1699" s="32" t="str">
        <f>IF(MB25_VOLUMETRIA[[#This Row],[Cen.]]="","",IFERROR(VLOOKUP(MB25_VOLUMETRIA[[#This Row],[Cen.]],Dados_Empresas[],2,FALSE),"Verificar empresa"))</f>
        <v>NET MASSIVO</v>
      </c>
      <c r="O1699" s="32" t="str">
        <f>IF(MB25_VOLUMETRIA[[#This Row],[EMPRESA]]="","",IF(OR(MB25_VOLUMETRIA[[#This Row],[EMPRESA]]="NET MASSIVO",MB25_VOLUMETRIA[[#This Row],[EMPRESA]]="NET PROJETOS"),"NET","EMPRESARIAL"))</f>
        <v>NET</v>
      </c>
    </row>
    <row r="1700" spans="1:15" x14ac:dyDescent="0.25">
      <c r="A1700" s="32">
        <v>4383939</v>
      </c>
      <c r="B1700" s="32" t="s">
        <v>21</v>
      </c>
      <c r="C1700" s="33" t="s">
        <v>21</v>
      </c>
      <c r="D1700" s="35">
        <v>45449</v>
      </c>
      <c r="E1700" s="32" t="s">
        <v>185</v>
      </c>
      <c r="F1700" s="32">
        <v>22060422</v>
      </c>
      <c r="G1700" s="32" t="s">
        <v>298</v>
      </c>
      <c r="H1700" s="26" t="s">
        <v>38</v>
      </c>
      <c r="I1700" s="36">
        <v>130</v>
      </c>
      <c r="J1700" s="32">
        <f>IF(MB25_VOLUMETRIA[[#This Row],[Reserva]]="","",1)</f>
        <v>1</v>
      </c>
      <c r="K1700" s="36" t="str">
        <f>IF(MB25_VOLUMETRIA[[#This Row],[Reserva]]="","",IFERROR(VLOOKUP(MB25_VOLUMETRIA[[#This Row],[UMB]],CHAVE[],2,FALSE),"VERIFICAR"))</f>
        <v>Unidade</v>
      </c>
      <c r="L17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0" s="32" t="str">
        <f ca="1">IFERROR(VLOOKUP(MB25_VOLUMETRIA[[#This Row],[Reserva]],RES_AB[],14,FALSE),"")</f>
        <v>RESERVAS PENDENTES</v>
      </c>
      <c r="N1700" s="32" t="str">
        <f>IF(MB25_VOLUMETRIA[[#This Row],[Cen.]]="","",IFERROR(VLOOKUP(MB25_VOLUMETRIA[[#This Row],[Cen.]],Dados_Empresas[],2,FALSE),"Verificar empresa"))</f>
        <v>NET MASSIVO</v>
      </c>
      <c r="O1700" s="32" t="str">
        <f>IF(MB25_VOLUMETRIA[[#This Row],[EMPRESA]]="","",IF(OR(MB25_VOLUMETRIA[[#This Row],[EMPRESA]]="NET MASSIVO",MB25_VOLUMETRIA[[#This Row],[EMPRESA]]="NET PROJETOS"),"NET","EMPRESARIAL"))</f>
        <v>NET</v>
      </c>
    </row>
    <row r="1701" spans="1:15" x14ac:dyDescent="0.25">
      <c r="A1701" s="32">
        <v>4383939</v>
      </c>
      <c r="B1701" s="32" t="s">
        <v>21</v>
      </c>
      <c r="C1701" s="33" t="s">
        <v>21</v>
      </c>
      <c r="D1701" s="35">
        <v>45449</v>
      </c>
      <c r="E1701" s="32" t="s">
        <v>185</v>
      </c>
      <c r="F1701" s="32">
        <v>22063252</v>
      </c>
      <c r="G1701" s="32" t="s">
        <v>323</v>
      </c>
      <c r="H1701" s="26" t="s">
        <v>38</v>
      </c>
      <c r="I1701" s="36">
        <v>20</v>
      </c>
      <c r="J1701" s="32">
        <f>IF(MB25_VOLUMETRIA[[#This Row],[Reserva]]="","",1)</f>
        <v>1</v>
      </c>
      <c r="K1701" s="36" t="str">
        <f>IF(MB25_VOLUMETRIA[[#This Row],[Reserva]]="","",IFERROR(VLOOKUP(MB25_VOLUMETRIA[[#This Row],[UMB]],CHAVE[],2,FALSE),"VERIFICAR"))</f>
        <v>Unidade</v>
      </c>
      <c r="L17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1" s="32" t="str">
        <f ca="1">IFERROR(VLOOKUP(MB25_VOLUMETRIA[[#This Row],[Reserva]],RES_AB[],14,FALSE),"")</f>
        <v>RESERVAS PENDENTES</v>
      </c>
      <c r="N1701" s="32" t="str">
        <f>IF(MB25_VOLUMETRIA[[#This Row],[Cen.]]="","",IFERROR(VLOOKUP(MB25_VOLUMETRIA[[#This Row],[Cen.]],Dados_Empresas[],2,FALSE),"Verificar empresa"))</f>
        <v>NET MASSIVO</v>
      </c>
      <c r="O1701" s="32" t="str">
        <f>IF(MB25_VOLUMETRIA[[#This Row],[EMPRESA]]="","",IF(OR(MB25_VOLUMETRIA[[#This Row],[EMPRESA]]="NET MASSIVO",MB25_VOLUMETRIA[[#This Row],[EMPRESA]]="NET PROJETOS"),"NET","EMPRESARIAL"))</f>
        <v>NET</v>
      </c>
    </row>
    <row r="1702" spans="1:15" x14ac:dyDescent="0.25">
      <c r="A1702" s="32">
        <v>4383940</v>
      </c>
      <c r="B1702" s="32" t="s">
        <v>21</v>
      </c>
      <c r="C1702" s="33" t="s">
        <v>19</v>
      </c>
      <c r="D1702" s="35">
        <v>45449</v>
      </c>
      <c r="E1702" s="32" t="s">
        <v>184</v>
      </c>
      <c r="F1702" s="32">
        <v>41000805</v>
      </c>
      <c r="G1702" s="32" t="s">
        <v>188</v>
      </c>
      <c r="H1702" s="26" t="s">
        <v>38</v>
      </c>
      <c r="I1702" s="36">
        <v>20</v>
      </c>
      <c r="J1702" s="32">
        <f>IF(MB25_VOLUMETRIA[[#This Row],[Reserva]]="","",1)</f>
        <v>1</v>
      </c>
      <c r="K1702" s="36" t="str">
        <f>IF(MB25_VOLUMETRIA[[#This Row],[Reserva]]="","",IFERROR(VLOOKUP(MB25_VOLUMETRIA[[#This Row],[UMB]],CHAVE[],2,FALSE),"VERIFICAR"))</f>
        <v>Unidade</v>
      </c>
      <c r="L17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2" s="32" t="str">
        <f ca="1">IFERROR(VLOOKUP(MB25_VOLUMETRIA[[#This Row],[Reserva]],RES_AB[],14,FALSE),"")</f>
        <v>RESERVAS PENDENTES</v>
      </c>
      <c r="N1702" s="32" t="str">
        <f>IF(MB25_VOLUMETRIA[[#This Row],[Cen.]]="","",IFERROR(VLOOKUP(MB25_VOLUMETRIA[[#This Row],[Cen.]],Dados_Empresas[],2,FALSE),"Verificar empresa"))</f>
        <v>NET MASSIVO</v>
      </c>
      <c r="O1702" s="32" t="str">
        <f>IF(MB25_VOLUMETRIA[[#This Row],[EMPRESA]]="","",IF(OR(MB25_VOLUMETRIA[[#This Row],[EMPRESA]]="NET MASSIVO",MB25_VOLUMETRIA[[#This Row],[EMPRESA]]="NET PROJETOS"),"NET","EMPRESARIAL"))</f>
        <v>NET</v>
      </c>
    </row>
    <row r="1703" spans="1:15" x14ac:dyDescent="0.25">
      <c r="A1703" s="32">
        <v>4383940</v>
      </c>
      <c r="B1703" s="32" t="s">
        <v>21</v>
      </c>
      <c r="C1703" s="33" t="s">
        <v>19</v>
      </c>
      <c r="D1703" s="35">
        <v>45449</v>
      </c>
      <c r="E1703" s="32" t="s">
        <v>184</v>
      </c>
      <c r="F1703" s="32">
        <v>41001234</v>
      </c>
      <c r="G1703" s="32" t="s">
        <v>189</v>
      </c>
      <c r="H1703" s="26" t="s">
        <v>38</v>
      </c>
      <c r="I1703" s="36">
        <v>130</v>
      </c>
      <c r="J1703" s="32">
        <f>IF(MB25_VOLUMETRIA[[#This Row],[Reserva]]="","",1)</f>
        <v>1</v>
      </c>
      <c r="K1703" s="36" t="str">
        <f>IF(MB25_VOLUMETRIA[[#This Row],[Reserva]]="","",IFERROR(VLOOKUP(MB25_VOLUMETRIA[[#This Row],[UMB]],CHAVE[],2,FALSE),"VERIFICAR"))</f>
        <v>Unidade</v>
      </c>
      <c r="L17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3" s="32" t="str">
        <f ca="1">IFERROR(VLOOKUP(MB25_VOLUMETRIA[[#This Row],[Reserva]],RES_AB[],14,FALSE),"")</f>
        <v>RESERVAS PENDENTES</v>
      </c>
      <c r="N1703" s="32" t="str">
        <f>IF(MB25_VOLUMETRIA[[#This Row],[Cen.]]="","",IFERROR(VLOOKUP(MB25_VOLUMETRIA[[#This Row],[Cen.]],Dados_Empresas[],2,FALSE),"Verificar empresa"))</f>
        <v>NET MASSIVO</v>
      </c>
      <c r="O1703" s="32" t="str">
        <f>IF(MB25_VOLUMETRIA[[#This Row],[EMPRESA]]="","",IF(OR(MB25_VOLUMETRIA[[#This Row],[EMPRESA]]="NET MASSIVO",MB25_VOLUMETRIA[[#This Row],[EMPRESA]]="NET PROJETOS"),"NET","EMPRESARIAL"))</f>
        <v>NET</v>
      </c>
    </row>
    <row r="1704" spans="1:15" x14ac:dyDescent="0.25">
      <c r="A1704" s="32">
        <v>4383940</v>
      </c>
      <c r="B1704" s="32" t="s">
        <v>21</v>
      </c>
      <c r="C1704" s="33" t="s">
        <v>19</v>
      </c>
      <c r="D1704" s="35">
        <v>45449</v>
      </c>
      <c r="E1704" s="32" t="s">
        <v>184</v>
      </c>
      <c r="F1704" s="32">
        <v>41001277</v>
      </c>
      <c r="G1704" s="32" t="s">
        <v>466</v>
      </c>
      <c r="H1704" s="26" t="s">
        <v>38</v>
      </c>
      <c r="I1704" s="36">
        <v>130</v>
      </c>
      <c r="J1704" s="32">
        <f>IF(MB25_VOLUMETRIA[[#This Row],[Reserva]]="","",1)</f>
        <v>1</v>
      </c>
      <c r="K1704" s="36" t="str">
        <f>IF(MB25_VOLUMETRIA[[#This Row],[Reserva]]="","",IFERROR(VLOOKUP(MB25_VOLUMETRIA[[#This Row],[UMB]],CHAVE[],2,FALSE),"VERIFICAR"))</f>
        <v>Unidade</v>
      </c>
      <c r="L17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4" s="32" t="str">
        <f ca="1">IFERROR(VLOOKUP(MB25_VOLUMETRIA[[#This Row],[Reserva]],RES_AB[],14,FALSE),"")</f>
        <v>RESERVAS PENDENTES</v>
      </c>
      <c r="N1704" s="32" t="str">
        <f>IF(MB25_VOLUMETRIA[[#This Row],[Cen.]]="","",IFERROR(VLOOKUP(MB25_VOLUMETRIA[[#This Row],[Cen.]],Dados_Empresas[],2,FALSE),"Verificar empresa"))</f>
        <v>NET MASSIVO</v>
      </c>
      <c r="O1704" s="32" t="str">
        <f>IF(MB25_VOLUMETRIA[[#This Row],[EMPRESA]]="","",IF(OR(MB25_VOLUMETRIA[[#This Row],[EMPRESA]]="NET MASSIVO",MB25_VOLUMETRIA[[#This Row],[EMPRESA]]="NET PROJETOS"),"NET","EMPRESARIAL"))</f>
        <v>NET</v>
      </c>
    </row>
    <row r="1705" spans="1:15" x14ac:dyDescent="0.25">
      <c r="A1705" s="32">
        <v>4383940</v>
      </c>
      <c r="B1705" s="32" t="s">
        <v>21</v>
      </c>
      <c r="C1705" s="33" t="s">
        <v>19</v>
      </c>
      <c r="D1705" s="35">
        <v>45449</v>
      </c>
      <c r="E1705" s="32" t="s">
        <v>184</v>
      </c>
      <c r="F1705" s="32">
        <v>41001481</v>
      </c>
      <c r="G1705" s="32" t="s">
        <v>403</v>
      </c>
      <c r="H1705" s="26" t="s">
        <v>38</v>
      </c>
      <c r="I1705" s="36">
        <v>60</v>
      </c>
      <c r="J1705" s="32">
        <f>IF(MB25_VOLUMETRIA[[#This Row],[Reserva]]="","",1)</f>
        <v>1</v>
      </c>
      <c r="K1705" s="36" t="str">
        <f>IF(MB25_VOLUMETRIA[[#This Row],[Reserva]]="","",IFERROR(VLOOKUP(MB25_VOLUMETRIA[[#This Row],[UMB]],CHAVE[],2,FALSE),"VERIFICAR"))</f>
        <v>Unidade</v>
      </c>
      <c r="L17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5" s="32" t="str">
        <f ca="1">IFERROR(VLOOKUP(MB25_VOLUMETRIA[[#This Row],[Reserva]],RES_AB[],14,FALSE),"")</f>
        <v>RESERVAS PENDENTES</v>
      </c>
      <c r="N1705" s="32" t="str">
        <f>IF(MB25_VOLUMETRIA[[#This Row],[Cen.]]="","",IFERROR(VLOOKUP(MB25_VOLUMETRIA[[#This Row],[Cen.]],Dados_Empresas[],2,FALSE),"Verificar empresa"))</f>
        <v>NET MASSIVO</v>
      </c>
      <c r="O1705" s="32" t="str">
        <f>IF(MB25_VOLUMETRIA[[#This Row],[EMPRESA]]="","",IF(OR(MB25_VOLUMETRIA[[#This Row],[EMPRESA]]="NET MASSIVO",MB25_VOLUMETRIA[[#This Row],[EMPRESA]]="NET PROJETOS"),"NET","EMPRESARIAL"))</f>
        <v>NET</v>
      </c>
    </row>
    <row r="1706" spans="1:15" x14ac:dyDescent="0.25">
      <c r="A1706" s="32">
        <v>4383940</v>
      </c>
      <c r="B1706" s="32" t="s">
        <v>21</v>
      </c>
      <c r="C1706" s="33" t="s">
        <v>19</v>
      </c>
      <c r="D1706" s="35">
        <v>45449</v>
      </c>
      <c r="E1706" s="32" t="s">
        <v>184</v>
      </c>
      <c r="F1706" s="32">
        <v>41001484</v>
      </c>
      <c r="G1706" s="32" t="s">
        <v>292</v>
      </c>
      <c r="H1706" s="26" t="s">
        <v>38</v>
      </c>
      <c r="I1706" s="36">
        <v>20</v>
      </c>
      <c r="J1706" s="32">
        <f>IF(MB25_VOLUMETRIA[[#This Row],[Reserva]]="","",1)</f>
        <v>1</v>
      </c>
      <c r="K1706" s="36" t="str">
        <f>IF(MB25_VOLUMETRIA[[#This Row],[Reserva]]="","",IFERROR(VLOOKUP(MB25_VOLUMETRIA[[#This Row],[UMB]],CHAVE[],2,FALSE),"VERIFICAR"))</f>
        <v>Unidade</v>
      </c>
      <c r="L17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6" s="32" t="str">
        <f ca="1">IFERROR(VLOOKUP(MB25_VOLUMETRIA[[#This Row],[Reserva]],RES_AB[],14,FALSE),"")</f>
        <v>RESERVAS PENDENTES</v>
      </c>
      <c r="N1706" s="32" t="str">
        <f>IF(MB25_VOLUMETRIA[[#This Row],[Cen.]]="","",IFERROR(VLOOKUP(MB25_VOLUMETRIA[[#This Row],[Cen.]],Dados_Empresas[],2,FALSE),"Verificar empresa"))</f>
        <v>NET MASSIVO</v>
      </c>
      <c r="O1706" s="32" t="str">
        <f>IF(MB25_VOLUMETRIA[[#This Row],[EMPRESA]]="","",IF(OR(MB25_VOLUMETRIA[[#This Row],[EMPRESA]]="NET MASSIVO",MB25_VOLUMETRIA[[#This Row],[EMPRESA]]="NET PROJETOS"),"NET","EMPRESARIAL"))</f>
        <v>NET</v>
      </c>
    </row>
    <row r="1707" spans="1:15" x14ac:dyDescent="0.25">
      <c r="A1707" s="32">
        <v>4383940</v>
      </c>
      <c r="B1707" s="32" t="s">
        <v>21</v>
      </c>
      <c r="C1707" s="33" t="s">
        <v>21</v>
      </c>
      <c r="D1707" s="35">
        <v>45449</v>
      </c>
      <c r="E1707" s="32" t="s">
        <v>184</v>
      </c>
      <c r="F1707" s="32">
        <v>41001590</v>
      </c>
      <c r="G1707" s="32" t="s">
        <v>239</v>
      </c>
      <c r="H1707" s="26" t="s">
        <v>38</v>
      </c>
      <c r="I1707" s="36">
        <v>20</v>
      </c>
      <c r="J1707" s="32">
        <f>IF(MB25_VOLUMETRIA[[#This Row],[Reserva]]="","",1)</f>
        <v>1</v>
      </c>
      <c r="K1707" s="36" t="str">
        <f>IF(MB25_VOLUMETRIA[[#This Row],[Reserva]]="","",IFERROR(VLOOKUP(MB25_VOLUMETRIA[[#This Row],[UMB]],CHAVE[],2,FALSE),"VERIFICAR"))</f>
        <v>Unidade</v>
      </c>
      <c r="L17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7" s="32" t="str">
        <f ca="1">IFERROR(VLOOKUP(MB25_VOLUMETRIA[[#This Row],[Reserva]],RES_AB[],14,FALSE),"")</f>
        <v>RESERVAS PENDENTES</v>
      </c>
      <c r="N1707" s="32" t="str">
        <f>IF(MB25_VOLUMETRIA[[#This Row],[Cen.]]="","",IFERROR(VLOOKUP(MB25_VOLUMETRIA[[#This Row],[Cen.]],Dados_Empresas[],2,FALSE),"Verificar empresa"))</f>
        <v>NET MASSIVO</v>
      </c>
      <c r="O1707" s="32" t="str">
        <f>IF(MB25_VOLUMETRIA[[#This Row],[EMPRESA]]="","",IF(OR(MB25_VOLUMETRIA[[#This Row],[EMPRESA]]="NET MASSIVO",MB25_VOLUMETRIA[[#This Row],[EMPRESA]]="NET PROJETOS"),"NET","EMPRESARIAL"))</f>
        <v>NET</v>
      </c>
    </row>
    <row r="1708" spans="1:15" x14ac:dyDescent="0.25">
      <c r="A1708" s="32">
        <v>4383941</v>
      </c>
      <c r="B1708" s="32" t="s">
        <v>21</v>
      </c>
      <c r="C1708" s="33" t="s">
        <v>19</v>
      </c>
      <c r="D1708" s="35">
        <v>45449</v>
      </c>
      <c r="E1708" s="32" t="s">
        <v>185</v>
      </c>
      <c r="F1708" s="32">
        <v>22026096</v>
      </c>
      <c r="G1708" s="32" t="s">
        <v>464</v>
      </c>
      <c r="H1708" s="26" t="s">
        <v>38</v>
      </c>
      <c r="I1708" s="36">
        <v>160</v>
      </c>
      <c r="J1708" s="32">
        <f>IF(MB25_VOLUMETRIA[[#This Row],[Reserva]]="","",1)</f>
        <v>1</v>
      </c>
      <c r="K1708" s="36" t="str">
        <f>IF(MB25_VOLUMETRIA[[#This Row],[Reserva]]="","",IFERROR(VLOOKUP(MB25_VOLUMETRIA[[#This Row],[UMB]],CHAVE[],2,FALSE),"VERIFICAR"))</f>
        <v>Unidade</v>
      </c>
      <c r="L17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8" s="32" t="str">
        <f ca="1">IFERROR(VLOOKUP(MB25_VOLUMETRIA[[#This Row],[Reserva]],RES_AB[],14,FALSE),"")</f>
        <v>RESERVAS PENDENTES</v>
      </c>
      <c r="N1708" s="32" t="str">
        <f>IF(MB25_VOLUMETRIA[[#This Row],[Cen.]]="","",IFERROR(VLOOKUP(MB25_VOLUMETRIA[[#This Row],[Cen.]],Dados_Empresas[],2,FALSE),"Verificar empresa"))</f>
        <v>NET MASSIVO</v>
      </c>
      <c r="O1708" s="32" t="str">
        <f>IF(MB25_VOLUMETRIA[[#This Row],[EMPRESA]]="","",IF(OR(MB25_VOLUMETRIA[[#This Row],[EMPRESA]]="NET MASSIVO",MB25_VOLUMETRIA[[#This Row],[EMPRESA]]="NET PROJETOS"),"NET","EMPRESARIAL"))</f>
        <v>NET</v>
      </c>
    </row>
    <row r="1709" spans="1:15" x14ac:dyDescent="0.25">
      <c r="A1709" s="32">
        <v>4383941</v>
      </c>
      <c r="B1709" s="32" t="s">
        <v>21</v>
      </c>
      <c r="C1709" s="33" t="s">
        <v>19</v>
      </c>
      <c r="D1709" s="35">
        <v>45449</v>
      </c>
      <c r="E1709" s="32" t="s">
        <v>185</v>
      </c>
      <c r="F1709" s="32">
        <v>22058639</v>
      </c>
      <c r="G1709" s="32" t="s">
        <v>290</v>
      </c>
      <c r="H1709" s="26" t="s">
        <v>38</v>
      </c>
      <c r="I1709" s="36">
        <v>100</v>
      </c>
      <c r="J1709" s="32">
        <f>IF(MB25_VOLUMETRIA[[#This Row],[Reserva]]="","",1)</f>
        <v>1</v>
      </c>
      <c r="K1709" s="36" t="str">
        <f>IF(MB25_VOLUMETRIA[[#This Row],[Reserva]]="","",IFERROR(VLOOKUP(MB25_VOLUMETRIA[[#This Row],[UMB]],CHAVE[],2,FALSE),"VERIFICAR"))</f>
        <v>Unidade</v>
      </c>
      <c r="L17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09" s="32" t="str">
        <f ca="1">IFERROR(VLOOKUP(MB25_VOLUMETRIA[[#This Row],[Reserva]],RES_AB[],14,FALSE),"")</f>
        <v>RESERVAS PENDENTES</v>
      </c>
      <c r="N1709" s="32" t="str">
        <f>IF(MB25_VOLUMETRIA[[#This Row],[Cen.]]="","",IFERROR(VLOOKUP(MB25_VOLUMETRIA[[#This Row],[Cen.]],Dados_Empresas[],2,FALSE),"Verificar empresa"))</f>
        <v>NET MASSIVO</v>
      </c>
      <c r="O1709" s="32" t="str">
        <f>IF(MB25_VOLUMETRIA[[#This Row],[EMPRESA]]="","",IF(OR(MB25_VOLUMETRIA[[#This Row],[EMPRESA]]="NET MASSIVO",MB25_VOLUMETRIA[[#This Row],[EMPRESA]]="NET PROJETOS"),"NET","EMPRESARIAL"))</f>
        <v>NET</v>
      </c>
    </row>
    <row r="1710" spans="1:15" x14ac:dyDescent="0.25">
      <c r="A1710" s="32">
        <v>4383941</v>
      </c>
      <c r="B1710" s="32" t="s">
        <v>21</v>
      </c>
      <c r="C1710" s="33" t="s">
        <v>21</v>
      </c>
      <c r="D1710" s="35">
        <v>45449</v>
      </c>
      <c r="E1710" s="32" t="s">
        <v>185</v>
      </c>
      <c r="F1710" s="32">
        <v>22062556</v>
      </c>
      <c r="G1710" s="32" t="s">
        <v>470</v>
      </c>
      <c r="H1710" s="26" t="s">
        <v>38</v>
      </c>
      <c r="I1710" s="36">
        <v>160</v>
      </c>
      <c r="J1710" s="32">
        <f>IF(MB25_VOLUMETRIA[[#This Row],[Reserva]]="","",1)</f>
        <v>1</v>
      </c>
      <c r="K1710" s="36" t="str">
        <f>IF(MB25_VOLUMETRIA[[#This Row],[Reserva]]="","",IFERROR(VLOOKUP(MB25_VOLUMETRIA[[#This Row],[UMB]],CHAVE[],2,FALSE),"VERIFICAR"))</f>
        <v>Unidade</v>
      </c>
      <c r="L17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0" s="32" t="str">
        <f ca="1">IFERROR(VLOOKUP(MB25_VOLUMETRIA[[#This Row],[Reserva]],RES_AB[],14,FALSE),"")</f>
        <v>RESERVAS PENDENTES</v>
      </c>
      <c r="N1710" s="32" t="str">
        <f>IF(MB25_VOLUMETRIA[[#This Row],[Cen.]]="","",IFERROR(VLOOKUP(MB25_VOLUMETRIA[[#This Row],[Cen.]],Dados_Empresas[],2,FALSE),"Verificar empresa"))</f>
        <v>NET MASSIVO</v>
      </c>
      <c r="O1710" s="32" t="str">
        <f>IF(MB25_VOLUMETRIA[[#This Row],[EMPRESA]]="","",IF(OR(MB25_VOLUMETRIA[[#This Row],[EMPRESA]]="NET MASSIVO",MB25_VOLUMETRIA[[#This Row],[EMPRESA]]="NET PROJETOS"),"NET","EMPRESARIAL"))</f>
        <v>NET</v>
      </c>
    </row>
    <row r="1711" spans="1:15" x14ac:dyDescent="0.25">
      <c r="A1711" s="32">
        <v>4383942</v>
      </c>
      <c r="B1711" s="32" t="s">
        <v>21</v>
      </c>
      <c r="C1711" s="33" t="s">
        <v>19</v>
      </c>
      <c r="D1711" s="35">
        <v>45449</v>
      </c>
      <c r="E1711" s="32" t="s">
        <v>184</v>
      </c>
      <c r="F1711" s="32">
        <v>41001095</v>
      </c>
      <c r="G1711" s="32" t="s">
        <v>246</v>
      </c>
      <c r="H1711" s="26" t="s">
        <v>38</v>
      </c>
      <c r="I1711" s="36">
        <v>100</v>
      </c>
      <c r="J1711" s="32">
        <f>IF(MB25_VOLUMETRIA[[#This Row],[Reserva]]="","",1)</f>
        <v>1</v>
      </c>
      <c r="K1711" s="36" t="str">
        <f>IF(MB25_VOLUMETRIA[[#This Row],[Reserva]]="","",IFERROR(VLOOKUP(MB25_VOLUMETRIA[[#This Row],[UMB]],CHAVE[],2,FALSE),"VERIFICAR"))</f>
        <v>Unidade</v>
      </c>
      <c r="L17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1" s="32" t="str">
        <f ca="1">IFERROR(VLOOKUP(MB25_VOLUMETRIA[[#This Row],[Reserva]],RES_AB[],14,FALSE),"")</f>
        <v>RESERVAS PENDENTES</v>
      </c>
      <c r="N1711" s="32" t="str">
        <f>IF(MB25_VOLUMETRIA[[#This Row],[Cen.]]="","",IFERROR(VLOOKUP(MB25_VOLUMETRIA[[#This Row],[Cen.]],Dados_Empresas[],2,FALSE),"Verificar empresa"))</f>
        <v>NET MASSIVO</v>
      </c>
      <c r="O1711" s="32" t="str">
        <f>IF(MB25_VOLUMETRIA[[#This Row],[EMPRESA]]="","",IF(OR(MB25_VOLUMETRIA[[#This Row],[EMPRESA]]="NET MASSIVO",MB25_VOLUMETRIA[[#This Row],[EMPRESA]]="NET PROJETOS"),"NET","EMPRESARIAL"))</f>
        <v>NET</v>
      </c>
    </row>
    <row r="1712" spans="1:15" x14ac:dyDescent="0.25">
      <c r="A1712" s="32">
        <v>4383942</v>
      </c>
      <c r="B1712" s="32" t="s">
        <v>21</v>
      </c>
      <c r="C1712" s="33" t="s">
        <v>19</v>
      </c>
      <c r="D1712" s="35">
        <v>45449</v>
      </c>
      <c r="E1712" s="32" t="s">
        <v>184</v>
      </c>
      <c r="F1712" s="32">
        <v>41001481</v>
      </c>
      <c r="G1712" s="32" t="s">
        <v>403</v>
      </c>
      <c r="H1712" s="26" t="s">
        <v>38</v>
      </c>
      <c r="I1712" s="36">
        <v>160</v>
      </c>
      <c r="J1712" s="32">
        <f>IF(MB25_VOLUMETRIA[[#This Row],[Reserva]]="","",1)</f>
        <v>1</v>
      </c>
      <c r="K1712" s="36" t="str">
        <f>IF(MB25_VOLUMETRIA[[#This Row],[Reserva]]="","",IFERROR(VLOOKUP(MB25_VOLUMETRIA[[#This Row],[UMB]],CHAVE[],2,FALSE),"VERIFICAR"))</f>
        <v>Unidade</v>
      </c>
      <c r="L17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2" s="32" t="str">
        <f ca="1">IFERROR(VLOOKUP(MB25_VOLUMETRIA[[#This Row],[Reserva]],RES_AB[],14,FALSE),"")</f>
        <v>RESERVAS PENDENTES</v>
      </c>
      <c r="N1712" s="32" t="str">
        <f>IF(MB25_VOLUMETRIA[[#This Row],[Cen.]]="","",IFERROR(VLOOKUP(MB25_VOLUMETRIA[[#This Row],[Cen.]],Dados_Empresas[],2,FALSE),"Verificar empresa"))</f>
        <v>NET MASSIVO</v>
      </c>
      <c r="O1712" s="32" t="str">
        <f>IF(MB25_VOLUMETRIA[[#This Row],[EMPRESA]]="","",IF(OR(MB25_VOLUMETRIA[[#This Row],[EMPRESA]]="NET MASSIVO",MB25_VOLUMETRIA[[#This Row],[EMPRESA]]="NET PROJETOS"),"NET","EMPRESARIAL"))</f>
        <v>NET</v>
      </c>
    </row>
    <row r="1713" spans="1:15" x14ac:dyDescent="0.25">
      <c r="A1713" s="32">
        <v>4383942</v>
      </c>
      <c r="B1713" s="32" t="s">
        <v>21</v>
      </c>
      <c r="C1713" s="33" t="s">
        <v>21</v>
      </c>
      <c r="D1713" s="35">
        <v>45449</v>
      </c>
      <c r="E1713" s="32" t="s">
        <v>184</v>
      </c>
      <c r="F1713" s="32">
        <v>41001535</v>
      </c>
      <c r="G1713" s="32" t="s">
        <v>191</v>
      </c>
      <c r="H1713" s="26" t="s">
        <v>38</v>
      </c>
      <c r="I1713" s="36">
        <v>110</v>
      </c>
      <c r="J1713" s="32">
        <f>IF(MB25_VOLUMETRIA[[#This Row],[Reserva]]="","",1)</f>
        <v>1</v>
      </c>
      <c r="K1713" s="36" t="str">
        <f>IF(MB25_VOLUMETRIA[[#This Row],[Reserva]]="","",IFERROR(VLOOKUP(MB25_VOLUMETRIA[[#This Row],[UMB]],CHAVE[],2,FALSE),"VERIFICAR"))</f>
        <v>Unidade</v>
      </c>
      <c r="L17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3" s="32" t="str">
        <f ca="1">IFERROR(VLOOKUP(MB25_VOLUMETRIA[[#This Row],[Reserva]],RES_AB[],14,FALSE),"")</f>
        <v>RESERVAS PENDENTES</v>
      </c>
      <c r="N1713" s="32" t="str">
        <f>IF(MB25_VOLUMETRIA[[#This Row],[Cen.]]="","",IFERROR(VLOOKUP(MB25_VOLUMETRIA[[#This Row],[Cen.]],Dados_Empresas[],2,FALSE),"Verificar empresa"))</f>
        <v>NET MASSIVO</v>
      </c>
      <c r="O1713" s="32" t="str">
        <f>IF(MB25_VOLUMETRIA[[#This Row],[EMPRESA]]="","",IF(OR(MB25_VOLUMETRIA[[#This Row],[EMPRESA]]="NET MASSIVO",MB25_VOLUMETRIA[[#This Row],[EMPRESA]]="NET PROJETOS"),"NET","EMPRESARIAL"))</f>
        <v>NET</v>
      </c>
    </row>
    <row r="1714" spans="1:15" x14ac:dyDescent="0.25">
      <c r="A1714" s="32">
        <v>4383943</v>
      </c>
      <c r="B1714" s="32" t="s">
        <v>21</v>
      </c>
      <c r="C1714" s="33" t="s">
        <v>19</v>
      </c>
      <c r="D1714" s="35">
        <v>45449</v>
      </c>
      <c r="E1714" s="32" t="s">
        <v>185</v>
      </c>
      <c r="F1714" s="32">
        <v>22026279</v>
      </c>
      <c r="G1714" s="32" t="s">
        <v>350</v>
      </c>
      <c r="H1714" s="26" t="s">
        <v>38</v>
      </c>
      <c r="I1714" s="36">
        <v>100</v>
      </c>
      <c r="J1714" s="32">
        <f>IF(MB25_VOLUMETRIA[[#This Row],[Reserva]]="","",1)</f>
        <v>1</v>
      </c>
      <c r="K1714" s="36" t="str">
        <f>IF(MB25_VOLUMETRIA[[#This Row],[Reserva]]="","",IFERROR(VLOOKUP(MB25_VOLUMETRIA[[#This Row],[UMB]],CHAVE[],2,FALSE),"VERIFICAR"))</f>
        <v>Unidade</v>
      </c>
      <c r="L17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4" s="32" t="str">
        <f ca="1">IFERROR(VLOOKUP(MB25_VOLUMETRIA[[#This Row],[Reserva]],RES_AB[],14,FALSE),"")</f>
        <v>RESERVAS PENDENTES</v>
      </c>
      <c r="N1714" s="32" t="str">
        <f>IF(MB25_VOLUMETRIA[[#This Row],[Cen.]]="","",IFERROR(VLOOKUP(MB25_VOLUMETRIA[[#This Row],[Cen.]],Dados_Empresas[],2,FALSE),"Verificar empresa"))</f>
        <v>NET MASSIVO</v>
      </c>
      <c r="O1714" s="32" t="str">
        <f>IF(MB25_VOLUMETRIA[[#This Row],[EMPRESA]]="","",IF(OR(MB25_VOLUMETRIA[[#This Row],[EMPRESA]]="NET MASSIVO",MB25_VOLUMETRIA[[#This Row],[EMPRESA]]="NET PROJETOS"),"NET","EMPRESARIAL"))</f>
        <v>NET</v>
      </c>
    </row>
    <row r="1715" spans="1:15" x14ac:dyDescent="0.25">
      <c r="A1715" s="32">
        <v>4383943</v>
      </c>
      <c r="B1715" s="32" t="s">
        <v>21</v>
      </c>
      <c r="C1715" s="33" t="s">
        <v>19</v>
      </c>
      <c r="D1715" s="35">
        <v>45449</v>
      </c>
      <c r="E1715" s="32" t="s">
        <v>185</v>
      </c>
      <c r="F1715" s="32">
        <v>22026293</v>
      </c>
      <c r="G1715" s="32" t="s">
        <v>352</v>
      </c>
      <c r="H1715" s="26" t="s">
        <v>38</v>
      </c>
      <c r="I1715" s="36">
        <v>230</v>
      </c>
      <c r="J1715" s="32">
        <f>IF(MB25_VOLUMETRIA[[#This Row],[Reserva]]="","",1)</f>
        <v>1</v>
      </c>
      <c r="K1715" s="36" t="str">
        <f>IF(MB25_VOLUMETRIA[[#This Row],[Reserva]]="","",IFERROR(VLOOKUP(MB25_VOLUMETRIA[[#This Row],[UMB]],CHAVE[],2,FALSE),"VERIFICAR"))</f>
        <v>Unidade</v>
      </c>
      <c r="L17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5" s="32" t="str">
        <f ca="1">IFERROR(VLOOKUP(MB25_VOLUMETRIA[[#This Row],[Reserva]],RES_AB[],14,FALSE),"")</f>
        <v>RESERVAS PENDENTES</v>
      </c>
      <c r="N1715" s="32" t="str">
        <f>IF(MB25_VOLUMETRIA[[#This Row],[Cen.]]="","",IFERROR(VLOOKUP(MB25_VOLUMETRIA[[#This Row],[Cen.]],Dados_Empresas[],2,FALSE),"Verificar empresa"))</f>
        <v>NET MASSIVO</v>
      </c>
      <c r="O1715" s="32" t="str">
        <f>IF(MB25_VOLUMETRIA[[#This Row],[EMPRESA]]="","",IF(OR(MB25_VOLUMETRIA[[#This Row],[EMPRESA]]="NET MASSIVO",MB25_VOLUMETRIA[[#This Row],[EMPRESA]]="NET PROJETOS"),"NET","EMPRESARIAL"))</f>
        <v>NET</v>
      </c>
    </row>
    <row r="1716" spans="1:15" x14ac:dyDescent="0.25">
      <c r="A1716" s="32">
        <v>4383943</v>
      </c>
      <c r="B1716" s="32" t="s">
        <v>21</v>
      </c>
      <c r="C1716" s="33" t="s">
        <v>21</v>
      </c>
      <c r="D1716" s="35">
        <v>45449</v>
      </c>
      <c r="E1716" s="32" t="s">
        <v>185</v>
      </c>
      <c r="F1716" s="32">
        <v>22060422</v>
      </c>
      <c r="G1716" s="32" t="s">
        <v>298</v>
      </c>
      <c r="H1716" s="26" t="s">
        <v>38</v>
      </c>
      <c r="I1716" s="36">
        <v>230</v>
      </c>
      <c r="J1716" s="32">
        <f>IF(MB25_VOLUMETRIA[[#This Row],[Reserva]]="","",1)</f>
        <v>1</v>
      </c>
      <c r="K1716" s="36" t="str">
        <f>IF(MB25_VOLUMETRIA[[#This Row],[Reserva]]="","",IFERROR(VLOOKUP(MB25_VOLUMETRIA[[#This Row],[UMB]],CHAVE[],2,FALSE),"VERIFICAR"))</f>
        <v>Unidade</v>
      </c>
      <c r="L17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6" s="32" t="str">
        <f ca="1">IFERROR(VLOOKUP(MB25_VOLUMETRIA[[#This Row],[Reserva]],RES_AB[],14,FALSE),"")</f>
        <v>RESERVAS PENDENTES</v>
      </c>
      <c r="N1716" s="32" t="str">
        <f>IF(MB25_VOLUMETRIA[[#This Row],[Cen.]]="","",IFERROR(VLOOKUP(MB25_VOLUMETRIA[[#This Row],[Cen.]],Dados_Empresas[],2,FALSE),"Verificar empresa"))</f>
        <v>NET MASSIVO</v>
      </c>
      <c r="O1716" s="32" t="str">
        <f>IF(MB25_VOLUMETRIA[[#This Row],[EMPRESA]]="","",IF(OR(MB25_VOLUMETRIA[[#This Row],[EMPRESA]]="NET MASSIVO",MB25_VOLUMETRIA[[#This Row],[EMPRESA]]="NET PROJETOS"),"NET","EMPRESARIAL"))</f>
        <v>NET</v>
      </c>
    </row>
    <row r="1717" spans="1:15" x14ac:dyDescent="0.25">
      <c r="A1717" s="32">
        <v>4383943</v>
      </c>
      <c r="B1717" s="32" t="s">
        <v>21</v>
      </c>
      <c r="C1717" s="33" t="s">
        <v>21</v>
      </c>
      <c r="D1717" s="35">
        <v>45449</v>
      </c>
      <c r="E1717" s="32" t="s">
        <v>185</v>
      </c>
      <c r="F1717" s="32">
        <v>22062577</v>
      </c>
      <c r="G1717" s="32" t="s">
        <v>467</v>
      </c>
      <c r="H1717" s="26" t="s">
        <v>38</v>
      </c>
      <c r="I1717" s="36">
        <v>590</v>
      </c>
      <c r="J1717" s="32">
        <f>IF(MB25_VOLUMETRIA[[#This Row],[Reserva]]="","",1)</f>
        <v>1</v>
      </c>
      <c r="K1717" s="36" t="str">
        <f>IF(MB25_VOLUMETRIA[[#This Row],[Reserva]]="","",IFERROR(VLOOKUP(MB25_VOLUMETRIA[[#This Row],[UMB]],CHAVE[],2,FALSE),"VERIFICAR"))</f>
        <v>Unidade</v>
      </c>
      <c r="L17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7" s="32" t="str">
        <f ca="1">IFERROR(VLOOKUP(MB25_VOLUMETRIA[[#This Row],[Reserva]],RES_AB[],14,FALSE),"")</f>
        <v>RESERVAS PENDENTES</v>
      </c>
      <c r="N1717" s="32" t="str">
        <f>IF(MB25_VOLUMETRIA[[#This Row],[Cen.]]="","",IFERROR(VLOOKUP(MB25_VOLUMETRIA[[#This Row],[Cen.]],Dados_Empresas[],2,FALSE),"Verificar empresa"))</f>
        <v>NET MASSIVO</v>
      </c>
      <c r="O1717" s="32" t="str">
        <f>IF(MB25_VOLUMETRIA[[#This Row],[EMPRESA]]="","",IF(OR(MB25_VOLUMETRIA[[#This Row],[EMPRESA]]="NET MASSIVO",MB25_VOLUMETRIA[[#This Row],[EMPRESA]]="NET PROJETOS"),"NET","EMPRESARIAL"))</f>
        <v>NET</v>
      </c>
    </row>
    <row r="1718" spans="1:15" x14ac:dyDescent="0.25">
      <c r="A1718" s="32">
        <v>4383944</v>
      </c>
      <c r="B1718" s="32" t="s">
        <v>21</v>
      </c>
      <c r="C1718" s="33" t="s">
        <v>19</v>
      </c>
      <c r="D1718" s="35">
        <v>45449</v>
      </c>
      <c r="E1718" s="32" t="s">
        <v>184</v>
      </c>
      <c r="F1718" s="32">
        <v>41001234</v>
      </c>
      <c r="G1718" s="32" t="s">
        <v>189</v>
      </c>
      <c r="H1718" s="26" t="s">
        <v>38</v>
      </c>
      <c r="I1718" s="36">
        <v>230</v>
      </c>
      <c r="J1718" s="32">
        <f>IF(MB25_VOLUMETRIA[[#This Row],[Reserva]]="","",1)</f>
        <v>1</v>
      </c>
      <c r="K1718" s="36" t="str">
        <f>IF(MB25_VOLUMETRIA[[#This Row],[Reserva]]="","",IFERROR(VLOOKUP(MB25_VOLUMETRIA[[#This Row],[UMB]],CHAVE[],2,FALSE),"VERIFICAR"))</f>
        <v>Unidade</v>
      </c>
      <c r="L17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8" s="32" t="str">
        <f ca="1">IFERROR(VLOOKUP(MB25_VOLUMETRIA[[#This Row],[Reserva]],RES_AB[],14,FALSE),"")</f>
        <v>RESERVAS PENDENTES</v>
      </c>
      <c r="N1718" s="32" t="str">
        <f>IF(MB25_VOLUMETRIA[[#This Row],[Cen.]]="","",IFERROR(VLOOKUP(MB25_VOLUMETRIA[[#This Row],[Cen.]],Dados_Empresas[],2,FALSE),"Verificar empresa"))</f>
        <v>NET MASSIVO</v>
      </c>
      <c r="O1718" s="32" t="str">
        <f>IF(MB25_VOLUMETRIA[[#This Row],[EMPRESA]]="","",IF(OR(MB25_VOLUMETRIA[[#This Row],[EMPRESA]]="NET MASSIVO",MB25_VOLUMETRIA[[#This Row],[EMPRESA]]="NET PROJETOS"),"NET","EMPRESARIAL"))</f>
        <v>NET</v>
      </c>
    </row>
    <row r="1719" spans="1:15" x14ac:dyDescent="0.25">
      <c r="A1719" s="32">
        <v>4383944</v>
      </c>
      <c r="B1719" s="32" t="s">
        <v>21</v>
      </c>
      <c r="C1719" s="33" t="s">
        <v>19</v>
      </c>
      <c r="D1719" s="35">
        <v>45449</v>
      </c>
      <c r="E1719" s="32" t="s">
        <v>184</v>
      </c>
      <c r="F1719" s="32">
        <v>41001277</v>
      </c>
      <c r="G1719" s="32" t="s">
        <v>466</v>
      </c>
      <c r="H1719" s="26" t="s">
        <v>38</v>
      </c>
      <c r="I1719" s="36">
        <v>230</v>
      </c>
      <c r="J1719" s="32">
        <f>IF(MB25_VOLUMETRIA[[#This Row],[Reserva]]="","",1)</f>
        <v>1</v>
      </c>
      <c r="K1719" s="36" t="str">
        <f>IF(MB25_VOLUMETRIA[[#This Row],[Reserva]]="","",IFERROR(VLOOKUP(MB25_VOLUMETRIA[[#This Row],[UMB]],CHAVE[],2,FALSE),"VERIFICAR"))</f>
        <v>Unidade</v>
      </c>
      <c r="L17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19" s="32" t="str">
        <f ca="1">IFERROR(VLOOKUP(MB25_VOLUMETRIA[[#This Row],[Reserva]],RES_AB[],14,FALSE),"")</f>
        <v>RESERVAS PENDENTES</v>
      </c>
      <c r="N1719" s="32" t="str">
        <f>IF(MB25_VOLUMETRIA[[#This Row],[Cen.]]="","",IFERROR(VLOOKUP(MB25_VOLUMETRIA[[#This Row],[Cen.]],Dados_Empresas[],2,FALSE),"Verificar empresa"))</f>
        <v>NET MASSIVO</v>
      </c>
      <c r="O1719" s="32" t="str">
        <f>IF(MB25_VOLUMETRIA[[#This Row],[EMPRESA]]="","",IF(OR(MB25_VOLUMETRIA[[#This Row],[EMPRESA]]="NET MASSIVO",MB25_VOLUMETRIA[[#This Row],[EMPRESA]]="NET PROJETOS"),"NET","EMPRESARIAL"))</f>
        <v>NET</v>
      </c>
    </row>
    <row r="1720" spans="1:15" x14ac:dyDescent="0.25">
      <c r="A1720" s="32">
        <v>4383944</v>
      </c>
      <c r="B1720" s="32" t="s">
        <v>21</v>
      </c>
      <c r="C1720" s="33" t="s">
        <v>19</v>
      </c>
      <c r="D1720" s="35">
        <v>45449</v>
      </c>
      <c r="E1720" s="32" t="s">
        <v>184</v>
      </c>
      <c r="F1720" s="32">
        <v>41001293</v>
      </c>
      <c r="G1720" s="32" t="s">
        <v>468</v>
      </c>
      <c r="H1720" s="26" t="s">
        <v>38</v>
      </c>
      <c r="I1720" s="36">
        <v>100</v>
      </c>
      <c r="J1720" s="32">
        <f>IF(MB25_VOLUMETRIA[[#This Row],[Reserva]]="","",1)</f>
        <v>1</v>
      </c>
      <c r="K1720" s="36" t="str">
        <f>IF(MB25_VOLUMETRIA[[#This Row],[Reserva]]="","",IFERROR(VLOOKUP(MB25_VOLUMETRIA[[#This Row],[UMB]],CHAVE[],2,FALSE),"VERIFICAR"))</f>
        <v>Unidade</v>
      </c>
      <c r="L17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0" s="32" t="str">
        <f ca="1">IFERROR(VLOOKUP(MB25_VOLUMETRIA[[#This Row],[Reserva]],RES_AB[],14,FALSE),"")</f>
        <v>RESERVAS PENDENTES</v>
      </c>
      <c r="N1720" s="32" t="str">
        <f>IF(MB25_VOLUMETRIA[[#This Row],[Cen.]]="","",IFERROR(VLOOKUP(MB25_VOLUMETRIA[[#This Row],[Cen.]],Dados_Empresas[],2,FALSE),"Verificar empresa"))</f>
        <v>NET MASSIVO</v>
      </c>
      <c r="O1720" s="32" t="str">
        <f>IF(MB25_VOLUMETRIA[[#This Row],[EMPRESA]]="","",IF(OR(MB25_VOLUMETRIA[[#This Row],[EMPRESA]]="NET MASSIVO",MB25_VOLUMETRIA[[#This Row],[EMPRESA]]="NET PROJETOS"),"NET","EMPRESARIAL"))</f>
        <v>NET</v>
      </c>
    </row>
    <row r="1721" spans="1:15" x14ac:dyDescent="0.25">
      <c r="A1721" s="32">
        <v>4383944</v>
      </c>
      <c r="B1721" s="32" t="s">
        <v>21</v>
      </c>
      <c r="C1721" s="33" t="s">
        <v>19</v>
      </c>
      <c r="D1721" s="35">
        <v>45449</v>
      </c>
      <c r="E1721" s="32" t="s">
        <v>184</v>
      </c>
      <c r="F1721" s="32">
        <v>41001485</v>
      </c>
      <c r="G1721" s="32" t="s">
        <v>469</v>
      </c>
      <c r="H1721" s="26" t="s">
        <v>38</v>
      </c>
      <c r="I1721" s="36">
        <v>590</v>
      </c>
      <c r="J1721" s="32">
        <f>IF(MB25_VOLUMETRIA[[#This Row],[Reserva]]="","",1)</f>
        <v>1</v>
      </c>
      <c r="K1721" s="36" t="str">
        <f>IF(MB25_VOLUMETRIA[[#This Row],[Reserva]]="","",IFERROR(VLOOKUP(MB25_VOLUMETRIA[[#This Row],[UMB]],CHAVE[],2,FALSE),"VERIFICAR"))</f>
        <v>Unidade</v>
      </c>
      <c r="L17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1" s="32" t="str">
        <f ca="1">IFERROR(VLOOKUP(MB25_VOLUMETRIA[[#This Row],[Reserva]],RES_AB[],14,FALSE),"")</f>
        <v>RESERVAS PENDENTES</v>
      </c>
      <c r="N1721" s="32" t="str">
        <f>IF(MB25_VOLUMETRIA[[#This Row],[Cen.]]="","",IFERROR(VLOOKUP(MB25_VOLUMETRIA[[#This Row],[Cen.]],Dados_Empresas[],2,FALSE),"Verificar empresa"))</f>
        <v>NET MASSIVO</v>
      </c>
      <c r="O1721" s="32" t="str">
        <f>IF(MB25_VOLUMETRIA[[#This Row],[EMPRESA]]="","",IF(OR(MB25_VOLUMETRIA[[#This Row],[EMPRESA]]="NET MASSIVO",MB25_VOLUMETRIA[[#This Row],[EMPRESA]]="NET PROJETOS"),"NET","EMPRESARIAL"))</f>
        <v>NET</v>
      </c>
    </row>
    <row r="1722" spans="1:15" x14ac:dyDescent="0.25">
      <c r="A1722" s="32">
        <v>4383944</v>
      </c>
      <c r="B1722" s="32" t="s">
        <v>21</v>
      </c>
      <c r="C1722" s="33" t="s">
        <v>182</v>
      </c>
      <c r="D1722" s="35">
        <v>45449</v>
      </c>
      <c r="E1722" s="32" t="s">
        <v>184</v>
      </c>
      <c r="F1722" s="32">
        <v>41001530</v>
      </c>
      <c r="G1722" s="32" t="s">
        <v>319</v>
      </c>
      <c r="H1722" s="26" t="s">
        <v>38</v>
      </c>
      <c r="I1722" s="36">
        <v>50</v>
      </c>
      <c r="J1722" s="32">
        <f>IF(MB25_VOLUMETRIA[[#This Row],[Reserva]]="","",1)</f>
        <v>1</v>
      </c>
      <c r="K1722" s="36" t="str">
        <f>IF(MB25_VOLUMETRIA[[#This Row],[Reserva]]="","",IFERROR(VLOOKUP(MB25_VOLUMETRIA[[#This Row],[UMB]],CHAVE[],2,FALSE),"VERIFICAR"))</f>
        <v>Unidade</v>
      </c>
      <c r="L17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2" s="32" t="str">
        <f ca="1">IFERROR(VLOOKUP(MB25_VOLUMETRIA[[#This Row],[Reserva]],RES_AB[],14,FALSE),"")</f>
        <v>RESERVAS PENDENTES</v>
      </c>
      <c r="N1722" s="32" t="str">
        <f>IF(MB25_VOLUMETRIA[[#This Row],[Cen.]]="","",IFERROR(VLOOKUP(MB25_VOLUMETRIA[[#This Row],[Cen.]],Dados_Empresas[],2,FALSE),"Verificar empresa"))</f>
        <v>NET MASSIVO</v>
      </c>
      <c r="O1722" s="32" t="str">
        <f>IF(MB25_VOLUMETRIA[[#This Row],[EMPRESA]]="","",IF(OR(MB25_VOLUMETRIA[[#This Row],[EMPRESA]]="NET MASSIVO",MB25_VOLUMETRIA[[#This Row],[EMPRESA]]="NET PROJETOS"),"NET","EMPRESARIAL"))</f>
        <v>NET</v>
      </c>
    </row>
    <row r="1723" spans="1:15" x14ac:dyDescent="0.25">
      <c r="A1723" s="32">
        <v>4383944</v>
      </c>
      <c r="B1723" s="32" t="s">
        <v>21</v>
      </c>
      <c r="C1723" s="33" t="s">
        <v>21</v>
      </c>
      <c r="D1723" s="35">
        <v>45449</v>
      </c>
      <c r="E1723" s="32" t="s">
        <v>184</v>
      </c>
      <c r="F1723" s="32">
        <v>41001573</v>
      </c>
      <c r="G1723" s="32" t="s">
        <v>259</v>
      </c>
      <c r="H1723" s="26" t="s">
        <v>38</v>
      </c>
      <c r="I1723" s="36">
        <v>20</v>
      </c>
      <c r="J1723" s="32">
        <f>IF(MB25_VOLUMETRIA[[#This Row],[Reserva]]="","",1)</f>
        <v>1</v>
      </c>
      <c r="K1723" s="36" t="str">
        <f>IF(MB25_VOLUMETRIA[[#This Row],[Reserva]]="","",IFERROR(VLOOKUP(MB25_VOLUMETRIA[[#This Row],[UMB]],CHAVE[],2,FALSE),"VERIFICAR"))</f>
        <v>Unidade</v>
      </c>
      <c r="L17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3" s="32" t="str">
        <f ca="1">IFERROR(VLOOKUP(MB25_VOLUMETRIA[[#This Row],[Reserva]],RES_AB[],14,FALSE),"")</f>
        <v>RESERVAS PENDENTES</v>
      </c>
      <c r="N1723" s="32" t="str">
        <f>IF(MB25_VOLUMETRIA[[#This Row],[Cen.]]="","",IFERROR(VLOOKUP(MB25_VOLUMETRIA[[#This Row],[Cen.]],Dados_Empresas[],2,FALSE),"Verificar empresa"))</f>
        <v>NET MASSIVO</v>
      </c>
      <c r="O1723" s="32" t="str">
        <f>IF(MB25_VOLUMETRIA[[#This Row],[EMPRESA]]="","",IF(OR(MB25_VOLUMETRIA[[#This Row],[EMPRESA]]="NET MASSIVO",MB25_VOLUMETRIA[[#This Row],[EMPRESA]]="NET PROJETOS"),"NET","EMPRESARIAL"))</f>
        <v>NET</v>
      </c>
    </row>
    <row r="1724" spans="1:15" x14ac:dyDescent="0.25">
      <c r="A1724" s="32">
        <v>4383945</v>
      </c>
      <c r="B1724" s="32" t="s">
        <v>21</v>
      </c>
      <c r="C1724" s="33" t="s">
        <v>19</v>
      </c>
      <c r="D1724" s="35">
        <v>45449</v>
      </c>
      <c r="E1724" s="32" t="s">
        <v>185</v>
      </c>
      <c r="F1724" s="32">
        <v>22026293</v>
      </c>
      <c r="G1724" s="32" t="s">
        <v>352</v>
      </c>
      <c r="H1724" s="26" t="s">
        <v>38</v>
      </c>
      <c r="I1724" s="36">
        <v>220</v>
      </c>
      <c r="J1724" s="32">
        <f>IF(MB25_VOLUMETRIA[[#This Row],[Reserva]]="","",1)</f>
        <v>1</v>
      </c>
      <c r="K1724" s="36" t="str">
        <f>IF(MB25_VOLUMETRIA[[#This Row],[Reserva]]="","",IFERROR(VLOOKUP(MB25_VOLUMETRIA[[#This Row],[UMB]],CHAVE[],2,FALSE),"VERIFICAR"))</f>
        <v>Unidade</v>
      </c>
      <c r="L17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4" s="32" t="str">
        <f ca="1">IFERROR(VLOOKUP(MB25_VOLUMETRIA[[#This Row],[Reserva]],RES_AB[],14,FALSE),"")</f>
        <v>RESERVAS PENDENTES</v>
      </c>
      <c r="N1724" s="32" t="str">
        <f>IF(MB25_VOLUMETRIA[[#This Row],[Cen.]]="","",IFERROR(VLOOKUP(MB25_VOLUMETRIA[[#This Row],[Cen.]],Dados_Empresas[],2,FALSE),"Verificar empresa"))</f>
        <v>NET MASSIVO</v>
      </c>
      <c r="O1724" s="32" t="str">
        <f>IF(MB25_VOLUMETRIA[[#This Row],[EMPRESA]]="","",IF(OR(MB25_VOLUMETRIA[[#This Row],[EMPRESA]]="NET MASSIVO",MB25_VOLUMETRIA[[#This Row],[EMPRESA]]="NET PROJETOS"),"NET","EMPRESARIAL"))</f>
        <v>NET</v>
      </c>
    </row>
    <row r="1725" spans="1:15" x14ac:dyDescent="0.25">
      <c r="A1725" s="32">
        <v>4383945</v>
      </c>
      <c r="B1725" s="32" t="s">
        <v>21</v>
      </c>
      <c r="C1725" s="33" t="s">
        <v>19</v>
      </c>
      <c r="D1725" s="35">
        <v>45449</v>
      </c>
      <c r="E1725" s="32" t="s">
        <v>185</v>
      </c>
      <c r="F1725" s="32">
        <v>22058639</v>
      </c>
      <c r="G1725" s="32" t="s">
        <v>290</v>
      </c>
      <c r="H1725" s="26" t="s">
        <v>38</v>
      </c>
      <c r="I1725" s="36">
        <v>50</v>
      </c>
      <c r="J1725" s="32">
        <f>IF(MB25_VOLUMETRIA[[#This Row],[Reserva]]="","",1)</f>
        <v>1</v>
      </c>
      <c r="K1725" s="36" t="str">
        <f>IF(MB25_VOLUMETRIA[[#This Row],[Reserva]]="","",IFERROR(VLOOKUP(MB25_VOLUMETRIA[[#This Row],[UMB]],CHAVE[],2,FALSE),"VERIFICAR"))</f>
        <v>Unidade</v>
      </c>
      <c r="L17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5" s="32" t="str">
        <f ca="1">IFERROR(VLOOKUP(MB25_VOLUMETRIA[[#This Row],[Reserva]],RES_AB[],14,FALSE),"")</f>
        <v>RESERVAS PENDENTES</v>
      </c>
      <c r="N1725" s="32" t="str">
        <f>IF(MB25_VOLUMETRIA[[#This Row],[Cen.]]="","",IFERROR(VLOOKUP(MB25_VOLUMETRIA[[#This Row],[Cen.]],Dados_Empresas[],2,FALSE),"Verificar empresa"))</f>
        <v>NET MASSIVO</v>
      </c>
      <c r="O1725" s="32" t="str">
        <f>IF(MB25_VOLUMETRIA[[#This Row],[EMPRESA]]="","",IF(OR(MB25_VOLUMETRIA[[#This Row],[EMPRESA]]="NET MASSIVO",MB25_VOLUMETRIA[[#This Row],[EMPRESA]]="NET PROJETOS"),"NET","EMPRESARIAL"))</f>
        <v>NET</v>
      </c>
    </row>
    <row r="1726" spans="1:15" x14ac:dyDescent="0.25">
      <c r="A1726" s="32">
        <v>4383945</v>
      </c>
      <c r="B1726" s="32" t="s">
        <v>21</v>
      </c>
      <c r="C1726" s="33" t="s">
        <v>21</v>
      </c>
      <c r="D1726" s="35">
        <v>45449</v>
      </c>
      <c r="E1726" s="32" t="s">
        <v>185</v>
      </c>
      <c r="F1726" s="32">
        <v>22060422</v>
      </c>
      <c r="G1726" s="32" t="s">
        <v>298</v>
      </c>
      <c r="H1726" s="26" t="s">
        <v>38</v>
      </c>
      <c r="I1726" s="36">
        <v>220</v>
      </c>
      <c r="J1726" s="32">
        <f>IF(MB25_VOLUMETRIA[[#This Row],[Reserva]]="","",1)</f>
        <v>1</v>
      </c>
      <c r="K1726" s="36" t="str">
        <f>IF(MB25_VOLUMETRIA[[#This Row],[Reserva]]="","",IFERROR(VLOOKUP(MB25_VOLUMETRIA[[#This Row],[UMB]],CHAVE[],2,FALSE),"VERIFICAR"))</f>
        <v>Unidade</v>
      </c>
      <c r="L17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6" s="32" t="str">
        <f ca="1">IFERROR(VLOOKUP(MB25_VOLUMETRIA[[#This Row],[Reserva]],RES_AB[],14,FALSE),"")</f>
        <v>RESERVAS PENDENTES</v>
      </c>
      <c r="N1726" s="32" t="str">
        <f>IF(MB25_VOLUMETRIA[[#This Row],[Cen.]]="","",IFERROR(VLOOKUP(MB25_VOLUMETRIA[[#This Row],[Cen.]],Dados_Empresas[],2,FALSE),"Verificar empresa"))</f>
        <v>NET MASSIVO</v>
      </c>
      <c r="O1726" s="32" t="str">
        <f>IF(MB25_VOLUMETRIA[[#This Row],[EMPRESA]]="","",IF(OR(MB25_VOLUMETRIA[[#This Row],[EMPRESA]]="NET MASSIVO",MB25_VOLUMETRIA[[#This Row],[EMPRESA]]="NET PROJETOS"),"NET","EMPRESARIAL"))</f>
        <v>NET</v>
      </c>
    </row>
    <row r="1727" spans="1:15" x14ac:dyDescent="0.25">
      <c r="A1727" s="32">
        <v>4383946</v>
      </c>
      <c r="B1727" s="32" t="s">
        <v>21</v>
      </c>
      <c r="C1727" s="33" t="s">
        <v>19</v>
      </c>
      <c r="D1727" s="35">
        <v>45449</v>
      </c>
      <c r="E1727" s="32" t="s">
        <v>184</v>
      </c>
      <c r="F1727" s="32">
        <v>41001095</v>
      </c>
      <c r="G1727" s="32" t="s">
        <v>246</v>
      </c>
      <c r="H1727" s="26" t="s">
        <v>38</v>
      </c>
      <c r="I1727" s="36">
        <v>50</v>
      </c>
      <c r="J1727" s="32">
        <f>IF(MB25_VOLUMETRIA[[#This Row],[Reserva]]="","",1)</f>
        <v>1</v>
      </c>
      <c r="K1727" s="36" t="str">
        <f>IF(MB25_VOLUMETRIA[[#This Row],[Reserva]]="","",IFERROR(VLOOKUP(MB25_VOLUMETRIA[[#This Row],[UMB]],CHAVE[],2,FALSE),"VERIFICAR"))</f>
        <v>Unidade</v>
      </c>
      <c r="L17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7" s="32" t="str">
        <f ca="1">IFERROR(VLOOKUP(MB25_VOLUMETRIA[[#This Row],[Reserva]],RES_AB[],14,FALSE),"")</f>
        <v>RESERVAS PENDENTES</v>
      </c>
      <c r="N1727" s="32" t="str">
        <f>IF(MB25_VOLUMETRIA[[#This Row],[Cen.]]="","",IFERROR(VLOOKUP(MB25_VOLUMETRIA[[#This Row],[Cen.]],Dados_Empresas[],2,FALSE),"Verificar empresa"))</f>
        <v>NET MASSIVO</v>
      </c>
      <c r="O1727" s="32" t="str">
        <f>IF(MB25_VOLUMETRIA[[#This Row],[EMPRESA]]="","",IF(OR(MB25_VOLUMETRIA[[#This Row],[EMPRESA]]="NET MASSIVO",MB25_VOLUMETRIA[[#This Row],[EMPRESA]]="NET PROJETOS"),"NET","EMPRESARIAL"))</f>
        <v>NET</v>
      </c>
    </row>
    <row r="1728" spans="1:15" x14ac:dyDescent="0.25">
      <c r="A1728" s="32">
        <v>4383946</v>
      </c>
      <c r="B1728" s="32" t="s">
        <v>21</v>
      </c>
      <c r="C1728" s="33" t="s">
        <v>19</v>
      </c>
      <c r="D1728" s="35">
        <v>45449</v>
      </c>
      <c r="E1728" s="32" t="s">
        <v>184</v>
      </c>
      <c r="F1728" s="32">
        <v>41001234</v>
      </c>
      <c r="G1728" s="32" t="s">
        <v>189</v>
      </c>
      <c r="H1728" s="26" t="s">
        <v>38</v>
      </c>
      <c r="I1728" s="36">
        <v>220</v>
      </c>
      <c r="J1728" s="32">
        <f>IF(MB25_VOLUMETRIA[[#This Row],[Reserva]]="","",1)</f>
        <v>1</v>
      </c>
      <c r="K1728" s="36" t="str">
        <f>IF(MB25_VOLUMETRIA[[#This Row],[Reserva]]="","",IFERROR(VLOOKUP(MB25_VOLUMETRIA[[#This Row],[UMB]],CHAVE[],2,FALSE),"VERIFICAR"))</f>
        <v>Unidade</v>
      </c>
      <c r="L17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8" s="32" t="str">
        <f ca="1">IFERROR(VLOOKUP(MB25_VOLUMETRIA[[#This Row],[Reserva]],RES_AB[],14,FALSE),"")</f>
        <v>RESERVAS PENDENTES</v>
      </c>
      <c r="N1728" s="32" t="str">
        <f>IF(MB25_VOLUMETRIA[[#This Row],[Cen.]]="","",IFERROR(VLOOKUP(MB25_VOLUMETRIA[[#This Row],[Cen.]],Dados_Empresas[],2,FALSE),"Verificar empresa"))</f>
        <v>NET MASSIVO</v>
      </c>
      <c r="O1728" s="32" t="str">
        <f>IF(MB25_VOLUMETRIA[[#This Row],[EMPRESA]]="","",IF(OR(MB25_VOLUMETRIA[[#This Row],[EMPRESA]]="NET MASSIVO",MB25_VOLUMETRIA[[#This Row],[EMPRESA]]="NET PROJETOS"),"NET","EMPRESARIAL"))</f>
        <v>NET</v>
      </c>
    </row>
    <row r="1729" spans="1:15" x14ac:dyDescent="0.25">
      <c r="A1729" s="32">
        <v>4383946</v>
      </c>
      <c r="B1729" s="32" t="s">
        <v>21</v>
      </c>
      <c r="C1729" s="33" t="s">
        <v>19</v>
      </c>
      <c r="D1729" s="35">
        <v>45449</v>
      </c>
      <c r="E1729" s="32" t="s">
        <v>184</v>
      </c>
      <c r="F1729" s="32">
        <v>41001277</v>
      </c>
      <c r="G1729" s="32" t="s">
        <v>466</v>
      </c>
      <c r="H1729" s="26" t="s">
        <v>38</v>
      </c>
      <c r="I1729" s="36">
        <v>220</v>
      </c>
      <c r="J1729" s="32">
        <f>IF(MB25_VOLUMETRIA[[#This Row],[Reserva]]="","",1)</f>
        <v>1</v>
      </c>
      <c r="K1729" s="36" t="str">
        <f>IF(MB25_VOLUMETRIA[[#This Row],[Reserva]]="","",IFERROR(VLOOKUP(MB25_VOLUMETRIA[[#This Row],[UMB]],CHAVE[],2,FALSE),"VERIFICAR"))</f>
        <v>Unidade</v>
      </c>
      <c r="L17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29" s="32" t="str">
        <f ca="1">IFERROR(VLOOKUP(MB25_VOLUMETRIA[[#This Row],[Reserva]],RES_AB[],14,FALSE),"")</f>
        <v>RESERVAS PENDENTES</v>
      </c>
      <c r="N1729" s="32" t="str">
        <f>IF(MB25_VOLUMETRIA[[#This Row],[Cen.]]="","",IFERROR(VLOOKUP(MB25_VOLUMETRIA[[#This Row],[Cen.]],Dados_Empresas[],2,FALSE),"Verificar empresa"))</f>
        <v>NET MASSIVO</v>
      </c>
      <c r="O1729" s="32" t="str">
        <f>IF(MB25_VOLUMETRIA[[#This Row],[EMPRESA]]="","",IF(OR(MB25_VOLUMETRIA[[#This Row],[EMPRESA]]="NET MASSIVO",MB25_VOLUMETRIA[[#This Row],[EMPRESA]]="NET PROJETOS"),"NET","EMPRESARIAL"))</f>
        <v>NET</v>
      </c>
    </row>
    <row r="1730" spans="1:15" x14ac:dyDescent="0.25">
      <c r="A1730" s="32">
        <v>4383948</v>
      </c>
      <c r="B1730" s="32" t="s">
        <v>21</v>
      </c>
      <c r="C1730" s="33" t="s">
        <v>19</v>
      </c>
      <c r="D1730" s="35">
        <v>45449</v>
      </c>
      <c r="E1730" s="32" t="s">
        <v>185</v>
      </c>
      <c r="F1730" s="32">
        <v>22058639</v>
      </c>
      <c r="G1730" s="32" t="s">
        <v>290</v>
      </c>
      <c r="H1730" s="26" t="s">
        <v>38</v>
      </c>
      <c r="I1730" s="36">
        <v>40</v>
      </c>
      <c r="J1730" s="32">
        <f>IF(MB25_VOLUMETRIA[[#This Row],[Reserva]]="","",1)</f>
        <v>1</v>
      </c>
      <c r="K1730" s="36" t="str">
        <f>IF(MB25_VOLUMETRIA[[#This Row],[Reserva]]="","",IFERROR(VLOOKUP(MB25_VOLUMETRIA[[#This Row],[UMB]],CHAVE[],2,FALSE),"VERIFICAR"))</f>
        <v>Unidade</v>
      </c>
      <c r="L17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0" s="32" t="str">
        <f ca="1">IFERROR(VLOOKUP(MB25_VOLUMETRIA[[#This Row],[Reserva]],RES_AB[],14,FALSE),"")</f>
        <v>RESERVAS PENDENTES</v>
      </c>
      <c r="N1730" s="32" t="str">
        <f>IF(MB25_VOLUMETRIA[[#This Row],[Cen.]]="","",IFERROR(VLOOKUP(MB25_VOLUMETRIA[[#This Row],[Cen.]],Dados_Empresas[],2,FALSE),"Verificar empresa"))</f>
        <v>NET MASSIVO</v>
      </c>
      <c r="O1730" s="32" t="str">
        <f>IF(MB25_VOLUMETRIA[[#This Row],[EMPRESA]]="","",IF(OR(MB25_VOLUMETRIA[[#This Row],[EMPRESA]]="NET MASSIVO",MB25_VOLUMETRIA[[#This Row],[EMPRESA]]="NET PROJETOS"),"NET","EMPRESARIAL"))</f>
        <v>NET</v>
      </c>
    </row>
    <row r="1731" spans="1:15" x14ac:dyDescent="0.25">
      <c r="A1731" s="32">
        <v>4383948</v>
      </c>
      <c r="B1731" s="32" t="s">
        <v>21</v>
      </c>
      <c r="C1731" s="33" t="s">
        <v>21</v>
      </c>
      <c r="D1731" s="35">
        <v>45449</v>
      </c>
      <c r="E1731" s="32" t="s">
        <v>185</v>
      </c>
      <c r="F1731" s="32">
        <v>22065722</v>
      </c>
      <c r="G1731" s="32" t="s">
        <v>196</v>
      </c>
      <c r="H1731" s="26" t="s">
        <v>38</v>
      </c>
      <c r="I1731" s="36">
        <v>100</v>
      </c>
      <c r="J1731" s="32">
        <f>IF(MB25_VOLUMETRIA[[#This Row],[Reserva]]="","",1)</f>
        <v>1</v>
      </c>
      <c r="K1731" s="36" t="str">
        <f>IF(MB25_VOLUMETRIA[[#This Row],[Reserva]]="","",IFERROR(VLOOKUP(MB25_VOLUMETRIA[[#This Row],[UMB]],CHAVE[],2,FALSE),"VERIFICAR"))</f>
        <v>Unidade</v>
      </c>
      <c r="L17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1" s="32" t="str">
        <f ca="1">IFERROR(VLOOKUP(MB25_VOLUMETRIA[[#This Row],[Reserva]],RES_AB[],14,FALSE),"")</f>
        <v>RESERVAS PENDENTES</v>
      </c>
      <c r="N1731" s="32" t="str">
        <f>IF(MB25_VOLUMETRIA[[#This Row],[Cen.]]="","",IFERROR(VLOOKUP(MB25_VOLUMETRIA[[#This Row],[Cen.]],Dados_Empresas[],2,FALSE),"Verificar empresa"))</f>
        <v>NET MASSIVO</v>
      </c>
      <c r="O1731" s="32" t="str">
        <f>IF(MB25_VOLUMETRIA[[#This Row],[EMPRESA]]="","",IF(OR(MB25_VOLUMETRIA[[#This Row],[EMPRESA]]="NET MASSIVO",MB25_VOLUMETRIA[[#This Row],[EMPRESA]]="NET PROJETOS"),"NET","EMPRESARIAL"))</f>
        <v>NET</v>
      </c>
    </row>
    <row r="1732" spans="1:15" x14ac:dyDescent="0.25">
      <c r="A1732" s="32">
        <v>4383949</v>
      </c>
      <c r="B1732" s="32" t="s">
        <v>21</v>
      </c>
      <c r="C1732" s="33" t="s">
        <v>19</v>
      </c>
      <c r="D1732" s="35">
        <v>45449</v>
      </c>
      <c r="E1732" s="32" t="s">
        <v>184</v>
      </c>
      <c r="F1732" s="32">
        <v>41001095</v>
      </c>
      <c r="G1732" s="32" t="s">
        <v>246</v>
      </c>
      <c r="H1732" s="26" t="s">
        <v>38</v>
      </c>
      <c r="I1732" s="36">
        <v>40</v>
      </c>
      <c r="J1732" s="32">
        <f>IF(MB25_VOLUMETRIA[[#This Row],[Reserva]]="","",1)</f>
        <v>1</v>
      </c>
      <c r="K1732" s="36" t="str">
        <f>IF(MB25_VOLUMETRIA[[#This Row],[Reserva]]="","",IFERROR(VLOOKUP(MB25_VOLUMETRIA[[#This Row],[UMB]],CHAVE[],2,FALSE),"VERIFICAR"))</f>
        <v>Unidade</v>
      </c>
      <c r="L17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2" s="32" t="str">
        <f ca="1">IFERROR(VLOOKUP(MB25_VOLUMETRIA[[#This Row],[Reserva]],RES_AB[],14,FALSE),"")</f>
        <v>RESERVAS PENDENTES</v>
      </c>
      <c r="N1732" s="32" t="str">
        <f>IF(MB25_VOLUMETRIA[[#This Row],[Cen.]]="","",IFERROR(VLOOKUP(MB25_VOLUMETRIA[[#This Row],[Cen.]],Dados_Empresas[],2,FALSE),"Verificar empresa"))</f>
        <v>NET MASSIVO</v>
      </c>
      <c r="O1732" s="32" t="str">
        <f>IF(MB25_VOLUMETRIA[[#This Row],[EMPRESA]]="","",IF(OR(MB25_VOLUMETRIA[[#This Row],[EMPRESA]]="NET MASSIVO",MB25_VOLUMETRIA[[#This Row],[EMPRESA]]="NET PROJETOS"),"NET","EMPRESARIAL"))</f>
        <v>NET</v>
      </c>
    </row>
    <row r="1733" spans="1:15" x14ac:dyDescent="0.25">
      <c r="A1733" s="32">
        <v>4383951</v>
      </c>
      <c r="B1733" s="32" t="s">
        <v>21</v>
      </c>
      <c r="C1733" s="33" t="s">
        <v>19</v>
      </c>
      <c r="D1733" s="35">
        <v>45449</v>
      </c>
      <c r="E1733" s="32" t="s">
        <v>185</v>
      </c>
      <c r="F1733" s="32">
        <v>22026103</v>
      </c>
      <c r="G1733" s="32" t="s">
        <v>322</v>
      </c>
      <c r="H1733" s="26" t="s">
        <v>38</v>
      </c>
      <c r="I1733" s="36">
        <v>40</v>
      </c>
      <c r="J1733" s="32">
        <f>IF(MB25_VOLUMETRIA[[#This Row],[Reserva]]="","",1)</f>
        <v>1</v>
      </c>
      <c r="K1733" s="36" t="str">
        <f>IF(MB25_VOLUMETRIA[[#This Row],[Reserva]]="","",IFERROR(VLOOKUP(MB25_VOLUMETRIA[[#This Row],[UMB]],CHAVE[],2,FALSE),"VERIFICAR"))</f>
        <v>Unidade</v>
      </c>
      <c r="L17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3" s="32" t="str">
        <f ca="1">IFERROR(VLOOKUP(MB25_VOLUMETRIA[[#This Row],[Reserva]],RES_AB[],14,FALSE),"")</f>
        <v>RESERVAS PENDENTES</v>
      </c>
      <c r="N1733" s="32" t="str">
        <f>IF(MB25_VOLUMETRIA[[#This Row],[Cen.]]="","",IFERROR(VLOOKUP(MB25_VOLUMETRIA[[#This Row],[Cen.]],Dados_Empresas[],2,FALSE),"Verificar empresa"))</f>
        <v>NET MASSIVO</v>
      </c>
      <c r="O1733" s="32" t="str">
        <f>IF(MB25_VOLUMETRIA[[#This Row],[EMPRESA]]="","",IF(OR(MB25_VOLUMETRIA[[#This Row],[EMPRESA]]="NET MASSIVO",MB25_VOLUMETRIA[[#This Row],[EMPRESA]]="NET PROJETOS"),"NET","EMPRESARIAL"))</f>
        <v>NET</v>
      </c>
    </row>
    <row r="1734" spans="1:15" x14ac:dyDescent="0.25">
      <c r="A1734" s="32">
        <v>4383951</v>
      </c>
      <c r="B1734" s="32" t="s">
        <v>21</v>
      </c>
      <c r="C1734" s="33" t="s">
        <v>19</v>
      </c>
      <c r="D1734" s="35">
        <v>45449</v>
      </c>
      <c r="E1734" s="32" t="s">
        <v>185</v>
      </c>
      <c r="F1734" s="32">
        <v>22058639</v>
      </c>
      <c r="G1734" s="32" t="s">
        <v>290</v>
      </c>
      <c r="H1734" s="26" t="s">
        <v>38</v>
      </c>
      <c r="I1734" s="36">
        <v>40</v>
      </c>
      <c r="J1734" s="32">
        <f>IF(MB25_VOLUMETRIA[[#This Row],[Reserva]]="","",1)</f>
        <v>1</v>
      </c>
      <c r="K1734" s="36" t="str">
        <f>IF(MB25_VOLUMETRIA[[#This Row],[Reserva]]="","",IFERROR(VLOOKUP(MB25_VOLUMETRIA[[#This Row],[UMB]],CHAVE[],2,FALSE),"VERIFICAR"))</f>
        <v>Unidade</v>
      </c>
      <c r="L17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4" s="32" t="str">
        <f ca="1">IFERROR(VLOOKUP(MB25_VOLUMETRIA[[#This Row],[Reserva]],RES_AB[],14,FALSE),"")</f>
        <v>RESERVAS PENDENTES</v>
      </c>
      <c r="N1734" s="32" t="str">
        <f>IF(MB25_VOLUMETRIA[[#This Row],[Cen.]]="","",IFERROR(VLOOKUP(MB25_VOLUMETRIA[[#This Row],[Cen.]],Dados_Empresas[],2,FALSE),"Verificar empresa"))</f>
        <v>NET MASSIVO</v>
      </c>
      <c r="O1734" s="32" t="str">
        <f>IF(MB25_VOLUMETRIA[[#This Row],[EMPRESA]]="","",IF(OR(MB25_VOLUMETRIA[[#This Row],[EMPRESA]]="NET MASSIVO",MB25_VOLUMETRIA[[#This Row],[EMPRESA]]="NET PROJETOS"),"NET","EMPRESARIAL"))</f>
        <v>NET</v>
      </c>
    </row>
    <row r="1735" spans="1:15" x14ac:dyDescent="0.25">
      <c r="A1735" s="32">
        <v>4383951</v>
      </c>
      <c r="B1735" s="32" t="s">
        <v>21</v>
      </c>
      <c r="C1735" s="33" t="s">
        <v>21</v>
      </c>
      <c r="D1735" s="35">
        <v>45449</v>
      </c>
      <c r="E1735" s="32" t="s">
        <v>185</v>
      </c>
      <c r="F1735" s="32">
        <v>22063252</v>
      </c>
      <c r="G1735" s="32" t="s">
        <v>323</v>
      </c>
      <c r="H1735" s="26" t="s">
        <v>38</v>
      </c>
      <c r="I1735" s="36">
        <v>40</v>
      </c>
      <c r="J1735" s="32">
        <f>IF(MB25_VOLUMETRIA[[#This Row],[Reserva]]="","",1)</f>
        <v>1</v>
      </c>
      <c r="K1735" s="36" t="str">
        <f>IF(MB25_VOLUMETRIA[[#This Row],[Reserva]]="","",IFERROR(VLOOKUP(MB25_VOLUMETRIA[[#This Row],[UMB]],CHAVE[],2,FALSE),"VERIFICAR"))</f>
        <v>Unidade</v>
      </c>
      <c r="L17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5" s="32" t="str">
        <f ca="1">IFERROR(VLOOKUP(MB25_VOLUMETRIA[[#This Row],[Reserva]],RES_AB[],14,FALSE),"")</f>
        <v>RESERVAS PENDENTES</v>
      </c>
      <c r="N1735" s="32" t="str">
        <f>IF(MB25_VOLUMETRIA[[#This Row],[Cen.]]="","",IFERROR(VLOOKUP(MB25_VOLUMETRIA[[#This Row],[Cen.]],Dados_Empresas[],2,FALSE),"Verificar empresa"))</f>
        <v>NET MASSIVO</v>
      </c>
      <c r="O1735" s="32" t="str">
        <f>IF(MB25_VOLUMETRIA[[#This Row],[EMPRESA]]="","",IF(OR(MB25_VOLUMETRIA[[#This Row],[EMPRESA]]="NET MASSIVO",MB25_VOLUMETRIA[[#This Row],[EMPRESA]]="NET PROJETOS"),"NET","EMPRESARIAL"))</f>
        <v>NET</v>
      </c>
    </row>
    <row r="1736" spans="1:15" x14ac:dyDescent="0.25">
      <c r="A1736" s="32">
        <v>4383952</v>
      </c>
      <c r="B1736" s="32" t="s">
        <v>21</v>
      </c>
      <c r="C1736" s="33" t="s">
        <v>19</v>
      </c>
      <c r="D1736" s="35">
        <v>45449</v>
      </c>
      <c r="E1736" s="32" t="s">
        <v>184</v>
      </c>
      <c r="F1736" s="32">
        <v>41000805</v>
      </c>
      <c r="G1736" s="32" t="s">
        <v>188</v>
      </c>
      <c r="H1736" s="26" t="s">
        <v>38</v>
      </c>
      <c r="I1736" s="36">
        <v>40</v>
      </c>
      <c r="J1736" s="32">
        <f>IF(MB25_VOLUMETRIA[[#This Row],[Reserva]]="","",1)</f>
        <v>1</v>
      </c>
      <c r="K1736" s="36" t="str">
        <f>IF(MB25_VOLUMETRIA[[#This Row],[Reserva]]="","",IFERROR(VLOOKUP(MB25_VOLUMETRIA[[#This Row],[UMB]],CHAVE[],2,FALSE),"VERIFICAR"))</f>
        <v>Unidade</v>
      </c>
      <c r="L17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6" s="32" t="str">
        <f ca="1">IFERROR(VLOOKUP(MB25_VOLUMETRIA[[#This Row],[Reserva]],RES_AB[],14,FALSE),"")</f>
        <v>RESERVAS PENDENTES</v>
      </c>
      <c r="N1736" s="32" t="str">
        <f>IF(MB25_VOLUMETRIA[[#This Row],[Cen.]]="","",IFERROR(VLOOKUP(MB25_VOLUMETRIA[[#This Row],[Cen.]],Dados_Empresas[],2,FALSE),"Verificar empresa"))</f>
        <v>NET MASSIVO</v>
      </c>
      <c r="O1736" s="32" t="str">
        <f>IF(MB25_VOLUMETRIA[[#This Row],[EMPRESA]]="","",IF(OR(MB25_VOLUMETRIA[[#This Row],[EMPRESA]]="NET MASSIVO",MB25_VOLUMETRIA[[#This Row],[EMPRESA]]="NET PROJETOS"),"NET","EMPRESARIAL"))</f>
        <v>NET</v>
      </c>
    </row>
    <row r="1737" spans="1:15" x14ac:dyDescent="0.25">
      <c r="A1737" s="32">
        <v>4383952</v>
      </c>
      <c r="B1737" s="32" t="s">
        <v>21</v>
      </c>
      <c r="C1737" s="33" t="s">
        <v>19</v>
      </c>
      <c r="D1737" s="35">
        <v>45449</v>
      </c>
      <c r="E1737" s="32" t="s">
        <v>184</v>
      </c>
      <c r="F1737" s="32">
        <v>41001484</v>
      </c>
      <c r="G1737" s="32" t="s">
        <v>292</v>
      </c>
      <c r="H1737" s="26" t="s">
        <v>38</v>
      </c>
      <c r="I1737" s="36">
        <v>40</v>
      </c>
      <c r="J1737" s="32">
        <f>IF(MB25_VOLUMETRIA[[#This Row],[Reserva]]="","",1)</f>
        <v>1</v>
      </c>
      <c r="K1737" s="36" t="str">
        <f>IF(MB25_VOLUMETRIA[[#This Row],[Reserva]]="","",IFERROR(VLOOKUP(MB25_VOLUMETRIA[[#This Row],[UMB]],CHAVE[],2,FALSE),"VERIFICAR"))</f>
        <v>Unidade</v>
      </c>
      <c r="L17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7" s="32" t="str">
        <f ca="1">IFERROR(VLOOKUP(MB25_VOLUMETRIA[[#This Row],[Reserva]],RES_AB[],14,FALSE),"")</f>
        <v>RESERVAS PENDENTES</v>
      </c>
      <c r="N1737" s="32" t="str">
        <f>IF(MB25_VOLUMETRIA[[#This Row],[Cen.]]="","",IFERROR(VLOOKUP(MB25_VOLUMETRIA[[#This Row],[Cen.]],Dados_Empresas[],2,FALSE),"Verificar empresa"))</f>
        <v>NET MASSIVO</v>
      </c>
      <c r="O1737" s="32" t="str">
        <f>IF(MB25_VOLUMETRIA[[#This Row],[EMPRESA]]="","",IF(OR(MB25_VOLUMETRIA[[#This Row],[EMPRESA]]="NET MASSIVO",MB25_VOLUMETRIA[[#This Row],[EMPRESA]]="NET PROJETOS"),"NET","EMPRESARIAL"))</f>
        <v>NET</v>
      </c>
    </row>
    <row r="1738" spans="1:15" x14ac:dyDescent="0.25">
      <c r="A1738" s="32">
        <v>4383952</v>
      </c>
      <c r="B1738" s="32" t="s">
        <v>21</v>
      </c>
      <c r="C1738" s="33" t="s">
        <v>21</v>
      </c>
      <c r="D1738" s="35">
        <v>45449</v>
      </c>
      <c r="E1738" s="32" t="s">
        <v>184</v>
      </c>
      <c r="F1738" s="32">
        <v>41001535</v>
      </c>
      <c r="G1738" s="32" t="s">
        <v>191</v>
      </c>
      <c r="H1738" s="26" t="s">
        <v>38</v>
      </c>
      <c r="I1738" s="36">
        <v>50</v>
      </c>
      <c r="J1738" s="32">
        <f>IF(MB25_VOLUMETRIA[[#This Row],[Reserva]]="","",1)</f>
        <v>1</v>
      </c>
      <c r="K1738" s="36" t="str">
        <f>IF(MB25_VOLUMETRIA[[#This Row],[Reserva]]="","",IFERROR(VLOOKUP(MB25_VOLUMETRIA[[#This Row],[UMB]],CHAVE[],2,FALSE),"VERIFICAR"))</f>
        <v>Unidade</v>
      </c>
      <c r="L17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8" s="32" t="str">
        <f ca="1">IFERROR(VLOOKUP(MB25_VOLUMETRIA[[#This Row],[Reserva]],RES_AB[],14,FALSE),"")</f>
        <v>RESERVAS PENDENTES</v>
      </c>
      <c r="N1738" s="32" t="str">
        <f>IF(MB25_VOLUMETRIA[[#This Row],[Cen.]]="","",IFERROR(VLOOKUP(MB25_VOLUMETRIA[[#This Row],[Cen.]],Dados_Empresas[],2,FALSE),"Verificar empresa"))</f>
        <v>NET MASSIVO</v>
      </c>
      <c r="O1738" s="32" t="str">
        <f>IF(MB25_VOLUMETRIA[[#This Row],[EMPRESA]]="","",IF(OR(MB25_VOLUMETRIA[[#This Row],[EMPRESA]]="NET MASSIVO",MB25_VOLUMETRIA[[#This Row],[EMPRESA]]="NET PROJETOS"),"NET","EMPRESARIAL"))</f>
        <v>NET</v>
      </c>
    </row>
    <row r="1739" spans="1:15" x14ac:dyDescent="0.25">
      <c r="A1739" s="32">
        <v>4383953</v>
      </c>
      <c r="B1739" s="32" t="s">
        <v>21</v>
      </c>
      <c r="C1739" s="33" t="s">
        <v>19</v>
      </c>
      <c r="D1739" s="35">
        <v>45449</v>
      </c>
      <c r="E1739" s="32" t="s">
        <v>185</v>
      </c>
      <c r="F1739" s="32">
        <v>22026293</v>
      </c>
      <c r="G1739" s="32" t="s">
        <v>352</v>
      </c>
      <c r="H1739" s="26" t="s">
        <v>38</v>
      </c>
      <c r="I1739" s="36">
        <v>40</v>
      </c>
      <c r="J1739" s="32">
        <f>IF(MB25_VOLUMETRIA[[#This Row],[Reserva]]="","",1)</f>
        <v>1</v>
      </c>
      <c r="K1739" s="36" t="str">
        <f>IF(MB25_VOLUMETRIA[[#This Row],[Reserva]]="","",IFERROR(VLOOKUP(MB25_VOLUMETRIA[[#This Row],[UMB]],CHAVE[],2,FALSE),"VERIFICAR"))</f>
        <v>Unidade</v>
      </c>
      <c r="L17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39" s="32" t="str">
        <f ca="1">IFERROR(VLOOKUP(MB25_VOLUMETRIA[[#This Row],[Reserva]],RES_AB[],14,FALSE),"")</f>
        <v>RESERVAS PENDENTES</v>
      </c>
      <c r="N1739" s="32" t="str">
        <f>IF(MB25_VOLUMETRIA[[#This Row],[Cen.]]="","",IFERROR(VLOOKUP(MB25_VOLUMETRIA[[#This Row],[Cen.]],Dados_Empresas[],2,FALSE),"Verificar empresa"))</f>
        <v>NET MASSIVO</v>
      </c>
      <c r="O1739" s="32" t="str">
        <f>IF(MB25_VOLUMETRIA[[#This Row],[EMPRESA]]="","",IF(OR(MB25_VOLUMETRIA[[#This Row],[EMPRESA]]="NET MASSIVO",MB25_VOLUMETRIA[[#This Row],[EMPRESA]]="NET PROJETOS"),"NET","EMPRESARIAL"))</f>
        <v>NET</v>
      </c>
    </row>
    <row r="1740" spans="1:15" x14ac:dyDescent="0.25">
      <c r="A1740" s="32">
        <v>4383953</v>
      </c>
      <c r="B1740" s="32" t="s">
        <v>21</v>
      </c>
      <c r="C1740" s="33" t="s">
        <v>21</v>
      </c>
      <c r="D1740" s="35">
        <v>45449</v>
      </c>
      <c r="E1740" s="32" t="s">
        <v>185</v>
      </c>
      <c r="F1740" s="32">
        <v>22060422</v>
      </c>
      <c r="G1740" s="32" t="s">
        <v>298</v>
      </c>
      <c r="H1740" s="26" t="s">
        <v>38</v>
      </c>
      <c r="I1740" s="36">
        <v>40</v>
      </c>
      <c r="J1740" s="32">
        <f>IF(MB25_VOLUMETRIA[[#This Row],[Reserva]]="","",1)</f>
        <v>1</v>
      </c>
      <c r="K1740" s="36" t="str">
        <f>IF(MB25_VOLUMETRIA[[#This Row],[Reserva]]="","",IFERROR(VLOOKUP(MB25_VOLUMETRIA[[#This Row],[UMB]],CHAVE[],2,FALSE),"VERIFICAR"))</f>
        <v>Unidade</v>
      </c>
      <c r="L17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0" s="32" t="str">
        <f ca="1">IFERROR(VLOOKUP(MB25_VOLUMETRIA[[#This Row],[Reserva]],RES_AB[],14,FALSE),"")</f>
        <v>RESERVAS PENDENTES</v>
      </c>
      <c r="N1740" s="32" t="str">
        <f>IF(MB25_VOLUMETRIA[[#This Row],[Cen.]]="","",IFERROR(VLOOKUP(MB25_VOLUMETRIA[[#This Row],[Cen.]],Dados_Empresas[],2,FALSE),"Verificar empresa"))</f>
        <v>NET MASSIVO</v>
      </c>
      <c r="O1740" s="32" t="str">
        <f>IF(MB25_VOLUMETRIA[[#This Row],[EMPRESA]]="","",IF(OR(MB25_VOLUMETRIA[[#This Row],[EMPRESA]]="NET MASSIVO",MB25_VOLUMETRIA[[#This Row],[EMPRESA]]="NET PROJETOS"),"NET","EMPRESARIAL"))</f>
        <v>NET</v>
      </c>
    </row>
    <row r="1741" spans="1:15" x14ac:dyDescent="0.25">
      <c r="A1741" s="32">
        <v>4383954</v>
      </c>
      <c r="B1741" s="32" t="s">
        <v>21</v>
      </c>
      <c r="C1741" s="33" t="s">
        <v>19</v>
      </c>
      <c r="D1741" s="35">
        <v>45449</v>
      </c>
      <c r="E1741" s="32" t="s">
        <v>184</v>
      </c>
      <c r="F1741" s="32">
        <v>41001234</v>
      </c>
      <c r="G1741" s="32" t="s">
        <v>189</v>
      </c>
      <c r="H1741" s="26" t="s">
        <v>38</v>
      </c>
      <c r="I1741" s="36">
        <v>40</v>
      </c>
      <c r="J1741" s="32">
        <f>IF(MB25_VOLUMETRIA[[#This Row],[Reserva]]="","",1)</f>
        <v>1</v>
      </c>
      <c r="K1741" s="36" t="str">
        <f>IF(MB25_VOLUMETRIA[[#This Row],[Reserva]]="","",IFERROR(VLOOKUP(MB25_VOLUMETRIA[[#This Row],[UMB]],CHAVE[],2,FALSE),"VERIFICAR"))</f>
        <v>Unidade</v>
      </c>
      <c r="L17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1" s="32" t="str">
        <f ca="1">IFERROR(VLOOKUP(MB25_VOLUMETRIA[[#This Row],[Reserva]],RES_AB[],14,FALSE),"")</f>
        <v>RESERVAS PENDENTES</v>
      </c>
      <c r="N1741" s="32" t="str">
        <f>IF(MB25_VOLUMETRIA[[#This Row],[Cen.]]="","",IFERROR(VLOOKUP(MB25_VOLUMETRIA[[#This Row],[Cen.]],Dados_Empresas[],2,FALSE),"Verificar empresa"))</f>
        <v>NET MASSIVO</v>
      </c>
      <c r="O1741" s="32" t="str">
        <f>IF(MB25_VOLUMETRIA[[#This Row],[EMPRESA]]="","",IF(OR(MB25_VOLUMETRIA[[#This Row],[EMPRESA]]="NET MASSIVO",MB25_VOLUMETRIA[[#This Row],[EMPRESA]]="NET PROJETOS"),"NET","EMPRESARIAL"))</f>
        <v>NET</v>
      </c>
    </row>
    <row r="1742" spans="1:15" x14ac:dyDescent="0.25">
      <c r="A1742" s="32">
        <v>4383954</v>
      </c>
      <c r="B1742" s="32" t="s">
        <v>21</v>
      </c>
      <c r="C1742" s="33" t="s">
        <v>19</v>
      </c>
      <c r="D1742" s="35">
        <v>45449</v>
      </c>
      <c r="E1742" s="32" t="s">
        <v>184</v>
      </c>
      <c r="F1742" s="32">
        <v>41001277</v>
      </c>
      <c r="G1742" s="32" t="s">
        <v>466</v>
      </c>
      <c r="H1742" s="26" t="s">
        <v>38</v>
      </c>
      <c r="I1742" s="36">
        <v>40</v>
      </c>
      <c r="J1742" s="32">
        <f>IF(MB25_VOLUMETRIA[[#This Row],[Reserva]]="","",1)</f>
        <v>1</v>
      </c>
      <c r="K1742" s="36" t="str">
        <f>IF(MB25_VOLUMETRIA[[#This Row],[Reserva]]="","",IFERROR(VLOOKUP(MB25_VOLUMETRIA[[#This Row],[UMB]],CHAVE[],2,FALSE),"VERIFICAR"))</f>
        <v>Unidade</v>
      </c>
      <c r="L17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2" s="32" t="str">
        <f ca="1">IFERROR(VLOOKUP(MB25_VOLUMETRIA[[#This Row],[Reserva]],RES_AB[],14,FALSE),"")</f>
        <v>RESERVAS PENDENTES</v>
      </c>
      <c r="N1742" s="32" t="str">
        <f>IF(MB25_VOLUMETRIA[[#This Row],[Cen.]]="","",IFERROR(VLOOKUP(MB25_VOLUMETRIA[[#This Row],[Cen.]],Dados_Empresas[],2,FALSE),"Verificar empresa"))</f>
        <v>NET MASSIVO</v>
      </c>
      <c r="O1742" s="32" t="str">
        <f>IF(MB25_VOLUMETRIA[[#This Row],[EMPRESA]]="","",IF(OR(MB25_VOLUMETRIA[[#This Row],[EMPRESA]]="NET MASSIVO",MB25_VOLUMETRIA[[#This Row],[EMPRESA]]="NET PROJETOS"),"NET","EMPRESARIAL"))</f>
        <v>NET</v>
      </c>
    </row>
    <row r="1743" spans="1:15" x14ac:dyDescent="0.25">
      <c r="A1743" s="32">
        <v>4383955</v>
      </c>
      <c r="B1743" s="32" t="s">
        <v>21</v>
      </c>
      <c r="C1743" s="33" t="s">
        <v>19</v>
      </c>
      <c r="D1743" s="35">
        <v>45449</v>
      </c>
      <c r="E1743" s="32" t="s">
        <v>185</v>
      </c>
      <c r="F1743" s="32">
        <v>22026096</v>
      </c>
      <c r="G1743" s="32" t="s">
        <v>464</v>
      </c>
      <c r="H1743" s="26" t="s">
        <v>38</v>
      </c>
      <c r="I1743" s="36">
        <v>50</v>
      </c>
      <c r="J1743" s="32">
        <f>IF(MB25_VOLUMETRIA[[#This Row],[Reserva]]="","",1)</f>
        <v>1</v>
      </c>
      <c r="K1743" s="36" t="str">
        <f>IF(MB25_VOLUMETRIA[[#This Row],[Reserva]]="","",IFERROR(VLOOKUP(MB25_VOLUMETRIA[[#This Row],[UMB]],CHAVE[],2,FALSE),"VERIFICAR"))</f>
        <v>Unidade</v>
      </c>
      <c r="L17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3" s="32" t="str">
        <f ca="1">IFERROR(VLOOKUP(MB25_VOLUMETRIA[[#This Row],[Reserva]],RES_AB[],14,FALSE),"")</f>
        <v>RESERVAS PENDENTES</v>
      </c>
      <c r="N1743" s="32" t="str">
        <f>IF(MB25_VOLUMETRIA[[#This Row],[Cen.]]="","",IFERROR(VLOOKUP(MB25_VOLUMETRIA[[#This Row],[Cen.]],Dados_Empresas[],2,FALSE),"Verificar empresa"))</f>
        <v>NET MASSIVO</v>
      </c>
      <c r="O1743" s="32" t="str">
        <f>IF(MB25_VOLUMETRIA[[#This Row],[EMPRESA]]="","",IF(OR(MB25_VOLUMETRIA[[#This Row],[EMPRESA]]="NET MASSIVO",MB25_VOLUMETRIA[[#This Row],[EMPRESA]]="NET PROJETOS"),"NET","EMPRESARIAL"))</f>
        <v>NET</v>
      </c>
    </row>
    <row r="1744" spans="1:15" x14ac:dyDescent="0.25">
      <c r="A1744" s="32">
        <v>4383955</v>
      </c>
      <c r="B1744" s="32" t="s">
        <v>21</v>
      </c>
      <c r="C1744" s="33" t="s">
        <v>19</v>
      </c>
      <c r="D1744" s="35">
        <v>45449</v>
      </c>
      <c r="E1744" s="32" t="s">
        <v>185</v>
      </c>
      <c r="F1744" s="32">
        <v>22058639</v>
      </c>
      <c r="G1744" s="32" t="s">
        <v>290</v>
      </c>
      <c r="H1744" s="26" t="s">
        <v>38</v>
      </c>
      <c r="I1744" s="36">
        <v>40</v>
      </c>
      <c r="J1744" s="32">
        <f>IF(MB25_VOLUMETRIA[[#This Row],[Reserva]]="","",1)</f>
        <v>1</v>
      </c>
      <c r="K1744" s="36" t="str">
        <f>IF(MB25_VOLUMETRIA[[#This Row],[Reserva]]="","",IFERROR(VLOOKUP(MB25_VOLUMETRIA[[#This Row],[UMB]],CHAVE[],2,FALSE),"VERIFICAR"))</f>
        <v>Unidade</v>
      </c>
      <c r="L17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4" s="32" t="str">
        <f ca="1">IFERROR(VLOOKUP(MB25_VOLUMETRIA[[#This Row],[Reserva]],RES_AB[],14,FALSE),"")</f>
        <v>RESERVAS PENDENTES</v>
      </c>
      <c r="N1744" s="32" t="str">
        <f>IF(MB25_VOLUMETRIA[[#This Row],[Cen.]]="","",IFERROR(VLOOKUP(MB25_VOLUMETRIA[[#This Row],[Cen.]],Dados_Empresas[],2,FALSE),"Verificar empresa"))</f>
        <v>NET MASSIVO</v>
      </c>
      <c r="O1744" s="32" t="str">
        <f>IF(MB25_VOLUMETRIA[[#This Row],[EMPRESA]]="","",IF(OR(MB25_VOLUMETRIA[[#This Row],[EMPRESA]]="NET MASSIVO",MB25_VOLUMETRIA[[#This Row],[EMPRESA]]="NET PROJETOS"),"NET","EMPRESARIAL"))</f>
        <v>NET</v>
      </c>
    </row>
    <row r="1745" spans="1:15" x14ac:dyDescent="0.25">
      <c r="A1745" s="32">
        <v>4383955</v>
      </c>
      <c r="B1745" s="32" t="s">
        <v>21</v>
      </c>
      <c r="C1745" s="33" t="s">
        <v>21</v>
      </c>
      <c r="D1745" s="35">
        <v>45449</v>
      </c>
      <c r="E1745" s="32" t="s">
        <v>185</v>
      </c>
      <c r="F1745" s="32">
        <v>22062556</v>
      </c>
      <c r="G1745" s="32" t="s">
        <v>470</v>
      </c>
      <c r="H1745" s="26" t="s">
        <v>38</v>
      </c>
      <c r="I1745" s="36">
        <v>50</v>
      </c>
      <c r="J1745" s="32">
        <f>IF(MB25_VOLUMETRIA[[#This Row],[Reserva]]="","",1)</f>
        <v>1</v>
      </c>
      <c r="K1745" s="36" t="str">
        <f>IF(MB25_VOLUMETRIA[[#This Row],[Reserva]]="","",IFERROR(VLOOKUP(MB25_VOLUMETRIA[[#This Row],[UMB]],CHAVE[],2,FALSE),"VERIFICAR"))</f>
        <v>Unidade</v>
      </c>
      <c r="L17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5" s="32" t="str">
        <f ca="1">IFERROR(VLOOKUP(MB25_VOLUMETRIA[[#This Row],[Reserva]],RES_AB[],14,FALSE),"")</f>
        <v>RESERVAS PENDENTES</v>
      </c>
      <c r="N1745" s="32" t="str">
        <f>IF(MB25_VOLUMETRIA[[#This Row],[Cen.]]="","",IFERROR(VLOOKUP(MB25_VOLUMETRIA[[#This Row],[Cen.]],Dados_Empresas[],2,FALSE),"Verificar empresa"))</f>
        <v>NET MASSIVO</v>
      </c>
      <c r="O1745" s="32" t="str">
        <f>IF(MB25_VOLUMETRIA[[#This Row],[EMPRESA]]="","",IF(OR(MB25_VOLUMETRIA[[#This Row],[EMPRESA]]="NET MASSIVO",MB25_VOLUMETRIA[[#This Row],[EMPRESA]]="NET PROJETOS"),"NET","EMPRESARIAL"))</f>
        <v>NET</v>
      </c>
    </row>
    <row r="1746" spans="1:15" x14ac:dyDescent="0.25">
      <c r="A1746" s="32">
        <v>4383956</v>
      </c>
      <c r="B1746" s="32" t="s">
        <v>21</v>
      </c>
      <c r="C1746" s="33" t="s">
        <v>19</v>
      </c>
      <c r="D1746" s="35">
        <v>45449</v>
      </c>
      <c r="E1746" s="32" t="s">
        <v>184</v>
      </c>
      <c r="F1746" s="32">
        <v>41001095</v>
      </c>
      <c r="G1746" s="32" t="s">
        <v>246</v>
      </c>
      <c r="H1746" s="26" t="s">
        <v>38</v>
      </c>
      <c r="I1746" s="36">
        <v>40</v>
      </c>
      <c r="J1746" s="32">
        <f>IF(MB25_VOLUMETRIA[[#This Row],[Reserva]]="","",1)</f>
        <v>1</v>
      </c>
      <c r="K1746" s="36" t="str">
        <f>IF(MB25_VOLUMETRIA[[#This Row],[Reserva]]="","",IFERROR(VLOOKUP(MB25_VOLUMETRIA[[#This Row],[UMB]],CHAVE[],2,FALSE),"VERIFICAR"))</f>
        <v>Unidade</v>
      </c>
      <c r="L17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6" s="32" t="str">
        <f ca="1">IFERROR(VLOOKUP(MB25_VOLUMETRIA[[#This Row],[Reserva]],RES_AB[],14,FALSE),"")</f>
        <v>RESERVAS PENDENTES</v>
      </c>
      <c r="N1746" s="32" t="str">
        <f>IF(MB25_VOLUMETRIA[[#This Row],[Cen.]]="","",IFERROR(VLOOKUP(MB25_VOLUMETRIA[[#This Row],[Cen.]],Dados_Empresas[],2,FALSE),"Verificar empresa"))</f>
        <v>NET MASSIVO</v>
      </c>
      <c r="O1746" s="32" t="str">
        <f>IF(MB25_VOLUMETRIA[[#This Row],[EMPRESA]]="","",IF(OR(MB25_VOLUMETRIA[[#This Row],[EMPRESA]]="NET MASSIVO",MB25_VOLUMETRIA[[#This Row],[EMPRESA]]="NET PROJETOS"),"NET","EMPRESARIAL"))</f>
        <v>NET</v>
      </c>
    </row>
    <row r="1747" spans="1:15" x14ac:dyDescent="0.25">
      <c r="A1747" s="32">
        <v>4383956</v>
      </c>
      <c r="B1747" s="32" t="s">
        <v>21</v>
      </c>
      <c r="C1747" s="33" t="s">
        <v>19</v>
      </c>
      <c r="D1747" s="35">
        <v>45449</v>
      </c>
      <c r="E1747" s="32" t="s">
        <v>184</v>
      </c>
      <c r="F1747" s="32">
        <v>41001481</v>
      </c>
      <c r="G1747" s="32" t="s">
        <v>403</v>
      </c>
      <c r="H1747" s="26" t="s">
        <v>38</v>
      </c>
      <c r="I1747" s="36">
        <v>50</v>
      </c>
      <c r="J1747" s="32">
        <f>IF(MB25_VOLUMETRIA[[#This Row],[Reserva]]="","",1)</f>
        <v>1</v>
      </c>
      <c r="K1747" s="36" t="str">
        <f>IF(MB25_VOLUMETRIA[[#This Row],[Reserva]]="","",IFERROR(VLOOKUP(MB25_VOLUMETRIA[[#This Row],[UMB]],CHAVE[],2,FALSE),"VERIFICAR"))</f>
        <v>Unidade</v>
      </c>
      <c r="L17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7" s="32" t="str">
        <f ca="1">IFERROR(VLOOKUP(MB25_VOLUMETRIA[[#This Row],[Reserva]],RES_AB[],14,FALSE),"")</f>
        <v>RESERVAS PENDENTES</v>
      </c>
      <c r="N1747" s="32" t="str">
        <f>IF(MB25_VOLUMETRIA[[#This Row],[Cen.]]="","",IFERROR(VLOOKUP(MB25_VOLUMETRIA[[#This Row],[Cen.]],Dados_Empresas[],2,FALSE),"Verificar empresa"))</f>
        <v>NET MASSIVO</v>
      </c>
      <c r="O1747" s="32" t="str">
        <f>IF(MB25_VOLUMETRIA[[#This Row],[EMPRESA]]="","",IF(OR(MB25_VOLUMETRIA[[#This Row],[EMPRESA]]="NET MASSIVO",MB25_VOLUMETRIA[[#This Row],[EMPRESA]]="NET PROJETOS"),"NET","EMPRESARIAL"))</f>
        <v>NET</v>
      </c>
    </row>
    <row r="1748" spans="1:15" x14ac:dyDescent="0.25">
      <c r="A1748" s="32">
        <v>4383956</v>
      </c>
      <c r="B1748" s="32" t="s">
        <v>21</v>
      </c>
      <c r="C1748" s="33" t="s">
        <v>21</v>
      </c>
      <c r="D1748" s="35">
        <v>45449</v>
      </c>
      <c r="E1748" s="32" t="s">
        <v>184</v>
      </c>
      <c r="F1748" s="32">
        <v>41001590</v>
      </c>
      <c r="G1748" s="32" t="s">
        <v>239</v>
      </c>
      <c r="H1748" s="26" t="s">
        <v>38</v>
      </c>
      <c r="I1748" s="36">
        <v>20</v>
      </c>
      <c r="J1748" s="32">
        <f>IF(MB25_VOLUMETRIA[[#This Row],[Reserva]]="","",1)</f>
        <v>1</v>
      </c>
      <c r="K1748" s="36" t="str">
        <f>IF(MB25_VOLUMETRIA[[#This Row],[Reserva]]="","",IFERROR(VLOOKUP(MB25_VOLUMETRIA[[#This Row],[UMB]],CHAVE[],2,FALSE),"VERIFICAR"))</f>
        <v>Unidade</v>
      </c>
      <c r="L17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8" s="32" t="str">
        <f ca="1">IFERROR(VLOOKUP(MB25_VOLUMETRIA[[#This Row],[Reserva]],RES_AB[],14,FALSE),"")</f>
        <v>RESERVAS PENDENTES</v>
      </c>
      <c r="N1748" s="32" t="str">
        <f>IF(MB25_VOLUMETRIA[[#This Row],[Cen.]]="","",IFERROR(VLOOKUP(MB25_VOLUMETRIA[[#This Row],[Cen.]],Dados_Empresas[],2,FALSE),"Verificar empresa"))</f>
        <v>NET MASSIVO</v>
      </c>
      <c r="O1748" s="32" t="str">
        <f>IF(MB25_VOLUMETRIA[[#This Row],[EMPRESA]]="","",IF(OR(MB25_VOLUMETRIA[[#This Row],[EMPRESA]]="NET MASSIVO",MB25_VOLUMETRIA[[#This Row],[EMPRESA]]="NET PROJETOS"),"NET","EMPRESARIAL"))</f>
        <v>NET</v>
      </c>
    </row>
    <row r="1749" spans="1:15" x14ac:dyDescent="0.25">
      <c r="A1749" s="32">
        <v>4383957</v>
      </c>
      <c r="B1749" s="32" t="s">
        <v>21</v>
      </c>
      <c r="C1749" s="33" t="s">
        <v>19</v>
      </c>
      <c r="D1749" s="35">
        <v>45449</v>
      </c>
      <c r="E1749" s="32" t="s">
        <v>185</v>
      </c>
      <c r="F1749" s="32">
        <v>22026103</v>
      </c>
      <c r="G1749" s="32" t="s">
        <v>322</v>
      </c>
      <c r="H1749" s="26" t="s">
        <v>38</v>
      </c>
      <c r="I1749" s="36">
        <v>60</v>
      </c>
      <c r="J1749" s="32">
        <f>IF(MB25_VOLUMETRIA[[#This Row],[Reserva]]="","",1)</f>
        <v>1</v>
      </c>
      <c r="K1749" s="36" t="str">
        <f>IF(MB25_VOLUMETRIA[[#This Row],[Reserva]]="","",IFERROR(VLOOKUP(MB25_VOLUMETRIA[[#This Row],[UMB]],CHAVE[],2,FALSE),"VERIFICAR"))</f>
        <v>Unidade</v>
      </c>
      <c r="L17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49" s="32" t="str">
        <f ca="1">IFERROR(VLOOKUP(MB25_VOLUMETRIA[[#This Row],[Reserva]],RES_AB[],14,FALSE),"")</f>
        <v>RESERVAS PENDENTES</v>
      </c>
      <c r="N1749" s="32" t="str">
        <f>IF(MB25_VOLUMETRIA[[#This Row],[Cen.]]="","",IFERROR(VLOOKUP(MB25_VOLUMETRIA[[#This Row],[Cen.]],Dados_Empresas[],2,FALSE),"Verificar empresa"))</f>
        <v>NET MASSIVO</v>
      </c>
      <c r="O1749" s="32" t="str">
        <f>IF(MB25_VOLUMETRIA[[#This Row],[EMPRESA]]="","",IF(OR(MB25_VOLUMETRIA[[#This Row],[EMPRESA]]="NET MASSIVO",MB25_VOLUMETRIA[[#This Row],[EMPRESA]]="NET PROJETOS"),"NET","EMPRESARIAL"))</f>
        <v>NET</v>
      </c>
    </row>
    <row r="1750" spans="1:15" x14ac:dyDescent="0.25">
      <c r="A1750" s="32">
        <v>4383957</v>
      </c>
      <c r="B1750" s="32" t="s">
        <v>21</v>
      </c>
      <c r="C1750" s="33" t="s">
        <v>19</v>
      </c>
      <c r="D1750" s="35">
        <v>45449</v>
      </c>
      <c r="E1750" s="32" t="s">
        <v>185</v>
      </c>
      <c r="F1750" s="32">
        <v>22058639</v>
      </c>
      <c r="G1750" s="32" t="s">
        <v>290</v>
      </c>
      <c r="H1750" s="26" t="s">
        <v>38</v>
      </c>
      <c r="I1750" s="36">
        <v>60</v>
      </c>
      <c r="J1750" s="32">
        <f>IF(MB25_VOLUMETRIA[[#This Row],[Reserva]]="","",1)</f>
        <v>1</v>
      </c>
      <c r="K1750" s="36" t="str">
        <f>IF(MB25_VOLUMETRIA[[#This Row],[Reserva]]="","",IFERROR(VLOOKUP(MB25_VOLUMETRIA[[#This Row],[UMB]],CHAVE[],2,FALSE),"VERIFICAR"))</f>
        <v>Unidade</v>
      </c>
      <c r="L17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0" s="32" t="str">
        <f ca="1">IFERROR(VLOOKUP(MB25_VOLUMETRIA[[#This Row],[Reserva]],RES_AB[],14,FALSE),"")</f>
        <v>RESERVAS PENDENTES</v>
      </c>
      <c r="N1750" s="32" t="str">
        <f>IF(MB25_VOLUMETRIA[[#This Row],[Cen.]]="","",IFERROR(VLOOKUP(MB25_VOLUMETRIA[[#This Row],[Cen.]],Dados_Empresas[],2,FALSE),"Verificar empresa"))</f>
        <v>NET MASSIVO</v>
      </c>
      <c r="O1750" s="32" t="str">
        <f>IF(MB25_VOLUMETRIA[[#This Row],[EMPRESA]]="","",IF(OR(MB25_VOLUMETRIA[[#This Row],[EMPRESA]]="NET MASSIVO",MB25_VOLUMETRIA[[#This Row],[EMPRESA]]="NET PROJETOS"),"NET","EMPRESARIAL"))</f>
        <v>NET</v>
      </c>
    </row>
    <row r="1751" spans="1:15" x14ac:dyDescent="0.25">
      <c r="A1751" s="32">
        <v>4383957</v>
      </c>
      <c r="B1751" s="32" t="s">
        <v>21</v>
      </c>
      <c r="C1751" s="33" t="s">
        <v>21</v>
      </c>
      <c r="D1751" s="35">
        <v>45449</v>
      </c>
      <c r="E1751" s="32" t="s">
        <v>185</v>
      </c>
      <c r="F1751" s="32">
        <v>22063252</v>
      </c>
      <c r="G1751" s="32" t="s">
        <v>323</v>
      </c>
      <c r="H1751" s="26" t="s">
        <v>38</v>
      </c>
      <c r="I1751" s="36">
        <v>60</v>
      </c>
      <c r="J1751" s="32">
        <f>IF(MB25_VOLUMETRIA[[#This Row],[Reserva]]="","",1)</f>
        <v>1</v>
      </c>
      <c r="K1751" s="36" t="str">
        <f>IF(MB25_VOLUMETRIA[[#This Row],[Reserva]]="","",IFERROR(VLOOKUP(MB25_VOLUMETRIA[[#This Row],[UMB]],CHAVE[],2,FALSE),"VERIFICAR"))</f>
        <v>Unidade</v>
      </c>
      <c r="L17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1" s="32" t="str">
        <f ca="1">IFERROR(VLOOKUP(MB25_VOLUMETRIA[[#This Row],[Reserva]],RES_AB[],14,FALSE),"")</f>
        <v>RESERVAS PENDENTES</v>
      </c>
      <c r="N1751" s="32" t="str">
        <f>IF(MB25_VOLUMETRIA[[#This Row],[Cen.]]="","",IFERROR(VLOOKUP(MB25_VOLUMETRIA[[#This Row],[Cen.]],Dados_Empresas[],2,FALSE),"Verificar empresa"))</f>
        <v>NET MASSIVO</v>
      </c>
      <c r="O1751" s="32" t="str">
        <f>IF(MB25_VOLUMETRIA[[#This Row],[EMPRESA]]="","",IF(OR(MB25_VOLUMETRIA[[#This Row],[EMPRESA]]="NET MASSIVO",MB25_VOLUMETRIA[[#This Row],[EMPRESA]]="NET PROJETOS"),"NET","EMPRESARIAL"))</f>
        <v>NET</v>
      </c>
    </row>
    <row r="1752" spans="1:15" x14ac:dyDescent="0.25">
      <c r="A1752" s="32">
        <v>4383958</v>
      </c>
      <c r="B1752" s="32" t="s">
        <v>21</v>
      </c>
      <c r="C1752" s="33" t="s">
        <v>19</v>
      </c>
      <c r="D1752" s="35">
        <v>45449</v>
      </c>
      <c r="E1752" s="32" t="s">
        <v>184</v>
      </c>
      <c r="F1752" s="32">
        <v>41000805</v>
      </c>
      <c r="G1752" s="32" t="s">
        <v>188</v>
      </c>
      <c r="H1752" s="26" t="s">
        <v>38</v>
      </c>
      <c r="I1752" s="36">
        <v>60</v>
      </c>
      <c r="J1752" s="32">
        <f>IF(MB25_VOLUMETRIA[[#This Row],[Reserva]]="","",1)</f>
        <v>1</v>
      </c>
      <c r="K1752" s="36" t="str">
        <f>IF(MB25_VOLUMETRIA[[#This Row],[Reserva]]="","",IFERROR(VLOOKUP(MB25_VOLUMETRIA[[#This Row],[UMB]],CHAVE[],2,FALSE),"VERIFICAR"))</f>
        <v>Unidade</v>
      </c>
      <c r="L17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2" s="32" t="str">
        <f ca="1">IFERROR(VLOOKUP(MB25_VOLUMETRIA[[#This Row],[Reserva]],RES_AB[],14,FALSE),"")</f>
        <v>RESERVAS PENDENTES</v>
      </c>
      <c r="N1752" s="32" t="str">
        <f>IF(MB25_VOLUMETRIA[[#This Row],[Cen.]]="","",IFERROR(VLOOKUP(MB25_VOLUMETRIA[[#This Row],[Cen.]],Dados_Empresas[],2,FALSE),"Verificar empresa"))</f>
        <v>NET MASSIVO</v>
      </c>
      <c r="O1752" s="32" t="str">
        <f>IF(MB25_VOLUMETRIA[[#This Row],[EMPRESA]]="","",IF(OR(MB25_VOLUMETRIA[[#This Row],[EMPRESA]]="NET MASSIVO",MB25_VOLUMETRIA[[#This Row],[EMPRESA]]="NET PROJETOS"),"NET","EMPRESARIAL"))</f>
        <v>NET</v>
      </c>
    </row>
    <row r="1753" spans="1:15" x14ac:dyDescent="0.25">
      <c r="A1753" s="32">
        <v>4383958</v>
      </c>
      <c r="B1753" s="32" t="s">
        <v>21</v>
      </c>
      <c r="C1753" s="33" t="s">
        <v>19</v>
      </c>
      <c r="D1753" s="35">
        <v>45449</v>
      </c>
      <c r="E1753" s="32" t="s">
        <v>184</v>
      </c>
      <c r="F1753" s="32">
        <v>41001484</v>
      </c>
      <c r="G1753" s="32" t="s">
        <v>292</v>
      </c>
      <c r="H1753" s="26" t="s">
        <v>38</v>
      </c>
      <c r="I1753" s="36">
        <v>60</v>
      </c>
      <c r="J1753" s="32">
        <f>IF(MB25_VOLUMETRIA[[#This Row],[Reserva]]="","",1)</f>
        <v>1</v>
      </c>
      <c r="K1753" s="36" t="str">
        <f>IF(MB25_VOLUMETRIA[[#This Row],[Reserva]]="","",IFERROR(VLOOKUP(MB25_VOLUMETRIA[[#This Row],[UMB]],CHAVE[],2,FALSE),"VERIFICAR"))</f>
        <v>Unidade</v>
      </c>
      <c r="L17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3" s="32" t="str">
        <f ca="1">IFERROR(VLOOKUP(MB25_VOLUMETRIA[[#This Row],[Reserva]],RES_AB[],14,FALSE),"")</f>
        <v>RESERVAS PENDENTES</v>
      </c>
      <c r="N1753" s="32" t="str">
        <f>IF(MB25_VOLUMETRIA[[#This Row],[Cen.]]="","",IFERROR(VLOOKUP(MB25_VOLUMETRIA[[#This Row],[Cen.]],Dados_Empresas[],2,FALSE),"Verificar empresa"))</f>
        <v>NET MASSIVO</v>
      </c>
      <c r="O1753" s="32" t="str">
        <f>IF(MB25_VOLUMETRIA[[#This Row],[EMPRESA]]="","",IF(OR(MB25_VOLUMETRIA[[#This Row],[EMPRESA]]="NET MASSIVO",MB25_VOLUMETRIA[[#This Row],[EMPRESA]]="NET PROJETOS"),"NET","EMPRESARIAL"))</f>
        <v>NET</v>
      </c>
    </row>
    <row r="1754" spans="1:15" x14ac:dyDescent="0.25">
      <c r="A1754" s="32">
        <v>4383958</v>
      </c>
      <c r="B1754" s="32" t="s">
        <v>21</v>
      </c>
      <c r="C1754" s="33" t="s">
        <v>21</v>
      </c>
      <c r="D1754" s="35">
        <v>45449</v>
      </c>
      <c r="E1754" s="32" t="s">
        <v>184</v>
      </c>
      <c r="F1754" s="32">
        <v>41001590</v>
      </c>
      <c r="G1754" s="32" t="s">
        <v>239</v>
      </c>
      <c r="H1754" s="26" t="s">
        <v>38</v>
      </c>
      <c r="I1754" s="36">
        <v>20</v>
      </c>
      <c r="J1754" s="32">
        <f>IF(MB25_VOLUMETRIA[[#This Row],[Reserva]]="","",1)</f>
        <v>1</v>
      </c>
      <c r="K1754" s="36" t="str">
        <f>IF(MB25_VOLUMETRIA[[#This Row],[Reserva]]="","",IFERROR(VLOOKUP(MB25_VOLUMETRIA[[#This Row],[UMB]],CHAVE[],2,FALSE),"VERIFICAR"))</f>
        <v>Unidade</v>
      </c>
      <c r="L17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4" s="32" t="str">
        <f ca="1">IFERROR(VLOOKUP(MB25_VOLUMETRIA[[#This Row],[Reserva]],RES_AB[],14,FALSE),"")</f>
        <v>RESERVAS PENDENTES</v>
      </c>
      <c r="N1754" s="32" t="str">
        <f>IF(MB25_VOLUMETRIA[[#This Row],[Cen.]]="","",IFERROR(VLOOKUP(MB25_VOLUMETRIA[[#This Row],[Cen.]],Dados_Empresas[],2,FALSE),"Verificar empresa"))</f>
        <v>NET MASSIVO</v>
      </c>
      <c r="O1754" s="32" t="str">
        <f>IF(MB25_VOLUMETRIA[[#This Row],[EMPRESA]]="","",IF(OR(MB25_VOLUMETRIA[[#This Row],[EMPRESA]]="NET MASSIVO",MB25_VOLUMETRIA[[#This Row],[EMPRESA]]="NET PROJETOS"),"NET","EMPRESARIAL"))</f>
        <v>NET</v>
      </c>
    </row>
    <row r="1755" spans="1:15" x14ac:dyDescent="0.25">
      <c r="A1755" s="32">
        <v>4383959</v>
      </c>
      <c r="B1755" s="32" t="s">
        <v>21</v>
      </c>
      <c r="C1755" s="33" t="s">
        <v>19</v>
      </c>
      <c r="D1755" s="35">
        <v>45449</v>
      </c>
      <c r="E1755" s="32" t="s">
        <v>185</v>
      </c>
      <c r="F1755" s="32">
        <v>22026096</v>
      </c>
      <c r="G1755" s="32" t="s">
        <v>464</v>
      </c>
      <c r="H1755" s="26" t="s">
        <v>38</v>
      </c>
      <c r="I1755" s="36">
        <v>120</v>
      </c>
      <c r="J1755" s="32">
        <f>IF(MB25_VOLUMETRIA[[#This Row],[Reserva]]="","",1)</f>
        <v>1</v>
      </c>
      <c r="K1755" s="36" t="str">
        <f>IF(MB25_VOLUMETRIA[[#This Row],[Reserva]]="","",IFERROR(VLOOKUP(MB25_VOLUMETRIA[[#This Row],[UMB]],CHAVE[],2,FALSE),"VERIFICAR"))</f>
        <v>Unidade</v>
      </c>
      <c r="L17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5" s="32" t="str">
        <f ca="1">IFERROR(VLOOKUP(MB25_VOLUMETRIA[[#This Row],[Reserva]],RES_AB[],14,FALSE),"")</f>
        <v>RESERVAS PENDENTES</v>
      </c>
      <c r="N1755" s="32" t="str">
        <f>IF(MB25_VOLUMETRIA[[#This Row],[Cen.]]="","",IFERROR(VLOOKUP(MB25_VOLUMETRIA[[#This Row],[Cen.]],Dados_Empresas[],2,FALSE),"Verificar empresa"))</f>
        <v>NET MASSIVO</v>
      </c>
      <c r="O1755" s="32" t="str">
        <f>IF(MB25_VOLUMETRIA[[#This Row],[EMPRESA]]="","",IF(OR(MB25_VOLUMETRIA[[#This Row],[EMPRESA]]="NET MASSIVO",MB25_VOLUMETRIA[[#This Row],[EMPRESA]]="NET PROJETOS"),"NET","EMPRESARIAL"))</f>
        <v>NET</v>
      </c>
    </row>
    <row r="1756" spans="1:15" x14ac:dyDescent="0.25">
      <c r="A1756" s="32">
        <v>4383959</v>
      </c>
      <c r="B1756" s="32" t="s">
        <v>21</v>
      </c>
      <c r="C1756" s="33" t="s">
        <v>19</v>
      </c>
      <c r="D1756" s="35">
        <v>45449</v>
      </c>
      <c r="E1756" s="32" t="s">
        <v>185</v>
      </c>
      <c r="F1756" s="32">
        <v>22058639</v>
      </c>
      <c r="G1756" s="32" t="s">
        <v>290</v>
      </c>
      <c r="H1756" s="26" t="s">
        <v>38</v>
      </c>
      <c r="I1756" s="36">
        <v>50</v>
      </c>
      <c r="J1756" s="32">
        <f>IF(MB25_VOLUMETRIA[[#This Row],[Reserva]]="","",1)</f>
        <v>1</v>
      </c>
      <c r="K1756" s="36" t="str">
        <f>IF(MB25_VOLUMETRIA[[#This Row],[Reserva]]="","",IFERROR(VLOOKUP(MB25_VOLUMETRIA[[#This Row],[UMB]],CHAVE[],2,FALSE),"VERIFICAR"))</f>
        <v>Unidade</v>
      </c>
      <c r="L17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6" s="32" t="str">
        <f ca="1">IFERROR(VLOOKUP(MB25_VOLUMETRIA[[#This Row],[Reserva]],RES_AB[],14,FALSE),"")</f>
        <v>RESERVAS PENDENTES</v>
      </c>
      <c r="N1756" s="32" t="str">
        <f>IF(MB25_VOLUMETRIA[[#This Row],[Cen.]]="","",IFERROR(VLOOKUP(MB25_VOLUMETRIA[[#This Row],[Cen.]],Dados_Empresas[],2,FALSE),"Verificar empresa"))</f>
        <v>NET MASSIVO</v>
      </c>
      <c r="O1756" s="32" t="str">
        <f>IF(MB25_VOLUMETRIA[[#This Row],[EMPRESA]]="","",IF(OR(MB25_VOLUMETRIA[[#This Row],[EMPRESA]]="NET MASSIVO",MB25_VOLUMETRIA[[#This Row],[EMPRESA]]="NET PROJETOS"),"NET","EMPRESARIAL"))</f>
        <v>NET</v>
      </c>
    </row>
    <row r="1757" spans="1:15" x14ac:dyDescent="0.25">
      <c r="A1757" s="32">
        <v>4383959</v>
      </c>
      <c r="B1757" s="32" t="s">
        <v>21</v>
      </c>
      <c r="C1757" s="33" t="s">
        <v>19</v>
      </c>
      <c r="D1757" s="35">
        <v>45449</v>
      </c>
      <c r="E1757" s="32" t="s">
        <v>185</v>
      </c>
      <c r="F1757" s="32">
        <v>22060287</v>
      </c>
      <c r="G1757" s="32" t="s">
        <v>465</v>
      </c>
      <c r="H1757" s="26" t="s">
        <v>38</v>
      </c>
      <c r="I1757" s="36">
        <v>120</v>
      </c>
      <c r="J1757" s="32">
        <f>IF(MB25_VOLUMETRIA[[#This Row],[Reserva]]="","",1)</f>
        <v>1</v>
      </c>
      <c r="K1757" s="36" t="str">
        <f>IF(MB25_VOLUMETRIA[[#This Row],[Reserva]]="","",IFERROR(VLOOKUP(MB25_VOLUMETRIA[[#This Row],[UMB]],CHAVE[],2,FALSE),"VERIFICAR"))</f>
        <v>Unidade</v>
      </c>
      <c r="L17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7" s="32" t="str">
        <f ca="1">IFERROR(VLOOKUP(MB25_VOLUMETRIA[[#This Row],[Reserva]],RES_AB[],14,FALSE),"")</f>
        <v>RESERVAS PENDENTES</v>
      </c>
      <c r="N1757" s="32" t="str">
        <f>IF(MB25_VOLUMETRIA[[#This Row],[Cen.]]="","",IFERROR(VLOOKUP(MB25_VOLUMETRIA[[#This Row],[Cen.]],Dados_Empresas[],2,FALSE),"Verificar empresa"))</f>
        <v>NET MASSIVO</v>
      </c>
      <c r="O1757" s="32" t="str">
        <f>IF(MB25_VOLUMETRIA[[#This Row],[EMPRESA]]="","",IF(OR(MB25_VOLUMETRIA[[#This Row],[EMPRESA]]="NET MASSIVO",MB25_VOLUMETRIA[[#This Row],[EMPRESA]]="NET PROJETOS"),"NET","EMPRESARIAL"))</f>
        <v>NET</v>
      </c>
    </row>
    <row r="1758" spans="1:15" x14ac:dyDescent="0.25">
      <c r="A1758" s="32">
        <v>4383960</v>
      </c>
      <c r="B1758" s="32" t="s">
        <v>21</v>
      </c>
      <c r="C1758" s="33" t="s">
        <v>19</v>
      </c>
      <c r="D1758" s="35">
        <v>45449</v>
      </c>
      <c r="E1758" s="32" t="s">
        <v>184</v>
      </c>
      <c r="F1758" s="32">
        <v>41001095</v>
      </c>
      <c r="G1758" s="32" t="s">
        <v>246</v>
      </c>
      <c r="H1758" s="26" t="s">
        <v>38</v>
      </c>
      <c r="I1758" s="36">
        <v>50</v>
      </c>
      <c r="J1758" s="32">
        <f>IF(MB25_VOLUMETRIA[[#This Row],[Reserva]]="","",1)</f>
        <v>1</v>
      </c>
      <c r="K1758" s="36" t="str">
        <f>IF(MB25_VOLUMETRIA[[#This Row],[Reserva]]="","",IFERROR(VLOOKUP(MB25_VOLUMETRIA[[#This Row],[UMB]],CHAVE[],2,FALSE),"VERIFICAR"))</f>
        <v>Unidade</v>
      </c>
      <c r="L17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8" s="32" t="str">
        <f ca="1">IFERROR(VLOOKUP(MB25_VOLUMETRIA[[#This Row],[Reserva]],RES_AB[],14,FALSE),"")</f>
        <v>RESERVAS PENDENTES</v>
      </c>
      <c r="N1758" s="32" t="str">
        <f>IF(MB25_VOLUMETRIA[[#This Row],[Cen.]]="","",IFERROR(VLOOKUP(MB25_VOLUMETRIA[[#This Row],[Cen.]],Dados_Empresas[],2,FALSE),"Verificar empresa"))</f>
        <v>NET MASSIVO</v>
      </c>
      <c r="O1758" s="32" t="str">
        <f>IF(MB25_VOLUMETRIA[[#This Row],[EMPRESA]]="","",IF(OR(MB25_VOLUMETRIA[[#This Row],[EMPRESA]]="NET MASSIVO",MB25_VOLUMETRIA[[#This Row],[EMPRESA]]="NET PROJETOS"),"NET","EMPRESARIAL"))</f>
        <v>NET</v>
      </c>
    </row>
    <row r="1759" spans="1:15" x14ac:dyDescent="0.25">
      <c r="A1759" s="32">
        <v>4383960</v>
      </c>
      <c r="B1759" s="32" t="s">
        <v>21</v>
      </c>
      <c r="C1759" s="33" t="s">
        <v>19</v>
      </c>
      <c r="D1759" s="35">
        <v>45449</v>
      </c>
      <c r="E1759" s="32" t="s">
        <v>184</v>
      </c>
      <c r="F1759" s="32">
        <v>41001481</v>
      </c>
      <c r="G1759" s="32" t="s">
        <v>403</v>
      </c>
      <c r="H1759" s="26" t="s">
        <v>38</v>
      </c>
      <c r="I1759" s="36">
        <v>120</v>
      </c>
      <c r="J1759" s="32">
        <f>IF(MB25_VOLUMETRIA[[#This Row],[Reserva]]="","",1)</f>
        <v>1</v>
      </c>
      <c r="K1759" s="36" t="str">
        <f>IF(MB25_VOLUMETRIA[[#This Row],[Reserva]]="","",IFERROR(VLOOKUP(MB25_VOLUMETRIA[[#This Row],[UMB]],CHAVE[],2,FALSE),"VERIFICAR"))</f>
        <v>Unidade</v>
      </c>
      <c r="L17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59" s="32" t="str">
        <f ca="1">IFERROR(VLOOKUP(MB25_VOLUMETRIA[[#This Row],[Reserva]],RES_AB[],14,FALSE),"")</f>
        <v>RESERVAS PENDENTES</v>
      </c>
      <c r="N1759" s="32" t="str">
        <f>IF(MB25_VOLUMETRIA[[#This Row],[Cen.]]="","",IFERROR(VLOOKUP(MB25_VOLUMETRIA[[#This Row],[Cen.]],Dados_Empresas[],2,FALSE),"Verificar empresa"))</f>
        <v>NET MASSIVO</v>
      </c>
      <c r="O1759" s="32" t="str">
        <f>IF(MB25_VOLUMETRIA[[#This Row],[EMPRESA]]="","",IF(OR(MB25_VOLUMETRIA[[#This Row],[EMPRESA]]="NET MASSIVO",MB25_VOLUMETRIA[[#This Row],[EMPRESA]]="NET PROJETOS"),"NET","EMPRESARIAL"))</f>
        <v>NET</v>
      </c>
    </row>
    <row r="1760" spans="1:15" x14ac:dyDescent="0.25">
      <c r="A1760" s="32">
        <v>4383961</v>
      </c>
      <c r="B1760" s="32" t="s">
        <v>21</v>
      </c>
      <c r="C1760" s="33" t="s">
        <v>19</v>
      </c>
      <c r="D1760" s="35">
        <v>45449</v>
      </c>
      <c r="E1760" s="32" t="s">
        <v>185</v>
      </c>
      <c r="F1760" s="32">
        <v>22026096</v>
      </c>
      <c r="G1760" s="32" t="s">
        <v>464</v>
      </c>
      <c r="H1760" s="26" t="s">
        <v>38</v>
      </c>
      <c r="I1760" s="36">
        <v>40</v>
      </c>
      <c r="J1760" s="32">
        <f>IF(MB25_VOLUMETRIA[[#This Row],[Reserva]]="","",1)</f>
        <v>1</v>
      </c>
      <c r="K1760" s="36" t="str">
        <f>IF(MB25_VOLUMETRIA[[#This Row],[Reserva]]="","",IFERROR(VLOOKUP(MB25_VOLUMETRIA[[#This Row],[UMB]],CHAVE[],2,FALSE),"VERIFICAR"))</f>
        <v>Unidade</v>
      </c>
      <c r="L17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0" s="32" t="str">
        <f ca="1">IFERROR(VLOOKUP(MB25_VOLUMETRIA[[#This Row],[Reserva]],RES_AB[],14,FALSE),"")</f>
        <v>RESERVAS PENDENTES</v>
      </c>
      <c r="N1760" s="32" t="str">
        <f>IF(MB25_VOLUMETRIA[[#This Row],[Cen.]]="","",IFERROR(VLOOKUP(MB25_VOLUMETRIA[[#This Row],[Cen.]],Dados_Empresas[],2,FALSE),"Verificar empresa"))</f>
        <v>NET MASSIVO</v>
      </c>
      <c r="O1760" s="32" t="str">
        <f>IF(MB25_VOLUMETRIA[[#This Row],[EMPRESA]]="","",IF(OR(MB25_VOLUMETRIA[[#This Row],[EMPRESA]]="NET MASSIVO",MB25_VOLUMETRIA[[#This Row],[EMPRESA]]="NET PROJETOS"),"NET","EMPRESARIAL"))</f>
        <v>NET</v>
      </c>
    </row>
    <row r="1761" spans="1:15" x14ac:dyDescent="0.25">
      <c r="A1761" s="32">
        <v>4383961</v>
      </c>
      <c r="B1761" s="32" t="s">
        <v>21</v>
      </c>
      <c r="C1761" s="33" t="s">
        <v>19</v>
      </c>
      <c r="D1761" s="35">
        <v>45449</v>
      </c>
      <c r="E1761" s="32" t="s">
        <v>185</v>
      </c>
      <c r="F1761" s="32">
        <v>22026293</v>
      </c>
      <c r="G1761" s="32" t="s">
        <v>352</v>
      </c>
      <c r="H1761" s="26" t="s">
        <v>38</v>
      </c>
      <c r="I1761" s="36">
        <v>50</v>
      </c>
      <c r="J1761" s="32">
        <f>IF(MB25_VOLUMETRIA[[#This Row],[Reserva]]="","",1)</f>
        <v>1</v>
      </c>
      <c r="K1761" s="36" t="str">
        <f>IF(MB25_VOLUMETRIA[[#This Row],[Reserva]]="","",IFERROR(VLOOKUP(MB25_VOLUMETRIA[[#This Row],[UMB]],CHAVE[],2,FALSE),"VERIFICAR"))</f>
        <v>Unidade</v>
      </c>
      <c r="L17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1" s="32" t="str">
        <f ca="1">IFERROR(VLOOKUP(MB25_VOLUMETRIA[[#This Row],[Reserva]],RES_AB[],14,FALSE),"")</f>
        <v>RESERVAS PENDENTES</v>
      </c>
      <c r="N1761" s="32" t="str">
        <f>IF(MB25_VOLUMETRIA[[#This Row],[Cen.]]="","",IFERROR(VLOOKUP(MB25_VOLUMETRIA[[#This Row],[Cen.]],Dados_Empresas[],2,FALSE),"Verificar empresa"))</f>
        <v>NET MASSIVO</v>
      </c>
      <c r="O1761" s="32" t="str">
        <f>IF(MB25_VOLUMETRIA[[#This Row],[EMPRESA]]="","",IF(OR(MB25_VOLUMETRIA[[#This Row],[EMPRESA]]="NET MASSIVO",MB25_VOLUMETRIA[[#This Row],[EMPRESA]]="NET PROJETOS"),"NET","EMPRESARIAL"))</f>
        <v>NET</v>
      </c>
    </row>
    <row r="1762" spans="1:15" x14ac:dyDescent="0.25">
      <c r="A1762" s="32">
        <v>4383961</v>
      </c>
      <c r="B1762" s="32" t="s">
        <v>21</v>
      </c>
      <c r="C1762" s="33" t="s">
        <v>19</v>
      </c>
      <c r="D1762" s="35">
        <v>45449</v>
      </c>
      <c r="E1762" s="32" t="s">
        <v>185</v>
      </c>
      <c r="F1762" s="32">
        <v>22058639</v>
      </c>
      <c r="G1762" s="32" t="s">
        <v>290</v>
      </c>
      <c r="H1762" s="26" t="s">
        <v>38</v>
      </c>
      <c r="I1762" s="36">
        <v>60</v>
      </c>
      <c r="J1762" s="32">
        <f>IF(MB25_VOLUMETRIA[[#This Row],[Reserva]]="","",1)</f>
        <v>1</v>
      </c>
      <c r="K1762" s="36" t="str">
        <f>IF(MB25_VOLUMETRIA[[#This Row],[Reserva]]="","",IFERROR(VLOOKUP(MB25_VOLUMETRIA[[#This Row],[UMB]],CHAVE[],2,FALSE),"VERIFICAR"))</f>
        <v>Unidade</v>
      </c>
      <c r="L17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2" s="32" t="str">
        <f ca="1">IFERROR(VLOOKUP(MB25_VOLUMETRIA[[#This Row],[Reserva]],RES_AB[],14,FALSE),"")</f>
        <v>RESERVAS PENDENTES</v>
      </c>
      <c r="N1762" s="32" t="str">
        <f>IF(MB25_VOLUMETRIA[[#This Row],[Cen.]]="","",IFERROR(VLOOKUP(MB25_VOLUMETRIA[[#This Row],[Cen.]],Dados_Empresas[],2,FALSE),"Verificar empresa"))</f>
        <v>NET MASSIVO</v>
      </c>
      <c r="O1762" s="32" t="str">
        <f>IF(MB25_VOLUMETRIA[[#This Row],[EMPRESA]]="","",IF(OR(MB25_VOLUMETRIA[[#This Row],[EMPRESA]]="NET MASSIVO",MB25_VOLUMETRIA[[#This Row],[EMPRESA]]="NET PROJETOS"),"NET","EMPRESARIAL"))</f>
        <v>NET</v>
      </c>
    </row>
    <row r="1763" spans="1:15" x14ac:dyDescent="0.25">
      <c r="A1763" s="32">
        <v>4383961</v>
      </c>
      <c r="B1763" s="32" t="s">
        <v>21</v>
      </c>
      <c r="C1763" s="33" t="s">
        <v>21</v>
      </c>
      <c r="D1763" s="35">
        <v>45449</v>
      </c>
      <c r="E1763" s="32" t="s">
        <v>185</v>
      </c>
      <c r="F1763" s="32">
        <v>22060422</v>
      </c>
      <c r="G1763" s="32" t="s">
        <v>298</v>
      </c>
      <c r="H1763" s="26" t="s">
        <v>38</v>
      </c>
      <c r="I1763" s="36">
        <v>50</v>
      </c>
      <c r="J1763" s="32">
        <f>IF(MB25_VOLUMETRIA[[#This Row],[Reserva]]="","",1)</f>
        <v>1</v>
      </c>
      <c r="K1763" s="36" t="str">
        <f>IF(MB25_VOLUMETRIA[[#This Row],[Reserva]]="","",IFERROR(VLOOKUP(MB25_VOLUMETRIA[[#This Row],[UMB]],CHAVE[],2,FALSE),"VERIFICAR"))</f>
        <v>Unidade</v>
      </c>
      <c r="L17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3" s="32" t="str">
        <f ca="1">IFERROR(VLOOKUP(MB25_VOLUMETRIA[[#This Row],[Reserva]],RES_AB[],14,FALSE),"")</f>
        <v>RESERVAS PENDENTES</v>
      </c>
      <c r="N1763" s="32" t="str">
        <f>IF(MB25_VOLUMETRIA[[#This Row],[Cen.]]="","",IFERROR(VLOOKUP(MB25_VOLUMETRIA[[#This Row],[Cen.]],Dados_Empresas[],2,FALSE),"Verificar empresa"))</f>
        <v>NET MASSIVO</v>
      </c>
      <c r="O1763" s="32" t="str">
        <f>IF(MB25_VOLUMETRIA[[#This Row],[EMPRESA]]="","",IF(OR(MB25_VOLUMETRIA[[#This Row],[EMPRESA]]="NET MASSIVO",MB25_VOLUMETRIA[[#This Row],[EMPRESA]]="NET PROJETOS"),"NET","EMPRESARIAL"))</f>
        <v>NET</v>
      </c>
    </row>
    <row r="1764" spans="1:15" x14ac:dyDescent="0.25">
      <c r="A1764" s="32">
        <v>4383961</v>
      </c>
      <c r="B1764" s="32" t="s">
        <v>21</v>
      </c>
      <c r="C1764" s="33" t="s">
        <v>21</v>
      </c>
      <c r="D1764" s="35">
        <v>45449</v>
      </c>
      <c r="E1764" s="32" t="s">
        <v>185</v>
      </c>
      <c r="F1764" s="32">
        <v>22062556</v>
      </c>
      <c r="G1764" s="32" t="s">
        <v>470</v>
      </c>
      <c r="H1764" s="26" t="s">
        <v>38</v>
      </c>
      <c r="I1764" s="36">
        <v>40</v>
      </c>
      <c r="J1764" s="32">
        <f>IF(MB25_VOLUMETRIA[[#This Row],[Reserva]]="","",1)</f>
        <v>1</v>
      </c>
      <c r="K1764" s="36" t="str">
        <f>IF(MB25_VOLUMETRIA[[#This Row],[Reserva]]="","",IFERROR(VLOOKUP(MB25_VOLUMETRIA[[#This Row],[UMB]],CHAVE[],2,FALSE),"VERIFICAR"))</f>
        <v>Unidade</v>
      </c>
      <c r="L17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4" s="32" t="str">
        <f ca="1">IFERROR(VLOOKUP(MB25_VOLUMETRIA[[#This Row],[Reserva]],RES_AB[],14,FALSE),"")</f>
        <v>RESERVAS PENDENTES</v>
      </c>
      <c r="N1764" s="32" t="str">
        <f>IF(MB25_VOLUMETRIA[[#This Row],[Cen.]]="","",IFERROR(VLOOKUP(MB25_VOLUMETRIA[[#This Row],[Cen.]],Dados_Empresas[],2,FALSE),"Verificar empresa"))</f>
        <v>NET MASSIVO</v>
      </c>
      <c r="O1764" s="32" t="str">
        <f>IF(MB25_VOLUMETRIA[[#This Row],[EMPRESA]]="","",IF(OR(MB25_VOLUMETRIA[[#This Row],[EMPRESA]]="NET MASSIVO",MB25_VOLUMETRIA[[#This Row],[EMPRESA]]="NET PROJETOS"),"NET","EMPRESARIAL"))</f>
        <v>NET</v>
      </c>
    </row>
    <row r="1765" spans="1:15" x14ac:dyDescent="0.25">
      <c r="A1765" s="32">
        <v>4383962</v>
      </c>
      <c r="B1765" s="32" t="s">
        <v>21</v>
      </c>
      <c r="C1765" s="33" t="s">
        <v>19</v>
      </c>
      <c r="D1765" s="35">
        <v>45449</v>
      </c>
      <c r="E1765" s="32" t="s">
        <v>184</v>
      </c>
      <c r="F1765" s="32">
        <v>41001095</v>
      </c>
      <c r="G1765" s="32" t="s">
        <v>246</v>
      </c>
      <c r="H1765" s="26" t="s">
        <v>38</v>
      </c>
      <c r="I1765" s="36">
        <v>60</v>
      </c>
      <c r="J1765" s="32">
        <f>IF(MB25_VOLUMETRIA[[#This Row],[Reserva]]="","",1)</f>
        <v>1</v>
      </c>
      <c r="K1765" s="36" t="str">
        <f>IF(MB25_VOLUMETRIA[[#This Row],[Reserva]]="","",IFERROR(VLOOKUP(MB25_VOLUMETRIA[[#This Row],[UMB]],CHAVE[],2,FALSE),"VERIFICAR"))</f>
        <v>Unidade</v>
      </c>
      <c r="L17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5" s="32" t="str">
        <f ca="1">IFERROR(VLOOKUP(MB25_VOLUMETRIA[[#This Row],[Reserva]],RES_AB[],14,FALSE),"")</f>
        <v>RESERVAS PENDENTES</v>
      </c>
      <c r="N1765" s="32" t="str">
        <f>IF(MB25_VOLUMETRIA[[#This Row],[Cen.]]="","",IFERROR(VLOOKUP(MB25_VOLUMETRIA[[#This Row],[Cen.]],Dados_Empresas[],2,FALSE),"Verificar empresa"))</f>
        <v>NET MASSIVO</v>
      </c>
      <c r="O1765" s="32" t="str">
        <f>IF(MB25_VOLUMETRIA[[#This Row],[EMPRESA]]="","",IF(OR(MB25_VOLUMETRIA[[#This Row],[EMPRESA]]="NET MASSIVO",MB25_VOLUMETRIA[[#This Row],[EMPRESA]]="NET PROJETOS"),"NET","EMPRESARIAL"))</f>
        <v>NET</v>
      </c>
    </row>
    <row r="1766" spans="1:15" x14ac:dyDescent="0.25">
      <c r="A1766" s="32">
        <v>4383962</v>
      </c>
      <c r="B1766" s="32" t="s">
        <v>21</v>
      </c>
      <c r="C1766" s="33" t="s">
        <v>19</v>
      </c>
      <c r="D1766" s="35">
        <v>45449</v>
      </c>
      <c r="E1766" s="32" t="s">
        <v>184</v>
      </c>
      <c r="F1766" s="32">
        <v>41001234</v>
      </c>
      <c r="G1766" s="32" t="s">
        <v>189</v>
      </c>
      <c r="H1766" s="26" t="s">
        <v>38</v>
      </c>
      <c r="I1766" s="36">
        <v>50</v>
      </c>
      <c r="J1766" s="32">
        <f>IF(MB25_VOLUMETRIA[[#This Row],[Reserva]]="","",1)</f>
        <v>1</v>
      </c>
      <c r="K1766" s="36" t="str">
        <f>IF(MB25_VOLUMETRIA[[#This Row],[Reserva]]="","",IFERROR(VLOOKUP(MB25_VOLUMETRIA[[#This Row],[UMB]],CHAVE[],2,FALSE),"VERIFICAR"))</f>
        <v>Unidade</v>
      </c>
      <c r="L17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6" s="32" t="str">
        <f ca="1">IFERROR(VLOOKUP(MB25_VOLUMETRIA[[#This Row],[Reserva]],RES_AB[],14,FALSE),"")</f>
        <v>RESERVAS PENDENTES</v>
      </c>
      <c r="N1766" s="32" t="str">
        <f>IF(MB25_VOLUMETRIA[[#This Row],[Cen.]]="","",IFERROR(VLOOKUP(MB25_VOLUMETRIA[[#This Row],[Cen.]],Dados_Empresas[],2,FALSE),"Verificar empresa"))</f>
        <v>NET MASSIVO</v>
      </c>
      <c r="O1766" s="32" t="str">
        <f>IF(MB25_VOLUMETRIA[[#This Row],[EMPRESA]]="","",IF(OR(MB25_VOLUMETRIA[[#This Row],[EMPRESA]]="NET MASSIVO",MB25_VOLUMETRIA[[#This Row],[EMPRESA]]="NET PROJETOS"),"NET","EMPRESARIAL"))</f>
        <v>NET</v>
      </c>
    </row>
    <row r="1767" spans="1:15" x14ac:dyDescent="0.25">
      <c r="A1767" s="32">
        <v>4383962</v>
      </c>
      <c r="B1767" s="32" t="s">
        <v>21</v>
      </c>
      <c r="C1767" s="33" t="s">
        <v>19</v>
      </c>
      <c r="D1767" s="35">
        <v>45449</v>
      </c>
      <c r="E1767" s="32" t="s">
        <v>184</v>
      </c>
      <c r="F1767" s="32">
        <v>41001277</v>
      </c>
      <c r="G1767" s="32" t="s">
        <v>466</v>
      </c>
      <c r="H1767" s="26" t="s">
        <v>38</v>
      </c>
      <c r="I1767" s="36">
        <v>50</v>
      </c>
      <c r="J1767" s="32">
        <f>IF(MB25_VOLUMETRIA[[#This Row],[Reserva]]="","",1)</f>
        <v>1</v>
      </c>
      <c r="K1767" s="36" t="str">
        <f>IF(MB25_VOLUMETRIA[[#This Row],[Reserva]]="","",IFERROR(VLOOKUP(MB25_VOLUMETRIA[[#This Row],[UMB]],CHAVE[],2,FALSE),"VERIFICAR"))</f>
        <v>Unidade</v>
      </c>
      <c r="L17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7" s="32" t="str">
        <f ca="1">IFERROR(VLOOKUP(MB25_VOLUMETRIA[[#This Row],[Reserva]],RES_AB[],14,FALSE),"")</f>
        <v>RESERVAS PENDENTES</v>
      </c>
      <c r="N1767" s="32" t="str">
        <f>IF(MB25_VOLUMETRIA[[#This Row],[Cen.]]="","",IFERROR(VLOOKUP(MB25_VOLUMETRIA[[#This Row],[Cen.]],Dados_Empresas[],2,FALSE),"Verificar empresa"))</f>
        <v>NET MASSIVO</v>
      </c>
      <c r="O1767" s="32" t="str">
        <f>IF(MB25_VOLUMETRIA[[#This Row],[EMPRESA]]="","",IF(OR(MB25_VOLUMETRIA[[#This Row],[EMPRESA]]="NET MASSIVO",MB25_VOLUMETRIA[[#This Row],[EMPRESA]]="NET PROJETOS"),"NET","EMPRESARIAL"))</f>
        <v>NET</v>
      </c>
    </row>
    <row r="1768" spans="1:15" x14ac:dyDescent="0.25">
      <c r="A1768" s="32">
        <v>4383962</v>
      </c>
      <c r="B1768" s="32" t="s">
        <v>21</v>
      </c>
      <c r="C1768" s="33" t="s">
        <v>19</v>
      </c>
      <c r="D1768" s="35">
        <v>45449</v>
      </c>
      <c r="E1768" s="32" t="s">
        <v>184</v>
      </c>
      <c r="F1768" s="32">
        <v>41001481</v>
      </c>
      <c r="G1768" s="32" t="s">
        <v>403</v>
      </c>
      <c r="H1768" s="26" t="s">
        <v>38</v>
      </c>
      <c r="I1768" s="36">
        <v>40</v>
      </c>
      <c r="J1768" s="32">
        <f>IF(MB25_VOLUMETRIA[[#This Row],[Reserva]]="","",1)</f>
        <v>1</v>
      </c>
      <c r="K1768" s="36" t="str">
        <f>IF(MB25_VOLUMETRIA[[#This Row],[Reserva]]="","",IFERROR(VLOOKUP(MB25_VOLUMETRIA[[#This Row],[UMB]],CHAVE[],2,FALSE),"VERIFICAR"))</f>
        <v>Unidade</v>
      </c>
      <c r="L17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8" s="32" t="str">
        <f ca="1">IFERROR(VLOOKUP(MB25_VOLUMETRIA[[#This Row],[Reserva]],RES_AB[],14,FALSE),"")</f>
        <v>RESERVAS PENDENTES</v>
      </c>
      <c r="N1768" s="32" t="str">
        <f>IF(MB25_VOLUMETRIA[[#This Row],[Cen.]]="","",IFERROR(VLOOKUP(MB25_VOLUMETRIA[[#This Row],[Cen.]],Dados_Empresas[],2,FALSE),"Verificar empresa"))</f>
        <v>NET MASSIVO</v>
      </c>
      <c r="O1768" s="32" t="str">
        <f>IF(MB25_VOLUMETRIA[[#This Row],[EMPRESA]]="","",IF(OR(MB25_VOLUMETRIA[[#This Row],[EMPRESA]]="NET MASSIVO",MB25_VOLUMETRIA[[#This Row],[EMPRESA]]="NET PROJETOS"),"NET","EMPRESARIAL"))</f>
        <v>NET</v>
      </c>
    </row>
    <row r="1769" spans="1:15" x14ac:dyDescent="0.25">
      <c r="A1769" s="32">
        <v>4383962</v>
      </c>
      <c r="B1769" s="32" t="s">
        <v>21</v>
      </c>
      <c r="C1769" s="33" t="s">
        <v>182</v>
      </c>
      <c r="D1769" s="35">
        <v>45449</v>
      </c>
      <c r="E1769" s="32" t="s">
        <v>184</v>
      </c>
      <c r="F1769" s="32">
        <v>41001530</v>
      </c>
      <c r="G1769" s="32" t="s">
        <v>319</v>
      </c>
      <c r="H1769" s="26" t="s">
        <v>38</v>
      </c>
      <c r="I1769" s="36">
        <v>60</v>
      </c>
      <c r="J1769" s="32">
        <f>IF(MB25_VOLUMETRIA[[#This Row],[Reserva]]="","",1)</f>
        <v>1</v>
      </c>
      <c r="K1769" s="36" t="str">
        <f>IF(MB25_VOLUMETRIA[[#This Row],[Reserva]]="","",IFERROR(VLOOKUP(MB25_VOLUMETRIA[[#This Row],[UMB]],CHAVE[],2,FALSE),"VERIFICAR"))</f>
        <v>Unidade</v>
      </c>
      <c r="L17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69" s="32" t="str">
        <f ca="1">IFERROR(VLOOKUP(MB25_VOLUMETRIA[[#This Row],[Reserva]],RES_AB[],14,FALSE),"")</f>
        <v>RESERVAS PENDENTES</v>
      </c>
      <c r="N1769" s="32" t="str">
        <f>IF(MB25_VOLUMETRIA[[#This Row],[Cen.]]="","",IFERROR(VLOOKUP(MB25_VOLUMETRIA[[#This Row],[Cen.]],Dados_Empresas[],2,FALSE),"Verificar empresa"))</f>
        <v>NET MASSIVO</v>
      </c>
      <c r="O1769" s="32" t="str">
        <f>IF(MB25_VOLUMETRIA[[#This Row],[EMPRESA]]="","",IF(OR(MB25_VOLUMETRIA[[#This Row],[EMPRESA]]="NET MASSIVO",MB25_VOLUMETRIA[[#This Row],[EMPRESA]]="NET PROJETOS"),"NET","EMPRESARIAL"))</f>
        <v>NET</v>
      </c>
    </row>
    <row r="1770" spans="1:15" x14ac:dyDescent="0.25">
      <c r="A1770" s="32">
        <v>4383962</v>
      </c>
      <c r="B1770" s="32" t="s">
        <v>21</v>
      </c>
      <c r="C1770" s="33" t="s">
        <v>21</v>
      </c>
      <c r="D1770" s="35">
        <v>45449</v>
      </c>
      <c r="E1770" s="32" t="s">
        <v>184</v>
      </c>
      <c r="F1770" s="32">
        <v>41001535</v>
      </c>
      <c r="G1770" s="32" t="s">
        <v>191</v>
      </c>
      <c r="H1770" s="26" t="s">
        <v>38</v>
      </c>
      <c r="I1770" s="36">
        <v>110</v>
      </c>
      <c r="J1770" s="32">
        <f>IF(MB25_VOLUMETRIA[[#This Row],[Reserva]]="","",1)</f>
        <v>1</v>
      </c>
      <c r="K1770" s="36" t="str">
        <f>IF(MB25_VOLUMETRIA[[#This Row],[Reserva]]="","",IFERROR(VLOOKUP(MB25_VOLUMETRIA[[#This Row],[UMB]],CHAVE[],2,FALSE),"VERIFICAR"))</f>
        <v>Unidade</v>
      </c>
      <c r="L17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0" s="32" t="str">
        <f ca="1">IFERROR(VLOOKUP(MB25_VOLUMETRIA[[#This Row],[Reserva]],RES_AB[],14,FALSE),"")</f>
        <v>RESERVAS PENDENTES</v>
      </c>
      <c r="N1770" s="32" t="str">
        <f>IF(MB25_VOLUMETRIA[[#This Row],[Cen.]]="","",IFERROR(VLOOKUP(MB25_VOLUMETRIA[[#This Row],[Cen.]],Dados_Empresas[],2,FALSE),"Verificar empresa"))</f>
        <v>NET MASSIVO</v>
      </c>
      <c r="O1770" s="32" t="str">
        <f>IF(MB25_VOLUMETRIA[[#This Row],[EMPRESA]]="","",IF(OR(MB25_VOLUMETRIA[[#This Row],[EMPRESA]]="NET MASSIVO",MB25_VOLUMETRIA[[#This Row],[EMPRESA]]="NET PROJETOS"),"NET","EMPRESARIAL"))</f>
        <v>NET</v>
      </c>
    </row>
    <row r="1771" spans="1:15" x14ac:dyDescent="0.25">
      <c r="A1771" s="32">
        <v>4383963</v>
      </c>
      <c r="B1771" s="32" t="s">
        <v>21</v>
      </c>
      <c r="C1771" s="33" t="s">
        <v>21</v>
      </c>
      <c r="D1771" s="35">
        <v>45449</v>
      </c>
      <c r="E1771" s="32" t="s">
        <v>185</v>
      </c>
      <c r="F1771" s="32">
        <v>22025348</v>
      </c>
      <c r="G1771" s="32" t="s">
        <v>218</v>
      </c>
      <c r="H1771" s="26" t="s">
        <v>38</v>
      </c>
      <c r="I1771" s="36">
        <v>100</v>
      </c>
      <c r="J1771" s="32">
        <f>IF(MB25_VOLUMETRIA[[#This Row],[Reserva]]="","",1)</f>
        <v>1</v>
      </c>
      <c r="K1771" s="36" t="str">
        <f>IF(MB25_VOLUMETRIA[[#This Row],[Reserva]]="","",IFERROR(VLOOKUP(MB25_VOLUMETRIA[[#This Row],[UMB]],CHAVE[],2,FALSE),"VERIFICAR"))</f>
        <v>Unidade</v>
      </c>
      <c r="L17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1" s="32" t="str">
        <f ca="1">IFERROR(VLOOKUP(MB25_VOLUMETRIA[[#This Row],[Reserva]],RES_AB[],14,FALSE),"")</f>
        <v>RESERVAS PENDENTES</v>
      </c>
      <c r="N1771" s="32" t="str">
        <f>IF(MB25_VOLUMETRIA[[#This Row],[Cen.]]="","",IFERROR(VLOOKUP(MB25_VOLUMETRIA[[#This Row],[Cen.]],Dados_Empresas[],2,FALSE),"Verificar empresa"))</f>
        <v>NET MASSIVO</v>
      </c>
      <c r="O1771" s="32" t="str">
        <f>IF(MB25_VOLUMETRIA[[#This Row],[EMPRESA]]="","",IF(OR(MB25_VOLUMETRIA[[#This Row],[EMPRESA]]="NET MASSIVO",MB25_VOLUMETRIA[[#This Row],[EMPRESA]]="NET PROJETOS"),"NET","EMPRESARIAL"))</f>
        <v>NET</v>
      </c>
    </row>
    <row r="1772" spans="1:15" x14ac:dyDescent="0.25">
      <c r="A1772" s="32">
        <v>4383963</v>
      </c>
      <c r="B1772" s="32" t="s">
        <v>21</v>
      </c>
      <c r="C1772" s="33" t="s">
        <v>19</v>
      </c>
      <c r="D1772" s="35">
        <v>45449</v>
      </c>
      <c r="E1772" s="32" t="s">
        <v>185</v>
      </c>
      <c r="F1772" s="32">
        <v>22026096</v>
      </c>
      <c r="G1772" s="32" t="s">
        <v>464</v>
      </c>
      <c r="H1772" s="26" t="s">
        <v>38</v>
      </c>
      <c r="I1772" s="36">
        <v>30</v>
      </c>
      <c r="J1772" s="32">
        <f>IF(MB25_VOLUMETRIA[[#This Row],[Reserva]]="","",1)</f>
        <v>1</v>
      </c>
      <c r="K1772" s="36" t="str">
        <f>IF(MB25_VOLUMETRIA[[#This Row],[Reserva]]="","",IFERROR(VLOOKUP(MB25_VOLUMETRIA[[#This Row],[UMB]],CHAVE[],2,FALSE),"VERIFICAR"))</f>
        <v>Unidade</v>
      </c>
      <c r="L17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2" s="32" t="str">
        <f ca="1">IFERROR(VLOOKUP(MB25_VOLUMETRIA[[#This Row],[Reserva]],RES_AB[],14,FALSE),"")</f>
        <v>RESERVAS PENDENTES</v>
      </c>
      <c r="N1772" s="32" t="str">
        <f>IF(MB25_VOLUMETRIA[[#This Row],[Cen.]]="","",IFERROR(VLOOKUP(MB25_VOLUMETRIA[[#This Row],[Cen.]],Dados_Empresas[],2,FALSE),"Verificar empresa"))</f>
        <v>NET MASSIVO</v>
      </c>
      <c r="O1772" s="32" t="str">
        <f>IF(MB25_VOLUMETRIA[[#This Row],[EMPRESA]]="","",IF(OR(MB25_VOLUMETRIA[[#This Row],[EMPRESA]]="NET MASSIVO",MB25_VOLUMETRIA[[#This Row],[EMPRESA]]="NET PROJETOS"),"NET","EMPRESARIAL"))</f>
        <v>NET</v>
      </c>
    </row>
    <row r="1773" spans="1:15" x14ac:dyDescent="0.25">
      <c r="A1773" s="32">
        <v>4383963</v>
      </c>
      <c r="B1773" s="32" t="s">
        <v>21</v>
      </c>
      <c r="C1773" s="33" t="s">
        <v>19</v>
      </c>
      <c r="D1773" s="35">
        <v>45449</v>
      </c>
      <c r="E1773" s="32" t="s">
        <v>185</v>
      </c>
      <c r="F1773" s="32">
        <v>22026103</v>
      </c>
      <c r="G1773" s="32" t="s">
        <v>322</v>
      </c>
      <c r="H1773" s="26" t="s">
        <v>38</v>
      </c>
      <c r="I1773" s="36">
        <v>20</v>
      </c>
      <c r="J1773" s="32">
        <f>IF(MB25_VOLUMETRIA[[#This Row],[Reserva]]="","",1)</f>
        <v>1</v>
      </c>
      <c r="K1773" s="36" t="str">
        <f>IF(MB25_VOLUMETRIA[[#This Row],[Reserva]]="","",IFERROR(VLOOKUP(MB25_VOLUMETRIA[[#This Row],[UMB]],CHAVE[],2,FALSE),"VERIFICAR"))</f>
        <v>Unidade</v>
      </c>
      <c r="L17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3" s="32" t="str">
        <f ca="1">IFERROR(VLOOKUP(MB25_VOLUMETRIA[[#This Row],[Reserva]],RES_AB[],14,FALSE),"")</f>
        <v>RESERVAS PENDENTES</v>
      </c>
      <c r="N1773" s="32" t="str">
        <f>IF(MB25_VOLUMETRIA[[#This Row],[Cen.]]="","",IFERROR(VLOOKUP(MB25_VOLUMETRIA[[#This Row],[Cen.]],Dados_Empresas[],2,FALSE),"Verificar empresa"))</f>
        <v>NET MASSIVO</v>
      </c>
      <c r="O1773" s="32" t="str">
        <f>IF(MB25_VOLUMETRIA[[#This Row],[EMPRESA]]="","",IF(OR(MB25_VOLUMETRIA[[#This Row],[EMPRESA]]="NET MASSIVO",MB25_VOLUMETRIA[[#This Row],[EMPRESA]]="NET PROJETOS"),"NET","EMPRESARIAL"))</f>
        <v>NET</v>
      </c>
    </row>
    <row r="1774" spans="1:15" x14ac:dyDescent="0.25">
      <c r="A1774" s="32">
        <v>4383963</v>
      </c>
      <c r="B1774" s="32" t="s">
        <v>21</v>
      </c>
      <c r="C1774" s="33" t="s">
        <v>21</v>
      </c>
      <c r="D1774" s="35">
        <v>45449</v>
      </c>
      <c r="E1774" s="32" t="s">
        <v>185</v>
      </c>
      <c r="F1774" s="32">
        <v>22026223</v>
      </c>
      <c r="G1774" s="32" t="s">
        <v>195</v>
      </c>
      <c r="H1774" s="26" t="s">
        <v>38</v>
      </c>
      <c r="I1774" s="36">
        <v>2745</v>
      </c>
      <c r="J1774" s="32">
        <f>IF(MB25_VOLUMETRIA[[#This Row],[Reserva]]="","",1)</f>
        <v>1</v>
      </c>
      <c r="K1774" s="36" t="str">
        <f>IF(MB25_VOLUMETRIA[[#This Row],[Reserva]]="","",IFERROR(VLOOKUP(MB25_VOLUMETRIA[[#This Row],[UMB]],CHAVE[],2,FALSE),"VERIFICAR"))</f>
        <v>Unidade</v>
      </c>
      <c r="L17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4" s="32" t="str">
        <f ca="1">IFERROR(VLOOKUP(MB25_VOLUMETRIA[[#This Row],[Reserva]],RES_AB[],14,FALSE),"")</f>
        <v>RESERVAS PENDENTES</v>
      </c>
      <c r="N1774" s="32" t="str">
        <f>IF(MB25_VOLUMETRIA[[#This Row],[Cen.]]="","",IFERROR(VLOOKUP(MB25_VOLUMETRIA[[#This Row],[Cen.]],Dados_Empresas[],2,FALSE),"Verificar empresa"))</f>
        <v>NET MASSIVO</v>
      </c>
      <c r="O1774" s="32" t="str">
        <f>IF(MB25_VOLUMETRIA[[#This Row],[EMPRESA]]="","",IF(OR(MB25_VOLUMETRIA[[#This Row],[EMPRESA]]="NET MASSIVO",MB25_VOLUMETRIA[[#This Row],[EMPRESA]]="NET PROJETOS"),"NET","EMPRESARIAL"))</f>
        <v>NET</v>
      </c>
    </row>
    <row r="1775" spans="1:15" x14ac:dyDescent="0.25">
      <c r="A1775" s="32">
        <v>4383963</v>
      </c>
      <c r="B1775" s="32" t="s">
        <v>21</v>
      </c>
      <c r="C1775" s="33" t="s">
        <v>21</v>
      </c>
      <c r="D1775" s="35">
        <v>45449</v>
      </c>
      <c r="E1775" s="32" t="s">
        <v>185</v>
      </c>
      <c r="F1775" s="32">
        <v>22056364</v>
      </c>
      <c r="G1775" s="32" t="s">
        <v>236</v>
      </c>
      <c r="H1775" s="26" t="s">
        <v>38</v>
      </c>
      <c r="I1775" s="36">
        <v>150</v>
      </c>
      <c r="J1775" s="32">
        <f>IF(MB25_VOLUMETRIA[[#This Row],[Reserva]]="","",1)</f>
        <v>1</v>
      </c>
      <c r="K1775" s="36" t="str">
        <f>IF(MB25_VOLUMETRIA[[#This Row],[Reserva]]="","",IFERROR(VLOOKUP(MB25_VOLUMETRIA[[#This Row],[UMB]],CHAVE[],2,FALSE),"VERIFICAR"))</f>
        <v>Unidade</v>
      </c>
      <c r="L17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5" s="32" t="str">
        <f ca="1">IFERROR(VLOOKUP(MB25_VOLUMETRIA[[#This Row],[Reserva]],RES_AB[],14,FALSE),"")</f>
        <v>RESERVAS PENDENTES</v>
      </c>
      <c r="N1775" s="32" t="str">
        <f>IF(MB25_VOLUMETRIA[[#This Row],[Cen.]]="","",IFERROR(VLOOKUP(MB25_VOLUMETRIA[[#This Row],[Cen.]],Dados_Empresas[],2,FALSE),"Verificar empresa"))</f>
        <v>NET MASSIVO</v>
      </c>
      <c r="O1775" s="32" t="str">
        <f>IF(MB25_VOLUMETRIA[[#This Row],[EMPRESA]]="","",IF(OR(MB25_VOLUMETRIA[[#This Row],[EMPRESA]]="NET MASSIVO",MB25_VOLUMETRIA[[#This Row],[EMPRESA]]="NET PROJETOS"),"NET","EMPRESARIAL"))</f>
        <v>NET</v>
      </c>
    </row>
    <row r="1776" spans="1:15" x14ac:dyDescent="0.25">
      <c r="A1776" s="32">
        <v>4383963</v>
      </c>
      <c r="B1776" s="32" t="s">
        <v>21</v>
      </c>
      <c r="C1776" s="33" t="s">
        <v>19</v>
      </c>
      <c r="D1776" s="35">
        <v>45449</v>
      </c>
      <c r="E1776" s="32" t="s">
        <v>185</v>
      </c>
      <c r="F1776" s="32">
        <v>22058639</v>
      </c>
      <c r="G1776" s="32" t="s">
        <v>290</v>
      </c>
      <c r="H1776" s="26" t="s">
        <v>38</v>
      </c>
      <c r="I1776" s="36">
        <v>20</v>
      </c>
      <c r="J1776" s="32">
        <f>IF(MB25_VOLUMETRIA[[#This Row],[Reserva]]="","",1)</f>
        <v>1</v>
      </c>
      <c r="K1776" s="36" t="str">
        <f>IF(MB25_VOLUMETRIA[[#This Row],[Reserva]]="","",IFERROR(VLOOKUP(MB25_VOLUMETRIA[[#This Row],[UMB]],CHAVE[],2,FALSE),"VERIFICAR"))</f>
        <v>Unidade</v>
      </c>
      <c r="L17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6" s="32" t="str">
        <f ca="1">IFERROR(VLOOKUP(MB25_VOLUMETRIA[[#This Row],[Reserva]],RES_AB[],14,FALSE),"")</f>
        <v>RESERVAS PENDENTES</v>
      </c>
      <c r="N1776" s="32" t="str">
        <f>IF(MB25_VOLUMETRIA[[#This Row],[Cen.]]="","",IFERROR(VLOOKUP(MB25_VOLUMETRIA[[#This Row],[Cen.]],Dados_Empresas[],2,FALSE),"Verificar empresa"))</f>
        <v>NET MASSIVO</v>
      </c>
      <c r="O1776" s="32" t="str">
        <f>IF(MB25_VOLUMETRIA[[#This Row],[EMPRESA]]="","",IF(OR(MB25_VOLUMETRIA[[#This Row],[EMPRESA]]="NET MASSIVO",MB25_VOLUMETRIA[[#This Row],[EMPRESA]]="NET PROJETOS"),"NET","EMPRESARIAL"))</f>
        <v>NET</v>
      </c>
    </row>
    <row r="1777" spans="1:15" x14ac:dyDescent="0.25">
      <c r="A1777" s="32">
        <v>4383963</v>
      </c>
      <c r="B1777" s="32" t="s">
        <v>21</v>
      </c>
      <c r="C1777" s="33" t="s">
        <v>21</v>
      </c>
      <c r="D1777" s="35">
        <v>45449</v>
      </c>
      <c r="E1777" s="32" t="s">
        <v>185</v>
      </c>
      <c r="F1777" s="32">
        <v>22062556</v>
      </c>
      <c r="G1777" s="32" t="s">
        <v>470</v>
      </c>
      <c r="H1777" s="26" t="s">
        <v>38</v>
      </c>
      <c r="I1777" s="36">
        <v>30</v>
      </c>
      <c r="J1777" s="32">
        <f>IF(MB25_VOLUMETRIA[[#This Row],[Reserva]]="","",1)</f>
        <v>1</v>
      </c>
      <c r="K1777" s="36" t="str">
        <f>IF(MB25_VOLUMETRIA[[#This Row],[Reserva]]="","",IFERROR(VLOOKUP(MB25_VOLUMETRIA[[#This Row],[UMB]],CHAVE[],2,FALSE),"VERIFICAR"))</f>
        <v>Unidade</v>
      </c>
      <c r="L17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7" s="32" t="str">
        <f ca="1">IFERROR(VLOOKUP(MB25_VOLUMETRIA[[#This Row],[Reserva]],RES_AB[],14,FALSE),"")</f>
        <v>RESERVAS PENDENTES</v>
      </c>
      <c r="N1777" s="32" t="str">
        <f>IF(MB25_VOLUMETRIA[[#This Row],[Cen.]]="","",IFERROR(VLOOKUP(MB25_VOLUMETRIA[[#This Row],[Cen.]],Dados_Empresas[],2,FALSE),"Verificar empresa"))</f>
        <v>NET MASSIVO</v>
      </c>
      <c r="O1777" s="32" t="str">
        <f>IF(MB25_VOLUMETRIA[[#This Row],[EMPRESA]]="","",IF(OR(MB25_VOLUMETRIA[[#This Row],[EMPRESA]]="NET MASSIVO",MB25_VOLUMETRIA[[#This Row],[EMPRESA]]="NET PROJETOS"),"NET","EMPRESARIAL"))</f>
        <v>NET</v>
      </c>
    </row>
    <row r="1778" spans="1:15" x14ac:dyDescent="0.25">
      <c r="A1778" s="32">
        <v>4383963</v>
      </c>
      <c r="B1778" s="32" t="s">
        <v>21</v>
      </c>
      <c r="C1778" s="33" t="s">
        <v>21</v>
      </c>
      <c r="D1778" s="35">
        <v>45449</v>
      </c>
      <c r="E1778" s="32" t="s">
        <v>185</v>
      </c>
      <c r="F1778" s="32">
        <v>22063252</v>
      </c>
      <c r="G1778" s="32" t="s">
        <v>323</v>
      </c>
      <c r="H1778" s="26" t="s">
        <v>38</v>
      </c>
      <c r="I1778" s="36">
        <v>20</v>
      </c>
      <c r="J1778" s="32">
        <f>IF(MB25_VOLUMETRIA[[#This Row],[Reserva]]="","",1)</f>
        <v>1</v>
      </c>
      <c r="K1778" s="36" t="str">
        <f>IF(MB25_VOLUMETRIA[[#This Row],[Reserva]]="","",IFERROR(VLOOKUP(MB25_VOLUMETRIA[[#This Row],[UMB]],CHAVE[],2,FALSE),"VERIFICAR"))</f>
        <v>Unidade</v>
      </c>
      <c r="L17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8" s="32" t="str">
        <f ca="1">IFERROR(VLOOKUP(MB25_VOLUMETRIA[[#This Row],[Reserva]],RES_AB[],14,FALSE),"")</f>
        <v>RESERVAS PENDENTES</v>
      </c>
      <c r="N1778" s="32" t="str">
        <f>IF(MB25_VOLUMETRIA[[#This Row],[Cen.]]="","",IFERROR(VLOOKUP(MB25_VOLUMETRIA[[#This Row],[Cen.]],Dados_Empresas[],2,FALSE),"Verificar empresa"))</f>
        <v>NET MASSIVO</v>
      </c>
      <c r="O1778" s="32" t="str">
        <f>IF(MB25_VOLUMETRIA[[#This Row],[EMPRESA]]="","",IF(OR(MB25_VOLUMETRIA[[#This Row],[EMPRESA]]="NET MASSIVO",MB25_VOLUMETRIA[[#This Row],[EMPRESA]]="NET PROJETOS"),"NET","EMPRESARIAL"))</f>
        <v>NET</v>
      </c>
    </row>
    <row r="1779" spans="1:15" x14ac:dyDescent="0.25">
      <c r="A1779" s="32">
        <v>4383963</v>
      </c>
      <c r="B1779" s="32" t="s">
        <v>21</v>
      </c>
      <c r="C1779" s="33" t="s">
        <v>21</v>
      </c>
      <c r="D1779" s="35">
        <v>45449</v>
      </c>
      <c r="E1779" s="32" t="s">
        <v>185</v>
      </c>
      <c r="F1779" s="32">
        <v>22065720</v>
      </c>
      <c r="G1779" s="32" t="s">
        <v>245</v>
      </c>
      <c r="H1779" s="26" t="s">
        <v>38</v>
      </c>
      <c r="I1779" s="36">
        <v>100</v>
      </c>
      <c r="J1779" s="32">
        <f>IF(MB25_VOLUMETRIA[[#This Row],[Reserva]]="","",1)</f>
        <v>1</v>
      </c>
      <c r="K1779" s="36" t="str">
        <f>IF(MB25_VOLUMETRIA[[#This Row],[Reserva]]="","",IFERROR(VLOOKUP(MB25_VOLUMETRIA[[#This Row],[UMB]],CHAVE[],2,FALSE),"VERIFICAR"))</f>
        <v>Unidade</v>
      </c>
      <c r="L17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79" s="32" t="str">
        <f ca="1">IFERROR(VLOOKUP(MB25_VOLUMETRIA[[#This Row],[Reserva]],RES_AB[],14,FALSE),"")</f>
        <v>RESERVAS PENDENTES</v>
      </c>
      <c r="N1779" s="32" t="str">
        <f>IF(MB25_VOLUMETRIA[[#This Row],[Cen.]]="","",IFERROR(VLOOKUP(MB25_VOLUMETRIA[[#This Row],[Cen.]],Dados_Empresas[],2,FALSE),"Verificar empresa"))</f>
        <v>NET MASSIVO</v>
      </c>
      <c r="O1779" s="32" t="str">
        <f>IF(MB25_VOLUMETRIA[[#This Row],[EMPRESA]]="","",IF(OR(MB25_VOLUMETRIA[[#This Row],[EMPRESA]]="NET MASSIVO",MB25_VOLUMETRIA[[#This Row],[EMPRESA]]="NET PROJETOS"),"NET","EMPRESARIAL"))</f>
        <v>NET</v>
      </c>
    </row>
    <row r="1780" spans="1:15" x14ac:dyDescent="0.25">
      <c r="A1780" s="32">
        <v>4383964</v>
      </c>
      <c r="B1780" s="32" t="s">
        <v>21</v>
      </c>
      <c r="C1780" s="33" t="s">
        <v>19</v>
      </c>
      <c r="D1780" s="35">
        <v>45449</v>
      </c>
      <c r="E1780" s="32" t="s">
        <v>184</v>
      </c>
      <c r="F1780" s="32">
        <v>41000805</v>
      </c>
      <c r="G1780" s="32" t="s">
        <v>188</v>
      </c>
      <c r="H1780" s="26" t="s">
        <v>38</v>
      </c>
      <c r="I1780" s="36">
        <v>20</v>
      </c>
      <c r="J1780" s="32">
        <f>IF(MB25_VOLUMETRIA[[#This Row],[Reserva]]="","",1)</f>
        <v>1</v>
      </c>
      <c r="K1780" s="36" t="str">
        <f>IF(MB25_VOLUMETRIA[[#This Row],[Reserva]]="","",IFERROR(VLOOKUP(MB25_VOLUMETRIA[[#This Row],[UMB]],CHAVE[],2,FALSE),"VERIFICAR"))</f>
        <v>Unidade</v>
      </c>
      <c r="L17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0" s="32" t="str">
        <f ca="1">IFERROR(VLOOKUP(MB25_VOLUMETRIA[[#This Row],[Reserva]],RES_AB[],14,FALSE),"")</f>
        <v>RESERVAS PENDENTES</v>
      </c>
      <c r="N1780" s="32" t="str">
        <f>IF(MB25_VOLUMETRIA[[#This Row],[Cen.]]="","",IFERROR(VLOOKUP(MB25_VOLUMETRIA[[#This Row],[Cen.]],Dados_Empresas[],2,FALSE),"Verificar empresa"))</f>
        <v>NET MASSIVO</v>
      </c>
      <c r="O1780" s="32" t="str">
        <f>IF(MB25_VOLUMETRIA[[#This Row],[EMPRESA]]="","",IF(OR(MB25_VOLUMETRIA[[#This Row],[EMPRESA]]="NET MASSIVO",MB25_VOLUMETRIA[[#This Row],[EMPRESA]]="NET PROJETOS"),"NET","EMPRESARIAL"))</f>
        <v>NET</v>
      </c>
    </row>
    <row r="1781" spans="1:15" x14ac:dyDescent="0.25">
      <c r="A1781" s="32">
        <v>4383964</v>
      </c>
      <c r="B1781" s="32" t="s">
        <v>21</v>
      </c>
      <c r="C1781" s="33" t="s">
        <v>19</v>
      </c>
      <c r="D1781" s="35">
        <v>45449</v>
      </c>
      <c r="E1781" s="32" t="s">
        <v>184</v>
      </c>
      <c r="F1781" s="32">
        <v>41001481</v>
      </c>
      <c r="G1781" s="32" t="s">
        <v>403</v>
      </c>
      <c r="H1781" s="26" t="s">
        <v>38</v>
      </c>
      <c r="I1781" s="36">
        <v>30</v>
      </c>
      <c r="J1781" s="32">
        <f>IF(MB25_VOLUMETRIA[[#This Row],[Reserva]]="","",1)</f>
        <v>1</v>
      </c>
      <c r="K1781" s="36" t="str">
        <f>IF(MB25_VOLUMETRIA[[#This Row],[Reserva]]="","",IFERROR(VLOOKUP(MB25_VOLUMETRIA[[#This Row],[UMB]],CHAVE[],2,FALSE),"VERIFICAR"))</f>
        <v>Unidade</v>
      </c>
      <c r="L17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1" s="32" t="str">
        <f ca="1">IFERROR(VLOOKUP(MB25_VOLUMETRIA[[#This Row],[Reserva]],RES_AB[],14,FALSE),"")</f>
        <v>RESERVAS PENDENTES</v>
      </c>
      <c r="N1781" s="32" t="str">
        <f>IF(MB25_VOLUMETRIA[[#This Row],[Cen.]]="","",IFERROR(VLOOKUP(MB25_VOLUMETRIA[[#This Row],[Cen.]],Dados_Empresas[],2,FALSE),"Verificar empresa"))</f>
        <v>NET MASSIVO</v>
      </c>
      <c r="O1781" s="32" t="str">
        <f>IF(MB25_VOLUMETRIA[[#This Row],[EMPRESA]]="","",IF(OR(MB25_VOLUMETRIA[[#This Row],[EMPRESA]]="NET MASSIVO",MB25_VOLUMETRIA[[#This Row],[EMPRESA]]="NET PROJETOS"),"NET","EMPRESARIAL"))</f>
        <v>NET</v>
      </c>
    </row>
    <row r="1782" spans="1:15" x14ac:dyDescent="0.25">
      <c r="A1782" s="32">
        <v>4383964</v>
      </c>
      <c r="B1782" s="32" t="s">
        <v>21</v>
      </c>
      <c r="C1782" s="33" t="s">
        <v>19</v>
      </c>
      <c r="D1782" s="35">
        <v>45449</v>
      </c>
      <c r="E1782" s="32" t="s">
        <v>184</v>
      </c>
      <c r="F1782" s="32">
        <v>41001484</v>
      </c>
      <c r="G1782" s="32" t="s">
        <v>292</v>
      </c>
      <c r="H1782" s="26" t="s">
        <v>38</v>
      </c>
      <c r="I1782" s="36">
        <v>20</v>
      </c>
      <c r="J1782" s="32">
        <f>IF(MB25_VOLUMETRIA[[#This Row],[Reserva]]="","",1)</f>
        <v>1</v>
      </c>
      <c r="K1782" s="36" t="str">
        <f>IF(MB25_VOLUMETRIA[[#This Row],[Reserva]]="","",IFERROR(VLOOKUP(MB25_VOLUMETRIA[[#This Row],[UMB]],CHAVE[],2,FALSE),"VERIFICAR"))</f>
        <v>Unidade</v>
      </c>
      <c r="L17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2" s="32" t="str">
        <f ca="1">IFERROR(VLOOKUP(MB25_VOLUMETRIA[[#This Row],[Reserva]],RES_AB[],14,FALSE),"")</f>
        <v>RESERVAS PENDENTES</v>
      </c>
      <c r="N1782" s="32" t="str">
        <f>IF(MB25_VOLUMETRIA[[#This Row],[Cen.]]="","",IFERROR(VLOOKUP(MB25_VOLUMETRIA[[#This Row],[Cen.]],Dados_Empresas[],2,FALSE),"Verificar empresa"))</f>
        <v>NET MASSIVO</v>
      </c>
      <c r="O1782" s="32" t="str">
        <f>IF(MB25_VOLUMETRIA[[#This Row],[EMPRESA]]="","",IF(OR(MB25_VOLUMETRIA[[#This Row],[EMPRESA]]="NET MASSIVO",MB25_VOLUMETRIA[[#This Row],[EMPRESA]]="NET PROJETOS"),"NET","EMPRESARIAL"))</f>
        <v>NET</v>
      </c>
    </row>
    <row r="1783" spans="1:15" x14ac:dyDescent="0.25">
      <c r="A1783" s="32">
        <v>4383965</v>
      </c>
      <c r="B1783" s="32" t="s">
        <v>21</v>
      </c>
      <c r="C1783" s="33" t="s">
        <v>21</v>
      </c>
      <c r="D1783" s="35">
        <v>45449</v>
      </c>
      <c r="E1783" s="32" t="s">
        <v>185</v>
      </c>
      <c r="F1783" s="32">
        <v>22062577</v>
      </c>
      <c r="G1783" s="32" t="s">
        <v>467</v>
      </c>
      <c r="H1783" s="26" t="s">
        <v>38</v>
      </c>
      <c r="I1783" s="36">
        <v>120</v>
      </c>
      <c r="J1783" s="32">
        <f>IF(MB25_VOLUMETRIA[[#This Row],[Reserva]]="","",1)</f>
        <v>1</v>
      </c>
      <c r="K1783" s="36" t="str">
        <f>IF(MB25_VOLUMETRIA[[#This Row],[Reserva]]="","",IFERROR(VLOOKUP(MB25_VOLUMETRIA[[#This Row],[UMB]],CHAVE[],2,FALSE),"VERIFICAR"))</f>
        <v>Unidade</v>
      </c>
      <c r="L17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3" s="32" t="str">
        <f ca="1">IFERROR(VLOOKUP(MB25_VOLUMETRIA[[#This Row],[Reserva]],RES_AB[],14,FALSE),"")</f>
        <v>RESERVAS PENDENTES</v>
      </c>
      <c r="N1783" s="32" t="str">
        <f>IF(MB25_VOLUMETRIA[[#This Row],[Cen.]]="","",IFERROR(VLOOKUP(MB25_VOLUMETRIA[[#This Row],[Cen.]],Dados_Empresas[],2,FALSE),"Verificar empresa"))</f>
        <v>NET MASSIVO</v>
      </c>
      <c r="O1783" s="32" t="str">
        <f>IF(MB25_VOLUMETRIA[[#This Row],[EMPRESA]]="","",IF(OR(MB25_VOLUMETRIA[[#This Row],[EMPRESA]]="NET MASSIVO",MB25_VOLUMETRIA[[#This Row],[EMPRESA]]="NET PROJETOS"),"NET","EMPRESARIAL"))</f>
        <v>NET</v>
      </c>
    </row>
    <row r="1784" spans="1:15" x14ac:dyDescent="0.25">
      <c r="A1784" s="32">
        <v>4383966</v>
      </c>
      <c r="B1784" s="32" t="s">
        <v>21</v>
      </c>
      <c r="C1784" s="33" t="s">
        <v>19</v>
      </c>
      <c r="D1784" s="35">
        <v>45449</v>
      </c>
      <c r="E1784" s="32" t="s">
        <v>184</v>
      </c>
      <c r="F1784" s="32">
        <v>41001485</v>
      </c>
      <c r="G1784" s="32" t="s">
        <v>469</v>
      </c>
      <c r="H1784" s="26" t="s">
        <v>38</v>
      </c>
      <c r="I1784" s="36">
        <v>120</v>
      </c>
      <c r="J1784" s="32">
        <f>IF(MB25_VOLUMETRIA[[#This Row],[Reserva]]="","",1)</f>
        <v>1</v>
      </c>
      <c r="K1784" s="36" t="str">
        <f>IF(MB25_VOLUMETRIA[[#This Row],[Reserva]]="","",IFERROR(VLOOKUP(MB25_VOLUMETRIA[[#This Row],[UMB]],CHAVE[],2,FALSE),"VERIFICAR"))</f>
        <v>Unidade</v>
      </c>
      <c r="L17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4" s="32" t="str">
        <f ca="1">IFERROR(VLOOKUP(MB25_VOLUMETRIA[[#This Row],[Reserva]],RES_AB[],14,FALSE),"")</f>
        <v>RESERVAS PENDENTES</v>
      </c>
      <c r="N1784" s="32" t="str">
        <f>IF(MB25_VOLUMETRIA[[#This Row],[Cen.]]="","",IFERROR(VLOOKUP(MB25_VOLUMETRIA[[#This Row],[Cen.]],Dados_Empresas[],2,FALSE),"Verificar empresa"))</f>
        <v>NET MASSIVO</v>
      </c>
      <c r="O1784" s="32" t="str">
        <f>IF(MB25_VOLUMETRIA[[#This Row],[EMPRESA]]="","",IF(OR(MB25_VOLUMETRIA[[#This Row],[EMPRESA]]="NET MASSIVO",MB25_VOLUMETRIA[[#This Row],[EMPRESA]]="NET PROJETOS"),"NET","EMPRESARIAL"))</f>
        <v>NET</v>
      </c>
    </row>
    <row r="1785" spans="1:15" x14ac:dyDescent="0.25">
      <c r="A1785" s="32">
        <v>4383968</v>
      </c>
      <c r="B1785" s="32" t="s">
        <v>21</v>
      </c>
      <c r="C1785" s="33" t="s">
        <v>21</v>
      </c>
      <c r="D1785" s="35">
        <v>45449</v>
      </c>
      <c r="E1785" s="32" t="s">
        <v>184</v>
      </c>
      <c r="F1785" s="32">
        <v>41001590</v>
      </c>
      <c r="G1785" s="32" t="s">
        <v>239</v>
      </c>
      <c r="H1785" s="26" t="s">
        <v>38</v>
      </c>
      <c r="I1785" s="36">
        <v>80</v>
      </c>
      <c r="J1785" s="32">
        <f>IF(MB25_VOLUMETRIA[[#This Row],[Reserva]]="","",1)</f>
        <v>1</v>
      </c>
      <c r="K1785" s="36" t="str">
        <f>IF(MB25_VOLUMETRIA[[#This Row],[Reserva]]="","",IFERROR(VLOOKUP(MB25_VOLUMETRIA[[#This Row],[UMB]],CHAVE[],2,FALSE),"VERIFICAR"))</f>
        <v>Unidade</v>
      </c>
      <c r="L17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5" s="32" t="str">
        <f ca="1">IFERROR(VLOOKUP(MB25_VOLUMETRIA[[#This Row],[Reserva]],RES_AB[],14,FALSE),"")</f>
        <v>RESERVAS PENDENTES</v>
      </c>
      <c r="N1785" s="32" t="str">
        <f>IF(MB25_VOLUMETRIA[[#This Row],[Cen.]]="","",IFERROR(VLOOKUP(MB25_VOLUMETRIA[[#This Row],[Cen.]],Dados_Empresas[],2,FALSE),"Verificar empresa"))</f>
        <v>NET MASSIVO</v>
      </c>
      <c r="O1785" s="32" t="str">
        <f>IF(MB25_VOLUMETRIA[[#This Row],[EMPRESA]]="","",IF(OR(MB25_VOLUMETRIA[[#This Row],[EMPRESA]]="NET MASSIVO",MB25_VOLUMETRIA[[#This Row],[EMPRESA]]="NET PROJETOS"),"NET","EMPRESARIAL"))</f>
        <v>NET</v>
      </c>
    </row>
    <row r="1786" spans="1:15" x14ac:dyDescent="0.25">
      <c r="A1786" s="32">
        <v>4383969</v>
      </c>
      <c r="B1786" s="32" t="s">
        <v>21</v>
      </c>
      <c r="C1786" s="33" t="s">
        <v>19</v>
      </c>
      <c r="D1786" s="35">
        <v>45449</v>
      </c>
      <c r="E1786" s="32" t="s">
        <v>185</v>
      </c>
      <c r="F1786" s="32">
        <v>22026293</v>
      </c>
      <c r="G1786" s="32" t="s">
        <v>352</v>
      </c>
      <c r="H1786" s="26" t="s">
        <v>38</v>
      </c>
      <c r="I1786" s="36">
        <v>30</v>
      </c>
      <c r="J1786" s="32">
        <f>IF(MB25_VOLUMETRIA[[#This Row],[Reserva]]="","",1)</f>
        <v>1</v>
      </c>
      <c r="K1786" s="36" t="str">
        <f>IF(MB25_VOLUMETRIA[[#This Row],[Reserva]]="","",IFERROR(VLOOKUP(MB25_VOLUMETRIA[[#This Row],[UMB]],CHAVE[],2,FALSE),"VERIFICAR"))</f>
        <v>Unidade</v>
      </c>
      <c r="L17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6" s="32" t="str">
        <f ca="1">IFERROR(VLOOKUP(MB25_VOLUMETRIA[[#This Row],[Reserva]],RES_AB[],14,FALSE),"")</f>
        <v>RESERVAS PENDENTES</v>
      </c>
      <c r="N1786" s="32" t="str">
        <f>IF(MB25_VOLUMETRIA[[#This Row],[Cen.]]="","",IFERROR(VLOOKUP(MB25_VOLUMETRIA[[#This Row],[Cen.]],Dados_Empresas[],2,FALSE),"Verificar empresa"))</f>
        <v>NET MASSIVO</v>
      </c>
      <c r="O1786" s="32" t="str">
        <f>IF(MB25_VOLUMETRIA[[#This Row],[EMPRESA]]="","",IF(OR(MB25_VOLUMETRIA[[#This Row],[EMPRESA]]="NET MASSIVO",MB25_VOLUMETRIA[[#This Row],[EMPRESA]]="NET PROJETOS"),"NET","EMPRESARIAL"))</f>
        <v>NET</v>
      </c>
    </row>
    <row r="1787" spans="1:15" x14ac:dyDescent="0.25">
      <c r="A1787" s="32">
        <v>4383969</v>
      </c>
      <c r="B1787" s="32" t="s">
        <v>21</v>
      </c>
      <c r="C1787" s="33" t="s">
        <v>21</v>
      </c>
      <c r="D1787" s="35">
        <v>45449</v>
      </c>
      <c r="E1787" s="32" t="s">
        <v>185</v>
      </c>
      <c r="F1787" s="32">
        <v>22060422</v>
      </c>
      <c r="G1787" s="32" t="s">
        <v>298</v>
      </c>
      <c r="H1787" s="26" t="s">
        <v>38</v>
      </c>
      <c r="I1787" s="36">
        <v>30</v>
      </c>
      <c r="J1787" s="32">
        <f>IF(MB25_VOLUMETRIA[[#This Row],[Reserva]]="","",1)</f>
        <v>1</v>
      </c>
      <c r="K1787" s="36" t="str">
        <f>IF(MB25_VOLUMETRIA[[#This Row],[Reserva]]="","",IFERROR(VLOOKUP(MB25_VOLUMETRIA[[#This Row],[UMB]],CHAVE[],2,FALSE),"VERIFICAR"))</f>
        <v>Unidade</v>
      </c>
      <c r="L17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7" s="32" t="str">
        <f ca="1">IFERROR(VLOOKUP(MB25_VOLUMETRIA[[#This Row],[Reserva]],RES_AB[],14,FALSE),"")</f>
        <v>RESERVAS PENDENTES</v>
      </c>
      <c r="N1787" s="32" t="str">
        <f>IF(MB25_VOLUMETRIA[[#This Row],[Cen.]]="","",IFERROR(VLOOKUP(MB25_VOLUMETRIA[[#This Row],[Cen.]],Dados_Empresas[],2,FALSE),"Verificar empresa"))</f>
        <v>NET MASSIVO</v>
      </c>
      <c r="O1787" s="32" t="str">
        <f>IF(MB25_VOLUMETRIA[[#This Row],[EMPRESA]]="","",IF(OR(MB25_VOLUMETRIA[[#This Row],[EMPRESA]]="NET MASSIVO",MB25_VOLUMETRIA[[#This Row],[EMPRESA]]="NET PROJETOS"),"NET","EMPRESARIAL"))</f>
        <v>NET</v>
      </c>
    </row>
    <row r="1788" spans="1:15" x14ac:dyDescent="0.25">
      <c r="A1788" s="32">
        <v>4383970</v>
      </c>
      <c r="B1788" s="32" t="s">
        <v>21</v>
      </c>
      <c r="C1788" s="33" t="s">
        <v>19</v>
      </c>
      <c r="D1788" s="35">
        <v>45449</v>
      </c>
      <c r="E1788" s="32" t="s">
        <v>184</v>
      </c>
      <c r="F1788" s="32">
        <v>41001234</v>
      </c>
      <c r="G1788" s="32" t="s">
        <v>189</v>
      </c>
      <c r="H1788" s="26" t="s">
        <v>38</v>
      </c>
      <c r="I1788" s="36">
        <v>30</v>
      </c>
      <c r="J1788" s="32">
        <f>IF(MB25_VOLUMETRIA[[#This Row],[Reserva]]="","",1)</f>
        <v>1</v>
      </c>
      <c r="K1788" s="36" t="str">
        <f>IF(MB25_VOLUMETRIA[[#This Row],[Reserva]]="","",IFERROR(VLOOKUP(MB25_VOLUMETRIA[[#This Row],[UMB]],CHAVE[],2,FALSE),"VERIFICAR"))</f>
        <v>Unidade</v>
      </c>
      <c r="L17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8" s="32" t="str">
        <f ca="1">IFERROR(VLOOKUP(MB25_VOLUMETRIA[[#This Row],[Reserva]],RES_AB[],14,FALSE),"")</f>
        <v>RESERVAS PENDENTES</v>
      </c>
      <c r="N1788" s="32" t="str">
        <f>IF(MB25_VOLUMETRIA[[#This Row],[Cen.]]="","",IFERROR(VLOOKUP(MB25_VOLUMETRIA[[#This Row],[Cen.]],Dados_Empresas[],2,FALSE),"Verificar empresa"))</f>
        <v>NET MASSIVO</v>
      </c>
      <c r="O1788" s="32" t="str">
        <f>IF(MB25_VOLUMETRIA[[#This Row],[EMPRESA]]="","",IF(OR(MB25_VOLUMETRIA[[#This Row],[EMPRESA]]="NET MASSIVO",MB25_VOLUMETRIA[[#This Row],[EMPRESA]]="NET PROJETOS"),"NET","EMPRESARIAL"))</f>
        <v>NET</v>
      </c>
    </row>
    <row r="1789" spans="1:15" x14ac:dyDescent="0.25">
      <c r="A1789" s="32">
        <v>4383970</v>
      </c>
      <c r="B1789" s="32" t="s">
        <v>21</v>
      </c>
      <c r="C1789" s="33" t="s">
        <v>19</v>
      </c>
      <c r="D1789" s="35">
        <v>45449</v>
      </c>
      <c r="E1789" s="32" t="s">
        <v>184</v>
      </c>
      <c r="F1789" s="32">
        <v>41001277</v>
      </c>
      <c r="G1789" s="32" t="s">
        <v>466</v>
      </c>
      <c r="H1789" s="26" t="s">
        <v>38</v>
      </c>
      <c r="I1789" s="36">
        <v>30</v>
      </c>
      <c r="J1789" s="32">
        <f>IF(MB25_VOLUMETRIA[[#This Row],[Reserva]]="","",1)</f>
        <v>1</v>
      </c>
      <c r="K1789" s="36" t="str">
        <f>IF(MB25_VOLUMETRIA[[#This Row],[Reserva]]="","",IFERROR(VLOOKUP(MB25_VOLUMETRIA[[#This Row],[UMB]],CHAVE[],2,FALSE),"VERIFICAR"))</f>
        <v>Unidade</v>
      </c>
      <c r="L17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89" s="32" t="str">
        <f ca="1">IFERROR(VLOOKUP(MB25_VOLUMETRIA[[#This Row],[Reserva]],RES_AB[],14,FALSE),"")</f>
        <v>RESERVAS PENDENTES</v>
      </c>
      <c r="N1789" s="32" t="str">
        <f>IF(MB25_VOLUMETRIA[[#This Row],[Cen.]]="","",IFERROR(VLOOKUP(MB25_VOLUMETRIA[[#This Row],[Cen.]],Dados_Empresas[],2,FALSE),"Verificar empresa"))</f>
        <v>NET MASSIVO</v>
      </c>
      <c r="O1789" s="32" t="str">
        <f>IF(MB25_VOLUMETRIA[[#This Row],[EMPRESA]]="","",IF(OR(MB25_VOLUMETRIA[[#This Row],[EMPRESA]]="NET MASSIVO",MB25_VOLUMETRIA[[#This Row],[EMPRESA]]="NET PROJETOS"),"NET","EMPRESARIAL"))</f>
        <v>NET</v>
      </c>
    </row>
    <row r="1790" spans="1:15" x14ac:dyDescent="0.25">
      <c r="A1790" s="32">
        <v>4383970</v>
      </c>
      <c r="B1790" s="32" t="s">
        <v>21</v>
      </c>
      <c r="C1790" s="33" t="s">
        <v>21</v>
      </c>
      <c r="D1790" s="35">
        <v>45449</v>
      </c>
      <c r="E1790" s="32" t="s">
        <v>184</v>
      </c>
      <c r="F1790" s="32">
        <v>41001553</v>
      </c>
      <c r="G1790" s="32" t="s">
        <v>295</v>
      </c>
      <c r="H1790" s="26" t="s">
        <v>38</v>
      </c>
      <c r="I1790" s="36">
        <v>20</v>
      </c>
      <c r="J1790" s="32">
        <f>IF(MB25_VOLUMETRIA[[#This Row],[Reserva]]="","",1)</f>
        <v>1</v>
      </c>
      <c r="K1790" s="36" t="str">
        <f>IF(MB25_VOLUMETRIA[[#This Row],[Reserva]]="","",IFERROR(VLOOKUP(MB25_VOLUMETRIA[[#This Row],[UMB]],CHAVE[],2,FALSE),"VERIFICAR"))</f>
        <v>Unidade</v>
      </c>
      <c r="L17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0" s="32" t="str">
        <f ca="1">IFERROR(VLOOKUP(MB25_VOLUMETRIA[[#This Row],[Reserva]],RES_AB[],14,FALSE),"")</f>
        <v>RESERVAS PENDENTES</v>
      </c>
      <c r="N1790" s="32" t="str">
        <f>IF(MB25_VOLUMETRIA[[#This Row],[Cen.]]="","",IFERROR(VLOOKUP(MB25_VOLUMETRIA[[#This Row],[Cen.]],Dados_Empresas[],2,FALSE),"Verificar empresa"))</f>
        <v>NET MASSIVO</v>
      </c>
      <c r="O1790" s="32" t="str">
        <f>IF(MB25_VOLUMETRIA[[#This Row],[EMPRESA]]="","",IF(OR(MB25_VOLUMETRIA[[#This Row],[EMPRESA]]="NET MASSIVO",MB25_VOLUMETRIA[[#This Row],[EMPRESA]]="NET PROJETOS"),"NET","EMPRESARIAL"))</f>
        <v>NET</v>
      </c>
    </row>
    <row r="1791" spans="1:15" x14ac:dyDescent="0.25">
      <c r="A1791" s="32">
        <v>4383971</v>
      </c>
      <c r="B1791" s="32" t="s">
        <v>21</v>
      </c>
      <c r="C1791" s="33" t="s">
        <v>21</v>
      </c>
      <c r="D1791" s="35">
        <v>45449</v>
      </c>
      <c r="E1791" s="32" t="s">
        <v>185</v>
      </c>
      <c r="F1791" s="32">
        <v>22062577</v>
      </c>
      <c r="G1791" s="32" t="s">
        <v>467</v>
      </c>
      <c r="H1791" s="26" t="s">
        <v>38</v>
      </c>
      <c r="I1791" s="36">
        <v>350</v>
      </c>
      <c r="J1791" s="32">
        <f>IF(MB25_VOLUMETRIA[[#This Row],[Reserva]]="","",1)</f>
        <v>1</v>
      </c>
      <c r="K1791" s="36" t="str">
        <f>IF(MB25_VOLUMETRIA[[#This Row],[Reserva]]="","",IFERROR(VLOOKUP(MB25_VOLUMETRIA[[#This Row],[UMB]],CHAVE[],2,FALSE),"VERIFICAR"))</f>
        <v>Unidade</v>
      </c>
      <c r="L17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1" s="32" t="str">
        <f ca="1">IFERROR(VLOOKUP(MB25_VOLUMETRIA[[#This Row],[Reserva]],RES_AB[],14,FALSE),"")</f>
        <v>RESERVAS PENDENTES</v>
      </c>
      <c r="N1791" s="32" t="str">
        <f>IF(MB25_VOLUMETRIA[[#This Row],[Cen.]]="","",IFERROR(VLOOKUP(MB25_VOLUMETRIA[[#This Row],[Cen.]],Dados_Empresas[],2,FALSE),"Verificar empresa"))</f>
        <v>NET MASSIVO</v>
      </c>
      <c r="O1791" s="32" t="str">
        <f>IF(MB25_VOLUMETRIA[[#This Row],[EMPRESA]]="","",IF(OR(MB25_VOLUMETRIA[[#This Row],[EMPRESA]]="NET MASSIVO",MB25_VOLUMETRIA[[#This Row],[EMPRESA]]="NET PROJETOS"),"NET","EMPRESARIAL"))</f>
        <v>NET</v>
      </c>
    </row>
    <row r="1792" spans="1:15" x14ac:dyDescent="0.25">
      <c r="A1792" s="32">
        <v>4383972</v>
      </c>
      <c r="B1792" s="32" t="s">
        <v>21</v>
      </c>
      <c r="C1792" s="33" t="s">
        <v>19</v>
      </c>
      <c r="D1792" s="35">
        <v>45449</v>
      </c>
      <c r="E1792" s="32" t="s">
        <v>184</v>
      </c>
      <c r="F1792" s="32">
        <v>41001234</v>
      </c>
      <c r="G1792" s="32" t="s">
        <v>189</v>
      </c>
      <c r="H1792" s="26" t="s">
        <v>38</v>
      </c>
      <c r="I1792" s="36">
        <v>50</v>
      </c>
      <c r="J1792" s="32">
        <f>IF(MB25_VOLUMETRIA[[#This Row],[Reserva]]="","",1)</f>
        <v>1</v>
      </c>
      <c r="K1792" s="36" t="str">
        <f>IF(MB25_VOLUMETRIA[[#This Row],[Reserva]]="","",IFERROR(VLOOKUP(MB25_VOLUMETRIA[[#This Row],[UMB]],CHAVE[],2,FALSE),"VERIFICAR"))</f>
        <v>Unidade</v>
      </c>
      <c r="L17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2" s="32" t="str">
        <f ca="1">IFERROR(VLOOKUP(MB25_VOLUMETRIA[[#This Row],[Reserva]],RES_AB[],14,FALSE),"")</f>
        <v>RESERVAS PENDENTES</v>
      </c>
      <c r="N1792" s="32" t="str">
        <f>IF(MB25_VOLUMETRIA[[#This Row],[Cen.]]="","",IFERROR(VLOOKUP(MB25_VOLUMETRIA[[#This Row],[Cen.]],Dados_Empresas[],2,FALSE),"Verificar empresa"))</f>
        <v>NET MASSIVO</v>
      </c>
      <c r="O1792" s="32" t="str">
        <f>IF(MB25_VOLUMETRIA[[#This Row],[EMPRESA]]="","",IF(OR(MB25_VOLUMETRIA[[#This Row],[EMPRESA]]="NET MASSIVO",MB25_VOLUMETRIA[[#This Row],[EMPRESA]]="NET PROJETOS"),"NET","EMPRESARIAL"))</f>
        <v>NET</v>
      </c>
    </row>
    <row r="1793" spans="1:15" x14ac:dyDescent="0.25">
      <c r="A1793" s="32">
        <v>4383972</v>
      </c>
      <c r="B1793" s="32" t="s">
        <v>21</v>
      </c>
      <c r="C1793" s="33" t="s">
        <v>19</v>
      </c>
      <c r="D1793" s="35">
        <v>45449</v>
      </c>
      <c r="E1793" s="32" t="s">
        <v>184</v>
      </c>
      <c r="F1793" s="32">
        <v>41001277</v>
      </c>
      <c r="G1793" s="32" t="s">
        <v>466</v>
      </c>
      <c r="H1793" s="26" t="s">
        <v>38</v>
      </c>
      <c r="I1793" s="36">
        <v>50</v>
      </c>
      <c r="J1793" s="32">
        <f>IF(MB25_VOLUMETRIA[[#This Row],[Reserva]]="","",1)</f>
        <v>1</v>
      </c>
      <c r="K1793" s="36" t="str">
        <f>IF(MB25_VOLUMETRIA[[#This Row],[Reserva]]="","",IFERROR(VLOOKUP(MB25_VOLUMETRIA[[#This Row],[UMB]],CHAVE[],2,FALSE),"VERIFICAR"))</f>
        <v>Unidade</v>
      </c>
      <c r="L17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3" s="32" t="str">
        <f ca="1">IFERROR(VLOOKUP(MB25_VOLUMETRIA[[#This Row],[Reserva]],RES_AB[],14,FALSE),"")</f>
        <v>RESERVAS PENDENTES</v>
      </c>
      <c r="N1793" s="32" t="str">
        <f>IF(MB25_VOLUMETRIA[[#This Row],[Cen.]]="","",IFERROR(VLOOKUP(MB25_VOLUMETRIA[[#This Row],[Cen.]],Dados_Empresas[],2,FALSE),"Verificar empresa"))</f>
        <v>NET MASSIVO</v>
      </c>
      <c r="O1793" s="32" t="str">
        <f>IF(MB25_VOLUMETRIA[[#This Row],[EMPRESA]]="","",IF(OR(MB25_VOLUMETRIA[[#This Row],[EMPRESA]]="NET MASSIVO",MB25_VOLUMETRIA[[#This Row],[EMPRESA]]="NET PROJETOS"),"NET","EMPRESARIAL"))</f>
        <v>NET</v>
      </c>
    </row>
    <row r="1794" spans="1:15" x14ac:dyDescent="0.25">
      <c r="A1794" s="32">
        <v>4383972</v>
      </c>
      <c r="B1794" s="32" t="s">
        <v>21</v>
      </c>
      <c r="C1794" s="33" t="s">
        <v>19</v>
      </c>
      <c r="D1794" s="35">
        <v>45449</v>
      </c>
      <c r="E1794" s="32" t="s">
        <v>184</v>
      </c>
      <c r="F1794" s="32">
        <v>41001293</v>
      </c>
      <c r="G1794" s="32" t="s">
        <v>468</v>
      </c>
      <c r="H1794" s="26" t="s">
        <v>38</v>
      </c>
      <c r="I1794" s="36">
        <v>30</v>
      </c>
      <c r="J1794" s="32">
        <f>IF(MB25_VOLUMETRIA[[#This Row],[Reserva]]="","",1)</f>
        <v>1</v>
      </c>
      <c r="K1794" s="36" t="str">
        <f>IF(MB25_VOLUMETRIA[[#This Row],[Reserva]]="","",IFERROR(VLOOKUP(MB25_VOLUMETRIA[[#This Row],[UMB]],CHAVE[],2,FALSE),"VERIFICAR"))</f>
        <v>Unidade</v>
      </c>
      <c r="L17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4" s="32" t="str">
        <f ca="1">IFERROR(VLOOKUP(MB25_VOLUMETRIA[[#This Row],[Reserva]],RES_AB[],14,FALSE),"")</f>
        <v>RESERVAS PENDENTES</v>
      </c>
      <c r="N1794" s="32" t="str">
        <f>IF(MB25_VOLUMETRIA[[#This Row],[Cen.]]="","",IFERROR(VLOOKUP(MB25_VOLUMETRIA[[#This Row],[Cen.]],Dados_Empresas[],2,FALSE),"Verificar empresa"))</f>
        <v>NET MASSIVO</v>
      </c>
      <c r="O1794" s="32" t="str">
        <f>IF(MB25_VOLUMETRIA[[#This Row],[EMPRESA]]="","",IF(OR(MB25_VOLUMETRIA[[#This Row],[EMPRESA]]="NET MASSIVO",MB25_VOLUMETRIA[[#This Row],[EMPRESA]]="NET PROJETOS"),"NET","EMPRESARIAL"))</f>
        <v>NET</v>
      </c>
    </row>
    <row r="1795" spans="1:15" x14ac:dyDescent="0.25">
      <c r="A1795" s="32">
        <v>4383972</v>
      </c>
      <c r="B1795" s="32" t="s">
        <v>21</v>
      </c>
      <c r="C1795" s="33" t="s">
        <v>19</v>
      </c>
      <c r="D1795" s="35">
        <v>45449</v>
      </c>
      <c r="E1795" s="32" t="s">
        <v>184</v>
      </c>
      <c r="F1795" s="32">
        <v>41001485</v>
      </c>
      <c r="G1795" s="32" t="s">
        <v>469</v>
      </c>
      <c r="H1795" s="26" t="s">
        <v>38</v>
      </c>
      <c r="I1795" s="36">
        <v>350</v>
      </c>
      <c r="J1795" s="32">
        <f>IF(MB25_VOLUMETRIA[[#This Row],[Reserva]]="","",1)</f>
        <v>1</v>
      </c>
      <c r="K1795" s="36" t="str">
        <f>IF(MB25_VOLUMETRIA[[#This Row],[Reserva]]="","",IFERROR(VLOOKUP(MB25_VOLUMETRIA[[#This Row],[UMB]],CHAVE[],2,FALSE),"VERIFICAR"))</f>
        <v>Unidade</v>
      </c>
      <c r="L17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5" s="32" t="str">
        <f ca="1">IFERROR(VLOOKUP(MB25_VOLUMETRIA[[#This Row],[Reserva]],RES_AB[],14,FALSE),"")</f>
        <v>RESERVAS PENDENTES</v>
      </c>
      <c r="N1795" s="32" t="str">
        <f>IF(MB25_VOLUMETRIA[[#This Row],[Cen.]]="","",IFERROR(VLOOKUP(MB25_VOLUMETRIA[[#This Row],[Cen.]],Dados_Empresas[],2,FALSE),"Verificar empresa"))</f>
        <v>NET MASSIVO</v>
      </c>
      <c r="O1795" s="32" t="str">
        <f>IF(MB25_VOLUMETRIA[[#This Row],[EMPRESA]]="","",IF(OR(MB25_VOLUMETRIA[[#This Row],[EMPRESA]]="NET MASSIVO",MB25_VOLUMETRIA[[#This Row],[EMPRESA]]="NET PROJETOS"),"NET","EMPRESARIAL"))</f>
        <v>NET</v>
      </c>
    </row>
    <row r="1796" spans="1:15" x14ac:dyDescent="0.25">
      <c r="A1796" s="32">
        <v>4383973</v>
      </c>
      <c r="B1796" s="32" t="s">
        <v>21</v>
      </c>
      <c r="C1796" s="33" t="s">
        <v>19</v>
      </c>
      <c r="D1796" s="35">
        <v>45449</v>
      </c>
      <c r="E1796" s="32" t="s">
        <v>185</v>
      </c>
      <c r="F1796" s="32">
        <v>22026096</v>
      </c>
      <c r="G1796" s="32" t="s">
        <v>464</v>
      </c>
      <c r="H1796" s="26" t="s">
        <v>38</v>
      </c>
      <c r="I1796" s="36">
        <v>20</v>
      </c>
      <c r="J1796" s="32">
        <f>IF(MB25_VOLUMETRIA[[#This Row],[Reserva]]="","",1)</f>
        <v>1</v>
      </c>
      <c r="K1796" s="36" t="str">
        <f>IF(MB25_VOLUMETRIA[[#This Row],[Reserva]]="","",IFERROR(VLOOKUP(MB25_VOLUMETRIA[[#This Row],[UMB]],CHAVE[],2,FALSE),"VERIFICAR"))</f>
        <v>Unidade</v>
      </c>
      <c r="L17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6" s="32" t="str">
        <f ca="1">IFERROR(VLOOKUP(MB25_VOLUMETRIA[[#This Row],[Reserva]],RES_AB[],14,FALSE),"")</f>
        <v>RESERVAS PENDENTES</v>
      </c>
      <c r="N1796" s="32" t="str">
        <f>IF(MB25_VOLUMETRIA[[#This Row],[Cen.]]="","",IFERROR(VLOOKUP(MB25_VOLUMETRIA[[#This Row],[Cen.]],Dados_Empresas[],2,FALSE),"Verificar empresa"))</f>
        <v>NET MASSIVO</v>
      </c>
      <c r="O1796" s="32" t="str">
        <f>IF(MB25_VOLUMETRIA[[#This Row],[EMPRESA]]="","",IF(OR(MB25_VOLUMETRIA[[#This Row],[EMPRESA]]="NET MASSIVO",MB25_VOLUMETRIA[[#This Row],[EMPRESA]]="NET PROJETOS"),"NET","EMPRESARIAL"))</f>
        <v>NET</v>
      </c>
    </row>
    <row r="1797" spans="1:15" x14ac:dyDescent="0.25">
      <c r="A1797" s="32">
        <v>4383973</v>
      </c>
      <c r="B1797" s="32" t="s">
        <v>21</v>
      </c>
      <c r="C1797" s="33" t="s">
        <v>19</v>
      </c>
      <c r="D1797" s="35">
        <v>45449</v>
      </c>
      <c r="E1797" s="32" t="s">
        <v>185</v>
      </c>
      <c r="F1797" s="32">
        <v>22058639</v>
      </c>
      <c r="G1797" s="32" t="s">
        <v>290</v>
      </c>
      <c r="H1797" s="26" t="s">
        <v>38</v>
      </c>
      <c r="I1797" s="36">
        <v>130</v>
      </c>
      <c r="J1797" s="32">
        <f>IF(MB25_VOLUMETRIA[[#This Row],[Reserva]]="","",1)</f>
        <v>1</v>
      </c>
      <c r="K1797" s="36" t="str">
        <f>IF(MB25_VOLUMETRIA[[#This Row],[Reserva]]="","",IFERROR(VLOOKUP(MB25_VOLUMETRIA[[#This Row],[UMB]],CHAVE[],2,FALSE),"VERIFICAR"))</f>
        <v>Unidade</v>
      </c>
      <c r="L17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7" s="32" t="str">
        <f ca="1">IFERROR(VLOOKUP(MB25_VOLUMETRIA[[#This Row],[Reserva]],RES_AB[],14,FALSE),"")</f>
        <v>RESERVAS PENDENTES</v>
      </c>
      <c r="N1797" s="32" t="str">
        <f>IF(MB25_VOLUMETRIA[[#This Row],[Cen.]]="","",IFERROR(VLOOKUP(MB25_VOLUMETRIA[[#This Row],[Cen.]],Dados_Empresas[],2,FALSE),"Verificar empresa"))</f>
        <v>NET MASSIVO</v>
      </c>
      <c r="O1797" s="32" t="str">
        <f>IF(MB25_VOLUMETRIA[[#This Row],[EMPRESA]]="","",IF(OR(MB25_VOLUMETRIA[[#This Row],[EMPRESA]]="NET MASSIVO",MB25_VOLUMETRIA[[#This Row],[EMPRESA]]="NET PROJETOS"),"NET","EMPRESARIAL"))</f>
        <v>NET</v>
      </c>
    </row>
    <row r="1798" spans="1:15" x14ac:dyDescent="0.25">
      <c r="A1798" s="32">
        <v>4383973</v>
      </c>
      <c r="B1798" s="32" t="s">
        <v>21</v>
      </c>
      <c r="C1798" s="33" t="s">
        <v>21</v>
      </c>
      <c r="D1798" s="35">
        <v>45449</v>
      </c>
      <c r="E1798" s="32" t="s">
        <v>185</v>
      </c>
      <c r="F1798" s="32">
        <v>22062556</v>
      </c>
      <c r="G1798" s="32" t="s">
        <v>470</v>
      </c>
      <c r="H1798" s="26" t="s">
        <v>38</v>
      </c>
      <c r="I1798" s="36">
        <v>20</v>
      </c>
      <c r="J1798" s="32">
        <f>IF(MB25_VOLUMETRIA[[#This Row],[Reserva]]="","",1)</f>
        <v>1</v>
      </c>
      <c r="K1798" s="36" t="str">
        <f>IF(MB25_VOLUMETRIA[[#This Row],[Reserva]]="","",IFERROR(VLOOKUP(MB25_VOLUMETRIA[[#This Row],[UMB]],CHAVE[],2,FALSE),"VERIFICAR"))</f>
        <v>Unidade</v>
      </c>
      <c r="L17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8" s="32" t="str">
        <f ca="1">IFERROR(VLOOKUP(MB25_VOLUMETRIA[[#This Row],[Reserva]],RES_AB[],14,FALSE),"")</f>
        <v>RESERVAS PENDENTES</v>
      </c>
      <c r="N1798" s="32" t="str">
        <f>IF(MB25_VOLUMETRIA[[#This Row],[Cen.]]="","",IFERROR(VLOOKUP(MB25_VOLUMETRIA[[#This Row],[Cen.]],Dados_Empresas[],2,FALSE),"Verificar empresa"))</f>
        <v>NET MASSIVO</v>
      </c>
      <c r="O1798" s="32" t="str">
        <f>IF(MB25_VOLUMETRIA[[#This Row],[EMPRESA]]="","",IF(OR(MB25_VOLUMETRIA[[#This Row],[EMPRESA]]="NET MASSIVO",MB25_VOLUMETRIA[[#This Row],[EMPRESA]]="NET PROJETOS"),"NET","EMPRESARIAL"))</f>
        <v>NET</v>
      </c>
    </row>
    <row r="1799" spans="1:15" x14ac:dyDescent="0.25">
      <c r="A1799" s="32">
        <v>4383974</v>
      </c>
      <c r="B1799" s="32" t="s">
        <v>21</v>
      </c>
      <c r="C1799" s="33" t="s">
        <v>19</v>
      </c>
      <c r="D1799" s="35">
        <v>45449</v>
      </c>
      <c r="E1799" s="32" t="s">
        <v>184</v>
      </c>
      <c r="F1799" s="32">
        <v>41001095</v>
      </c>
      <c r="G1799" s="32" t="s">
        <v>246</v>
      </c>
      <c r="H1799" s="26" t="s">
        <v>38</v>
      </c>
      <c r="I1799" s="36">
        <v>130</v>
      </c>
      <c r="J1799" s="32">
        <f>IF(MB25_VOLUMETRIA[[#This Row],[Reserva]]="","",1)</f>
        <v>1</v>
      </c>
      <c r="K1799" s="36" t="str">
        <f>IF(MB25_VOLUMETRIA[[#This Row],[Reserva]]="","",IFERROR(VLOOKUP(MB25_VOLUMETRIA[[#This Row],[UMB]],CHAVE[],2,FALSE),"VERIFICAR"))</f>
        <v>Unidade</v>
      </c>
      <c r="L17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799" s="32" t="str">
        <f ca="1">IFERROR(VLOOKUP(MB25_VOLUMETRIA[[#This Row],[Reserva]],RES_AB[],14,FALSE),"")</f>
        <v>RESERVAS PENDENTES</v>
      </c>
      <c r="N1799" s="32" t="str">
        <f>IF(MB25_VOLUMETRIA[[#This Row],[Cen.]]="","",IFERROR(VLOOKUP(MB25_VOLUMETRIA[[#This Row],[Cen.]],Dados_Empresas[],2,FALSE),"Verificar empresa"))</f>
        <v>NET MASSIVO</v>
      </c>
      <c r="O1799" s="32" t="str">
        <f>IF(MB25_VOLUMETRIA[[#This Row],[EMPRESA]]="","",IF(OR(MB25_VOLUMETRIA[[#This Row],[EMPRESA]]="NET MASSIVO",MB25_VOLUMETRIA[[#This Row],[EMPRESA]]="NET PROJETOS"),"NET","EMPRESARIAL"))</f>
        <v>NET</v>
      </c>
    </row>
    <row r="1800" spans="1:15" x14ac:dyDescent="0.25">
      <c r="A1800" s="32">
        <v>4383974</v>
      </c>
      <c r="B1800" s="32" t="s">
        <v>21</v>
      </c>
      <c r="C1800" s="33" t="s">
        <v>19</v>
      </c>
      <c r="D1800" s="35">
        <v>45449</v>
      </c>
      <c r="E1800" s="32" t="s">
        <v>184</v>
      </c>
      <c r="F1800" s="32">
        <v>41001481</v>
      </c>
      <c r="G1800" s="32" t="s">
        <v>403</v>
      </c>
      <c r="H1800" s="26" t="s">
        <v>38</v>
      </c>
      <c r="I1800" s="36">
        <v>20</v>
      </c>
      <c r="J1800" s="32">
        <f>IF(MB25_VOLUMETRIA[[#This Row],[Reserva]]="","",1)</f>
        <v>1</v>
      </c>
      <c r="K1800" s="36" t="str">
        <f>IF(MB25_VOLUMETRIA[[#This Row],[Reserva]]="","",IFERROR(VLOOKUP(MB25_VOLUMETRIA[[#This Row],[UMB]],CHAVE[],2,FALSE),"VERIFICAR"))</f>
        <v>Unidade</v>
      </c>
      <c r="L18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0" s="32" t="str">
        <f ca="1">IFERROR(VLOOKUP(MB25_VOLUMETRIA[[#This Row],[Reserva]],RES_AB[],14,FALSE),"")</f>
        <v>RESERVAS PENDENTES</v>
      </c>
      <c r="N1800" s="32" t="str">
        <f>IF(MB25_VOLUMETRIA[[#This Row],[Cen.]]="","",IFERROR(VLOOKUP(MB25_VOLUMETRIA[[#This Row],[Cen.]],Dados_Empresas[],2,FALSE),"Verificar empresa"))</f>
        <v>NET MASSIVO</v>
      </c>
      <c r="O1800" s="32" t="str">
        <f>IF(MB25_VOLUMETRIA[[#This Row],[EMPRESA]]="","",IF(OR(MB25_VOLUMETRIA[[#This Row],[EMPRESA]]="NET MASSIVO",MB25_VOLUMETRIA[[#This Row],[EMPRESA]]="NET PROJETOS"),"NET","EMPRESARIAL"))</f>
        <v>NET</v>
      </c>
    </row>
    <row r="1801" spans="1:15" x14ac:dyDescent="0.25">
      <c r="A1801" s="32">
        <v>4383974</v>
      </c>
      <c r="B1801" s="32" t="s">
        <v>21</v>
      </c>
      <c r="C1801" s="33" t="s">
        <v>21</v>
      </c>
      <c r="D1801" s="35">
        <v>45449</v>
      </c>
      <c r="E1801" s="32" t="s">
        <v>184</v>
      </c>
      <c r="F1801" s="32">
        <v>41001535</v>
      </c>
      <c r="G1801" s="32" t="s">
        <v>191</v>
      </c>
      <c r="H1801" s="26" t="s">
        <v>38</v>
      </c>
      <c r="I1801" s="36">
        <v>100</v>
      </c>
      <c r="J1801" s="32">
        <f>IF(MB25_VOLUMETRIA[[#This Row],[Reserva]]="","",1)</f>
        <v>1</v>
      </c>
      <c r="K1801" s="36" t="str">
        <f>IF(MB25_VOLUMETRIA[[#This Row],[Reserva]]="","",IFERROR(VLOOKUP(MB25_VOLUMETRIA[[#This Row],[UMB]],CHAVE[],2,FALSE),"VERIFICAR"))</f>
        <v>Unidade</v>
      </c>
      <c r="L18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1" s="32" t="str">
        <f ca="1">IFERROR(VLOOKUP(MB25_VOLUMETRIA[[#This Row],[Reserva]],RES_AB[],14,FALSE),"")</f>
        <v>RESERVAS PENDENTES</v>
      </c>
      <c r="N1801" s="32" t="str">
        <f>IF(MB25_VOLUMETRIA[[#This Row],[Cen.]]="","",IFERROR(VLOOKUP(MB25_VOLUMETRIA[[#This Row],[Cen.]],Dados_Empresas[],2,FALSE),"Verificar empresa"))</f>
        <v>NET MASSIVO</v>
      </c>
      <c r="O1801" s="32" t="str">
        <f>IF(MB25_VOLUMETRIA[[#This Row],[EMPRESA]]="","",IF(OR(MB25_VOLUMETRIA[[#This Row],[EMPRESA]]="NET MASSIVO",MB25_VOLUMETRIA[[#This Row],[EMPRESA]]="NET PROJETOS"),"NET","EMPRESARIAL"))</f>
        <v>NET</v>
      </c>
    </row>
    <row r="1802" spans="1:15" x14ac:dyDescent="0.25">
      <c r="A1802" s="32">
        <v>4383975</v>
      </c>
      <c r="B1802" s="32" t="s">
        <v>21</v>
      </c>
      <c r="C1802" s="33" t="s">
        <v>19</v>
      </c>
      <c r="D1802" s="35">
        <v>45449</v>
      </c>
      <c r="E1802" s="32" t="s">
        <v>185</v>
      </c>
      <c r="F1802" s="32">
        <v>22026096</v>
      </c>
      <c r="G1802" s="32" t="s">
        <v>464</v>
      </c>
      <c r="H1802" s="26" t="s">
        <v>38</v>
      </c>
      <c r="I1802" s="36">
        <v>150</v>
      </c>
      <c r="J1802" s="32">
        <f>IF(MB25_VOLUMETRIA[[#This Row],[Reserva]]="","",1)</f>
        <v>1</v>
      </c>
      <c r="K1802" s="36" t="str">
        <f>IF(MB25_VOLUMETRIA[[#This Row],[Reserva]]="","",IFERROR(VLOOKUP(MB25_VOLUMETRIA[[#This Row],[UMB]],CHAVE[],2,FALSE),"VERIFICAR"))</f>
        <v>Unidade</v>
      </c>
      <c r="L18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2" s="32" t="str">
        <f ca="1">IFERROR(VLOOKUP(MB25_VOLUMETRIA[[#This Row],[Reserva]],RES_AB[],14,FALSE),"")</f>
        <v>RESERVAS PENDENTES</v>
      </c>
      <c r="N1802" s="32" t="str">
        <f>IF(MB25_VOLUMETRIA[[#This Row],[Cen.]]="","",IFERROR(VLOOKUP(MB25_VOLUMETRIA[[#This Row],[Cen.]],Dados_Empresas[],2,FALSE),"Verificar empresa"))</f>
        <v>NET MASSIVO</v>
      </c>
      <c r="O1802" s="32" t="str">
        <f>IF(MB25_VOLUMETRIA[[#This Row],[EMPRESA]]="","",IF(OR(MB25_VOLUMETRIA[[#This Row],[EMPRESA]]="NET MASSIVO",MB25_VOLUMETRIA[[#This Row],[EMPRESA]]="NET PROJETOS"),"NET","EMPRESARIAL"))</f>
        <v>NET</v>
      </c>
    </row>
    <row r="1803" spans="1:15" x14ac:dyDescent="0.25">
      <c r="A1803" s="32">
        <v>4383975</v>
      </c>
      <c r="B1803" s="32" t="s">
        <v>21</v>
      </c>
      <c r="C1803" s="33" t="s">
        <v>19</v>
      </c>
      <c r="D1803" s="35">
        <v>45449</v>
      </c>
      <c r="E1803" s="32" t="s">
        <v>185</v>
      </c>
      <c r="F1803" s="32">
        <v>22026103</v>
      </c>
      <c r="G1803" s="32" t="s">
        <v>322</v>
      </c>
      <c r="H1803" s="26" t="s">
        <v>38</v>
      </c>
      <c r="I1803" s="36">
        <v>20</v>
      </c>
      <c r="J1803" s="32">
        <f>IF(MB25_VOLUMETRIA[[#This Row],[Reserva]]="","",1)</f>
        <v>1</v>
      </c>
      <c r="K1803" s="36" t="str">
        <f>IF(MB25_VOLUMETRIA[[#This Row],[Reserva]]="","",IFERROR(VLOOKUP(MB25_VOLUMETRIA[[#This Row],[UMB]],CHAVE[],2,FALSE),"VERIFICAR"))</f>
        <v>Unidade</v>
      </c>
      <c r="L18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3" s="32" t="str">
        <f ca="1">IFERROR(VLOOKUP(MB25_VOLUMETRIA[[#This Row],[Reserva]],RES_AB[],14,FALSE),"")</f>
        <v>RESERVAS PENDENTES</v>
      </c>
      <c r="N1803" s="32" t="str">
        <f>IF(MB25_VOLUMETRIA[[#This Row],[Cen.]]="","",IFERROR(VLOOKUP(MB25_VOLUMETRIA[[#This Row],[Cen.]],Dados_Empresas[],2,FALSE),"Verificar empresa"))</f>
        <v>NET MASSIVO</v>
      </c>
      <c r="O1803" s="32" t="str">
        <f>IF(MB25_VOLUMETRIA[[#This Row],[EMPRESA]]="","",IF(OR(MB25_VOLUMETRIA[[#This Row],[EMPRESA]]="NET MASSIVO",MB25_VOLUMETRIA[[#This Row],[EMPRESA]]="NET PROJETOS"),"NET","EMPRESARIAL"))</f>
        <v>NET</v>
      </c>
    </row>
    <row r="1804" spans="1:15" x14ac:dyDescent="0.25">
      <c r="A1804" s="32">
        <v>4383975</v>
      </c>
      <c r="B1804" s="32" t="s">
        <v>21</v>
      </c>
      <c r="C1804" s="33" t="s">
        <v>19</v>
      </c>
      <c r="D1804" s="35">
        <v>45449</v>
      </c>
      <c r="E1804" s="32" t="s">
        <v>185</v>
      </c>
      <c r="F1804" s="32">
        <v>22026293</v>
      </c>
      <c r="G1804" s="32" t="s">
        <v>352</v>
      </c>
      <c r="H1804" s="26" t="s">
        <v>38</v>
      </c>
      <c r="I1804" s="36">
        <v>40</v>
      </c>
      <c r="J1804" s="32">
        <f>IF(MB25_VOLUMETRIA[[#This Row],[Reserva]]="","",1)</f>
        <v>1</v>
      </c>
      <c r="K1804" s="36" t="str">
        <f>IF(MB25_VOLUMETRIA[[#This Row],[Reserva]]="","",IFERROR(VLOOKUP(MB25_VOLUMETRIA[[#This Row],[UMB]],CHAVE[],2,FALSE),"VERIFICAR"))</f>
        <v>Unidade</v>
      </c>
      <c r="L18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4" s="32" t="str">
        <f ca="1">IFERROR(VLOOKUP(MB25_VOLUMETRIA[[#This Row],[Reserva]],RES_AB[],14,FALSE),"")</f>
        <v>RESERVAS PENDENTES</v>
      </c>
      <c r="N1804" s="32" t="str">
        <f>IF(MB25_VOLUMETRIA[[#This Row],[Cen.]]="","",IFERROR(VLOOKUP(MB25_VOLUMETRIA[[#This Row],[Cen.]],Dados_Empresas[],2,FALSE),"Verificar empresa"))</f>
        <v>NET MASSIVO</v>
      </c>
      <c r="O1804" s="32" t="str">
        <f>IF(MB25_VOLUMETRIA[[#This Row],[EMPRESA]]="","",IF(OR(MB25_VOLUMETRIA[[#This Row],[EMPRESA]]="NET MASSIVO",MB25_VOLUMETRIA[[#This Row],[EMPRESA]]="NET PROJETOS"),"NET","EMPRESARIAL"))</f>
        <v>NET</v>
      </c>
    </row>
    <row r="1805" spans="1:15" x14ac:dyDescent="0.25">
      <c r="A1805" s="32">
        <v>4383975</v>
      </c>
      <c r="B1805" s="32" t="s">
        <v>21</v>
      </c>
      <c r="C1805" s="33" t="s">
        <v>19</v>
      </c>
      <c r="D1805" s="35">
        <v>45449</v>
      </c>
      <c r="E1805" s="32" t="s">
        <v>185</v>
      </c>
      <c r="F1805" s="32">
        <v>22058639</v>
      </c>
      <c r="G1805" s="32" t="s">
        <v>290</v>
      </c>
      <c r="H1805" s="26" t="s">
        <v>38</v>
      </c>
      <c r="I1805" s="36">
        <v>160</v>
      </c>
      <c r="J1805" s="32">
        <f>IF(MB25_VOLUMETRIA[[#This Row],[Reserva]]="","",1)</f>
        <v>1</v>
      </c>
      <c r="K1805" s="36" t="str">
        <f>IF(MB25_VOLUMETRIA[[#This Row],[Reserva]]="","",IFERROR(VLOOKUP(MB25_VOLUMETRIA[[#This Row],[UMB]],CHAVE[],2,FALSE),"VERIFICAR"))</f>
        <v>Unidade</v>
      </c>
      <c r="L18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5" s="32" t="str">
        <f ca="1">IFERROR(VLOOKUP(MB25_VOLUMETRIA[[#This Row],[Reserva]],RES_AB[],14,FALSE),"")</f>
        <v>RESERVAS PENDENTES</v>
      </c>
      <c r="N1805" s="32" t="str">
        <f>IF(MB25_VOLUMETRIA[[#This Row],[Cen.]]="","",IFERROR(VLOOKUP(MB25_VOLUMETRIA[[#This Row],[Cen.]],Dados_Empresas[],2,FALSE),"Verificar empresa"))</f>
        <v>NET MASSIVO</v>
      </c>
      <c r="O1805" s="32" t="str">
        <f>IF(MB25_VOLUMETRIA[[#This Row],[EMPRESA]]="","",IF(OR(MB25_VOLUMETRIA[[#This Row],[EMPRESA]]="NET MASSIVO",MB25_VOLUMETRIA[[#This Row],[EMPRESA]]="NET PROJETOS"),"NET","EMPRESARIAL"))</f>
        <v>NET</v>
      </c>
    </row>
    <row r="1806" spans="1:15" x14ac:dyDescent="0.25">
      <c r="A1806" s="32">
        <v>4383975</v>
      </c>
      <c r="B1806" s="32" t="s">
        <v>21</v>
      </c>
      <c r="C1806" s="33" t="s">
        <v>21</v>
      </c>
      <c r="D1806" s="35">
        <v>45449</v>
      </c>
      <c r="E1806" s="32" t="s">
        <v>185</v>
      </c>
      <c r="F1806" s="32">
        <v>22060422</v>
      </c>
      <c r="G1806" s="32" t="s">
        <v>298</v>
      </c>
      <c r="H1806" s="26" t="s">
        <v>38</v>
      </c>
      <c r="I1806" s="36">
        <v>40</v>
      </c>
      <c r="J1806" s="32">
        <f>IF(MB25_VOLUMETRIA[[#This Row],[Reserva]]="","",1)</f>
        <v>1</v>
      </c>
      <c r="K1806" s="36" t="str">
        <f>IF(MB25_VOLUMETRIA[[#This Row],[Reserva]]="","",IFERROR(VLOOKUP(MB25_VOLUMETRIA[[#This Row],[UMB]],CHAVE[],2,FALSE),"VERIFICAR"))</f>
        <v>Unidade</v>
      </c>
      <c r="L18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6" s="32" t="str">
        <f ca="1">IFERROR(VLOOKUP(MB25_VOLUMETRIA[[#This Row],[Reserva]],RES_AB[],14,FALSE),"")</f>
        <v>RESERVAS PENDENTES</v>
      </c>
      <c r="N1806" s="32" t="str">
        <f>IF(MB25_VOLUMETRIA[[#This Row],[Cen.]]="","",IFERROR(VLOOKUP(MB25_VOLUMETRIA[[#This Row],[Cen.]],Dados_Empresas[],2,FALSE),"Verificar empresa"))</f>
        <v>NET MASSIVO</v>
      </c>
      <c r="O1806" s="32" t="str">
        <f>IF(MB25_VOLUMETRIA[[#This Row],[EMPRESA]]="","",IF(OR(MB25_VOLUMETRIA[[#This Row],[EMPRESA]]="NET MASSIVO",MB25_VOLUMETRIA[[#This Row],[EMPRESA]]="NET PROJETOS"),"NET","EMPRESARIAL"))</f>
        <v>NET</v>
      </c>
    </row>
    <row r="1807" spans="1:15" x14ac:dyDescent="0.25">
      <c r="A1807" s="32">
        <v>4383975</v>
      </c>
      <c r="B1807" s="32" t="s">
        <v>21</v>
      </c>
      <c r="C1807" s="33" t="s">
        <v>21</v>
      </c>
      <c r="D1807" s="35">
        <v>45449</v>
      </c>
      <c r="E1807" s="32" t="s">
        <v>185</v>
      </c>
      <c r="F1807" s="32">
        <v>22062556</v>
      </c>
      <c r="G1807" s="32" t="s">
        <v>470</v>
      </c>
      <c r="H1807" s="26" t="s">
        <v>38</v>
      </c>
      <c r="I1807" s="36">
        <v>150</v>
      </c>
      <c r="J1807" s="32">
        <f>IF(MB25_VOLUMETRIA[[#This Row],[Reserva]]="","",1)</f>
        <v>1</v>
      </c>
      <c r="K1807" s="36" t="str">
        <f>IF(MB25_VOLUMETRIA[[#This Row],[Reserva]]="","",IFERROR(VLOOKUP(MB25_VOLUMETRIA[[#This Row],[UMB]],CHAVE[],2,FALSE),"VERIFICAR"))</f>
        <v>Unidade</v>
      </c>
      <c r="L18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7" s="32" t="str">
        <f ca="1">IFERROR(VLOOKUP(MB25_VOLUMETRIA[[#This Row],[Reserva]],RES_AB[],14,FALSE),"")</f>
        <v>RESERVAS PENDENTES</v>
      </c>
      <c r="N1807" s="32" t="str">
        <f>IF(MB25_VOLUMETRIA[[#This Row],[Cen.]]="","",IFERROR(VLOOKUP(MB25_VOLUMETRIA[[#This Row],[Cen.]],Dados_Empresas[],2,FALSE),"Verificar empresa"))</f>
        <v>NET MASSIVO</v>
      </c>
      <c r="O1807" s="32" t="str">
        <f>IF(MB25_VOLUMETRIA[[#This Row],[EMPRESA]]="","",IF(OR(MB25_VOLUMETRIA[[#This Row],[EMPRESA]]="NET MASSIVO",MB25_VOLUMETRIA[[#This Row],[EMPRESA]]="NET PROJETOS"),"NET","EMPRESARIAL"))</f>
        <v>NET</v>
      </c>
    </row>
    <row r="1808" spans="1:15" x14ac:dyDescent="0.25">
      <c r="A1808" s="32">
        <v>4383975</v>
      </c>
      <c r="B1808" s="32" t="s">
        <v>21</v>
      </c>
      <c r="C1808" s="33" t="s">
        <v>21</v>
      </c>
      <c r="D1808" s="35">
        <v>45449</v>
      </c>
      <c r="E1808" s="32" t="s">
        <v>185</v>
      </c>
      <c r="F1808" s="32">
        <v>22063252</v>
      </c>
      <c r="G1808" s="32" t="s">
        <v>323</v>
      </c>
      <c r="H1808" s="26" t="s">
        <v>38</v>
      </c>
      <c r="I1808" s="36">
        <v>20</v>
      </c>
      <c r="J1808" s="32">
        <f>IF(MB25_VOLUMETRIA[[#This Row],[Reserva]]="","",1)</f>
        <v>1</v>
      </c>
      <c r="K1808" s="36" t="str">
        <f>IF(MB25_VOLUMETRIA[[#This Row],[Reserva]]="","",IFERROR(VLOOKUP(MB25_VOLUMETRIA[[#This Row],[UMB]],CHAVE[],2,FALSE),"VERIFICAR"))</f>
        <v>Unidade</v>
      </c>
      <c r="L18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8" s="32" t="str">
        <f ca="1">IFERROR(VLOOKUP(MB25_VOLUMETRIA[[#This Row],[Reserva]],RES_AB[],14,FALSE),"")</f>
        <v>RESERVAS PENDENTES</v>
      </c>
      <c r="N1808" s="32" t="str">
        <f>IF(MB25_VOLUMETRIA[[#This Row],[Cen.]]="","",IFERROR(VLOOKUP(MB25_VOLUMETRIA[[#This Row],[Cen.]],Dados_Empresas[],2,FALSE),"Verificar empresa"))</f>
        <v>NET MASSIVO</v>
      </c>
      <c r="O1808" s="32" t="str">
        <f>IF(MB25_VOLUMETRIA[[#This Row],[EMPRESA]]="","",IF(OR(MB25_VOLUMETRIA[[#This Row],[EMPRESA]]="NET MASSIVO",MB25_VOLUMETRIA[[#This Row],[EMPRESA]]="NET PROJETOS"),"NET","EMPRESARIAL"))</f>
        <v>NET</v>
      </c>
    </row>
    <row r="1809" spans="1:15" x14ac:dyDescent="0.25">
      <c r="A1809" s="32">
        <v>4383976</v>
      </c>
      <c r="B1809" s="32" t="s">
        <v>21</v>
      </c>
      <c r="C1809" s="33" t="s">
        <v>19</v>
      </c>
      <c r="D1809" s="35">
        <v>45449</v>
      </c>
      <c r="E1809" s="32" t="s">
        <v>184</v>
      </c>
      <c r="F1809" s="32">
        <v>41000805</v>
      </c>
      <c r="G1809" s="32" t="s">
        <v>188</v>
      </c>
      <c r="H1809" s="26" t="s">
        <v>38</v>
      </c>
      <c r="I1809" s="36">
        <v>20</v>
      </c>
      <c r="J1809" s="32">
        <f>IF(MB25_VOLUMETRIA[[#This Row],[Reserva]]="","",1)</f>
        <v>1</v>
      </c>
      <c r="K1809" s="36" t="str">
        <f>IF(MB25_VOLUMETRIA[[#This Row],[Reserva]]="","",IFERROR(VLOOKUP(MB25_VOLUMETRIA[[#This Row],[UMB]],CHAVE[],2,FALSE),"VERIFICAR"))</f>
        <v>Unidade</v>
      </c>
      <c r="L18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09" s="32" t="str">
        <f ca="1">IFERROR(VLOOKUP(MB25_VOLUMETRIA[[#This Row],[Reserva]],RES_AB[],14,FALSE),"")</f>
        <v>RESERVAS PENDENTES</v>
      </c>
      <c r="N1809" s="32" t="str">
        <f>IF(MB25_VOLUMETRIA[[#This Row],[Cen.]]="","",IFERROR(VLOOKUP(MB25_VOLUMETRIA[[#This Row],[Cen.]],Dados_Empresas[],2,FALSE),"Verificar empresa"))</f>
        <v>NET MASSIVO</v>
      </c>
      <c r="O1809" s="32" t="str">
        <f>IF(MB25_VOLUMETRIA[[#This Row],[EMPRESA]]="","",IF(OR(MB25_VOLUMETRIA[[#This Row],[EMPRESA]]="NET MASSIVO",MB25_VOLUMETRIA[[#This Row],[EMPRESA]]="NET PROJETOS"),"NET","EMPRESARIAL"))</f>
        <v>NET</v>
      </c>
    </row>
    <row r="1810" spans="1:15" x14ac:dyDescent="0.25">
      <c r="A1810" s="32">
        <v>4383976</v>
      </c>
      <c r="B1810" s="32" t="s">
        <v>21</v>
      </c>
      <c r="C1810" s="33" t="s">
        <v>19</v>
      </c>
      <c r="D1810" s="35">
        <v>45449</v>
      </c>
      <c r="E1810" s="32" t="s">
        <v>184</v>
      </c>
      <c r="F1810" s="32">
        <v>41001095</v>
      </c>
      <c r="G1810" s="32" t="s">
        <v>246</v>
      </c>
      <c r="H1810" s="26" t="s">
        <v>38</v>
      </c>
      <c r="I1810" s="36">
        <v>140</v>
      </c>
      <c r="J1810" s="32">
        <f>IF(MB25_VOLUMETRIA[[#This Row],[Reserva]]="","",1)</f>
        <v>1</v>
      </c>
      <c r="K1810" s="36" t="str">
        <f>IF(MB25_VOLUMETRIA[[#This Row],[Reserva]]="","",IFERROR(VLOOKUP(MB25_VOLUMETRIA[[#This Row],[UMB]],CHAVE[],2,FALSE),"VERIFICAR"))</f>
        <v>Unidade</v>
      </c>
      <c r="L18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0" s="32" t="str">
        <f ca="1">IFERROR(VLOOKUP(MB25_VOLUMETRIA[[#This Row],[Reserva]],RES_AB[],14,FALSE),"")</f>
        <v>RESERVAS PENDENTES</v>
      </c>
      <c r="N1810" s="32" t="str">
        <f>IF(MB25_VOLUMETRIA[[#This Row],[Cen.]]="","",IFERROR(VLOOKUP(MB25_VOLUMETRIA[[#This Row],[Cen.]],Dados_Empresas[],2,FALSE),"Verificar empresa"))</f>
        <v>NET MASSIVO</v>
      </c>
      <c r="O1810" s="32" t="str">
        <f>IF(MB25_VOLUMETRIA[[#This Row],[EMPRESA]]="","",IF(OR(MB25_VOLUMETRIA[[#This Row],[EMPRESA]]="NET MASSIVO",MB25_VOLUMETRIA[[#This Row],[EMPRESA]]="NET PROJETOS"),"NET","EMPRESARIAL"))</f>
        <v>NET</v>
      </c>
    </row>
    <row r="1811" spans="1:15" x14ac:dyDescent="0.25">
      <c r="A1811" s="32">
        <v>4383976</v>
      </c>
      <c r="B1811" s="32" t="s">
        <v>21</v>
      </c>
      <c r="C1811" s="33" t="s">
        <v>19</v>
      </c>
      <c r="D1811" s="35">
        <v>45449</v>
      </c>
      <c r="E1811" s="32" t="s">
        <v>184</v>
      </c>
      <c r="F1811" s="32">
        <v>41001234</v>
      </c>
      <c r="G1811" s="32" t="s">
        <v>189</v>
      </c>
      <c r="H1811" s="26" t="s">
        <v>38</v>
      </c>
      <c r="I1811" s="36">
        <v>40</v>
      </c>
      <c r="J1811" s="32">
        <f>IF(MB25_VOLUMETRIA[[#This Row],[Reserva]]="","",1)</f>
        <v>1</v>
      </c>
      <c r="K1811" s="36" t="str">
        <f>IF(MB25_VOLUMETRIA[[#This Row],[Reserva]]="","",IFERROR(VLOOKUP(MB25_VOLUMETRIA[[#This Row],[UMB]],CHAVE[],2,FALSE),"VERIFICAR"))</f>
        <v>Unidade</v>
      </c>
      <c r="L18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1" s="32" t="str">
        <f ca="1">IFERROR(VLOOKUP(MB25_VOLUMETRIA[[#This Row],[Reserva]],RES_AB[],14,FALSE),"")</f>
        <v>RESERVAS PENDENTES</v>
      </c>
      <c r="N1811" s="32" t="str">
        <f>IF(MB25_VOLUMETRIA[[#This Row],[Cen.]]="","",IFERROR(VLOOKUP(MB25_VOLUMETRIA[[#This Row],[Cen.]],Dados_Empresas[],2,FALSE),"Verificar empresa"))</f>
        <v>NET MASSIVO</v>
      </c>
      <c r="O1811" s="32" t="str">
        <f>IF(MB25_VOLUMETRIA[[#This Row],[EMPRESA]]="","",IF(OR(MB25_VOLUMETRIA[[#This Row],[EMPRESA]]="NET MASSIVO",MB25_VOLUMETRIA[[#This Row],[EMPRESA]]="NET PROJETOS"),"NET","EMPRESARIAL"))</f>
        <v>NET</v>
      </c>
    </row>
    <row r="1812" spans="1:15" x14ac:dyDescent="0.25">
      <c r="A1812" s="32">
        <v>4383976</v>
      </c>
      <c r="B1812" s="32" t="s">
        <v>21</v>
      </c>
      <c r="C1812" s="33" t="s">
        <v>19</v>
      </c>
      <c r="D1812" s="35">
        <v>45449</v>
      </c>
      <c r="E1812" s="32" t="s">
        <v>184</v>
      </c>
      <c r="F1812" s="32">
        <v>41001277</v>
      </c>
      <c r="G1812" s="32" t="s">
        <v>466</v>
      </c>
      <c r="H1812" s="26" t="s">
        <v>38</v>
      </c>
      <c r="I1812" s="36">
        <v>40</v>
      </c>
      <c r="J1812" s="32">
        <f>IF(MB25_VOLUMETRIA[[#This Row],[Reserva]]="","",1)</f>
        <v>1</v>
      </c>
      <c r="K1812" s="36" t="str">
        <f>IF(MB25_VOLUMETRIA[[#This Row],[Reserva]]="","",IFERROR(VLOOKUP(MB25_VOLUMETRIA[[#This Row],[UMB]],CHAVE[],2,FALSE),"VERIFICAR"))</f>
        <v>Unidade</v>
      </c>
      <c r="L18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2" s="32" t="str">
        <f ca="1">IFERROR(VLOOKUP(MB25_VOLUMETRIA[[#This Row],[Reserva]],RES_AB[],14,FALSE),"")</f>
        <v>RESERVAS PENDENTES</v>
      </c>
      <c r="N1812" s="32" t="str">
        <f>IF(MB25_VOLUMETRIA[[#This Row],[Cen.]]="","",IFERROR(VLOOKUP(MB25_VOLUMETRIA[[#This Row],[Cen.]],Dados_Empresas[],2,FALSE),"Verificar empresa"))</f>
        <v>NET MASSIVO</v>
      </c>
      <c r="O1812" s="32" t="str">
        <f>IF(MB25_VOLUMETRIA[[#This Row],[EMPRESA]]="","",IF(OR(MB25_VOLUMETRIA[[#This Row],[EMPRESA]]="NET MASSIVO",MB25_VOLUMETRIA[[#This Row],[EMPRESA]]="NET PROJETOS"),"NET","EMPRESARIAL"))</f>
        <v>NET</v>
      </c>
    </row>
    <row r="1813" spans="1:15" x14ac:dyDescent="0.25">
      <c r="A1813" s="32">
        <v>4383976</v>
      </c>
      <c r="B1813" s="32" t="s">
        <v>21</v>
      </c>
      <c r="C1813" s="33" t="s">
        <v>19</v>
      </c>
      <c r="D1813" s="35">
        <v>45449</v>
      </c>
      <c r="E1813" s="32" t="s">
        <v>184</v>
      </c>
      <c r="F1813" s="32">
        <v>41001481</v>
      </c>
      <c r="G1813" s="32" t="s">
        <v>403</v>
      </c>
      <c r="H1813" s="26" t="s">
        <v>38</v>
      </c>
      <c r="I1813" s="36">
        <v>150</v>
      </c>
      <c r="J1813" s="32">
        <f>IF(MB25_VOLUMETRIA[[#This Row],[Reserva]]="","",1)</f>
        <v>1</v>
      </c>
      <c r="K1813" s="36" t="str">
        <f>IF(MB25_VOLUMETRIA[[#This Row],[Reserva]]="","",IFERROR(VLOOKUP(MB25_VOLUMETRIA[[#This Row],[UMB]],CHAVE[],2,FALSE),"VERIFICAR"))</f>
        <v>Unidade</v>
      </c>
      <c r="L18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3" s="32" t="str">
        <f ca="1">IFERROR(VLOOKUP(MB25_VOLUMETRIA[[#This Row],[Reserva]],RES_AB[],14,FALSE),"")</f>
        <v>RESERVAS PENDENTES</v>
      </c>
      <c r="N1813" s="32" t="str">
        <f>IF(MB25_VOLUMETRIA[[#This Row],[Cen.]]="","",IFERROR(VLOOKUP(MB25_VOLUMETRIA[[#This Row],[Cen.]],Dados_Empresas[],2,FALSE),"Verificar empresa"))</f>
        <v>NET MASSIVO</v>
      </c>
      <c r="O1813" s="32" t="str">
        <f>IF(MB25_VOLUMETRIA[[#This Row],[EMPRESA]]="","",IF(OR(MB25_VOLUMETRIA[[#This Row],[EMPRESA]]="NET MASSIVO",MB25_VOLUMETRIA[[#This Row],[EMPRESA]]="NET PROJETOS"),"NET","EMPRESARIAL"))</f>
        <v>NET</v>
      </c>
    </row>
    <row r="1814" spans="1:15" x14ac:dyDescent="0.25">
      <c r="A1814" s="32">
        <v>4383976</v>
      </c>
      <c r="B1814" s="32" t="s">
        <v>21</v>
      </c>
      <c r="C1814" s="33" t="s">
        <v>19</v>
      </c>
      <c r="D1814" s="35">
        <v>45449</v>
      </c>
      <c r="E1814" s="32" t="s">
        <v>184</v>
      </c>
      <c r="F1814" s="32">
        <v>41001484</v>
      </c>
      <c r="G1814" s="32" t="s">
        <v>292</v>
      </c>
      <c r="H1814" s="26" t="s">
        <v>38</v>
      </c>
      <c r="I1814" s="36">
        <v>20</v>
      </c>
      <c r="J1814" s="32">
        <f>IF(MB25_VOLUMETRIA[[#This Row],[Reserva]]="","",1)</f>
        <v>1</v>
      </c>
      <c r="K1814" s="36" t="str">
        <f>IF(MB25_VOLUMETRIA[[#This Row],[Reserva]]="","",IFERROR(VLOOKUP(MB25_VOLUMETRIA[[#This Row],[UMB]],CHAVE[],2,FALSE),"VERIFICAR"))</f>
        <v>Unidade</v>
      </c>
      <c r="L18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4" s="32" t="str">
        <f ca="1">IFERROR(VLOOKUP(MB25_VOLUMETRIA[[#This Row],[Reserva]],RES_AB[],14,FALSE),"")</f>
        <v>RESERVAS PENDENTES</v>
      </c>
      <c r="N1814" s="32" t="str">
        <f>IF(MB25_VOLUMETRIA[[#This Row],[Cen.]]="","",IFERROR(VLOOKUP(MB25_VOLUMETRIA[[#This Row],[Cen.]],Dados_Empresas[],2,FALSE),"Verificar empresa"))</f>
        <v>NET MASSIVO</v>
      </c>
      <c r="O1814" s="32" t="str">
        <f>IF(MB25_VOLUMETRIA[[#This Row],[EMPRESA]]="","",IF(OR(MB25_VOLUMETRIA[[#This Row],[EMPRESA]]="NET MASSIVO",MB25_VOLUMETRIA[[#This Row],[EMPRESA]]="NET PROJETOS"),"NET","EMPRESARIAL"))</f>
        <v>NET</v>
      </c>
    </row>
    <row r="1815" spans="1:15" x14ac:dyDescent="0.25">
      <c r="A1815" s="32">
        <v>4383976</v>
      </c>
      <c r="B1815" s="32" t="s">
        <v>21</v>
      </c>
      <c r="C1815" s="33" t="s">
        <v>21</v>
      </c>
      <c r="D1815" s="35">
        <v>45449</v>
      </c>
      <c r="E1815" s="32" t="s">
        <v>184</v>
      </c>
      <c r="F1815" s="32">
        <v>41001535</v>
      </c>
      <c r="G1815" s="32" t="s">
        <v>191</v>
      </c>
      <c r="H1815" s="26" t="s">
        <v>38</v>
      </c>
      <c r="I1815" s="36">
        <v>60</v>
      </c>
      <c r="J1815" s="32">
        <f>IF(MB25_VOLUMETRIA[[#This Row],[Reserva]]="","",1)</f>
        <v>1</v>
      </c>
      <c r="K1815" s="36" t="str">
        <f>IF(MB25_VOLUMETRIA[[#This Row],[Reserva]]="","",IFERROR(VLOOKUP(MB25_VOLUMETRIA[[#This Row],[UMB]],CHAVE[],2,FALSE),"VERIFICAR"))</f>
        <v>Unidade</v>
      </c>
      <c r="L18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5" s="32" t="str">
        <f ca="1">IFERROR(VLOOKUP(MB25_VOLUMETRIA[[#This Row],[Reserva]],RES_AB[],14,FALSE),"")</f>
        <v>RESERVAS PENDENTES</v>
      </c>
      <c r="N1815" s="32" t="str">
        <f>IF(MB25_VOLUMETRIA[[#This Row],[Cen.]]="","",IFERROR(VLOOKUP(MB25_VOLUMETRIA[[#This Row],[Cen.]],Dados_Empresas[],2,FALSE),"Verificar empresa"))</f>
        <v>NET MASSIVO</v>
      </c>
      <c r="O1815" s="32" t="str">
        <f>IF(MB25_VOLUMETRIA[[#This Row],[EMPRESA]]="","",IF(OR(MB25_VOLUMETRIA[[#This Row],[EMPRESA]]="NET MASSIVO",MB25_VOLUMETRIA[[#This Row],[EMPRESA]]="NET PROJETOS"),"NET","EMPRESARIAL"))</f>
        <v>NET</v>
      </c>
    </row>
    <row r="1816" spans="1:15" x14ac:dyDescent="0.25">
      <c r="A1816" s="32">
        <v>4383976</v>
      </c>
      <c r="B1816" s="32" t="s">
        <v>21</v>
      </c>
      <c r="C1816" s="33" t="s">
        <v>21</v>
      </c>
      <c r="D1816" s="35">
        <v>45449</v>
      </c>
      <c r="E1816" s="32" t="s">
        <v>184</v>
      </c>
      <c r="F1816" s="32">
        <v>41001573</v>
      </c>
      <c r="G1816" s="32" t="s">
        <v>259</v>
      </c>
      <c r="H1816" s="26" t="s">
        <v>38</v>
      </c>
      <c r="I1816" s="36">
        <v>20</v>
      </c>
      <c r="J1816" s="32">
        <f>IF(MB25_VOLUMETRIA[[#This Row],[Reserva]]="","",1)</f>
        <v>1</v>
      </c>
      <c r="K1816" s="36" t="str">
        <f>IF(MB25_VOLUMETRIA[[#This Row],[Reserva]]="","",IFERROR(VLOOKUP(MB25_VOLUMETRIA[[#This Row],[UMB]],CHAVE[],2,FALSE),"VERIFICAR"))</f>
        <v>Unidade</v>
      </c>
      <c r="L18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6" s="32" t="str">
        <f ca="1">IFERROR(VLOOKUP(MB25_VOLUMETRIA[[#This Row],[Reserva]],RES_AB[],14,FALSE),"")</f>
        <v>RESERVAS PENDENTES</v>
      </c>
      <c r="N1816" s="32" t="str">
        <f>IF(MB25_VOLUMETRIA[[#This Row],[Cen.]]="","",IFERROR(VLOOKUP(MB25_VOLUMETRIA[[#This Row],[Cen.]],Dados_Empresas[],2,FALSE),"Verificar empresa"))</f>
        <v>NET MASSIVO</v>
      </c>
      <c r="O1816" s="32" t="str">
        <f>IF(MB25_VOLUMETRIA[[#This Row],[EMPRESA]]="","",IF(OR(MB25_VOLUMETRIA[[#This Row],[EMPRESA]]="NET MASSIVO",MB25_VOLUMETRIA[[#This Row],[EMPRESA]]="NET PROJETOS"),"NET","EMPRESARIAL"))</f>
        <v>NET</v>
      </c>
    </row>
    <row r="1817" spans="1:15" x14ac:dyDescent="0.25">
      <c r="A1817" s="32">
        <v>4383977</v>
      </c>
      <c r="B1817" s="32" t="s">
        <v>21</v>
      </c>
      <c r="C1817" s="33" t="s">
        <v>19</v>
      </c>
      <c r="D1817" s="35">
        <v>45449</v>
      </c>
      <c r="E1817" s="32" t="s">
        <v>185</v>
      </c>
      <c r="F1817" s="32">
        <v>22026103</v>
      </c>
      <c r="G1817" s="32" t="s">
        <v>322</v>
      </c>
      <c r="H1817" s="26" t="s">
        <v>38</v>
      </c>
      <c r="I1817" s="36">
        <v>30</v>
      </c>
      <c r="J1817" s="32">
        <f>IF(MB25_VOLUMETRIA[[#This Row],[Reserva]]="","",1)</f>
        <v>1</v>
      </c>
      <c r="K1817" s="36" t="str">
        <f>IF(MB25_VOLUMETRIA[[#This Row],[Reserva]]="","",IFERROR(VLOOKUP(MB25_VOLUMETRIA[[#This Row],[UMB]],CHAVE[],2,FALSE),"VERIFICAR"))</f>
        <v>Unidade</v>
      </c>
      <c r="L18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7" s="32" t="str">
        <f ca="1">IFERROR(VLOOKUP(MB25_VOLUMETRIA[[#This Row],[Reserva]],RES_AB[],14,FALSE),"")</f>
        <v>RESERVAS PENDENTES</v>
      </c>
      <c r="N1817" s="32" t="str">
        <f>IF(MB25_VOLUMETRIA[[#This Row],[Cen.]]="","",IFERROR(VLOOKUP(MB25_VOLUMETRIA[[#This Row],[Cen.]],Dados_Empresas[],2,FALSE),"Verificar empresa"))</f>
        <v>NET MASSIVO</v>
      </c>
      <c r="O1817" s="32" t="str">
        <f>IF(MB25_VOLUMETRIA[[#This Row],[EMPRESA]]="","",IF(OR(MB25_VOLUMETRIA[[#This Row],[EMPRESA]]="NET MASSIVO",MB25_VOLUMETRIA[[#This Row],[EMPRESA]]="NET PROJETOS"),"NET","EMPRESARIAL"))</f>
        <v>NET</v>
      </c>
    </row>
    <row r="1818" spans="1:15" x14ac:dyDescent="0.25">
      <c r="A1818" s="32">
        <v>4383977</v>
      </c>
      <c r="B1818" s="32" t="s">
        <v>21</v>
      </c>
      <c r="C1818" s="33" t="s">
        <v>19</v>
      </c>
      <c r="D1818" s="35">
        <v>45449</v>
      </c>
      <c r="E1818" s="32" t="s">
        <v>185</v>
      </c>
      <c r="F1818" s="32">
        <v>22026279</v>
      </c>
      <c r="G1818" s="32" t="s">
        <v>350</v>
      </c>
      <c r="H1818" s="26" t="s">
        <v>38</v>
      </c>
      <c r="I1818" s="36">
        <v>20</v>
      </c>
      <c r="J1818" s="32">
        <f>IF(MB25_VOLUMETRIA[[#This Row],[Reserva]]="","",1)</f>
        <v>1</v>
      </c>
      <c r="K1818" s="36" t="str">
        <f>IF(MB25_VOLUMETRIA[[#This Row],[Reserva]]="","",IFERROR(VLOOKUP(MB25_VOLUMETRIA[[#This Row],[UMB]],CHAVE[],2,FALSE),"VERIFICAR"))</f>
        <v>Unidade</v>
      </c>
      <c r="L18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8" s="32" t="str">
        <f ca="1">IFERROR(VLOOKUP(MB25_VOLUMETRIA[[#This Row],[Reserva]],RES_AB[],14,FALSE),"")</f>
        <v>RESERVAS PENDENTES</v>
      </c>
      <c r="N1818" s="32" t="str">
        <f>IF(MB25_VOLUMETRIA[[#This Row],[Cen.]]="","",IFERROR(VLOOKUP(MB25_VOLUMETRIA[[#This Row],[Cen.]],Dados_Empresas[],2,FALSE),"Verificar empresa"))</f>
        <v>NET MASSIVO</v>
      </c>
      <c r="O1818" s="32" t="str">
        <f>IF(MB25_VOLUMETRIA[[#This Row],[EMPRESA]]="","",IF(OR(MB25_VOLUMETRIA[[#This Row],[EMPRESA]]="NET MASSIVO",MB25_VOLUMETRIA[[#This Row],[EMPRESA]]="NET PROJETOS"),"NET","EMPRESARIAL"))</f>
        <v>NET</v>
      </c>
    </row>
    <row r="1819" spans="1:15" x14ac:dyDescent="0.25">
      <c r="A1819" s="32">
        <v>4383977</v>
      </c>
      <c r="B1819" s="32" t="s">
        <v>21</v>
      </c>
      <c r="C1819" s="33" t="s">
        <v>19</v>
      </c>
      <c r="D1819" s="35">
        <v>45449</v>
      </c>
      <c r="E1819" s="32" t="s">
        <v>185</v>
      </c>
      <c r="F1819" s="32">
        <v>22058639</v>
      </c>
      <c r="G1819" s="32" t="s">
        <v>290</v>
      </c>
      <c r="H1819" s="26" t="s">
        <v>38</v>
      </c>
      <c r="I1819" s="36">
        <v>30</v>
      </c>
      <c r="J1819" s="32">
        <f>IF(MB25_VOLUMETRIA[[#This Row],[Reserva]]="","",1)</f>
        <v>1</v>
      </c>
      <c r="K1819" s="36" t="str">
        <f>IF(MB25_VOLUMETRIA[[#This Row],[Reserva]]="","",IFERROR(VLOOKUP(MB25_VOLUMETRIA[[#This Row],[UMB]],CHAVE[],2,FALSE),"VERIFICAR"))</f>
        <v>Unidade</v>
      </c>
      <c r="L18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19" s="32" t="str">
        <f ca="1">IFERROR(VLOOKUP(MB25_VOLUMETRIA[[#This Row],[Reserva]],RES_AB[],14,FALSE),"")</f>
        <v>RESERVAS PENDENTES</v>
      </c>
      <c r="N1819" s="32" t="str">
        <f>IF(MB25_VOLUMETRIA[[#This Row],[Cen.]]="","",IFERROR(VLOOKUP(MB25_VOLUMETRIA[[#This Row],[Cen.]],Dados_Empresas[],2,FALSE),"Verificar empresa"))</f>
        <v>NET MASSIVO</v>
      </c>
      <c r="O1819" s="32" t="str">
        <f>IF(MB25_VOLUMETRIA[[#This Row],[EMPRESA]]="","",IF(OR(MB25_VOLUMETRIA[[#This Row],[EMPRESA]]="NET MASSIVO",MB25_VOLUMETRIA[[#This Row],[EMPRESA]]="NET PROJETOS"),"NET","EMPRESARIAL"))</f>
        <v>NET</v>
      </c>
    </row>
    <row r="1820" spans="1:15" x14ac:dyDescent="0.25">
      <c r="A1820" s="32">
        <v>4383977</v>
      </c>
      <c r="B1820" s="32" t="s">
        <v>21</v>
      </c>
      <c r="C1820" s="33" t="s">
        <v>21</v>
      </c>
      <c r="D1820" s="35">
        <v>45449</v>
      </c>
      <c r="E1820" s="32" t="s">
        <v>185</v>
      </c>
      <c r="F1820" s="32">
        <v>22063252</v>
      </c>
      <c r="G1820" s="32" t="s">
        <v>323</v>
      </c>
      <c r="H1820" s="26" t="s">
        <v>38</v>
      </c>
      <c r="I1820" s="36">
        <v>30</v>
      </c>
      <c r="J1820" s="32">
        <f>IF(MB25_VOLUMETRIA[[#This Row],[Reserva]]="","",1)</f>
        <v>1</v>
      </c>
      <c r="K1820" s="36" t="str">
        <f>IF(MB25_VOLUMETRIA[[#This Row],[Reserva]]="","",IFERROR(VLOOKUP(MB25_VOLUMETRIA[[#This Row],[UMB]],CHAVE[],2,FALSE),"VERIFICAR"))</f>
        <v>Unidade</v>
      </c>
      <c r="L18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0" s="32" t="str">
        <f ca="1">IFERROR(VLOOKUP(MB25_VOLUMETRIA[[#This Row],[Reserva]],RES_AB[],14,FALSE),"")</f>
        <v>RESERVAS PENDENTES</v>
      </c>
      <c r="N1820" s="32" t="str">
        <f>IF(MB25_VOLUMETRIA[[#This Row],[Cen.]]="","",IFERROR(VLOOKUP(MB25_VOLUMETRIA[[#This Row],[Cen.]],Dados_Empresas[],2,FALSE),"Verificar empresa"))</f>
        <v>NET MASSIVO</v>
      </c>
      <c r="O1820" s="32" t="str">
        <f>IF(MB25_VOLUMETRIA[[#This Row],[EMPRESA]]="","",IF(OR(MB25_VOLUMETRIA[[#This Row],[EMPRESA]]="NET MASSIVO",MB25_VOLUMETRIA[[#This Row],[EMPRESA]]="NET PROJETOS"),"NET","EMPRESARIAL"))</f>
        <v>NET</v>
      </c>
    </row>
    <row r="1821" spans="1:15" x14ac:dyDescent="0.25">
      <c r="A1821" s="32">
        <v>4383977</v>
      </c>
      <c r="B1821" s="32" t="s">
        <v>21</v>
      </c>
      <c r="C1821" s="33" t="s">
        <v>21</v>
      </c>
      <c r="D1821" s="35">
        <v>45449</v>
      </c>
      <c r="E1821" s="32" t="s">
        <v>185</v>
      </c>
      <c r="F1821" s="32">
        <v>22065064</v>
      </c>
      <c r="G1821" s="32" t="s">
        <v>471</v>
      </c>
      <c r="H1821" s="26" t="s">
        <v>38</v>
      </c>
      <c r="I1821" s="36">
        <v>40</v>
      </c>
      <c r="J1821" s="32">
        <f>IF(MB25_VOLUMETRIA[[#This Row],[Reserva]]="","",1)</f>
        <v>1</v>
      </c>
      <c r="K1821" s="36" t="str">
        <f>IF(MB25_VOLUMETRIA[[#This Row],[Reserva]]="","",IFERROR(VLOOKUP(MB25_VOLUMETRIA[[#This Row],[UMB]],CHAVE[],2,FALSE),"VERIFICAR"))</f>
        <v>Unidade</v>
      </c>
      <c r="L18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1" s="32" t="str">
        <f ca="1">IFERROR(VLOOKUP(MB25_VOLUMETRIA[[#This Row],[Reserva]],RES_AB[],14,FALSE),"")</f>
        <v>RESERVAS PENDENTES</v>
      </c>
      <c r="N1821" s="32" t="str">
        <f>IF(MB25_VOLUMETRIA[[#This Row],[Cen.]]="","",IFERROR(VLOOKUP(MB25_VOLUMETRIA[[#This Row],[Cen.]],Dados_Empresas[],2,FALSE),"Verificar empresa"))</f>
        <v>NET MASSIVO</v>
      </c>
      <c r="O1821" s="32" t="str">
        <f>IF(MB25_VOLUMETRIA[[#This Row],[EMPRESA]]="","",IF(OR(MB25_VOLUMETRIA[[#This Row],[EMPRESA]]="NET MASSIVO",MB25_VOLUMETRIA[[#This Row],[EMPRESA]]="NET PROJETOS"),"NET","EMPRESARIAL"))</f>
        <v>NET</v>
      </c>
    </row>
    <row r="1822" spans="1:15" x14ac:dyDescent="0.25">
      <c r="A1822" s="32">
        <v>4383978</v>
      </c>
      <c r="B1822" s="32" t="s">
        <v>21</v>
      </c>
      <c r="C1822" s="33" t="s">
        <v>19</v>
      </c>
      <c r="D1822" s="35">
        <v>45449</v>
      </c>
      <c r="E1822" s="32" t="s">
        <v>184</v>
      </c>
      <c r="F1822" s="32">
        <v>41000805</v>
      </c>
      <c r="G1822" s="32" t="s">
        <v>188</v>
      </c>
      <c r="H1822" s="26" t="s">
        <v>38</v>
      </c>
      <c r="I1822" s="36">
        <v>30</v>
      </c>
      <c r="J1822" s="32">
        <f>IF(MB25_VOLUMETRIA[[#This Row],[Reserva]]="","",1)</f>
        <v>1</v>
      </c>
      <c r="K1822" s="36" t="str">
        <f>IF(MB25_VOLUMETRIA[[#This Row],[Reserva]]="","",IFERROR(VLOOKUP(MB25_VOLUMETRIA[[#This Row],[UMB]],CHAVE[],2,FALSE),"VERIFICAR"))</f>
        <v>Unidade</v>
      </c>
      <c r="L18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2" s="32" t="str">
        <f ca="1">IFERROR(VLOOKUP(MB25_VOLUMETRIA[[#This Row],[Reserva]],RES_AB[],14,FALSE),"")</f>
        <v>RESERVAS PENDENTES</v>
      </c>
      <c r="N1822" s="32" t="str">
        <f>IF(MB25_VOLUMETRIA[[#This Row],[Cen.]]="","",IFERROR(VLOOKUP(MB25_VOLUMETRIA[[#This Row],[Cen.]],Dados_Empresas[],2,FALSE),"Verificar empresa"))</f>
        <v>NET MASSIVO</v>
      </c>
      <c r="O1822" s="32" t="str">
        <f>IF(MB25_VOLUMETRIA[[#This Row],[EMPRESA]]="","",IF(OR(MB25_VOLUMETRIA[[#This Row],[EMPRESA]]="NET MASSIVO",MB25_VOLUMETRIA[[#This Row],[EMPRESA]]="NET PROJETOS"),"NET","EMPRESARIAL"))</f>
        <v>NET</v>
      </c>
    </row>
    <row r="1823" spans="1:15" x14ac:dyDescent="0.25">
      <c r="A1823" s="32">
        <v>4383978</v>
      </c>
      <c r="B1823" s="32" t="s">
        <v>21</v>
      </c>
      <c r="C1823" s="33" t="s">
        <v>19</v>
      </c>
      <c r="D1823" s="35">
        <v>45449</v>
      </c>
      <c r="E1823" s="32" t="s">
        <v>184</v>
      </c>
      <c r="F1823" s="32">
        <v>41001293</v>
      </c>
      <c r="G1823" s="32" t="s">
        <v>468</v>
      </c>
      <c r="H1823" s="26" t="s">
        <v>38</v>
      </c>
      <c r="I1823" s="36">
        <v>20</v>
      </c>
      <c r="J1823" s="32">
        <f>IF(MB25_VOLUMETRIA[[#This Row],[Reserva]]="","",1)</f>
        <v>1</v>
      </c>
      <c r="K1823" s="36" t="str">
        <f>IF(MB25_VOLUMETRIA[[#This Row],[Reserva]]="","",IFERROR(VLOOKUP(MB25_VOLUMETRIA[[#This Row],[UMB]],CHAVE[],2,FALSE),"VERIFICAR"))</f>
        <v>Unidade</v>
      </c>
      <c r="L18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3" s="32" t="str">
        <f ca="1">IFERROR(VLOOKUP(MB25_VOLUMETRIA[[#This Row],[Reserva]],RES_AB[],14,FALSE),"")</f>
        <v>RESERVAS PENDENTES</v>
      </c>
      <c r="N1823" s="32" t="str">
        <f>IF(MB25_VOLUMETRIA[[#This Row],[Cen.]]="","",IFERROR(VLOOKUP(MB25_VOLUMETRIA[[#This Row],[Cen.]],Dados_Empresas[],2,FALSE),"Verificar empresa"))</f>
        <v>NET MASSIVO</v>
      </c>
      <c r="O1823" s="32" t="str">
        <f>IF(MB25_VOLUMETRIA[[#This Row],[EMPRESA]]="","",IF(OR(MB25_VOLUMETRIA[[#This Row],[EMPRESA]]="NET MASSIVO",MB25_VOLUMETRIA[[#This Row],[EMPRESA]]="NET PROJETOS"),"NET","EMPRESARIAL"))</f>
        <v>NET</v>
      </c>
    </row>
    <row r="1824" spans="1:15" x14ac:dyDescent="0.25">
      <c r="A1824" s="32">
        <v>4383978</v>
      </c>
      <c r="B1824" s="32" t="s">
        <v>21</v>
      </c>
      <c r="C1824" s="33" t="s">
        <v>19</v>
      </c>
      <c r="D1824" s="35">
        <v>45449</v>
      </c>
      <c r="E1824" s="32" t="s">
        <v>184</v>
      </c>
      <c r="F1824" s="32">
        <v>41001484</v>
      </c>
      <c r="G1824" s="32" t="s">
        <v>292</v>
      </c>
      <c r="H1824" s="26" t="s">
        <v>38</v>
      </c>
      <c r="I1824" s="36">
        <v>30</v>
      </c>
      <c r="J1824" s="32">
        <f>IF(MB25_VOLUMETRIA[[#This Row],[Reserva]]="","",1)</f>
        <v>1</v>
      </c>
      <c r="K1824" s="36" t="str">
        <f>IF(MB25_VOLUMETRIA[[#This Row],[Reserva]]="","",IFERROR(VLOOKUP(MB25_VOLUMETRIA[[#This Row],[UMB]],CHAVE[],2,FALSE),"VERIFICAR"))</f>
        <v>Unidade</v>
      </c>
      <c r="L18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4" s="32" t="str">
        <f ca="1">IFERROR(VLOOKUP(MB25_VOLUMETRIA[[#This Row],[Reserva]],RES_AB[],14,FALSE),"")</f>
        <v>RESERVAS PENDENTES</v>
      </c>
      <c r="N1824" s="32" t="str">
        <f>IF(MB25_VOLUMETRIA[[#This Row],[Cen.]]="","",IFERROR(VLOOKUP(MB25_VOLUMETRIA[[#This Row],[Cen.]],Dados_Empresas[],2,FALSE),"Verificar empresa"))</f>
        <v>NET MASSIVO</v>
      </c>
      <c r="O1824" s="32" t="str">
        <f>IF(MB25_VOLUMETRIA[[#This Row],[EMPRESA]]="","",IF(OR(MB25_VOLUMETRIA[[#This Row],[EMPRESA]]="NET MASSIVO",MB25_VOLUMETRIA[[#This Row],[EMPRESA]]="NET PROJETOS"),"NET","EMPRESARIAL"))</f>
        <v>NET</v>
      </c>
    </row>
    <row r="1825" spans="1:15" x14ac:dyDescent="0.25">
      <c r="A1825" s="32">
        <v>4383978</v>
      </c>
      <c r="B1825" s="32" t="s">
        <v>21</v>
      </c>
      <c r="C1825" s="33" t="s">
        <v>19</v>
      </c>
      <c r="D1825" s="35">
        <v>45449</v>
      </c>
      <c r="E1825" s="32" t="s">
        <v>184</v>
      </c>
      <c r="F1825" s="32">
        <v>41001520</v>
      </c>
      <c r="G1825" s="32" t="s">
        <v>297</v>
      </c>
      <c r="H1825" s="26" t="s">
        <v>38</v>
      </c>
      <c r="I1825" s="36">
        <v>40</v>
      </c>
      <c r="J1825" s="32">
        <f>IF(MB25_VOLUMETRIA[[#This Row],[Reserva]]="","",1)</f>
        <v>1</v>
      </c>
      <c r="K1825" s="36" t="str">
        <f>IF(MB25_VOLUMETRIA[[#This Row],[Reserva]]="","",IFERROR(VLOOKUP(MB25_VOLUMETRIA[[#This Row],[UMB]],CHAVE[],2,FALSE),"VERIFICAR"))</f>
        <v>Unidade</v>
      </c>
      <c r="L18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5" s="32" t="str">
        <f ca="1">IFERROR(VLOOKUP(MB25_VOLUMETRIA[[#This Row],[Reserva]],RES_AB[],14,FALSE),"")</f>
        <v>RESERVAS PENDENTES</v>
      </c>
      <c r="N1825" s="32" t="str">
        <f>IF(MB25_VOLUMETRIA[[#This Row],[Cen.]]="","",IFERROR(VLOOKUP(MB25_VOLUMETRIA[[#This Row],[Cen.]],Dados_Empresas[],2,FALSE),"Verificar empresa"))</f>
        <v>NET MASSIVO</v>
      </c>
      <c r="O1825" s="32" t="str">
        <f>IF(MB25_VOLUMETRIA[[#This Row],[EMPRESA]]="","",IF(OR(MB25_VOLUMETRIA[[#This Row],[EMPRESA]]="NET MASSIVO",MB25_VOLUMETRIA[[#This Row],[EMPRESA]]="NET PROJETOS"),"NET","EMPRESARIAL"))</f>
        <v>NET</v>
      </c>
    </row>
    <row r="1826" spans="1:15" x14ac:dyDescent="0.25">
      <c r="A1826" s="32">
        <v>4383978</v>
      </c>
      <c r="B1826" s="32" t="s">
        <v>21</v>
      </c>
      <c r="C1826" s="33" t="s">
        <v>21</v>
      </c>
      <c r="D1826" s="35">
        <v>45449</v>
      </c>
      <c r="E1826" s="32" t="s">
        <v>184</v>
      </c>
      <c r="F1826" s="32">
        <v>41001535</v>
      </c>
      <c r="G1826" s="32" t="s">
        <v>191</v>
      </c>
      <c r="H1826" s="26" t="s">
        <v>38</v>
      </c>
      <c r="I1826" s="36">
        <v>20</v>
      </c>
      <c r="J1826" s="32">
        <f>IF(MB25_VOLUMETRIA[[#This Row],[Reserva]]="","",1)</f>
        <v>1</v>
      </c>
      <c r="K1826" s="36" t="str">
        <f>IF(MB25_VOLUMETRIA[[#This Row],[Reserva]]="","",IFERROR(VLOOKUP(MB25_VOLUMETRIA[[#This Row],[UMB]],CHAVE[],2,FALSE),"VERIFICAR"))</f>
        <v>Unidade</v>
      </c>
      <c r="L18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6" s="32" t="str">
        <f ca="1">IFERROR(VLOOKUP(MB25_VOLUMETRIA[[#This Row],[Reserva]],RES_AB[],14,FALSE),"")</f>
        <v>RESERVAS PENDENTES</v>
      </c>
      <c r="N1826" s="32" t="str">
        <f>IF(MB25_VOLUMETRIA[[#This Row],[Cen.]]="","",IFERROR(VLOOKUP(MB25_VOLUMETRIA[[#This Row],[Cen.]],Dados_Empresas[],2,FALSE),"Verificar empresa"))</f>
        <v>NET MASSIVO</v>
      </c>
      <c r="O1826" s="32" t="str">
        <f>IF(MB25_VOLUMETRIA[[#This Row],[EMPRESA]]="","",IF(OR(MB25_VOLUMETRIA[[#This Row],[EMPRESA]]="NET MASSIVO",MB25_VOLUMETRIA[[#This Row],[EMPRESA]]="NET PROJETOS"),"NET","EMPRESARIAL"))</f>
        <v>NET</v>
      </c>
    </row>
    <row r="1827" spans="1:15" x14ac:dyDescent="0.25">
      <c r="A1827" s="32">
        <v>4383979</v>
      </c>
      <c r="B1827" s="32" t="s">
        <v>21</v>
      </c>
      <c r="C1827" s="33" t="s">
        <v>19</v>
      </c>
      <c r="D1827" s="35">
        <v>45449</v>
      </c>
      <c r="E1827" s="32" t="s">
        <v>185</v>
      </c>
      <c r="F1827" s="32">
        <v>22026293</v>
      </c>
      <c r="G1827" s="32" t="s">
        <v>352</v>
      </c>
      <c r="H1827" s="26" t="s">
        <v>38</v>
      </c>
      <c r="I1827" s="36">
        <v>30</v>
      </c>
      <c r="J1827" s="32">
        <f>IF(MB25_VOLUMETRIA[[#This Row],[Reserva]]="","",1)</f>
        <v>1</v>
      </c>
      <c r="K1827" s="36" t="str">
        <f>IF(MB25_VOLUMETRIA[[#This Row],[Reserva]]="","",IFERROR(VLOOKUP(MB25_VOLUMETRIA[[#This Row],[UMB]],CHAVE[],2,FALSE),"VERIFICAR"))</f>
        <v>Unidade</v>
      </c>
      <c r="L18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7" s="32" t="str">
        <f ca="1">IFERROR(VLOOKUP(MB25_VOLUMETRIA[[#This Row],[Reserva]],RES_AB[],14,FALSE),"")</f>
        <v>RESERVAS PENDENTES</v>
      </c>
      <c r="N1827" s="32" t="str">
        <f>IF(MB25_VOLUMETRIA[[#This Row],[Cen.]]="","",IFERROR(VLOOKUP(MB25_VOLUMETRIA[[#This Row],[Cen.]],Dados_Empresas[],2,FALSE),"Verificar empresa"))</f>
        <v>NET MASSIVO</v>
      </c>
      <c r="O1827" s="32" t="str">
        <f>IF(MB25_VOLUMETRIA[[#This Row],[EMPRESA]]="","",IF(OR(MB25_VOLUMETRIA[[#This Row],[EMPRESA]]="NET MASSIVO",MB25_VOLUMETRIA[[#This Row],[EMPRESA]]="NET PROJETOS"),"NET","EMPRESARIAL"))</f>
        <v>NET</v>
      </c>
    </row>
    <row r="1828" spans="1:15" x14ac:dyDescent="0.25">
      <c r="A1828" s="32">
        <v>4383979</v>
      </c>
      <c r="B1828" s="32" t="s">
        <v>21</v>
      </c>
      <c r="C1828" s="33" t="s">
        <v>21</v>
      </c>
      <c r="D1828" s="35">
        <v>45449</v>
      </c>
      <c r="E1828" s="32" t="s">
        <v>185</v>
      </c>
      <c r="F1828" s="32">
        <v>22060422</v>
      </c>
      <c r="G1828" s="32" t="s">
        <v>298</v>
      </c>
      <c r="H1828" s="26" t="s">
        <v>38</v>
      </c>
      <c r="I1828" s="36">
        <v>30</v>
      </c>
      <c r="J1828" s="32">
        <f>IF(MB25_VOLUMETRIA[[#This Row],[Reserva]]="","",1)</f>
        <v>1</v>
      </c>
      <c r="K1828" s="36" t="str">
        <f>IF(MB25_VOLUMETRIA[[#This Row],[Reserva]]="","",IFERROR(VLOOKUP(MB25_VOLUMETRIA[[#This Row],[UMB]],CHAVE[],2,FALSE),"VERIFICAR"))</f>
        <v>Unidade</v>
      </c>
      <c r="L18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8" s="32" t="str">
        <f ca="1">IFERROR(VLOOKUP(MB25_VOLUMETRIA[[#This Row],[Reserva]],RES_AB[],14,FALSE),"")</f>
        <v>RESERVAS PENDENTES</v>
      </c>
      <c r="N1828" s="32" t="str">
        <f>IF(MB25_VOLUMETRIA[[#This Row],[Cen.]]="","",IFERROR(VLOOKUP(MB25_VOLUMETRIA[[#This Row],[Cen.]],Dados_Empresas[],2,FALSE),"Verificar empresa"))</f>
        <v>NET MASSIVO</v>
      </c>
      <c r="O1828" s="32" t="str">
        <f>IF(MB25_VOLUMETRIA[[#This Row],[EMPRESA]]="","",IF(OR(MB25_VOLUMETRIA[[#This Row],[EMPRESA]]="NET MASSIVO",MB25_VOLUMETRIA[[#This Row],[EMPRESA]]="NET PROJETOS"),"NET","EMPRESARIAL"))</f>
        <v>NET</v>
      </c>
    </row>
    <row r="1829" spans="1:15" x14ac:dyDescent="0.25">
      <c r="A1829" s="32">
        <v>4383979</v>
      </c>
      <c r="B1829" s="32" t="s">
        <v>21</v>
      </c>
      <c r="C1829" s="33" t="s">
        <v>21</v>
      </c>
      <c r="D1829" s="35">
        <v>45449</v>
      </c>
      <c r="E1829" s="32" t="s">
        <v>185</v>
      </c>
      <c r="F1829" s="32">
        <v>22065064</v>
      </c>
      <c r="G1829" s="32" t="s">
        <v>471</v>
      </c>
      <c r="H1829" s="26" t="s">
        <v>38</v>
      </c>
      <c r="I1829" s="36">
        <v>280</v>
      </c>
      <c r="J1829" s="32">
        <f>IF(MB25_VOLUMETRIA[[#This Row],[Reserva]]="","",1)</f>
        <v>1</v>
      </c>
      <c r="K1829" s="36" t="str">
        <f>IF(MB25_VOLUMETRIA[[#This Row],[Reserva]]="","",IFERROR(VLOOKUP(MB25_VOLUMETRIA[[#This Row],[UMB]],CHAVE[],2,FALSE),"VERIFICAR"))</f>
        <v>Unidade</v>
      </c>
      <c r="L18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29" s="32" t="str">
        <f ca="1">IFERROR(VLOOKUP(MB25_VOLUMETRIA[[#This Row],[Reserva]],RES_AB[],14,FALSE),"")</f>
        <v>RESERVAS PENDENTES</v>
      </c>
      <c r="N1829" s="32" t="str">
        <f>IF(MB25_VOLUMETRIA[[#This Row],[Cen.]]="","",IFERROR(VLOOKUP(MB25_VOLUMETRIA[[#This Row],[Cen.]],Dados_Empresas[],2,FALSE),"Verificar empresa"))</f>
        <v>NET MASSIVO</v>
      </c>
      <c r="O1829" s="32" t="str">
        <f>IF(MB25_VOLUMETRIA[[#This Row],[EMPRESA]]="","",IF(OR(MB25_VOLUMETRIA[[#This Row],[EMPRESA]]="NET MASSIVO",MB25_VOLUMETRIA[[#This Row],[EMPRESA]]="NET PROJETOS"),"NET","EMPRESARIAL"))</f>
        <v>NET</v>
      </c>
    </row>
    <row r="1830" spans="1:15" x14ac:dyDescent="0.25">
      <c r="A1830" s="32">
        <v>4383980</v>
      </c>
      <c r="B1830" s="32" t="s">
        <v>21</v>
      </c>
      <c r="C1830" s="33" t="s">
        <v>19</v>
      </c>
      <c r="D1830" s="35">
        <v>45449</v>
      </c>
      <c r="E1830" s="32" t="s">
        <v>184</v>
      </c>
      <c r="F1830" s="32">
        <v>41001234</v>
      </c>
      <c r="G1830" s="32" t="s">
        <v>189</v>
      </c>
      <c r="H1830" s="26" t="s">
        <v>38</v>
      </c>
      <c r="I1830" s="36">
        <v>30</v>
      </c>
      <c r="J1830" s="32">
        <f>IF(MB25_VOLUMETRIA[[#This Row],[Reserva]]="","",1)</f>
        <v>1</v>
      </c>
      <c r="K1830" s="36" t="str">
        <f>IF(MB25_VOLUMETRIA[[#This Row],[Reserva]]="","",IFERROR(VLOOKUP(MB25_VOLUMETRIA[[#This Row],[UMB]],CHAVE[],2,FALSE),"VERIFICAR"))</f>
        <v>Unidade</v>
      </c>
      <c r="L18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0" s="32" t="str">
        <f ca="1">IFERROR(VLOOKUP(MB25_VOLUMETRIA[[#This Row],[Reserva]],RES_AB[],14,FALSE),"")</f>
        <v>RESERVAS PENDENTES</v>
      </c>
      <c r="N1830" s="32" t="str">
        <f>IF(MB25_VOLUMETRIA[[#This Row],[Cen.]]="","",IFERROR(VLOOKUP(MB25_VOLUMETRIA[[#This Row],[Cen.]],Dados_Empresas[],2,FALSE),"Verificar empresa"))</f>
        <v>NET MASSIVO</v>
      </c>
      <c r="O1830" s="32" t="str">
        <f>IF(MB25_VOLUMETRIA[[#This Row],[EMPRESA]]="","",IF(OR(MB25_VOLUMETRIA[[#This Row],[EMPRESA]]="NET MASSIVO",MB25_VOLUMETRIA[[#This Row],[EMPRESA]]="NET PROJETOS"),"NET","EMPRESARIAL"))</f>
        <v>NET</v>
      </c>
    </row>
    <row r="1831" spans="1:15" x14ac:dyDescent="0.25">
      <c r="A1831" s="32">
        <v>4383980</v>
      </c>
      <c r="B1831" s="32" t="s">
        <v>21</v>
      </c>
      <c r="C1831" s="33" t="s">
        <v>19</v>
      </c>
      <c r="D1831" s="35">
        <v>45449</v>
      </c>
      <c r="E1831" s="32" t="s">
        <v>184</v>
      </c>
      <c r="F1831" s="32">
        <v>41001277</v>
      </c>
      <c r="G1831" s="32" t="s">
        <v>466</v>
      </c>
      <c r="H1831" s="26" t="s">
        <v>38</v>
      </c>
      <c r="I1831" s="36">
        <v>30</v>
      </c>
      <c r="J1831" s="32">
        <f>IF(MB25_VOLUMETRIA[[#This Row],[Reserva]]="","",1)</f>
        <v>1</v>
      </c>
      <c r="K1831" s="36" t="str">
        <f>IF(MB25_VOLUMETRIA[[#This Row],[Reserva]]="","",IFERROR(VLOOKUP(MB25_VOLUMETRIA[[#This Row],[UMB]],CHAVE[],2,FALSE),"VERIFICAR"))</f>
        <v>Unidade</v>
      </c>
      <c r="L18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1" s="32" t="str">
        <f ca="1">IFERROR(VLOOKUP(MB25_VOLUMETRIA[[#This Row],[Reserva]],RES_AB[],14,FALSE),"")</f>
        <v>RESERVAS PENDENTES</v>
      </c>
      <c r="N1831" s="32" t="str">
        <f>IF(MB25_VOLUMETRIA[[#This Row],[Cen.]]="","",IFERROR(VLOOKUP(MB25_VOLUMETRIA[[#This Row],[Cen.]],Dados_Empresas[],2,FALSE),"Verificar empresa"))</f>
        <v>NET MASSIVO</v>
      </c>
      <c r="O1831" s="32" t="str">
        <f>IF(MB25_VOLUMETRIA[[#This Row],[EMPRESA]]="","",IF(OR(MB25_VOLUMETRIA[[#This Row],[EMPRESA]]="NET MASSIVO",MB25_VOLUMETRIA[[#This Row],[EMPRESA]]="NET PROJETOS"),"NET","EMPRESARIAL"))</f>
        <v>NET</v>
      </c>
    </row>
    <row r="1832" spans="1:15" x14ac:dyDescent="0.25">
      <c r="A1832" s="32">
        <v>4383980</v>
      </c>
      <c r="B1832" s="32" t="s">
        <v>21</v>
      </c>
      <c r="C1832" s="33" t="s">
        <v>19</v>
      </c>
      <c r="D1832" s="35">
        <v>45449</v>
      </c>
      <c r="E1832" s="32" t="s">
        <v>184</v>
      </c>
      <c r="F1832" s="32">
        <v>41001520</v>
      </c>
      <c r="G1832" s="32" t="s">
        <v>297</v>
      </c>
      <c r="H1832" s="26" t="s">
        <v>38</v>
      </c>
      <c r="I1832" s="36">
        <v>280</v>
      </c>
      <c r="J1832" s="32">
        <f>IF(MB25_VOLUMETRIA[[#This Row],[Reserva]]="","",1)</f>
        <v>1</v>
      </c>
      <c r="K1832" s="36" t="str">
        <f>IF(MB25_VOLUMETRIA[[#This Row],[Reserva]]="","",IFERROR(VLOOKUP(MB25_VOLUMETRIA[[#This Row],[UMB]],CHAVE[],2,FALSE),"VERIFICAR"))</f>
        <v>Unidade</v>
      </c>
      <c r="L18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2" s="32" t="str">
        <f ca="1">IFERROR(VLOOKUP(MB25_VOLUMETRIA[[#This Row],[Reserva]],RES_AB[],14,FALSE),"")</f>
        <v>RESERVAS PENDENTES</v>
      </c>
      <c r="N1832" s="32" t="str">
        <f>IF(MB25_VOLUMETRIA[[#This Row],[Cen.]]="","",IFERROR(VLOOKUP(MB25_VOLUMETRIA[[#This Row],[Cen.]],Dados_Empresas[],2,FALSE),"Verificar empresa"))</f>
        <v>NET MASSIVO</v>
      </c>
      <c r="O1832" s="32" t="str">
        <f>IF(MB25_VOLUMETRIA[[#This Row],[EMPRESA]]="","",IF(OR(MB25_VOLUMETRIA[[#This Row],[EMPRESA]]="NET MASSIVO",MB25_VOLUMETRIA[[#This Row],[EMPRESA]]="NET PROJETOS"),"NET","EMPRESARIAL"))</f>
        <v>NET</v>
      </c>
    </row>
    <row r="1833" spans="1:15" x14ac:dyDescent="0.25">
      <c r="A1833" s="32">
        <v>4383980</v>
      </c>
      <c r="B1833" s="32" t="s">
        <v>21</v>
      </c>
      <c r="C1833" s="33" t="s">
        <v>21</v>
      </c>
      <c r="D1833" s="35">
        <v>45449</v>
      </c>
      <c r="E1833" s="32" t="s">
        <v>184</v>
      </c>
      <c r="F1833" s="32">
        <v>41001535</v>
      </c>
      <c r="G1833" s="32" t="s">
        <v>191</v>
      </c>
      <c r="H1833" s="26" t="s">
        <v>38</v>
      </c>
      <c r="I1833" s="36">
        <v>20</v>
      </c>
      <c r="J1833" s="32">
        <f>IF(MB25_VOLUMETRIA[[#This Row],[Reserva]]="","",1)</f>
        <v>1</v>
      </c>
      <c r="K1833" s="36" t="str">
        <f>IF(MB25_VOLUMETRIA[[#This Row],[Reserva]]="","",IFERROR(VLOOKUP(MB25_VOLUMETRIA[[#This Row],[UMB]],CHAVE[],2,FALSE),"VERIFICAR"))</f>
        <v>Unidade</v>
      </c>
      <c r="L18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3" s="32" t="str">
        <f ca="1">IFERROR(VLOOKUP(MB25_VOLUMETRIA[[#This Row],[Reserva]],RES_AB[],14,FALSE),"")</f>
        <v>RESERVAS PENDENTES</v>
      </c>
      <c r="N1833" s="32" t="str">
        <f>IF(MB25_VOLUMETRIA[[#This Row],[Cen.]]="","",IFERROR(VLOOKUP(MB25_VOLUMETRIA[[#This Row],[Cen.]],Dados_Empresas[],2,FALSE),"Verificar empresa"))</f>
        <v>NET MASSIVO</v>
      </c>
      <c r="O1833" s="32" t="str">
        <f>IF(MB25_VOLUMETRIA[[#This Row],[EMPRESA]]="","",IF(OR(MB25_VOLUMETRIA[[#This Row],[EMPRESA]]="NET MASSIVO",MB25_VOLUMETRIA[[#This Row],[EMPRESA]]="NET PROJETOS"),"NET","EMPRESARIAL"))</f>
        <v>NET</v>
      </c>
    </row>
    <row r="1834" spans="1:15" x14ac:dyDescent="0.25">
      <c r="A1834" s="32">
        <v>4383981</v>
      </c>
      <c r="B1834" s="32" t="s">
        <v>21</v>
      </c>
      <c r="C1834" s="33" t="s">
        <v>19</v>
      </c>
      <c r="D1834" s="35">
        <v>45449</v>
      </c>
      <c r="E1834" s="32" t="s">
        <v>185</v>
      </c>
      <c r="F1834" s="32">
        <v>22026279</v>
      </c>
      <c r="G1834" s="32" t="s">
        <v>350</v>
      </c>
      <c r="H1834" s="26" t="s">
        <v>38</v>
      </c>
      <c r="I1834" s="36">
        <v>170</v>
      </c>
      <c r="J1834" s="32">
        <f>IF(MB25_VOLUMETRIA[[#This Row],[Reserva]]="","",1)</f>
        <v>1</v>
      </c>
      <c r="K1834" s="36" t="str">
        <f>IF(MB25_VOLUMETRIA[[#This Row],[Reserva]]="","",IFERROR(VLOOKUP(MB25_VOLUMETRIA[[#This Row],[UMB]],CHAVE[],2,FALSE),"VERIFICAR"))</f>
        <v>Unidade</v>
      </c>
      <c r="L18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4" s="32" t="str">
        <f ca="1">IFERROR(VLOOKUP(MB25_VOLUMETRIA[[#This Row],[Reserva]],RES_AB[],14,FALSE),"")</f>
        <v>RESERVAS PENDENTES</v>
      </c>
      <c r="N1834" s="32" t="str">
        <f>IF(MB25_VOLUMETRIA[[#This Row],[Cen.]]="","",IFERROR(VLOOKUP(MB25_VOLUMETRIA[[#This Row],[Cen.]],Dados_Empresas[],2,FALSE),"Verificar empresa"))</f>
        <v>NET MASSIVO</v>
      </c>
      <c r="O1834" s="32" t="str">
        <f>IF(MB25_VOLUMETRIA[[#This Row],[EMPRESA]]="","",IF(OR(MB25_VOLUMETRIA[[#This Row],[EMPRESA]]="NET MASSIVO",MB25_VOLUMETRIA[[#This Row],[EMPRESA]]="NET PROJETOS"),"NET","EMPRESARIAL"))</f>
        <v>NET</v>
      </c>
    </row>
    <row r="1835" spans="1:15" x14ac:dyDescent="0.25">
      <c r="A1835" s="32">
        <v>4383981</v>
      </c>
      <c r="B1835" s="32" t="s">
        <v>21</v>
      </c>
      <c r="C1835" s="33" t="s">
        <v>19</v>
      </c>
      <c r="D1835" s="35">
        <v>45449</v>
      </c>
      <c r="E1835" s="32" t="s">
        <v>185</v>
      </c>
      <c r="F1835" s="32">
        <v>22026293</v>
      </c>
      <c r="G1835" s="32" t="s">
        <v>352</v>
      </c>
      <c r="H1835" s="26" t="s">
        <v>38</v>
      </c>
      <c r="I1835" s="36">
        <v>30</v>
      </c>
      <c r="J1835" s="32">
        <f>IF(MB25_VOLUMETRIA[[#This Row],[Reserva]]="","",1)</f>
        <v>1</v>
      </c>
      <c r="K1835" s="36" t="str">
        <f>IF(MB25_VOLUMETRIA[[#This Row],[Reserva]]="","",IFERROR(VLOOKUP(MB25_VOLUMETRIA[[#This Row],[UMB]],CHAVE[],2,FALSE),"VERIFICAR"))</f>
        <v>Unidade</v>
      </c>
      <c r="L18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5" s="32" t="str">
        <f ca="1">IFERROR(VLOOKUP(MB25_VOLUMETRIA[[#This Row],[Reserva]],RES_AB[],14,FALSE),"")</f>
        <v>RESERVAS PENDENTES</v>
      </c>
      <c r="N1835" s="32" t="str">
        <f>IF(MB25_VOLUMETRIA[[#This Row],[Cen.]]="","",IFERROR(VLOOKUP(MB25_VOLUMETRIA[[#This Row],[Cen.]],Dados_Empresas[],2,FALSE),"Verificar empresa"))</f>
        <v>NET MASSIVO</v>
      </c>
      <c r="O1835" s="32" t="str">
        <f>IF(MB25_VOLUMETRIA[[#This Row],[EMPRESA]]="","",IF(OR(MB25_VOLUMETRIA[[#This Row],[EMPRESA]]="NET MASSIVO",MB25_VOLUMETRIA[[#This Row],[EMPRESA]]="NET PROJETOS"),"NET","EMPRESARIAL"))</f>
        <v>NET</v>
      </c>
    </row>
    <row r="1836" spans="1:15" x14ac:dyDescent="0.25">
      <c r="A1836" s="32">
        <v>4383981</v>
      </c>
      <c r="B1836" s="32" t="s">
        <v>21</v>
      </c>
      <c r="C1836" s="33" t="s">
        <v>21</v>
      </c>
      <c r="D1836" s="35">
        <v>45449</v>
      </c>
      <c r="E1836" s="32" t="s">
        <v>185</v>
      </c>
      <c r="F1836" s="32">
        <v>22060422</v>
      </c>
      <c r="G1836" s="32" t="s">
        <v>298</v>
      </c>
      <c r="H1836" s="26" t="s">
        <v>38</v>
      </c>
      <c r="I1836" s="36">
        <v>30</v>
      </c>
      <c r="J1836" s="32">
        <f>IF(MB25_VOLUMETRIA[[#This Row],[Reserva]]="","",1)</f>
        <v>1</v>
      </c>
      <c r="K1836" s="36" t="str">
        <f>IF(MB25_VOLUMETRIA[[#This Row],[Reserva]]="","",IFERROR(VLOOKUP(MB25_VOLUMETRIA[[#This Row],[UMB]],CHAVE[],2,FALSE),"VERIFICAR"))</f>
        <v>Unidade</v>
      </c>
      <c r="L18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6" s="32" t="str">
        <f ca="1">IFERROR(VLOOKUP(MB25_VOLUMETRIA[[#This Row],[Reserva]],RES_AB[],14,FALSE),"")</f>
        <v>RESERVAS PENDENTES</v>
      </c>
      <c r="N1836" s="32" t="str">
        <f>IF(MB25_VOLUMETRIA[[#This Row],[Cen.]]="","",IFERROR(VLOOKUP(MB25_VOLUMETRIA[[#This Row],[Cen.]],Dados_Empresas[],2,FALSE),"Verificar empresa"))</f>
        <v>NET MASSIVO</v>
      </c>
      <c r="O1836" s="32" t="str">
        <f>IF(MB25_VOLUMETRIA[[#This Row],[EMPRESA]]="","",IF(OR(MB25_VOLUMETRIA[[#This Row],[EMPRESA]]="NET MASSIVO",MB25_VOLUMETRIA[[#This Row],[EMPRESA]]="NET PROJETOS"),"NET","EMPRESARIAL"))</f>
        <v>NET</v>
      </c>
    </row>
    <row r="1837" spans="1:15" x14ac:dyDescent="0.25">
      <c r="A1837" s="32">
        <v>4383981</v>
      </c>
      <c r="B1837" s="32" t="s">
        <v>21</v>
      </c>
      <c r="C1837" s="33" t="s">
        <v>21</v>
      </c>
      <c r="D1837" s="35">
        <v>45449</v>
      </c>
      <c r="E1837" s="32" t="s">
        <v>185</v>
      </c>
      <c r="F1837" s="32">
        <v>22065064</v>
      </c>
      <c r="G1837" s="32" t="s">
        <v>471</v>
      </c>
      <c r="H1837" s="26" t="s">
        <v>38</v>
      </c>
      <c r="I1837" s="36">
        <v>20</v>
      </c>
      <c r="J1837" s="32">
        <f>IF(MB25_VOLUMETRIA[[#This Row],[Reserva]]="","",1)</f>
        <v>1</v>
      </c>
      <c r="K1837" s="36" t="str">
        <f>IF(MB25_VOLUMETRIA[[#This Row],[Reserva]]="","",IFERROR(VLOOKUP(MB25_VOLUMETRIA[[#This Row],[UMB]],CHAVE[],2,FALSE),"VERIFICAR"))</f>
        <v>Unidade</v>
      </c>
      <c r="L18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7" s="32" t="str">
        <f ca="1">IFERROR(VLOOKUP(MB25_VOLUMETRIA[[#This Row],[Reserva]],RES_AB[],14,FALSE),"")</f>
        <v>RESERVAS PENDENTES</v>
      </c>
      <c r="N1837" s="32" t="str">
        <f>IF(MB25_VOLUMETRIA[[#This Row],[Cen.]]="","",IFERROR(VLOOKUP(MB25_VOLUMETRIA[[#This Row],[Cen.]],Dados_Empresas[],2,FALSE),"Verificar empresa"))</f>
        <v>NET MASSIVO</v>
      </c>
      <c r="O1837" s="32" t="str">
        <f>IF(MB25_VOLUMETRIA[[#This Row],[EMPRESA]]="","",IF(OR(MB25_VOLUMETRIA[[#This Row],[EMPRESA]]="NET MASSIVO",MB25_VOLUMETRIA[[#This Row],[EMPRESA]]="NET PROJETOS"),"NET","EMPRESARIAL"))</f>
        <v>NET</v>
      </c>
    </row>
    <row r="1838" spans="1:15" x14ac:dyDescent="0.25">
      <c r="A1838" s="32">
        <v>4383982</v>
      </c>
      <c r="B1838" s="32" t="s">
        <v>21</v>
      </c>
      <c r="C1838" s="33" t="s">
        <v>19</v>
      </c>
      <c r="D1838" s="35">
        <v>45449</v>
      </c>
      <c r="E1838" s="32" t="s">
        <v>184</v>
      </c>
      <c r="F1838" s="32">
        <v>41001234</v>
      </c>
      <c r="G1838" s="32" t="s">
        <v>189</v>
      </c>
      <c r="H1838" s="26" t="s">
        <v>38</v>
      </c>
      <c r="I1838" s="36">
        <v>30</v>
      </c>
      <c r="J1838" s="32">
        <f>IF(MB25_VOLUMETRIA[[#This Row],[Reserva]]="","",1)</f>
        <v>1</v>
      </c>
      <c r="K1838" s="36" t="str">
        <f>IF(MB25_VOLUMETRIA[[#This Row],[Reserva]]="","",IFERROR(VLOOKUP(MB25_VOLUMETRIA[[#This Row],[UMB]],CHAVE[],2,FALSE),"VERIFICAR"))</f>
        <v>Unidade</v>
      </c>
      <c r="L18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8" s="32" t="str">
        <f ca="1">IFERROR(VLOOKUP(MB25_VOLUMETRIA[[#This Row],[Reserva]],RES_AB[],14,FALSE),"")</f>
        <v>RESERVAS PENDENTES</v>
      </c>
      <c r="N1838" s="32" t="str">
        <f>IF(MB25_VOLUMETRIA[[#This Row],[Cen.]]="","",IFERROR(VLOOKUP(MB25_VOLUMETRIA[[#This Row],[Cen.]],Dados_Empresas[],2,FALSE),"Verificar empresa"))</f>
        <v>NET MASSIVO</v>
      </c>
      <c r="O1838" s="32" t="str">
        <f>IF(MB25_VOLUMETRIA[[#This Row],[EMPRESA]]="","",IF(OR(MB25_VOLUMETRIA[[#This Row],[EMPRESA]]="NET MASSIVO",MB25_VOLUMETRIA[[#This Row],[EMPRESA]]="NET PROJETOS"),"NET","EMPRESARIAL"))</f>
        <v>NET</v>
      </c>
    </row>
    <row r="1839" spans="1:15" x14ac:dyDescent="0.25">
      <c r="A1839" s="32">
        <v>4383982</v>
      </c>
      <c r="B1839" s="32" t="s">
        <v>21</v>
      </c>
      <c r="C1839" s="33" t="s">
        <v>19</v>
      </c>
      <c r="D1839" s="35">
        <v>45449</v>
      </c>
      <c r="E1839" s="32" t="s">
        <v>184</v>
      </c>
      <c r="F1839" s="32">
        <v>41001277</v>
      </c>
      <c r="G1839" s="32" t="s">
        <v>466</v>
      </c>
      <c r="H1839" s="26" t="s">
        <v>38</v>
      </c>
      <c r="I1839" s="36">
        <v>30</v>
      </c>
      <c r="J1839" s="32">
        <f>IF(MB25_VOLUMETRIA[[#This Row],[Reserva]]="","",1)</f>
        <v>1</v>
      </c>
      <c r="K1839" s="36" t="str">
        <f>IF(MB25_VOLUMETRIA[[#This Row],[Reserva]]="","",IFERROR(VLOOKUP(MB25_VOLUMETRIA[[#This Row],[UMB]],CHAVE[],2,FALSE),"VERIFICAR"))</f>
        <v>Unidade</v>
      </c>
      <c r="L18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39" s="32" t="str">
        <f ca="1">IFERROR(VLOOKUP(MB25_VOLUMETRIA[[#This Row],[Reserva]],RES_AB[],14,FALSE),"")</f>
        <v>RESERVAS PENDENTES</v>
      </c>
      <c r="N1839" s="32" t="str">
        <f>IF(MB25_VOLUMETRIA[[#This Row],[Cen.]]="","",IFERROR(VLOOKUP(MB25_VOLUMETRIA[[#This Row],[Cen.]],Dados_Empresas[],2,FALSE),"Verificar empresa"))</f>
        <v>NET MASSIVO</v>
      </c>
      <c r="O1839" s="32" t="str">
        <f>IF(MB25_VOLUMETRIA[[#This Row],[EMPRESA]]="","",IF(OR(MB25_VOLUMETRIA[[#This Row],[EMPRESA]]="NET MASSIVO",MB25_VOLUMETRIA[[#This Row],[EMPRESA]]="NET PROJETOS"),"NET","EMPRESARIAL"))</f>
        <v>NET</v>
      </c>
    </row>
    <row r="1840" spans="1:15" x14ac:dyDescent="0.25">
      <c r="A1840" s="32">
        <v>4383982</v>
      </c>
      <c r="B1840" s="32" t="s">
        <v>21</v>
      </c>
      <c r="C1840" s="33" t="s">
        <v>19</v>
      </c>
      <c r="D1840" s="35">
        <v>45449</v>
      </c>
      <c r="E1840" s="32" t="s">
        <v>184</v>
      </c>
      <c r="F1840" s="32">
        <v>41001293</v>
      </c>
      <c r="G1840" s="32" t="s">
        <v>468</v>
      </c>
      <c r="H1840" s="26" t="s">
        <v>38</v>
      </c>
      <c r="I1840" s="36">
        <v>170</v>
      </c>
      <c r="J1840" s="32">
        <f>IF(MB25_VOLUMETRIA[[#This Row],[Reserva]]="","",1)</f>
        <v>1</v>
      </c>
      <c r="K1840" s="36" t="str">
        <f>IF(MB25_VOLUMETRIA[[#This Row],[Reserva]]="","",IFERROR(VLOOKUP(MB25_VOLUMETRIA[[#This Row],[UMB]],CHAVE[],2,FALSE),"VERIFICAR"))</f>
        <v>Unidade</v>
      </c>
      <c r="L18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0" s="32" t="str">
        <f ca="1">IFERROR(VLOOKUP(MB25_VOLUMETRIA[[#This Row],[Reserva]],RES_AB[],14,FALSE),"")</f>
        <v>RESERVAS PENDENTES</v>
      </c>
      <c r="N1840" s="32" t="str">
        <f>IF(MB25_VOLUMETRIA[[#This Row],[Cen.]]="","",IFERROR(VLOOKUP(MB25_VOLUMETRIA[[#This Row],[Cen.]],Dados_Empresas[],2,FALSE),"Verificar empresa"))</f>
        <v>NET MASSIVO</v>
      </c>
      <c r="O1840" s="32" t="str">
        <f>IF(MB25_VOLUMETRIA[[#This Row],[EMPRESA]]="","",IF(OR(MB25_VOLUMETRIA[[#This Row],[EMPRESA]]="NET MASSIVO",MB25_VOLUMETRIA[[#This Row],[EMPRESA]]="NET PROJETOS"),"NET","EMPRESARIAL"))</f>
        <v>NET</v>
      </c>
    </row>
    <row r="1841" spans="1:15" x14ac:dyDescent="0.25">
      <c r="A1841" s="32">
        <v>4383982</v>
      </c>
      <c r="B1841" s="32" t="s">
        <v>21</v>
      </c>
      <c r="C1841" s="33" t="s">
        <v>19</v>
      </c>
      <c r="D1841" s="35">
        <v>45449</v>
      </c>
      <c r="E1841" s="32" t="s">
        <v>184</v>
      </c>
      <c r="F1841" s="32">
        <v>41001520</v>
      </c>
      <c r="G1841" s="32" t="s">
        <v>297</v>
      </c>
      <c r="H1841" s="26" t="s">
        <v>38</v>
      </c>
      <c r="I1841" s="36">
        <v>20</v>
      </c>
      <c r="J1841" s="32">
        <f>IF(MB25_VOLUMETRIA[[#This Row],[Reserva]]="","",1)</f>
        <v>1</v>
      </c>
      <c r="K1841" s="36" t="str">
        <f>IF(MB25_VOLUMETRIA[[#This Row],[Reserva]]="","",IFERROR(VLOOKUP(MB25_VOLUMETRIA[[#This Row],[UMB]],CHAVE[],2,FALSE),"VERIFICAR"))</f>
        <v>Unidade</v>
      </c>
      <c r="L18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1" s="32" t="str">
        <f ca="1">IFERROR(VLOOKUP(MB25_VOLUMETRIA[[#This Row],[Reserva]],RES_AB[],14,FALSE),"")</f>
        <v>RESERVAS PENDENTES</v>
      </c>
      <c r="N1841" s="32" t="str">
        <f>IF(MB25_VOLUMETRIA[[#This Row],[Cen.]]="","",IFERROR(VLOOKUP(MB25_VOLUMETRIA[[#This Row],[Cen.]],Dados_Empresas[],2,FALSE),"Verificar empresa"))</f>
        <v>NET MASSIVO</v>
      </c>
      <c r="O1841" s="32" t="str">
        <f>IF(MB25_VOLUMETRIA[[#This Row],[EMPRESA]]="","",IF(OR(MB25_VOLUMETRIA[[#This Row],[EMPRESA]]="NET MASSIVO",MB25_VOLUMETRIA[[#This Row],[EMPRESA]]="NET PROJETOS"),"NET","EMPRESARIAL"))</f>
        <v>NET</v>
      </c>
    </row>
    <row r="1842" spans="1:15" x14ac:dyDescent="0.25">
      <c r="A1842" s="32">
        <v>4383983</v>
      </c>
      <c r="B1842" s="32" t="s">
        <v>21</v>
      </c>
      <c r="C1842" s="33" t="s">
        <v>21</v>
      </c>
      <c r="D1842" s="35">
        <v>45449</v>
      </c>
      <c r="E1842" s="32" t="s">
        <v>185</v>
      </c>
      <c r="F1842" s="32">
        <v>22025136</v>
      </c>
      <c r="G1842" s="32" t="s">
        <v>215</v>
      </c>
      <c r="H1842" s="26" t="s">
        <v>38</v>
      </c>
      <c r="I1842" s="36">
        <v>250</v>
      </c>
      <c r="J1842" s="32">
        <f>IF(MB25_VOLUMETRIA[[#This Row],[Reserva]]="","",1)</f>
        <v>1</v>
      </c>
      <c r="K1842" s="36" t="str">
        <f>IF(MB25_VOLUMETRIA[[#This Row],[Reserva]]="","",IFERROR(VLOOKUP(MB25_VOLUMETRIA[[#This Row],[UMB]],CHAVE[],2,FALSE),"VERIFICAR"))</f>
        <v>Unidade</v>
      </c>
      <c r="L18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2" s="32" t="str">
        <f ca="1">IFERROR(VLOOKUP(MB25_VOLUMETRIA[[#This Row],[Reserva]],RES_AB[],14,FALSE),"")</f>
        <v>RESERVAS PENDENTES</v>
      </c>
      <c r="N1842" s="32" t="str">
        <f>IF(MB25_VOLUMETRIA[[#This Row],[Cen.]]="","",IFERROR(VLOOKUP(MB25_VOLUMETRIA[[#This Row],[Cen.]],Dados_Empresas[],2,FALSE),"Verificar empresa"))</f>
        <v>NET MASSIVO</v>
      </c>
      <c r="O1842" s="32" t="str">
        <f>IF(MB25_VOLUMETRIA[[#This Row],[EMPRESA]]="","",IF(OR(MB25_VOLUMETRIA[[#This Row],[EMPRESA]]="NET MASSIVO",MB25_VOLUMETRIA[[#This Row],[EMPRESA]]="NET PROJETOS"),"NET","EMPRESARIAL"))</f>
        <v>NET</v>
      </c>
    </row>
    <row r="1843" spans="1:15" x14ac:dyDescent="0.25">
      <c r="A1843" s="32">
        <v>4383983</v>
      </c>
      <c r="B1843" s="32" t="s">
        <v>21</v>
      </c>
      <c r="C1843" s="33" t="s">
        <v>21</v>
      </c>
      <c r="D1843" s="35">
        <v>45449</v>
      </c>
      <c r="E1843" s="32" t="s">
        <v>185</v>
      </c>
      <c r="F1843" s="32">
        <v>22026219</v>
      </c>
      <c r="G1843" s="32" t="s">
        <v>221</v>
      </c>
      <c r="H1843" s="26" t="s">
        <v>38</v>
      </c>
      <c r="I1843" s="36">
        <v>10500</v>
      </c>
      <c r="J1843" s="32">
        <f>IF(MB25_VOLUMETRIA[[#This Row],[Reserva]]="","",1)</f>
        <v>1</v>
      </c>
      <c r="K1843" s="36" t="str">
        <f>IF(MB25_VOLUMETRIA[[#This Row],[Reserva]]="","",IFERROR(VLOOKUP(MB25_VOLUMETRIA[[#This Row],[UMB]],CHAVE[],2,FALSE),"VERIFICAR"))</f>
        <v>Unidade</v>
      </c>
      <c r="L18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3" s="32" t="str">
        <f ca="1">IFERROR(VLOOKUP(MB25_VOLUMETRIA[[#This Row],[Reserva]],RES_AB[],14,FALSE),"")</f>
        <v>RESERVAS PENDENTES</v>
      </c>
      <c r="N1843" s="32" t="str">
        <f>IF(MB25_VOLUMETRIA[[#This Row],[Cen.]]="","",IFERROR(VLOOKUP(MB25_VOLUMETRIA[[#This Row],[Cen.]],Dados_Empresas[],2,FALSE),"Verificar empresa"))</f>
        <v>NET MASSIVO</v>
      </c>
      <c r="O1843" s="32" t="str">
        <f>IF(MB25_VOLUMETRIA[[#This Row],[EMPRESA]]="","",IF(OR(MB25_VOLUMETRIA[[#This Row],[EMPRESA]]="NET MASSIVO",MB25_VOLUMETRIA[[#This Row],[EMPRESA]]="NET PROJETOS"),"NET","EMPRESARIAL"))</f>
        <v>NET</v>
      </c>
    </row>
    <row r="1844" spans="1:15" x14ac:dyDescent="0.25">
      <c r="A1844" s="32">
        <v>4383983</v>
      </c>
      <c r="B1844" s="32" t="s">
        <v>21</v>
      </c>
      <c r="C1844" s="33" t="s">
        <v>19</v>
      </c>
      <c r="D1844" s="35">
        <v>45449</v>
      </c>
      <c r="E1844" s="32" t="s">
        <v>185</v>
      </c>
      <c r="F1844" s="32">
        <v>22026293</v>
      </c>
      <c r="G1844" s="32" t="s">
        <v>352</v>
      </c>
      <c r="H1844" s="26" t="s">
        <v>38</v>
      </c>
      <c r="I1844" s="36">
        <v>80</v>
      </c>
      <c r="J1844" s="32">
        <f>IF(MB25_VOLUMETRIA[[#This Row],[Reserva]]="","",1)</f>
        <v>1</v>
      </c>
      <c r="K1844" s="36" t="str">
        <f>IF(MB25_VOLUMETRIA[[#This Row],[Reserva]]="","",IFERROR(VLOOKUP(MB25_VOLUMETRIA[[#This Row],[UMB]],CHAVE[],2,FALSE),"VERIFICAR"))</f>
        <v>Unidade</v>
      </c>
      <c r="L18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4" s="32" t="str">
        <f ca="1">IFERROR(VLOOKUP(MB25_VOLUMETRIA[[#This Row],[Reserva]],RES_AB[],14,FALSE),"")</f>
        <v>RESERVAS PENDENTES</v>
      </c>
      <c r="N1844" s="32" t="str">
        <f>IF(MB25_VOLUMETRIA[[#This Row],[Cen.]]="","",IFERROR(VLOOKUP(MB25_VOLUMETRIA[[#This Row],[Cen.]],Dados_Empresas[],2,FALSE),"Verificar empresa"))</f>
        <v>NET MASSIVO</v>
      </c>
      <c r="O1844" s="32" t="str">
        <f>IF(MB25_VOLUMETRIA[[#This Row],[EMPRESA]]="","",IF(OR(MB25_VOLUMETRIA[[#This Row],[EMPRESA]]="NET MASSIVO",MB25_VOLUMETRIA[[#This Row],[EMPRESA]]="NET PROJETOS"),"NET","EMPRESARIAL"))</f>
        <v>NET</v>
      </c>
    </row>
    <row r="1845" spans="1:15" x14ac:dyDescent="0.25">
      <c r="A1845" s="32">
        <v>4383983</v>
      </c>
      <c r="B1845" s="32" t="s">
        <v>21</v>
      </c>
      <c r="C1845" s="33" t="s">
        <v>21</v>
      </c>
      <c r="D1845" s="35">
        <v>45449</v>
      </c>
      <c r="E1845" s="32" t="s">
        <v>185</v>
      </c>
      <c r="F1845" s="32">
        <v>22056332</v>
      </c>
      <c r="G1845" s="32" t="s">
        <v>207</v>
      </c>
      <c r="H1845" s="26" t="s">
        <v>38</v>
      </c>
      <c r="I1845" s="36">
        <v>20</v>
      </c>
      <c r="J1845" s="32">
        <f>IF(MB25_VOLUMETRIA[[#This Row],[Reserva]]="","",1)</f>
        <v>1</v>
      </c>
      <c r="K1845" s="36" t="str">
        <f>IF(MB25_VOLUMETRIA[[#This Row],[Reserva]]="","",IFERROR(VLOOKUP(MB25_VOLUMETRIA[[#This Row],[UMB]],CHAVE[],2,FALSE),"VERIFICAR"))</f>
        <v>Unidade</v>
      </c>
      <c r="L18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5" s="32" t="str">
        <f ca="1">IFERROR(VLOOKUP(MB25_VOLUMETRIA[[#This Row],[Reserva]],RES_AB[],14,FALSE),"")</f>
        <v>RESERVAS PENDENTES</v>
      </c>
      <c r="N1845" s="32" t="str">
        <f>IF(MB25_VOLUMETRIA[[#This Row],[Cen.]]="","",IFERROR(VLOOKUP(MB25_VOLUMETRIA[[#This Row],[Cen.]],Dados_Empresas[],2,FALSE),"Verificar empresa"))</f>
        <v>NET MASSIVO</v>
      </c>
      <c r="O1845" s="32" t="str">
        <f>IF(MB25_VOLUMETRIA[[#This Row],[EMPRESA]]="","",IF(OR(MB25_VOLUMETRIA[[#This Row],[EMPRESA]]="NET MASSIVO",MB25_VOLUMETRIA[[#This Row],[EMPRESA]]="NET PROJETOS"),"NET","EMPRESARIAL"))</f>
        <v>NET</v>
      </c>
    </row>
    <row r="1846" spans="1:15" x14ac:dyDescent="0.25">
      <c r="A1846" s="32">
        <v>4383983</v>
      </c>
      <c r="B1846" s="32" t="s">
        <v>21</v>
      </c>
      <c r="C1846" s="33" t="s">
        <v>21</v>
      </c>
      <c r="D1846" s="35">
        <v>45449</v>
      </c>
      <c r="E1846" s="32" t="s">
        <v>185</v>
      </c>
      <c r="F1846" s="32">
        <v>22060422</v>
      </c>
      <c r="G1846" s="32" t="s">
        <v>298</v>
      </c>
      <c r="H1846" s="26" t="s">
        <v>38</v>
      </c>
      <c r="I1846" s="36">
        <v>80</v>
      </c>
      <c r="J1846" s="32">
        <f>IF(MB25_VOLUMETRIA[[#This Row],[Reserva]]="","",1)</f>
        <v>1</v>
      </c>
      <c r="K1846" s="36" t="str">
        <f>IF(MB25_VOLUMETRIA[[#This Row],[Reserva]]="","",IFERROR(VLOOKUP(MB25_VOLUMETRIA[[#This Row],[UMB]],CHAVE[],2,FALSE),"VERIFICAR"))</f>
        <v>Unidade</v>
      </c>
      <c r="L18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6" s="32" t="str">
        <f ca="1">IFERROR(VLOOKUP(MB25_VOLUMETRIA[[#This Row],[Reserva]],RES_AB[],14,FALSE),"")</f>
        <v>RESERVAS PENDENTES</v>
      </c>
      <c r="N1846" s="32" t="str">
        <f>IF(MB25_VOLUMETRIA[[#This Row],[Cen.]]="","",IFERROR(VLOOKUP(MB25_VOLUMETRIA[[#This Row],[Cen.]],Dados_Empresas[],2,FALSE),"Verificar empresa"))</f>
        <v>NET MASSIVO</v>
      </c>
      <c r="O1846" s="32" t="str">
        <f>IF(MB25_VOLUMETRIA[[#This Row],[EMPRESA]]="","",IF(OR(MB25_VOLUMETRIA[[#This Row],[EMPRESA]]="NET MASSIVO",MB25_VOLUMETRIA[[#This Row],[EMPRESA]]="NET PROJETOS"),"NET","EMPRESARIAL"))</f>
        <v>NET</v>
      </c>
    </row>
    <row r="1847" spans="1:15" x14ac:dyDescent="0.25">
      <c r="A1847" s="32">
        <v>4383983</v>
      </c>
      <c r="B1847" s="32" t="s">
        <v>21</v>
      </c>
      <c r="C1847" s="33" t="s">
        <v>21</v>
      </c>
      <c r="D1847" s="35">
        <v>45449</v>
      </c>
      <c r="E1847" s="32" t="s">
        <v>185</v>
      </c>
      <c r="F1847" s="32">
        <v>22065064</v>
      </c>
      <c r="G1847" s="32" t="s">
        <v>471</v>
      </c>
      <c r="H1847" s="26" t="s">
        <v>38</v>
      </c>
      <c r="I1847" s="36">
        <v>30</v>
      </c>
      <c r="J1847" s="32">
        <f>IF(MB25_VOLUMETRIA[[#This Row],[Reserva]]="","",1)</f>
        <v>1</v>
      </c>
      <c r="K1847" s="36" t="str">
        <f>IF(MB25_VOLUMETRIA[[#This Row],[Reserva]]="","",IFERROR(VLOOKUP(MB25_VOLUMETRIA[[#This Row],[UMB]],CHAVE[],2,FALSE),"VERIFICAR"))</f>
        <v>Unidade</v>
      </c>
      <c r="L18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7" s="32" t="str">
        <f ca="1">IFERROR(VLOOKUP(MB25_VOLUMETRIA[[#This Row],[Reserva]],RES_AB[],14,FALSE),"")</f>
        <v>RESERVAS PENDENTES</v>
      </c>
      <c r="N1847" s="32" t="str">
        <f>IF(MB25_VOLUMETRIA[[#This Row],[Cen.]]="","",IFERROR(VLOOKUP(MB25_VOLUMETRIA[[#This Row],[Cen.]],Dados_Empresas[],2,FALSE),"Verificar empresa"))</f>
        <v>NET MASSIVO</v>
      </c>
      <c r="O1847" s="32" t="str">
        <f>IF(MB25_VOLUMETRIA[[#This Row],[EMPRESA]]="","",IF(OR(MB25_VOLUMETRIA[[#This Row],[EMPRESA]]="NET MASSIVO",MB25_VOLUMETRIA[[#This Row],[EMPRESA]]="NET PROJETOS"),"NET","EMPRESARIAL"))</f>
        <v>NET</v>
      </c>
    </row>
    <row r="1848" spans="1:15" x14ac:dyDescent="0.25">
      <c r="A1848" s="32">
        <v>4383984</v>
      </c>
      <c r="B1848" s="32" t="s">
        <v>21</v>
      </c>
      <c r="C1848" s="33" t="s">
        <v>19</v>
      </c>
      <c r="D1848" s="35">
        <v>45449</v>
      </c>
      <c r="E1848" s="32" t="s">
        <v>184</v>
      </c>
      <c r="F1848" s="32">
        <v>41001234</v>
      </c>
      <c r="G1848" s="32" t="s">
        <v>189</v>
      </c>
      <c r="H1848" s="26" t="s">
        <v>38</v>
      </c>
      <c r="I1848" s="36">
        <v>80</v>
      </c>
      <c r="J1848" s="32">
        <f>IF(MB25_VOLUMETRIA[[#This Row],[Reserva]]="","",1)</f>
        <v>1</v>
      </c>
      <c r="K1848" s="36" t="str">
        <f>IF(MB25_VOLUMETRIA[[#This Row],[Reserva]]="","",IFERROR(VLOOKUP(MB25_VOLUMETRIA[[#This Row],[UMB]],CHAVE[],2,FALSE),"VERIFICAR"))</f>
        <v>Unidade</v>
      </c>
      <c r="L18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8" s="32" t="str">
        <f ca="1">IFERROR(VLOOKUP(MB25_VOLUMETRIA[[#This Row],[Reserva]],RES_AB[],14,FALSE),"")</f>
        <v>RESERVAS PENDENTES</v>
      </c>
      <c r="N1848" s="32" t="str">
        <f>IF(MB25_VOLUMETRIA[[#This Row],[Cen.]]="","",IFERROR(VLOOKUP(MB25_VOLUMETRIA[[#This Row],[Cen.]],Dados_Empresas[],2,FALSE),"Verificar empresa"))</f>
        <v>NET MASSIVO</v>
      </c>
      <c r="O1848" s="32" t="str">
        <f>IF(MB25_VOLUMETRIA[[#This Row],[EMPRESA]]="","",IF(OR(MB25_VOLUMETRIA[[#This Row],[EMPRESA]]="NET MASSIVO",MB25_VOLUMETRIA[[#This Row],[EMPRESA]]="NET PROJETOS"),"NET","EMPRESARIAL"))</f>
        <v>NET</v>
      </c>
    </row>
    <row r="1849" spans="1:15" x14ac:dyDescent="0.25">
      <c r="A1849" s="32">
        <v>4383984</v>
      </c>
      <c r="B1849" s="32" t="s">
        <v>21</v>
      </c>
      <c r="C1849" s="33" t="s">
        <v>19</v>
      </c>
      <c r="D1849" s="35">
        <v>45449</v>
      </c>
      <c r="E1849" s="32" t="s">
        <v>184</v>
      </c>
      <c r="F1849" s="32">
        <v>41001277</v>
      </c>
      <c r="G1849" s="32" t="s">
        <v>466</v>
      </c>
      <c r="H1849" s="26" t="s">
        <v>38</v>
      </c>
      <c r="I1849" s="36">
        <v>80</v>
      </c>
      <c r="J1849" s="32">
        <f>IF(MB25_VOLUMETRIA[[#This Row],[Reserva]]="","",1)</f>
        <v>1</v>
      </c>
      <c r="K1849" s="36" t="str">
        <f>IF(MB25_VOLUMETRIA[[#This Row],[Reserva]]="","",IFERROR(VLOOKUP(MB25_VOLUMETRIA[[#This Row],[UMB]],CHAVE[],2,FALSE),"VERIFICAR"))</f>
        <v>Unidade</v>
      </c>
      <c r="L18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49" s="32" t="str">
        <f ca="1">IFERROR(VLOOKUP(MB25_VOLUMETRIA[[#This Row],[Reserva]],RES_AB[],14,FALSE),"")</f>
        <v>RESERVAS PENDENTES</v>
      </c>
      <c r="N1849" s="32" t="str">
        <f>IF(MB25_VOLUMETRIA[[#This Row],[Cen.]]="","",IFERROR(VLOOKUP(MB25_VOLUMETRIA[[#This Row],[Cen.]],Dados_Empresas[],2,FALSE),"Verificar empresa"))</f>
        <v>NET MASSIVO</v>
      </c>
      <c r="O1849" s="32" t="str">
        <f>IF(MB25_VOLUMETRIA[[#This Row],[EMPRESA]]="","",IF(OR(MB25_VOLUMETRIA[[#This Row],[EMPRESA]]="NET MASSIVO",MB25_VOLUMETRIA[[#This Row],[EMPRESA]]="NET PROJETOS"),"NET","EMPRESARIAL"))</f>
        <v>NET</v>
      </c>
    </row>
    <row r="1850" spans="1:15" x14ac:dyDescent="0.25">
      <c r="A1850" s="32">
        <v>4383984</v>
      </c>
      <c r="B1850" s="32" t="s">
        <v>21</v>
      </c>
      <c r="C1850" s="33" t="s">
        <v>19</v>
      </c>
      <c r="D1850" s="35">
        <v>45449</v>
      </c>
      <c r="E1850" s="32" t="s">
        <v>184</v>
      </c>
      <c r="F1850" s="32">
        <v>41001520</v>
      </c>
      <c r="G1850" s="32" t="s">
        <v>297</v>
      </c>
      <c r="H1850" s="26" t="s">
        <v>38</v>
      </c>
      <c r="I1850" s="36">
        <v>30</v>
      </c>
      <c r="J1850" s="32">
        <f>IF(MB25_VOLUMETRIA[[#This Row],[Reserva]]="","",1)</f>
        <v>1</v>
      </c>
      <c r="K1850" s="36" t="str">
        <f>IF(MB25_VOLUMETRIA[[#This Row],[Reserva]]="","",IFERROR(VLOOKUP(MB25_VOLUMETRIA[[#This Row],[UMB]],CHAVE[],2,FALSE),"VERIFICAR"))</f>
        <v>Unidade</v>
      </c>
      <c r="L18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0" s="32" t="str">
        <f ca="1">IFERROR(VLOOKUP(MB25_VOLUMETRIA[[#This Row],[Reserva]],RES_AB[],14,FALSE),"")</f>
        <v>RESERVAS PENDENTES</v>
      </c>
      <c r="N1850" s="32" t="str">
        <f>IF(MB25_VOLUMETRIA[[#This Row],[Cen.]]="","",IFERROR(VLOOKUP(MB25_VOLUMETRIA[[#This Row],[Cen.]],Dados_Empresas[],2,FALSE),"Verificar empresa"))</f>
        <v>NET MASSIVO</v>
      </c>
      <c r="O1850" s="32" t="str">
        <f>IF(MB25_VOLUMETRIA[[#This Row],[EMPRESA]]="","",IF(OR(MB25_VOLUMETRIA[[#This Row],[EMPRESA]]="NET MASSIVO",MB25_VOLUMETRIA[[#This Row],[EMPRESA]]="NET PROJETOS"),"NET","EMPRESARIAL"))</f>
        <v>NET</v>
      </c>
    </row>
    <row r="1851" spans="1:15" x14ac:dyDescent="0.25">
      <c r="A1851" s="32">
        <v>4383985</v>
      </c>
      <c r="B1851" s="32" t="s">
        <v>21</v>
      </c>
      <c r="C1851" s="33" t="s">
        <v>19</v>
      </c>
      <c r="D1851" s="35">
        <v>45449</v>
      </c>
      <c r="E1851" s="32" t="s">
        <v>185</v>
      </c>
      <c r="F1851" s="32">
        <v>22026103</v>
      </c>
      <c r="G1851" s="32" t="s">
        <v>322</v>
      </c>
      <c r="H1851" s="26" t="s">
        <v>38</v>
      </c>
      <c r="I1851" s="36">
        <v>40</v>
      </c>
      <c r="J1851" s="32">
        <f>IF(MB25_VOLUMETRIA[[#This Row],[Reserva]]="","",1)</f>
        <v>1</v>
      </c>
      <c r="K1851" s="36" t="str">
        <f>IF(MB25_VOLUMETRIA[[#This Row],[Reserva]]="","",IFERROR(VLOOKUP(MB25_VOLUMETRIA[[#This Row],[UMB]],CHAVE[],2,FALSE),"VERIFICAR"))</f>
        <v>Unidade</v>
      </c>
      <c r="L18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1" s="32" t="str">
        <f ca="1">IFERROR(VLOOKUP(MB25_VOLUMETRIA[[#This Row],[Reserva]],RES_AB[],14,FALSE),"")</f>
        <v>RESERVAS PENDENTES</v>
      </c>
      <c r="N1851" s="32" t="str">
        <f>IF(MB25_VOLUMETRIA[[#This Row],[Cen.]]="","",IFERROR(VLOOKUP(MB25_VOLUMETRIA[[#This Row],[Cen.]],Dados_Empresas[],2,FALSE),"Verificar empresa"))</f>
        <v>NET MASSIVO</v>
      </c>
      <c r="O1851" s="32" t="str">
        <f>IF(MB25_VOLUMETRIA[[#This Row],[EMPRESA]]="","",IF(OR(MB25_VOLUMETRIA[[#This Row],[EMPRESA]]="NET MASSIVO",MB25_VOLUMETRIA[[#This Row],[EMPRESA]]="NET PROJETOS"),"NET","EMPRESARIAL"))</f>
        <v>NET</v>
      </c>
    </row>
    <row r="1852" spans="1:15" x14ac:dyDescent="0.25">
      <c r="A1852" s="32">
        <v>4383985</v>
      </c>
      <c r="B1852" s="32" t="s">
        <v>21</v>
      </c>
      <c r="C1852" s="33" t="s">
        <v>19</v>
      </c>
      <c r="D1852" s="35">
        <v>45449</v>
      </c>
      <c r="E1852" s="32" t="s">
        <v>185</v>
      </c>
      <c r="F1852" s="32">
        <v>22026279</v>
      </c>
      <c r="G1852" s="32" t="s">
        <v>350</v>
      </c>
      <c r="H1852" s="26" t="s">
        <v>38</v>
      </c>
      <c r="I1852" s="36">
        <v>270</v>
      </c>
      <c r="J1852" s="32">
        <f>IF(MB25_VOLUMETRIA[[#This Row],[Reserva]]="","",1)</f>
        <v>1</v>
      </c>
      <c r="K1852" s="36" t="str">
        <f>IF(MB25_VOLUMETRIA[[#This Row],[Reserva]]="","",IFERROR(VLOOKUP(MB25_VOLUMETRIA[[#This Row],[UMB]],CHAVE[],2,FALSE),"VERIFICAR"))</f>
        <v>Unidade</v>
      </c>
      <c r="L18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2" s="32" t="str">
        <f ca="1">IFERROR(VLOOKUP(MB25_VOLUMETRIA[[#This Row],[Reserva]],RES_AB[],14,FALSE),"")</f>
        <v>RESERVAS PENDENTES</v>
      </c>
      <c r="N1852" s="32" t="str">
        <f>IF(MB25_VOLUMETRIA[[#This Row],[Cen.]]="","",IFERROR(VLOOKUP(MB25_VOLUMETRIA[[#This Row],[Cen.]],Dados_Empresas[],2,FALSE),"Verificar empresa"))</f>
        <v>NET MASSIVO</v>
      </c>
      <c r="O1852" s="32" t="str">
        <f>IF(MB25_VOLUMETRIA[[#This Row],[EMPRESA]]="","",IF(OR(MB25_VOLUMETRIA[[#This Row],[EMPRESA]]="NET MASSIVO",MB25_VOLUMETRIA[[#This Row],[EMPRESA]]="NET PROJETOS"),"NET","EMPRESARIAL"))</f>
        <v>NET</v>
      </c>
    </row>
    <row r="1853" spans="1:15" x14ac:dyDescent="0.25">
      <c r="A1853" s="32">
        <v>4383985</v>
      </c>
      <c r="B1853" s="32" t="s">
        <v>21</v>
      </c>
      <c r="C1853" s="33" t="s">
        <v>19</v>
      </c>
      <c r="D1853" s="35">
        <v>45449</v>
      </c>
      <c r="E1853" s="32" t="s">
        <v>185</v>
      </c>
      <c r="F1853" s="32">
        <v>22026293</v>
      </c>
      <c r="G1853" s="32" t="s">
        <v>352</v>
      </c>
      <c r="H1853" s="26" t="s">
        <v>38</v>
      </c>
      <c r="I1853" s="36">
        <v>30</v>
      </c>
      <c r="J1853" s="32">
        <f>IF(MB25_VOLUMETRIA[[#This Row],[Reserva]]="","",1)</f>
        <v>1</v>
      </c>
      <c r="K1853" s="36" t="str">
        <f>IF(MB25_VOLUMETRIA[[#This Row],[Reserva]]="","",IFERROR(VLOOKUP(MB25_VOLUMETRIA[[#This Row],[UMB]],CHAVE[],2,FALSE),"VERIFICAR"))</f>
        <v>Unidade</v>
      </c>
      <c r="L18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3" s="32" t="str">
        <f ca="1">IFERROR(VLOOKUP(MB25_VOLUMETRIA[[#This Row],[Reserva]],RES_AB[],14,FALSE),"")</f>
        <v>RESERVAS PENDENTES</v>
      </c>
      <c r="N1853" s="32" t="str">
        <f>IF(MB25_VOLUMETRIA[[#This Row],[Cen.]]="","",IFERROR(VLOOKUP(MB25_VOLUMETRIA[[#This Row],[Cen.]],Dados_Empresas[],2,FALSE),"Verificar empresa"))</f>
        <v>NET MASSIVO</v>
      </c>
      <c r="O1853" s="32" t="str">
        <f>IF(MB25_VOLUMETRIA[[#This Row],[EMPRESA]]="","",IF(OR(MB25_VOLUMETRIA[[#This Row],[EMPRESA]]="NET MASSIVO",MB25_VOLUMETRIA[[#This Row],[EMPRESA]]="NET PROJETOS"),"NET","EMPRESARIAL"))</f>
        <v>NET</v>
      </c>
    </row>
    <row r="1854" spans="1:15" x14ac:dyDescent="0.25">
      <c r="A1854" s="32">
        <v>4383985</v>
      </c>
      <c r="B1854" s="32" t="s">
        <v>21</v>
      </c>
      <c r="C1854" s="33" t="s">
        <v>19</v>
      </c>
      <c r="D1854" s="35">
        <v>45449</v>
      </c>
      <c r="E1854" s="32" t="s">
        <v>185</v>
      </c>
      <c r="F1854" s="32">
        <v>22058639</v>
      </c>
      <c r="G1854" s="32" t="s">
        <v>290</v>
      </c>
      <c r="H1854" s="26" t="s">
        <v>38</v>
      </c>
      <c r="I1854" s="36">
        <v>40</v>
      </c>
      <c r="J1854" s="32">
        <f>IF(MB25_VOLUMETRIA[[#This Row],[Reserva]]="","",1)</f>
        <v>1</v>
      </c>
      <c r="K1854" s="36" t="str">
        <f>IF(MB25_VOLUMETRIA[[#This Row],[Reserva]]="","",IFERROR(VLOOKUP(MB25_VOLUMETRIA[[#This Row],[UMB]],CHAVE[],2,FALSE),"VERIFICAR"))</f>
        <v>Unidade</v>
      </c>
      <c r="L18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4" s="32" t="str">
        <f ca="1">IFERROR(VLOOKUP(MB25_VOLUMETRIA[[#This Row],[Reserva]],RES_AB[],14,FALSE),"")</f>
        <v>RESERVAS PENDENTES</v>
      </c>
      <c r="N1854" s="32" t="str">
        <f>IF(MB25_VOLUMETRIA[[#This Row],[Cen.]]="","",IFERROR(VLOOKUP(MB25_VOLUMETRIA[[#This Row],[Cen.]],Dados_Empresas[],2,FALSE),"Verificar empresa"))</f>
        <v>NET MASSIVO</v>
      </c>
      <c r="O1854" s="32" t="str">
        <f>IF(MB25_VOLUMETRIA[[#This Row],[EMPRESA]]="","",IF(OR(MB25_VOLUMETRIA[[#This Row],[EMPRESA]]="NET MASSIVO",MB25_VOLUMETRIA[[#This Row],[EMPRESA]]="NET PROJETOS"),"NET","EMPRESARIAL"))</f>
        <v>NET</v>
      </c>
    </row>
    <row r="1855" spans="1:15" x14ac:dyDescent="0.25">
      <c r="A1855" s="32">
        <v>4383985</v>
      </c>
      <c r="B1855" s="32" t="s">
        <v>21</v>
      </c>
      <c r="C1855" s="33" t="s">
        <v>21</v>
      </c>
      <c r="D1855" s="35">
        <v>45449</v>
      </c>
      <c r="E1855" s="32" t="s">
        <v>185</v>
      </c>
      <c r="F1855" s="32">
        <v>22060422</v>
      </c>
      <c r="G1855" s="32" t="s">
        <v>298</v>
      </c>
      <c r="H1855" s="26" t="s">
        <v>38</v>
      </c>
      <c r="I1855" s="36">
        <v>30</v>
      </c>
      <c r="J1855" s="32">
        <f>IF(MB25_VOLUMETRIA[[#This Row],[Reserva]]="","",1)</f>
        <v>1</v>
      </c>
      <c r="K1855" s="36" t="str">
        <f>IF(MB25_VOLUMETRIA[[#This Row],[Reserva]]="","",IFERROR(VLOOKUP(MB25_VOLUMETRIA[[#This Row],[UMB]],CHAVE[],2,FALSE),"VERIFICAR"))</f>
        <v>Unidade</v>
      </c>
      <c r="L18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5" s="32" t="str">
        <f ca="1">IFERROR(VLOOKUP(MB25_VOLUMETRIA[[#This Row],[Reserva]],RES_AB[],14,FALSE),"")</f>
        <v>RESERVAS PENDENTES</v>
      </c>
      <c r="N1855" s="32" t="str">
        <f>IF(MB25_VOLUMETRIA[[#This Row],[Cen.]]="","",IFERROR(VLOOKUP(MB25_VOLUMETRIA[[#This Row],[Cen.]],Dados_Empresas[],2,FALSE),"Verificar empresa"))</f>
        <v>NET MASSIVO</v>
      </c>
      <c r="O1855" s="32" t="str">
        <f>IF(MB25_VOLUMETRIA[[#This Row],[EMPRESA]]="","",IF(OR(MB25_VOLUMETRIA[[#This Row],[EMPRESA]]="NET MASSIVO",MB25_VOLUMETRIA[[#This Row],[EMPRESA]]="NET PROJETOS"),"NET","EMPRESARIAL"))</f>
        <v>NET</v>
      </c>
    </row>
    <row r="1856" spans="1:15" x14ac:dyDescent="0.25">
      <c r="A1856" s="32">
        <v>4383985</v>
      </c>
      <c r="B1856" s="32" t="s">
        <v>21</v>
      </c>
      <c r="C1856" s="33" t="s">
        <v>21</v>
      </c>
      <c r="D1856" s="35">
        <v>45449</v>
      </c>
      <c r="E1856" s="32" t="s">
        <v>185</v>
      </c>
      <c r="F1856" s="32">
        <v>22063252</v>
      </c>
      <c r="G1856" s="32" t="s">
        <v>323</v>
      </c>
      <c r="H1856" s="26" t="s">
        <v>38</v>
      </c>
      <c r="I1856" s="36">
        <v>40</v>
      </c>
      <c r="J1856" s="32">
        <f>IF(MB25_VOLUMETRIA[[#This Row],[Reserva]]="","",1)</f>
        <v>1</v>
      </c>
      <c r="K1856" s="36" t="str">
        <f>IF(MB25_VOLUMETRIA[[#This Row],[Reserva]]="","",IFERROR(VLOOKUP(MB25_VOLUMETRIA[[#This Row],[UMB]],CHAVE[],2,FALSE),"VERIFICAR"))</f>
        <v>Unidade</v>
      </c>
      <c r="L18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6" s="32" t="str">
        <f ca="1">IFERROR(VLOOKUP(MB25_VOLUMETRIA[[#This Row],[Reserva]],RES_AB[],14,FALSE),"")</f>
        <v>RESERVAS PENDENTES</v>
      </c>
      <c r="N1856" s="32" t="str">
        <f>IF(MB25_VOLUMETRIA[[#This Row],[Cen.]]="","",IFERROR(VLOOKUP(MB25_VOLUMETRIA[[#This Row],[Cen.]],Dados_Empresas[],2,FALSE),"Verificar empresa"))</f>
        <v>NET MASSIVO</v>
      </c>
      <c r="O1856" s="32" t="str">
        <f>IF(MB25_VOLUMETRIA[[#This Row],[EMPRESA]]="","",IF(OR(MB25_VOLUMETRIA[[#This Row],[EMPRESA]]="NET MASSIVO",MB25_VOLUMETRIA[[#This Row],[EMPRESA]]="NET PROJETOS"),"NET","EMPRESARIAL"))</f>
        <v>NET</v>
      </c>
    </row>
    <row r="1857" spans="1:15" x14ac:dyDescent="0.25">
      <c r="A1857" s="32">
        <v>4383986</v>
      </c>
      <c r="B1857" s="32" t="s">
        <v>21</v>
      </c>
      <c r="C1857" s="33" t="s">
        <v>19</v>
      </c>
      <c r="D1857" s="35">
        <v>45449</v>
      </c>
      <c r="E1857" s="32" t="s">
        <v>184</v>
      </c>
      <c r="F1857" s="32">
        <v>41000805</v>
      </c>
      <c r="G1857" s="32" t="s">
        <v>188</v>
      </c>
      <c r="H1857" s="26" t="s">
        <v>38</v>
      </c>
      <c r="I1857" s="36">
        <v>40</v>
      </c>
      <c r="J1857" s="32">
        <f>IF(MB25_VOLUMETRIA[[#This Row],[Reserva]]="","",1)</f>
        <v>1</v>
      </c>
      <c r="K1857" s="36" t="str">
        <f>IF(MB25_VOLUMETRIA[[#This Row],[Reserva]]="","",IFERROR(VLOOKUP(MB25_VOLUMETRIA[[#This Row],[UMB]],CHAVE[],2,FALSE),"VERIFICAR"))</f>
        <v>Unidade</v>
      </c>
      <c r="L18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7" s="32" t="str">
        <f ca="1">IFERROR(VLOOKUP(MB25_VOLUMETRIA[[#This Row],[Reserva]],RES_AB[],14,FALSE),"")</f>
        <v>RESERVAS PENDENTES</v>
      </c>
      <c r="N1857" s="32" t="str">
        <f>IF(MB25_VOLUMETRIA[[#This Row],[Cen.]]="","",IFERROR(VLOOKUP(MB25_VOLUMETRIA[[#This Row],[Cen.]],Dados_Empresas[],2,FALSE),"Verificar empresa"))</f>
        <v>NET MASSIVO</v>
      </c>
      <c r="O1857" s="32" t="str">
        <f>IF(MB25_VOLUMETRIA[[#This Row],[EMPRESA]]="","",IF(OR(MB25_VOLUMETRIA[[#This Row],[EMPRESA]]="NET MASSIVO",MB25_VOLUMETRIA[[#This Row],[EMPRESA]]="NET PROJETOS"),"NET","EMPRESARIAL"))</f>
        <v>NET</v>
      </c>
    </row>
    <row r="1858" spans="1:15" x14ac:dyDescent="0.25">
      <c r="A1858" s="32">
        <v>4383986</v>
      </c>
      <c r="B1858" s="32" t="s">
        <v>21</v>
      </c>
      <c r="C1858" s="33" t="s">
        <v>19</v>
      </c>
      <c r="D1858" s="35">
        <v>45449</v>
      </c>
      <c r="E1858" s="32" t="s">
        <v>184</v>
      </c>
      <c r="F1858" s="32">
        <v>41001234</v>
      </c>
      <c r="G1858" s="32" t="s">
        <v>189</v>
      </c>
      <c r="H1858" s="26" t="s">
        <v>38</v>
      </c>
      <c r="I1858" s="36">
        <v>30</v>
      </c>
      <c r="J1858" s="32">
        <f>IF(MB25_VOLUMETRIA[[#This Row],[Reserva]]="","",1)</f>
        <v>1</v>
      </c>
      <c r="K1858" s="36" t="str">
        <f>IF(MB25_VOLUMETRIA[[#This Row],[Reserva]]="","",IFERROR(VLOOKUP(MB25_VOLUMETRIA[[#This Row],[UMB]],CHAVE[],2,FALSE),"VERIFICAR"))</f>
        <v>Unidade</v>
      </c>
      <c r="L18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8" s="32" t="str">
        <f ca="1">IFERROR(VLOOKUP(MB25_VOLUMETRIA[[#This Row],[Reserva]],RES_AB[],14,FALSE),"")</f>
        <v>RESERVAS PENDENTES</v>
      </c>
      <c r="N1858" s="32" t="str">
        <f>IF(MB25_VOLUMETRIA[[#This Row],[Cen.]]="","",IFERROR(VLOOKUP(MB25_VOLUMETRIA[[#This Row],[Cen.]],Dados_Empresas[],2,FALSE),"Verificar empresa"))</f>
        <v>NET MASSIVO</v>
      </c>
      <c r="O1858" s="32" t="str">
        <f>IF(MB25_VOLUMETRIA[[#This Row],[EMPRESA]]="","",IF(OR(MB25_VOLUMETRIA[[#This Row],[EMPRESA]]="NET MASSIVO",MB25_VOLUMETRIA[[#This Row],[EMPRESA]]="NET PROJETOS"),"NET","EMPRESARIAL"))</f>
        <v>NET</v>
      </c>
    </row>
    <row r="1859" spans="1:15" x14ac:dyDescent="0.25">
      <c r="A1859" s="32">
        <v>4383986</v>
      </c>
      <c r="B1859" s="32" t="s">
        <v>21</v>
      </c>
      <c r="C1859" s="33" t="s">
        <v>19</v>
      </c>
      <c r="D1859" s="35">
        <v>45449</v>
      </c>
      <c r="E1859" s="32" t="s">
        <v>184</v>
      </c>
      <c r="F1859" s="32">
        <v>41001277</v>
      </c>
      <c r="G1859" s="32" t="s">
        <v>466</v>
      </c>
      <c r="H1859" s="26" t="s">
        <v>38</v>
      </c>
      <c r="I1859" s="36">
        <v>30</v>
      </c>
      <c r="J1859" s="32">
        <f>IF(MB25_VOLUMETRIA[[#This Row],[Reserva]]="","",1)</f>
        <v>1</v>
      </c>
      <c r="K1859" s="36" t="str">
        <f>IF(MB25_VOLUMETRIA[[#This Row],[Reserva]]="","",IFERROR(VLOOKUP(MB25_VOLUMETRIA[[#This Row],[UMB]],CHAVE[],2,FALSE),"VERIFICAR"))</f>
        <v>Unidade</v>
      </c>
      <c r="L18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59" s="32" t="str">
        <f ca="1">IFERROR(VLOOKUP(MB25_VOLUMETRIA[[#This Row],[Reserva]],RES_AB[],14,FALSE),"")</f>
        <v>RESERVAS PENDENTES</v>
      </c>
      <c r="N1859" s="32" t="str">
        <f>IF(MB25_VOLUMETRIA[[#This Row],[Cen.]]="","",IFERROR(VLOOKUP(MB25_VOLUMETRIA[[#This Row],[Cen.]],Dados_Empresas[],2,FALSE),"Verificar empresa"))</f>
        <v>NET MASSIVO</v>
      </c>
      <c r="O1859" s="32" t="str">
        <f>IF(MB25_VOLUMETRIA[[#This Row],[EMPRESA]]="","",IF(OR(MB25_VOLUMETRIA[[#This Row],[EMPRESA]]="NET MASSIVO",MB25_VOLUMETRIA[[#This Row],[EMPRESA]]="NET PROJETOS"),"NET","EMPRESARIAL"))</f>
        <v>NET</v>
      </c>
    </row>
    <row r="1860" spans="1:15" x14ac:dyDescent="0.25">
      <c r="A1860" s="32">
        <v>4383986</v>
      </c>
      <c r="B1860" s="32" t="s">
        <v>21</v>
      </c>
      <c r="C1860" s="33" t="s">
        <v>19</v>
      </c>
      <c r="D1860" s="35">
        <v>45449</v>
      </c>
      <c r="E1860" s="32" t="s">
        <v>184</v>
      </c>
      <c r="F1860" s="32">
        <v>41001293</v>
      </c>
      <c r="G1860" s="32" t="s">
        <v>468</v>
      </c>
      <c r="H1860" s="26" t="s">
        <v>38</v>
      </c>
      <c r="I1860" s="36">
        <v>270</v>
      </c>
      <c r="J1860" s="32">
        <f>IF(MB25_VOLUMETRIA[[#This Row],[Reserva]]="","",1)</f>
        <v>1</v>
      </c>
      <c r="K1860" s="36" t="str">
        <f>IF(MB25_VOLUMETRIA[[#This Row],[Reserva]]="","",IFERROR(VLOOKUP(MB25_VOLUMETRIA[[#This Row],[UMB]],CHAVE[],2,FALSE),"VERIFICAR"))</f>
        <v>Unidade</v>
      </c>
      <c r="L18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0" s="32" t="str">
        <f ca="1">IFERROR(VLOOKUP(MB25_VOLUMETRIA[[#This Row],[Reserva]],RES_AB[],14,FALSE),"")</f>
        <v>RESERVAS PENDENTES</v>
      </c>
      <c r="N1860" s="32" t="str">
        <f>IF(MB25_VOLUMETRIA[[#This Row],[Cen.]]="","",IFERROR(VLOOKUP(MB25_VOLUMETRIA[[#This Row],[Cen.]],Dados_Empresas[],2,FALSE),"Verificar empresa"))</f>
        <v>NET MASSIVO</v>
      </c>
      <c r="O1860" s="32" t="str">
        <f>IF(MB25_VOLUMETRIA[[#This Row],[EMPRESA]]="","",IF(OR(MB25_VOLUMETRIA[[#This Row],[EMPRESA]]="NET MASSIVO",MB25_VOLUMETRIA[[#This Row],[EMPRESA]]="NET PROJETOS"),"NET","EMPRESARIAL"))</f>
        <v>NET</v>
      </c>
    </row>
    <row r="1861" spans="1:15" x14ac:dyDescent="0.25">
      <c r="A1861" s="32">
        <v>4383986</v>
      </c>
      <c r="B1861" s="32" t="s">
        <v>21</v>
      </c>
      <c r="C1861" s="33" t="s">
        <v>19</v>
      </c>
      <c r="D1861" s="35">
        <v>45449</v>
      </c>
      <c r="E1861" s="32" t="s">
        <v>184</v>
      </c>
      <c r="F1861" s="32">
        <v>41001484</v>
      </c>
      <c r="G1861" s="32" t="s">
        <v>292</v>
      </c>
      <c r="H1861" s="26" t="s">
        <v>38</v>
      </c>
      <c r="I1861" s="36">
        <v>40</v>
      </c>
      <c r="J1861" s="32">
        <f>IF(MB25_VOLUMETRIA[[#This Row],[Reserva]]="","",1)</f>
        <v>1</v>
      </c>
      <c r="K1861" s="36" t="str">
        <f>IF(MB25_VOLUMETRIA[[#This Row],[Reserva]]="","",IFERROR(VLOOKUP(MB25_VOLUMETRIA[[#This Row],[UMB]],CHAVE[],2,FALSE),"VERIFICAR"))</f>
        <v>Unidade</v>
      </c>
      <c r="L18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1" s="32" t="str">
        <f ca="1">IFERROR(VLOOKUP(MB25_VOLUMETRIA[[#This Row],[Reserva]],RES_AB[],14,FALSE),"")</f>
        <v>RESERVAS PENDENTES</v>
      </c>
      <c r="N1861" s="32" t="str">
        <f>IF(MB25_VOLUMETRIA[[#This Row],[Cen.]]="","",IFERROR(VLOOKUP(MB25_VOLUMETRIA[[#This Row],[Cen.]],Dados_Empresas[],2,FALSE),"Verificar empresa"))</f>
        <v>NET MASSIVO</v>
      </c>
      <c r="O1861" s="32" t="str">
        <f>IF(MB25_VOLUMETRIA[[#This Row],[EMPRESA]]="","",IF(OR(MB25_VOLUMETRIA[[#This Row],[EMPRESA]]="NET MASSIVO",MB25_VOLUMETRIA[[#This Row],[EMPRESA]]="NET PROJETOS"),"NET","EMPRESARIAL"))</f>
        <v>NET</v>
      </c>
    </row>
    <row r="1862" spans="1:15" x14ac:dyDescent="0.25">
      <c r="A1862" s="32">
        <v>4383986</v>
      </c>
      <c r="B1862" s="32" t="s">
        <v>21</v>
      </c>
      <c r="C1862" s="33" t="s">
        <v>182</v>
      </c>
      <c r="D1862" s="35">
        <v>45449</v>
      </c>
      <c r="E1862" s="32" t="s">
        <v>184</v>
      </c>
      <c r="F1862" s="32">
        <v>41001530</v>
      </c>
      <c r="G1862" s="32" t="s">
        <v>319</v>
      </c>
      <c r="H1862" s="26" t="s">
        <v>38</v>
      </c>
      <c r="I1862" s="36">
        <v>50</v>
      </c>
      <c r="J1862" s="32">
        <f>IF(MB25_VOLUMETRIA[[#This Row],[Reserva]]="","",1)</f>
        <v>1</v>
      </c>
      <c r="K1862" s="36" t="str">
        <f>IF(MB25_VOLUMETRIA[[#This Row],[Reserva]]="","",IFERROR(VLOOKUP(MB25_VOLUMETRIA[[#This Row],[UMB]],CHAVE[],2,FALSE),"VERIFICAR"))</f>
        <v>Unidade</v>
      </c>
      <c r="L18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2" s="32" t="str">
        <f ca="1">IFERROR(VLOOKUP(MB25_VOLUMETRIA[[#This Row],[Reserva]],RES_AB[],14,FALSE),"")</f>
        <v>RESERVAS PENDENTES</v>
      </c>
      <c r="N1862" s="32" t="str">
        <f>IF(MB25_VOLUMETRIA[[#This Row],[Cen.]]="","",IFERROR(VLOOKUP(MB25_VOLUMETRIA[[#This Row],[Cen.]],Dados_Empresas[],2,FALSE),"Verificar empresa"))</f>
        <v>NET MASSIVO</v>
      </c>
      <c r="O1862" s="32" t="str">
        <f>IF(MB25_VOLUMETRIA[[#This Row],[EMPRESA]]="","",IF(OR(MB25_VOLUMETRIA[[#This Row],[EMPRESA]]="NET MASSIVO",MB25_VOLUMETRIA[[#This Row],[EMPRESA]]="NET PROJETOS"),"NET","EMPRESARIAL"))</f>
        <v>NET</v>
      </c>
    </row>
    <row r="1863" spans="1:15" x14ac:dyDescent="0.25">
      <c r="A1863" s="32">
        <v>4383986</v>
      </c>
      <c r="B1863" s="32" t="s">
        <v>21</v>
      </c>
      <c r="C1863" s="33" t="s">
        <v>21</v>
      </c>
      <c r="D1863" s="35">
        <v>45449</v>
      </c>
      <c r="E1863" s="32" t="s">
        <v>184</v>
      </c>
      <c r="F1863" s="32">
        <v>41001590</v>
      </c>
      <c r="G1863" s="32" t="s">
        <v>239</v>
      </c>
      <c r="H1863" s="26" t="s">
        <v>38</v>
      </c>
      <c r="I1863" s="36">
        <v>50</v>
      </c>
      <c r="J1863" s="32">
        <f>IF(MB25_VOLUMETRIA[[#This Row],[Reserva]]="","",1)</f>
        <v>1</v>
      </c>
      <c r="K1863" s="36" t="str">
        <f>IF(MB25_VOLUMETRIA[[#This Row],[Reserva]]="","",IFERROR(VLOOKUP(MB25_VOLUMETRIA[[#This Row],[UMB]],CHAVE[],2,FALSE),"VERIFICAR"))</f>
        <v>Unidade</v>
      </c>
      <c r="L18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3" s="32" t="str">
        <f ca="1">IFERROR(VLOOKUP(MB25_VOLUMETRIA[[#This Row],[Reserva]],RES_AB[],14,FALSE),"")</f>
        <v>RESERVAS PENDENTES</v>
      </c>
      <c r="N1863" s="32" t="str">
        <f>IF(MB25_VOLUMETRIA[[#This Row],[Cen.]]="","",IFERROR(VLOOKUP(MB25_VOLUMETRIA[[#This Row],[Cen.]],Dados_Empresas[],2,FALSE),"Verificar empresa"))</f>
        <v>NET MASSIVO</v>
      </c>
      <c r="O1863" s="32" t="str">
        <f>IF(MB25_VOLUMETRIA[[#This Row],[EMPRESA]]="","",IF(OR(MB25_VOLUMETRIA[[#This Row],[EMPRESA]]="NET MASSIVO",MB25_VOLUMETRIA[[#This Row],[EMPRESA]]="NET PROJETOS"),"NET","EMPRESARIAL"))</f>
        <v>NET</v>
      </c>
    </row>
    <row r="1864" spans="1:15" x14ac:dyDescent="0.25">
      <c r="A1864" s="32">
        <v>4383987</v>
      </c>
      <c r="B1864" s="32" t="s">
        <v>21</v>
      </c>
      <c r="C1864" s="33" t="s">
        <v>21</v>
      </c>
      <c r="D1864" s="35">
        <v>45449</v>
      </c>
      <c r="E1864" s="32" t="s">
        <v>185</v>
      </c>
      <c r="F1864" s="32">
        <v>22062577</v>
      </c>
      <c r="G1864" s="32" t="s">
        <v>467</v>
      </c>
      <c r="H1864" s="26" t="s">
        <v>38</v>
      </c>
      <c r="I1864" s="36">
        <v>500</v>
      </c>
      <c r="J1864" s="32">
        <f>IF(MB25_VOLUMETRIA[[#This Row],[Reserva]]="","",1)</f>
        <v>1</v>
      </c>
      <c r="K1864" s="36" t="str">
        <f>IF(MB25_VOLUMETRIA[[#This Row],[Reserva]]="","",IFERROR(VLOOKUP(MB25_VOLUMETRIA[[#This Row],[UMB]],CHAVE[],2,FALSE),"VERIFICAR"))</f>
        <v>Unidade</v>
      </c>
      <c r="L18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4" s="32" t="str">
        <f ca="1">IFERROR(VLOOKUP(MB25_VOLUMETRIA[[#This Row],[Reserva]],RES_AB[],14,FALSE),"")</f>
        <v>RESERVAS PENDENTES</v>
      </c>
      <c r="N1864" s="32" t="str">
        <f>IF(MB25_VOLUMETRIA[[#This Row],[Cen.]]="","",IFERROR(VLOOKUP(MB25_VOLUMETRIA[[#This Row],[Cen.]],Dados_Empresas[],2,FALSE),"Verificar empresa"))</f>
        <v>NET MASSIVO</v>
      </c>
      <c r="O1864" s="32" t="str">
        <f>IF(MB25_VOLUMETRIA[[#This Row],[EMPRESA]]="","",IF(OR(MB25_VOLUMETRIA[[#This Row],[EMPRESA]]="NET MASSIVO",MB25_VOLUMETRIA[[#This Row],[EMPRESA]]="NET PROJETOS"),"NET","EMPRESARIAL"))</f>
        <v>NET</v>
      </c>
    </row>
    <row r="1865" spans="1:15" x14ac:dyDescent="0.25">
      <c r="A1865" s="32">
        <v>4383988</v>
      </c>
      <c r="B1865" s="32" t="s">
        <v>21</v>
      </c>
      <c r="C1865" s="33" t="s">
        <v>19</v>
      </c>
      <c r="D1865" s="35">
        <v>45449</v>
      </c>
      <c r="E1865" s="32" t="s">
        <v>184</v>
      </c>
      <c r="F1865" s="32">
        <v>41001234</v>
      </c>
      <c r="G1865" s="32" t="s">
        <v>189</v>
      </c>
      <c r="H1865" s="26" t="s">
        <v>38</v>
      </c>
      <c r="I1865" s="36">
        <v>50</v>
      </c>
      <c r="J1865" s="32">
        <f>IF(MB25_VOLUMETRIA[[#This Row],[Reserva]]="","",1)</f>
        <v>1</v>
      </c>
      <c r="K1865" s="36" t="str">
        <f>IF(MB25_VOLUMETRIA[[#This Row],[Reserva]]="","",IFERROR(VLOOKUP(MB25_VOLUMETRIA[[#This Row],[UMB]],CHAVE[],2,FALSE),"VERIFICAR"))</f>
        <v>Unidade</v>
      </c>
      <c r="L18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5" s="32" t="str">
        <f ca="1">IFERROR(VLOOKUP(MB25_VOLUMETRIA[[#This Row],[Reserva]],RES_AB[],14,FALSE),"")</f>
        <v>RESERVAS PENDENTES</v>
      </c>
      <c r="N1865" s="32" t="str">
        <f>IF(MB25_VOLUMETRIA[[#This Row],[Cen.]]="","",IFERROR(VLOOKUP(MB25_VOLUMETRIA[[#This Row],[Cen.]],Dados_Empresas[],2,FALSE),"Verificar empresa"))</f>
        <v>NET MASSIVO</v>
      </c>
      <c r="O1865" s="32" t="str">
        <f>IF(MB25_VOLUMETRIA[[#This Row],[EMPRESA]]="","",IF(OR(MB25_VOLUMETRIA[[#This Row],[EMPRESA]]="NET MASSIVO",MB25_VOLUMETRIA[[#This Row],[EMPRESA]]="NET PROJETOS"),"NET","EMPRESARIAL"))</f>
        <v>NET</v>
      </c>
    </row>
    <row r="1866" spans="1:15" x14ac:dyDescent="0.25">
      <c r="A1866" s="32">
        <v>4383988</v>
      </c>
      <c r="B1866" s="32" t="s">
        <v>21</v>
      </c>
      <c r="C1866" s="33" t="s">
        <v>19</v>
      </c>
      <c r="D1866" s="35">
        <v>45449</v>
      </c>
      <c r="E1866" s="32" t="s">
        <v>184</v>
      </c>
      <c r="F1866" s="32">
        <v>41001277</v>
      </c>
      <c r="G1866" s="32" t="s">
        <v>466</v>
      </c>
      <c r="H1866" s="26" t="s">
        <v>38</v>
      </c>
      <c r="I1866" s="36">
        <v>50</v>
      </c>
      <c r="J1866" s="32">
        <f>IF(MB25_VOLUMETRIA[[#This Row],[Reserva]]="","",1)</f>
        <v>1</v>
      </c>
      <c r="K1866" s="36" t="str">
        <f>IF(MB25_VOLUMETRIA[[#This Row],[Reserva]]="","",IFERROR(VLOOKUP(MB25_VOLUMETRIA[[#This Row],[UMB]],CHAVE[],2,FALSE),"VERIFICAR"))</f>
        <v>Unidade</v>
      </c>
      <c r="L18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6" s="32" t="str">
        <f ca="1">IFERROR(VLOOKUP(MB25_VOLUMETRIA[[#This Row],[Reserva]],RES_AB[],14,FALSE),"")</f>
        <v>RESERVAS PENDENTES</v>
      </c>
      <c r="N1866" s="32" t="str">
        <f>IF(MB25_VOLUMETRIA[[#This Row],[Cen.]]="","",IFERROR(VLOOKUP(MB25_VOLUMETRIA[[#This Row],[Cen.]],Dados_Empresas[],2,FALSE),"Verificar empresa"))</f>
        <v>NET MASSIVO</v>
      </c>
      <c r="O1866" s="32" t="str">
        <f>IF(MB25_VOLUMETRIA[[#This Row],[EMPRESA]]="","",IF(OR(MB25_VOLUMETRIA[[#This Row],[EMPRESA]]="NET MASSIVO",MB25_VOLUMETRIA[[#This Row],[EMPRESA]]="NET PROJETOS"),"NET","EMPRESARIAL"))</f>
        <v>NET</v>
      </c>
    </row>
    <row r="1867" spans="1:15" x14ac:dyDescent="0.25">
      <c r="A1867" s="32">
        <v>4383988</v>
      </c>
      <c r="B1867" s="32" t="s">
        <v>21</v>
      </c>
      <c r="C1867" s="33" t="s">
        <v>19</v>
      </c>
      <c r="D1867" s="35">
        <v>45449</v>
      </c>
      <c r="E1867" s="32" t="s">
        <v>184</v>
      </c>
      <c r="F1867" s="32">
        <v>41001518</v>
      </c>
      <c r="G1867" s="32" t="s">
        <v>320</v>
      </c>
      <c r="H1867" s="26" t="s">
        <v>38</v>
      </c>
      <c r="I1867" s="36">
        <v>500</v>
      </c>
      <c r="J1867" s="32">
        <f>IF(MB25_VOLUMETRIA[[#This Row],[Reserva]]="","",1)</f>
        <v>1</v>
      </c>
      <c r="K1867" s="36" t="str">
        <f>IF(MB25_VOLUMETRIA[[#This Row],[Reserva]]="","",IFERROR(VLOOKUP(MB25_VOLUMETRIA[[#This Row],[UMB]],CHAVE[],2,FALSE),"VERIFICAR"))</f>
        <v>Unidade</v>
      </c>
      <c r="L18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7" s="32" t="str">
        <f ca="1">IFERROR(VLOOKUP(MB25_VOLUMETRIA[[#This Row],[Reserva]],RES_AB[],14,FALSE),"")</f>
        <v>RESERVAS PENDENTES</v>
      </c>
      <c r="N1867" s="32" t="str">
        <f>IF(MB25_VOLUMETRIA[[#This Row],[Cen.]]="","",IFERROR(VLOOKUP(MB25_VOLUMETRIA[[#This Row],[Cen.]],Dados_Empresas[],2,FALSE),"Verificar empresa"))</f>
        <v>NET MASSIVO</v>
      </c>
      <c r="O1867" s="32" t="str">
        <f>IF(MB25_VOLUMETRIA[[#This Row],[EMPRESA]]="","",IF(OR(MB25_VOLUMETRIA[[#This Row],[EMPRESA]]="NET MASSIVO",MB25_VOLUMETRIA[[#This Row],[EMPRESA]]="NET PROJETOS"),"NET","EMPRESARIAL"))</f>
        <v>NET</v>
      </c>
    </row>
    <row r="1868" spans="1:15" x14ac:dyDescent="0.25">
      <c r="A1868" s="32">
        <v>4383989</v>
      </c>
      <c r="B1868" s="32" t="s">
        <v>21</v>
      </c>
      <c r="C1868" s="33" t="s">
        <v>19</v>
      </c>
      <c r="D1868" s="35">
        <v>45449</v>
      </c>
      <c r="E1868" s="32" t="s">
        <v>185</v>
      </c>
      <c r="F1868" s="32">
        <v>22026279</v>
      </c>
      <c r="G1868" s="32" t="s">
        <v>350</v>
      </c>
      <c r="H1868" s="26" t="s">
        <v>38</v>
      </c>
      <c r="I1868" s="36">
        <v>240</v>
      </c>
      <c r="J1868" s="32">
        <f>IF(MB25_VOLUMETRIA[[#This Row],[Reserva]]="","",1)</f>
        <v>1</v>
      </c>
      <c r="K1868" s="36" t="str">
        <f>IF(MB25_VOLUMETRIA[[#This Row],[Reserva]]="","",IFERROR(VLOOKUP(MB25_VOLUMETRIA[[#This Row],[UMB]],CHAVE[],2,FALSE),"VERIFICAR"))</f>
        <v>Unidade</v>
      </c>
      <c r="L18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8" s="32" t="str">
        <f ca="1">IFERROR(VLOOKUP(MB25_VOLUMETRIA[[#This Row],[Reserva]],RES_AB[],14,FALSE),"")</f>
        <v>RESERVAS PENDENTES</v>
      </c>
      <c r="N1868" s="32" t="str">
        <f>IF(MB25_VOLUMETRIA[[#This Row],[Cen.]]="","",IFERROR(VLOOKUP(MB25_VOLUMETRIA[[#This Row],[Cen.]],Dados_Empresas[],2,FALSE),"Verificar empresa"))</f>
        <v>NET MASSIVO</v>
      </c>
      <c r="O1868" s="32" t="str">
        <f>IF(MB25_VOLUMETRIA[[#This Row],[EMPRESA]]="","",IF(OR(MB25_VOLUMETRIA[[#This Row],[EMPRESA]]="NET MASSIVO",MB25_VOLUMETRIA[[#This Row],[EMPRESA]]="NET PROJETOS"),"NET","EMPRESARIAL"))</f>
        <v>NET</v>
      </c>
    </row>
    <row r="1869" spans="1:15" x14ac:dyDescent="0.25">
      <c r="A1869" s="32">
        <v>4383989</v>
      </c>
      <c r="B1869" s="32" t="s">
        <v>21</v>
      </c>
      <c r="C1869" s="33" t="s">
        <v>19</v>
      </c>
      <c r="D1869" s="35">
        <v>45449</v>
      </c>
      <c r="E1869" s="32" t="s">
        <v>185</v>
      </c>
      <c r="F1869" s="32">
        <v>22026293</v>
      </c>
      <c r="G1869" s="32" t="s">
        <v>352</v>
      </c>
      <c r="H1869" s="26" t="s">
        <v>38</v>
      </c>
      <c r="I1869" s="36">
        <v>60</v>
      </c>
      <c r="J1869" s="32">
        <f>IF(MB25_VOLUMETRIA[[#This Row],[Reserva]]="","",1)</f>
        <v>1</v>
      </c>
      <c r="K1869" s="36" t="str">
        <f>IF(MB25_VOLUMETRIA[[#This Row],[Reserva]]="","",IFERROR(VLOOKUP(MB25_VOLUMETRIA[[#This Row],[UMB]],CHAVE[],2,FALSE),"VERIFICAR"))</f>
        <v>Unidade</v>
      </c>
      <c r="L18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69" s="32" t="str">
        <f ca="1">IFERROR(VLOOKUP(MB25_VOLUMETRIA[[#This Row],[Reserva]],RES_AB[],14,FALSE),"")</f>
        <v>RESERVAS PENDENTES</v>
      </c>
      <c r="N1869" s="32" t="str">
        <f>IF(MB25_VOLUMETRIA[[#This Row],[Cen.]]="","",IFERROR(VLOOKUP(MB25_VOLUMETRIA[[#This Row],[Cen.]],Dados_Empresas[],2,FALSE),"Verificar empresa"))</f>
        <v>NET MASSIVO</v>
      </c>
      <c r="O1869" s="32" t="str">
        <f>IF(MB25_VOLUMETRIA[[#This Row],[EMPRESA]]="","",IF(OR(MB25_VOLUMETRIA[[#This Row],[EMPRESA]]="NET MASSIVO",MB25_VOLUMETRIA[[#This Row],[EMPRESA]]="NET PROJETOS"),"NET","EMPRESARIAL"))</f>
        <v>NET</v>
      </c>
    </row>
    <row r="1870" spans="1:15" x14ac:dyDescent="0.25">
      <c r="A1870" s="32">
        <v>4383989</v>
      </c>
      <c r="B1870" s="32" t="s">
        <v>21</v>
      </c>
      <c r="C1870" s="33" t="s">
        <v>21</v>
      </c>
      <c r="D1870" s="35">
        <v>45449</v>
      </c>
      <c r="E1870" s="32" t="s">
        <v>185</v>
      </c>
      <c r="F1870" s="32">
        <v>22060422</v>
      </c>
      <c r="G1870" s="32" t="s">
        <v>298</v>
      </c>
      <c r="H1870" s="26" t="s">
        <v>38</v>
      </c>
      <c r="I1870" s="36">
        <v>60</v>
      </c>
      <c r="J1870" s="32">
        <f>IF(MB25_VOLUMETRIA[[#This Row],[Reserva]]="","",1)</f>
        <v>1</v>
      </c>
      <c r="K1870" s="36" t="str">
        <f>IF(MB25_VOLUMETRIA[[#This Row],[Reserva]]="","",IFERROR(VLOOKUP(MB25_VOLUMETRIA[[#This Row],[UMB]],CHAVE[],2,FALSE),"VERIFICAR"))</f>
        <v>Unidade</v>
      </c>
      <c r="L18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0" s="32" t="str">
        <f ca="1">IFERROR(VLOOKUP(MB25_VOLUMETRIA[[#This Row],[Reserva]],RES_AB[],14,FALSE),"")</f>
        <v>RESERVAS PENDENTES</v>
      </c>
      <c r="N1870" s="32" t="str">
        <f>IF(MB25_VOLUMETRIA[[#This Row],[Cen.]]="","",IFERROR(VLOOKUP(MB25_VOLUMETRIA[[#This Row],[Cen.]],Dados_Empresas[],2,FALSE),"Verificar empresa"))</f>
        <v>NET MASSIVO</v>
      </c>
      <c r="O1870" s="32" t="str">
        <f>IF(MB25_VOLUMETRIA[[#This Row],[EMPRESA]]="","",IF(OR(MB25_VOLUMETRIA[[#This Row],[EMPRESA]]="NET MASSIVO",MB25_VOLUMETRIA[[#This Row],[EMPRESA]]="NET PROJETOS"),"NET","EMPRESARIAL"))</f>
        <v>NET</v>
      </c>
    </row>
    <row r="1871" spans="1:15" x14ac:dyDescent="0.25">
      <c r="A1871" s="32">
        <v>4383989</v>
      </c>
      <c r="B1871" s="32" t="s">
        <v>21</v>
      </c>
      <c r="C1871" s="33" t="s">
        <v>21</v>
      </c>
      <c r="D1871" s="35">
        <v>45449</v>
      </c>
      <c r="E1871" s="32" t="s">
        <v>185</v>
      </c>
      <c r="F1871" s="32">
        <v>22062577</v>
      </c>
      <c r="G1871" s="32" t="s">
        <v>467</v>
      </c>
      <c r="H1871" s="26" t="s">
        <v>38</v>
      </c>
      <c r="I1871" s="36">
        <v>40</v>
      </c>
      <c r="J1871" s="32">
        <f>IF(MB25_VOLUMETRIA[[#This Row],[Reserva]]="","",1)</f>
        <v>1</v>
      </c>
      <c r="K1871" s="36" t="str">
        <f>IF(MB25_VOLUMETRIA[[#This Row],[Reserva]]="","",IFERROR(VLOOKUP(MB25_VOLUMETRIA[[#This Row],[UMB]],CHAVE[],2,FALSE),"VERIFICAR"))</f>
        <v>Unidade</v>
      </c>
      <c r="L18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1" s="32" t="str">
        <f ca="1">IFERROR(VLOOKUP(MB25_VOLUMETRIA[[#This Row],[Reserva]],RES_AB[],14,FALSE),"")</f>
        <v>RESERVAS PENDENTES</v>
      </c>
      <c r="N1871" s="32" t="str">
        <f>IF(MB25_VOLUMETRIA[[#This Row],[Cen.]]="","",IFERROR(VLOOKUP(MB25_VOLUMETRIA[[#This Row],[Cen.]],Dados_Empresas[],2,FALSE),"Verificar empresa"))</f>
        <v>NET MASSIVO</v>
      </c>
      <c r="O1871" s="32" t="str">
        <f>IF(MB25_VOLUMETRIA[[#This Row],[EMPRESA]]="","",IF(OR(MB25_VOLUMETRIA[[#This Row],[EMPRESA]]="NET MASSIVO",MB25_VOLUMETRIA[[#This Row],[EMPRESA]]="NET PROJETOS"),"NET","EMPRESARIAL"))</f>
        <v>NET</v>
      </c>
    </row>
    <row r="1872" spans="1:15" x14ac:dyDescent="0.25">
      <c r="A1872" s="32">
        <v>4383990</v>
      </c>
      <c r="B1872" s="32" t="s">
        <v>21</v>
      </c>
      <c r="C1872" s="33" t="s">
        <v>19</v>
      </c>
      <c r="D1872" s="35">
        <v>45449</v>
      </c>
      <c r="E1872" s="32" t="s">
        <v>184</v>
      </c>
      <c r="F1872" s="32">
        <v>41001234</v>
      </c>
      <c r="G1872" s="32" t="s">
        <v>189</v>
      </c>
      <c r="H1872" s="26" t="s">
        <v>38</v>
      </c>
      <c r="I1872" s="36">
        <v>60</v>
      </c>
      <c r="J1872" s="32">
        <f>IF(MB25_VOLUMETRIA[[#This Row],[Reserva]]="","",1)</f>
        <v>1</v>
      </c>
      <c r="K1872" s="36" t="str">
        <f>IF(MB25_VOLUMETRIA[[#This Row],[Reserva]]="","",IFERROR(VLOOKUP(MB25_VOLUMETRIA[[#This Row],[UMB]],CHAVE[],2,FALSE),"VERIFICAR"))</f>
        <v>Unidade</v>
      </c>
      <c r="L18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2" s="32" t="str">
        <f ca="1">IFERROR(VLOOKUP(MB25_VOLUMETRIA[[#This Row],[Reserva]],RES_AB[],14,FALSE),"")</f>
        <v>RESERVAS PENDENTES</v>
      </c>
      <c r="N1872" s="32" t="str">
        <f>IF(MB25_VOLUMETRIA[[#This Row],[Cen.]]="","",IFERROR(VLOOKUP(MB25_VOLUMETRIA[[#This Row],[Cen.]],Dados_Empresas[],2,FALSE),"Verificar empresa"))</f>
        <v>NET MASSIVO</v>
      </c>
      <c r="O1872" s="32" t="str">
        <f>IF(MB25_VOLUMETRIA[[#This Row],[EMPRESA]]="","",IF(OR(MB25_VOLUMETRIA[[#This Row],[EMPRESA]]="NET MASSIVO",MB25_VOLUMETRIA[[#This Row],[EMPRESA]]="NET PROJETOS"),"NET","EMPRESARIAL"))</f>
        <v>NET</v>
      </c>
    </row>
    <row r="1873" spans="1:15" x14ac:dyDescent="0.25">
      <c r="A1873" s="32">
        <v>4383990</v>
      </c>
      <c r="B1873" s="32" t="s">
        <v>21</v>
      </c>
      <c r="C1873" s="33" t="s">
        <v>19</v>
      </c>
      <c r="D1873" s="35">
        <v>45449</v>
      </c>
      <c r="E1873" s="32" t="s">
        <v>184</v>
      </c>
      <c r="F1873" s="32">
        <v>41001277</v>
      </c>
      <c r="G1873" s="32" t="s">
        <v>466</v>
      </c>
      <c r="H1873" s="26" t="s">
        <v>38</v>
      </c>
      <c r="I1873" s="36">
        <v>60</v>
      </c>
      <c r="J1873" s="32">
        <f>IF(MB25_VOLUMETRIA[[#This Row],[Reserva]]="","",1)</f>
        <v>1</v>
      </c>
      <c r="K1873" s="36" t="str">
        <f>IF(MB25_VOLUMETRIA[[#This Row],[Reserva]]="","",IFERROR(VLOOKUP(MB25_VOLUMETRIA[[#This Row],[UMB]],CHAVE[],2,FALSE),"VERIFICAR"))</f>
        <v>Unidade</v>
      </c>
      <c r="L18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3" s="32" t="str">
        <f ca="1">IFERROR(VLOOKUP(MB25_VOLUMETRIA[[#This Row],[Reserva]],RES_AB[],14,FALSE),"")</f>
        <v>RESERVAS PENDENTES</v>
      </c>
      <c r="N1873" s="32" t="str">
        <f>IF(MB25_VOLUMETRIA[[#This Row],[Cen.]]="","",IFERROR(VLOOKUP(MB25_VOLUMETRIA[[#This Row],[Cen.]],Dados_Empresas[],2,FALSE),"Verificar empresa"))</f>
        <v>NET MASSIVO</v>
      </c>
      <c r="O1873" s="32" t="str">
        <f>IF(MB25_VOLUMETRIA[[#This Row],[EMPRESA]]="","",IF(OR(MB25_VOLUMETRIA[[#This Row],[EMPRESA]]="NET MASSIVO",MB25_VOLUMETRIA[[#This Row],[EMPRESA]]="NET PROJETOS"),"NET","EMPRESARIAL"))</f>
        <v>NET</v>
      </c>
    </row>
    <row r="1874" spans="1:15" x14ac:dyDescent="0.25">
      <c r="A1874" s="32">
        <v>4383990</v>
      </c>
      <c r="B1874" s="32" t="s">
        <v>21</v>
      </c>
      <c r="C1874" s="33" t="s">
        <v>19</v>
      </c>
      <c r="D1874" s="35">
        <v>45449</v>
      </c>
      <c r="E1874" s="32" t="s">
        <v>184</v>
      </c>
      <c r="F1874" s="32">
        <v>41001293</v>
      </c>
      <c r="G1874" s="32" t="s">
        <v>468</v>
      </c>
      <c r="H1874" s="26" t="s">
        <v>38</v>
      </c>
      <c r="I1874" s="36">
        <v>240</v>
      </c>
      <c r="J1874" s="32">
        <f>IF(MB25_VOLUMETRIA[[#This Row],[Reserva]]="","",1)</f>
        <v>1</v>
      </c>
      <c r="K1874" s="36" t="str">
        <f>IF(MB25_VOLUMETRIA[[#This Row],[Reserva]]="","",IFERROR(VLOOKUP(MB25_VOLUMETRIA[[#This Row],[UMB]],CHAVE[],2,FALSE),"VERIFICAR"))</f>
        <v>Unidade</v>
      </c>
      <c r="L18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4" s="32" t="str">
        <f ca="1">IFERROR(VLOOKUP(MB25_VOLUMETRIA[[#This Row],[Reserva]],RES_AB[],14,FALSE),"")</f>
        <v>RESERVAS PENDENTES</v>
      </c>
      <c r="N1874" s="32" t="str">
        <f>IF(MB25_VOLUMETRIA[[#This Row],[Cen.]]="","",IFERROR(VLOOKUP(MB25_VOLUMETRIA[[#This Row],[Cen.]],Dados_Empresas[],2,FALSE),"Verificar empresa"))</f>
        <v>NET MASSIVO</v>
      </c>
      <c r="O1874" s="32" t="str">
        <f>IF(MB25_VOLUMETRIA[[#This Row],[EMPRESA]]="","",IF(OR(MB25_VOLUMETRIA[[#This Row],[EMPRESA]]="NET MASSIVO",MB25_VOLUMETRIA[[#This Row],[EMPRESA]]="NET PROJETOS"),"NET","EMPRESARIAL"))</f>
        <v>NET</v>
      </c>
    </row>
    <row r="1875" spans="1:15" x14ac:dyDescent="0.25">
      <c r="A1875" s="32">
        <v>4383990</v>
      </c>
      <c r="B1875" s="32" t="s">
        <v>21</v>
      </c>
      <c r="C1875" s="33" t="s">
        <v>19</v>
      </c>
      <c r="D1875" s="35">
        <v>45449</v>
      </c>
      <c r="E1875" s="32" t="s">
        <v>184</v>
      </c>
      <c r="F1875" s="32">
        <v>41001518</v>
      </c>
      <c r="G1875" s="32" t="s">
        <v>320</v>
      </c>
      <c r="H1875" s="26" t="s">
        <v>38</v>
      </c>
      <c r="I1875" s="36">
        <v>40</v>
      </c>
      <c r="J1875" s="32">
        <f>IF(MB25_VOLUMETRIA[[#This Row],[Reserva]]="","",1)</f>
        <v>1</v>
      </c>
      <c r="K1875" s="36" t="str">
        <f>IF(MB25_VOLUMETRIA[[#This Row],[Reserva]]="","",IFERROR(VLOOKUP(MB25_VOLUMETRIA[[#This Row],[UMB]],CHAVE[],2,FALSE),"VERIFICAR"))</f>
        <v>Unidade</v>
      </c>
      <c r="L18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5" s="32" t="str">
        <f ca="1">IFERROR(VLOOKUP(MB25_VOLUMETRIA[[#This Row],[Reserva]],RES_AB[],14,FALSE),"")</f>
        <v>RESERVAS PENDENTES</v>
      </c>
      <c r="N1875" s="32" t="str">
        <f>IF(MB25_VOLUMETRIA[[#This Row],[Cen.]]="","",IFERROR(VLOOKUP(MB25_VOLUMETRIA[[#This Row],[Cen.]],Dados_Empresas[],2,FALSE),"Verificar empresa"))</f>
        <v>NET MASSIVO</v>
      </c>
      <c r="O1875" s="32" t="str">
        <f>IF(MB25_VOLUMETRIA[[#This Row],[EMPRESA]]="","",IF(OR(MB25_VOLUMETRIA[[#This Row],[EMPRESA]]="NET MASSIVO",MB25_VOLUMETRIA[[#This Row],[EMPRESA]]="NET PROJETOS"),"NET","EMPRESARIAL"))</f>
        <v>NET</v>
      </c>
    </row>
    <row r="1876" spans="1:15" x14ac:dyDescent="0.25">
      <c r="A1876" s="32">
        <v>4383990</v>
      </c>
      <c r="B1876" s="32" t="s">
        <v>21</v>
      </c>
      <c r="C1876" s="33" t="s">
        <v>182</v>
      </c>
      <c r="D1876" s="35">
        <v>45449</v>
      </c>
      <c r="E1876" s="32" t="s">
        <v>184</v>
      </c>
      <c r="F1876" s="32">
        <v>41001530</v>
      </c>
      <c r="G1876" s="32" t="s">
        <v>319</v>
      </c>
      <c r="H1876" s="26" t="s">
        <v>38</v>
      </c>
      <c r="I1876" s="36">
        <v>30</v>
      </c>
      <c r="J1876" s="32">
        <f>IF(MB25_VOLUMETRIA[[#This Row],[Reserva]]="","",1)</f>
        <v>1</v>
      </c>
      <c r="K1876" s="36" t="str">
        <f>IF(MB25_VOLUMETRIA[[#This Row],[Reserva]]="","",IFERROR(VLOOKUP(MB25_VOLUMETRIA[[#This Row],[UMB]],CHAVE[],2,FALSE),"VERIFICAR"))</f>
        <v>Unidade</v>
      </c>
      <c r="L18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6" s="32" t="str">
        <f ca="1">IFERROR(VLOOKUP(MB25_VOLUMETRIA[[#This Row],[Reserva]],RES_AB[],14,FALSE),"")</f>
        <v>RESERVAS PENDENTES</v>
      </c>
      <c r="N1876" s="32" t="str">
        <f>IF(MB25_VOLUMETRIA[[#This Row],[Cen.]]="","",IFERROR(VLOOKUP(MB25_VOLUMETRIA[[#This Row],[Cen.]],Dados_Empresas[],2,FALSE),"Verificar empresa"))</f>
        <v>NET MASSIVO</v>
      </c>
      <c r="O1876" s="32" t="str">
        <f>IF(MB25_VOLUMETRIA[[#This Row],[EMPRESA]]="","",IF(OR(MB25_VOLUMETRIA[[#This Row],[EMPRESA]]="NET MASSIVO",MB25_VOLUMETRIA[[#This Row],[EMPRESA]]="NET PROJETOS"),"NET","EMPRESARIAL"))</f>
        <v>NET</v>
      </c>
    </row>
    <row r="1877" spans="1:15" x14ac:dyDescent="0.25">
      <c r="A1877" s="32">
        <v>4383990</v>
      </c>
      <c r="B1877" s="32" t="s">
        <v>21</v>
      </c>
      <c r="C1877" s="33" t="s">
        <v>21</v>
      </c>
      <c r="D1877" s="35">
        <v>45449</v>
      </c>
      <c r="E1877" s="32" t="s">
        <v>184</v>
      </c>
      <c r="F1877" s="32">
        <v>41001535</v>
      </c>
      <c r="G1877" s="32" t="s">
        <v>191</v>
      </c>
      <c r="H1877" s="26" t="s">
        <v>38</v>
      </c>
      <c r="I1877" s="36">
        <v>140</v>
      </c>
      <c r="J1877" s="32">
        <f>IF(MB25_VOLUMETRIA[[#This Row],[Reserva]]="","",1)</f>
        <v>1</v>
      </c>
      <c r="K1877" s="36" t="str">
        <f>IF(MB25_VOLUMETRIA[[#This Row],[Reserva]]="","",IFERROR(VLOOKUP(MB25_VOLUMETRIA[[#This Row],[UMB]],CHAVE[],2,FALSE),"VERIFICAR"))</f>
        <v>Unidade</v>
      </c>
      <c r="L18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7" s="32" t="str">
        <f ca="1">IFERROR(VLOOKUP(MB25_VOLUMETRIA[[#This Row],[Reserva]],RES_AB[],14,FALSE),"")</f>
        <v>RESERVAS PENDENTES</v>
      </c>
      <c r="N1877" s="32" t="str">
        <f>IF(MB25_VOLUMETRIA[[#This Row],[Cen.]]="","",IFERROR(VLOOKUP(MB25_VOLUMETRIA[[#This Row],[Cen.]],Dados_Empresas[],2,FALSE),"Verificar empresa"))</f>
        <v>NET MASSIVO</v>
      </c>
      <c r="O1877" s="32" t="str">
        <f>IF(MB25_VOLUMETRIA[[#This Row],[EMPRESA]]="","",IF(OR(MB25_VOLUMETRIA[[#This Row],[EMPRESA]]="NET MASSIVO",MB25_VOLUMETRIA[[#This Row],[EMPRESA]]="NET PROJETOS"),"NET","EMPRESARIAL"))</f>
        <v>NET</v>
      </c>
    </row>
    <row r="1878" spans="1:15" x14ac:dyDescent="0.25">
      <c r="A1878" s="32">
        <v>4383991</v>
      </c>
      <c r="B1878" s="32" t="s">
        <v>21</v>
      </c>
      <c r="C1878" s="33" t="s">
        <v>21</v>
      </c>
      <c r="D1878" s="35">
        <v>45449</v>
      </c>
      <c r="E1878" s="32" t="s">
        <v>185</v>
      </c>
      <c r="F1878" s="32">
        <v>22062577</v>
      </c>
      <c r="G1878" s="32" t="s">
        <v>467</v>
      </c>
      <c r="H1878" s="26" t="s">
        <v>38</v>
      </c>
      <c r="I1878" s="36">
        <v>110</v>
      </c>
      <c r="J1878" s="32">
        <f>IF(MB25_VOLUMETRIA[[#This Row],[Reserva]]="","",1)</f>
        <v>1</v>
      </c>
      <c r="K1878" s="36" t="str">
        <f>IF(MB25_VOLUMETRIA[[#This Row],[Reserva]]="","",IFERROR(VLOOKUP(MB25_VOLUMETRIA[[#This Row],[UMB]],CHAVE[],2,FALSE),"VERIFICAR"))</f>
        <v>Unidade</v>
      </c>
      <c r="L18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8" s="32" t="str">
        <f ca="1">IFERROR(VLOOKUP(MB25_VOLUMETRIA[[#This Row],[Reserva]],RES_AB[],14,FALSE),"")</f>
        <v>RESERVAS PENDENTES</v>
      </c>
      <c r="N1878" s="32" t="str">
        <f>IF(MB25_VOLUMETRIA[[#This Row],[Cen.]]="","",IFERROR(VLOOKUP(MB25_VOLUMETRIA[[#This Row],[Cen.]],Dados_Empresas[],2,FALSE),"Verificar empresa"))</f>
        <v>NET MASSIVO</v>
      </c>
      <c r="O1878" s="32" t="str">
        <f>IF(MB25_VOLUMETRIA[[#This Row],[EMPRESA]]="","",IF(OR(MB25_VOLUMETRIA[[#This Row],[EMPRESA]]="NET MASSIVO",MB25_VOLUMETRIA[[#This Row],[EMPRESA]]="NET PROJETOS"),"NET","EMPRESARIAL"))</f>
        <v>NET</v>
      </c>
    </row>
    <row r="1879" spans="1:15" x14ac:dyDescent="0.25">
      <c r="A1879" s="32">
        <v>4383992</v>
      </c>
      <c r="B1879" s="32" t="s">
        <v>21</v>
      </c>
      <c r="C1879" s="33" t="s">
        <v>19</v>
      </c>
      <c r="D1879" s="35">
        <v>45449</v>
      </c>
      <c r="E1879" s="32" t="s">
        <v>184</v>
      </c>
      <c r="F1879" s="32">
        <v>41001518</v>
      </c>
      <c r="G1879" s="32" t="s">
        <v>320</v>
      </c>
      <c r="H1879" s="26" t="s">
        <v>38</v>
      </c>
      <c r="I1879" s="36">
        <v>110</v>
      </c>
      <c r="J1879" s="32">
        <f>IF(MB25_VOLUMETRIA[[#This Row],[Reserva]]="","",1)</f>
        <v>1</v>
      </c>
      <c r="K1879" s="36" t="str">
        <f>IF(MB25_VOLUMETRIA[[#This Row],[Reserva]]="","",IFERROR(VLOOKUP(MB25_VOLUMETRIA[[#This Row],[UMB]],CHAVE[],2,FALSE),"VERIFICAR"))</f>
        <v>Unidade</v>
      </c>
      <c r="L18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79" s="32" t="str">
        <f ca="1">IFERROR(VLOOKUP(MB25_VOLUMETRIA[[#This Row],[Reserva]],RES_AB[],14,FALSE),"")</f>
        <v>RESERVAS PENDENTES</v>
      </c>
      <c r="N1879" s="32" t="str">
        <f>IF(MB25_VOLUMETRIA[[#This Row],[Cen.]]="","",IFERROR(VLOOKUP(MB25_VOLUMETRIA[[#This Row],[Cen.]],Dados_Empresas[],2,FALSE),"Verificar empresa"))</f>
        <v>NET MASSIVO</v>
      </c>
      <c r="O1879" s="32" t="str">
        <f>IF(MB25_VOLUMETRIA[[#This Row],[EMPRESA]]="","",IF(OR(MB25_VOLUMETRIA[[#This Row],[EMPRESA]]="NET MASSIVO",MB25_VOLUMETRIA[[#This Row],[EMPRESA]]="NET PROJETOS"),"NET","EMPRESARIAL"))</f>
        <v>NET</v>
      </c>
    </row>
    <row r="1880" spans="1:15" x14ac:dyDescent="0.25">
      <c r="A1880" s="32">
        <v>4383993</v>
      </c>
      <c r="B1880" s="32" t="s">
        <v>21</v>
      </c>
      <c r="C1880" s="33" t="s">
        <v>19</v>
      </c>
      <c r="D1880" s="35">
        <v>45449</v>
      </c>
      <c r="E1880" s="32" t="s">
        <v>185</v>
      </c>
      <c r="F1880" s="32">
        <v>22026096</v>
      </c>
      <c r="G1880" s="32" t="s">
        <v>464</v>
      </c>
      <c r="H1880" s="26" t="s">
        <v>38</v>
      </c>
      <c r="I1880" s="36">
        <v>50</v>
      </c>
      <c r="J1880" s="32">
        <f>IF(MB25_VOLUMETRIA[[#This Row],[Reserva]]="","",1)</f>
        <v>1</v>
      </c>
      <c r="K1880" s="36" t="str">
        <f>IF(MB25_VOLUMETRIA[[#This Row],[Reserva]]="","",IFERROR(VLOOKUP(MB25_VOLUMETRIA[[#This Row],[UMB]],CHAVE[],2,FALSE),"VERIFICAR"))</f>
        <v>Unidade</v>
      </c>
      <c r="L18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0" s="32" t="str">
        <f ca="1">IFERROR(VLOOKUP(MB25_VOLUMETRIA[[#This Row],[Reserva]],RES_AB[],14,FALSE),"")</f>
        <v>RESERVAS PENDENTES</v>
      </c>
      <c r="N1880" s="32" t="str">
        <f>IF(MB25_VOLUMETRIA[[#This Row],[Cen.]]="","",IFERROR(VLOOKUP(MB25_VOLUMETRIA[[#This Row],[Cen.]],Dados_Empresas[],2,FALSE),"Verificar empresa"))</f>
        <v>NET MASSIVO</v>
      </c>
      <c r="O1880" s="32" t="str">
        <f>IF(MB25_VOLUMETRIA[[#This Row],[EMPRESA]]="","",IF(OR(MB25_VOLUMETRIA[[#This Row],[EMPRESA]]="NET MASSIVO",MB25_VOLUMETRIA[[#This Row],[EMPRESA]]="NET PROJETOS"),"NET","EMPRESARIAL"))</f>
        <v>NET</v>
      </c>
    </row>
    <row r="1881" spans="1:15" x14ac:dyDescent="0.25">
      <c r="A1881" s="32">
        <v>4383993</v>
      </c>
      <c r="B1881" s="32" t="s">
        <v>21</v>
      </c>
      <c r="C1881" s="33" t="s">
        <v>19</v>
      </c>
      <c r="D1881" s="35">
        <v>45449</v>
      </c>
      <c r="E1881" s="32" t="s">
        <v>185</v>
      </c>
      <c r="F1881" s="32">
        <v>22060287</v>
      </c>
      <c r="G1881" s="32" t="s">
        <v>465</v>
      </c>
      <c r="H1881" s="26" t="s">
        <v>38</v>
      </c>
      <c r="I1881" s="36">
        <v>50</v>
      </c>
      <c r="J1881" s="32">
        <f>IF(MB25_VOLUMETRIA[[#This Row],[Reserva]]="","",1)</f>
        <v>1</v>
      </c>
      <c r="K1881" s="36" t="str">
        <f>IF(MB25_VOLUMETRIA[[#This Row],[Reserva]]="","",IFERROR(VLOOKUP(MB25_VOLUMETRIA[[#This Row],[UMB]],CHAVE[],2,FALSE),"VERIFICAR"))</f>
        <v>Unidade</v>
      </c>
      <c r="L18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1" s="32" t="str">
        <f ca="1">IFERROR(VLOOKUP(MB25_VOLUMETRIA[[#This Row],[Reserva]],RES_AB[],14,FALSE),"")</f>
        <v>RESERVAS PENDENTES</v>
      </c>
      <c r="N1881" s="32" t="str">
        <f>IF(MB25_VOLUMETRIA[[#This Row],[Cen.]]="","",IFERROR(VLOOKUP(MB25_VOLUMETRIA[[#This Row],[Cen.]],Dados_Empresas[],2,FALSE),"Verificar empresa"))</f>
        <v>NET MASSIVO</v>
      </c>
      <c r="O1881" s="32" t="str">
        <f>IF(MB25_VOLUMETRIA[[#This Row],[EMPRESA]]="","",IF(OR(MB25_VOLUMETRIA[[#This Row],[EMPRESA]]="NET MASSIVO",MB25_VOLUMETRIA[[#This Row],[EMPRESA]]="NET PROJETOS"),"NET","EMPRESARIAL"))</f>
        <v>NET</v>
      </c>
    </row>
    <row r="1882" spans="1:15" x14ac:dyDescent="0.25">
      <c r="A1882" s="32">
        <v>4383994</v>
      </c>
      <c r="B1882" s="32" t="s">
        <v>21</v>
      </c>
      <c r="C1882" s="33" t="s">
        <v>19</v>
      </c>
      <c r="D1882" s="35">
        <v>45449</v>
      </c>
      <c r="E1882" s="32" t="s">
        <v>184</v>
      </c>
      <c r="F1882" s="32">
        <v>41001095</v>
      </c>
      <c r="G1882" s="32" t="s">
        <v>246</v>
      </c>
      <c r="H1882" s="26" t="s">
        <v>38</v>
      </c>
      <c r="I1882" s="36">
        <v>20</v>
      </c>
      <c r="J1882" s="32">
        <f>IF(MB25_VOLUMETRIA[[#This Row],[Reserva]]="","",1)</f>
        <v>1</v>
      </c>
      <c r="K1882" s="36" t="str">
        <f>IF(MB25_VOLUMETRIA[[#This Row],[Reserva]]="","",IFERROR(VLOOKUP(MB25_VOLUMETRIA[[#This Row],[UMB]],CHAVE[],2,FALSE),"VERIFICAR"))</f>
        <v>Unidade</v>
      </c>
      <c r="L18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2" s="32" t="str">
        <f ca="1">IFERROR(VLOOKUP(MB25_VOLUMETRIA[[#This Row],[Reserva]],RES_AB[],14,FALSE),"")</f>
        <v>RESERVAS PENDENTES</v>
      </c>
      <c r="N1882" s="32" t="str">
        <f>IF(MB25_VOLUMETRIA[[#This Row],[Cen.]]="","",IFERROR(VLOOKUP(MB25_VOLUMETRIA[[#This Row],[Cen.]],Dados_Empresas[],2,FALSE),"Verificar empresa"))</f>
        <v>NET MASSIVO</v>
      </c>
      <c r="O1882" s="32" t="str">
        <f>IF(MB25_VOLUMETRIA[[#This Row],[EMPRESA]]="","",IF(OR(MB25_VOLUMETRIA[[#This Row],[EMPRESA]]="NET MASSIVO",MB25_VOLUMETRIA[[#This Row],[EMPRESA]]="NET PROJETOS"),"NET","EMPRESARIAL"))</f>
        <v>NET</v>
      </c>
    </row>
    <row r="1883" spans="1:15" x14ac:dyDescent="0.25">
      <c r="A1883" s="32">
        <v>4383994</v>
      </c>
      <c r="B1883" s="32" t="s">
        <v>21</v>
      </c>
      <c r="C1883" s="33" t="s">
        <v>19</v>
      </c>
      <c r="D1883" s="35">
        <v>45449</v>
      </c>
      <c r="E1883" s="32" t="s">
        <v>184</v>
      </c>
      <c r="F1883" s="32">
        <v>41001234</v>
      </c>
      <c r="G1883" s="32" t="s">
        <v>189</v>
      </c>
      <c r="H1883" s="26" t="s">
        <v>38</v>
      </c>
      <c r="I1883" s="36">
        <v>150</v>
      </c>
      <c r="J1883" s="32">
        <f>IF(MB25_VOLUMETRIA[[#This Row],[Reserva]]="","",1)</f>
        <v>1</v>
      </c>
      <c r="K1883" s="36" t="str">
        <f>IF(MB25_VOLUMETRIA[[#This Row],[Reserva]]="","",IFERROR(VLOOKUP(MB25_VOLUMETRIA[[#This Row],[UMB]],CHAVE[],2,FALSE),"VERIFICAR"))</f>
        <v>Unidade</v>
      </c>
      <c r="L18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3" s="32" t="str">
        <f ca="1">IFERROR(VLOOKUP(MB25_VOLUMETRIA[[#This Row],[Reserva]],RES_AB[],14,FALSE),"")</f>
        <v>RESERVAS PENDENTES</v>
      </c>
      <c r="N1883" s="32" t="str">
        <f>IF(MB25_VOLUMETRIA[[#This Row],[Cen.]]="","",IFERROR(VLOOKUP(MB25_VOLUMETRIA[[#This Row],[Cen.]],Dados_Empresas[],2,FALSE),"Verificar empresa"))</f>
        <v>NET MASSIVO</v>
      </c>
      <c r="O1883" s="32" t="str">
        <f>IF(MB25_VOLUMETRIA[[#This Row],[EMPRESA]]="","",IF(OR(MB25_VOLUMETRIA[[#This Row],[EMPRESA]]="NET MASSIVO",MB25_VOLUMETRIA[[#This Row],[EMPRESA]]="NET PROJETOS"),"NET","EMPRESARIAL"))</f>
        <v>NET</v>
      </c>
    </row>
    <row r="1884" spans="1:15" x14ac:dyDescent="0.25">
      <c r="A1884" s="32">
        <v>4383994</v>
      </c>
      <c r="B1884" s="32" t="s">
        <v>21</v>
      </c>
      <c r="C1884" s="33" t="s">
        <v>19</v>
      </c>
      <c r="D1884" s="35">
        <v>45449</v>
      </c>
      <c r="E1884" s="32" t="s">
        <v>184</v>
      </c>
      <c r="F1884" s="32">
        <v>41001277</v>
      </c>
      <c r="G1884" s="32" t="s">
        <v>466</v>
      </c>
      <c r="H1884" s="26" t="s">
        <v>38</v>
      </c>
      <c r="I1884" s="36">
        <v>150</v>
      </c>
      <c r="J1884" s="32">
        <f>IF(MB25_VOLUMETRIA[[#This Row],[Reserva]]="","",1)</f>
        <v>1</v>
      </c>
      <c r="K1884" s="36" t="str">
        <f>IF(MB25_VOLUMETRIA[[#This Row],[Reserva]]="","",IFERROR(VLOOKUP(MB25_VOLUMETRIA[[#This Row],[UMB]],CHAVE[],2,FALSE),"VERIFICAR"))</f>
        <v>Unidade</v>
      </c>
      <c r="L18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4" s="32" t="str">
        <f ca="1">IFERROR(VLOOKUP(MB25_VOLUMETRIA[[#This Row],[Reserva]],RES_AB[],14,FALSE),"")</f>
        <v>RESERVAS PENDENTES</v>
      </c>
      <c r="N1884" s="32" t="str">
        <f>IF(MB25_VOLUMETRIA[[#This Row],[Cen.]]="","",IFERROR(VLOOKUP(MB25_VOLUMETRIA[[#This Row],[Cen.]],Dados_Empresas[],2,FALSE),"Verificar empresa"))</f>
        <v>NET MASSIVO</v>
      </c>
      <c r="O1884" s="32" t="str">
        <f>IF(MB25_VOLUMETRIA[[#This Row],[EMPRESA]]="","",IF(OR(MB25_VOLUMETRIA[[#This Row],[EMPRESA]]="NET MASSIVO",MB25_VOLUMETRIA[[#This Row],[EMPRESA]]="NET PROJETOS"),"NET","EMPRESARIAL"))</f>
        <v>NET</v>
      </c>
    </row>
    <row r="1885" spans="1:15" x14ac:dyDescent="0.25">
      <c r="A1885" s="32">
        <v>4383994</v>
      </c>
      <c r="B1885" s="32" t="s">
        <v>21</v>
      </c>
      <c r="C1885" s="33" t="s">
        <v>19</v>
      </c>
      <c r="D1885" s="35">
        <v>45449</v>
      </c>
      <c r="E1885" s="32" t="s">
        <v>184</v>
      </c>
      <c r="F1885" s="32">
        <v>41001481</v>
      </c>
      <c r="G1885" s="32" t="s">
        <v>403</v>
      </c>
      <c r="H1885" s="26" t="s">
        <v>38</v>
      </c>
      <c r="I1885" s="36">
        <v>50</v>
      </c>
      <c r="J1885" s="32">
        <f>IF(MB25_VOLUMETRIA[[#This Row],[Reserva]]="","",1)</f>
        <v>1</v>
      </c>
      <c r="K1885" s="36" t="str">
        <f>IF(MB25_VOLUMETRIA[[#This Row],[Reserva]]="","",IFERROR(VLOOKUP(MB25_VOLUMETRIA[[#This Row],[UMB]],CHAVE[],2,FALSE),"VERIFICAR"))</f>
        <v>Unidade</v>
      </c>
      <c r="L18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5" s="32" t="str">
        <f ca="1">IFERROR(VLOOKUP(MB25_VOLUMETRIA[[#This Row],[Reserva]],RES_AB[],14,FALSE),"")</f>
        <v>RESERVAS PENDENTES</v>
      </c>
      <c r="N1885" s="32" t="str">
        <f>IF(MB25_VOLUMETRIA[[#This Row],[Cen.]]="","",IFERROR(VLOOKUP(MB25_VOLUMETRIA[[#This Row],[Cen.]],Dados_Empresas[],2,FALSE),"Verificar empresa"))</f>
        <v>NET MASSIVO</v>
      </c>
      <c r="O1885" s="32" t="str">
        <f>IF(MB25_VOLUMETRIA[[#This Row],[EMPRESA]]="","",IF(OR(MB25_VOLUMETRIA[[#This Row],[EMPRESA]]="NET MASSIVO",MB25_VOLUMETRIA[[#This Row],[EMPRESA]]="NET PROJETOS"),"NET","EMPRESARIAL"))</f>
        <v>NET</v>
      </c>
    </row>
    <row r="1886" spans="1:15" x14ac:dyDescent="0.25">
      <c r="A1886" s="32">
        <v>4383995</v>
      </c>
      <c r="B1886" s="32" t="s">
        <v>21</v>
      </c>
      <c r="C1886" s="33" t="s">
        <v>21</v>
      </c>
      <c r="D1886" s="35">
        <v>45449</v>
      </c>
      <c r="E1886" s="32" t="s">
        <v>185</v>
      </c>
      <c r="F1886" s="32">
        <v>22025136</v>
      </c>
      <c r="G1886" s="32" t="s">
        <v>215</v>
      </c>
      <c r="H1886" s="26" t="s">
        <v>38</v>
      </c>
      <c r="I1886" s="36">
        <v>500</v>
      </c>
      <c r="J1886" s="32">
        <f>IF(MB25_VOLUMETRIA[[#This Row],[Reserva]]="","",1)</f>
        <v>1</v>
      </c>
      <c r="K1886" s="36" t="str">
        <f>IF(MB25_VOLUMETRIA[[#This Row],[Reserva]]="","",IFERROR(VLOOKUP(MB25_VOLUMETRIA[[#This Row],[UMB]],CHAVE[],2,FALSE),"VERIFICAR"))</f>
        <v>Unidade</v>
      </c>
      <c r="L18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6" s="32" t="str">
        <f ca="1">IFERROR(VLOOKUP(MB25_VOLUMETRIA[[#This Row],[Reserva]],RES_AB[],14,FALSE),"")</f>
        <v>RESERVAS PENDENTES</v>
      </c>
      <c r="N1886" s="32" t="str">
        <f>IF(MB25_VOLUMETRIA[[#This Row],[Cen.]]="","",IFERROR(VLOOKUP(MB25_VOLUMETRIA[[#This Row],[Cen.]],Dados_Empresas[],2,FALSE),"Verificar empresa"))</f>
        <v>NET MASSIVO</v>
      </c>
      <c r="O1886" s="32" t="str">
        <f>IF(MB25_VOLUMETRIA[[#This Row],[EMPRESA]]="","",IF(OR(MB25_VOLUMETRIA[[#This Row],[EMPRESA]]="NET MASSIVO",MB25_VOLUMETRIA[[#This Row],[EMPRESA]]="NET PROJETOS"),"NET","EMPRESARIAL"))</f>
        <v>NET</v>
      </c>
    </row>
    <row r="1887" spans="1:15" x14ac:dyDescent="0.25">
      <c r="A1887" s="32">
        <v>4383995</v>
      </c>
      <c r="B1887" s="32" t="s">
        <v>21</v>
      </c>
      <c r="C1887" s="33" t="s">
        <v>21</v>
      </c>
      <c r="D1887" s="35">
        <v>45449</v>
      </c>
      <c r="E1887" s="32" t="s">
        <v>185</v>
      </c>
      <c r="F1887" s="32">
        <v>22025348</v>
      </c>
      <c r="G1887" s="32" t="s">
        <v>218</v>
      </c>
      <c r="H1887" s="26" t="s">
        <v>38</v>
      </c>
      <c r="I1887" s="36">
        <v>200</v>
      </c>
      <c r="J1887" s="32">
        <f>IF(MB25_VOLUMETRIA[[#This Row],[Reserva]]="","",1)</f>
        <v>1</v>
      </c>
      <c r="K1887" s="36" t="str">
        <f>IF(MB25_VOLUMETRIA[[#This Row],[Reserva]]="","",IFERROR(VLOOKUP(MB25_VOLUMETRIA[[#This Row],[UMB]],CHAVE[],2,FALSE),"VERIFICAR"))</f>
        <v>Unidade</v>
      </c>
      <c r="L18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7" s="32" t="str">
        <f ca="1">IFERROR(VLOOKUP(MB25_VOLUMETRIA[[#This Row],[Reserva]],RES_AB[],14,FALSE),"")</f>
        <v>RESERVAS PENDENTES</v>
      </c>
      <c r="N1887" s="32" t="str">
        <f>IF(MB25_VOLUMETRIA[[#This Row],[Cen.]]="","",IFERROR(VLOOKUP(MB25_VOLUMETRIA[[#This Row],[Cen.]],Dados_Empresas[],2,FALSE),"Verificar empresa"))</f>
        <v>NET MASSIVO</v>
      </c>
      <c r="O1887" s="32" t="str">
        <f>IF(MB25_VOLUMETRIA[[#This Row],[EMPRESA]]="","",IF(OR(MB25_VOLUMETRIA[[#This Row],[EMPRESA]]="NET MASSIVO",MB25_VOLUMETRIA[[#This Row],[EMPRESA]]="NET PROJETOS"),"NET","EMPRESARIAL"))</f>
        <v>NET</v>
      </c>
    </row>
    <row r="1888" spans="1:15" x14ac:dyDescent="0.25">
      <c r="A1888" s="32">
        <v>4383995</v>
      </c>
      <c r="B1888" s="32" t="s">
        <v>21</v>
      </c>
      <c r="C1888" s="33" t="s">
        <v>19</v>
      </c>
      <c r="D1888" s="35">
        <v>45449</v>
      </c>
      <c r="E1888" s="32" t="s">
        <v>185</v>
      </c>
      <c r="F1888" s="32">
        <v>22026096</v>
      </c>
      <c r="G1888" s="32" t="s">
        <v>464</v>
      </c>
      <c r="H1888" s="26" t="s">
        <v>38</v>
      </c>
      <c r="I1888" s="36">
        <v>40</v>
      </c>
      <c r="J1888" s="32">
        <f>IF(MB25_VOLUMETRIA[[#This Row],[Reserva]]="","",1)</f>
        <v>1</v>
      </c>
      <c r="K1888" s="36" t="str">
        <f>IF(MB25_VOLUMETRIA[[#This Row],[Reserva]]="","",IFERROR(VLOOKUP(MB25_VOLUMETRIA[[#This Row],[UMB]],CHAVE[],2,FALSE),"VERIFICAR"))</f>
        <v>Unidade</v>
      </c>
      <c r="L18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8" s="32" t="str">
        <f ca="1">IFERROR(VLOOKUP(MB25_VOLUMETRIA[[#This Row],[Reserva]],RES_AB[],14,FALSE),"")</f>
        <v>RESERVAS PENDENTES</v>
      </c>
      <c r="N1888" s="32" t="str">
        <f>IF(MB25_VOLUMETRIA[[#This Row],[Cen.]]="","",IFERROR(VLOOKUP(MB25_VOLUMETRIA[[#This Row],[Cen.]],Dados_Empresas[],2,FALSE),"Verificar empresa"))</f>
        <v>NET MASSIVO</v>
      </c>
      <c r="O1888" s="32" t="str">
        <f>IF(MB25_VOLUMETRIA[[#This Row],[EMPRESA]]="","",IF(OR(MB25_VOLUMETRIA[[#This Row],[EMPRESA]]="NET MASSIVO",MB25_VOLUMETRIA[[#This Row],[EMPRESA]]="NET PROJETOS"),"NET","EMPRESARIAL"))</f>
        <v>NET</v>
      </c>
    </row>
    <row r="1889" spans="1:15" x14ac:dyDescent="0.25">
      <c r="A1889" s="32">
        <v>4383995</v>
      </c>
      <c r="B1889" s="32" t="s">
        <v>21</v>
      </c>
      <c r="C1889" s="33" t="s">
        <v>21</v>
      </c>
      <c r="D1889" s="35">
        <v>45449</v>
      </c>
      <c r="E1889" s="32" t="s">
        <v>185</v>
      </c>
      <c r="F1889" s="32">
        <v>22026189</v>
      </c>
      <c r="G1889" s="32" t="s">
        <v>200</v>
      </c>
      <c r="H1889" s="26" t="s">
        <v>38</v>
      </c>
      <c r="I1889" s="36">
        <v>4700</v>
      </c>
      <c r="J1889" s="32">
        <f>IF(MB25_VOLUMETRIA[[#This Row],[Reserva]]="","",1)</f>
        <v>1</v>
      </c>
      <c r="K1889" s="36" t="str">
        <f>IF(MB25_VOLUMETRIA[[#This Row],[Reserva]]="","",IFERROR(VLOOKUP(MB25_VOLUMETRIA[[#This Row],[UMB]],CHAVE[],2,FALSE),"VERIFICAR"))</f>
        <v>Unidade</v>
      </c>
      <c r="L18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89" s="32" t="str">
        <f ca="1">IFERROR(VLOOKUP(MB25_VOLUMETRIA[[#This Row],[Reserva]],RES_AB[],14,FALSE),"")</f>
        <v>RESERVAS PENDENTES</v>
      </c>
      <c r="N1889" s="32" t="str">
        <f>IF(MB25_VOLUMETRIA[[#This Row],[Cen.]]="","",IFERROR(VLOOKUP(MB25_VOLUMETRIA[[#This Row],[Cen.]],Dados_Empresas[],2,FALSE),"Verificar empresa"))</f>
        <v>NET MASSIVO</v>
      </c>
      <c r="O1889" s="32" t="str">
        <f>IF(MB25_VOLUMETRIA[[#This Row],[EMPRESA]]="","",IF(OR(MB25_VOLUMETRIA[[#This Row],[EMPRESA]]="NET MASSIVO",MB25_VOLUMETRIA[[#This Row],[EMPRESA]]="NET PROJETOS"),"NET","EMPRESARIAL"))</f>
        <v>NET</v>
      </c>
    </row>
    <row r="1890" spans="1:15" x14ac:dyDescent="0.25">
      <c r="A1890" s="32">
        <v>4383995</v>
      </c>
      <c r="B1890" s="32" t="s">
        <v>21</v>
      </c>
      <c r="C1890" s="33" t="s">
        <v>19</v>
      </c>
      <c r="D1890" s="35">
        <v>45449</v>
      </c>
      <c r="E1890" s="32" t="s">
        <v>185</v>
      </c>
      <c r="F1890" s="32">
        <v>22026293</v>
      </c>
      <c r="G1890" s="32" t="s">
        <v>352</v>
      </c>
      <c r="H1890" s="26" t="s">
        <v>38</v>
      </c>
      <c r="I1890" s="36">
        <v>150</v>
      </c>
      <c r="J1890" s="32">
        <f>IF(MB25_VOLUMETRIA[[#This Row],[Reserva]]="","",1)</f>
        <v>1</v>
      </c>
      <c r="K1890" s="36" t="str">
        <f>IF(MB25_VOLUMETRIA[[#This Row],[Reserva]]="","",IFERROR(VLOOKUP(MB25_VOLUMETRIA[[#This Row],[UMB]],CHAVE[],2,FALSE),"VERIFICAR"))</f>
        <v>Unidade</v>
      </c>
      <c r="L18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0" s="32" t="str">
        <f ca="1">IFERROR(VLOOKUP(MB25_VOLUMETRIA[[#This Row],[Reserva]],RES_AB[],14,FALSE),"")</f>
        <v>RESERVAS PENDENTES</v>
      </c>
      <c r="N1890" s="32" t="str">
        <f>IF(MB25_VOLUMETRIA[[#This Row],[Cen.]]="","",IFERROR(VLOOKUP(MB25_VOLUMETRIA[[#This Row],[Cen.]],Dados_Empresas[],2,FALSE),"Verificar empresa"))</f>
        <v>NET MASSIVO</v>
      </c>
      <c r="O1890" s="32" t="str">
        <f>IF(MB25_VOLUMETRIA[[#This Row],[EMPRESA]]="","",IF(OR(MB25_VOLUMETRIA[[#This Row],[EMPRESA]]="NET MASSIVO",MB25_VOLUMETRIA[[#This Row],[EMPRESA]]="NET PROJETOS"),"NET","EMPRESARIAL"))</f>
        <v>NET</v>
      </c>
    </row>
    <row r="1891" spans="1:15" x14ac:dyDescent="0.25">
      <c r="A1891" s="32">
        <v>4383995</v>
      </c>
      <c r="B1891" s="32" t="s">
        <v>21</v>
      </c>
      <c r="C1891" s="33" t="s">
        <v>21</v>
      </c>
      <c r="D1891" s="35">
        <v>45449</v>
      </c>
      <c r="E1891" s="32" t="s">
        <v>185</v>
      </c>
      <c r="F1891" s="32">
        <v>22026544</v>
      </c>
      <c r="G1891" s="32" t="s">
        <v>206</v>
      </c>
      <c r="H1891" s="26" t="s">
        <v>38</v>
      </c>
      <c r="I1891" s="36">
        <v>50</v>
      </c>
      <c r="J1891" s="32">
        <f>IF(MB25_VOLUMETRIA[[#This Row],[Reserva]]="","",1)</f>
        <v>1</v>
      </c>
      <c r="K1891" s="36" t="str">
        <f>IF(MB25_VOLUMETRIA[[#This Row],[Reserva]]="","",IFERROR(VLOOKUP(MB25_VOLUMETRIA[[#This Row],[UMB]],CHAVE[],2,FALSE),"VERIFICAR"))</f>
        <v>Unidade</v>
      </c>
      <c r="L18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1" s="32" t="str">
        <f ca="1">IFERROR(VLOOKUP(MB25_VOLUMETRIA[[#This Row],[Reserva]],RES_AB[],14,FALSE),"")</f>
        <v>RESERVAS PENDENTES</v>
      </c>
      <c r="N1891" s="32" t="str">
        <f>IF(MB25_VOLUMETRIA[[#This Row],[Cen.]]="","",IFERROR(VLOOKUP(MB25_VOLUMETRIA[[#This Row],[Cen.]],Dados_Empresas[],2,FALSE),"Verificar empresa"))</f>
        <v>NET MASSIVO</v>
      </c>
      <c r="O1891" s="32" t="str">
        <f>IF(MB25_VOLUMETRIA[[#This Row],[EMPRESA]]="","",IF(OR(MB25_VOLUMETRIA[[#This Row],[EMPRESA]]="NET MASSIVO",MB25_VOLUMETRIA[[#This Row],[EMPRESA]]="NET PROJETOS"),"NET","EMPRESARIAL"))</f>
        <v>NET</v>
      </c>
    </row>
    <row r="1892" spans="1:15" x14ac:dyDescent="0.25">
      <c r="A1892" s="32">
        <v>4383995</v>
      </c>
      <c r="B1892" s="32" t="s">
        <v>21</v>
      </c>
      <c r="C1892" s="33" t="s">
        <v>21</v>
      </c>
      <c r="D1892" s="35">
        <v>45449</v>
      </c>
      <c r="E1892" s="32" t="s">
        <v>185</v>
      </c>
      <c r="F1892" s="32">
        <v>22026772</v>
      </c>
      <c r="G1892" s="32" t="s">
        <v>201</v>
      </c>
      <c r="H1892" s="26" t="s">
        <v>38</v>
      </c>
      <c r="I1892" s="36">
        <v>225</v>
      </c>
      <c r="J1892" s="32">
        <f>IF(MB25_VOLUMETRIA[[#This Row],[Reserva]]="","",1)</f>
        <v>1</v>
      </c>
      <c r="K1892" s="36" t="str">
        <f>IF(MB25_VOLUMETRIA[[#This Row],[Reserva]]="","",IFERROR(VLOOKUP(MB25_VOLUMETRIA[[#This Row],[UMB]],CHAVE[],2,FALSE),"VERIFICAR"))</f>
        <v>Unidade</v>
      </c>
      <c r="L18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2" s="32" t="str">
        <f ca="1">IFERROR(VLOOKUP(MB25_VOLUMETRIA[[#This Row],[Reserva]],RES_AB[],14,FALSE),"")</f>
        <v>RESERVAS PENDENTES</v>
      </c>
      <c r="N1892" s="32" t="str">
        <f>IF(MB25_VOLUMETRIA[[#This Row],[Cen.]]="","",IFERROR(VLOOKUP(MB25_VOLUMETRIA[[#This Row],[Cen.]],Dados_Empresas[],2,FALSE),"Verificar empresa"))</f>
        <v>NET MASSIVO</v>
      </c>
      <c r="O1892" s="32" t="str">
        <f>IF(MB25_VOLUMETRIA[[#This Row],[EMPRESA]]="","",IF(OR(MB25_VOLUMETRIA[[#This Row],[EMPRESA]]="NET MASSIVO",MB25_VOLUMETRIA[[#This Row],[EMPRESA]]="NET PROJETOS"),"NET","EMPRESARIAL"))</f>
        <v>NET</v>
      </c>
    </row>
    <row r="1893" spans="1:15" x14ac:dyDescent="0.25">
      <c r="A1893" s="32">
        <v>4383995</v>
      </c>
      <c r="B1893" s="32" t="s">
        <v>21</v>
      </c>
      <c r="C1893" s="33" t="s">
        <v>21</v>
      </c>
      <c r="D1893" s="35">
        <v>45449</v>
      </c>
      <c r="E1893" s="32" t="s">
        <v>185</v>
      </c>
      <c r="F1893" s="32">
        <v>22026809</v>
      </c>
      <c r="G1893" s="32" t="s">
        <v>231</v>
      </c>
      <c r="H1893" s="26" t="s">
        <v>38</v>
      </c>
      <c r="I1893" s="36">
        <v>150</v>
      </c>
      <c r="J1893" s="32">
        <f>IF(MB25_VOLUMETRIA[[#This Row],[Reserva]]="","",1)</f>
        <v>1</v>
      </c>
      <c r="K1893" s="36" t="str">
        <f>IF(MB25_VOLUMETRIA[[#This Row],[Reserva]]="","",IFERROR(VLOOKUP(MB25_VOLUMETRIA[[#This Row],[UMB]],CHAVE[],2,FALSE),"VERIFICAR"))</f>
        <v>Unidade</v>
      </c>
      <c r="L18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3" s="32" t="str">
        <f ca="1">IFERROR(VLOOKUP(MB25_VOLUMETRIA[[#This Row],[Reserva]],RES_AB[],14,FALSE),"")</f>
        <v>RESERVAS PENDENTES</v>
      </c>
      <c r="N1893" s="32" t="str">
        <f>IF(MB25_VOLUMETRIA[[#This Row],[Cen.]]="","",IFERROR(VLOOKUP(MB25_VOLUMETRIA[[#This Row],[Cen.]],Dados_Empresas[],2,FALSE),"Verificar empresa"))</f>
        <v>NET MASSIVO</v>
      </c>
      <c r="O1893" s="32" t="str">
        <f>IF(MB25_VOLUMETRIA[[#This Row],[EMPRESA]]="","",IF(OR(MB25_VOLUMETRIA[[#This Row],[EMPRESA]]="NET MASSIVO",MB25_VOLUMETRIA[[#This Row],[EMPRESA]]="NET PROJETOS"),"NET","EMPRESARIAL"))</f>
        <v>NET</v>
      </c>
    </row>
    <row r="1894" spans="1:15" x14ac:dyDescent="0.25">
      <c r="A1894" s="32">
        <v>4383995</v>
      </c>
      <c r="B1894" s="32" t="s">
        <v>21</v>
      </c>
      <c r="C1894" s="33" t="s">
        <v>21</v>
      </c>
      <c r="D1894" s="35">
        <v>45449</v>
      </c>
      <c r="E1894" s="32" t="s">
        <v>185</v>
      </c>
      <c r="F1894" s="32">
        <v>22056359</v>
      </c>
      <c r="G1894" s="32" t="s">
        <v>203</v>
      </c>
      <c r="H1894" s="26" t="s">
        <v>38</v>
      </c>
      <c r="I1894" s="36">
        <v>14</v>
      </c>
      <c r="J1894" s="32">
        <f>IF(MB25_VOLUMETRIA[[#This Row],[Reserva]]="","",1)</f>
        <v>1</v>
      </c>
      <c r="K1894" s="36" t="str">
        <f>IF(MB25_VOLUMETRIA[[#This Row],[Reserva]]="","",IFERROR(VLOOKUP(MB25_VOLUMETRIA[[#This Row],[UMB]],CHAVE[],2,FALSE),"VERIFICAR"))</f>
        <v>Unidade</v>
      </c>
      <c r="L189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4" s="32" t="str">
        <f ca="1">IFERROR(VLOOKUP(MB25_VOLUMETRIA[[#This Row],[Reserva]],RES_AB[],14,FALSE),"")</f>
        <v>RESERVAS PENDENTES</v>
      </c>
      <c r="N1894" s="32" t="str">
        <f>IF(MB25_VOLUMETRIA[[#This Row],[Cen.]]="","",IFERROR(VLOOKUP(MB25_VOLUMETRIA[[#This Row],[Cen.]],Dados_Empresas[],2,FALSE),"Verificar empresa"))</f>
        <v>NET MASSIVO</v>
      </c>
      <c r="O1894" s="32" t="str">
        <f>IF(MB25_VOLUMETRIA[[#This Row],[EMPRESA]]="","",IF(OR(MB25_VOLUMETRIA[[#This Row],[EMPRESA]]="NET MASSIVO",MB25_VOLUMETRIA[[#This Row],[EMPRESA]]="NET PROJETOS"),"NET","EMPRESARIAL"))</f>
        <v>NET</v>
      </c>
    </row>
    <row r="1895" spans="1:15" x14ac:dyDescent="0.25">
      <c r="A1895" s="32">
        <v>4383995</v>
      </c>
      <c r="B1895" s="32" t="s">
        <v>21</v>
      </c>
      <c r="C1895" s="33" t="s">
        <v>21</v>
      </c>
      <c r="D1895" s="35">
        <v>45449</v>
      </c>
      <c r="E1895" s="32" t="s">
        <v>185</v>
      </c>
      <c r="F1895" s="32">
        <v>22056364</v>
      </c>
      <c r="G1895" s="32" t="s">
        <v>236</v>
      </c>
      <c r="H1895" s="26" t="s">
        <v>38</v>
      </c>
      <c r="I1895" s="36">
        <v>720</v>
      </c>
      <c r="J1895" s="32">
        <f>IF(MB25_VOLUMETRIA[[#This Row],[Reserva]]="","",1)</f>
        <v>1</v>
      </c>
      <c r="K1895" s="36" t="str">
        <f>IF(MB25_VOLUMETRIA[[#This Row],[Reserva]]="","",IFERROR(VLOOKUP(MB25_VOLUMETRIA[[#This Row],[UMB]],CHAVE[],2,FALSE),"VERIFICAR"))</f>
        <v>Unidade</v>
      </c>
      <c r="L189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5" s="32" t="str">
        <f ca="1">IFERROR(VLOOKUP(MB25_VOLUMETRIA[[#This Row],[Reserva]],RES_AB[],14,FALSE),"")</f>
        <v>RESERVAS PENDENTES</v>
      </c>
      <c r="N1895" s="32" t="str">
        <f>IF(MB25_VOLUMETRIA[[#This Row],[Cen.]]="","",IFERROR(VLOOKUP(MB25_VOLUMETRIA[[#This Row],[Cen.]],Dados_Empresas[],2,FALSE),"Verificar empresa"))</f>
        <v>NET MASSIVO</v>
      </c>
      <c r="O1895" s="32" t="str">
        <f>IF(MB25_VOLUMETRIA[[#This Row],[EMPRESA]]="","",IF(OR(MB25_VOLUMETRIA[[#This Row],[EMPRESA]]="NET MASSIVO",MB25_VOLUMETRIA[[#This Row],[EMPRESA]]="NET PROJETOS"),"NET","EMPRESARIAL"))</f>
        <v>NET</v>
      </c>
    </row>
    <row r="1896" spans="1:15" x14ac:dyDescent="0.25">
      <c r="A1896" s="32">
        <v>4383995</v>
      </c>
      <c r="B1896" s="32" t="s">
        <v>21</v>
      </c>
      <c r="C1896" s="33" t="s">
        <v>21</v>
      </c>
      <c r="D1896" s="35">
        <v>45449</v>
      </c>
      <c r="E1896" s="32" t="s">
        <v>185</v>
      </c>
      <c r="F1896" s="32">
        <v>22056369</v>
      </c>
      <c r="G1896" s="32" t="s">
        <v>194</v>
      </c>
      <c r="H1896" s="26" t="s">
        <v>38</v>
      </c>
      <c r="I1896" s="36">
        <v>2200</v>
      </c>
      <c r="J1896" s="32">
        <f>IF(MB25_VOLUMETRIA[[#This Row],[Reserva]]="","",1)</f>
        <v>1</v>
      </c>
      <c r="K1896" s="36" t="str">
        <f>IF(MB25_VOLUMETRIA[[#This Row],[Reserva]]="","",IFERROR(VLOOKUP(MB25_VOLUMETRIA[[#This Row],[UMB]],CHAVE[],2,FALSE),"VERIFICAR"))</f>
        <v>Unidade</v>
      </c>
      <c r="L189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6" s="32" t="str">
        <f ca="1">IFERROR(VLOOKUP(MB25_VOLUMETRIA[[#This Row],[Reserva]],RES_AB[],14,FALSE),"")</f>
        <v>RESERVAS PENDENTES</v>
      </c>
      <c r="N1896" s="32" t="str">
        <f>IF(MB25_VOLUMETRIA[[#This Row],[Cen.]]="","",IFERROR(VLOOKUP(MB25_VOLUMETRIA[[#This Row],[Cen.]],Dados_Empresas[],2,FALSE),"Verificar empresa"))</f>
        <v>NET MASSIVO</v>
      </c>
      <c r="O1896" s="32" t="str">
        <f>IF(MB25_VOLUMETRIA[[#This Row],[EMPRESA]]="","",IF(OR(MB25_VOLUMETRIA[[#This Row],[EMPRESA]]="NET MASSIVO",MB25_VOLUMETRIA[[#This Row],[EMPRESA]]="NET PROJETOS"),"NET","EMPRESARIAL"))</f>
        <v>NET</v>
      </c>
    </row>
    <row r="1897" spans="1:15" x14ac:dyDescent="0.25">
      <c r="A1897" s="32">
        <v>4383995</v>
      </c>
      <c r="B1897" s="32" t="s">
        <v>21</v>
      </c>
      <c r="C1897" s="33" t="s">
        <v>21</v>
      </c>
      <c r="D1897" s="35">
        <v>45449</v>
      </c>
      <c r="E1897" s="32" t="s">
        <v>185</v>
      </c>
      <c r="F1897" s="32">
        <v>22057635</v>
      </c>
      <c r="G1897" s="32" t="s">
        <v>223</v>
      </c>
      <c r="H1897" s="26" t="s">
        <v>38</v>
      </c>
      <c r="I1897" s="36">
        <v>2400</v>
      </c>
      <c r="J1897" s="32">
        <f>IF(MB25_VOLUMETRIA[[#This Row],[Reserva]]="","",1)</f>
        <v>1</v>
      </c>
      <c r="K1897" s="36" t="str">
        <f>IF(MB25_VOLUMETRIA[[#This Row],[Reserva]]="","",IFERROR(VLOOKUP(MB25_VOLUMETRIA[[#This Row],[UMB]],CHAVE[],2,FALSE),"VERIFICAR"))</f>
        <v>Unidade</v>
      </c>
      <c r="L189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7" s="32" t="str">
        <f ca="1">IFERROR(VLOOKUP(MB25_VOLUMETRIA[[#This Row],[Reserva]],RES_AB[],14,FALSE),"")</f>
        <v>RESERVAS PENDENTES</v>
      </c>
      <c r="N1897" s="32" t="str">
        <f>IF(MB25_VOLUMETRIA[[#This Row],[Cen.]]="","",IFERROR(VLOOKUP(MB25_VOLUMETRIA[[#This Row],[Cen.]],Dados_Empresas[],2,FALSE),"Verificar empresa"))</f>
        <v>NET MASSIVO</v>
      </c>
      <c r="O1897" s="32" t="str">
        <f>IF(MB25_VOLUMETRIA[[#This Row],[EMPRESA]]="","",IF(OR(MB25_VOLUMETRIA[[#This Row],[EMPRESA]]="NET MASSIVO",MB25_VOLUMETRIA[[#This Row],[EMPRESA]]="NET PROJETOS"),"NET","EMPRESARIAL"))</f>
        <v>NET</v>
      </c>
    </row>
    <row r="1898" spans="1:15" x14ac:dyDescent="0.25">
      <c r="A1898" s="32">
        <v>4383995</v>
      </c>
      <c r="B1898" s="32" t="s">
        <v>21</v>
      </c>
      <c r="C1898" s="33" t="s">
        <v>21</v>
      </c>
      <c r="D1898" s="35">
        <v>45449</v>
      </c>
      <c r="E1898" s="32" t="s">
        <v>185</v>
      </c>
      <c r="F1898" s="32">
        <v>22057866</v>
      </c>
      <c r="G1898" s="32" t="s">
        <v>225</v>
      </c>
      <c r="H1898" s="26" t="s">
        <v>38</v>
      </c>
      <c r="I1898" s="36">
        <v>30</v>
      </c>
      <c r="J1898" s="32">
        <f>IF(MB25_VOLUMETRIA[[#This Row],[Reserva]]="","",1)</f>
        <v>1</v>
      </c>
      <c r="K1898" s="36" t="str">
        <f>IF(MB25_VOLUMETRIA[[#This Row],[Reserva]]="","",IFERROR(VLOOKUP(MB25_VOLUMETRIA[[#This Row],[UMB]],CHAVE[],2,FALSE),"VERIFICAR"))</f>
        <v>Unidade</v>
      </c>
      <c r="L189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8" s="32" t="str">
        <f ca="1">IFERROR(VLOOKUP(MB25_VOLUMETRIA[[#This Row],[Reserva]],RES_AB[],14,FALSE),"")</f>
        <v>RESERVAS PENDENTES</v>
      </c>
      <c r="N1898" s="32" t="str">
        <f>IF(MB25_VOLUMETRIA[[#This Row],[Cen.]]="","",IFERROR(VLOOKUP(MB25_VOLUMETRIA[[#This Row],[Cen.]],Dados_Empresas[],2,FALSE),"Verificar empresa"))</f>
        <v>NET MASSIVO</v>
      </c>
      <c r="O1898" s="32" t="str">
        <f>IF(MB25_VOLUMETRIA[[#This Row],[EMPRESA]]="","",IF(OR(MB25_VOLUMETRIA[[#This Row],[EMPRESA]]="NET MASSIVO",MB25_VOLUMETRIA[[#This Row],[EMPRESA]]="NET PROJETOS"),"NET","EMPRESARIAL"))</f>
        <v>NET</v>
      </c>
    </row>
    <row r="1899" spans="1:15" x14ac:dyDescent="0.25">
      <c r="A1899" s="32">
        <v>4383995</v>
      </c>
      <c r="B1899" s="32" t="s">
        <v>21</v>
      </c>
      <c r="C1899" s="33" t="s">
        <v>19</v>
      </c>
      <c r="D1899" s="35">
        <v>45449</v>
      </c>
      <c r="E1899" s="32" t="s">
        <v>185</v>
      </c>
      <c r="F1899" s="32">
        <v>22058639</v>
      </c>
      <c r="G1899" s="32" t="s">
        <v>290</v>
      </c>
      <c r="H1899" s="26" t="s">
        <v>38</v>
      </c>
      <c r="I1899" s="36">
        <v>220</v>
      </c>
      <c r="J1899" s="32">
        <f>IF(MB25_VOLUMETRIA[[#This Row],[Reserva]]="","",1)</f>
        <v>1</v>
      </c>
      <c r="K1899" s="36" t="str">
        <f>IF(MB25_VOLUMETRIA[[#This Row],[Reserva]]="","",IFERROR(VLOOKUP(MB25_VOLUMETRIA[[#This Row],[UMB]],CHAVE[],2,FALSE),"VERIFICAR"))</f>
        <v>Unidade</v>
      </c>
      <c r="L189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899" s="32" t="str">
        <f ca="1">IFERROR(VLOOKUP(MB25_VOLUMETRIA[[#This Row],[Reserva]],RES_AB[],14,FALSE),"")</f>
        <v>RESERVAS PENDENTES</v>
      </c>
      <c r="N1899" s="32" t="str">
        <f>IF(MB25_VOLUMETRIA[[#This Row],[Cen.]]="","",IFERROR(VLOOKUP(MB25_VOLUMETRIA[[#This Row],[Cen.]],Dados_Empresas[],2,FALSE),"Verificar empresa"))</f>
        <v>NET MASSIVO</v>
      </c>
      <c r="O1899" s="32" t="str">
        <f>IF(MB25_VOLUMETRIA[[#This Row],[EMPRESA]]="","",IF(OR(MB25_VOLUMETRIA[[#This Row],[EMPRESA]]="NET MASSIVO",MB25_VOLUMETRIA[[#This Row],[EMPRESA]]="NET PROJETOS"),"NET","EMPRESARIAL"))</f>
        <v>NET</v>
      </c>
    </row>
    <row r="1900" spans="1:15" x14ac:dyDescent="0.25">
      <c r="A1900" s="32">
        <v>4383995</v>
      </c>
      <c r="B1900" s="32" t="s">
        <v>21</v>
      </c>
      <c r="C1900" s="33" t="s">
        <v>19</v>
      </c>
      <c r="D1900" s="35">
        <v>45449</v>
      </c>
      <c r="E1900" s="32" t="s">
        <v>185</v>
      </c>
      <c r="F1900" s="32">
        <v>22060287</v>
      </c>
      <c r="G1900" s="32" t="s">
        <v>465</v>
      </c>
      <c r="H1900" s="26" t="s">
        <v>38</v>
      </c>
      <c r="I1900" s="36">
        <v>40</v>
      </c>
      <c r="J1900" s="32">
        <f>IF(MB25_VOLUMETRIA[[#This Row],[Reserva]]="","",1)</f>
        <v>1</v>
      </c>
      <c r="K1900" s="36" t="str">
        <f>IF(MB25_VOLUMETRIA[[#This Row],[Reserva]]="","",IFERROR(VLOOKUP(MB25_VOLUMETRIA[[#This Row],[UMB]],CHAVE[],2,FALSE),"VERIFICAR"))</f>
        <v>Unidade</v>
      </c>
      <c r="L190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0" s="32" t="str">
        <f ca="1">IFERROR(VLOOKUP(MB25_VOLUMETRIA[[#This Row],[Reserva]],RES_AB[],14,FALSE),"")</f>
        <v>RESERVAS PENDENTES</v>
      </c>
      <c r="N1900" s="32" t="str">
        <f>IF(MB25_VOLUMETRIA[[#This Row],[Cen.]]="","",IFERROR(VLOOKUP(MB25_VOLUMETRIA[[#This Row],[Cen.]],Dados_Empresas[],2,FALSE),"Verificar empresa"))</f>
        <v>NET MASSIVO</v>
      </c>
      <c r="O1900" s="32" t="str">
        <f>IF(MB25_VOLUMETRIA[[#This Row],[EMPRESA]]="","",IF(OR(MB25_VOLUMETRIA[[#This Row],[EMPRESA]]="NET MASSIVO",MB25_VOLUMETRIA[[#This Row],[EMPRESA]]="NET PROJETOS"),"NET","EMPRESARIAL"))</f>
        <v>NET</v>
      </c>
    </row>
    <row r="1901" spans="1:15" x14ac:dyDescent="0.25">
      <c r="A1901" s="32">
        <v>4383995</v>
      </c>
      <c r="B1901" s="32" t="s">
        <v>21</v>
      </c>
      <c r="C1901" s="33" t="s">
        <v>21</v>
      </c>
      <c r="D1901" s="35">
        <v>45449</v>
      </c>
      <c r="E1901" s="32" t="s">
        <v>185</v>
      </c>
      <c r="F1901" s="32">
        <v>22060422</v>
      </c>
      <c r="G1901" s="32" t="s">
        <v>298</v>
      </c>
      <c r="H1901" s="26" t="s">
        <v>38</v>
      </c>
      <c r="I1901" s="36">
        <v>150</v>
      </c>
      <c r="J1901" s="32">
        <f>IF(MB25_VOLUMETRIA[[#This Row],[Reserva]]="","",1)</f>
        <v>1</v>
      </c>
      <c r="K1901" s="36" t="str">
        <f>IF(MB25_VOLUMETRIA[[#This Row],[Reserva]]="","",IFERROR(VLOOKUP(MB25_VOLUMETRIA[[#This Row],[UMB]],CHAVE[],2,FALSE),"VERIFICAR"))</f>
        <v>Unidade</v>
      </c>
      <c r="L190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1" s="32" t="str">
        <f ca="1">IFERROR(VLOOKUP(MB25_VOLUMETRIA[[#This Row],[Reserva]],RES_AB[],14,FALSE),"")</f>
        <v>RESERVAS PENDENTES</v>
      </c>
      <c r="N1901" s="32" t="str">
        <f>IF(MB25_VOLUMETRIA[[#This Row],[Cen.]]="","",IFERROR(VLOOKUP(MB25_VOLUMETRIA[[#This Row],[Cen.]],Dados_Empresas[],2,FALSE),"Verificar empresa"))</f>
        <v>NET MASSIVO</v>
      </c>
      <c r="O1901" s="32" t="str">
        <f>IF(MB25_VOLUMETRIA[[#This Row],[EMPRESA]]="","",IF(OR(MB25_VOLUMETRIA[[#This Row],[EMPRESA]]="NET MASSIVO",MB25_VOLUMETRIA[[#This Row],[EMPRESA]]="NET PROJETOS"),"NET","EMPRESARIAL"))</f>
        <v>NET</v>
      </c>
    </row>
    <row r="1902" spans="1:15" x14ac:dyDescent="0.25">
      <c r="A1902" s="32">
        <v>4383995</v>
      </c>
      <c r="B1902" s="32" t="s">
        <v>21</v>
      </c>
      <c r="C1902" s="33" t="s">
        <v>21</v>
      </c>
      <c r="D1902" s="35">
        <v>45449</v>
      </c>
      <c r="E1902" s="32" t="s">
        <v>185</v>
      </c>
      <c r="F1902" s="32">
        <v>22061736</v>
      </c>
      <c r="G1902" s="32" t="s">
        <v>216</v>
      </c>
      <c r="H1902" s="26" t="s">
        <v>38</v>
      </c>
      <c r="I1902" s="36">
        <v>6500</v>
      </c>
      <c r="J1902" s="32">
        <f>IF(MB25_VOLUMETRIA[[#This Row],[Reserva]]="","",1)</f>
        <v>1</v>
      </c>
      <c r="K1902" s="36" t="str">
        <f>IF(MB25_VOLUMETRIA[[#This Row],[Reserva]]="","",IFERROR(VLOOKUP(MB25_VOLUMETRIA[[#This Row],[UMB]],CHAVE[],2,FALSE),"VERIFICAR"))</f>
        <v>Unidade</v>
      </c>
      <c r="L190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2" s="32" t="str">
        <f ca="1">IFERROR(VLOOKUP(MB25_VOLUMETRIA[[#This Row],[Reserva]],RES_AB[],14,FALSE),"")</f>
        <v>RESERVAS PENDENTES</v>
      </c>
      <c r="N1902" s="32" t="str">
        <f>IF(MB25_VOLUMETRIA[[#This Row],[Cen.]]="","",IFERROR(VLOOKUP(MB25_VOLUMETRIA[[#This Row],[Cen.]],Dados_Empresas[],2,FALSE),"Verificar empresa"))</f>
        <v>NET MASSIVO</v>
      </c>
      <c r="O1902" s="32" t="str">
        <f>IF(MB25_VOLUMETRIA[[#This Row],[EMPRESA]]="","",IF(OR(MB25_VOLUMETRIA[[#This Row],[EMPRESA]]="NET MASSIVO",MB25_VOLUMETRIA[[#This Row],[EMPRESA]]="NET PROJETOS"),"NET","EMPRESARIAL"))</f>
        <v>NET</v>
      </c>
    </row>
    <row r="1903" spans="1:15" x14ac:dyDescent="0.25">
      <c r="A1903" s="32">
        <v>4383996</v>
      </c>
      <c r="B1903" s="32" t="s">
        <v>21</v>
      </c>
      <c r="C1903" s="33" t="s">
        <v>19</v>
      </c>
      <c r="D1903" s="35">
        <v>45449</v>
      </c>
      <c r="E1903" s="32" t="s">
        <v>184</v>
      </c>
      <c r="F1903" s="32">
        <v>41001095</v>
      </c>
      <c r="G1903" s="32" t="s">
        <v>246</v>
      </c>
      <c r="H1903" s="26" t="s">
        <v>38</v>
      </c>
      <c r="I1903" s="36">
        <v>220</v>
      </c>
      <c r="J1903" s="32">
        <f>IF(MB25_VOLUMETRIA[[#This Row],[Reserva]]="","",1)</f>
        <v>1</v>
      </c>
      <c r="K1903" s="36" t="str">
        <f>IF(MB25_VOLUMETRIA[[#This Row],[Reserva]]="","",IFERROR(VLOOKUP(MB25_VOLUMETRIA[[#This Row],[UMB]],CHAVE[],2,FALSE),"VERIFICAR"))</f>
        <v>Unidade</v>
      </c>
      <c r="L190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3" s="32" t="str">
        <f ca="1">IFERROR(VLOOKUP(MB25_VOLUMETRIA[[#This Row],[Reserva]],RES_AB[],14,FALSE),"")</f>
        <v>RESERVAS PENDENTES</v>
      </c>
      <c r="N1903" s="32" t="str">
        <f>IF(MB25_VOLUMETRIA[[#This Row],[Cen.]]="","",IFERROR(VLOOKUP(MB25_VOLUMETRIA[[#This Row],[Cen.]],Dados_Empresas[],2,FALSE),"Verificar empresa"))</f>
        <v>NET MASSIVO</v>
      </c>
      <c r="O1903" s="32" t="str">
        <f>IF(MB25_VOLUMETRIA[[#This Row],[EMPRESA]]="","",IF(OR(MB25_VOLUMETRIA[[#This Row],[EMPRESA]]="NET MASSIVO",MB25_VOLUMETRIA[[#This Row],[EMPRESA]]="NET PROJETOS"),"NET","EMPRESARIAL"))</f>
        <v>NET</v>
      </c>
    </row>
    <row r="1904" spans="1:15" x14ac:dyDescent="0.25">
      <c r="A1904" s="32">
        <v>4383996</v>
      </c>
      <c r="B1904" s="32" t="s">
        <v>21</v>
      </c>
      <c r="C1904" s="33" t="s">
        <v>19</v>
      </c>
      <c r="D1904" s="35">
        <v>45449</v>
      </c>
      <c r="E1904" s="32" t="s">
        <v>184</v>
      </c>
      <c r="F1904" s="32">
        <v>41001234</v>
      </c>
      <c r="G1904" s="32" t="s">
        <v>189</v>
      </c>
      <c r="H1904" s="26" t="s">
        <v>38</v>
      </c>
      <c r="I1904" s="36">
        <v>150</v>
      </c>
      <c r="J1904" s="32">
        <f>IF(MB25_VOLUMETRIA[[#This Row],[Reserva]]="","",1)</f>
        <v>1</v>
      </c>
      <c r="K1904" s="36" t="str">
        <f>IF(MB25_VOLUMETRIA[[#This Row],[Reserva]]="","",IFERROR(VLOOKUP(MB25_VOLUMETRIA[[#This Row],[UMB]],CHAVE[],2,FALSE),"VERIFICAR"))</f>
        <v>Unidade</v>
      </c>
      <c r="L190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4" s="32" t="str">
        <f ca="1">IFERROR(VLOOKUP(MB25_VOLUMETRIA[[#This Row],[Reserva]],RES_AB[],14,FALSE),"")</f>
        <v>RESERVAS PENDENTES</v>
      </c>
      <c r="N1904" s="32" t="str">
        <f>IF(MB25_VOLUMETRIA[[#This Row],[Cen.]]="","",IFERROR(VLOOKUP(MB25_VOLUMETRIA[[#This Row],[Cen.]],Dados_Empresas[],2,FALSE),"Verificar empresa"))</f>
        <v>NET MASSIVO</v>
      </c>
      <c r="O1904" s="32" t="str">
        <f>IF(MB25_VOLUMETRIA[[#This Row],[EMPRESA]]="","",IF(OR(MB25_VOLUMETRIA[[#This Row],[EMPRESA]]="NET MASSIVO",MB25_VOLUMETRIA[[#This Row],[EMPRESA]]="NET PROJETOS"),"NET","EMPRESARIAL"))</f>
        <v>NET</v>
      </c>
    </row>
    <row r="1905" spans="1:15" x14ac:dyDescent="0.25">
      <c r="A1905" s="32">
        <v>4383996</v>
      </c>
      <c r="B1905" s="32" t="s">
        <v>21</v>
      </c>
      <c r="C1905" s="33" t="s">
        <v>19</v>
      </c>
      <c r="D1905" s="35">
        <v>45449</v>
      </c>
      <c r="E1905" s="32" t="s">
        <v>184</v>
      </c>
      <c r="F1905" s="32">
        <v>41001277</v>
      </c>
      <c r="G1905" s="32" t="s">
        <v>466</v>
      </c>
      <c r="H1905" s="26" t="s">
        <v>38</v>
      </c>
      <c r="I1905" s="36">
        <v>150</v>
      </c>
      <c r="J1905" s="32">
        <f>IF(MB25_VOLUMETRIA[[#This Row],[Reserva]]="","",1)</f>
        <v>1</v>
      </c>
      <c r="K1905" s="36" t="str">
        <f>IF(MB25_VOLUMETRIA[[#This Row],[Reserva]]="","",IFERROR(VLOOKUP(MB25_VOLUMETRIA[[#This Row],[UMB]],CHAVE[],2,FALSE),"VERIFICAR"))</f>
        <v>Unidade</v>
      </c>
      <c r="L190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5" s="32" t="str">
        <f ca="1">IFERROR(VLOOKUP(MB25_VOLUMETRIA[[#This Row],[Reserva]],RES_AB[],14,FALSE),"")</f>
        <v>RESERVAS PENDENTES</v>
      </c>
      <c r="N1905" s="32" t="str">
        <f>IF(MB25_VOLUMETRIA[[#This Row],[Cen.]]="","",IFERROR(VLOOKUP(MB25_VOLUMETRIA[[#This Row],[Cen.]],Dados_Empresas[],2,FALSE),"Verificar empresa"))</f>
        <v>NET MASSIVO</v>
      </c>
      <c r="O1905" s="32" t="str">
        <f>IF(MB25_VOLUMETRIA[[#This Row],[EMPRESA]]="","",IF(OR(MB25_VOLUMETRIA[[#This Row],[EMPRESA]]="NET MASSIVO",MB25_VOLUMETRIA[[#This Row],[EMPRESA]]="NET PROJETOS"),"NET","EMPRESARIAL"))</f>
        <v>NET</v>
      </c>
    </row>
    <row r="1906" spans="1:15" x14ac:dyDescent="0.25">
      <c r="A1906" s="32">
        <v>4383996</v>
      </c>
      <c r="B1906" s="32" t="s">
        <v>21</v>
      </c>
      <c r="C1906" s="33" t="s">
        <v>19</v>
      </c>
      <c r="D1906" s="35">
        <v>45449</v>
      </c>
      <c r="E1906" s="32" t="s">
        <v>184</v>
      </c>
      <c r="F1906" s="32">
        <v>41001481</v>
      </c>
      <c r="G1906" s="32" t="s">
        <v>403</v>
      </c>
      <c r="H1906" s="26" t="s">
        <v>38</v>
      </c>
      <c r="I1906" s="36">
        <v>40</v>
      </c>
      <c r="J1906" s="32">
        <f>IF(MB25_VOLUMETRIA[[#This Row],[Reserva]]="","",1)</f>
        <v>1</v>
      </c>
      <c r="K1906" s="36" t="str">
        <f>IF(MB25_VOLUMETRIA[[#This Row],[Reserva]]="","",IFERROR(VLOOKUP(MB25_VOLUMETRIA[[#This Row],[UMB]],CHAVE[],2,FALSE),"VERIFICAR"))</f>
        <v>Unidade</v>
      </c>
      <c r="L190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6" s="32" t="str">
        <f ca="1">IFERROR(VLOOKUP(MB25_VOLUMETRIA[[#This Row],[Reserva]],RES_AB[],14,FALSE),"")</f>
        <v>RESERVAS PENDENTES</v>
      </c>
      <c r="N1906" s="32" t="str">
        <f>IF(MB25_VOLUMETRIA[[#This Row],[Cen.]]="","",IFERROR(VLOOKUP(MB25_VOLUMETRIA[[#This Row],[Cen.]],Dados_Empresas[],2,FALSE),"Verificar empresa"))</f>
        <v>NET MASSIVO</v>
      </c>
      <c r="O1906" s="32" t="str">
        <f>IF(MB25_VOLUMETRIA[[#This Row],[EMPRESA]]="","",IF(OR(MB25_VOLUMETRIA[[#This Row],[EMPRESA]]="NET MASSIVO",MB25_VOLUMETRIA[[#This Row],[EMPRESA]]="NET PROJETOS"),"NET","EMPRESARIAL"))</f>
        <v>NET</v>
      </c>
    </row>
    <row r="1907" spans="1:15" x14ac:dyDescent="0.25">
      <c r="A1907" s="32">
        <v>4383996</v>
      </c>
      <c r="B1907" s="32" t="s">
        <v>21</v>
      </c>
      <c r="C1907" s="33" t="s">
        <v>182</v>
      </c>
      <c r="D1907" s="35">
        <v>45449</v>
      </c>
      <c r="E1907" s="32" t="s">
        <v>184</v>
      </c>
      <c r="F1907" s="32">
        <v>41001530</v>
      </c>
      <c r="G1907" s="32" t="s">
        <v>319</v>
      </c>
      <c r="H1907" s="26" t="s">
        <v>38</v>
      </c>
      <c r="I1907" s="36">
        <v>40</v>
      </c>
      <c r="J1907" s="32">
        <f>IF(MB25_VOLUMETRIA[[#This Row],[Reserva]]="","",1)</f>
        <v>1</v>
      </c>
      <c r="K1907" s="36" t="str">
        <f>IF(MB25_VOLUMETRIA[[#This Row],[Reserva]]="","",IFERROR(VLOOKUP(MB25_VOLUMETRIA[[#This Row],[UMB]],CHAVE[],2,FALSE),"VERIFICAR"))</f>
        <v>Unidade</v>
      </c>
      <c r="L190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7" s="32" t="str">
        <f ca="1">IFERROR(VLOOKUP(MB25_VOLUMETRIA[[#This Row],[Reserva]],RES_AB[],14,FALSE),"")</f>
        <v>RESERVAS PENDENTES</v>
      </c>
      <c r="N1907" s="32" t="str">
        <f>IF(MB25_VOLUMETRIA[[#This Row],[Cen.]]="","",IFERROR(VLOOKUP(MB25_VOLUMETRIA[[#This Row],[Cen.]],Dados_Empresas[],2,FALSE),"Verificar empresa"))</f>
        <v>NET MASSIVO</v>
      </c>
      <c r="O1907" s="32" t="str">
        <f>IF(MB25_VOLUMETRIA[[#This Row],[EMPRESA]]="","",IF(OR(MB25_VOLUMETRIA[[#This Row],[EMPRESA]]="NET MASSIVO",MB25_VOLUMETRIA[[#This Row],[EMPRESA]]="NET PROJETOS"),"NET","EMPRESARIAL"))</f>
        <v>NET</v>
      </c>
    </row>
    <row r="1908" spans="1:15" x14ac:dyDescent="0.25">
      <c r="A1908" s="32">
        <v>4383996</v>
      </c>
      <c r="B1908" s="32" t="s">
        <v>21</v>
      </c>
      <c r="C1908" s="33" t="s">
        <v>21</v>
      </c>
      <c r="D1908" s="35">
        <v>45449</v>
      </c>
      <c r="E1908" s="32" t="s">
        <v>184</v>
      </c>
      <c r="F1908" s="32">
        <v>41001535</v>
      </c>
      <c r="G1908" s="32" t="s">
        <v>191</v>
      </c>
      <c r="H1908" s="26" t="s">
        <v>38</v>
      </c>
      <c r="I1908" s="36">
        <v>100</v>
      </c>
      <c r="J1908" s="32">
        <f>IF(MB25_VOLUMETRIA[[#This Row],[Reserva]]="","",1)</f>
        <v>1</v>
      </c>
      <c r="K1908" s="36" t="str">
        <f>IF(MB25_VOLUMETRIA[[#This Row],[Reserva]]="","",IFERROR(VLOOKUP(MB25_VOLUMETRIA[[#This Row],[UMB]],CHAVE[],2,FALSE),"VERIFICAR"))</f>
        <v>Unidade</v>
      </c>
      <c r="L190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8" s="32" t="str">
        <f ca="1">IFERROR(VLOOKUP(MB25_VOLUMETRIA[[#This Row],[Reserva]],RES_AB[],14,FALSE),"")</f>
        <v>RESERVAS PENDENTES</v>
      </c>
      <c r="N1908" s="32" t="str">
        <f>IF(MB25_VOLUMETRIA[[#This Row],[Cen.]]="","",IFERROR(VLOOKUP(MB25_VOLUMETRIA[[#This Row],[Cen.]],Dados_Empresas[],2,FALSE),"Verificar empresa"))</f>
        <v>NET MASSIVO</v>
      </c>
      <c r="O1908" s="32" t="str">
        <f>IF(MB25_VOLUMETRIA[[#This Row],[EMPRESA]]="","",IF(OR(MB25_VOLUMETRIA[[#This Row],[EMPRESA]]="NET MASSIVO",MB25_VOLUMETRIA[[#This Row],[EMPRESA]]="NET PROJETOS"),"NET","EMPRESARIAL"))</f>
        <v>NET</v>
      </c>
    </row>
    <row r="1909" spans="1:15" x14ac:dyDescent="0.25">
      <c r="A1909" s="32">
        <v>4383996</v>
      </c>
      <c r="B1909" s="32" t="s">
        <v>21</v>
      </c>
      <c r="C1909" s="33" t="s">
        <v>21</v>
      </c>
      <c r="D1909" s="35">
        <v>45449</v>
      </c>
      <c r="E1909" s="32" t="s">
        <v>184</v>
      </c>
      <c r="F1909" s="32">
        <v>41001553</v>
      </c>
      <c r="G1909" s="32" t="s">
        <v>295</v>
      </c>
      <c r="H1909" s="26" t="s">
        <v>38</v>
      </c>
      <c r="I1909" s="36">
        <v>50</v>
      </c>
      <c r="J1909" s="32">
        <f>IF(MB25_VOLUMETRIA[[#This Row],[Reserva]]="","",1)</f>
        <v>1</v>
      </c>
      <c r="K1909" s="36" t="str">
        <f>IF(MB25_VOLUMETRIA[[#This Row],[Reserva]]="","",IFERROR(VLOOKUP(MB25_VOLUMETRIA[[#This Row],[UMB]],CHAVE[],2,FALSE),"VERIFICAR"))</f>
        <v>Unidade</v>
      </c>
      <c r="L190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09" s="32" t="str">
        <f ca="1">IFERROR(VLOOKUP(MB25_VOLUMETRIA[[#This Row],[Reserva]],RES_AB[],14,FALSE),"")</f>
        <v>RESERVAS PENDENTES</v>
      </c>
      <c r="N1909" s="32" t="str">
        <f>IF(MB25_VOLUMETRIA[[#This Row],[Cen.]]="","",IFERROR(VLOOKUP(MB25_VOLUMETRIA[[#This Row],[Cen.]],Dados_Empresas[],2,FALSE),"Verificar empresa"))</f>
        <v>NET MASSIVO</v>
      </c>
      <c r="O1909" s="32" t="str">
        <f>IF(MB25_VOLUMETRIA[[#This Row],[EMPRESA]]="","",IF(OR(MB25_VOLUMETRIA[[#This Row],[EMPRESA]]="NET MASSIVO",MB25_VOLUMETRIA[[#This Row],[EMPRESA]]="NET PROJETOS"),"NET","EMPRESARIAL"))</f>
        <v>NET</v>
      </c>
    </row>
    <row r="1910" spans="1:15" x14ac:dyDescent="0.25">
      <c r="A1910" s="32">
        <v>4383997</v>
      </c>
      <c r="B1910" s="32" t="s">
        <v>21</v>
      </c>
      <c r="C1910" s="33" t="s">
        <v>19</v>
      </c>
      <c r="D1910" s="35">
        <v>45449</v>
      </c>
      <c r="E1910" s="32" t="s">
        <v>185</v>
      </c>
      <c r="F1910" s="32">
        <v>22026251</v>
      </c>
      <c r="G1910" s="32" t="s">
        <v>247</v>
      </c>
      <c r="H1910" s="26" t="s">
        <v>38</v>
      </c>
      <c r="I1910" s="36">
        <v>100</v>
      </c>
      <c r="J1910" s="32">
        <f>IF(MB25_VOLUMETRIA[[#This Row],[Reserva]]="","",1)</f>
        <v>1</v>
      </c>
      <c r="K1910" s="36" t="str">
        <f>IF(MB25_VOLUMETRIA[[#This Row],[Reserva]]="","",IFERROR(VLOOKUP(MB25_VOLUMETRIA[[#This Row],[UMB]],CHAVE[],2,FALSE),"VERIFICAR"))</f>
        <v>Unidade</v>
      </c>
      <c r="L191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0" s="32" t="str">
        <f ca="1">IFERROR(VLOOKUP(MB25_VOLUMETRIA[[#This Row],[Reserva]],RES_AB[],14,FALSE),"")</f>
        <v>RESERVAS PENDENTES</v>
      </c>
      <c r="N1910" s="32" t="str">
        <f>IF(MB25_VOLUMETRIA[[#This Row],[Cen.]]="","",IFERROR(VLOOKUP(MB25_VOLUMETRIA[[#This Row],[Cen.]],Dados_Empresas[],2,FALSE),"Verificar empresa"))</f>
        <v>NET MASSIVO</v>
      </c>
      <c r="O1910" s="32" t="str">
        <f>IF(MB25_VOLUMETRIA[[#This Row],[EMPRESA]]="","",IF(OR(MB25_VOLUMETRIA[[#This Row],[EMPRESA]]="NET MASSIVO",MB25_VOLUMETRIA[[#This Row],[EMPRESA]]="NET PROJETOS"),"NET","EMPRESARIAL"))</f>
        <v>NET</v>
      </c>
    </row>
    <row r="1911" spans="1:15" x14ac:dyDescent="0.25">
      <c r="A1911" s="32">
        <v>4383997</v>
      </c>
      <c r="B1911" s="32" t="s">
        <v>21</v>
      </c>
      <c r="C1911" s="33" t="s">
        <v>19</v>
      </c>
      <c r="D1911" s="35">
        <v>45449</v>
      </c>
      <c r="E1911" s="32" t="s">
        <v>185</v>
      </c>
      <c r="F1911" s="32">
        <v>22060422</v>
      </c>
      <c r="G1911" s="32" t="s">
        <v>298</v>
      </c>
      <c r="H1911" s="26" t="s">
        <v>38</v>
      </c>
      <c r="I1911" s="36">
        <v>100</v>
      </c>
      <c r="J1911" s="32">
        <f>IF(MB25_VOLUMETRIA[[#This Row],[Reserva]]="","",1)</f>
        <v>1</v>
      </c>
      <c r="K1911" s="36" t="str">
        <f>IF(MB25_VOLUMETRIA[[#This Row],[Reserva]]="","",IFERROR(VLOOKUP(MB25_VOLUMETRIA[[#This Row],[UMB]],CHAVE[],2,FALSE),"VERIFICAR"))</f>
        <v>Unidade</v>
      </c>
      <c r="L191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1" s="32" t="str">
        <f ca="1">IFERROR(VLOOKUP(MB25_VOLUMETRIA[[#This Row],[Reserva]],RES_AB[],14,FALSE),"")</f>
        <v>RESERVAS PENDENTES</v>
      </c>
      <c r="N1911" s="32" t="str">
        <f>IF(MB25_VOLUMETRIA[[#This Row],[Cen.]]="","",IFERROR(VLOOKUP(MB25_VOLUMETRIA[[#This Row],[Cen.]],Dados_Empresas[],2,FALSE),"Verificar empresa"))</f>
        <v>NET MASSIVO</v>
      </c>
      <c r="O1911" s="32" t="str">
        <f>IF(MB25_VOLUMETRIA[[#This Row],[EMPRESA]]="","",IF(OR(MB25_VOLUMETRIA[[#This Row],[EMPRESA]]="NET MASSIVO",MB25_VOLUMETRIA[[#This Row],[EMPRESA]]="NET PROJETOS"),"NET","EMPRESARIAL"))</f>
        <v>NET</v>
      </c>
    </row>
    <row r="1912" spans="1:15" x14ac:dyDescent="0.25">
      <c r="A1912" s="32">
        <v>4383998</v>
      </c>
      <c r="B1912" s="32" t="s">
        <v>21</v>
      </c>
      <c r="C1912" s="33" t="s">
        <v>19</v>
      </c>
      <c r="D1912" s="35">
        <v>45449</v>
      </c>
      <c r="E1912" s="32" t="s">
        <v>185</v>
      </c>
      <c r="F1912" s="32">
        <v>22026251</v>
      </c>
      <c r="G1912" s="32" t="s">
        <v>247</v>
      </c>
      <c r="H1912" s="26" t="s">
        <v>38</v>
      </c>
      <c r="I1912" s="36">
        <v>150</v>
      </c>
      <c r="J1912" s="32">
        <f>IF(MB25_VOLUMETRIA[[#This Row],[Reserva]]="","",1)</f>
        <v>1</v>
      </c>
      <c r="K1912" s="36" t="str">
        <f>IF(MB25_VOLUMETRIA[[#This Row],[Reserva]]="","",IFERROR(VLOOKUP(MB25_VOLUMETRIA[[#This Row],[UMB]],CHAVE[],2,FALSE),"VERIFICAR"))</f>
        <v>Unidade</v>
      </c>
      <c r="L191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2" s="32" t="str">
        <f ca="1">IFERROR(VLOOKUP(MB25_VOLUMETRIA[[#This Row],[Reserva]],RES_AB[],14,FALSE),"")</f>
        <v>RESERVAS PENDENTES</v>
      </c>
      <c r="N1912" s="32" t="str">
        <f>IF(MB25_VOLUMETRIA[[#This Row],[Cen.]]="","",IFERROR(VLOOKUP(MB25_VOLUMETRIA[[#This Row],[Cen.]],Dados_Empresas[],2,FALSE),"Verificar empresa"))</f>
        <v>NET MASSIVO</v>
      </c>
      <c r="O1912" s="32" t="str">
        <f>IF(MB25_VOLUMETRIA[[#This Row],[EMPRESA]]="","",IF(OR(MB25_VOLUMETRIA[[#This Row],[EMPRESA]]="NET MASSIVO",MB25_VOLUMETRIA[[#This Row],[EMPRESA]]="NET PROJETOS"),"NET","EMPRESARIAL"))</f>
        <v>NET</v>
      </c>
    </row>
    <row r="1913" spans="1:15" x14ac:dyDescent="0.25">
      <c r="A1913" s="32">
        <v>4383998</v>
      </c>
      <c r="B1913" s="32" t="s">
        <v>21</v>
      </c>
      <c r="C1913" s="33" t="s">
        <v>21</v>
      </c>
      <c r="D1913" s="35">
        <v>45449</v>
      </c>
      <c r="E1913" s="32" t="s">
        <v>185</v>
      </c>
      <c r="F1913" s="32">
        <v>22060422</v>
      </c>
      <c r="G1913" s="32" t="s">
        <v>298</v>
      </c>
      <c r="H1913" s="26" t="s">
        <v>38</v>
      </c>
      <c r="I1913" s="36">
        <v>100</v>
      </c>
      <c r="J1913" s="32">
        <f>IF(MB25_VOLUMETRIA[[#This Row],[Reserva]]="","",1)</f>
        <v>1</v>
      </c>
      <c r="K1913" s="36" t="str">
        <f>IF(MB25_VOLUMETRIA[[#This Row],[Reserva]]="","",IFERROR(VLOOKUP(MB25_VOLUMETRIA[[#This Row],[UMB]],CHAVE[],2,FALSE),"VERIFICAR"))</f>
        <v>Unidade</v>
      </c>
      <c r="L191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3" s="32" t="str">
        <f ca="1">IFERROR(VLOOKUP(MB25_VOLUMETRIA[[#This Row],[Reserva]],RES_AB[],14,FALSE),"")</f>
        <v>RESERVAS PENDENTES</v>
      </c>
      <c r="N1913" s="32" t="str">
        <f>IF(MB25_VOLUMETRIA[[#This Row],[Cen.]]="","",IFERROR(VLOOKUP(MB25_VOLUMETRIA[[#This Row],[Cen.]],Dados_Empresas[],2,FALSE),"Verificar empresa"))</f>
        <v>NET MASSIVO</v>
      </c>
      <c r="O1913" s="32" t="str">
        <f>IF(MB25_VOLUMETRIA[[#This Row],[EMPRESA]]="","",IF(OR(MB25_VOLUMETRIA[[#This Row],[EMPRESA]]="NET MASSIVO",MB25_VOLUMETRIA[[#This Row],[EMPRESA]]="NET PROJETOS"),"NET","EMPRESARIAL"))</f>
        <v>NET</v>
      </c>
    </row>
    <row r="1914" spans="1:15" x14ac:dyDescent="0.25">
      <c r="A1914" s="32">
        <v>4383999</v>
      </c>
      <c r="B1914" s="32" t="s">
        <v>21</v>
      </c>
      <c r="C1914" s="33" t="s">
        <v>19</v>
      </c>
      <c r="D1914" s="35">
        <v>45449</v>
      </c>
      <c r="E1914" s="32" t="s">
        <v>185</v>
      </c>
      <c r="F1914" s="32">
        <v>22026251</v>
      </c>
      <c r="G1914" s="32" t="s">
        <v>247</v>
      </c>
      <c r="H1914" s="26" t="s">
        <v>38</v>
      </c>
      <c r="I1914" s="36">
        <v>100</v>
      </c>
      <c r="J1914" s="32">
        <f>IF(MB25_VOLUMETRIA[[#This Row],[Reserva]]="","",1)</f>
        <v>1</v>
      </c>
      <c r="K1914" s="36" t="str">
        <f>IF(MB25_VOLUMETRIA[[#This Row],[Reserva]]="","",IFERROR(VLOOKUP(MB25_VOLUMETRIA[[#This Row],[UMB]],CHAVE[],2,FALSE),"VERIFICAR"))</f>
        <v>Unidade</v>
      </c>
      <c r="L191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4" s="32" t="str">
        <f ca="1">IFERROR(VLOOKUP(MB25_VOLUMETRIA[[#This Row],[Reserva]],RES_AB[],14,FALSE),"")</f>
        <v>RESERVAS PENDENTES</v>
      </c>
      <c r="N1914" s="32" t="str">
        <f>IF(MB25_VOLUMETRIA[[#This Row],[Cen.]]="","",IFERROR(VLOOKUP(MB25_VOLUMETRIA[[#This Row],[Cen.]],Dados_Empresas[],2,FALSE),"Verificar empresa"))</f>
        <v>NET MASSIVO</v>
      </c>
      <c r="O1914" s="32" t="str">
        <f>IF(MB25_VOLUMETRIA[[#This Row],[EMPRESA]]="","",IF(OR(MB25_VOLUMETRIA[[#This Row],[EMPRESA]]="NET MASSIVO",MB25_VOLUMETRIA[[#This Row],[EMPRESA]]="NET PROJETOS"),"NET","EMPRESARIAL"))</f>
        <v>NET</v>
      </c>
    </row>
    <row r="1915" spans="1:15" x14ac:dyDescent="0.25">
      <c r="A1915" s="32">
        <v>4383999</v>
      </c>
      <c r="B1915" s="32" t="s">
        <v>21</v>
      </c>
      <c r="C1915" s="33" t="s">
        <v>21</v>
      </c>
      <c r="D1915" s="35">
        <v>45449</v>
      </c>
      <c r="E1915" s="32" t="s">
        <v>185</v>
      </c>
      <c r="F1915" s="32">
        <v>22060422</v>
      </c>
      <c r="G1915" s="32" t="s">
        <v>298</v>
      </c>
      <c r="H1915" s="26" t="s">
        <v>38</v>
      </c>
      <c r="I1915" s="36">
        <v>100</v>
      </c>
      <c r="J1915" s="32">
        <f>IF(MB25_VOLUMETRIA[[#This Row],[Reserva]]="","",1)</f>
        <v>1</v>
      </c>
      <c r="K1915" s="36" t="str">
        <f>IF(MB25_VOLUMETRIA[[#This Row],[Reserva]]="","",IFERROR(VLOOKUP(MB25_VOLUMETRIA[[#This Row],[UMB]],CHAVE[],2,FALSE),"VERIFICAR"))</f>
        <v>Unidade</v>
      </c>
      <c r="L191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5" s="32" t="str">
        <f ca="1">IFERROR(VLOOKUP(MB25_VOLUMETRIA[[#This Row],[Reserva]],RES_AB[],14,FALSE),"")</f>
        <v>RESERVAS PENDENTES</v>
      </c>
      <c r="N1915" s="32" t="str">
        <f>IF(MB25_VOLUMETRIA[[#This Row],[Cen.]]="","",IFERROR(VLOOKUP(MB25_VOLUMETRIA[[#This Row],[Cen.]],Dados_Empresas[],2,FALSE),"Verificar empresa"))</f>
        <v>NET MASSIVO</v>
      </c>
      <c r="O1915" s="32" t="str">
        <f>IF(MB25_VOLUMETRIA[[#This Row],[EMPRESA]]="","",IF(OR(MB25_VOLUMETRIA[[#This Row],[EMPRESA]]="NET MASSIVO",MB25_VOLUMETRIA[[#This Row],[EMPRESA]]="NET PROJETOS"),"NET","EMPRESARIAL"))</f>
        <v>NET</v>
      </c>
    </row>
    <row r="1916" spans="1:15" x14ac:dyDescent="0.25">
      <c r="A1916" s="32">
        <v>4384000</v>
      </c>
      <c r="B1916" s="32" t="s">
        <v>21</v>
      </c>
      <c r="C1916" s="33" t="s">
        <v>21</v>
      </c>
      <c r="D1916" s="35">
        <v>45449</v>
      </c>
      <c r="E1916" s="32" t="s">
        <v>185</v>
      </c>
      <c r="F1916" s="32">
        <v>22060422</v>
      </c>
      <c r="G1916" s="32" t="s">
        <v>298</v>
      </c>
      <c r="H1916" s="26" t="s">
        <v>38</v>
      </c>
      <c r="I1916" s="36">
        <v>70</v>
      </c>
      <c r="J1916" s="32">
        <f>IF(MB25_VOLUMETRIA[[#This Row],[Reserva]]="","",1)</f>
        <v>1</v>
      </c>
      <c r="K1916" s="36" t="str">
        <f>IF(MB25_VOLUMETRIA[[#This Row],[Reserva]]="","",IFERROR(VLOOKUP(MB25_VOLUMETRIA[[#This Row],[UMB]],CHAVE[],2,FALSE),"VERIFICAR"))</f>
        <v>Unidade</v>
      </c>
      <c r="L191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6" s="32" t="str">
        <f ca="1">IFERROR(VLOOKUP(MB25_VOLUMETRIA[[#This Row],[Reserva]],RES_AB[],14,FALSE),"")</f>
        <v>RESERVAS PENDENTES</v>
      </c>
      <c r="N1916" s="32" t="str">
        <f>IF(MB25_VOLUMETRIA[[#This Row],[Cen.]]="","",IFERROR(VLOOKUP(MB25_VOLUMETRIA[[#This Row],[Cen.]],Dados_Empresas[],2,FALSE),"Verificar empresa"))</f>
        <v>NET MASSIVO</v>
      </c>
      <c r="O1916" s="32" t="str">
        <f>IF(MB25_VOLUMETRIA[[#This Row],[EMPRESA]]="","",IF(OR(MB25_VOLUMETRIA[[#This Row],[EMPRESA]]="NET MASSIVO",MB25_VOLUMETRIA[[#This Row],[EMPRESA]]="NET PROJETOS"),"NET","EMPRESARIAL"))</f>
        <v>NET</v>
      </c>
    </row>
    <row r="1917" spans="1:15" x14ac:dyDescent="0.25">
      <c r="A1917" s="32">
        <v>4384001</v>
      </c>
      <c r="B1917" s="32" t="s">
        <v>21</v>
      </c>
      <c r="C1917" s="33" t="s">
        <v>19</v>
      </c>
      <c r="D1917" s="35">
        <v>45449</v>
      </c>
      <c r="E1917" s="32" t="s">
        <v>185</v>
      </c>
      <c r="F1917" s="32">
        <v>22026251</v>
      </c>
      <c r="G1917" s="32" t="s">
        <v>247</v>
      </c>
      <c r="H1917" s="26" t="s">
        <v>38</v>
      </c>
      <c r="I1917" s="36">
        <v>50</v>
      </c>
      <c r="J1917" s="32">
        <f>IF(MB25_VOLUMETRIA[[#This Row],[Reserva]]="","",1)</f>
        <v>1</v>
      </c>
      <c r="K1917" s="36" t="str">
        <f>IF(MB25_VOLUMETRIA[[#This Row],[Reserva]]="","",IFERROR(VLOOKUP(MB25_VOLUMETRIA[[#This Row],[UMB]],CHAVE[],2,FALSE),"VERIFICAR"))</f>
        <v>Unidade</v>
      </c>
      <c r="L191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7" s="32" t="str">
        <f ca="1">IFERROR(VLOOKUP(MB25_VOLUMETRIA[[#This Row],[Reserva]],RES_AB[],14,FALSE),"")</f>
        <v>RESERVAS PENDENTES</v>
      </c>
      <c r="N1917" s="32" t="str">
        <f>IF(MB25_VOLUMETRIA[[#This Row],[Cen.]]="","",IFERROR(VLOOKUP(MB25_VOLUMETRIA[[#This Row],[Cen.]],Dados_Empresas[],2,FALSE),"Verificar empresa"))</f>
        <v>NET MASSIVO</v>
      </c>
      <c r="O1917" s="32" t="str">
        <f>IF(MB25_VOLUMETRIA[[#This Row],[EMPRESA]]="","",IF(OR(MB25_VOLUMETRIA[[#This Row],[EMPRESA]]="NET MASSIVO",MB25_VOLUMETRIA[[#This Row],[EMPRESA]]="NET PROJETOS"),"NET","EMPRESARIAL"))</f>
        <v>NET</v>
      </c>
    </row>
    <row r="1918" spans="1:15" x14ac:dyDescent="0.25">
      <c r="A1918" s="32">
        <v>4384001</v>
      </c>
      <c r="B1918" s="32" t="s">
        <v>21</v>
      </c>
      <c r="C1918" s="33" t="s">
        <v>21</v>
      </c>
      <c r="D1918" s="35">
        <v>45449</v>
      </c>
      <c r="E1918" s="32" t="s">
        <v>185</v>
      </c>
      <c r="F1918" s="32">
        <v>22060422</v>
      </c>
      <c r="G1918" s="32" t="s">
        <v>298</v>
      </c>
      <c r="H1918" s="26" t="s">
        <v>38</v>
      </c>
      <c r="I1918" s="36">
        <v>50</v>
      </c>
      <c r="J1918" s="32">
        <f>IF(MB25_VOLUMETRIA[[#This Row],[Reserva]]="","",1)</f>
        <v>1</v>
      </c>
      <c r="K1918" s="36" t="str">
        <f>IF(MB25_VOLUMETRIA[[#This Row],[Reserva]]="","",IFERROR(VLOOKUP(MB25_VOLUMETRIA[[#This Row],[UMB]],CHAVE[],2,FALSE),"VERIFICAR"))</f>
        <v>Unidade</v>
      </c>
      <c r="L191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8" s="32" t="str">
        <f ca="1">IFERROR(VLOOKUP(MB25_VOLUMETRIA[[#This Row],[Reserva]],RES_AB[],14,FALSE),"")</f>
        <v>RESERVAS PENDENTES</v>
      </c>
      <c r="N1918" s="32" t="str">
        <f>IF(MB25_VOLUMETRIA[[#This Row],[Cen.]]="","",IFERROR(VLOOKUP(MB25_VOLUMETRIA[[#This Row],[Cen.]],Dados_Empresas[],2,FALSE),"Verificar empresa"))</f>
        <v>NET MASSIVO</v>
      </c>
      <c r="O1918" s="32" t="str">
        <f>IF(MB25_VOLUMETRIA[[#This Row],[EMPRESA]]="","",IF(OR(MB25_VOLUMETRIA[[#This Row],[EMPRESA]]="NET MASSIVO",MB25_VOLUMETRIA[[#This Row],[EMPRESA]]="NET PROJETOS"),"NET","EMPRESARIAL"))</f>
        <v>NET</v>
      </c>
    </row>
    <row r="1919" spans="1:15" x14ac:dyDescent="0.25">
      <c r="A1919" s="32">
        <v>4384002</v>
      </c>
      <c r="B1919" s="32" t="s">
        <v>21</v>
      </c>
      <c r="C1919" s="33" t="s">
        <v>182</v>
      </c>
      <c r="D1919" s="35">
        <v>45449</v>
      </c>
      <c r="E1919" s="32" t="s">
        <v>184</v>
      </c>
      <c r="F1919" s="32">
        <v>41001483</v>
      </c>
      <c r="G1919" s="32" t="s">
        <v>472</v>
      </c>
      <c r="H1919" s="26" t="s">
        <v>38</v>
      </c>
      <c r="I1919" s="36">
        <v>10</v>
      </c>
      <c r="J1919" s="32">
        <f>IF(MB25_VOLUMETRIA[[#This Row],[Reserva]]="","",1)</f>
        <v>1</v>
      </c>
      <c r="K1919" s="36" t="str">
        <f>IF(MB25_VOLUMETRIA[[#This Row],[Reserva]]="","",IFERROR(VLOOKUP(MB25_VOLUMETRIA[[#This Row],[UMB]],CHAVE[],2,FALSE),"VERIFICAR"))</f>
        <v>Unidade</v>
      </c>
      <c r="L191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19" s="32" t="str">
        <f ca="1">IFERROR(VLOOKUP(MB25_VOLUMETRIA[[#This Row],[Reserva]],RES_AB[],14,FALSE),"")</f>
        <v>RESERVAS PENDENTES</v>
      </c>
      <c r="N1919" s="32" t="str">
        <f>IF(MB25_VOLUMETRIA[[#This Row],[Cen.]]="","",IFERROR(VLOOKUP(MB25_VOLUMETRIA[[#This Row],[Cen.]],Dados_Empresas[],2,FALSE),"Verificar empresa"))</f>
        <v>NET MASSIVO</v>
      </c>
      <c r="O1919" s="32" t="str">
        <f>IF(MB25_VOLUMETRIA[[#This Row],[EMPRESA]]="","",IF(OR(MB25_VOLUMETRIA[[#This Row],[EMPRESA]]="NET MASSIVO",MB25_VOLUMETRIA[[#This Row],[EMPRESA]]="NET PROJETOS"),"NET","EMPRESARIAL"))</f>
        <v>NET</v>
      </c>
    </row>
    <row r="1920" spans="1:15" x14ac:dyDescent="0.25">
      <c r="A1920" s="32">
        <v>4384003</v>
      </c>
      <c r="B1920" s="32" t="s">
        <v>21</v>
      </c>
      <c r="C1920" s="33" t="s">
        <v>19</v>
      </c>
      <c r="D1920" s="35">
        <v>45449</v>
      </c>
      <c r="E1920" s="32" t="s">
        <v>185</v>
      </c>
      <c r="F1920" s="32">
        <v>22026251</v>
      </c>
      <c r="G1920" s="32" t="s">
        <v>247</v>
      </c>
      <c r="H1920" s="26" t="s">
        <v>38</v>
      </c>
      <c r="I1920" s="36">
        <v>100</v>
      </c>
      <c r="J1920" s="32">
        <f>IF(MB25_VOLUMETRIA[[#This Row],[Reserva]]="","",1)</f>
        <v>1</v>
      </c>
      <c r="K1920" s="36" t="str">
        <f>IF(MB25_VOLUMETRIA[[#This Row],[Reserva]]="","",IFERROR(VLOOKUP(MB25_VOLUMETRIA[[#This Row],[UMB]],CHAVE[],2,FALSE),"VERIFICAR"))</f>
        <v>Unidade</v>
      </c>
      <c r="L192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0" s="32" t="str">
        <f ca="1">IFERROR(VLOOKUP(MB25_VOLUMETRIA[[#This Row],[Reserva]],RES_AB[],14,FALSE),"")</f>
        <v>RESERVAS PENDENTES</v>
      </c>
      <c r="N1920" s="32" t="str">
        <f>IF(MB25_VOLUMETRIA[[#This Row],[Cen.]]="","",IFERROR(VLOOKUP(MB25_VOLUMETRIA[[#This Row],[Cen.]],Dados_Empresas[],2,FALSE),"Verificar empresa"))</f>
        <v>NET MASSIVO</v>
      </c>
      <c r="O1920" s="32" t="str">
        <f>IF(MB25_VOLUMETRIA[[#This Row],[EMPRESA]]="","",IF(OR(MB25_VOLUMETRIA[[#This Row],[EMPRESA]]="NET MASSIVO",MB25_VOLUMETRIA[[#This Row],[EMPRESA]]="NET PROJETOS"),"NET","EMPRESARIAL"))</f>
        <v>NET</v>
      </c>
    </row>
    <row r="1921" spans="1:15" x14ac:dyDescent="0.25">
      <c r="A1921" s="32">
        <v>4384003</v>
      </c>
      <c r="B1921" s="32" t="s">
        <v>21</v>
      </c>
      <c r="C1921" s="33" t="s">
        <v>19</v>
      </c>
      <c r="D1921" s="35">
        <v>45449</v>
      </c>
      <c r="E1921" s="32" t="s">
        <v>185</v>
      </c>
      <c r="F1921" s="32">
        <v>22060422</v>
      </c>
      <c r="G1921" s="32" t="s">
        <v>298</v>
      </c>
      <c r="H1921" s="26" t="s">
        <v>38</v>
      </c>
      <c r="I1921" s="36">
        <v>100</v>
      </c>
      <c r="J1921" s="32">
        <f>IF(MB25_VOLUMETRIA[[#This Row],[Reserva]]="","",1)</f>
        <v>1</v>
      </c>
      <c r="K1921" s="36" t="str">
        <f>IF(MB25_VOLUMETRIA[[#This Row],[Reserva]]="","",IFERROR(VLOOKUP(MB25_VOLUMETRIA[[#This Row],[UMB]],CHAVE[],2,FALSE),"VERIFICAR"))</f>
        <v>Unidade</v>
      </c>
      <c r="L192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1" s="32" t="str">
        <f ca="1">IFERROR(VLOOKUP(MB25_VOLUMETRIA[[#This Row],[Reserva]],RES_AB[],14,FALSE),"")</f>
        <v>RESERVAS PENDENTES</v>
      </c>
      <c r="N1921" s="32" t="str">
        <f>IF(MB25_VOLUMETRIA[[#This Row],[Cen.]]="","",IFERROR(VLOOKUP(MB25_VOLUMETRIA[[#This Row],[Cen.]],Dados_Empresas[],2,FALSE),"Verificar empresa"))</f>
        <v>NET MASSIVO</v>
      </c>
      <c r="O1921" s="32" t="str">
        <f>IF(MB25_VOLUMETRIA[[#This Row],[EMPRESA]]="","",IF(OR(MB25_VOLUMETRIA[[#This Row],[EMPRESA]]="NET MASSIVO",MB25_VOLUMETRIA[[#This Row],[EMPRESA]]="NET PROJETOS"),"NET","EMPRESARIAL"))</f>
        <v>NET</v>
      </c>
    </row>
    <row r="1922" spans="1:15" x14ac:dyDescent="0.25">
      <c r="A1922" s="32">
        <v>4384004</v>
      </c>
      <c r="B1922" s="32" t="s">
        <v>21</v>
      </c>
      <c r="C1922" s="33" t="s">
        <v>19</v>
      </c>
      <c r="D1922" s="35">
        <v>45449</v>
      </c>
      <c r="E1922" s="32" t="s">
        <v>185</v>
      </c>
      <c r="F1922" s="32">
        <v>22026251</v>
      </c>
      <c r="G1922" s="32" t="s">
        <v>247</v>
      </c>
      <c r="H1922" s="26" t="s">
        <v>38</v>
      </c>
      <c r="I1922" s="36">
        <v>100</v>
      </c>
      <c r="J1922" s="32">
        <f>IF(MB25_VOLUMETRIA[[#This Row],[Reserva]]="","",1)</f>
        <v>1</v>
      </c>
      <c r="K1922" s="36" t="str">
        <f>IF(MB25_VOLUMETRIA[[#This Row],[Reserva]]="","",IFERROR(VLOOKUP(MB25_VOLUMETRIA[[#This Row],[UMB]],CHAVE[],2,FALSE),"VERIFICAR"))</f>
        <v>Unidade</v>
      </c>
      <c r="L192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2" s="32" t="str">
        <f ca="1">IFERROR(VLOOKUP(MB25_VOLUMETRIA[[#This Row],[Reserva]],RES_AB[],14,FALSE),"")</f>
        <v>RESERVAS PENDENTES</v>
      </c>
      <c r="N1922" s="32" t="str">
        <f>IF(MB25_VOLUMETRIA[[#This Row],[Cen.]]="","",IFERROR(VLOOKUP(MB25_VOLUMETRIA[[#This Row],[Cen.]],Dados_Empresas[],2,FALSE),"Verificar empresa"))</f>
        <v>NET MASSIVO</v>
      </c>
      <c r="O1922" s="32" t="str">
        <f>IF(MB25_VOLUMETRIA[[#This Row],[EMPRESA]]="","",IF(OR(MB25_VOLUMETRIA[[#This Row],[EMPRESA]]="NET MASSIVO",MB25_VOLUMETRIA[[#This Row],[EMPRESA]]="NET PROJETOS"),"NET","EMPRESARIAL"))</f>
        <v>NET</v>
      </c>
    </row>
    <row r="1923" spans="1:15" x14ac:dyDescent="0.25">
      <c r="A1923" s="32">
        <v>4384004</v>
      </c>
      <c r="B1923" s="32" t="s">
        <v>21</v>
      </c>
      <c r="C1923" s="33" t="s">
        <v>21</v>
      </c>
      <c r="D1923" s="35">
        <v>45449</v>
      </c>
      <c r="E1923" s="32" t="s">
        <v>185</v>
      </c>
      <c r="F1923" s="32">
        <v>22060422</v>
      </c>
      <c r="G1923" s="32" t="s">
        <v>298</v>
      </c>
      <c r="H1923" s="26" t="s">
        <v>38</v>
      </c>
      <c r="I1923" s="36">
        <v>100</v>
      </c>
      <c r="J1923" s="32">
        <f>IF(MB25_VOLUMETRIA[[#This Row],[Reserva]]="","",1)</f>
        <v>1</v>
      </c>
      <c r="K1923" s="36" t="str">
        <f>IF(MB25_VOLUMETRIA[[#This Row],[Reserva]]="","",IFERROR(VLOOKUP(MB25_VOLUMETRIA[[#This Row],[UMB]],CHAVE[],2,FALSE),"VERIFICAR"))</f>
        <v>Unidade</v>
      </c>
      <c r="L192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3" s="32" t="str">
        <f ca="1">IFERROR(VLOOKUP(MB25_VOLUMETRIA[[#This Row],[Reserva]],RES_AB[],14,FALSE),"")</f>
        <v>RESERVAS PENDENTES</v>
      </c>
      <c r="N1923" s="32" t="str">
        <f>IF(MB25_VOLUMETRIA[[#This Row],[Cen.]]="","",IFERROR(VLOOKUP(MB25_VOLUMETRIA[[#This Row],[Cen.]],Dados_Empresas[],2,FALSE),"Verificar empresa"))</f>
        <v>NET MASSIVO</v>
      </c>
      <c r="O1923" s="32" t="str">
        <f>IF(MB25_VOLUMETRIA[[#This Row],[EMPRESA]]="","",IF(OR(MB25_VOLUMETRIA[[#This Row],[EMPRESA]]="NET MASSIVO",MB25_VOLUMETRIA[[#This Row],[EMPRESA]]="NET PROJETOS"),"NET","EMPRESARIAL"))</f>
        <v>NET</v>
      </c>
    </row>
    <row r="1924" spans="1:15" x14ac:dyDescent="0.25">
      <c r="A1924" s="32">
        <v>4384005</v>
      </c>
      <c r="B1924" s="32" t="s">
        <v>21</v>
      </c>
      <c r="C1924" s="33" t="s">
        <v>19</v>
      </c>
      <c r="D1924" s="35">
        <v>45449</v>
      </c>
      <c r="E1924" s="32" t="s">
        <v>185</v>
      </c>
      <c r="F1924" s="32">
        <v>22026251</v>
      </c>
      <c r="G1924" s="32" t="s">
        <v>247</v>
      </c>
      <c r="H1924" s="26" t="s">
        <v>38</v>
      </c>
      <c r="I1924" s="36">
        <v>200</v>
      </c>
      <c r="J1924" s="32">
        <f>IF(MB25_VOLUMETRIA[[#This Row],[Reserva]]="","",1)</f>
        <v>1</v>
      </c>
      <c r="K1924" s="36" t="str">
        <f>IF(MB25_VOLUMETRIA[[#This Row],[Reserva]]="","",IFERROR(VLOOKUP(MB25_VOLUMETRIA[[#This Row],[UMB]],CHAVE[],2,FALSE),"VERIFICAR"))</f>
        <v>Unidade</v>
      </c>
      <c r="L192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4" s="32" t="str">
        <f ca="1">IFERROR(VLOOKUP(MB25_VOLUMETRIA[[#This Row],[Reserva]],RES_AB[],14,FALSE),"")</f>
        <v>RESERVAS PENDENTES</v>
      </c>
      <c r="N1924" s="32" t="str">
        <f>IF(MB25_VOLUMETRIA[[#This Row],[Cen.]]="","",IFERROR(VLOOKUP(MB25_VOLUMETRIA[[#This Row],[Cen.]],Dados_Empresas[],2,FALSE),"Verificar empresa"))</f>
        <v>NET MASSIVO</v>
      </c>
      <c r="O1924" s="32" t="str">
        <f>IF(MB25_VOLUMETRIA[[#This Row],[EMPRESA]]="","",IF(OR(MB25_VOLUMETRIA[[#This Row],[EMPRESA]]="NET MASSIVO",MB25_VOLUMETRIA[[#This Row],[EMPRESA]]="NET PROJETOS"),"NET","EMPRESARIAL"))</f>
        <v>NET</v>
      </c>
    </row>
    <row r="1925" spans="1:15" x14ac:dyDescent="0.25">
      <c r="A1925" s="32">
        <v>4384005</v>
      </c>
      <c r="B1925" s="32" t="s">
        <v>21</v>
      </c>
      <c r="C1925" s="33" t="s">
        <v>21</v>
      </c>
      <c r="D1925" s="35">
        <v>45449</v>
      </c>
      <c r="E1925" s="32" t="s">
        <v>185</v>
      </c>
      <c r="F1925" s="32">
        <v>22060422</v>
      </c>
      <c r="G1925" s="32" t="s">
        <v>298</v>
      </c>
      <c r="H1925" s="26" t="s">
        <v>38</v>
      </c>
      <c r="I1925" s="36">
        <v>100</v>
      </c>
      <c r="J1925" s="32">
        <f>IF(MB25_VOLUMETRIA[[#This Row],[Reserva]]="","",1)</f>
        <v>1</v>
      </c>
      <c r="K1925" s="36" t="str">
        <f>IF(MB25_VOLUMETRIA[[#This Row],[Reserva]]="","",IFERROR(VLOOKUP(MB25_VOLUMETRIA[[#This Row],[UMB]],CHAVE[],2,FALSE),"VERIFICAR"))</f>
        <v>Unidade</v>
      </c>
      <c r="L192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5" s="32" t="str">
        <f ca="1">IFERROR(VLOOKUP(MB25_VOLUMETRIA[[#This Row],[Reserva]],RES_AB[],14,FALSE),"")</f>
        <v>RESERVAS PENDENTES</v>
      </c>
      <c r="N1925" s="32" t="str">
        <f>IF(MB25_VOLUMETRIA[[#This Row],[Cen.]]="","",IFERROR(VLOOKUP(MB25_VOLUMETRIA[[#This Row],[Cen.]],Dados_Empresas[],2,FALSE),"Verificar empresa"))</f>
        <v>NET MASSIVO</v>
      </c>
      <c r="O1925" s="32" t="str">
        <f>IF(MB25_VOLUMETRIA[[#This Row],[EMPRESA]]="","",IF(OR(MB25_VOLUMETRIA[[#This Row],[EMPRESA]]="NET MASSIVO",MB25_VOLUMETRIA[[#This Row],[EMPRESA]]="NET PROJETOS"),"NET","EMPRESARIAL"))</f>
        <v>NET</v>
      </c>
    </row>
    <row r="1926" spans="1:15" x14ac:dyDescent="0.25">
      <c r="A1926" s="32">
        <v>4384006</v>
      </c>
      <c r="B1926" s="32" t="s">
        <v>21</v>
      </c>
      <c r="C1926" s="33" t="s">
        <v>19</v>
      </c>
      <c r="D1926" s="35">
        <v>45449</v>
      </c>
      <c r="E1926" s="32" t="s">
        <v>185</v>
      </c>
      <c r="F1926" s="32">
        <v>22026251</v>
      </c>
      <c r="G1926" s="32" t="s">
        <v>247</v>
      </c>
      <c r="H1926" s="26" t="s">
        <v>38</v>
      </c>
      <c r="I1926" s="36">
        <v>100</v>
      </c>
      <c r="J1926" s="32">
        <f>IF(MB25_VOLUMETRIA[[#This Row],[Reserva]]="","",1)</f>
        <v>1</v>
      </c>
      <c r="K1926" s="36" t="str">
        <f>IF(MB25_VOLUMETRIA[[#This Row],[Reserva]]="","",IFERROR(VLOOKUP(MB25_VOLUMETRIA[[#This Row],[UMB]],CHAVE[],2,FALSE),"VERIFICAR"))</f>
        <v>Unidade</v>
      </c>
      <c r="L192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6" s="32" t="str">
        <f ca="1">IFERROR(VLOOKUP(MB25_VOLUMETRIA[[#This Row],[Reserva]],RES_AB[],14,FALSE),"")</f>
        <v>RESERVAS PENDENTES</v>
      </c>
      <c r="N1926" s="32" t="str">
        <f>IF(MB25_VOLUMETRIA[[#This Row],[Cen.]]="","",IFERROR(VLOOKUP(MB25_VOLUMETRIA[[#This Row],[Cen.]],Dados_Empresas[],2,FALSE),"Verificar empresa"))</f>
        <v>NET MASSIVO</v>
      </c>
      <c r="O1926" s="32" t="str">
        <f>IF(MB25_VOLUMETRIA[[#This Row],[EMPRESA]]="","",IF(OR(MB25_VOLUMETRIA[[#This Row],[EMPRESA]]="NET MASSIVO",MB25_VOLUMETRIA[[#This Row],[EMPRESA]]="NET PROJETOS"),"NET","EMPRESARIAL"))</f>
        <v>NET</v>
      </c>
    </row>
    <row r="1927" spans="1:15" x14ac:dyDescent="0.25">
      <c r="A1927" s="32">
        <v>4384006</v>
      </c>
      <c r="B1927" s="32" t="s">
        <v>21</v>
      </c>
      <c r="C1927" s="33" t="s">
        <v>19</v>
      </c>
      <c r="D1927" s="35">
        <v>45449</v>
      </c>
      <c r="E1927" s="32" t="s">
        <v>185</v>
      </c>
      <c r="F1927" s="32">
        <v>22060422</v>
      </c>
      <c r="G1927" s="32" t="s">
        <v>298</v>
      </c>
      <c r="H1927" s="26" t="s">
        <v>38</v>
      </c>
      <c r="I1927" s="36">
        <v>100</v>
      </c>
      <c r="J1927" s="32">
        <f>IF(MB25_VOLUMETRIA[[#This Row],[Reserva]]="","",1)</f>
        <v>1</v>
      </c>
      <c r="K1927" s="36" t="str">
        <f>IF(MB25_VOLUMETRIA[[#This Row],[Reserva]]="","",IFERROR(VLOOKUP(MB25_VOLUMETRIA[[#This Row],[UMB]],CHAVE[],2,FALSE),"VERIFICAR"))</f>
        <v>Unidade</v>
      </c>
      <c r="L192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7" s="32" t="str">
        <f ca="1">IFERROR(VLOOKUP(MB25_VOLUMETRIA[[#This Row],[Reserva]],RES_AB[],14,FALSE),"")</f>
        <v>RESERVAS PENDENTES</v>
      </c>
      <c r="N1927" s="32" t="str">
        <f>IF(MB25_VOLUMETRIA[[#This Row],[Cen.]]="","",IFERROR(VLOOKUP(MB25_VOLUMETRIA[[#This Row],[Cen.]],Dados_Empresas[],2,FALSE),"Verificar empresa"))</f>
        <v>NET MASSIVO</v>
      </c>
      <c r="O1927" s="32" t="str">
        <f>IF(MB25_VOLUMETRIA[[#This Row],[EMPRESA]]="","",IF(OR(MB25_VOLUMETRIA[[#This Row],[EMPRESA]]="NET MASSIVO",MB25_VOLUMETRIA[[#This Row],[EMPRESA]]="NET PROJETOS"),"NET","EMPRESARIAL"))</f>
        <v>NET</v>
      </c>
    </row>
    <row r="1928" spans="1:15" x14ac:dyDescent="0.25">
      <c r="A1928" s="32">
        <v>4384007</v>
      </c>
      <c r="B1928" s="32" t="s">
        <v>21</v>
      </c>
      <c r="C1928" s="33" t="s">
        <v>19</v>
      </c>
      <c r="D1928" s="35">
        <v>45449</v>
      </c>
      <c r="E1928" s="32" t="s">
        <v>192</v>
      </c>
      <c r="F1928" s="32">
        <v>41001234</v>
      </c>
      <c r="G1928" s="32" t="s">
        <v>189</v>
      </c>
      <c r="H1928" s="26" t="s">
        <v>38</v>
      </c>
      <c r="I1928" s="36">
        <v>50</v>
      </c>
      <c r="J1928" s="32">
        <f>IF(MB25_VOLUMETRIA[[#This Row],[Reserva]]="","",1)</f>
        <v>1</v>
      </c>
      <c r="K1928" s="36" t="str">
        <f>IF(MB25_VOLUMETRIA[[#This Row],[Reserva]]="","",IFERROR(VLOOKUP(MB25_VOLUMETRIA[[#This Row],[UMB]],CHAVE[],2,FALSE),"VERIFICAR"))</f>
        <v>Unidade</v>
      </c>
      <c r="L192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8" s="32" t="str">
        <f ca="1">IFERROR(VLOOKUP(MB25_VOLUMETRIA[[#This Row],[Reserva]],RES_AB[],14,FALSE),"")</f>
        <v>RESERVAS PENDENTES</v>
      </c>
      <c r="N1928" s="32" t="str">
        <f>IF(MB25_VOLUMETRIA[[#This Row],[Cen.]]="","",IFERROR(VLOOKUP(MB25_VOLUMETRIA[[#This Row],[Cen.]],Dados_Empresas[],2,FALSE),"Verificar empresa"))</f>
        <v>NET MASSIVO</v>
      </c>
      <c r="O1928" s="32" t="str">
        <f>IF(MB25_VOLUMETRIA[[#This Row],[EMPRESA]]="","",IF(OR(MB25_VOLUMETRIA[[#This Row],[EMPRESA]]="NET MASSIVO",MB25_VOLUMETRIA[[#This Row],[EMPRESA]]="NET PROJETOS"),"NET","EMPRESARIAL"))</f>
        <v>NET</v>
      </c>
    </row>
    <row r="1929" spans="1:15" x14ac:dyDescent="0.25">
      <c r="A1929" s="32">
        <v>4384007</v>
      </c>
      <c r="B1929" s="32" t="s">
        <v>21</v>
      </c>
      <c r="C1929" s="33" t="s">
        <v>19</v>
      </c>
      <c r="D1929" s="35">
        <v>45449</v>
      </c>
      <c r="E1929" s="32" t="s">
        <v>192</v>
      </c>
      <c r="F1929" s="32">
        <v>41001277</v>
      </c>
      <c r="G1929" s="32" t="s">
        <v>466</v>
      </c>
      <c r="H1929" s="26" t="s">
        <v>38</v>
      </c>
      <c r="I1929" s="36">
        <v>50</v>
      </c>
      <c r="J1929" s="32">
        <f>IF(MB25_VOLUMETRIA[[#This Row],[Reserva]]="","",1)</f>
        <v>1</v>
      </c>
      <c r="K1929" s="36" t="str">
        <f>IF(MB25_VOLUMETRIA[[#This Row],[Reserva]]="","",IFERROR(VLOOKUP(MB25_VOLUMETRIA[[#This Row],[UMB]],CHAVE[],2,FALSE),"VERIFICAR"))</f>
        <v>Unidade</v>
      </c>
      <c r="L192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29" s="32" t="str">
        <f ca="1">IFERROR(VLOOKUP(MB25_VOLUMETRIA[[#This Row],[Reserva]],RES_AB[],14,FALSE),"")</f>
        <v>RESERVAS PENDENTES</v>
      </c>
      <c r="N1929" s="32" t="str">
        <f>IF(MB25_VOLUMETRIA[[#This Row],[Cen.]]="","",IFERROR(VLOOKUP(MB25_VOLUMETRIA[[#This Row],[Cen.]],Dados_Empresas[],2,FALSE),"Verificar empresa"))</f>
        <v>NET MASSIVO</v>
      </c>
      <c r="O1929" s="32" t="str">
        <f>IF(MB25_VOLUMETRIA[[#This Row],[EMPRESA]]="","",IF(OR(MB25_VOLUMETRIA[[#This Row],[EMPRESA]]="NET MASSIVO",MB25_VOLUMETRIA[[#This Row],[EMPRESA]]="NET PROJETOS"),"NET","EMPRESARIAL"))</f>
        <v>NET</v>
      </c>
    </row>
    <row r="1930" spans="1:15" x14ac:dyDescent="0.25">
      <c r="A1930" s="32">
        <v>4384007</v>
      </c>
      <c r="B1930" s="32" t="s">
        <v>21</v>
      </c>
      <c r="C1930" s="33" t="s">
        <v>19</v>
      </c>
      <c r="D1930" s="35">
        <v>45449</v>
      </c>
      <c r="E1930" s="32" t="s">
        <v>192</v>
      </c>
      <c r="F1930" s="32">
        <v>41001482</v>
      </c>
      <c r="G1930" s="32" t="s">
        <v>473</v>
      </c>
      <c r="H1930" s="26" t="s">
        <v>38</v>
      </c>
      <c r="I1930" s="36">
        <v>60</v>
      </c>
      <c r="J1930" s="32">
        <f>IF(MB25_VOLUMETRIA[[#This Row],[Reserva]]="","",1)</f>
        <v>1</v>
      </c>
      <c r="K1930" s="36" t="str">
        <f>IF(MB25_VOLUMETRIA[[#This Row],[Reserva]]="","",IFERROR(VLOOKUP(MB25_VOLUMETRIA[[#This Row],[UMB]],CHAVE[],2,FALSE),"VERIFICAR"))</f>
        <v>Unidade</v>
      </c>
      <c r="L193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0" s="32" t="str">
        <f ca="1">IFERROR(VLOOKUP(MB25_VOLUMETRIA[[#This Row],[Reserva]],RES_AB[],14,FALSE),"")</f>
        <v>RESERVAS PENDENTES</v>
      </c>
      <c r="N1930" s="32" t="str">
        <f>IF(MB25_VOLUMETRIA[[#This Row],[Cen.]]="","",IFERROR(VLOOKUP(MB25_VOLUMETRIA[[#This Row],[Cen.]],Dados_Empresas[],2,FALSE),"Verificar empresa"))</f>
        <v>NET MASSIVO</v>
      </c>
      <c r="O1930" s="32" t="str">
        <f>IF(MB25_VOLUMETRIA[[#This Row],[EMPRESA]]="","",IF(OR(MB25_VOLUMETRIA[[#This Row],[EMPRESA]]="NET MASSIVO",MB25_VOLUMETRIA[[#This Row],[EMPRESA]]="NET PROJETOS"),"NET","EMPRESARIAL"))</f>
        <v>NET</v>
      </c>
    </row>
    <row r="1931" spans="1:15" x14ac:dyDescent="0.25">
      <c r="A1931" s="32">
        <v>4384008</v>
      </c>
      <c r="B1931" s="32" t="s">
        <v>21</v>
      </c>
      <c r="C1931" s="33" t="s">
        <v>19</v>
      </c>
      <c r="D1931" s="35">
        <v>45449</v>
      </c>
      <c r="E1931" s="32" t="s">
        <v>185</v>
      </c>
      <c r="F1931" s="32">
        <v>22025116</v>
      </c>
      <c r="G1931" s="32" t="s">
        <v>362</v>
      </c>
      <c r="H1931" s="26" t="s">
        <v>38</v>
      </c>
      <c r="I1931" s="36">
        <v>30</v>
      </c>
      <c r="J1931" s="32">
        <f>IF(MB25_VOLUMETRIA[[#This Row],[Reserva]]="","",1)</f>
        <v>1</v>
      </c>
      <c r="K1931" s="36" t="str">
        <f>IF(MB25_VOLUMETRIA[[#This Row],[Reserva]]="","",IFERROR(VLOOKUP(MB25_VOLUMETRIA[[#This Row],[UMB]],CHAVE[],2,FALSE),"VERIFICAR"))</f>
        <v>Unidade</v>
      </c>
      <c r="L193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1" s="32" t="str">
        <f ca="1">IFERROR(VLOOKUP(MB25_VOLUMETRIA[[#This Row],[Reserva]],RES_AB[],14,FALSE),"")</f>
        <v>RESERVAS PENDENTES</v>
      </c>
      <c r="N1931" s="32" t="str">
        <f>IF(MB25_VOLUMETRIA[[#This Row],[Cen.]]="","",IFERROR(VLOOKUP(MB25_VOLUMETRIA[[#This Row],[Cen.]],Dados_Empresas[],2,FALSE),"Verificar empresa"))</f>
        <v>NET MASSIVO</v>
      </c>
      <c r="O1931" s="32" t="str">
        <f>IF(MB25_VOLUMETRIA[[#This Row],[EMPRESA]]="","",IF(OR(MB25_VOLUMETRIA[[#This Row],[EMPRESA]]="NET MASSIVO",MB25_VOLUMETRIA[[#This Row],[EMPRESA]]="NET PROJETOS"),"NET","EMPRESARIAL"))</f>
        <v>NET</v>
      </c>
    </row>
    <row r="1932" spans="1:15" x14ac:dyDescent="0.25">
      <c r="A1932" s="32">
        <v>4384008</v>
      </c>
      <c r="B1932" s="32" t="s">
        <v>21</v>
      </c>
      <c r="C1932" s="33" t="s">
        <v>19</v>
      </c>
      <c r="D1932" s="35">
        <v>45449</v>
      </c>
      <c r="E1932" s="32" t="s">
        <v>185</v>
      </c>
      <c r="F1932" s="32">
        <v>22060422</v>
      </c>
      <c r="G1932" s="32" t="s">
        <v>298</v>
      </c>
      <c r="H1932" s="26" t="s">
        <v>38</v>
      </c>
      <c r="I1932" s="36">
        <v>20</v>
      </c>
      <c r="J1932" s="32">
        <f>IF(MB25_VOLUMETRIA[[#This Row],[Reserva]]="","",1)</f>
        <v>1</v>
      </c>
      <c r="K1932" s="36" t="str">
        <f>IF(MB25_VOLUMETRIA[[#This Row],[Reserva]]="","",IFERROR(VLOOKUP(MB25_VOLUMETRIA[[#This Row],[UMB]],CHAVE[],2,FALSE),"VERIFICAR"))</f>
        <v>Unidade</v>
      </c>
      <c r="L193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2" s="32" t="str">
        <f ca="1">IFERROR(VLOOKUP(MB25_VOLUMETRIA[[#This Row],[Reserva]],RES_AB[],14,FALSE),"")</f>
        <v>RESERVAS PENDENTES</v>
      </c>
      <c r="N1932" s="32" t="str">
        <f>IF(MB25_VOLUMETRIA[[#This Row],[Cen.]]="","",IFERROR(VLOOKUP(MB25_VOLUMETRIA[[#This Row],[Cen.]],Dados_Empresas[],2,FALSE),"Verificar empresa"))</f>
        <v>NET MASSIVO</v>
      </c>
      <c r="O1932" s="32" t="str">
        <f>IF(MB25_VOLUMETRIA[[#This Row],[EMPRESA]]="","",IF(OR(MB25_VOLUMETRIA[[#This Row],[EMPRESA]]="NET MASSIVO",MB25_VOLUMETRIA[[#This Row],[EMPRESA]]="NET PROJETOS"),"NET","EMPRESARIAL"))</f>
        <v>NET</v>
      </c>
    </row>
    <row r="1933" spans="1:15" x14ac:dyDescent="0.25">
      <c r="A1933" s="32">
        <v>4384008</v>
      </c>
      <c r="B1933" s="32" t="s">
        <v>21</v>
      </c>
      <c r="C1933" s="33" t="s">
        <v>21</v>
      </c>
      <c r="D1933" s="35">
        <v>45449</v>
      </c>
      <c r="E1933" s="32" t="s">
        <v>185</v>
      </c>
      <c r="F1933" s="32">
        <v>22062558</v>
      </c>
      <c r="G1933" s="32" t="s">
        <v>474</v>
      </c>
      <c r="H1933" s="26" t="s">
        <v>38</v>
      </c>
      <c r="I1933" s="36">
        <v>20</v>
      </c>
      <c r="J1933" s="32">
        <f>IF(MB25_VOLUMETRIA[[#This Row],[Reserva]]="","",1)</f>
        <v>1</v>
      </c>
      <c r="K1933" s="36" t="str">
        <f>IF(MB25_VOLUMETRIA[[#This Row],[Reserva]]="","",IFERROR(VLOOKUP(MB25_VOLUMETRIA[[#This Row],[UMB]],CHAVE[],2,FALSE),"VERIFICAR"))</f>
        <v>Unidade</v>
      </c>
      <c r="L193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3" s="32" t="str">
        <f ca="1">IFERROR(VLOOKUP(MB25_VOLUMETRIA[[#This Row],[Reserva]],RES_AB[],14,FALSE),"")</f>
        <v>RESERVAS PENDENTES</v>
      </c>
      <c r="N1933" s="32" t="str">
        <f>IF(MB25_VOLUMETRIA[[#This Row],[Cen.]]="","",IFERROR(VLOOKUP(MB25_VOLUMETRIA[[#This Row],[Cen.]],Dados_Empresas[],2,FALSE),"Verificar empresa"))</f>
        <v>NET MASSIVO</v>
      </c>
      <c r="O1933" s="32" t="str">
        <f>IF(MB25_VOLUMETRIA[[#This Row],[EMPRESA]]="","",IF(OR(MB25_VOLUMETRIA[[#This Row],[EMPRESA]]="NET MASSIVO",MB25_VOLUMETRIA[[#This Row],[EMPRESA]]="NET PROJETOS"),"NET","EMPRESARIAL"))</f>
        <v>NET</v>
      </c>
    </row>
    <row r="1934" spans="1:15" x14ac:dyDescent="0.25">
      <c r="A1934" s="32">
        <v>4384009</v>
      </c>
      <c r="B1934" s="32" t="s">
        <v>21</v>
      </c>
      <c r="C1934" s="33" t="s">
        <v>19</v>
      </c>
      <c r="D1934" s="35">
        <v>45449</v>
      </c>
      <c r="E1934" s="32" t="s">
        <v>192</v>
      </c>
      <c r="F1934" s="32">
        <v>41001234</v>
      </c>
      <c r="G1934" s="32" t="s">
        <v>189</v>
      </c>
      <c r="H1934" s="26" t="s">
        <v>38</v>
      </c>
      <c r="I1934" s="36">
        <v>30</v>
      </c>
      <c r="J1934" s="32">
        <f>IF(MB25_VOLUMETRIA[[#This Row],[Reserva]]="","",1)</f>
        <v>1</v>
      </c>
      <c r="K1934" s="36" t="str">
        <f>IF(MB25_VOLUMETRIA[[#This Row],[Reserva]]="","",IFERROR(VLOOKUP(MB25_VOLUMETRIA[[#This Row],[UMB]],CHAVE[],2,FALSE),"VERIFICAR"))</f>
        <v>Unidade</v>
      </c>
      <c r="L193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4" s="32" t="str">
        <f ca="1">IFERROR(VLOOKUP(MB25_VOLUMETRIA[[#This Row],[Reserva]],RES_AB[],14,FALSE),"")</f>
        <v>RESERVAS PENDENTES</v>
      </c>
      <c r="N1934" s="32" t="str">
        <f>IF(MB25_VOLUMETRIA[[#This Row],[Cen.]]="","",IFERROR(VLOOKUP(MB25_VOLUMETRIA[[#This Row],[Cen.]],Dados_Empresas[],2,FALSE),"Verificar empresa"))</f>
        <v>NET MASSIVO</v>
      </c>
      <c r="O1934" s="32" t="str">
        <f>IF(MB25_VOLUMETRIA[[#This Row],[EMPRESA]]="","",IF(OR(MB25_VOLUMETRIA[[#This Row],[EMPRESA]]="NET MASSIVO",MB25_VOLUMETRIA[[#This Row],[EMPRESA]]="NET PROJETOS"),"NET","EMPRESARIAL"))</f>
        <v>NET</v>
      </c>
    </row>
    <row r="1935" spans="1:15" x14ac:dyDescent="0.25">
      <c r="A1935" s="32">
        <v>4384009</v>
      </c>
      <c r="B1935" s="32" t="s">
        <v>21</v>
      </c>
      <c r="C1935" s="33" t="s">
        <v>19</v>
      </c>
      <c r="D1935" s="35">
        <v>45449</v>
      </c>
      <c r="E1935" s="32" t="s">
        <v>192</v>
      </c>
      <c r="F1935" s="32">
        <v>41001277</v>
      </c>
      <c r="G1935" s="32" t="s">
        <v>466</v>
      </c>
      <c r="H1935" s="26" t="s">
        <v>38</v>
      </c>
      <c r="I1935" s="36">
        <v>30</v>
      </c>
      <c r="J1935" s="32">
        <f>IF(MB25_VOLUMETRIA[[#This Row],[Reserva]]="","",1)</f>
        <v>1</v>
      </c>
      <c r="K1935" s="36" t="str">
        <f>IF(MB25_VOLUMETRIA[[#This Row],[Reserva]]="","",IFERROR(VLOOKUP(MB25_VOLUMETRIA[[#This Row],[UMB]],CHAVE[],2,FALSE),"VERIFICAR"))</f>
        <v>Unidade</v>
      </c>
      <c r="L193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5" s="32" t="str">
        <f ca="1">IFERROR(VLOOKUP(MB25_VOLUMETRIA[[#This Row],[Reserva]],RES_AB[],14,FALSE),"")</f>
        <v>RESERVAS PENDENTES</v>
      </c>
      <c r="N1935" s="32" t="str">
        <f>IF(MB25_VOLUMETRIA[[#This Row],[Cen.]]="","",IFERROR(VLOOKUP(MB25_VOLUMETRIA[[#This Row],[Cen.]],Dados_Empresas[],2,FALSE),"Verificar empresa"))</f>
        <v>NET MASSIVO</v>
      </c>
      <c r="O1935" s="32" t="str">
        <f>IF(MB25_VOLUMETRIA[[#This Row],[EMPRESA]]="","",IF(OR(MB25_VOLUMETRIA[[#This Row],[EMPRESA]]="NET MASSIVO",MB25_VOLUMETRIA[[#This Row],[EMPRESA]]="NET PROJETOS"),"NET","EMPRESARIAL"))</f>
        <v>NET</v>
      </c>
    </row>
    <row r="1936" spans="1:15" x14ac:dyDescent="0.25">
      <c r="A1936" s="32">
        <v>4384010</v>
      </c>
      <c r="B1936" s="32" t="s">
        <v>21</v>
      </c>
      <c r="C1936" s="33" t="s">
        <v>21</v>
      </c>
      <c r="D1936" s="35">
        <v>45449</v>
      </c>
      <c r="E1936" s="32" t="s">
        <v>192</v>
      </c>
      <c r="F1936" s="32">
        <v>41001573</v>
      </c>
      <c r="G1936" s="32" t="s">
        <v>259</v>
      </c>
      <c r="H1936" s="26" t="s">
        <v>38</v>
      </c>
      <c r="I1936" s="36">
        <v>10</v>
      </c>
      <c r="J1936" s="32">
        <f>IF(MB25_VOLUMETRIA[[#This Row],[Reserva]]="","",1)</f>
        <v>1</v>
      </c>
      <c r="K1936" s="36" t="str">
        <f>IF(MB25_VOLUMETRIA[[#This Row],[Reserva]]="","",IFERROR(VLOOKUP(MB25_VOLUMETRIA[[#This Row],[UMB]],CHAVE[],2,FALSE),"VERIFICAR"))</f>
        <v>Unidade</v>
      </c>
      <c r="L193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6" s="32" t="str">
        <f ca="1">IFERROR(VLOOKUP(MB25_VOLUMETRIA[[#This Row],[Reserva]],RES_AB[],14,FALSE),"")</f>
        <v>RESERVAS PENDENTES</v>
      </c>
      <c r="N1936" s="32" t="str">
        <f>IF(MB25_VOLUMETRIA[[#This Row],[Cen.]]="","",IFERROR(VLOOKUP(MB25_VOLUMETRIA[[#This Row],[Cen.]],Dados_Empresas[],2,FALSE),"Verificar empresa"))</f>
        <v>NET MASSIVO</v>
      </c>
      <c r="O1936" s="32" t="str">
        <f>IF(MB25_VOLUMETRIA[[#This Row],[EMPRESA]]="","",IF(OR(MB25_VOLUMETRIA[[#This Row],[EMPRESA]]="NET MASSIVO",MB25_VOLUMETRIA[[#This Row],[EMPRESA]]="NET PROJETOS"),"NET","EMPRESARIAL"))</f>
        <v>NET</v>
      </c>
    </row>
    <row r="1937" spans="1:15" x14ac:dyDescent="0.25">
      <c r="A1937" s="32">
        <v>4384011</v>
      </c>
      <c r="B1937" s="32" t="s">
        <v>21</v>
      </c>
      <c r="C1937" s="33" t="s">
        <v>19</v>
      </c>
      <c r="D1937" s="35">
        <v>45449</v>
      </c>
      <c r="E1937" s="32" t="s">
        <v>192</v>
      </c>
      <c r="F1937" s="32">
        <v>41001234</v>
      </c>
      <c r="G1937" s="32" t="s">
        <v>189</v>
      </c>
      <c r="H1937" s="26" t="s">
        <v>38</v>
      </c>
      <c r="I1937" s="36">
        <v>20</v>
      </c>
      <c r="J1937" s="32">
        <f>IF(MB25_VOLUMETRIA[[#This Row],[Reserva]]="","",1)</f>
        <v>1</v>
      </c>
      <c r="K1937" s="36" t="str">
        <f>IF(MB25_VOLUMETRIA[[#This Row],[Reserva]]="","",IFERROR(VLOOKUP(MB25_VOLUMETRIA[[#This Row],[UMB]],CHAVE[],2,FALSE),"VERIFICAR"))</f>
        <v>Unidade</v>
      </c>
      <c r="L193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7" s="32" t="str">
        <f ca="1">IFERROR(VLOOKUP(MB25_VOLUMETRIA[[#This Row],[Reserva]],RES_AB[],14,FALSE),"")</f>
        <v>RESERVAS PENDENTES</v>
      </c>
      <c r="N1937" s="32" t="str">
        <f>IF(MB25_VOLUMETRIA[[#This Row],[Cen.]]="","",IFERROR(VLOOKUP(MB25_VOLUMETRIA[[#This Row],[Cen.]],Dados_Empresas[],2,FALSE),"Verificar empresa"))</f>
        <v>NET MASSIVO</v>
      </c>
      <c r="O1937" s="32" t="str">
        <f>IF(MB25_VOLUMETRIA[[#This Row],[EMPRESA]]="","",IF(OR(MB25_VOLUMETRIA[[#This Row],[EMPRESA]]="NET MASSIVO",MB25_VOLUMETRIA[[#This Row],[EMPRESA]]="NET PROJETOS"),"NET","EMPRESARIAL"))</f>
        <v>NET</v>
      </c>
    </row>
    <row r="1938" spans="1:15" x14ac:dyDescent="0.25">
      <c r="A1938" s="32">
        <v>4384011</v>
      </c>
      <c r="B1938" s="32" t="s">
        <v>21</v>
      </c>
      <c r="C1938" s="33" t="s">
        <v>19</v>
      </c>
      <c r="D1938" s="35">
        <v>45449</v>
      </c>
      <c r="E1938" s="32" t="s">
        <v>192</v>
      </c>
      <c r="F1938" s="32">
        <v>41001277</v>
      </c>
      <c r="G1938" s="32" t="s">
        <v>466</v>
      </c>
      <c r="H1938" s="26" t="s">
        <v>38</v>
      </c>
      <c r="I1938" s="36">
        <v>20</v>
      </c>
      <c r="J1938" s="32">
        <f>IF(MB25_VOLUMETRIA[[#This Row],[Reserva]]="","",1)</f>
        <v>1</v>
      </c>
      <c r="K1938" s="36" t="str">
        <f>IF(MB25_VOLUMETRIA[[#This Row],[Reserva]]="","",IFERROR(VLOOKUP(MB25_VOLUMETRIA[[#This Row],[UMB]],CHAVE[],2,FALSE),"VERIFICAR"))</f>
        <v>Unidade</v>
      </c>
      <c r="L193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8" s="32" t="str">
        <f ca="1">IFERROR(VLOOKUP(MB25_VOLUMETRIA[[#This Row],[Reserva]],RES_AB[],14,FALSE),"")</f>
        <v>RESERVAS PENDENTES</v>
      </c>
      <c r="N1938" s="32" t="str">
        <f>IF(MB25_VOLUMETRIA[[#This Row],[Cen.]]="","",IFERROR(VLOOKUP(MB25_VOLUMETRIA[[#This Row],[Cen.]],Dados_Empresas[],2,FALSE),"Verificar empresa"))</f>
        <v>NET MASSIVO</v>
      </c>
      <c r="O1938" s="32" t="str">
        <f>IF(MB25_VOLUMETRIA[[#This Row],[EMPRESA]]="","",IF(OR(MB25_VOLUMETRIA[[#This Row],[EMPRESA]]="NET MASSIVO",MB25_VOLUMETRIA[[#This Row],[EMPRESA]]="NET PROJETOS"),"NET","EMPRESARIAL"))</f>
        <v>NET</v>
      </c>
    </row>
    <row r="1939" spans="1:15" x14ac:dyDescent="0.25">
      <c r="A1939" s="32">
        <v>4384011</v>
      </c>
      <c r="B1939" s="32" t="s">
        <v>21</v>
      </c>
      <c r="C1939" s="33" t="s">
        <v>19</v>
      </c>
      <c r="D1939" s="35">
        <v>45449</v>
      </c>
      <c r="E1939" s="32" t="s">
        <v>192</v>
      </c>
      <c r="F1939" s="32">
        <v>41001482</v>
      </c>
      <c r="G1939" s="32" t="s">
        <v>473</v>
      </c>
      <c r="H1939" s="26" t="s">
        <v>38</v>
      </c>
      <c r="I1939" s="36">
        <v>30</v>
      </c>
      <c r="J1939" s="32">
        <f>IF(MB25_VOLUMETRIA[[#This Row],[Reserva]]="","",1)</f>
        <v>1</v>
      </c>
      <c r="K1939" s="36" t="str">
        <f>IF(MB25_VOLUMETRIA[[#This Row],[Reserva]]="","",IFERROR(VLOOKUP(MB25_VOLUMETRIA[[#This Row],[UMB]],CHAVE[],2,FALSE),"VERIFICAR"))</f>
        <v>Unidade</v>
      </c>
      <c r="L193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39" s="32" t="str">
        <f ca="1">IFERROR(VLOOKUP(MB25_VOLUMETRIA[[#This Row],[Reserva]],RES_AB[],14,FALSE),"")</f>
        <v>RESERVAS PENDENTES</v>
      </c>
      <c r="N1939" s="32" t="str">
        <f>IF(MB25_VOLUMETRIA[[#This Row],[Cen.]]="","",IFERROR(VLOOKUP(MB25_VOLUMETRIA[[#This Row],[Cen.]],Dados_Empresas[],2,FALSE),"Verificar empresa"))</f>
        <v>NET MASSIVO</v>
      </c>
      <c r="O1939" s="32" t="str">
        <f>IF(MB25_VOLUMETRIA[[#This Row],[EMPRESA]]="","",IF(OR(MB25_VOLUMETRIA[[#This Row],[EMPRESA]]="NET MASSIVO",MB25_VOLUMETRIA[[#This Row],[EMPRESA]]="NET PROJETOS"),"NET","EMPRESARIAL"))</f>
        <v>NET</v>
      </c>
    </row>
    <row r="1940" spans="1:15" x14ac:dyDescent="0.25">
      <c r="A1940" s="32">
        <v>4384012</v>
      </c>
      <c r="B1940" s="32" t="s">
        <v>21</v>
      </c>
      <c r="C1940" s="33" t="s">
        <v>19</v>
      </c>
      <c r="D1940" s="35">
        <v>45449</v>
      </c>
      <c r="E1940" s="32" t="s">
        <v>192</v>
      </c>
      <c r="F1940" s="32">
        <v>41001234</v>
      </c>
      <c r="G1940" s="32" t="s">
        <v>189</v>
      </c>
      <c r="H1940" s="26" t="s">
        <v>38</v>
      </c>
      <c r="I1940" s="36">
        <v>60</v>
      </c>
      <c r="J1940" s="32">
        <f>IF(MB25_VOLUMETRIA[[#This Row],[Reserva]]="","",1)</f>
        <v>1</v>
      </c>
      <c r="K1940" s="36" t="str">
        <f>IF(MB25_VOLUMETRIA[[#This Row],[Reserva]]="","",IFERROR(VLOOKUP(MB25_VOLUMETRIA[[#This Row],[UMB]],CHAVE[],2,FALSE),"VERIFICAR"))</f>
        <v>Unidade</v>
      </c>
      <c r="L194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0" s="32" t="str">
        <f ca="1">IFERROR(VLOOKUP(MB25_VOLUMETRIA[[#This Row],[Reserva]],RES_AB[],14,FALSE),"")</f>
        <v>RESERVAS PENDENTES</v>
      </c>
      <c r="N1940" s="32" t="str">
        <f>IF(MB25_VOLUMETRIA[[#This Row],[Cen.]]="","",IFERROR(VLOOKUP(MB25_VOLUMETRIA[[#This Row],[Cen.]],Dados_Empresas[],2,FALSE),"Verificar empresa"))</f>
        <v>NET MASSIVO</v>
      </c>
      <c r="O1940" s="32" t="str">
        <f>IF(MB25_VOLUMETRIA[[#This Row],[EMPRESA]]="","",IF(OR(MB25_VOLUMETRIA[[#This Row],[EMPRESA]]="NET MASSIVO",MB25_VOLUMETRIA[[#This Row],[EMPRESA]]="NET PROJETOS"),"NET","EMPRESARIAL"))</f>
        <v>NET</v>
      </c>
    </row>
    <row r="1941" spans="1:15" x14ac:dyDescent="0.25">
      <c r="A1941" s="32">
        <v>4384012</v>
      </c>
      <c r="B1941" s="32" t="s">
        <v>21</v>
      </c>
      <c r="C1941" s="33" t="s">
        <v>19</v>
      </c>
      <c r="D1941" s="35">
        <v>45449</v>
      </c>
      <c r="E1941" s="32" t="s">
        <v>192</v>
      </c>
      <c r="F1941" s="32">
        <v>41001277</v>
      </c>
      <c r="G1941" s="32" t="s">
        <v>466</v>
      </c>
      <c r="H1941" s="26" t="s">
        <v>38</v>
      </c>
      <c r="I1941" s="36">
        <v>60</v>
      </c>
      <c r="J1941" s="32">
        <f>IF(MB25_VOLUMETRIA[[#This Row],[Reserva]]="","",1)</f>
        <v>1</v>
      </c>
      <c r="K1941" s="36" t="str">
        <f>IF(MB25_VOLUMETRIA[[#This Row],[Reserva]]="","",IFERROR(VLOOKUP(MB25_VOLUMETRIA[[#This Row],[UMB]],CHAVE[],2,FALSE),"VERIFICAR"))</f>
        <v>Unidade</v>
      </c>
      <c r="L194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1" s="32" t="str">
        <f ca="1">IFERROR(VLOOKUP(MB25_VOLUMETRIA[[#This Row],[Reserva]],RES_AB[],14,FALSE),"")</f>
        <v>RESERVAS PENDENTES</v>
      </c>
      <c r="N1941" s="32" t="str">
        <f>IF(MB25_VOLUMETRIA[[#This Row],[Cen.]]="","",IFERROR(VLOOKUP(MB25_VOLUMETRIA[[#This Row],[Cen.]],Dados_Empresas[],2,FALSE),"Verificar empresa"))</f>
        <v>NET MASSIVO</v>
      </c>
      <c r="O1941" s="32" t="str">
        <f>IF(MB25_VOLUMETRIA[[#This Row],[EMPRESA]]="","",IF(OR(MB25_VOLUMETRIA[[#This Row],[EMPRESA]]="NET MASSIVO",MB25_VOLUMETRIA[[#This Row],[EMPRESA]]="NET PROJETOS"),"NET","EMPRESARIAL"))</f>
        <v>NET</v>
      </c>
    </row>
    <row r="1942" spans="1:15" x14ac:dyDescent="0.25">
      <c r="A1942" s="32">
        <v>4384012</v>
      </c>
      <c r="B1942" s="32" t="s">
        <v>21</v>
      </c>
      <c r="C1942" s="33" t="s">
        <v>19</v>
      </c>
      <c r="D1942" s="35">
        <v>45449</v>
      </c>
      <c r="E1942" s="32" t="s">
        <v>192</v>
      </c>
      <c r="F1942" s="32">
        <v>41001293</v>
      </c>
      <c r="G1942" s="32" t="s">
        <v>468</v>
      </c>
      <c r="H1942" s="26" t="s">
        <v>38</v>
      </c>
      <c r="I1942" s="36">
        <v>20</v>
      </c>
      <c r="J1942" s="32">
        <f>IF(MB25_VOLUMETRIA[[#This Row],[Reserva]]="","",1)</f>
        <v>1</v>
      </c>
      <c r="K1942" s="36" t="str">
        <f>IF(MB25_VOLUMETRIA[[#This Row],[Reserva]]="","",IFERROR(VLOOKUP(MB25_VOLUMETRIA[[#This Row],[UMB]],CHAVE[],2,FALSE),"VERIFICAR"))</f>
        <v>Unidade</v>
      </c>
      <c r="L194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2" s="32" t="str">
        <f ca="1">IFERROR(VLOOKUP(MB25_VOLUMETRIA[[#This Row],[Reserva]],RES_AB[],14,FALSE),"")</f>
        <v>RESERVAS PENDENTES</v>
      </c>
      <c r="N1942" s="32" t="str">
        <f>IF(MB25_VOLUMETRIA[[#This Row],[Cen.]]="","",IFERROR(VLOOKUP(MB25_VOLUMETRIA[[#This Row],[Cen.]],Dados_Empresas[],2,FALSE),"Verificar empresa"))</f>
        <v>NET MASSIVO</v>
      </c>
      <c r="O1942" s="32" t="str">
        <f>IF(MB25_VOLUMETRIA[[#This Row],[EMPRESA]]="","",IF(OR(MB25_VOLUMETRIA[[#This Row],[EMPRESA]]="NET MASSIVO",MB25_VOLUMETRIA[[#This Row],[EMPRESA]]="NET PROJETOS"),"NET","EMPRESARIAL"))</f>
        <v>NET</v>
      </c>
    </row>
    <row r="1943" spans="1:15" x14ac:dyDescent="0.25">
      <c r="A1943" s="32">
        <v>4384013</v>
      </c>
      <c r="B1943" s="32" t="s">
        <v>21</v>
      </c>
      <c r="C1943" s="33" t="s">
        <v>19</v>
      </c>
      <c r="D1943" s="35">
        <v>45449</v>
      </c>
      <c r="E1943" s="32" t="s">
        <v>192</v>
      </c>
      <c r="F1943" s="32">
        <v>41001234</v>
      </c>
      <c r="G1943" s="32" t="s">
        <v>189</v>
      </c>
      <c r="H1943" s="26" t="s">
        <v>38</v>
      </c>
      <c r="I1943" s="36">
        <v>90</v>
      </c>
      <c r="J1943" s="32">
        <f>IF(MB25_VOLUMETRIA[[#This Row],[Reserva]]="","",1)</f>
        <v>1</v>
      </c>
      <c r="K1943" s="36" t="str">
        <f>IF(MB25_VOLUMETRIA[[#This Row],[Reserva]]="","",IFERROR(VLOOKUP(MB25_VOLUMETRIA[[#This Row],[UMB]],CHAVE[],2,FALSE),"VERIFICAR"))</f>
        <v>Unidade</v>
      </c>
      <c r="L194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3" s="32" t="str">
        <f ca="1">IFERROR(VLOOKUP(MB25_VOLUMETRIA[[#This Row],[Reserva]],RES_AB[],14,FALSE),"")</f>
        <v>RESERVAS PENDENTES</v>
      </c>
      <c r="N1943" s="32" t="str">
        <f>IF(MB25_VOLUMETRIA[[#This Row],[Cen.]]="","",IFERROR(VLOOKUP(MB25_VOLUMETRIA[[#This Row],[Cen.]],Dados_Empresas[],2,FALSE),"Verificar empresa"))</f>
        <v>NET MASSIVO</v>
      </c>
      <c r="O1943" s="32" t="str">
        <f>IF(MB25_VOLUMETRIA[[#This Row],[EMPRESA]]="","",IF(OR(MB25_VOLUMETRIA[[#This Row],[EMPRESA]]="NET MASSIVO",MB25_VOLUMETRIA[[#This Row],[EMPRESA]]="NET PROJETOS"),"NET","EMPRESARIAL"))</f>
        <v>NET</v>
      </c>
    </row>
    <row r="1944" spans="1:15" x14ac:dyDescent="0.25">
      <c r="A1944" s="32">
        <v>4384013</v>
      </c>
      <c r="B1944" s="32" t="s">
        <v>21</v>
      </c>
      <c r="C1944" s="33" t="s">
        <v>19</v>
      </c>
      <c r="D1944" s="35">
        <v>45449</v>
      </c>
      <c r="E1944" s="32" t="s">
        <v>192</v>
      </c>
      <c r="F1944" s="32">
        <v>41001277</v>
      </c>
      <c r="G1944" s="32" t="s">
        <v>466</v>
      </c>
      <c r="H1944" s="26" t="s">
        <v>38</v>
      </c>
      <c r="I1944" s="36">
        <v>90</v>
      </c>
      <c r="J1944" s="32">
        <f>IF(MB25_VOLUMETRIA[[#This Row],[Reserva]]="","",1)</f>
        <v>1</v>
      </c>
      <c r="K1944" s="36" t="str">
        <f>IF(MB25_VOLUMETRIA[[#This Row],[Reserva]]="","",IFERROR(VLOOKUP(MB25_VOLUMETRIA[[#This Row],[UMB]],CHAVE[],2,FALSE),"VERIFICAR"))</f>
        <v>Unidade</v>
      </c>
      <c r="L194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4" s="32" t="str">
        <f ca="1">IFERROR(VLOOKUP(MB25_VOLUMETRIA[[#This Row],[Reserva]],RES_AB[],14,FALSE),"")</f>
        <v>RESERVAS PENDENTES</v>
      </c>
      <c r="N1944" s="32" t="str">
        <f>IF(MB25_VOLUMETRIA[[#This Row],[Cen.]]="","",IFERROR(VLOOKUP(MB25_VOLUMETRIA[[#This Row],[Cen.]],Dados_Empresas[],2,FALSE),"Verificar empresa"))</f>
        <v>NET MASSIVO</v>
      </c>
      <c r="O1944" s="32" t="str">
        <f>IF(MB25_VOLUMETRIA[[#This Row],[EMPRESA]]="","",IF(OR(MB25_VOLUMETRIA[[#This Row],[EMPRESA]]="NET MASSIVO",MB25_VOLUMETRIA[[#This Row],[EMPRESA]]="NET PROJETOS"),"NET","EMPRESARIAL"))</f>
        <v>NET</v>
      </c>
    </row>
    <row r="1945" spans="1:15" x14ac:dyDescent="0.25">
      <c r="A1945" s="32">
        <v>4384014</v>
      </c>
      <c r="B1945" s="32" t="s">
        <v>21</v>
      </c>
      <c r="C1945" s="33" t="s">
        <v>19</v>
      </c>
      <c r="D1945" s="35">
        <v>45449</v>
      </c>
      <c r="E1945" s="32" t="s">
        <v>192</v>
      </c>
      <c r="F1945" s="32">
        <v>41001482</v>
      </c>
      <c r="G1945" s="32" t="s">
        <v>473</v>
      </c>
      <c r="H1945" s="26" t="s">
        <v>38</v>
      </c>
      <c r="I1945" s="36">
        <v>30</v>
      </c>
      <c r="J1945" s="32">
        <f>IF(MB25_VOLUMETRIA[[#This Row],[Reserva]]="","",1)</f>
        <v>1</v>
      </c>
      <c r="K1945" s="36" t="str">
        <f>IF(MB25_VOLUMETRIA[[#This Row],[Reserva]]="","",IFERROR(VLOOKUP(MB25_VOLUMETRIA[[#This Row],[UMB]],CHAVE[],2,FALSE),"VERIFICAR"))</f>
        <v>Unidade</v>
      </c>
      <c r="L194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5" s="32" t="str">
        <f ca="1">IFERROR(VLOOKUP(MB25_VOLUMETRIA[[#This Row],[Reserva]],RES_AB[],14,FALSE),"")</f>
        <v>RESERVAS PENDENTES</v>
      </c>
      <c r="N1945" s="32" t="str">
        <f>IF(MB25_VOLUMETRIA[[#This Row],[Cen.]]="","",IFERROR(VLOOKUP(MB25_VOLUMETRIA[[#This Row],[Cen.]],Dados_Empresas[],2,FALSE),"Verificar empresa"))</f>
        <v>NET MASSIVO</v>
      </c>
      <c r="O1945" s="32" t="str">
        <f>IF(MB25_VOLUMETRIA[[#This Row],[EMPRESA]]="","",IF(OR(MB25_VOLUMETRIA[[#This Row],[EMPRESA]]="NET MASSIVO",MB25_VOLUMETRIA[[#This Row],[EMPRESA]]="NET PROJETOS"),"NET","EMPRESARIAL"))</f>
        <v>NET</v>
      </c>
    </row>
    <row r="1946" spans="1:15" x14ac:dyDescent="0.25">
      <c r="A1946" s="32">
        <v>4384014</v>
      </c>
      <c r="B1946" s="32" t="s">
        <v>21</v>
      </c>
      <c r="C1946" s="33" t="s">
        <v>21</v>
      </c>
      <c r="D1946" s="35">
        <v>45449</v>
      </c>
      <c r="E1946" s="32" t="s">
        <v>192</v>
      </c>
      <c r="F1946" s="32">
        <v>41001553</v>
      </c>
      <c r="G1946" s="32" t="s">
        <v>295</v>
      </c>
      <c r="H1946" s="26" t="s">
        <v>38</v>
      </c>
      <c r="I1946" s="36">
        <v>20</v>
      </c>
      <c r="J1946" s="32">
        <f>IF(MB25_VOLUMETRIA[[#This Row],[Reserva]]="","",1)</f>
        <v>1</v>
      </c>
      <c r="K1946" s="36" t="str">
        <f>IF(MB25_VOLUMETRIA[[#This Row],[Reserva]]="","",IFERROR(VLOOKUP(MB25_VOLUMETRIA[[#This Row],[UMB]],CHAVE[],2,FALSE),"VERIFICAR"))</f>
        <v>Unidade</v>
      </c>
      <c r="L194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6" s="32" t="str">
        <f ca="1">IFERROR(VLOOKUP(MB25_VOLUMETRIA[[#This Row],[Reserva]],RES_AB[],14,FALSE),"")</f>
        <v>RESERVAS PENDENTES</v>
      </c>
      <c r="N1946" s="32" t="str">
        <f>IF(MB25_VOLUMETRIA[[#This Row],[Cen.]]="","",IFERROR(VLOOKUP(MB25_VOLUMETRIA[[#This Row],[Cen.]],Dados_Empresas[],2,FALSE),"Verificar empresa"))</f>
        <v>NET MASSIVO</v>
      </c>
      <c r="O1946" s="32" t="str">
        <f>IF(MB25_VOLUMETRIA[[#This Row],[EMPRESA]]="","",IF(OR(MB25_VOLUMETRIA[[#This Row],[EMPRESA]]="NET MASSIVO",MB25_VOLUMETRIA[[#This Row],[EMPRESA]]="NET PROJETOS"),"NET","EMPRESARIAL"))</f>
        <v>NET</v>
      </c>
    </row>
    <row r="1947" spans="1:15" x14ac:dyDescent="0.25">
      <c r="A1947" s="32">
        <v>4384015</v>
      </c>
      <c r="B1947" s="32" t="s">
        <v>21</v>
      </c>
      <c r="C1947" s="33" t="s">
        <v>19</v>
      </c>
      <c r="D1947" s="35">
        <v>45449</v>
      </c>
      <c r="E1947" s="32" t="s">
        <v>192</v>
      </c>
      <c r="F1947" s="32">
        <v>41001234</v>
      </c>
      <c r="G1947" s="32" t="s">
        <v>189</v>
      </c>
      <c r="H1947" s="26" t="s">
        <v>38</v>
      </c>
      <c r="I1947" s="36">
        <v>20</v>
      </c>
      <c r="J1947" s="32">
        <f>IF(MB25_VOLUMETRIA[[#This Row],[Reserva]]="","",1)</f>
        <v>1</v>
      </c>
      <c r="K1947" s="36" t="str">
        <f>IF(MB25_VOLUMETRIA[[#This Row],[Reserva]]="","",IFERROR(VLOOKUP(MB25_VOLUMETRIA[[#This Row],[UMB]],CHAVE[],2,FALSE),"VERIFICAR"))</f>
        <v>Unidade</v>
      </c>
      <c r="L194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7" s="32" t="str">
        <f ca="1">IFERROR(VLOOKUP(MB25_VOLUMETRIA[[#This Row],[Reserva]],RES_AB[],14,FALSE),"")</f>
        <v>RESERVAS PENDENTES</v>
      </c>
      <c r="N1947" s="32" t="str">
        <f>IF(MB25_VOLUMETRIA[[#This Row],[Cen.]]="","",IFERROR(VLOOKUP(MB25_VOLUMETRIA[[#This Row],[Cen.]],Dados_Empresas[],2,FALSE),"Verificar empresa"))</f>
        <v>NET MASSIVO</v>
      </c>
      <c r="O1947" s="32" t="str">
        <f>IF(MB25_VOLUMETRIA[[#This Row],[EMPRESA]]="","",IF(OR(MB25_VOLUMETRIA[[#This Row],[EMPRESA]]="NET MASSIVO",MB25_VOLUMETRIA[[#This Row],[EMPRESA]]="NET PROJETOS"),"NET","EMPRESARIAL"))</f>
        <v>NET</v>
      </c>
    </row>
    <row r="1948" spans="1:15" x14ac:dyDescent="0.25">
      <c r="A1948" s="32">
        <v>4384015</v>
      </c>
      <c r="B1948" s="32" t="s">
        <v>21</v>
      </c>
      <c r="C1948" s="33" t="s">
        <v>19</v>
      </c>
      <c r="D1948" s="35">
        <v>45449</v>
      </c>
      <c r="E1948" s="32" t="s">
        <v>192</v>
      </c>
      <c r="F1948" s="32">
        <v>41001277</v>
      </c>
      <c r="G1948" s="32" t="s">
        <v>466</v>
      </c>
      <c r="H1948" s="26" t="s">
        <v>38</v>
      </c>
      <c r="I1948" s="36">
        <v>20</v>
      </c>
      <c r="J1948" s="32">
        <f>IF(MB25_VOLUMETRIA[[#This Row],[Reserva]]="","",1)</f>
        <v>1</v>
      </c>
      <c r="K1948" s="36" t="str">
        <f>IF(MB25_VOLUMETRIA[[#This Row],[Reserva]]="","",IFERROR(VLOOKUP(MB25_VOLUMETRIA[[#This Row],[UMB]],CHAVE[],2,FALSE),"VERIFICAR"))</f>
        <v>Unidade</v>
      </c>
      <c r="L194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8" s="32" t="str">
        <f ca="1">IFERROR(VLOOKUP(MB25_VOLUMETRIA[[#This Row],[Reserva]],RES_AB[],14,FALSE),"")</f>
        <v>RESERVAS PENDENTES</v>
      </c>
      <c r="N1948" s="32" t="str">
        <f>IF(MB25_VOLUMETRIA[[#This Row],[Cen.]]="","",IFERROR(VLOOKUP(MB25_VOLUMETRIA[[#This Row],[Cen.]],Dados_Empresas[],2,FALSE),"Verificar empresa"))</f>
        <v>NET MASSIVO</v>
      </c>
      <c r="O1948" s="32" t="str">
        <f>IF(MB25_VOLUMETRIA[[#This Row],[EMPRESA]]="","",IF(OR(MB25_VOLUMETRIA[[#This Row],[EMPRESA]]="NET MASSIVO",MB25_VOLUMETRIA[[#This Row],[EMPRESA]]="NET PROJETOS"),"NET","EMPRESARIAL"))</f>
        <v>NET</v>
      </c>
    </row>
    <row r="1949" spans="1:15" x14ac:dyDescent="0.25">
      <c r="A1949" s="32">
        <v>4384016</v>
      </c>
      <c r="B1949" s="32" t="s">
        <v>21</v>
      </c>
      <c r="C1949" s="33" t="s">
        <v>19</v>
      </c>
      <c r="D1949" s="35">
        <v>45449</v>
      </c>
      <c r="E1949" s="32" t="s">
        <v>185</v>
      </c>
      <c r="F1949" s="32">
        <v>22060290</v>
      </c>
      <c r="G1949" s="32" t="s">
        <v>238</v>
      </c>
      <c r="H1949" s="26" t="s">
        <v>38</v>
      </c>
      <c r="I1949" s="36">
        <v>100</v>
      </c>
      <c r="J1949" s="32">
        <f>IF(MB25_VOLUMETRIA[[#This Row],[Reserva]]="","",1)</f>
        <v>1</v>
      </c>
      <c r="K1949" s="36" t="str">
        <f>IF(MB25_VOLUMETRIA[[#This Row],[Reserva]]="","",IFERROR(VLOOKUP(MB25_VOLUMETRIA[[#This Row],[UMB]],CHAVE[],2,FALSE),"VERIFICAR"))</f>
        <v>Unidade</v>
      </c>
      <c r="L194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49" s="32" t="str">
        <f ca="1">IFERROR(VLOOKUP(MB25_VOLUMETRIA[[#This Row],[Reserva]],RES_AB[],14,FALSE),"")</f>
        <v>RESERVAS PENDENTES</v>
      </c>
      <c r="N1949" s="32" t="str">
        <f>IF(MB25_VOLUMETRIA[[#This Row],[Cen.]]="","",IFERROR(VLOOKUP(MB25_VOLUMETRIA[[#This Row],[Cen.]],Dados_Empresas[],2,FALSE),"Verificar empresa"))</f>
        <v>NET MASSIVO</v>
      </c>
      <c r="O1949" s="32" t="str">
        <f>IF(MB25_VOLUMETRIA[[#This Row],[EMPRESA]]="","",IF(OR(MB25_VOLUMETRIA[[#This Row],[EMPRESA]]="NET MASSIVO",MB25_VOLUMETRIA[[#This Row],[EMPRESA]]="NET PROJETOS"),"NET","EMPRESARIAL"))</f>
        <v>NET</v>
      </c>
    </row>
    <row r="1950" spans="1:15" x14ac:dyDescent="0.25">
      <c r="A1950" s="32">
        <v>4384016</v>
      </c>
      <c r="B1950" s="32" t="s">
        <v>21</v>
      </c>
      <c r="C1950" s="33" t="s">
        <v>19</v>
      </c>
      <c r="D1950" s="35">
        <v>45449</v>
      </c>
      <c r="E1950" s="32" t="s">
        <v>185</v>
      </c>
      <c r="F1950" s="32">
        <v>22062579</v>
      </c>
      <c r="G1950" s="32" t="s">
        <v>294</v>
      </c>
      <c r="H1950" s="26" t="s">
        <v>38</v>
      </c>
      <c r="I1950" s="36">
        <v>82</v>
      </c>
      <c r="J1950" s="32">
        <f>IF(MB25_VOLUMETRIA[[#This Row],[Reserva]]="","",1)</f>
        <v>1</v>
      </c>
      <c r="K1950" s="36" t="str">
        <f>IF(MB25_VOLUMETRIA[[#This Row],[Reserva]]="","",IFERROR(VLOOKUP(MB25_VOLUMETRIA[[#This Row],[UMB]],CHAVE[],2,FALSE),"VERIFICAR"))</f>
        <v>Unidade</v>
      </c>
      <c r="L195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0" s="32" t="str">
        <f ca="1">IFERROR(VLOOKUP(MB25_VOLUMETRIA[[#This Row],[Reserva]],RES_AB[],14,FALSE),"")</f>
        <v>RESERVAS PENDENTES</v>
      </c>
      <c r="N1950" s="32" t="str">
        <f>IF(MB25_VOLUMETRIA[[#This Row],[Cen.]]="","",IFERROR(VLOOKUP(MB25_VOLUMETRIA[[#This Row],[Cen.]],Dados_Empresas[],2,FALSE),"Verificar empresa"))</f>
        <v>NET MASSIVO</v>
      </c>
      <c r="O1950" s="32" t="str">
        <f>IF(MB25_VOLUMETRIA[[#This Row],[EMPRESA]]="","",IF(OR(MB25_VOLUMETRIA[[#This Row],[EMPRESA]]="NET MASSIVO",MB25_VOLUMETRIA[[#This Row],[EMPRESA]]="NET PROJETOS"),"NET","EMPRESARIAL"))</f>
        <v>NET</v>
      </c>
    </row>
    <row r="1951" spans="1:15" x14ac:dyDescent="0.25">
      <c r="A1951" s="32">
        <v>4384016</v>
      </c>
      <c r="B1951" s="32" t="s">
        <v>21</v>
      </c>
      <c r="C1951" s="33" t="s">
        <v>21</v>
      </c>
      <c r="D1951" s="35">
        <v>45449</v>
      </c>
      <c r="E1951" s="32" t="s">
        <v>185</v>
      </c>
      <c r="F1951" s="32">
        <v>22062579</v>
      </c>
      <c r="G1951" s="32" t="s">
        <v>294</v>
      </c>
      <c r="H1951" s="26" t="s">
        <v>38</v>
      </c>
      <c r="I1951" s="36">
        <v>4</v>
      </c>
      <c r="J1951" s="32">
        <f>IF(MB25_VOLUMETRIA[[#This Row],[Reserva]]="","",1)</f>
        <v>1</v>
      </c>
      <c r="K1951" s="36" t="str">
        <f>IF(MB25_VOLUMETRIA[[#This Row],[Reserva]]="","",IFERROR(VLOOKUP(MB25_VOLUMETRIA[[#This Row],[UMB]],CHAVE[],2,FALSE),"VERIFICAR"))</f>
        <v>Unidade</v>
      </c>
      <c r="L195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1" s="32" t="str">
        <f ca="1">IFERROR(VLOOKUP(MB25_VOLUMETRIA[[#This Row],[Reserva]],RES_AB[],14,FALSE),"")</f>
        <v>RESERVAS PENDENTES</v>
      </c>
      <c r="N1951" s="32" t="str">
        <f>IF(MB25_VOLUMETRIA[[#This Row],[Cen.]]="","",IFERROR(VLOOKUP(MB25_VOLUMETRIA[[#This Row],[Cen.]],Dados_Empresas[],2,FALSE),"Verificar empresa"))</f>
        <v>NET MASSIVO</v>
      </c>
      <c r="O1951" s="32" t="str">
        <f>IF(MB25_VOLUMETRIA[[#This Row],[EMPRESA]]="","",IF(OR(MB25_VOLUMETRIA[[#This Row],[EMPRESA]]="NET MASSIVO",MB25_VOLUMETRIA[[#This Row],[EMPRESA]]="NET PROJETOS"),"NET","EMPRESARIAL"))</f>
        <v>NET</v>
      </c>
    </row>
    <row r="1952" spans="1:15" x14ac:dyDescent="0.25">
      <c r="A1952" s="32">
        <v>4384017</v>
      </c>
      <c r="B1952" s="32" t="s">
        <v>21</v>
      </c>
      <c r="C1952" s="33" t="s">
        <v>19</v>
      </c>
      <c r="D1952" s="35">
        <v>45449</v>
      </c>
      <c r="E1952" s="32" t="s">
        <v>192</v>
      </c>
      <c r="F1952" s="32">
        <v>41001234</v>
      </c>
      <c r="G1952" s="32" t="s">
        <v>189</v>
      </c>
      <c r="H1952" s="26" t="s">
        <v>38</v>
      </c>
      <c r="I1952" s="36">
        <v>170</v>
      </c>
      <c r="J1952" s="32">
        <f>IF(MB25_VOLUMETRIA[[#This Row],[Reserva]]="","",1)</f>
        <v>1</v>
      </c>
      <c r="K1952" s="36" t="str">
        <f>IF(MB25_VOLUMETRIA[[#This Row],[Reserva]]="","",IFERROR(VLOOKUP(MB25_VOLUMETRIA[[#This Row],[UMB]],CHAVE[],2,FALSE),"VERIFICAR"))</f>
        <v>Unidade</v>
      </c>
      <c r="L195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2" s="32" t="str">
        <f ca="1">IFERROR(VLOOKUP(MB25_VOLUMETRIA[[#This Row],[Reserva]],RES_AB[],14,FALSE),"")</f>
        <v>RESERVAS PENDENTES</v>
      </c>
      <c r="N1952" s="32" t="str">
        <f>IF(MB25_VOLUMETRIA[[#This Row],[Cen.]]="","",IFERROR(VLOOKUP(MB25_VOLUMETRIA[[#This Row],[Cen.]],Dados_Empresas[],2,FALSE),"Verificar empresa"))</f>
        <v>NET MASSIVO</v>
      </c>
      <c r="O1952" s="32" t="str">
        <f>IF(MB25_VOLUMETRIA[[#This Row],[EMPRESA]]="","",IF(OR(MB25_VOLUMETRIA[[#This Row],[EMPRESA]]="NET MASSIVO",MB25_VOLUMETRIA[[#This Row],[EMPRESA]]="NET PROJETOS"),"NET","EMPRESARIAL"))</f>
        <v>NET</v>
      </c>
    </row>
    <row r="1953" spans="1:15" x14ac:dyDescent="0.25">
      <c r="A1953" s="32">
        <v>4384017</v>
      </c>
      <c r="B1953" s="32" t="s">
        <v>21</v>
      </c>
      <c r="C1953" s="33" t="s">
        <v>19</v>
      </c>
      <c r="D1953" s="35">
        <v>45449</v>
      </c>
      <c r="E1953" s="32" t="s">
        <v>192</v>
      </c>
      <c r="F1953" s="32">
        <v>41001277</v>
      </c>
      <c r="G1953" s="32" t="s">
        <v>466</v>
      </c>
      <c r="H1953" s="26" t="s">
        <v>38</v>
      </c>
      <c r="I1953" s="36">
        <v>170</v>
      </c>
      <c r="J1953" s="32">
        <f>IF(MB25_VOLUMETRIA[[#This Row],[Reserva]]="","",1)</f>
        <v>1</v>
      </c>
      <c r="K1953" s="36" t="str">
        <f>IF(MB25_VOLUMETRIA[[#This Row],[Reserva]]="","",IFERROR(VLOOKUP(MB25_VOLUMETRIA[[#This Row],[UMB]],CHAVE[],2,FALSE),"VERIFICAR"))</f>
        <v>Unidade</v>
      </c>
      <c r="L195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3" s="32" t="str">
        <f ca="1">IFERROR(VLOOKUP(MB25_VOLUMETRIA[[#This Row],[Reserva]],RES_AB[],14,FALSE),"")</f>
        <v>RESERVAS PENDENTES</v>
      </c>
      <c r="N1953" s="32" t="str">
        <f>IF(MB25_VOLUMETRIA[[#This Row],[Cen.]]="","",IFERROR(VLOOKUP(MB25_VOLUMETRIA[[#This Row],[Cen.]],Dados_Empresas[],2,FALSE),"Verificar empresa"))</f>
        <v>NET MASSIVO</v>
      </c>
      <c r="O1953" s="32" t="str">
        <f>IF(MB25_VOLUMETRIA[[#This Row],[EMPRESA]]="","",IF(OR(MB25_VOLUMETRIA[[#This Row],[EMPRESA]]="NET MASSIVO",MB25_VOLUMETRIA[[#This Row],[EMPRESA]]="NET PROJETOS"),"NET","EMPRESARIAL"))</f>
        <v>NET</v>
      </c>
    </row>
    <row r="1954" spans="1:15" x14ac:dyDescent="0.25">
      <c r="A1954" s="32">
        <v>4384017</v>
      </c>
      <c r="B1954" s="32" t="s">
        <v>21</v>
      </c>
      <c r="C1954" s="33" t="s">
        <v>19</v>
      </c>
      <c r="D1954" s="35">
        <v>45449</v>
      </c>
      <c r="E1954" s="32" t="s">
        <v>192</v>
      </c>
      <c r="F1954" s="32">
        <v>41001293</v>
      </c>
      <c r="G1954" s="32" t="s">
        <v>468</v>
      </c>
      <c r="H1954" s="26" t="s">
        <v>38</v>
      </c>
      <c r="I1954" s="36">
        <v>30</v>
      </c>
      <c r="J1954" s="32">
        <f>IF(MB25_VOLUMETRIA[[#This Row],[Reserva]]="","",1)</f>
        <v>1</v>
      </c>
      <c r="K1954" s="36" t="str">
        <f>IF(MB25_VOLUMETRIA[[#This Row],[Reserva]]="","",IFERROR(VLOOKUP(MB25_VOLUMETRIA[[#This Row],[UMB]],CHAVE[],2,FALSE),"VERIFICAR"))</f>
        <v>Unidade</v>
      </c>
      <c r="L195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4" s="32" t="str">
        <f ca="1">IFERROR(VLOOKUP(MB25_VOLUMETRIA[[#This Row],[Reserva]],RES_AB[],14,FALSE),"")</f>
        <v>RESERVAS PENDENTES</v>
      </c>
      <c r="N1954" s="32" t="str">
        <f>IF(MB25_VOLUMETRIA[[#This Row],[Cen.]]="","",IFERROR(VLOOKUP(MB25_VOLUMETRIA[[#This Row],[Cen.]],Dados_Empresas[],2,FALSE),"Verificar empresa"))</f>
        <v>NET MASSIVO</v>
      </c>
      <c r="O1954" s="32" t="str">
        <f>IF(MB25_VOLUMETRIA[[#This Row],[EMPRESA]]="","",IF(OR(MB25_VOLUMETRIA[[#This Row],[EMPRESA]]="NET MASSIVO",MB25_VOLUMETRIA[[#This Row],[EMPRESA]]="NET PROJETOS"),"NET","EMPRESARIAL"))</f>
        <v>NET</v>
      </c>
    </row>
    <row r="1955" spans="1:15" x14ac:dyDescent="0.25">
      <c r="A1955" s="32">
        <v>4384018</v>
      </c>
      <c r="B1955" s="32" t="s">
        <v>21</v>
      </c>
      <c r="C1955" s="33" t="s">
        <v>21</v>
      </c>
      <c r="D1955" s="35">
        <v>45449</v>
      </c>
      <c r="E1955" s="32" t="s">
        <v>185</v>
      </c>
      <c r="F1955" s="32">
        <v>22026265</v>
      </c>
      <c r="G1955" s="32" t="s">
        <v>222</v>
      </c>
      <c r="H1955" s="26" t="s">
        <v>38</v>
      </c>
      <c r="I1955" s="36">
        <v>1000</v>
      </c>
      <c r="J1955" s="32">
        <f>IF(MB25_VOLUMETRIA[[#This Row],[Reserva]]="","",1)</f>
        <v>1</v>
      </c>
      <c r="K1955" s="36" t="str">
        <f>IF(MB25_VOLUMETRIA[[#This Row],[Reserva]]="","",IFERROR(VLOOKUP(MB25_VOLUMETRIA[[#This Row],[UMB]],CHAVE[],2,FALSE),"VERIFICAR"))</f>
        <v>Unidade</v>
      </c>
      <c r="L195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5" s="32" t="str">
        <f ca="1">IFERROR(VLOOKUP(MB25_VOLUMETRIA[[#This Row],[Reserva]],RES_AB[],14,FALSE),"")</f>
        <v>RESERVAS PENDENTES</v>
      </c>
      <c r="N1955" s="32" t="str">
        <f>IF(MB25_VOLUMETRIA[[#This Row],[Cen.]]="","",IFERROR(VLOOKUP(MB25_VOLUMETRIA[[#This Row],[Cen.]],Dados_Empresas[],2,FALSE),"Verificar empresa"))</f>
        <v>NET MASSIVO</v>
      </c>
      <c r="O1955" s="32" t="str">
        <f>IF(MB25_VOLUMETRIA[[#This Row],[EMPRESA]]="","",IF(OR(MB25_VOLUMETRIA[[#This Row],[EMPRESA]]="NET MASSIVO",MB25_VOLUMETRIA[[#This Row],[EMPRESA]]="NET PROJETOS"),"NET","EMPRESARIAL"))</f>
        <v>NET</v>
      </c>
    </row>
    <row r="1956" spans="1:15" x14ac:dyDescent="0.25">
      <c r="A1956" s="32">
        <v>4384018</v>
      </c>
      <c r="B1956" s="32" t="s">
        <v>21</v>
      </c>
      <c r="C1956" s="33" t="s">
        <v>21</v>
      </c>
      <c r="D1956" s="35">
        <v>45449</v>
      </c>
      <c r="E1956" s="32" t="s">
        <v>185</v>
      </c>
      <c r="F1956" s="32">
        <v>22057620</v>
      </c>
      <c r="G1956" s="32" t="s">
        <v>253</v>
      </c>
      <c r="H1956" s="26" t="s">
        <v>38</v>
      </c>
      <c r="I1956" s="36">
        <v>100</v>
      </c>
      <c r="J1956" s="32">
        <f>IF(MB25_VOLUMETRIA[[#This Row],[Reserva]]="","",1)</f>
        <v>1</v>
      </c>
      <c r="K1956" s="36" t="str">
        <f>IF(MB25_VOLUMETRIA[[#This Row],[Reserva]]="","",IFERROR(VLOOKUP(MB25_VOLUMETRIA[[#This Row],[UMB]],CHAVE[],2,FALSE),"VERIFICAR"))</f>
        <v>Unidade</v>
      </c>
      <c r="L195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6" s="32" t="str">
        <f ca="1">IFERROR(VLOOKUP(MB25_VOLUMETRIA[[#This Row],[Reserva]],RES_AB[],14,FALSE),"")</f>
        <v>RESERVAS PENDENTES</v>
      </c>
      <c r="N1956" s="32" t="str">
        <f>IF(MB25_VOLUMETRIA[[#This Row],[Cen.]]="","",IFERROR(VLOOKUP(MB25_VOLUMETRIA[[#This Row],[Cen.]],Dados_Empresas[],2,FALSE),"Verificar empresa"))</f>
        <v>NET MASSIVO</v>
      </c>
      <c r="O1956" s="32" t="str">
        <f>IF(MB25_VOLUMETRIA[[#This Row],[EMPRESA]]="","",IF(OR(MB25_VOLUMETRIA[[#This Row],[EMPRESA]]="NET MASSIVO",MB25_VOLUMETRIA[[#This Row],[EMPRESA]]="NET PROJETOS"),"NET","EMPRESARIAL"))</f>
        <v>NET</v>
      </c>
    </row>
    <row r="1957" spans="1:15" x14ac:dyDescent="0.25">
      <c r="A1957" s="32">
        <v>4384018</v>
      </c>
      <c r="B1957" s="32" t="s">
        <v>21</v>
      </c>
      <c r="C1957" s="33" t="s">
        <v>21</v>
      </c>
      <c r="D1957" s="35">
        <v>45449</v>
      </c>
      <c r="E1957" s="32" t="s">
        <v>185</v>
      </c>
      <c r="F1957" s="32">
        <v>22061736</v>
      </c>
      <c r="G1957" s="32" t="s">
        <v>216</v>
      </c>
      <c r="H1957" s="26" t="s">
        <v>38</v>
      </c>
      <c r="I1957" s="36">
        <v>3000</v>
      </c>
      <c r="J1957" s="32">
        <f>IF(MB25_VOLUMETRIA[[#This Row],[Reserva]]="","",1)</f>
        <v>1</v>
      </c>
      <c r="K1957" s="36" t="str">
        <f>IF(MB25_VOLUMETRIA[[#This Row],[Reserva]]="","",IFERROR(VLOOKUP(MB25_VOLUMETRIA[[#This Row],[UMB]],CHAVE[],2,FALSE),"VERIFICAR"))</f>
        <v>Unidade</v>
      </c>
      <c r="L195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7" s="32" t="str">
        <f ca="1">IFERROR(VLOOKUP(MB25_VOLUMETRIA[[#This Row],[Reserva]],RES_AB[],14,FALSE),"")</f>
        <v>RESERVAS PENDENTES</v>
      </c>
      <c r="N1957" s="32" t="str">
        <f>IF(MB25_VOLUMETRIA[[#This Row],[Cen.]]="","",IFERROR(VLOOKUP(MB25_VOLUMETRIA[[#This Row],[Cen.]],Dados_Empresas[],2,FALSE),"Verificar empresa"))</f>
        <v>NET MASSIVO</v>
      </c>
      <c r="O1957" s="32" t="str">
        <f>IF(MB25_VOLUMETRIA[[#This Row],[EMPRESA]]="","",IF(OR(MB25_VOLUMETRIA[[#This Row],[EMPRESA]]="NET MASSIVO",MB25_VOLUMETRIA[[#This Row],[EMPRESA]]="NET PROJETOS"),"NET","EMPRESARIAL"))</f>
        <v>NET</v>
      </c>
    </row>
    <row r="1958" spans="1:15" x14ac:dyDescent="0.25">
      <c r="A1958" s="32">
        <v>4384019</v>
      </c>
      <c r="B1958" s="32" t="s">
        <v>21</v>
      </c>
      <c r="C1958" s="33" t="s">
        <v>19</v>
      </c>
      <c r="D1958" s="35">
        <v>45449</v>
      </c>
      <c r="E1958" s="32" t="s">
        <v>192</v>
      </c>
      <c r="F1958" s="32">
        <v>41001234</v>
      </c>
      <c r="G1958" s="32" t="s">
        <v>189</v>
      </c>
      <c r="H1958" s="26" t="s">
        <v>38</v>
      </c>
      <c r="I1958" s="36">
        <v>40</v>
      </c>
      <c r="J1958" s="32">
        <f>IF(MB25_VOLUMETRIA[[#This Row],[Reserva]]="","",1)</f>
        <v>1</v>
      </c>
      <c r="K1958" s="36" t="str">
        <f>IF(MB25_VOLUMETRIA[[#This Row],[Reserva]]="","",IFERROR(VLOOKUP(MB25_VOLUMETRIA[[#This Row],[UMB]],CHAVE[],2,FALSE),"VERIFICAR"))</f>
        <v>Unidade</v>
      </c>
      <c r="L195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8" s="32" t="str">
        <f ca="1">IFERROR(VLOOKUP(MB25_VOLUMETRIA[[#This Row],[Reserva]],RES_AB[],14,FALSE),"")</f>
        <v>RESERVAS PENDENTES</v>
      </c>
      <c r="N1958" s="32" t="str">
        <f>IF(MB25_VOLUMETRIA[[#This Row],[Cen.]]="","",IFERROR(VLOOKUP(MB25_VOLUMETRIA[[#This Row],[Cen.]],Dados_Empresas[],2,FALSE),"Verificar empresa"))</f>
        <v>NET MASSIVO</v>
      </c>
      <c r="O1958" s="32" t="str">
        <f>IF(MB25_VOLUMETRIA[[#This Row],[EMPRESA]]="","",IF(OR(MB25_VOLUMETRIA[[#This Row],[EMPRESA]]="NET MASSIVO",MB25_VOLUMETRIA[[#This Row],[EMPRESA]]="NET PROJETOS"),"NET","EMPRESARIAL"))</f>
        <v>NET</v>
      </c>
    </row>
    <row r="1959" spans="1:15" x14ac:dyDescent="0.25">
      <c r="A1959" s="32">
        <v>4384019</v>
      </c>
      <c r="B1959" s="32" t="s">
        <v>21</v>
      </c>
      <c r="C1959" s="33" t="s">
        <v>19</v>
      </c>
      <c r="D1959" s="35">
        <v>45449</v>
      </c>
      <c r="E1959" s="32" t="s">
        <v>192</v>
      </c>
      <c r="F1959" s="32">
        <v>41001277</v>
      </c>
      <c r="G1959" s="32" t="s">
        <v>466</v>
      </c>
      <c r="H1959" s="26" t="s">
        <v>38</v>
      </c>
      <c r="I1959" s="36">
        <v>40</v>
      </c>
      <c r="J1959" s="32">
        <f>IF(MB25_VOLUMETRIA[[#This Row],[Reserva]]="","",1)</f>
        <v>1</v>
      </c>
      <c r="K1959" s="36" t="str">
        <f>IF(MB25_VOLUMETRIA[[#This Row],[Reserva]]="","",IFERROR(VLOOKUP(MB25_VOLUMETRIA[[#This Row],[UMB]],CHAVE[],2,FALSE),"VERIFICAR"))</f>
        <v>Unidade</v>
      </c>
      <c r="L195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59" s="32" t="str">
        <f ca="1">IFERROR(VLOOKUP(MB25_VOLUMETRIA[[#This Row],[Reserva]],RES_AB[],14,FALSE),"")</f>
        <v>RESERVAS PENDENTES</v>
      </c>
      <c r="N1959" s="32" t="str">
        <f>IF(MB25_VOLUMETRIA[[#This Row],[Cen.]]="","",IFERROR(VLOOKUP(MB25_VOLUMETRIA[[#This Row],[Cen.]],Dados_Empresas[],2,FALSE),"Verificar empresa"))</f>
        <v>NET MASSIVO</v>
      </c>
      <c r="O1959" s="32" t="str">
        <f>IF(MB25_VOLUMETRIA[[#This Row],[EMPRESA]]="","",IF(OR(MB25_VOLUMETRIA[[#This Row],[EMPRESA]]="NET MASSIVO",MB25_VOLUMETRIA[[#This Row],[EMPRESA]]="NET PROJETOS"),"NET","EMPRESARIAL"))</f>
        <v>NET</v>
      </c>
    </row>
    <row r="1960" spans="1:15" x14ac:dyDescent="0.25">
      <c r="A1960" s="32">
        <v>4384020</v>
      </c>
      <c r="B1960" s="32" t="s">
        <v>21</v>
      </c>
      <c r="C1960" s="33" t="s">
        <v>19</v>
      </c>
      <c r="D1960" s="35">
        <v>45449</v>
      </c>
      <c r="E1960" s="32" t="s">
        <v>192</v>
      </c>
      <c r="F1960" s="32">
        <v>41001234</v>
      </c>
      <c r="G1960" s="32" t="s">
        <v>189</v>
      </c>
      <c r="H1960" s="26" t="s">
        <v>38</v>
      </c>
      <c r="I1960" s="36">
        <v>150</v>
      </c>
      <c r="J1960" s="32">
        <f>IF(MB25_VOLUMETRIA[[#This Row],[Reserva]]="","",1)</f>
        <v>1</v>
      </c>
      <c r="K1960" s="36" t="str">
        <f>IF(MB25_VOLUMETRIA[[#This Row],[Reserva]]="","",IFERROR(VLOOKUP(MB25_VOLUMETRIA[[#This Row],[UMB]],CHAVE[],2,FALSE),"VERIFICAR"))</f>
        <v>Unidade</v>
      </c>
      <c r="L196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0" s="32" t="str">
        <f ca="1">IFERROR(VLOOKUP(MB25_VOLUMETRIA[[#This Row],[Reserva]],RES_AB[],14,FALSE),"")</f>
        <v>RESERVAS PENDENTES</v>
      </c>
      <c r="N1960" s="32" t="str">
        <f>IF(MB25_VOLUMETRIA[[#This Row],[Cen.]]="","",IFERROR(VLOOKUP(MB25_VOLUMETRIA[[#This Row],[Cen.]],Dados_Empresas[],2,FALSE),"Verificar empresa"))</f>
        <v>NET MASSIVO</v>
      </c>
      <c r="O1960" s="32" t="str">
        <f>IF(MB25_VOLUMETRIA[[#This Row],[EMPRESA]]="","",IF(OR(MB25_VOLUMETRIA[[#This Row],[EMPRESA]]="NET MASSIVO",MB25_VOLUMETRIA[[#This Row],[EMPRESA]]="NET PROJETOS"),"NET","EMPRESARIAL"))</f>
        <v>NET</v>
      </c>
    </row>
    <row r="1961" spans="1:15" x14ac:dyDescent="0.25">
      <c r="A1961" s="32">
        <v>4384020</v>
      </c>
      <c r="B1961" s="32" t="s">
        <v>21</v>
      </c>
      <c r="C1961" s="33" t="s">
        <v>19</v>
      </c>
      <c r="D1961" s="35">
        <v>45449</v>
      </c>
      <c r="E1961" s="32" t="s">
        <v>192</v>
      </c>
      <c r="F1961" s="32">
        <v>41001277</v>
      </c>
      <c r="G1961" s="32" t="s">
        <v>466</v>
      </c>
      <c r="H1961" s="26" t="s">
        <v>38</v>
      </c>
      <c r="I1961" s="36">
        <v>150</v>
      </c>
      <c r="J1961" s="32">
        <f>IF(MB25_VOLUMETRIA[[#This Row],[Reserva]]="","",1)</f>
        <v>1</v>
      </c>
      <c r="K1961" s="36" t="str">
        <f>IF(MB25_VOLUMETRIA[[#This Row],[Reserva]]="","",IFERROR(VLOOKUP(MB25_VOLUMETRIA[[#This Row],[UMB]],CHAVE[],2,FALSE),"VERIFICAR"))</f>
        <v>Unidade</v>
      </c>
      <c r="L196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1" s="32" t="str">
        <f ca="1">IFERROR(VLOOKUP(MB25_VOLUMETRIA[[#This Row],[Reserva]],RES_AB[],14,FALSE),"")</f>
        <v>RESERVAS PENDENTES</v>
      </c>
      <c r="N1961" s="32" t="str">
        <f>IF(MB25_VOLUMETRIA[[#This Row],[Cen.]]="","",IFERROR(VLOOKUP(MB25_VOLUMETRIA[[#This Row],[Cen.]],Dados_Empresas[],2,FALSE),"Verificar empresa"))</f>
        <v>NET MASSIVO</v>
      </c>
      <c r="O1961" s="32" t="str">
        <f>IF(MB25_VOLUMETRIA[[#This Row],[EMPRESA]]="","",IF(OR(MB25_VOLUMETRIA[[#This Row],[EMPRESA]]="NET MASSIVO",MB25_VOLUMETRIA[[#This Row],[EMPRESA]]="NET PROJETOS"),"NET","EMPRESARIAL"))</f>
        <v>NET</v>
      </c>
    </row>
    <row r="1962" spans="1:15" x14ac:dyDescent="0.25">
      <c r="A1962" s="32">
        <v>4384021</v>
      </c>
      <c r="B1962" s="32" t="s">
        <v>21</v>
      </c>
      <c r="C1962" s="33" t="s">
        <v>19</v>
      </c>
      <c r="D1962" s="35">
        <v>45449</v>
      </c>
      <c r="E1962" s="32" t="s">
        <v>192</v>
      </c>
      <c r="F1962" s="32">
        <v>41001234</v>
      </c>
      <c r="G1962" s="32" t="s">
        <v>189</v>
      </c>
      <c r="H1962" s="26" t="s">
        <v>38</v>
      </c>
      <c r="I1962" s="36">
        <v>20</v>
      </c>
      <c r="J1962" s="32">
        <f>IF(MB25_VOLUMETRIA[[#This Row],[Reserva]]="","",1)</f>
        <v>1</v>
      </c>
      <c r="K1962" s="36" t="str">
        <f>IF(MB25_VOLUMETRIA[[#This Row],[Reserva]]="","",IFERROR(VLOOKUP(MB25_VOLUMETRIA[[#This Row],[UMB]],CHAVE[],2,FALSE),"VERIFICAR"))</f>
        <v>Unidade</v>
      </c>
      <c r="L196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2" s="32" t="str">
        <f ca="1">IFERROR(VLOOKUP(MB25_VOLUMETRIA[[#This Row],[Reserva]],RES_AB[],14,FALSE),"")</f>
        <v>RESERVAS PENDENTES</v>
      </c>
      <c r="N1962" s="32" t="str">
        <f>IF(MB25_VOLUMETRIA[[#This Row],[Cen.]]="","",IFERROR(VLOOKUP(MB25_VOLUMETRIA[[#This Row],[Cen.]],Dados_Empresas[],2,FALSE),"Verificar empresa"))</f>
        <v>NET MASSIVO</v>
      </c>
      <c r="O1962" s="32" t="str">
        <f>IF(MB25_VOLUMETRIA[[#This Row],[EMPRESA]]="","",IF(OR(MB25_VOLUMETRIA[[#This Row],[EMPRESA]]="NET MASSIVO",MB25_VOLUMETRIA[[#This Row],[EMPRESA]]="NET PROJETOS"),"NET","EMPRESARIAL"))</f>
        <v>NET</v>
      </c>
    </row>
    <row r="1963" spans="1:15" x14ac:dyDescent="0.25">
      <c r="A1963" s="32">
        <v>4384021</v>
      </c>
      <c r="B1963" s="32" t="s">
        <v>21</v>
      </c>
      <c r="C1963" s="33" t="s">
        <v>19</v>
      </c>
      <c r="D1963" s="35">
        <v>45449</v>
      </c>
      <c r="E1963" s="32" t="s">
        <v>192</v>
      </c>
      <c r="F1963" s="32">
        <v>41001277</v>
      </c>
      <c r="G1963" s="32" t="s">
        <v>466</v>
      </c>
      <c r="H1963" s="26" t="s">
        <v>38</v>
      </c>
      <c r="I1963" s="36">
        <v>20</v>
      </c>
      <c r="J1963" s="32">
        <f>IF(MB25_VOLUMETRIA[[#This Row],[Reserva]]="","",1)</f>
        <v>1</v>
      </c>
      <c r="K1963" s="36" t="str">
        <f>IF(MB25_VOLUMETRIA[[#This Row],[Reserva]]="","",IFERROR(VLOOKUP(MB25_VOLUMETRIA[[#This Row],[UMB]],CHAVE[],2,FALSE),"VERIFICAR"))</f>
        <v>Unidade</v>
      </c>
      <c r="L196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3" s="32" t="str">
        <f ca="1">IFERROR(VLOOKUP(MB25_VOLUMETRIA[[#This Row],[Reserva]],RES_AB[],14,FALSE),"")</f>
        <v>RESERVAS PENDENTES</v>
      </c>
      <c r="N1963" s="32" t="str">
        <f>IF(MB25_VOLUMETRIA[[#This Row],[Cen.]]="","",IFERROR(VLOOKUP(MB25_VOLUMETRIA[[#This Row],[Cen.]],Dados_Empresas[],2,FALSE),"Verificar empresa"))</f>
        <v>NET MASSIVO</v>
      </c>
      <c r="O1963" s="32" t="str">
        <f>IF(MB25_VOLUMETRIA[[#This Row],[EMPRESA]]="","",IF(OR(MB25_VOLUMETRIA[[#This Row],[EMPRESA]]="NET MASSIVO",MB25_VOLUMETRIA[[#This Row],[EMPRESA]]="NET PROJETOS"),"NET","EMPRESARIAL"))</f>
        <v>NET</v>
      </c>
    </row>
    <row r="1964" spans="1:15" x14ac:dyDescent="0.25">
      <c r="A1964" s="32">
        <v>4384022</v>
      </c>
      <c r="B1964" s="32" t="s">
        <v>21</v>
      </c>
      <c r="C1964" s="33" t="s">
        <v>19</v>
      </c>
      <c r="D1964" s="35">
        <v>45449</v>
      </c>
      <c r="E1964" s="32" t="s">
        <v>185</v>
      </c>
      <c r="F1964" s="32">
        <v>22026297</v>
      </c>
      <c r="G1964" s="32" t="s">
        <v>355</v>
      </c>
      <c r="H1964" s="26" t="s">
        <v>38</v>
      </c>
      <c r="I1964" s="36">
        <v>50</v>
      </c>
      <c r="J1964" s="32">
        <f>IF(MB25_VOLUMETRIA[[#This Row],[Reserva]]="","",1)</f>
        <v>1</v>
      </c>
      <c r="K1964" s="36" t="str">
        <f>IF(MB25_VOLUMETRIA[[#This Row],[Reserva]]="","",IFERROR(VLOOKUP(MB25_VOLUMETRIA[[#This Row],[UMB]],CHAVE[],2,FALSE),"VERIFICAR"))</f>
        <v>Unidade</v>
      </c>
      <c r="L196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4" s="32" t="str">
        <f ca="1">IFERROR(VLOOKUP(MB25_VOLUMETRIA[[#This Row],[Reserva]],RES_AB[],14,FALSE),"")</f>
        <v>RESERVAS PENDENTES</v>
      </c>
      <c r="N1964" s="32" t="str">
        <f>IF(MB25_VOLUMETRIA[[#This Row],[Cen.]]="","",IFERROR(VLOOKUP(MB25_VOLUMETRIA[[#This Row],[Cen.]],Dados_Empresas[],2,FALSE),"Verificar empresa"))</f>
        <v>NET MASSIVO</v>
      </c>
      <c r="O1964" s="32" t="str">
        <f>IF(MB25_VOLUMETRIA[[#This Row],[EMPRESA]]="","",IF(OR(MB25_VOLUMETRIA[[#This Row],[EMPRESA]]="NET MASSIVO",MB25_VOLUMETRIA[[#This Row],[EMPRESA]]="NET PROJETOS"),"NET","EMPRESARIAL"))</f>
        <v>NET</v>
      </c>
    </row>
    <row r="1965" spans="1:15" x14ac:dyDescent="0.25">
      <c r="A1965" s="32">
        <v>4384022</v>
      </c>
      <c r="B1965" s="32" t="s">
        <v>21</v>
      </c>
      <c r="C1965" s="33" t="s">
        <v>19</v>
      </c>
      <c r="D1965" s="35">
        <v>45449</v>
      </c>
      <c r="E1965" s="32" t="s">
        <v>185</v>
      </c>
      <c r="F1965" s="32">
        <v>22060652</v>
      </c>
      <c r="G1965" s="32" t="s">
        <v>475</v>
      </c>
      <c r="H1965" s="26" t="s">
        <v>38</v>
      </c>
      <c r="I1965" s="36">
        <v>54</v>
      </c>
      <c r="J1965" s="32">
        <f>IF(MB25_VOLUMETRIA[[#This Row],[Reserva]]="","",1)</f>
        <v>1</v>
      </c>
      <c r="K1965" s="36" t="str">
        <f>IF(MB25_VOLUMETRIA[[#This Row],[Reserva]]="","",IFERROR(VLOOKUP(MB25_VOLUMETRIA[[#This Row],[UMB]],CHAVE[],2,FALSE),"VERIFICAR"))</f>
        <v>Unidade</v>
      </c>
      <c r="L196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5" s="32" t="str">
        <f ca="1">IFERROR(VLOOKUP(MB25_VOLUMETRIA[[#This Row],[Reserva]],RES_AB[],14,FALSE),"")</f>
        <v>RESERVAS PENDENTES</v>
      </c>
      <c r="N1965" s="32" t="str">
        <f>IF(MB25_VOLUMETRIA[[#This Row],[Cen.]]="","",IFERROR(VLOOKUP(MB25_VOLUMETRIA[[#This Row],[Cen.]],Dados_Empresas[],2,FALSE),"Verificar empresa"))</f>
        <v>NET MASSIVO</v>
      </c>
      <c r="O1965" s="32" t="str">
        <f>IF(MB25_VOLUMETRIA[[#This Row],[EMPRESA]]="","",IF(OR(MB25_VOLUMETRIA[[#This Row],[EMPRESA]]="NET MASSIVO",MB25_VOLUMETRIA[[#This Row],[EMPRESA]]="NET PROJETOS"),"NET","EMPRESARIAL"))</f>
        <v>NET</v>
      </c>
    </row>
    <row r="1966" spans="1:15" x14ac:dyDescent="0.25">
      <c r="A1966" s="32">
        <v>4384022</v>
      </c>
      <c r="B1966" s="32" t="s">
        <v>21</v>
      </c>
      <c r="C1966" s="33" t="s">
        <v>19</v>
      </c>
      <c r="D1966" s="35">
        <v>45449</v>
      </c>
      <c r="E1966" s="32" t="s">
        <v>185</v>
      </c>
      <c r="F1966" s="32">
        <v>22062579</v>
      </c>
      <c r="G1966" s="32" t="s">
        <v>294</v>
      </c>
      <c r="H1966" s="26" t="s">
        <v>38</v>
      </c>
      <c r="I1966" s="36">
        <v>26</v>
      </c>
      <c r="J1966" s="32">
        <f>IF(MB25_VOLUMETRIA[[#This Row],[Reserva]]="","",1)</f>
        <v>1</v>
      </c>
      <c r="K1966" s="36" t="str">
        <f>IF(MB25_VOLUMETRIA[[#This Row],[Reserva]]="","",IFERROR(VLOOKUP(MB25_VOLUMETRIA[[#This Row],[UMB]],CHAVE[],2,FALSE),"VERIFICAR"))</f>
        <v>Unidade</v>
      </c>
      <c r="L196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6" s="32" t="str">
        <f ca="1">IFERROR(VLOOKUP(MB25_VOLUMETRIA[[#This Row],[Reserva]],RES_AB[],14,FALSE),"")</f>
        <v>RESERVAS PENDENTES</v>
      </c>
      <c r="N1966" s="32" t="str">
        <f>IF(MB25_VOLUMETRIA[[#This Row],[Cen.]]="","",IFERROR(VLOOKUP(MB25_VOLUMETRIA[[#This Row],[Cen.]],Dados_Empresas[],2,FALSE),"Verificar empresa"))</f>
        <v>NET MASSIVO</v>
      </c>
      <c r="O1966" s="32" t="str">
        <f>IF(MB25_VOLUMETRIA[[#This Row],[EMPRESA]]="","",IF(OR(MB25_VOLUMETRIA[[#This Row],[EMPRESA]]="NET MASSIVO",MB25_VOLUMETRIA[[#This Row],[EMPRESA]]="NET PROJETOS"),"NET","EMPRESARIAL"))</f>
        <v>NET</v>
      </c>
    </row>
    <row r="1967" spans="1:15" x14ac:dyDescent="0.25">
      <c r="A1967" s="32">
        <v>4384023</v>
      </c>
      <c r="B1967" s="32" t="s">
        <v>21</v>
      </c>
      <c r="C1967" s="33" t="s">
        <v>19</v>
      </c>
      <c r="D1967" s="35">
        <v>45449</v>
      </c>
      <c r="E1967" s="32" t="s">
        <v>192</v>
      </c>
      <c r="F1967" s="32">
        <v>41001234</v>
      </c>
      <c r="G1967" s="32" t="s">
        <v>189</v>
      </c>
      <c r="H1967" s="26" t="s">
        <v>38</v>
      </c>
      <c r="I1967" s="36">
        <v>240</v>
      </c>
      <c r="J1967" s="32">
        <f>IF(MB25_VOLUMETRIA[[#This Row],[Reserva]]="","",1)</f>
        <v>1</v>
      </c>
      <c r="K1967" s="36" t="str">
        <f>IF(MB25_VOLUMETRIA[[#This Row],[Reserva]]="","",IFERROR(VLOOKUP(MB25_VOLUMETRIA[[#This Row],[UMB]],CHAVE[],2,FALSE),"VERIFICAR"))</f>
        <v>Unidade</v>
      </c>
      <c r="L196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7" s="32" t="str">
        <f ca="1">IFERROR(VLOOKUP(MB25_VOLUMETRIA[[#This Row],[Reserva]],RES_AB[],14,FALSE),"")</f>
        <v>RESERVAS PENDENTES</v>
      </c>
      <c r="N1967" s="32" t="str">
        <f>IF(MB25_VOLUMETRIA[[#This Row],[Cen.]]="","",IFERROR(VLOOKUP(MB25_VOLUMETRIA[[#This Row],[Cen.]],Dados_Empresas[],2,FALSE),"Verificar empresa"))</f>
        <v>NET MASSIVO</v>
      </c>
      <c r="O1967" s="32" t="str">
        <f>IF(MB25_VOLUMETRIA[[#This Row],[EMPRESA]]="","",IF(OR(MB25_VOLUMETRIA[[#This Row],[EMPRESA]]="NET MASSIVO",MB25_VOLUMETRIA[[#This Row],[EMPRESA]]="NET PROJETOS"),"NET","EMPRESARIAL"))</f>
        <v>NET</v>
      </c>
    </row>
    <row r="1968" spans="1:15" x14ac:dyDescent="0.25">
      <c r="A1968" s="32">
        <v>4384023</v>
      </c>
      <c r="B1968" s="32" t="s">
        <v>21</v>
      </c>
      <c r="C1968" s="33" t="s">
        <v>19</v>
      </c>
      <c r="D1968" s="35">
        <v>45449</v>
      </c>
      <c r="E1968" s="32" t="s">
        <v>192</v>
      </c>
      <c r="F1968" s="32">
        <v>41001277</v>
      </c>
      <c r="G1968" s="32" t="s">
        <v>466</v>
      </c>
      <c r="H1968" s="26" t="s">
        <v>38</v>
      </c>
      <c r="I1968" s="36">
        <v>240</v>
      </c>
      <c r="J1968" s="32">
        <f>IF(MB25_VOLUMETRIA[[#This Row],[Reserva]]="","",1)</f>
        <v>1</v>
      </c>
      <c r="K1968" s="36" t="str">
        <f>IF(MB25_VOLUMETRIA[[#This Row],[Reserva]]="","",IFERROR(VLOOKUP(MB25_VOLUMETRIA[[#This Row],[UMB]],CHAVE[],2,FALSE),"VERIFICAR"))</f>
        <v>Unidade</v>
      </c>
      <c r="L196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8" s="32" t="str">
        <f ca="1">IFERROR(VLOOKUP(MB25_VOLUMETRIA[[#This Row],[Reserva]],RES_AB[],14,FALSE),"")</f>
        <v>RESERVAS PENDENTES</v>
      </c>
      <c r="N1968" s="32" t="str">
        <f>IF(MB25_VOLUMETRIA[[#This Row],[Cen.]]="","",IFERROR(VLOOKUP(MB25_VOLUMETRIA[[#This Row],[Cen.]],Dados_Empresas[],2,FALSE),"Verificar empresa"))</f>
        <v>NET MASSIVO</v>
      </c>
      <c r="O1968" s="32" t="str">
        <f>IF(MB25_VOLUMETRIA[[#This Row],[EMPRESA]]="","",IF(OR(MB25_VOLUMETRIA[[#This Row],[EMPRESA]]="NET MASSIVO",MB25_VOLUMETRIA[[#This Row],[EMPRESA]]="NET PROJETOS"),"NET","EMPRESARIAL"))</f>
        <v>NET</v>
      </c>
    </row>
    <row r="1969" spans="1:15" x14ac:dyDescent="0.25">
      <c r="A1969" s="32">
        <v>4384024</v>
      </c>
      <c r="B1969" s="32" t="s">
        <v>21</v>
      </c>
      <c r="C1969" s="33" t="s">
        <v>19</v>
      </c>
      <c r="D1969" s="35">
        <v>45449</v>
      </c>
      <c r="E1969" s="32" t="s">
        <v>185</v>
      </c>
      <c r="F1969" s="32">
        <v>22026297</v>
      </c>
      <c r="G1969" s="32" t="s">
        <v>355</v>
      </c>
      <c r="H1969" s="26" t="s">
        <v>38</v>
      </c>
      <c r="I1969" s="36">
        <v>50</v>
      </c>
      <c r="J1969" s="32">
        <f>IF(MB25_VOLUMETRIA[[#This Row],[Reserva]]="","",1)</f>
        <v>1</v>
      </c>
      <c r="K1969" s="36" t="str">
        <f>IF(MB25_VOLUMETRIA[[#This Row],[Reserva]]="","",IFERROR(VLOOKUP(MB25_VOLUMETRIA[[#This Row],[UMB]],CHAVE[],2,FALSE),"VERIFICAR"))</f>
        <v>Unidade</v>
      </c>
      <c r="L196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69" s="32" t="str">
        <f ca="1">IFERROR(VLOOKUP(MB25_VOLUMETRIA[[#This Row],[Reserva]],RES_AB[],14,FALSE),"")</f>
        <v>RESERVAS PENDENTES</v>
      </c>
      <c r="N1969" s="32" t="str">
        <f>IF(MB25_VOLUMETRIA[[#This Row],[Cen.]]="","",IFERROR(VLOOKUP(MB25_VOLUMETRIA[[#This Row],[Cen.]],Dados_Empresas[],2,FALSE),"Verificar empresa"))</f>
        <v>NET MASSIVO</v>
      </c>
      <c r="O1969" s="32" t="str">
        <f>IF(MB25_VOLUMETRIA[[#This Row],[EMPRESA]]="","",IF(OR(MB25_VOLUMETRIA[[#This Row],[EMPRESA]]="NET MASSIVO",MB25_VOLUMETRIA[[#This Row],[EMPRESA]]="NET PROJETOS"),"NET","EMPRESARIAL"))</f>
        <v>NET</v>
      </c>
    </row>
    <row r="1970" spans="1:15" x14ac:dyDescent="0.25">
      <c r="A1970" s="32">
        <v>4384024</v>
      </c>
      <c r="B1970" s="32" t="s">
        <v>21</v>
      </c>
      <c r="C1970" s="33" t="s">
        <v>19</v>
      </c>
      <c r="D1970" s="35">
        <v>45449</v>
      </c>
      <c r="E1970" s="32" t="s">
        <v>185</v>
      </c>
      <c r="F1970" s="32">
        <v>22060652</v>
      </c>
      <c r="G1970" s="32" t="s">
        <v>475</v>
      </c>
      <c r="H1970" s="26" t="s">
        <v>38</v>
      </c>
      <c r="I1970" s="36">
        <v>80</v>
      </c>
      <c r="J1970" s="32">
        <f>IF(MB25_VOLUMETRIA[[#This Row],[Reserva]]="","",1)</f>
        <v>1</v>
      </c>
      <c r="K1970" s="36" t="str">
        <f>IF(MB25_VOLUMETRIA[[#This Row],[Reserva]]="","",IFERROR(VLOOKUP(MB25_VOLUMETRIA[[#This Row],[UMB]],CHAVE[],2,FALSE),"VERIFICAR"))</f>
        <v>Unidade</v>
      </c>
      <c r="L197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0" s="32" t="str">
        <f ca="1">IFERROR(VLOOKUP(MB25_VOLUMETRIA[[#This Row],[Reserva]],RES_AB[],14,FALSE),"")</f>
        <v>RESERVAS PENDENTES</v>
      </c>
      <c r="N1970" s="32" t="str">
        <f>IF(MB25_VOLUMETRIA[[#This Row],[Cen.]]="","",IFERROR(VLOOKUP(MB25_VOLUMETRIA[[#This Row],[Cen.]],Dados_Empresas[],2,FALSE),"Verificar empresa"))</f>
        <v>NET MASSIVO</v>
      </c>
      <c r="O1970" s="32" t="str">
        <f>IF(MB25_VOLUMETRIA[[#This Row],[EMPRESA]]="","",IF(OR(MB25_VOLUMETRIA[[#This Row],[EMPRESA]]="NET MASSIVO",MB25_VOLUMETRIA[[#This Row],[EMPRESA]]="NET PROJETOS"),"NET","EMPRESARIAL"))</f>
        <v>NET</v>
      </c>
    </row>
    <row r="1971" spans="1:15" x14ac:dyDescent="0.25">
      <c r="A1971" s="32">
        <v>4384025</v>
      </c>
      <c r="B1971" s="32" t="s">
        <v>21</v>
      </c>
      <c r="C1971" s="33" t="s">
        <v>19</v>
      </c>
      <c r="D1971" s="35">
        <v>45449</v>
      </c>
      <c r="E1971" s="32" t="s">
        <v>192</v>
      </c>
      <c r="F1971" s="32">
        <v>41001234</v>
      </c>
      <c r="G1971" s="32" t="s">
        <v>189</v>
      </c>
      <c r="H1971" s="26" t="s">
        <v>38</v>
      </c>
      <c r="I1971" s="36">
        <v>180</v>
      </c>
      <c r="J1971" s="32">
        <f>IF(MB25_VOLUMETRIA[[#This Row],[Reserva]]="","",1)</f>
        <v>1</v>
      </c>
      <c r="K1971" s="36" t="str">
        <f>IF(MB25_VOLUMETRIA[[#This Row],[Reserva]]="","",IFERROR(VLOOKUP(MB25_VOLUMETRIA[[#This Row],[UMB]],CHAVE[],2,FALSE),"VERIFICAR"))</f>
        <v>Unidade</v>
      </c>
      <c r="L197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1" s="32" t="str">
        <f ca="1">IFERROR(VLOOKUP(MB25_VOLUMETRIA[[#This Row],[Reserva]],RES_AB[],14,FALSE),"")</f>
        <v>RESERVAS PENDENTES</v>
      </c>
      <c r="N1971" s="32" t="str">
        <f>IF(MB25_VOLUMETRIA[[#This Row],[Cen.]]="","",IFERROR(VLOOKUP(MB25_VOLUMETRIA[[#This Row],[Cen.]],Dados_Empresas[],2,FALSE),"Verificar empresa"))</f>
        <v>NET MASSIVO</v>
      </c>
      <c r="O1971" s="32" t="str">
        <f>IF(MB25_VOLUMETRIA[[#This Row],[EMPRESA]]="","",IF(OR(MB25_VOLUMETRIA[[#This Row],[EMPRESA]]="NET MASSIVO",MB25_VOLUMETRIA[[#This Row],[EMPRESA]]="NET PROJETOS"),"NET","EMPRESARIAL"))</f>
        <v>NET</v>
      </c>
    </row>
    <row r="1972" spans="1:15" x14ac:dyDescent="0.25">
      <c r="A1972" s="32">
        <v>4384025</v>
      </c>
      <c r="B1972" s="32" t="s">
        <v>21</v>
      </c>
      <c r="C1972" s="33" t="s">
        <v>19</v>
      </c>
      <c r="D1972" s="35">
        <v>45449</v>
      </c>
      <c r="E1972" s="32" t="s">
        <v>192</v>
      </c>
      <c r="F1972" s="32">
        <v>41001277</v>
      </c>
      <c r="G1972" s="32" t="s">
        <v>466</v>
      </c>
      <c r="H1972" s="26" t="s">
        <v>38</v>
      </c>
      <c r="I1972" s="36">
        <v>180</v>
      </c>
      <c r="J1972" s="32">
        <f>IF(MB25_VOLUMETRIA[[#This Row],[Reserva]]="","",1)</f>
        <v>1</v>
      </c>
      <c r="K1972" s="36" t="str">
        <f>IF(MB25_VOLUMETRIA[[#This Row],[Reserva]]="","",IFERROR(VLOOKUP(MB25_VOLUMETRIA[[#This Row],[UMB]],CHAVE[],2,FALSE),"VERIFICAR"))</f>
        <v>Unidade</v>
      </c>
      <c r="L197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2" s="32" t="str">
        <f ca="1">IFERROR(VLOOKUP(MB25_VOLUMETRIA[[#This Row],[Reserva]],RES_AB[],14,FALSE),"")</f>
        <v>RESERVAS PENDENTES</v>
      </c>
      <c r="N1972" s="32" t="str">
        <f>IF(MB25_VOLUMETRIA[[#This Row],[Cen.]]="","",IFERROR(VLOOKUP(MB25_VOLUMETRIA[[#This Row],[Cen.]],Dados_Empresas[],2,FALSE),"Verificar empresa"))</f>
        <v>NET MASSIVO</v>
      </c>
      <c r="O1972" s="32" t="str">
        <f>IF(MB25_VOLUMETRIA[[#This Row],[EMPRESA]]="","",IF(OR(MB25_VOLUMETRIA[[#This Row],[EMPRESA]]="NET MASSIVO",MB25_VOLUMETRIA[[#This Row],[EMPRESA]]="NET PROJETOS"),"NET","EMPRESARIAL"))</f>
        <v>NET</v>
      </c>
    </row>
    <row r="1973" spans="1:15" x14ac:dyDescent="0.25">
      <c r="A1973" s="32">
        <v>4384026</v>
      </c>
      <c r="B1973" s="32" t="s">
        <v>21</v>
      </c>
      <c r="C1973" s="33" t="s">
        <v>21</v>
      </c>
      <c r="D1973" s="35">
        <v>45449</v>
      </c>
      <c r="E1973" s="32" t="s">
        <v>185</v>
      </c>
      <c r="F1973" s="32">
        <v>22026219</v>
      </c>
      <c r="G1973" s="32" t="s">
        <v>221</v>
      </c>
      <c r="H1973" s="26" t="s">
        <v>38</v>
      </c>
      <c r="I1973" s="36">
        <v>300</v>
      </c>
      <c r="J1973" s="32">
        <f>IF(MB25_VOLUMETRIA[[#This Row],[Reserva]]="","",1)</f>
        <v>1</v>
      </c>
      <c r="K1973" s="36" t="str">
        <f>IF(MB25_VOLUMETRIA[[#This Row],[Reserva]]="","",IFERROR(VLOOKUP(MB25_VOLUMETRIA[[#This Row],[UMB]],CHAVE[],2,FALSE),"VERIFICAR"))</f>
        <v>Unidade</v>
      </c>
      <c r="L197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3" s="32" t="str">
        <f ca="1">IFERROR(VLOOKUP(MB25_VOLUMETRIA[[#This Row],[Reserva]],RES_AB[],14,FALSE),"")</f>
        <v>RESERVAS PENDENTES</v>
      </c>
      <c r="N1973" s="32" t="str">
        <f>IF(MB25_VOLUMETRIA[[#This Row],[Cen.]]="","",IFERROR(VLOOKUP(MB25_VOLUMETRIA[[#This Row],[Cen.]],Dados_Empresas[],2,FALSE),"Verificar empresa"))</f>
        <v>NET MASSIVO</v>
      </c>
      <c r="O1973" s="32" t="str">
        <f>IF(MB25_VOLUMETRIA[[#This Row],[EMPRESA]]="","",IF(OR(MB25_VOLUMETRIA[[#This Row],[EMPRESA]]="NET MASSIVO",MB25_VOLUMETRIA[[#This Row],[EMPRESA]]="NET PROJETOS"),"NET","EMPRESARIAL"))</f>
        <v>NET</v>
      </c>
    </row>
    <row r="1974" spans="1:15" x14ac:dyDescent="0.25">
      <c r="A1974" s="32">
        <v>4384027</v>
      </c>
      <c r="B1974" s="32" t="s">
        <v>21</v>
      </c>
      <c r="C1974" s="33" t="s">
        <v>19</v>
      </c>
      <c r="D1974" s="35">
        <v>45449</v>
      </c>
      <c r="E1974" s="32" t="s">
        <v>192</v>
      </c>
      <c r="F1974" s="32">
        <v>41001234</v>
      </c>
      <c r="G1974" s="32" t="s">
        <v>189</v>
      </c>
      <c r="H1974" s="26" t="s">
        <v>38</v>
      </c>
      <c r="I1974" s="36">
        <v>80</v>
      </c>
      <c r="J1974" s="32">
        <f>IF(MB25_VOLUMETRIA[[#This Row],[Reserva]]="","",1)</f>
        <v>1</v>
      </c>
      <c r="K1974" s="36" t="str">
        <f>IF(MB25_VOLUMETRIA[[#This Row],[Reserva]]="","",IFERROR(VLOOKUP(MB25_VOLUMETRIA[[#This Row],[UMB]],CHAVE[],2,FALSE),"VERIFICAR"))</f>
        <v>Unidade</v>
      </c>
      <c r="L197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4" s="32" t="str">
        <f ca="1">IFERROR(VLOOKUP(MB25_VOLUMETRIA[[#This Row],[Reserva]],RES_AB[],14,FALSE),"")</f>
        <v>RESERVAS PENDENTES</v>
      </c>
      <c r="N1974" s="32" t="str">
        <f>IF(MB25_VOLUMETRIA[[#This Row],[Cen.]]="","",IFERROR(VLOOKUP(MB25_VOLUMETRIA[[#This Row],[Cen.]],Dados_Empresas[],2,FALSE),"Verificar empresa"))</f>
        <v>NET MASSIVO</v>
      </c>
      <c r="O1974" s="32" t="str">
        <f>IF(MB25_VOLUMETRIA[[#This Row],[EMPRESA]]="","",IF(OR(MB25_VOLUMETRIA[[#This Row],[EMPRESA]]="NET MASSIVO",MB25_VOLUMETRIA[[#This Row],[EMPRESA]]="NET PROJETOS"),"NET","EMPRESARIAL"))</f>
        <v>NET</v>
      </c>
    </row>
    <row r="1975" spans="1:15" x14ac:dyDescent="0.25">
      <c r="A1975" s="32">
        <v>4384027</v>
      </c>
      <c r="B1975" s="32" t="s">
        <v>21</v>
      </c>
      <c r="C1975" s="33" t="s">
        <v>19</v>
      </c>
      <c r="D1975" s="35">
        <v>45449</v>
      </c>
      <c r="E1975" s="32" t="s">
        <v>192</v>
      </c>
      <c r="F1975" s="32">
        <v>41001277</v>
      </c>
      <c r="G1975" s="32" t="s">
        <v>466</v>
      </c>
      <c r="H1975" s="26" t="s">
        <v>38</v>
      </c>
      <c r="I1975" s="36">
        <v>80</v>
      </c>
      <c r="J1975" s="32">
        <f>IF(MB25_VOLUMETRIA[[#This Row],[Reserva]]="","",1)</f>
        <v>1</v>
      </c>
      <c r="K1975" s="36" t="str">
        <f>IF(MB25_VOLUMETRIA[[#This Row],[Reserva]]="","",IFERROR(VLOOKUP(MB25_VOLUMETRIA[[#This Row],[UMB]],CHAVE[],2,FALSE),"VERIFICAR"))</f>
        <v>Unidade</v>
      </c>
      <c r="L197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5" s="32" t="str">
        <f ca="1">IFERROR(VLOOKUP(MB25_VOLUMETRIA[[#This Row],[Reserva]],RES_AB[],14,FALSE),"")</f>
        <v>RESERVAS PENDENTES</v>
      </c>
      <c r="N1975" s="32" t="str">
        <f>IF(MB25_VOLUMETRIA[[#This Row],[Cen.]]="","",IFERROR(VLOOKUP(MB25_VOLUMETRIA[[#This Row],[Cen.]],Dados_Empresas[],2,FALSE),"Verificar empresa"))</f>
        <v>NET MASSIVO</v>
      </c>
      <c r="O1975" s="32" t="str">
        <f>IF(MB25_VOLUMETRIA[[#This Row],[EMPRESA]]="","",IF(OR(MB25_VOLUMETRIA[[#This Row],[EMPRESA]]="NET MASSIVO",MB25_VOLUMETRIA[[#This Row],[EMPRESA]]="NET PROJETOS"),"NET","EMPRESARIAL"))</f>
        <v>NET</v>
      </c>
    </row>
    <row r="1976" spans="1:15" x14ac:dyDescent="0.25">
      <c r="A1976" s="32">
        <v>4384027</v>
      </c>
      <c r="B1976" s="32" t="s">
        <v>21</v>
      </c>
      <c r="C1976" s="33" t="s">
        <v>19</v>
      </c>
      <c r="D1976" s="35">
        <v>45449</v>
      </c>
      <c r="E1976" s="32" t="s">
        <v>192</v>
      </c>
      <c r="F1976" s="32">
        <v>41001482</v>
      </c>
      <c r="G1976" s="32" t="s">
        <v>473</v>
      </c>
      <c r="H1976" s="26" t="s">
        <v>38</v>
      </c>
      <c r="I1976" s="36">
        <v>110</v>
      </c>
      <c r="J1976" s="32">
        <f>IF(MB25_VOLUMETRIA[[#This Row],[Reserva]]="","",1)</f>
        <v>1</v>
      </c>
      <c r="K1976" s="36" t="str">
        <f>IF(MB25_VOLUMETRIA[[#This Row],[Reserva]]="","",IFERROR(VLOOKUP(MB25_VOLUMETRIA[[#This Row],[UMB]],CHAVE[],2,FALSE),"VERIFICAR"))</f>
        <v>Unidade</v>
      </c>
      <c r="L197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6" s="32" t="str">
        <f ca="1">IFERROR(VLOOKUP(MB25_VOLUMETRIA[[#This Row],[Reserva]],RES_AB[],14,FALSE),"")</f>
        <v>RESERVAS PENDENTES</v>
      </c>
      <c r="N1976" s="32" t="str">
        <f>IF(MB25_VOLUMETRIA[[#This Row],[Cen.]]="","",IFERROR(VLOOKUP(MB25_VOLUMETRIA[[#This Row],[Cen.]],Dados_Empresas[],2,FALSE),"Verificar empresa"))</f>
        <v>NET MASSIVO</v>
      </c>
      <c r="O1976" s="32" t="str">
        <f>IF(MB25_VOLUMETRIA[[#This Row],[EMPRESA]]="","",IF(OR(MB25_VOLUMETRIA[[#This Row],[EMPRESA]]="NET MASSIVO",MB25_VOLUMETRIA[[#This Row],[EMPRESA]]="NET PROJETOS"),"NET","EMPRESARIAL"))</f>
        <v>NET</v>
      </c>
    </row>
    <row r="1977" spans="1:15" x14ac:dyDescent="0.25">
      <c r="A1977" s="32">
        <v>4384028</v>
      </c>
      <c r="B1977" s="32" t="s">
        <v>21</v>
      </c>
      <c r="C1977" s="33" t="s">
        <v>19</v>
      </c>
      <c r="D1977" s="35">
        <v>45449</v>
      </c>
      <c r="E1977" s="32" t="s">
        <v>192</v>
      </c>
      <c r="F1977" s="32">
        <v>41001234</v>
      </c>
      <c r="G1977" s="32" t="s">
        <v>189</v>
      </c>
      <c r="H1977" s="26" t="s">
        <v>38</v>
      </c>
      <c r="I1977" s="36">
        <v>100</v>
      </c>
      <c r="J1977" s="32">
        <f>IF(MB25_VOLUMETRIA[[#This Row],[Reserva]]="","",1)</f>
        <v>1</v>
      </c>
      <c r="K1977" s="36" t="str">
        <f>IF(MB25_VOLUMETRIA[[#This Row],[Reserva]]="","",IFERROR(VLOOKUP(MB25_VOLUMETRIA[[#This Row],[UMB]],CHAVE[],2,FALSE),"VERIFICAR"))</f>
        <v>Unidade</v>
      </c>
      <c r="L197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7" s="32" t="str">
        <f ca="1">IFERROR(VLOOKUP(MB25_VOLUMETRIA[[#This Row],[Reserva]],RES_AB[],14,FALSE),"")</f>
        <v>RESERVAS PENDENTES</v>
      </c>
      <c r="N1977" s="32" t="str">
        <f>IF(MB25_VOLUMETRIA[[#This Row],[Cen.]]="","",IFERROR(VLOOKUP(MB25_VOLUMETRIA[[#This Row],[Cen.]],Dados_Empresas[],2,FALSE),"Verificar empresa"))</f>
        <v>NET MASSIVO</v>
      </c>
      <c r="O1977" s="32" t="str">
        <f>IF(MB25_VOLUMETRIA[[#This Row],[EMPRESA]]="","",IF(OR(MB25_VOLUMETRIA[[#This Row],[EMPRESA]]="NET MASSIVO",MB25_VOLUMETRIA[[#This Row],[EMPRESA]]="NET PROJETOS"),"NET","EMPRESARIAL"))</f>
        <v>NET</v>
      </c>
    </row>
    <row r="1978" spans="1:15" x14ac:dyDescent="0.25">
      <c r="A1978" s="32">
        <v>4384028</v>
      </c>
      <c r="B1978" s="32" t="s">
        <v>21</v>
      </c>
      <c r="C1978" s="33" t="s">
        <v>19</v>
      </c>
      <c r="D1978" s="35">
        <v>45449</v>
      </c>
      <c r="E1978" s="32" t="s">
        <v>192</v>
      </c>
      <c r="F1978" s="32">
        <v>41001277</v>
      </c>
      <c r="G1978" s="32" t="s">
        <v>466</v>
      </c>
      <c r="H1978" s="26" t="s">
        <v>38</v>
      </c>
      <c r="I1978" s="36">
        <v>100</v>
      </c>
      <c r="J1978" s="32">
        <f>IF(MB25_VOLUMETRIA[[#This Row],[Reserva]]="","",1)</f>
        <v>1</v>
      </c>
      <c r="K1978" s="36" t="str">
        <f>IF(MB25_VOLUMETRIA[[#This Row],[Reserva]]="","",IFERROR(VLOOKUP(MB25_VOLUMETRIA[[#This Row],[UMB]],CHAVE[],2,FALSE),"VERIFICAR"))</f>
        <v>Unidade</v>
      </c>
      <c r="L197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8" s="32" t="str">
        <f ca="1">IFERROR(VLOOKUP(MB25_VOLUMETRIA[[#This Row],[Reserva]],RES_AB[],14,FALSE),"")</f>
        <v>RESERVAS PENDENTES</v>
      </c>
      <c r="N1978" s="32" t="str">
        <f>IF(MB25_VOLUMETRIA[[#This Row],[Cen.]]="","",IFERROR(VLOOKUP(MB25_VOLUMETRIA[[#This Row],[Cen.]],Dados_Empresas[],2,FALSE),"Verificar empresa"))</f>
        <v>NET MASSIVO</v>
      </c>
      <c r="O1978" s="32" t="str">
        <f>IF(MB25_VOLUMETRIA[[#This Row],[EMPRESA]]="","",IF(OR(MB25_VOLUMETRIA[[#This Row],[EMPRESA]]="NET MASSIVO",MB25_VOLUMETRIA[[#This Row],[EMPRESA]]="NET PROJETOS"),"NET","EMPRESARIAL"))</f>
        <v>NET</v>
      </c>
    </row>
    <row r="1979" spans="1:15" x14ac:dyDescent="0.25">
      <c r="A1979" s="32">
        <v>4384028</v>
      </c>
      <c r="B1979" s="32" t="s">
        <v>21</v>
      </c>
      <c r="C1979" s="33" t="s">
        <v>19</v>
      </c>
      <c r="D1979" s="35">
        <v>45449</v>
      </c>
      <c r="E1979" s="32" t="s">
        <v>192</v>
      </c>
      <c r="F1979" s="32">
        <v>41001482</v>
      </c>
      <c r="G1979" s="32" t="s">
        <v>473</v>
      </c>
      <c r="H1979" s="26" t="s">
        <v>38</v>
      </c>
      <c r="I1979" s="36">
        <v>120</v>
      </c>
      <c r="J1979" s="32">
        <f>IF(MB25_VOLUMETRIA[[#This Row],[Reserva]]="","",1)</f>
        <v>1</v>
      </c>
      <c r="K1979" s="36" t="str">
        <f>IF(MB25_VOLUMETRIA[[#This Row],[Reserva]]="","",IFERROR(VLOOKUP(MB25_VOLUMETRIA[[#This Row],[UMB]],CHAVE[],2,FALSE),"VERIFICAR"))</f>
        <v>Unidade</v>
      </c>
      <c r="L197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79" s="32" t="str">
        <f ca="1">IFERROR(VLOOKUP(MB25_VOLUMETRIA[[#This Row],[Reserva]],RES_AB[],14,FALSE),"")</f>
        <v>RESERVAS PENDENTES</v>
      </c>
      <c r="N1979" s="32" t="str">
        <f>IF(MB25_VOLUMETRIA[[#This Row],[Cen.]]="","",IFERROR(VLOOKUP(MB25_VOLUMETRIA[[#This Row],[Cen.]],Dados_Empresas[],2,FALSE),"Verificar empresa"))</f>
        <v>NET MASSIVO</v>
      </c>
      <c r="O1979" s="32" t="str">
        <f>IF(MB25_VOLUMETRIA[[#This Row],[EMPRESA]]="","",IF(OR(MB25_VOLUMETRIA[[#This Row],[EMPRESA]]="NET MASSIVO",MB25_VOLUMETRIA[[#This Row],[EMPRESA]]="NET PROJETOS"),"NET","EMPRESARIAL"))</f>
        <v>NET</v>
      </c>
    </row>
    <row r="1980" spans="1:15" x14ac:dyDescent="0.25">
      <c r="A1980" s="32">
        <v>4384029</v>
      </c>
      <c r="B1980" s="32" t="s">
        <v>21</v>
      </c>
      <c r="C1980" s="33" t="s">
        <v>21</v>
      </c>
      <c r="D1980" s="35">
        <v>45449</v>
      </c>
      <c r="E1980" s="32" t="s">
        <v>192</v>
      </c>
      <c r="F1980" s="32">
        <v>41001535</v>
      </c>
      <c r="G1980" s="32" t="s">
        <v>191</v>
      </c>
      <c r="H1980" s="26" t="s">
        <v>38</v>
      </c>
      <c r="I1980" s="36">
        <v>10</v>
      </c>
      <c r="J1980" s="32">
        <f>IF(MB25_VOLUMETRIA[[#This Row],[Reserva]]="","",1)</f>
        <v>1</v>
      </c>
      <c r="K1980" s="36" t="str">
        <f>IF(MB25_VOLUMETRIA[[#This Row],[Reserva]]="","",IFERROR(VLOOKUP(MB25_VOLUMETRIA[[#This Row],[UMB]],CHAVE[],2,FALSE),"VERIFICAR"))</f>
        <v>Unidade</v>
      </c>
      <c r="L198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0" s="32" t="str">
        <f ca="1">IFERROR(VLOOKUP(MB25_VOLUMETRIA[[#This Row],[Reserva]],RES_AB[],14,FALSE),"")</f>
        <v>RESERVAS PENDENTES</v>
      </c>
      <c r="N1980" s="32" t="str">
        <f>IF(MB25_VOLUMETRIA[[#This Row],[Cen.]]="","",IFERROR(VLOOKUP(MB25_VOLUMETRIA[[#This Row],[Cen.]],Dados_Empresas[],2,FALSE),"Verificar empresa"))</f>
        <v>NET MASSIVO</v>
      </c>
      <c r="O1980" s="32" t="str">
        <f>IF(MB25_VOLUMETRIA[[#This Row],[EMPRESA]]="","",IF(OR(MB25_VOLUMETRIA[[#This Row],[EMPRESA]]="NET MASSIVO",MB25_VOLUMETRIA[[#This Row],[EMPRESA]]="NET PROJETOS"),"NET","EMPRESARIAL"))</f>
        <v>NET</v>
      </c>
    </row>
    <row r="1981" spans="1:15" x14ac:dyDescent="0.25">
      <c r="A1981" s="32">
        <v>4384030</v>
      </c>
      <c r="B1981" s="32" t="s">
        <v>21</v>
      </c>
      <c r="C1981" s="33" t="s">
        <v>21</v>
      </c>
      <c r="D1981" s="35">
        <v>45449</v>
      </c>
      <c r="E1981" s="32" t="s">
        <v>185</v>
      </c>
      <c r="F1981" s="32">
        <v>22026265</v>
      </c>
      <c r="G1981" s="32" t="s">
        <v>222</v>
      </c>
      <c r="H1981" s="26" t="s">
        <v>38</v>
      </c>
      <c r="I1981" s="36">
        <v>500</v>
      </c>
      <c r="J1981" s="32">
        <f>IF(MB25_VOLUMETRIA[[#This Row],[Reserva]]="","",1)</f>
        <v>1</v>
      </c>
      <c r="K1981" s="36" t="str">
        <f>IF(MB25_VOLUMETRIA[[#This Row],[Reserva]]="","",IFERROR(VLOOKUP(MB25_VOLUMETRIA[[#This Row],[UMB]],CHAVE[],2,FALSE),"VERIFICAR"))</f>
        <v>Unidade</v>
      </c>
      <c r="L198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1" s="32" t="str">
        <f ca="1">IFERROR(VLOOKUP(MB25_VOLUMETRIA[[#This Row],[Reserva]],RES_AB[],14,FALSE),"")</f>
        <v>RESERVAS PENDENTES</v>
      </c>
      <c r="N1981" s="32" t="str">
        <f>IF(MB25_VOLUMETRIA[[#This Row],[Cen.]]="","",IFERROR(VLOOKUP(MB25_VOLUMETRIA[[#This Row],[Cen.]],Dados_Empresas[],2,FALSE),"Verificar empresa"))</f>
        <v>NET MASSIVO</v>
      </c>
      <c r="O1981" s="32" t="str">
        <f>IF(MB25_VOLUMETRIA[[#This Row],[EMPRESA]]="","",IF(OR(MB25_VOLUMETRIA[[#This Row],[EMPRESA]]="NET MASSIVO",MB25_VOLUMETRIA[[#This Row],[EMPRESA]]="NET PROJETOS"),"NET","EMPRESARIAL"))</f>
        <v>NET</v>
      </c>
    </row>
    <row r="1982" spans="1:15" x14ac:dyDescent="0.25">
      <c r="A1982" s="32">
        <v>4384030</v>
      </c>
      <c r="B1982" s="32" t="s">
        <v>21</v>
      </c>
      <c r="C1982" s="33" t="s">
        <v>21</v>
      </c>
      <c r="D1982" s="35">
        <v>45449</v>
      </c>
      <c r="E1982" s="32" t="s">
        <v>185</v>
      </c>
      <c r="F1982" s="32">
        <v>22056369</v>
      </c>
      <c r="G1982" s="32" t="s">
        <v>194</v>
      </c>
      <c r="H1982" s="26" t="s">
        <v>38</v>
      </c>
      <c r="I1982" s="36">
        <v>400</v>
      </c>
      <c r="J1982" s="32">
        <f>IF(MB25_VOLUMETRIA[[#This Row],[Reserva]]="","",1)</f>
        <v>1</v>
      </c>
      <c r="K1982" s="36" t="str">
        <f>IF(MB25_VOLUMETRIA[[#This Row],[Reserva]]="","",IFERROR(VLOOKUP(MB25_VOLUMETRIA[[#This Row],[UMB]],CHAVE[],2,FALSE),"VERIFICAR"))</f>
        <v>Unidade</v>
      </c>
      <c r="L198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2" s="32" t="str">
        <f ca="1">IFERROR(VLOOKUP(MB25_VOLUMETRIA[[#This Row],[Reserva]],RES_AB[],14,FALSE),"")</f>
        <v>RESERVAS PENDENTES</v>
      </c>
      <c r="N1982" s="32" t="str">
        <f>IF(MB25_VOLUMETRIA[[#This Row],[Cen.]]="","",IFERROR(VLOOKUP(MB25_VOLUMETRIA[[#This Row],[Cen.]],Dados_Empresas[],2,FALSE),"Verificar empresa"))</f>
        <v>NET MASSIVO</v>
      </c>
      <c r="O1982" s="32" t="str">
        <f>IF(MB25_VOLUMETRIA[[#This Row],[EMPRESA]]="","",IF(OR(MB25_VOLUMETRIA[[#This Row],[EMPRESA]]="NET MASSIVO",MB25_VOLUMETRIA[[#This Row],[EMPRESA]]="NET PROJETOS"),"NET","EMPRESARIAL"))</f>
        <v>NET</v>
      </c>
    </row>
    <row r="1983" spans="1:15" x14ac:dyDescent="0.25">
      <c r="A1983" s="32">
        <v>4384030</v>
      </c>
      <c r="B1983" s="32" t="s">
        <v>21</v>
      </c>
      <c r="C1983" s="33" t="s">
        <v>21</v>
      </c>
      <c r="D1983" s="35">
        <v>45449</v>
      </c>
      <c r="E1983" s="32" t="s">
        <v>185</v>
      </c>
      <c r="F1983" s="32">
        <v>22057620</v>
      </c>
      <c r="G1983" s="32" t="s">
        <v>253</v>
      </c>
      <c r="H1983" s="26" t="s">
        <v>38</v>
      </c>
      <c r="I1983" s="36">
        <v>200</v>
      </c>
      <c r="J1983" s="32">
        <f>IF(MB25_VOLUMETRIA[[#This Row],[Reserva]]="","",1)</f>
        <v>1</v>
      </c>
      <c r="K1983" s="36" t="str">
        <f>IF(MB25_VOLUMETRIA[[#This Row],[Reserva]]="","",IFERROR(VLOOKUP(MB25_VOLUMETRIA[[#This Row],[UMB]],CHAVE[],2,FALSE),"VERIFICAR"))</f>
        <v>Unidade</v>
      </c>
      <c r="L198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3" s="32" t="str">
        <f ca="1">IFERROR(VLOOKUP(MB25_VOLUMETRIA[[#This Row],[Reserva]],RES_AB[],14,FALSE),"")</f>
        <v>RESERVAS PENDENTES</v>
      </c>
      <c r="N1983" s="32" t="str">
        <f>IF(MB25_VOLUMETRIA[[#This Row],[Cen.]]="","",IFERROR(VLOOKUP(MB25_VOLUMETRIA[[#This Row],[Cen.]],Dados_Empresas[],2,FALSE),"Verificar empresa"))</f>
        <v>NET MASSIVO</v>
      </c>
      <c r="O1983" s="32" t="str">
        <f>IF(MB25_VOLUMETRIA[[#This Row],[EMPRESA]]="","",IF(OR(MB25_VOLUMETRIA[[#This Row],[EMPRESA]]="NET MASSIVO",MB25_VOLUMETRIA[[#This Row],[EMPRESA]]="NET PROJETOS"),"NET","EMPRESARIAL"))</f>
        <v>NET</v>
      </c>
    </row>
    <row r="1984" spans="1:15" x14ac:dyDescent="0.25">
      <c r="A1984" s="32">
        <v>4384030</v>
      </c>
      <c r="B1984" s="32" t="s">
        <v>21</v>
      </c>
      <c r="C1984" s="33" t="s">
        <v>21</v>
      </c>
      <c r="D1984" s="35">
        <v>45449</v>
      </c>
      <c r="E1984" s="32" t="s">
        <v>185</v>
      </c>
      <c r="F1984" s="32">
        <v>22061736</v>
      </c>
      <c r="G1984" s="32" t="s">
        <v>216</v>
      </c>
      <c r="H1984" s="26" t="s">
        <v>38</v>
      </c>
      <c r="I1984" s="36">
        <v>500</v>
      </c>
      <c r="J1984" s="32">
        <f>IF(MB25_VOLUMETRIA[[#This Row],[Reserva]]="","",1)</f>
        <v>1</v>
      </c>
      <c r="K1984" s="36" t="str">
        <f>IF(MB25_VOLUMETRIA[[#This Row],[Reserva]]="","",IFERROR(VLOOKUP(MB25_VOLUMETRIA[[#This Row],[UMB]],CHAVE[],2,FALSE),"VERIFICAR"))</f>
        <v>Unidade</v>
      </c>
      <c r="L1984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4" s="32" t="str">
        <f ca="1">IFERROR(VLOOKUP(MB25_VOLUMETRIA[[#This Row],[Reserva]],RES_AB[],14,FALSE),"")</f>
        <v>RESERVAS PENDENTES</v>
      </c>
      <c r="N1984" s="32" t="str">
        <f>IF(MB25_VOLUMETRIA[[#This Row],[Cen.]]="","",IFERROR(VLOOKUP(MB25_VOLUMETRIA[[#This Row],[Cen.]],Dados_Empresas[],2,FALSE),"Verificar empresa"))</f>
        <v>NET MASSIVO</v>
      </c>
      <c r="O1984" s="32" t="str">
        <f>IF(MB25_VOLUMETRIA[[#This Row],[EMPRESA]]="","",IF(OR(MB25_VOLUMETRIA[[#This Row],[EMPRESA]]="NET MASSIVO",MB25_VOLUMETRIA[[#This Row],[EMPRESA]]="NET PROJETOS"),"NET","EMPRESARIAL"))</f>
        <v>NET</v>
      </c>
    </row>
    <row r="1985" spans="1:15" x14ac:dyDescent="0.25">
      <c r="A1985" s="32">
        <v>4384030</v>
      </c>
      <c r="B1985" s="32" t="s">
        <v>21</v>
      </c>
      <c r="C1985" s="33" t="s">
        <v>21</v>
      </c>
      <c r="D1985" s="35">
        <v>45449</v>
      </c>
      <c r="E1985" s="32" t="s">
        <v>185</v>
      </c>
      <c r="F1985" s="32">
        <v>22061811</v>
      </c>
      <c r="G1985" s="32" t="s">
        <v>226</v>
      </c>
      <c r="H1985" s="26" t="s">
        <v>38</v>
      </c>
      <c r="I1985" s="36">
        <v>200</v>
      </c>
      <c r="J1985" s="32">
        <f>IF(MB25_VOLUMETRIA[[#This Row],[Reserva]]="","",1)</f>
        <v>1</v>
      </c>
      <c r="K1985" s="36" t="str">
        <f>IF(MB25_VOLUMETRIA[[#This Row],[Reserva]]="","",IFERROR(VLOOKUP(MB25_VOLUMETRIA[[#This Row],[UMB]],CHAVE[],2,FALSE),"VERIFICAR"))</f>
        <v>Unidade</v>
      </c>
      <c r="L1985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5" s="32" t="str">
        <f ca="1">IFERROR(VLOOKUP(MB25_VOLUMETRIA[[#This Row],[Reserva]],RES_AB[],14,FALSE),"")</f>
        <v>RESERVAS PENDENTES</v>
      </c>
      <c r="N1985" s="32" t="str">
        <f>IF(MB25_VOLUMETRIA[[#This Row],[Cen.]]="","",IFERROR(VLOOKUP(MB25_VOLUMETRIA[[#This Row],[Cen.]],Dados_Empresas[],2,FALSE),"Verificar empresa"))</f>
        <v>NET MASSIVO</v>
      </c>
      <c r="O1985" s="32" t="str">
        <f>IF(MB25_VOLUMETRIA[[#This Row],[EMPRESA]]="","",IF(OR(MB25_VOLUMETRIA[[#This Row],[EMPRESA]]="NET MASSIVO",MB25_VOLUMETRIA[[#This Row],[EMPRESA]]="NET PROJETOS"),"NET","EMPRESARIAL"))</f>
        <v>NET</v>
      </c>
    </row>
    <row r="1986" spans="1:15" x14ac:dyDescent="0.25">
      <c r="A1986" s="32">
        <v>4384123</v>
      </c>
      <c r="B1986" s="32" t="s">
        <v>21</v>
      </c>
      <c r="C1986" s="33" t="s">
        <v>541</v>
      </c>
      <c r="D1986" s="35">
        <v>45450</v>
      </c>
      <c r="E1986" s="32" t="s">
        <v>540</v>
      </c>
      <c r="F1986" s="32">
        <v>30030530</v>
      </c>
      <c r="G1986" s="32" t="s">
        <v>542</v>
      </c>
      <c r="H1986" s="26" t="s">
        <v>38</v>
      </c>
      <c r="I1986" s="36">
        <v>4</v>
      </c>
      <c r="J1986" s="32">
        <f>IF(MB25_VOLUMETRIA[[#This Row],[Reserva]]="","",1)</f>
        <v>1</v>
      </c>
      <c r="K1986" s="36" t="str">
        <f>IF(MB25_VOLUMETRIA[[#This Row],[Reserva]]="","",IFERROR(VLOOKUP(MB25_VOLUMETRIA[[#This Row],[UMB]],CHAVE[],2,FALSE),"VERIFICAR"))</f>
        <v>Unidade</v>
      </c>
      <c r="L1986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6" s="32" t="str">
        <f ca="1">IFERROR(VLOOKUP(MB25_VOLUMETRIA[[#This Row],[Reserva]],RES_AB[],14,FALSE),"")</f>
        <v>RESERVAS PENDENTES</v>
      </c>
      <c r="N1986" s="32" t="str">
        <f>IF(MB25_VOLUMETRIA[[#This Row],[Cen.]]="","",IFERROR(VLOOKUP(MB25_VOLUMETRIA[[#This Row],[Cen.]],Dados_Empresas[],2,FALSE),"Verificar empresa"))</f>
        <v>NET MASSIVO</v>
      </c>
      <c r="O1986" s="32" t="str">
        <f>IF(MB25_VOLUMETRIA[[#This Row],[EMPRESA]]="","",IF(OR(MB25_VOLUMETRIA[[#This Row],[EMPRESA]]="NET MASSIVO",MB25_VOLUMETRIA[[#This Row],[EMPRESA]]="NET PROJETOS"),"NET","EMPRESARIAL"))</f>
        <v>NET</v>
      </c>
    </row>
    <row r="1987" spans="1:15" x14ac:dyDescent="0.25">
      <c r="A1987" s="32">
        <v>4384123</v>
      </c>
      <c r="B1987" s="32" t="s">
        <v>21</v>
      </c>
      <c r="C1987" s="33" t="s">
        <v>541</v>
      </c>
      <c r="D1987" s="35">
        <v>45450</v>
      </c>
      <c r="E1987" s="32" t="s">
        <v>540</v>
      </c>
      <c r="F1987" s="32">
        <v>30030910</v>
      </c>
      <c r="G1987" s="32" t="s">
        <v>543</v>
      </c>
      <c r="H1987" s="26" t="s">
        <v>38</v>
      </c>
      <c r="I1987" s="36">
        <v>3</v>
      </c>
      <c r="J1987" s="32">
        <f>IF(MB25_VOLUMETRIA[[#This Row],[Reserva]]="","",1)</f>
        <v>1</v>
      </c>
      <c r="K1987" s="36" t="str">
        <f>IF(MB25_VOLUMETRIA[[#This Row],[Reserva]]="","",IFERROR(VLOOKUP(MB25_VOLUMETRIA[[#This Row],[UMB]],CHAVE[],2,FALSE),"VERIFICAR"))</f>
        <v>Unidade</v>
      </c>
      <c r="L1987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7" s="32" t="str">
        <f ca="1">IFERROR(VLOOKUP(MB25_VOLUMETRIA[[#This Row],[Reserva]],RES_AB[],14,FALSE),"")</f>
        <v>RESERVAS PENDENTES</v>
      </c>
      <c r="N1987" s="32" t="str">
        <f>IF(MB25_VOLUMETRIA[[#This Row],[Cen.]]="","",IFERROR(VLOOKUP(MB25_VOLUMETRIA[[#This Row],[Cen.]],Dados_Empresas[],2,FALSE),"Verificar empresa"))</f>
        <v>NET MASSIVO</v>
      </c>
      <c r="O1987" s="32" t="str">
        <f>IF(MB25_VOLUMETRIA[[#This Row],[EMPRESA]]="","",IF(OR(MB25_VOLUMETRIA[[#This Row],[EMPRESA]]="NET MASSIVO",MB25_VOLUMETRIA[[#This Row],[EMPRESA]]="NET PROJETOS"),"NET","EMPRESARIAL"))</f>
        <v>NET</v>
      </c>
    </row>
    <row r="1988" spans="1:15" x14ac:dyDescent="0.25">
      <c r="A1988" s="32">
        <v>4384123</v>
      </c>
      <c r="B1988" s="32" t="s">
        <v>21</v>
      </c>
      <c r="C1988" s="33" t="s">
        <v>541</v>
      </c>
      <c r="D1988" s="35">
        <v>45450</v>
      </c>
      <c r="E1988" s="32" t="s">
        <v>540</v>
      </c>
      <c r="F1988" s="32">
        <v>30031088</v>
      </c>
      <c r="G1988" s="32" t="s">
        <v>544</v>
      </c>
      <c r="H1988" s="26" t="s">
        <v>38</v>
      </c>
      <c r="I1988" s="36">
        <v>10</v>
      </c>
      <c r="J1988" s="32">
        <f>IF(MB25_VOLUMETRIA[[#This Row],[Reserva]]="","",1)</f>
        <v>1</v>
      </c>
      <c r="K1988" s="36" t="str">
        <f>IF(MB25_VOLUMETRIA[[#This Row],[Reserva]]="","",IFERROR(VLOOKUP(MB25_VOLUMETRIA[[#This Row],[UMB]],CHAVE[],2,FALSE),"VERIFICAR"))</f>
        <v>Unidade</v>
      </c>
      <c r="L1988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8" s="32" t="str">
        <f ca="1">IFERROR(VLOOKUP(MB25_VOLUMETRIA[[#This Row],[Reserva]],RES_AB[],14,FALSE),"")</f>
        <v>RESERVAS PENDENTES</v>
      </c>
      <c r="N1988" s="32" t="str">
        <f>IF(MB25_VOLUMETRIA[[#This Row],[Cen.]]="","",IFERROR(VLOOKUP(MB25_VOLUMETRIA[[#This Row],[Cen.]],Dados_Empresas[],2,FALSE),"Verificar empresa"))</f>
        <v>NET MASSIVO</v>
      </c>
      <c r="O1988" s="32" t="str">
        <f>IF(MB25_VOLUMETRIA[[#This Row],[EMPRESA]]="","",IF(OR(MB25_VOLUMETRIA[[#This Row],[EMPRESA]]="NET MASSIVO",MB25_VOLUMETRIA[[#This Row],[EMPRESA]]="NET PROJETOS"),"NET","EMPRESARIAL"))</f>
        <v>NET</v>
      </c>
    </row>
    <row r="1989" spans="1:15" x14ac:dyDescent="0.25">
      <c r="A1989" s="32">
        <v>4384124</v>
      </c>
      <c r="B1989" s="32" t="s">
        <v>21</v>
      </c>
      <c r="C1989" s="33" t="s">
        <v>541</v>
      </c>
      <c r="D1989" s="35">
        <v>45450</v>
      </c>
      <c r="E1989" s="32" t="s">
        <v>540</v>
      </c>
      <c r="F1989" s="32">
        <v>30034057</v>
      </c>
      <c r="G1989" s="32" t="s">
        <v>545</v>
      </c>
      <c r="H1989" s="26" t="s">
        <v>38</v>
      </c>
      <c r="I1989" s="36">
        <v>9</v>
      </c>
      <c r="J1989" s="32">
        <f>IF(MB25_VOLUMETRIA[[#This Row],[Reserva]]="","",1)</f>
        <v>1</v>
      </c>
      <c r="K1989" s="36" t="str">
        <f>IF(MB25_VOLUMETRIA[[#This Row],[Reserva]]="","",IFERROR(VLOOKUP(MB25_VOLUMETRIA[[#This Row],[UMB]],CHAVE[],2,FALSE),"VERIFICAR"))</f>
        <v>Unidade</v>
      </c>
      <c r="L1989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89" s="32" t="str">
        <f ca="1">IFERROR(VLOOKUP(MB25_VOLUMETRIA[[#This Row],[Reserva]],RES_AB[],14,FALSE),"")</f>
        <v>RESERVAS PENDENTES</v>
      </c>
      <c r="N1989" s="32" t="str">
        <f>IF(MB25_VOLUMETRIA[[#This Row],[Cen.]]="","",IFERROR(VLOOKUP(MB25_VOLUMETRIA[[#This Row],[Cen.]],Dados_Empresas[],2,FALSE),"Verificar empresa"))</f>
        <v>NET MASSIVO</v>
      </c>
      <c r="O1989" s="32" t="str">
        <f>IF(MB25_VOLUMETRIA[[#This Row],[EMPRESA]]="","",IF(OR(MB25_VOLUMETRIA[[#This Row],[EMPRESA]]="NET MASSIVO",MB25_VOLUMETRIA[[#This Row],[EMPRESA]]="NET PROJETOS"),"NET","EMPRESARIAL"))</f>
        <v>NET</v>
      </c>
    </row>
    <row r="1990" spans="1:15" x14ac:dyDescent="0.25">
      <c r="A1990" s="32">
        <v>4384322</v>
      </c>
      <c r="B1990" s="32" t="s">
        <v>21</v>
      </c>
      <c r="C1990" s="33" t="s">
        <v>541</v>
      </c>
      <c r="D1990" s="35">
        <v>45450</v>
      </c>
      <c r="E1990" s="32" t="s">
        <v>540</v>
      </c>
      <c r="F1990" s="32">
        <v>30030828</v>
      </c>
      <c r="G1990" s="32" t="s">
        <v>546</v>
      </c>
      <c r="H1990" s="26" t="s">
        <v>38</v>
      </c>
      <c r="I1990" s="36">
        <v>4</v>
      </c>
      <c r="J1990" s="32">
        <f>IF(MB25_VOLUMETRIA[[#This Row],[Reserva]]="","",1)</f>
        <v>1</v>
      </c>
      <c r="K1990" s="36" t="str">
        <f>IF(MB25_VOLUMETRIA[[#This Row],[Reserva]]="","",IFERROR(VLOOKUP(MB25_VOLUMETRIA[[#This Row],[UMB]],CHAVE[],2,FALSE),"VERIFICAR"))</f>
        <v>Unidade</v>
      </c>
      <c r="L1990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0" s="32" t="str">
        <f ca="1">IFERROR(VLOOKUP(MB25_VOLUMETRIA[[#This Row],[Reserva]],RES_AB[],14,FALSE),"")</f>
        <v>RESERVAS PENDENTES</v>
      </c>
      <c r="N1990" s="32" t="str">
        <f>IF(MB25_VOLUMETRIA[[#This Row],[Cen.]]="","",IFERROR(VLOOKUP(MB25_VOLUMETRIA[[#This Row],[Cen.]],Dados_Empresas[],2,FALSE),"Verificar empresa"))</f>
        <v>NET MASSIVO</v>
      </c>
      <c r="O1990" s="32" t="str">
        <f>IF(MB25_VOLUMETRIA[[#This Row],[EMPRESA]]="","",IF(OR(MB25_VOLUMETRIA[[#This Row],[EMPRESA]]="NET MASSIVO",MB25_VOLUMETRIA[[#This Row],[EMPRESA]]="NET PROJETOS"),"NET","EMPRESARIAL"))</f>
        <v>NET</v>
      </c>
    </row>
    <row r="1991" spans="1:15" x14ac:dyDescent="0.25">
      <c r="A1991" s="32">
        <v>4384322</v>
      </c>
      <c r="B1991" s="32" t="s">
        <v>21</v>
      </c>
      <c r="C1991" s="33" t="s">
        <v>541</v>
      </c>
      <c r="D1991" s="35">
        <v>45450</v>
      </c>
      <c r="E1991" s="32" t="s">
        <v>540</v>
      </c>
      <c r="F1991" s="32">
        <v>30030830</v>
      </c>
      <c r="G1991" s="32" t="s">
        <v>547</v>
      </c>
      <c r="H1991" s="26" t="s">
        <v>38</v>
      </c>
      <c r="I1991" s="36">
        <v>13</v>
      </c>
      <c r="J1991" s="32">
        <f>IF(MB25_VOLUMETRIA[[#This Row],[Reserva]]="","",1)</f>
        <v>1</v>
      </c>
      <c r="K1991" s="36" t="str">
        <f>IF(MB25_VOLUMETRIA[[#This Row],[Reserva]]="","",IFERROR(VLOOKUP(MB25_VOLUMETRIA[[#This Row],[UMB]],CHAVE[],2,FALSE),"VERIFICAR"))</f>
        <v>Unidade</v>
      </c>
      <c r="L1991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1" s="32" t="str">
        <f ca="1">IFERROR(VLOOKUP(MB25_VOLUMETRIA[[#This Row],[Reserva]],RES_AB[],14,FALSE),"")</f>
        <v>RESERVAS PENDENTES</v>
      </c>
      <c r="N1991" s="32" t="str">
        <f>IF(MB25_VOLUMETRIA[[#This Row],[Cen.]]="","",IFERROR(VLOOKUP(MB25_VOLUMETRIA[[#This Row],[Cen.]],Dados_Empresas[],2,FALSE),"Verificar empresa"))</f>
        <v>NET MASSIVO</v>
      </c>
      <c r="O1991" s="32" t="str">
        <f>IF(MB25_VOLUMETRIA[[#This Row],[EMPRESA]]="","",IF(OR(MB25_VOLUMETRIA[[#This Row],[EMPRESA]]="NET MASSIVO",MB25_VOLUMETRIA[[#This Row],[EMPRESA]]="NET PROJETOS"),"NET","EMPRESARIAL"))</f>
        <v>NET</v>
      </c>
    </row>
    <row r="1992" spans="1:15" x14ac:dyDescent="0.25">
      <c r="A1992" s="32">
        <v>4384322</v>
      </c>
      <c r="B1992" s="32" t="s">
        <v>21</v>
      </c>
      <c r="C1992" s="33" t="s">
        <v>541</v>
      </c>
      <c r="D1992" s="35">
        <v>45450</v>
      </c>
      <c r="E1992" s="32" t="s">
        <v>540</v>
      </c>
      <c r="F1992" s="32">
        <v>30030989</v>
      </c>
      <c r="G1992" s="32" t="s">
        <v>548</v>
      </c>
      <c r="H1992" s="26" t="s">
        <v>38</v>
      </c>
      <c r="I1992" s="36">
        <v>7</v>
      </c>
      <c r="J1992" s="32">
        <f>IF(MB25_VOLUMETRIA[[#This Row],[Reserva]]="","",1)</f>
        <v>1</v>
      </c>
      <c r="K1992" s="36" t="str">
        <f>IF(MB25_VOLUMETRIA[[#This Row],[Reserva]]="","",IFERROR(VLOOKUP(MB25_VOLUMETRIA[[#This Row],[UMB]],CHAVE[],2,FALSE),"VERIFICAR"))</f>
        <v>Unidade</v>
      </c>
      <c r="L1992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2" s="32" t="str">
        <f ca="1">IFERROR(VLOOKUP(MB25_VOLUMETRIA[[#This Row],[Reserva]],RES_AB[],14,FALSE),"")</f>
        <v>RESERVAS PENDENTES</v>
      </c>
      <c r="N1992" s="32" t="str">
        <f>IF(MB25_VOLUMETRIA[[#This Row],[Cen.]]="","",IFERROR(VLOOKUP(MB25_VOLUMETRIA[[#This Row],[Cen.]],Dados_Empresas[],2,FALSE),"Verificar empresa"))</f>
        <v>NET MASSIVO</v>
      </c>
      <c r="O1992" s="32" t="str">
        <f>IF(MB25_VOLUMETRIA[[#This Row],[EMPRESA]]="","",IF(OR(MB25_VOLUMETRIA[[#This Row],[EMPRESA]]="NET MASSIVO",MB25_VOLUMETRIA[[#This Row],[EMPRESA]]="NET PROJETOS"),"NET","EMPRESARIAL"))</f>
        <v>NET</v>
      </c>
    </row>
    <row r="1993" spans="1:15" x14ac:dyDescent="0.25">
      <c r="A1993" s="32">
        <v>4384322</v>
      </c>
      <c r="B1993" s="32" t="s">
        <v>21</v>
      </c>
      <c r="C1993" s="33" t="s">
        <v>541</v>
      </c>
      <c r="D1993" s="35">
        <v>45450</v>
      </c>
      <c r="E1993" s="32" t="s">
        <v>540</v>
      </c>
      <c r="F1993" s="32">
        <v>30030990</v>
      </c>
      <c r="G1993" s="32" t="s">
        <v>549</v>
      </c>
      <c r="H1993" s="26" t="s">
        <v>38</v>
      </c>
      <c r="I1993" s="36">
        <v>4</v>
      </c>
      <c r="J1993" s="32">
        <f>IF(MB25_VOLUMETRIA[[#This Row],[Reserva]]="","",1)</f>
        <v>1</v>
      </c>
      <c r="K1993" s="36" t="str">
        <f>IF(MB25_VOLUMETRIA[[#This Row],[Reserva]]="","",IFERROR(VLOOKUP(MB25_VOLUMETRIA[[#This Row],[UMB]],CHAVE[],2,FALSE),"VERIFICAR"))</f>
        <v>Unidade</v>
      </c>
      <c r="L1993" s="32" t="str">
        <f>IF(MB25_VOLUMETRIA[[#This Row],[Reserva]]="","",IFERROR(VLOOKUP(MB25_VOLUMETRIA[[#This Row],[Reserva]],Tabela3[[Reserva]:[Condição para Faturamento]],20,FALSE),"IMPORTADO COM SUCESSO"))</f>
        <v>IMPORTADO COM SUCESSO</v>
      </c>
      <c r="M1993" s="32" t="str">
        <f ca="1">IFERROR(VLOOKUP(MB25_VOLUMETRIA[[#This Row],[Reserva]],RES_AB[],14,FALSE),"")</f>
        <v>RESERVAS PENDENTES</v>
      </c>
      <c r="N1993" s="32" t="str">
        <f>IF(MB25_VOLUMETRIA[[#This Row],[Cen.]]="","",IFERROR(VLOOKUP(MB25_VOLUMETRIA[[#This Row],[Cen.]],Dados_Empresas[],2,FALSE),"Verificar empresa"))</f>
        <v>NET MASSIVO</v>
      </c>
      <c r="O1993" s="32" t="str">
        <f>IF(MB25_VOLUMETRIA[[#This Row],[EMPRESA]]="","",IF(OR(MB25_VOLUMETRIA[[#This Row],[EMPRESA]]="NET MASSIVO",MB25_VOLUMETRIA[[#This Row],[EMPRESA]]="NET PROJETOS"),"NET","EMPRESARIAL"))</f>
        <v>NET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ZT"/>
  <dimension ref="A1:U570"/>
  <sheetViews>
    <sheetView showGridLines="0" topLeftCell="M1" workbookViewId="0">
      <selection activeCell="U1" sqref="U1"/>
    </sheetView>
  </sheetViews>
  <sheetFormatPr defaultColWidth="8.28515625" defaultRowHeight="15" x14ac:dyDescent="0.25"/>
  <cols>
    <col min="1" max="1" width="14.5703125" bestFit="1" customWidth="1"/>
    <col min="2" max="2" width="12.5703125" bestFit="1" customWidth="1"/>
    <col min="3" max="3" width="11.5703125" bestFit="1" customWidth="1"/>
    <col min="4" max="4" width="13.5703125" bestFit="1" customWidth="1"/>
    <col min="5" max="5" width="11.7109375" bestFit="1" customWidth="1"/>
    <col min="6" max="6" width="26.140625" bestFit="1" customWidth="1"/>
    <col min="7" max="7" width="10.7109375" bestFit="1" customWidth="1"/>
    <col min="8" max="8" width="9.7109375" bestFit="1" customWidth="1"/>
    <col min="9" max="10" width="14.28515625" bestFit="1" customWidth="1"/>
    <col min="11" max="11" width="12.42578125" bestFit="1" customWidth="1"/>
    <col min="12" max="12" width="12.7109375" bestFit="1" customWidth="1"/>
    <col min="13" max="13" width="11" bestFit="1" customWidth="1"/>
    <col min="14" max="14" width="12.140625" bestFit="1" customWidth="1"/>
    <col min="15" max="15" width="13.42578125" bestFit="1" customWidth="1"/>
    <col min="16" max="16" width="16.42578125" bestFit="1" customWidth="1"/>
    <col min="17" max="17" width="13.42578125" bestFit="1" customWidth="1"/>
    <col min="18" max="20" width="14.28515625" bestFit="1" customWidth="1"/>
    <col min="21" max="21" width="26.140625" bestFit="1" customWidth="1"/>
  </cols>
  <sheetData>
    <row r="1" spans="1:21" x14ac:dyDescent="0.25">
      <c r="A1" t="s">
        <v>39</v>
      </c>
      <c r="B1" t="s">
        <v>0</v>
      </c>
      <c r="C1" t="s">
        <v>27</v>
      </c>
      <c r="D1" t="s">
        <v>40</v>
      </c>
      <c r="E1" t="s">
        <v>41</v>
      </c>
      <c r="F1" t="s">
        <v>42</v>
      </c>
      <c r="G1" t="s">
        <v>43</v>
      </c>
      <c r="H1" t="s">
        <v>23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</row>
    <row r="2" spans="1:21" x14ac:dyDescent="0.25">
      <c r="A2">
        <v>9</v>
      </c>
      <c r="B2">
        <v>4378021</v>
      </c>
      <c r="C2" t="s">
        <v>18</v>
      </c>
      <c r="D2" t="s">
        <v>18</v>
      </c>
      <c r="E2">
        <v>7</v>
      </c>
      <c r="F2" t="s">
        <v>161</v>
      </c>
      <c r="G2" s="41" t="s">
        <v>381</v>
      </c>
      <c r="H2" s="42">
        <v>0.45636574074074077</v>
      </c>
      <c r="I2" s="41" t="s">
        <v>381</v>
      </c>
      <c r="J2" s="42">
        <v>0.45637731481481481</v>
      </c>
      <c r="K2" t="s">
        <v>58</v>
      </c>
      <c r="U2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3" spans="1:21" x14ac:dyDescent="0.25">
      <c r="A3">
        <v>6</v>
      </c>
      <c r="B3">
        <v>4378638</v>
      </c>
      <c r="C3" t="s">
        <v>21</v>
      </c>
      <c r="D3" t="s">
        <v>19</v>
      </c>
      <c r="E3">
        <v>12</v>
      </c>
      <c r="F3" t="s">
        <v>59</v>
      </c>
      <c r="G3" s="41" t="s">
        <v>477</v>
      </c>
      <c r="H3" s="42">
        <v>0.35011574074074076</v>
      </c>
      <c r="I3" s="41" t="s">
        <v>477</v>
      </c>
      <c r="J3" s="42">
        <v>0.35635416666666669</v>
      </c>
      <c r="K3" t="s">
        <v>58</v>
      </c>
      <c r="U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" spans="1:21" x14ac:dyDescent="0.25">
      <c r="A4">
        <v>7</v>
      </c>
      <c r="B4">
        <v>4379075</v>
      </c>
      <c r="C4" t="s">
        <v>20</v>
      </c>
      <c r="D4" t="s">
        <v>20</v>
      </c>
      <c r="E4">
        <v>12</v>
      </c>
      <c r="F4" t="s">
        <v>59</v>
      </c>
      <c r="G4" s="41" t="s">
        <v>414</v>
      </c>
      <c r="H4" s="42">
        <v>0.65231481481481479</v>
      </c>
      <c r="I4" s="41" t="s">
        <v>414</v>
      </c>
      <c r="J4" s="42">
        <v>0.6655092592592593</v>
      </c>
      <c r="K4" t="s">
        <v>58</v>
      </c>
      <c r="U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" spans="1:21" x14ac:dyDescent="0.25">
      <c r="A5">
        <v>7</v>
      </c>
      <c r="B5">
        <v>4379076</v>
      </c>
      <c r="C5" t="s">
        <v>20</v>
      </c>
      <c r="D5" t="s">
        <v>20</v>
      </c>
      <c r="E5">
        <v>12</v>
      </c>
      <c r="F5" t="s">
        <v>59</v>
      </c>
      <c r="G5" s="41" t="s">
        <v>414</v>
      </c>
      <c r="H5" s="42">
        <v>0.63900462962962967</v>
      </c>
      <c r="I5" s="41" t="s">
        <v>414</v>
      </c>
      <c r="J5" s="42">
        <v>0.66554398148148153</v>
      </c>
      <c r="K5" t="s">
        <v>58</v>
      </c>
      <c r="U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6" spans="1:21" x14ac:dyDescent="0.25">
      <c r="A6">
        <v>10</v>
      </c>
      <c r="B6">
        <v>4379569</v>
      </c>
      <c r="C6" t="s">
        <v>18</v>
      </c>
      <c r="D6" t="s">
        <v>18</v>
      </c>
      <c r="E6">
        <v>7</v>
      </c>
      <c r="F6" t="s">
        <v>161</v>
      </c>
      <c r="G6" s="41" t="s">
        <v>414</v>
      </c>
      <c r="H6" s="42">
        <v>0.36759259259259258</v>
      </c>
      <c r="I6" s="41" t="s">
        <v>414</v>
      </c>
      <c r="J6" s="42">
        <v>0.36770833333333336</v>
      </c>
      <c r="K6" t="s">
        <v>58</v>
      </c>
      <c r="U6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7" spans="1:21" x14ac:dyDescent="0.25">
      <c r="A7">
        <v>5</v>
      </c>
      <c r="B7">
        <v>4379585</v>
      </c>
      <c r="C7" t="s">
        <v>21</v>
      </c>
      <c r="D7" t="s">
        <v>19</v>
      </c>
      <c r="E7">
        <v>12</v>
      </c>
      <c r="F7" t="s">
        <v>59</v>
      </c>
      <c r="G7" s="41" t="s">
        <v>477</v>
      </c>
      <c r="H7" s="42">
        <v>0.36180555555555555</v>
      </c>
      <c r="I7" s="41" t="s">
        <v>477</v>
      </c>
      <c r="J7" s="42">
        <v>0.36745370370370373</v>
      </c>
      <c r="K7" t="s">
        <v>58</v>
      </c>
      <c r="U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8" spans="1:21" x14ac:dyDescent="0.25">
      <c r="A8">
        <v>3</v>
      </c>
      <c r="B8">
        <v>4379590</v>
      </c>
      <c r="C8" t="s">
        <v>21</v>
      </c>
      <c r="D8" t="s">
        <v>19</v>
      </c>
      <c r="E8">
        <v>10</v>
      </c>
      <c r="F8" t="s">
        <v>61</v>
      </c>
      <c r="G8" s="41" t="s">
        <v>414</v>
      </c>
      <c r="H8" s="42">
        <v>0.64571759259259254</v>
      </c>
      <c r="I8" s="41" t="s">
        <v>414</v>
      </c>
      <c r="J8" s="42">
        <v>0.65104166666666663</v>
      </c>
      <c r="K8" t="s">
        <v>58</v>
      </c>
      <c r="U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9" spans="1:21" x14ac:dyDescent="0.25">
      <c r="A9">
        <v>4</v>
      </c>
      <c r="B9">
        <v>4379594</v>
      </c>
      <c r="C9" t="s">
        <v>21</v>
      </c>
      <c r="D9" t="s">
        <v>21</v>
      </c>
      <c r="E9">
        <v>11</v>
      </c>
      <c r="F9" t="s">
        <v>60</v>
      </c>
      <c r="G9" s="41" t="s">
        <v>477</v>
      </c>
      <c r="H9" s="42">
        <v>0.44131944444444443</v>
      </c>
      <c r="I9" s="41" t="s">
        <v>477</v>
      </c>
      <c r="J9" s="42">
        <v>0.44532407407407409</v>
      </c>
      <c r="K9" t="s">
        <v>58</v>
      </c>
      <c r="U9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10" spans="1:21" x14ac:dyDescent="0.25">
      <c r="A10">
        <v>5</v>
      </c>
      <c r="B10">
        <v>4379595</v>
      </c>
      <c r="C10" t="s">
        <v>21</v>
      </c>
      <c r="D10" t="s">
        <v>19</v>
      </c>
      <c r="E10">
        <v>12</v>
      </c>
      <c r="F10" t="s">
        <v>59</v>
      </c>
      <c r="G10" s="41" t="s">
        <v>477</v>
      </c>
      <c r="H10" s="42">
        <v>0.40844907407407405</v>
      </c>
      <c r="I10" s="41" t="s">
        <v>477</v>
      </c>
      <c r="J10" s="42">
        <v>0.41189814814814812</v>
      </c>
      <c r="K10" t="s">
        <v>58</v>
      </c>
      <c r="U1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1" spans="1:21" x14ac:dyDescent="0.25">
      <c r="A11">
        <v>6</v>
      </c>
      <c r="B11">
        <v>4379599</v>
      </c>
      <c r="C11" t="s">
        <v>21</v>
      </c>
      <c r="D11" t="s">
        <v>19</v>
      </c>
      <c r="E11">
        <v>12</v>
      </c>
      <c r="F11" t="s">
        <v>59</v>
      </c>
      <c r="G11" s="41" t="s">
        <v>477</v>
      </c>
      <c r="H11" s="42">
        <v>0.40023148148148147</v>
      </c>
      <c r="I11" s="41" t="s">
        <v>477</v>
      </c>
      <c r="J11" s="42">
        <v>0.40103009259259259</v>
      </c>
      <c r="K11" t="s">
        <v>58</v>
      </c>
      <c r="U1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2" spans="1:21" x14ac:dyDescent="0.25">
      <c r="A12">
        <v>3</v>
      </c>
      <c r="B12">
        <v>4379600</v>
      </c>
      <c r="C12" t="s">
        <v>21</v>
      </c>
      <c r="D12" t="s">
        <v>19</v>
      </c>
      <c r="E12">
        <v>10</v>
      </c>
      <c r="F12" t="s">
        <v>61</v>
      </c>
      <c r="G12" s="41" t="s">
        <v>414</v>
      </c>
      <c r="H12" s="42">
        <v>0.49745370370370373</v>
      </c>
      <c r="I12" s="41" t="s">
        <v>414</v>
      </c>
      <c r="J12" s="42">
        <v>0.50092592592592589</v>
      </c>
      <c r="K12" t="s">
        <v>58</v>
      </c>
      <c r="U1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3" spans="1:21" x14ac:dyDescent="0.25">
      <c r="A13">
        <v>5</v>
      </c>
      <c r="B13">
        <v>4379609</v>
      </c>
      <c r="C13" t="s">
        <v>21</v>
      </c>
      <c r="D13" t="s">
        <v>21</v>
      </c>
      <c r="E13">
        <v>10</v>
      </c>
      <c r="F13" t="s">
        <v>61</v>
      </c>
      <c r="G13" s="41" t="s">
        <v>414</v>
      </c>
      <c r="H13" s="42">
        <v>0.49745370370370373</v>
      </c>
      <c r="I13" s="41" t="s">
        <v>414</v>
      </c>
      <c r="J13" s="42">
        <v>0.50097222222222226</v>
      </c>
      <c r="K13" t="s">
        <v>58</v>
      </c>
      <c r="U1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4" spans="1:21" x14ac:dyDescent="0.25">
      <c r="A14">
        <v>5</v>
      </c>
      <c r="B14">
        <v>4379610</v>
      </c>
      <c r="C14" t="s">
        <v>21</v>
      </c>
      <c r="D14" t="s">
        <v>19</v>
      </c>
      <c r="E14">
        <v>10</v>
      </c>
      <c r="F14" t="s">
        <v>61</v>
      </c>
      <c r="G14" s="41" t="s">
        <v>414</v>
      </c>
      <c r="H14" s="42">
        <v>0.64571759259259254</v>
      </c>
      <c r="I14" s="41" t="s">
        <v>414</v>
      </c>
      <c r="J14" s="42">
        <v>0.65108796296296301</v>
      </c>
      <c r="K14" t="s">
        <v>58</v>
      </c>
      <c r="U1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5" spans="1:21" x14ac:dyDescent="0.25">
      <c r="A15">
        <v>6</v>
      </c>
      <c r="B15">
        <v>4379613</v>
      </c>
      <c r="C15" t="s">
        <v>21</v>
      </c>
      <c r="D15" t="s">
        <v>19</v>
      </c>
      <c r="E15">
        <v>12</v>
      </c>
      <c r="F15" t="s">
        <v>59</v>
      </c>
      <c r="G15" s="41" t="s">
        <v>477</v>
      </c>
      <c r="H15" s="42">
        <v>0.37164351851851851</v>
      </c>
      <c r="I15" s="41" t="s">
        <v>477</v>
      </c>
      <c r="J15" s="42">
        <v>0.37302083333333336</v>
      </c>
      <c r="K15" t="s">
        <v>58</v>
      </c>
      <c r="U1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6" spans="1:21" x14ac:dyDescent="0.25">
      <c r="A16">
        <v>5</v>
      </c>
      <c r="B16">
        <v>4379614</v>
      </c>
      <c r="C16" t="s">
        <v>21</v>
      </c>
      <c r="D16" t="s">
        <v>19</v>
      </c>
      <c r="E16">
        <v>11</v>
      </c>
      <c r="F16" t="s">
        <v>60</v>
      </c>
      <c r="G16" s="41" t="s">
        <v>477</v>
      </c>
      <c r="H16" s="42">
        <v>0.42986111111111114</v>
      </c>
      <c r="I16" s="41" t="s">
        <v>477</v>
      </c>
      <c r="J16" s="42">
        <v>0.44535879629629632</v>
      </c>
      <c r="K16" t="s">
        <v>58</v>
      </c>
      <c r="U16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17" spans="1:21" x14ac:dyDescent="0.25">
      <c r="A17">
        <v>6</v>
      </c>
      <c r="B17">
        <v>4379617</v>
      </c>
      <c r="C17" t="s">
        <v>21</v>
      </c>
      <c r="D17" t="s">
        <v>21</v>
      </c>
      <c r="E17">
        <v>12</v>
      </c>
      <c r="F17" t="s">
        <v>59</v>
      </c>
      <c r="G17" s="41" t="s">
        <v>477</v>
      </c>
      <c r="H17" s="42">
        <v>0.4042824074074074</v>
      </c>
      <c r="I17" s="41" t="s">
        <v>477</v>
      </c>
      <c r="J17" s="42">
        <v>0.4064814814814815</v>
      </c>
      <c r="K17" t="s">
        <v>58</v>
      </c>
      <c r="U1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8" spans="1:21" x14ac:dyDescent="0.25">
      <c r="A18">
        <v>5</v>
      </c>
      <c r="B18">
        <v>4379619</v>
      </c>
      <c r="C18" t="s">
        <v>21</v>
      </c>
      <c r="D18" t="s">
        <v>182</v>
      </c>
      <c r="E18">
        <v>10</v>
      </c>
      <c r="F18" t="s">
        <v>61</v>
      </c>
      <c r="G18" s="41" t="s">
        <v>381</v>
      </c>
      <c r="H18" s="42">
        <v>0.82916666666666672</v>
      </c>
      <c r="I18" s="41" t="s">
        <v>381</v>
      </c>
      <c r="J18" s="42">
        <v>0.83991898148148147</v>
      </c>
      <c r="K18" t="s">
        <v>58</v>
      </c>
      <c r="U1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9" spans="1:21" x14ac:dyDescent="0.25">
      <c r="A19">
        <v>7</v>
      </c>
      <c r="B19">
        <v>4379621</v>
      </c>
      <c r="C19" t="s">
        <v>21</v>
      </c>
      <c r="D19" t="s">
        <v>19</v>
      </c>
      <c r="E19">
        <v>12</v>
      </c>
      <c r="F19" t="s">
        <v>59</v>
      </c>
      <c r="G19" s="41" t="s">
        <v>477</v>
      </c>
      <c r="H19" s="42">
        <v>0.32372685185185185</v>
      </c>
      <c r="I19" s="41" t="s">
        <v>477</v>
      </c>
      <c r="J19" s="42">
        <v>0.33971064814814816</v>
      </c>
      <c r="K19" t="s">
        <v>58</v>
      </c>
      <c r="U1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" spans="1:21" x14ac:dyDescent="0.25">
      <c r="A20">
        <v>7</v>
      </c>
      <c r="B20">
        <v>4379623</v>
      </c>
      <c r="C20" t="s">
        <v>21</v>
      </c>
      <c r="D20" t="s">
        <v>19</v>
      </c>
      <c r="E20">
        <v>12</v>
      </c>
      <c r="F20" t="s">
        <v>59</v>
      </c>
      <c r="G20" s="41" t="s">
        <v>477</v>
      </c>
      <c r="H20" s="42">
        <v>0.31736111111111109</v>
      </c>
      <c r="I20" s="41" t="s">
        <v>477</v>
      </c>
      <c r="J20" s="42">
        <v>0.32315972222222222</v>
      </c>
      <c r="K20" t="s">
        <v>58</v>
      </c>
      <c r="U2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" spans="1:21" x14ac:dyDescent="0.25">
      <c r="A21">
        <v>6</v>
      </c>
      <c r="B21">
        <v>4379628</v>
      </c>
      <c r="C21" t="s">
        <v>21</v>
      </c>
      <c r="D21" t="s">
        <v>19</v>
      </c>
      <c r="E21">
        <v>10</v>
      </c>
      <c r="F21" t="s">
        <v>61</v>
      </c>
      <c r="G21" s="41" t="s">
        <v>414</v>
      </c>
      <c r="H21" s="42">
        <v>0.44305555555555554</v>
      </c>
      <c r="I21" s="41" t="s">
        <v>414</v>
      </c>
      <c r="J21" s="42">
        <v>0.44543981481481482</v>
      </c>
      <c r="K21" t="s">
        <v>58</v>
      </c>
      <c r="U2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2" spans="1:21" x14ac:dyDescent="0.25">
      <c r="A22">
        <v>8</v>
      </c>
      <c r="B22">
        <v>4379630</v>
      </c>
      <c r="C22" t="s">
        <v>21</v>
      </c>
      <c r="D22" t="s">
        <v>19</v>
      </c>
      <c r="E22">
        <v>12</v>
      </c>
      <c r="F22" t="s">
        <v>59</v>
      </c>
      <c r="G22" s="41" t="s">
        <v>477</v>
      </c>
      <c r="H22" s="42">
        <v>0.42048611111111112</v>
      </c>
      <c r="I22" s="41" t="s">
        <v>477</v>
      </c>
      <c r="J22" s="42">
        <v>0.42871527777777779</v>
      </c>
      <c r="K22" t="s">
        <v>58</v>
      </c>
      <c r="U2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3" spans="1:21" x14ac:dyDescent="0.25">
      <c r="A23">
        <v>4</v>
      </c>
      <c r="B23">
        <v>4379632</v>
      </c>
      <c r="C23" t="s">
        <v>21</v>
      </c>
      <c r="D23" t="s">
        <v>19</v>
      </c>
      <c r="E23">
        <v>10</v>
      </c>
      <c r="F23" t="s">
        <v>61</v>
      </c>
      <c r="G23" s="41" t="s">
        <v>414</v>
      </c>
      <c r="H23" s="42">
        <v>0.49745370370370373</v>
      </c>
      <c r="I23" s="41" t="s">
        <v>414</v>
      </c>
      <c r="J23" s="42">
        <v>0.5012847222222222</v>
      </c>
      <c r="K23" t="s">
        <v>58</v>
      </c>
      <c r="U2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4" spans="1:21" x14ac:dyDescent="0.25">
      <c r="A24">
        <v>4</v>
      </c>
      <c r="B24">
        <v>4379635</v>
      </c>
      <c r="C24" t="s">
        <v>21</v>
      </c>
      <c r="D24" t="s">
        <v>19</v>
      </c>
      <c r="E24">
        <v>11</v>
      </c>
      <c r="F24" t="s">
        <v>60</v>
      </c>
      <c r="G24" s="41" t="s">
        <v>477</v>
      </c>
      <c r="H24" s="42">
        <v>0.44236111111111109</v>
      </c>
      <c r="I24" s="41" t="s">
        <v>477</v>
      </c>
      <c r="J24" s="42">
        <v>0.44539351851851849</v>
      </c>
      <c r="K24" t="s">
        <v>58</v>
      </c>
      <c r="U24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5" spans="1:21" x14ac:dyDescent="0.25">
      <c r="A25">
        <v>6</v>
      </c>
      <c r="B25">
        <v>4379636</v>
      </c>
      <c r="C25" t="s">
        <v>21</v>
      </c>
      <c r="D25" t="s">
        <v>19</v>
      </c>
      <c r="E25">
        <v>12</v>
      </c>
      <c r="F25" t="s">
        <v>59</v>
      </c>
      <c r="G25" s="41" t="s">
        <v>477</v>
      </c>
      <c r="H25" s="42">
        <v>0.38668981481481479</v>
      </c>
      <c r="I25" s="41" t="s">
        <v>477</v>
      </c>
      <c r="J25" s="42">
        <v>0.38978009259259261</v>
      </c>
      <c r="K25" t="s">
        <v>58</v>
      </c>
      <c r="U2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6" spans="1:21" x14ac:dyDescent="0.25">
      <c r="A26">
        <v>4</v>
      </c>
      <c r="B26">
        <v>4379650</v>
      </c>
      <c r="C26" t="s">
        <v>21</v>
      </c>
      <c r="D26" t="s">
        <v>21</v>
      </c>
      <c r="E26">
        <v>11</v>
      </c>
      <c r="F26" t="s">
        <v>60</v>
      </c>
      <c r="G26" s="41" t="s">
        <v>477</v>
      </c>
      <c r="H26" s="42">
        <v>0.44224537037037037</v>
      </c>
      <c r="I26" s="41" t="s">
        <v>477</v>
      </c>
      <c r="J26" s="42">
        <v>0.44542824074074072</v>
      </c>
      <c r="K26" t="s">
        <v>58</v>
      </c>
      <c r="U26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7" spans="1:21" x14ac:dyDescent="0.25">
      <c r="A27">
        <v>4</v>
      </c>
      <c r="B27">
        <v>4379651</v>
      </c>
      <c r="C27" t="s">
        <v>21</v>
      </c>
      <c r="D27" t="s">
        <v>19</v>
      </c>
      <c r="E27">
        <v>10</v>
      </c>
      <c r="F27" t="s">
        <v>61</v>
      </c>
      <c r="G27" s="41" t="s">
        <v>414</v>
      </c>
      <c r="H27" s="42">
        <v>0.44305555555555554</v>
      </c>
      <c r="I27" s="41" t="s">
        <v>414</v>
      </c>
      <c r="J27" s="42">
        <v>0.4456134259259259</v>
      </c>
      <c r="K27" t="s">
        <v>58</v>
      </c>
      <c r="U2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8" spans="1:21" x14ac:dyDescent="0.25">
      <c r="A28">
        <v>5</v>
      </c>
      <c r="B28">
        <v>4379654</v>
      </c>
      <c r="C28" t="s">
        <v>21</v>
      </c>
      <c r="D28" t="s">
        <v>21</v>
      </c>
      <c r="E28">
        <v>10</v>
      </c>
      <c r="F28" t="s">
        <v>61</v>
      </c>
      <c r="G28" s="41" t="s">
        <v>414</v>
      </c>
      <c r="H28" s="42">
        <v>0.41388888888888886</v>
      </c>
      <c r="I28" s="41" t="s">
        <v>414</v>
      </c>
      <c r="J28" s="42">
        <v>0.41805555555555557</v>
      </c>
      <c r="K28" t="s">
        <v>58</v>
      </c>
      <c r="U2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9" spans="1:21" x14ac:dyDescent="0.25">
      <c r="A29">
        <v>5</v>
      </c>
      <c r="B29">
        <v>4379656</v>
      </c>
      <c r="C29" t="s">
        <v>21</v>
      </c>
      <c r="D29" t="s">
        <v>19</v>
      </c>
      <c r="E29">
        <v>12</v>
      </c>
      <c r="F29" t="s">
        <v>59</v>
      </c>
      <c r="G29" s="41" t="s">
        <v>477</v>
      </c>
      <c r="H29" s="42">
        <v>0.36018518518518516</v>
      </c>
      <c r="I29" s="41" t="s">
        <v>477</v>
      </c>
      <c r="J29" s="42">
        <v>0.36766203703703704</v>
      </c>
      <c r="K29" t="s">
        <v>58</v>
      </c>
      <c r="U2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0" spans="1:21" x14ac:dyDescent="0.25">
      <c r="A30">
        <v>5</v>
      </c>
      <c r="B30">
        <v>4379660</v>
      </c>
      <c r="C30" t="s">
        <v>21</v>
      </c>
      <c r="D30" t="s">
        <v>21</v>
      </c>
      <c r="E30">
        <v>12</v>
      </c>
      <c r="F30" t="s">
        <v>59</v>
      </c>
      <c r="G30" s="41" t="s">
        <v>477</v>
      </c>
      <c r="H30" s="42">
        <v>0.36354166666666665</v>
      </c>
      <c r="I30" s="41" t="s">
        <v>477</v>
      </c>
      <c r="J30" s="42">
        <v>0.36768518518518517</v>
      </c>
      <c r="K30" t="s">
        <v>58</v>
      </c>
      <c r="U3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1" spans="1:21" x14ac:dyDescent="0.25">
      <c r="A31">
        <v>5</v>
      </c>
      <c r="B31">
        <v>4379661</v>
      </c>
      <c r="C31" t="s">
        <v>21</v>
      </c>
      <c r="D31" t="s">
        <v>19</v>
      </c>
      <c r="E31">
        <v>10</v>
      </c>
      <c r="F31" t="s">
        <v>61</v>
      </c>
      <c r="G31" s="41" t="s">
        <v>414</v>
      </c>
      <c r="H31" s="42">
        <v>0.64571759259259254</v>
      </c>
      <c r="I31" s="41" t="s">
        <v>414</v>
      </c>
      <c r="J31" s="42">
        <v>0.65122685185185181</v>
      </c>
      <c r="K31" t="s">
        <v>58</v>
      </c>
      <c r="U3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2" spans="1:21" x14ac:dyDescent="0.25">
      <c r="A32">
        <v>6</v>
      </c>
      <c r="B32">
        <v>4379668</v>
      </c>
      <c r="C32" t="s">
        <v>21</v>
      </c>
      <c r="D32" t="s">
        <v>19</v>
      </c>
      <c r="E32">
        <v>12</v>
      </c>
      <c r="F32" t="s">
        <v>59</v>
      </c>
      <c r="G32" s="41" t="s">
        <v>477</v>
      </c>
      <c r="H32" s="42">
        <v>0.43402777777777779</v>
      </c>
      <c r="I32" s="41" t="s">
        <v>477</v>
      </c>
      <c r="J32" s="42">
        <v>0.44545138888888891</v>
      </c>
      <c r="K32" t="s">
        <v>58</v>
      </c>
      <c r="U3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3" spans="1:21" x14ac:dyDescent="0.25">
      <c r="A33">
        <v>6</v>
      </c>
      <c r="B33">
        <v>4379670</v>
      </c>
      <c r="C33" t="s">
        <v>21</v>
      </c>
      <c r="D33" t="s">
        <v>19</v>
      </c>
      <c r="E33">
        <v>12</v>
      </c>
      <c r="F33" t="s">
        <v>59</v>
      </c>
      <c r="G33" s="41" t="s">
        <v>477</v>
      </c>
      <c r="H33" s="42">
        <v>0.39699074074074076</v>
      </c>
      <c r="I33" s="41" t="s">
        <v>477</v>
      </c>
      <c r="J33" s="42">
        <v>0.40113425925925927</v>
      </c>
      <c r="K33" t="s">
        <v>58</v>
      </c>
      <c r="U3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" spans="1:21" x14ac:dyDescent="0.25">
      <c r="A34">
        <v>3</v>
      </c>
      <c r="B34">
        <v>4379671</v>
      </c>
      <c r="C34" t="s">
        <v>21</v>
      </c>
      <c r="D34" t="s">
        <v>21</v>
      </c>
      <c r="E34">
        <v>10</v>
      </c>
      <c r="F34" t="s">
        <v>61</v>
      </c>
      <c r="G34" s="41" t="s">
        <v>414</v>
      </c>
      <c r="H34" s="42">
        <v>0.67349537037037033</v>
      </c>
      <c r="I34" s="41" t="s">
        <v>414</v>
      </c>
      <c r="J34" s="42">
        <v>0.67959490740740736</v>
      </c>
      <c r="K34" t="s">
        <v>58</v>
      </c>
      <c r="U3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5" spans="1:21" x14ac:dyDescent="0.25">
      <c r="A35">
        <v>5</v>
      </c>
      <c r="B35">
        <v>4379672</v>
      </c>
      <c r="C35" t="s">
        <v>21</v>
      </c>
      <c r="D35" t="s">
        <v>19</v>
      </c>
      <c r="E35">
        <v>11</v>
      </c>
      <c r="F35" t="s">
        <v>60</v>
      </c>
      <c r="G35" s="41" t="s">
        <v>477</v>
      </c>
      <c r="H35" s="42">
        <v>0.44710648148148147</v>
      </c>
      <c r="I35" s="41" t="s">
        <v>477</v>
      </c>
      <c r="J35" s="42">
        <v>0.45150462962962962</v>
      </c>
      <c r="K35" t="s">
        <v>58</v>
      </c>
      <c r="U35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6" spans="1:21" x14ac:dyDescent="0.25">
      <c r="A36">
        <v>5</v>
      </c>
      <c r="B36">
        <v>4379673</v>
      </c>
      <c r="C36" t="s">
        <v>21</v>
      </c>
      <c r="D36" t="s">
        <v>21</v>
      </c>
      <c r="E36">
        <v>12</v>
      </c>
      <c r="F36" t="s">
        <v>59</v>
      </c>
      <c r="G36" s="41" t="s">
        <v>477</v>
      </c>
      <c r="H36" s="42">
        <v>0.45439814814814816</v>
      </c>
      <c r="I36" s="41" t="s">
        <v>477</v>
      </c>
      <c r="J36" s="42">
        <v>0.45711805555555557</v>
      </c>
      <c r="K36" t="s">
        <v>58</v>
      </c>
      <c r="U3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7" spans="1:21" x14ac:dyDescent="0.25">
      <c r="A37">
        <v>5</v>
      </c>
      <c r="B37">
        <v>4379677</v>
      </c>
      <c r="C37" t="s">
        <v>21</v>
      </c>
      <c r="D37" t="s">
        <v>19</v>
      </c>
      <c r="E37">
        <v>12</v>
      </c>
      <c r="F37" t="s">
        <v>59</v>
      </c>
      <c r="G37" s="41" t="s">
        <v>477</v>
      </c>
      <c r="H37" s="42">
        <v>0.40081018518518519</v>
      </c>
      <c r="I37" s="41" t="s">
        <v>477</v>
      </c>
      <c r="J37" s="42">
        <v>0.41204861111111113</v>
      </c>
      <c r="K37" t="s">
        <v>58</v>
      </c>
      <c r="U3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8" spans="1:21" x14ac:dyDescent="0.25">
      <c r="A38">
        <v>4</v>
      </c>
      <c r="B38">
        <v>4379678</v>
      </c>
      <c r="C38" t="s">
        <v>21</v>
      </c>
      <c r="D38" t="s">
        <v>19</v>
      </c>
      <c r="E38">
        <v>10</v>
      </c>
      <c r="F38" t="s">
        <v>61</v>
      </c>
      <c r="G38" s="41" t="s">
        <v>414</v>
      </c>
      <c r="H38" s="42">
        <v>0.64571759259259254</v>
      </c>
      <c r="I38" s="41" t="s">
        <v>414</v>
      </c>
      <c r="J38" s="42">
        <v>0.65136574074074072</v>
      </c>
      <c r="K38" t="s">
        <v>58</v>
      </c>
      <c r="U3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" spans="1:21" x14ac:dyDescent="0.25">
      <c r="A39">
        <v>4</v>
      </c>
      <c r="B39">
        <v>4379681</v>
      </c>
      <c r="C39" t="s">
        <v>21</v>
      </c>
      <c r="D39" t="s">
        <v>21</v>
      </c>
      <c r="E39">
        <v>10</v>
      </c>
      <c r="F39" t="s">
        <v>61</v>
      </c>
      <c r="G39" s="41" t="s">
        <v>414</v>
      </c>
      <c r="H39" s="42">
        <v>0.67349537037037033</v>
      </c>
      <c r="I39" s="41" t="s">
        <v>414</v>
      </c>
      <c r="J39" s="42">
        <v>0.67981481481481476</v>
      </c>
      <c r="K39" t="s">
        <v>58</v>
      </c>
      <c r="U3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" spans="1:21" x14ac:dyDescent="0.25">
      <c r="A40">
        <v>4</v>
      </c>
      <c r="B40">
        <v>4379682</v>
      </c>
      <c r="C40" t="s">
        <v>21</v>
      </c>
      <c r="D40" t="s">
        <v>19</v>
      </c>
      <c r="E40">
        <v>10</v>
      </c>
      <c r="F40" t="s">
        <v>61</v>
      </c>
      <c r="G40" s="41" t="s">
        <v>414</v>
      </c>
      <c r="H40" s="42">
        <v>0.71354166666666663</v>
      </c>
      <c r="I40" s="41" t="s">
        <v>414</v>
      </c>
      <c r="J40" s="42">
        <v>0.72863425925925929</v>
      </c>
      <c r="K40" t="s">
        <v>58</v>
      </c>
      <c r="U4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" spans="1:21" x14ac:dyDescent="0.25">
      <c r="A41">
        <v>3</v>
      </c>
      <c r="B41">
        <v>4379683</v>
      </c>
      <c r="C41" t="s">
        <v>21</v>
      </c>
      <c r="D41" t="s">
        <v>21</v>
      </c>
      <c r="E41">
        <v>10</v>
      </c>
      <c r="F41" t="s">
        <v>61</v>
      </c>
      <c r="G41" s="41" t="s">
        <v>414</v>
      </c>
      <c r="H41" s="42">
        <v>0.70925925925925926</v>
      </c>
      <c r="I41" s="41" t="s">
        <v>414</v>
      </c>
      <c r="J41" s="42">
        <v>0.72866898148148151</v>
      </c>
      <c r="K41" t="s">
        <v>58</v>
      </c>
      <c r="U4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" spans="1:21" x14ac:dyDescent="0.25">
      <c r="A42">
        <v>4</v>
      </c>
      <c r="B42">
        <v>4379684</v>
      </c>
      <c r="C42" t="s">
        <v>21</v>
      </c>
      <c r="D42" t="s">
        <v>19</v>
      </c>
      <c r="E42">
        <v>10</v>
      </c>
      <c r="F42" t="s">
        <v>61</v>
      </c>
      <c r="G42" s="41" t="s">
        <v>414</v>
      </c>
      <c r="H42" s="42">
        <v>0.44305555555555554</v>
      </c>
      <c r="I42" s="41" t="s">
        <v>414</v>
      </c>
      <c r="J42" s="42">
        <v>0.44570601851851854</v>
      </c>
      <c r="K42" t="s">
        <v>58</v>
      </c>
      <c r="U4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3" spans="1:21" x14ac:dyDescent="0.25">
      <c r="A43">
        <v>4</v>
      </c>
      <c r="B43">
        <v>4379686</v>
      </c>
      <c r="C43" t="s">
        <v>21</v>
      </c>
      <c r="D43" t="s">
        <v>19</v>
      </c>
      <c r="E43">
        <v>10</v>
      </c>
      <c r="F43" t="s">
        <v>61</v>
      </c>
      <c r="G43" s="41" t="s">
        <v>414</v>
      </c>
      <c r="H43" s="42">
        <v>0.64537037037037037</v>
      </c>
      <c r="I43" s="41" t="s">
        <v>414</v>
      </c>
      <c r="J43" s="42">
        <v>0.65143518518518517</v>
      </c>
      <c r="K43" t="s">
        <v>58</v>
      </c>
      <c r="U4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" spans="1:21" x14ac:dyDescent="0.25">
      <c r="A44">
        <v>8</v>
      </c>
      <c r="B44">
        <v>4379688</v>
      </c>
      <c r="C44" t="s">
        <v>21</v>
      </c>
      <c r="D44" t="s">
        <v>19</v>
      </c>
      <c r="E44">
        <v>12</v>
      </c>
      <c r="F44" t="s">
        <v>59</v>
      </c>
      <c r="G44" s="41" t="s">
        <v>477</v>
      </c>
      <c r="H44" s="42">
        <v>0.3613425925925926</v>
      </c>
      <c r="I44" s="41" t="s">
        <v>477</v>
      </c>
      <c r="J44" s="42">
        <v>0.36775462962962963</v>
      </c>
      <c r="K44" t="s">
        <v>58</v>
      </c>
      <c r="U4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5" spans="1:21" x14ac:dyDescent="0.25">
      <c r="A45">
        <v>4</v>
      </c>
      <c r="B45">
        <v>4379690</v>
      </c>
      <c r="C45" t="s">
        <v>21</v>
      </c>
      <c r="D45" t="s">
        <v>19</v>
      </c>
      <c r="E45">
        <v>11</v>
      </c>
      <c r="F45" t="s">
        <v>60</v>
      </c>
      <c r="G45" s="41" t="s">
        <v>477</v>
      </c>
      <c r="H45" s="42">
        <v>0.4082175925925926</v>
      </c>
      <c r="I45" s="41" t="s">
        <v>477</v>
      </c>
      <c r="J45" s="42">
        <v>0.41207175925925926</v>
      </c>
      <c r="K45" t="s">
        <v>58</v>
      </c>
      <c r="U45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46" spans="1:21" x14ac:dyDescent="0.25">
      <c r="A46">
        <v>6</v>
      </c>
      <c r="B46">
        <v>4379692</v>
      </c>
      <c r="C46" t="s">
        <v>21</v>
      </c>
      <c r="D46" t="s">
        <v>19</v>
      </c>
      <c r="E46">
        <v>12</v>
      </c>
      <c r="F46" t="s">
        <v>59</v>
      </c>
      <c r="G46" s="41" t="s">
        <v>477</v>
      </c>
      <c r="H46" s="42">
        <v>0.34594907407407405</v>
      </c>
      <c r="I46" s="41" t="s">
        <v>477</v>
      </c>
      <c r="J46" s="42">
        <v>0.35652777777777778</v>
      </c>
      <c r="K46" t="s">
        <v>58</v>
      </c>
      <c r="U4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" spans="1:21" x14ac:dyDescent="0.25">
      <c r="A47">
        <v>4</v>
      </c>
      <c r="B47">
        <v>4379694</v>
      </c>
      <c r="C47" t="s">
        <v>21</v>
      </c>
      <c r="D47" t="s">
        <v>19</v>
      </c>
      <c r="E47">
        <v>11</v>
      </c>
      <c r="F47" t="s">
        <v>60</v>
      </c>
      <c r="G47" s="41" t="s">
        <v>477</v>
      </c>
      <c r="H47" s="42">
        <v>0.42025462962962962</v>
      </c>
      <c r="I47" s="41" t="s">
        <v>477</v>
      </c>
      <c r="J47" s="42">
        <v>0.42878472222222225</v>
      </c>
      <c r="K47" t="s">
        <v>58</v>
      </c>
      <c r="U47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48" spans="1:21" x14ac:dyDescent="0.25">
      <c r="A48">
        <v>5</v>
      </c>
      <c r="B48">
        <v>4379701</v>
      </c>
      <c r="C48" t="s">
        <v>21</v>
      </c>
      <c r="D48" t="s">
        <v>19</v>
      </c>
      <c r="E48">
        <v>12</v>
      </c>
      <c r="F48" t="s">
        <v>59</v>
      </c>
      <c r="G48" s="41" t="s">
        <v>477</v>
      </c>
      <c r="H48" s="42">
        <v>0.42002314814814817</v>
      </c>
      <c r="I48" s="41" t="s">
        <v>477</v>
      </c>
      <c r="J48" s="42">
        <v>0.42884259259259261</v>
      </c>
      <c r="K48" t="s">
        <v>58</v>
      </c>
      <c r="U4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9" spans="1:21" x14ac:dyDescent="0.25">
      <c r="A49">
        <v>9</v>
      </c>
      <c r="B49">
        <v>4379712</v>
      </c>
      <c r="C49" t="s">
        <v>21</v>
      </c>
      <c r="D49" t="s">
        <v>182</v>
      </c>
      <c r="E49">
        <v>12</v>
      </c>
      <c r="F49" t="s">
        <v>59</v>
      </c>
      <c r="G49" s="41" t="s">
        <v>477</v>
      </c>
      <c r="H49" s="42">
        <v>0.30752314814814813</v>
      </c>
      <c r="I49" s="41" t="s">
        <v>477</v>
      </c>
      <c r="J49" s="42">
        <v>0.31217592592592591</v>
      </c>
      <c r="K49" t="s">
        <v>58</v>
      </c>
      <c r="U4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0" spans="1:21" x14ac:dyDescent="0.25">
      <c r="A50">
        <v>5</v>
      </c>
      <c r="B50">
        <v>4379718</v>
      </c>
      <c r="C50" t="s">
        <v>21</v>
      </c>
      <c r="D50" t="s">
        <v>19</v>
      </c>
      <c r="E50">
        <v>12</v>
      </c>
      <c r="F50" t="s">
        <v>59</v>
      </c>
      <c r="G50" s="41" t="s">
        <v>477</v>
      </c>
      <c r="H50" s="42">
        <v>0.32071759259259258</v>
      </c>
      <c r="I50" s="41" t="s">
        <v>477</v>
      </c>
      <c r="J50" s="42">
        <v>0.32332175925925927</v>
      </c>
      <c r="K50" t="s">
        <v>58</v>
      </c>
      <c r="U5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1" spans="1:21" x14ac:dyDescent="0.25">
      <c r="A51">
        <v>3</v>
      </c>
      <c r="B51">
        <v>4379723</v>
      </c>
      <c r="C51" t="s">
        <v>21</v>
      </c>
      <c r="D51" t="s">
        <v>19</v>
      </c>
      <c r="E51">
        <v>10</v>
      </c>
      <c r="F51" t="s">
        <v>61</v>
      </c>
      <c r="G51" s="41" t="s">
        <v>414</v>
      </c>
      <c r="H51" s="42">
        <v>0.50844907407407403</v>
      </c>
      <c r="I51" s="41" t="s">
        <v>414</v>
      </c>
      <c r="J51" s="42">
        <v>0.51215277777777779</v>
      </c>
      <c r="K51" t="s">
        <v>58</v>
      </c>
      <c r="U5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52" spans="1:21" x14ac:dyDescent="0.25">
      <c r="A52">
        <v>6</v>
      </c>
      <c r="B52">
        <v>4379728</v>
      </c>
      <c r="C52" t="s">
        <v>21</v>
      </c>
      <c r="D52" t="s">
        <v>19</v>
      </c>
      <c r="E52">
        <v>12</v>
      </c>
      <c r="F52" t="s">
        <v>59</v>
      </c>
      <c r="G52" s="41" t="s">
        <v>477</v>
      </c>
      <c r="H52" s="42">
        <v>0.3730324074074074</v>
      </c>
      <c r="I52" s="41" t="s">
        <v>477</v>
      </c>
      <c r="J52" s="42">
        <v>0.38412037037037039</v>
      </c>
      <c r="K52" t="s">
        <v>58</v>
      </c>
      <c r="U5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3" spans="1:21" x14ac:dyDescent="0.25">
      <c r="A53">
        <v>6</v>
      </c>
      <c r="B53">
        <v>4379729</v>
      </c>
      <c r="C53" t="s">
        <v>21</v>
      </c>
      <c r="D53" t="s">
        <v>19</v>
      </c>
      <c r="E53">
        <v>12</v>
      </c>
      <c r="F53" t="s">
        <v>59</v>
      </c>
      <c r="G53" s="41" t="s">
        <v>477</v>
      </c>
      <c r="H53" s="42">
        <v>0.40625</v>
      </c>
      <c r="I53" s="41" t="s">
        <v>477</v>
      </c>
      <c r="J53" s="42">
        <v>0.41224537037037035</v>
      </c>
      <c r="K53" t="s">
        <v>58</v>
      </c>
      <c r="U5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54" spans="1:21" x14ac:dyDescent="0.25">
      <c r="A54">
        <v>4</v>
      </c>
      <c r="B54">
        <v>4379733</v>
      </c>
      <c r="C54" t="s">
        <v>21</v>
      </c>
      <c r="D54" t="s">
        <v>19</v>
      </c>
      <c r="E54">
        <v>10</v>
      </c>
      <c r="F54" t="s">
        <v>61</v>
      </c>
      <c r="G54" s="41" t="s">
        <v>414</v>
      </c>
      <c r="H54" s="42">
        <v>0.50856481481481486</v>
      </c>
      <c r="I54" s="41" t="s">
        <v>414</v>
      </c>
      <c r="J54" s="42">
        <v>0.51231481481481478</v>
      </c>
      <c r="K54" t="s">
        <v>58</v>
      </c>
      <c r="U5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55" spans="1:21" x14ac:dyDescent="0.25">
      <c r="A55">
        <v>2</v>
      </c>
      <c r="B55">
        <v>4379753</v>
      </c>
      <c r="C55" t="s">
        <v>21</v>
      </c>
      <c r="D55" t="s">
        <v>19</v>
      </c>
      <c r="E55">
        <v>41</v>
      </c>
      <c r="F55" t="s">
        <v>64</v>
      </c>
      <c r="G55" s="41" t="s">
        <v>477</v>
      </c>
      <c r="H55" s="42">
        <v>0.33981481481481479</v>
      </c>
      <c r="I55" s="41" t="s">
        <v>477</v>
      </c>
      <c r="J55" s="42">
        <v>0.3565740740740741</v>
      </c>
      <c r="K55" t="s">
        <v>58</v>
      </c>
      <c r="U5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56" spans="1:21" x14ac:dyDescent="0.25">
      <c r="A56">
        <v>2</v>
      </c>
      <c r="B56">
        <v>4379836</v>
      </c>
      <c r="C56" t="s">
        <v>21</v>
      </c>
      <c r="D56" t="s">
        <v>21</v>
      </c>
      <c r="E56">
        <v>1</v>
      </c>
      <c r="F56" t="s">
        <v>162</v>
      </c>
      <c r="G56" s="41" t="s">
        <v>414</v>
      </c>
      <c r="H56" s="42">
        <v>0.93368055555555551</v>
      </c>
      <c r="I56" s="41" t="s">
        <v>414</v>
      </c>
      <c r="J56" s="42">
        <v>0.95078703703703704</v>
      </c>
      <c r="K56" t="s">
        <v>58</v>
      </c>
      <c r="U5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57" spans="1:21" x14ac:dyDescent="0.25">
      <c r="A57">
        <v>3</v>
      </c>
      <c r="B57">
        <v>4380056</v>
      </c>
      <c r="C57" t="s">
        <v>21</v>
      </c>
      <c r="D57" t="s">
        <v>21</v>
      </c>
      <c r="E57">
        <v>41</v>
      </c>
      <c r="F57" t="s">
        <v>64</v>
      </c>
      <c r="G57" s="41" t="s">
        <v>477</v>
      </c>
      <c r="H57" s="42">
        <v>0.33981481481481479</v>
      </c>
      <c r="I57" s="41" t="s">
        <v>477</v>
      </c>
      <c r="J57" s="42">
        <v>0.36791666666666667</v>
      </c>
      <c r="K57" t="s">
        <v>58</v>
      </c>
      <c r="U5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58" spans="1:21" x14ac:dyDescent="0.25">
      <c r="A58">
        <v>3</v>
      </c>
      <c r="B58">
        <v>4380372</v>
      </c>
      <c r="C58" t="s">
        <v>21</v>
      </c>
      <c r="D58" t="s">
        <v>21</v>
      </c>
      <c r="E58">
        <v>41</v>
      </c>
      <c r="F58" t="s">
        <v>64</v>
      </c>
      <c r="G58" s="41" t="s">
        <v>477</v>
      </c>
      <c r="H58" s="42">
        <v>0.33981481481481479</v>
      </c>
      <c r="I58" s="41" t="s">
        <v>477</v>
      </c>
      <c r="J58" s="42">
        <v>0.36796296296296294</v>
      </c>
      <c r="K58" t="s">
        <v>58</v>
      </c>
      <c r="U5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59" spans="1:21" x14ac:dyDescent="0.25">
      <c r="A59">
        <v>2</v>
      </c>
      <c r="B59">
        <v>4380495</v>
      </c>
      <c r="C59" t="s">
        <v>21</v>
      </c>
      <c r="D59" t="s">
        <v>21</v>
      </c>
      <c r="E59">
        <v>41</v>
      </c>
      <c r="F59" t="s">
        <v>64</v>
      </c>
      <c r="G59" s="41" t="s">
        <v>477</v>
      </c>
      <c r="H59" s="42">
        <v>0.33981481481481479</v>
      </c>
      <c r="I59" s="41" t="s">
        <v>477</v>
      </c>
      <c r="J59" s="42">
        <v>0.36804398148148149</v>
      </c>
      <c r="K59" t="s">
        <v>58</v>
      </c>
      <c r="U5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0" spans="1:21" x14ac:dyDescent="0.25">
      <c r="A60">
        <v>1</v>
      </c>
      <c r="B60">
        <v>4380563</v>
      </c>
      <c r="C60" t="s">
        <v>21</v>
      </c>
      <c r="D60" t="s">
        <v>182</v>
      </c>
      <c r="E60">
        <v>1</v>
      </c>
      <c r="F60" t="s">
        <v>162</v>
      </c>
      <c r="G60" s="41" t="s">
        <v>414</v>
      </c>
      <c r="H60" s="42">
        <v>0.91608796296296291</v>
      </c>
      <c r="I60" s="41" t="s">
        <v>414</v>
      </c>
      <c r="J60" s="42">
        <v>0.92314814814814816</v>
      </c>
      <c r="K60" t="s">
        <v>58</v>
      </c>
      <c r="U6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61" spans="1:21" x14ac:dyDescent="0.25">
      <c r="A61">
        <v>3</v>
      </c>
      <c r="B61">
        <v>4380564</v>
      </c>
      <c r="C61" t="s">
        <v>21</v>
      </c>
      <c r="D61" t="s">
        <v>182</v>
      </c>
      <c r="E61">
        <v>10</v>
      </c>
      <c r="F61" t="s">
        <v>61</v>
      </c>
      <c r="G61" s="41" t="s">
        <v>477</v>
      </c>
      <c r="H61" s="42">
        <v>0.34664351851851855</v>
      </c>
      <c r="I61" s="41" t="s">
        <v>477</v>
      </c>
      <c r="J61" s="42">
        <v>0.36811342592592594</v>
      </c>
      <c r="K61" t="s">
        <v>58</v>
      </c>
      <c r="U6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62" spans="1:21" x14ac:dyDescent="0.25">
      <c r="A62">
        <v>3</v>
      </c>
      <c r="B62">
        <v>4380769</v>
      </c>
      <c r="C62" t="s">
        <v>21</v>
      </c>
      <c r="D62" t="s">
        <v>21</v>
      </c>
      <c r="E62">
        <v>41</v>
      </c>
      <c r="F62" t="s">
        <v>64</v>
      </c>
      <c r="G62" s="41" t="s">
        <v>477</v>
      </c>
      <c r="H62" s="42">
        <v>0.33981481481481479</v>
      </c>
      <c r="I62" s="41" t="s">
        <v>477</v>
      </c>
      <c r="J62" s="42">
        <v>0.35678240740740741</v>
      </c>
      <c r="K62" t="s">
        <v>58</v>
      </c>
      <c r="U6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3" spans="1:21" x14ac:dyDescent="0.25">
      <c r="A63">
        <v>2</v>
      </c>
      <c r="B63">
        <v>4380770</v>
      </c>
      <c r="C63" t="s">
        <v>21</v>
      </c>
      <c r="D63" t="s">
        <v>19</v>
      </c>
      <c r="E63">
        <v>41</v>
      </c>
      <c r="F63" t="s">
        <v>64</v>
      </c>
      <c r="G63" s="41" t="s">
        <v>477</v>
      </c>
      <c r="H63" s="42">
        <v>0.33981481481481479</v>
      </c>
      <c r="I63" s="41" t="s">
        <v>477</v>
      </c>
      <c r="J63" s="42">
        <v>0.35681712962962964</v>
      </c>
      <c r="K63" t="s">
        <v>58</v>
      </c>
      <c r="U6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4" spans="1:21" x14ac:dyDescent="0.25">
      <c r="A64">
        <v>2</v>
      </c>
      <c r="B64">
        <v>4380771</v>
      </c>
      <c r="C64" t="s">
        <v>21</v>
      </c>
      <c r="D64" t="s">
        <v>19</v>
      </c>
      <c r="E64">
        <v>41</v>
      </c>
      <c r="F64" t="s">
        <v>64</v>
      </c>
      <c r="G64" s="41" t="s">
        <v>477</v>
      </c>
      <c r="H64" s="42">
        <v>0.33981481481481479</v>
      </c>
      <c r="I64" s="41" t="s">
        <v>477</v>
      </c>
      <c r="J64" s="42">
        <v>0.35685185185185186</v>
      </c>
      <c r="K64" t="s">
        <v>58</v>
      </c>
      <c r="U6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5" spans="1:21" x14ac:dyDescent="0.25">
      <c r="A65">
        <v>2</v>
      </c>
      <c r="B65">
        <v>4380772</v>
      </c>
      <c r="C65" t="s">
        <v>21</v>
      </c>
      <c r="D65" t="s">
        <v>19</v>
      </c>
      <c r="E65">
        <v>41</v>
      </c>
      <c r="F65" t="s">
        <v>64</v>
      </c>
      <c r="G65" s="41" t="s">
        <v>477</v>
      </c>
      <c r="H65" s="42">
        <v>0.33981481481481479</v>
      </c>
      <c r="I65" s="41" t="s">
        <v>477</v>
      </c>
      <c r="J65" s="42">
        <v>0.36814814814814817</v>
      </c>
      <c r="K65" t="s">
        <v>58</v>
      </c>
      <c r="U6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6" spans="1:21" x14ac:dyDescent="0.25">
      <c r="A66">
        <v>2</v>
      </c>
      <c r="B66">
        <v>4380773</v>
      </c>
      <c r="C66" t="s">
        <v>21</v>
      </c>
      <c r="D66" t="s">
        <v>19</v>
      </c>
      <c r="E66">
        <v>41</v>
      </c>
      <c r="F66" t="s">
        <v>64</v>
      </c>
      <c r="G66" s="41" t="s">
        <v>477</v>
      </c>
      <c r="H66" s="42">
        <v>0.33981481481481479</v>
      </c>
      <c r="I66" s="41" t="s">
        <v>477</v>
      </c>
      <c r="J66" s="42">
        <v>0.3681828703703704</v>
      </c>
      <c r="K66" t="s">
        <v>58</v>
      </c>
      <c r="U6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7" spans="1:21" x14ac:dyDescent="0.25">
      <c r="A67">
        <v>2</v>
      </c>
      <c r="B67">
        <v>4380774</v>
      </c>
      <c r="C67" t="s">
        <v>21</v>
      </c>
      <c r="D67" t="s">
        <v>19</v>
      </c>
      <c r="E67">
        <v>41</v>
      </c>
      <c r="F67" t="s">
        <v>64</v>
      </c>
      <c r="G67" s="41" t="s">
        <v>477</v>
      </c>
      <c r="H67" s="42">
        <v>0.33981481481481479</v>
      </c>
      <c r="I67" s="41" t="s">
        <v>477</v>
      </c>
      <c r="J67" s="42">
        <v>0.36822916666666666</v>
      </c>
      <c r="K67" t="s">
        <v>58</v>
      </c>
      <c r="U6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8" spans="1:21" x14ac:dyDescent="0.25">
      <c r="A68">
        <v>2</v>
      </c>
      <c r="B68">
        <v>4380775</v>
      </c>
      <c r="C68" t="s">
        <v>21</v>
      </c>
      <c r="D68" t="s">
        <v>19</v>
      </c>
      <c r="E68">
        <v>41</v>
      </c>
      <c r="F68" t="s">
        <v>64</v>
      </c>
      <c r="G68" s="41" t="s">
        <v>477</v>
      </c>
      <c r="H68" s="42">
        <v>0.33981481481481479</v>
      </c>
      <c r="I68" s="41" t="s">
        <v>477</v>
      </c>
      <c r="J68" s="42">
        <v>0.35699074074074072</v>
      </c>
      <c r="K68" t="s">
        <v>58</v>
      </c>
      <c r="U6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69" spans="1:21" x14ac:dyDescent="0.25">
      <c r="A69">
        <v>2</v>
      </c>
      <c r="B69">
        <v>4380776</v>
      </c>
      <c r="C69" t="s">
        <v>21</v>
      </c>
      <c r="D69" t="s">
        <v>19</v>
      </c>
      <c r="E69">
        <v>41</v>
      </c>
      <c r="F69" t="s">
        <v>64</v>
      </c>
      <c r="G69" s="41" t="s">
        <v>477</v>
      </c>
      <c r="H69" s="42">
        <v>0.33981481481481479</v>
      </c>
      <c r="I69" s="41" t="s">
        <v>477</v>
      </c>
      <c r="J69" s="42">
        <v>0.36826388888888889</v>
      </c>
      <c r="K69" t="s">
        <v>58</v>
      </c>
      <c r="U6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0" spans="1:21" x14ac:dyDescent="0.25">
      <c r="A70">
        <v>2</v>
      </c>
      <c r="B70">
        <v>4380779</v>
      </c>
      <c r="C70" t="s">
        <v>21</v>
      </c>
      <c r="D70" t="s">
        <v>19</v>
      </c>
      <c r="E70">
        <v>41</v>
      </c>
      <c r="F70" t="s">
        <v>64</v>
      </c>
      <c r="G70" s="41" t="s">
        <v>477</v>
      </c>
      <c r="H70" s="42">
        <v>0.33981481481481479</v>
      </c>
      <c r="I70" s="41" t="s">
        <v>477</v>
      </c>
      <c r="J70" s="42">
        <v>0.3570949074074074</v>
      </c>
      <c r="K70" t="s">
        <v>58</v>
      </c>
      <c r="U7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71" spans="1:21" x14ac:dyDescent="0.25">
      <c r="A71">
        <v>1</v>
      </c>
      <c r="B71">
        <v>4380780</v>
      </c>
      <c r="C71" t="s">
        <v>21</v>
      </c>
      <c r="D71" t="s">
        <v>19</v>
      </c>
      <c r="E71">
        <v>1</v>
      </c>
      <c r="F71" t="s">
        <v>162</v>
      </c>
      <c r="G71" s="41" t="s">
        <v>414</v>
      </c>
      <c r="H71" s="42">
        <v>0.93368055555555551</v>
      </c>
      <c r="I71" s="41" t="s">
        <v>414</v>
      </c>
      <c r="J71" s="42">
        <v>0.95082175925925927</v>
      </c>
      <c r="K71" t="s">
        <v>58</v>
      </c>
      <c r="U7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72" spans="1:21" x14ac:dyDescent="0.25">
      <c r="A72">
        <v>8</v>
      </c>
      <c r="B72">
        <v>4380794</v>
      </c>
      <c r="C72" t="s">
        <v>17</v>
      </c>
      <c r="D72" t="s">
        <v>17</v>
      </c>
      <c r="E72">
        <v>13</v>
      </c>
      <c r="F72" t="s">
        <v>57</v>
      </c>
      <c r="G72" s="41" t="s">
        <v>477</v>
      </c>
      <c r="H72" s="42">
        <v>0.4221064814814815</v>
      </c>
      <c r="I72" s="41" t="s">
        <v>477</v>
      </c>
      <c r="J72" s="42">
        <v>0.42856481481481479</v>
      </c>
      <c r="K72" t="s">
        <v>58</v>
      </c>
      <c r="U72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73" spans="1:21" x14ac:dyDescent="0.25">
      <c r="A73">
        <v>9</v>
      </c>
      <c r="B73">
        <v>4380796</v>
      </c>
      <c r="C73" t="s">
        <v>17</v>
      </c>
      <c r="D73" t="s">
        <v>17</v>
      </c>
      <c r="E73">
        <v>13</v>
      </c>
      <c r="F73" t="s">
        <v>57</v>
      </c>
      <c r="G73" s="41" t="s">
        <v>477</v>
      </c>
      <c r="H73" s="42">
        <v>0.42199074074074072</v>
      </c>
      <c r="I73" s="41" t="s">
        <v>477</v>
      </c>
      <c r="J73" s="42">
        <v>0.42871527777777779</v>
      </c>
      <c r="K73" t="s">
        <v>58</v>
      </c>
      <c r="M73">
        <v>626</v>
      </c>
      <c r="N73">
        <v>72324571</v>
      </c>
      <c r="O73">
        <v>4906142206</v>
      </c>
      <c r="P73">
        <v>2024</v>
      </c>
      <c r="Q73" t="s">
        <v>550</v>
      </c>
      <c r="U73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74" spans="1:21" x14ac:dyDescent="0.25">
      <c r="A74">
        <v>9</v>
      </c>
      <c r="B74">
        <v>4380797</v>
      </c>
      <c r="C74" t="s">
        <v>17</v>
      </c>
      <c r="D74" t="s">
        <v>17</v>
      </c>
      <c r="E74">
        <v>13</v>
      </c>
      <c r="F74" t="s">
        <v>57</v>
      </c>
      <c r="G74" s="41" t="s">
        <v>477</v>
      </c>
      <c r="H74" s="42">
        <v>0.421875</v>
      </c>
      <c r="I74" s="41" t="s">
        <v>477</v>
      </c>
      <c r="J74" s="42">
        <v>0.42879629629629629</v>
      </c>
      <c r="K74" t="s">
        <v>58</v>
      </c>
      <c r="M74">
        <v>626</v>
      </c>
      <c r="N74">
        <v>72324638</v>
      </c>
      <c r="O74">
        <v>4906142226</v>
      </c>
      <c r="P74">
        <v>2024</v>
      </c>
      <c r="Q74" t="s">
        <v>550</v>
      </c>
      <c r="U74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75" spans="1:21" x14ac:dyDescent="0.25">
      <c r="A75">
        <v>1</v>
      </c>
      <c r="B75">
        <v>4381005</v>
      </c>
      <c r="C75" t="s">
        <v>21</v>
      </c>
      <c r="D75" t="s">
        <v>21</v>
      </c>
      <c r="E75">
        <v>0</v>
      </c>
      <c r="F75" t="s">
        <v>62</v>
      </c>
      <c r="G75" s="41" t="s">
        <v>381</v>
      </c>
      <c r="H75" s="42">
        <v>0.41134259259259259</v>
      </c>
      <c r="I75" s="41" t="s">
        <v>381</v>
      </c>
      <c r="J75" s="42">
        <v>0.41142361111111109</v>
      </c>
      <c r="K75" t="s">
        <v>58</v>
      </c>
      <c r="U7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76" spans="1:21" x14ac:dyDescent="0.25">
      <c r="A76">
        <v>1</v>
      </c>
      <c r="B76">
        <v>4381012</v>
      </c>
      <c r="C76" t="s">
        <v>21</v>
      </c>
      <c r="D76" t="s">
        <v>21</v>
      </c>
      <c r="E76">
        <v>0</v>
      </c>
      <c r="F76" t="s">
        <v>62</v>
      </c>
      <c r="G76" s="41" t="s">
        <v>381</v>
      </c>
      <c r="H76" s="42">
        <v>0.43217592592592591</v>
      </c>
      <c r="I76" s="41" t="s">
        <v>381</v>
      </c>
      <c r="J76" s="42">
        <v>0.43223379629629627</v>
      </c>
      <c r="K76" t="s">
        <v>58</v>
      </c>
      <c r="U7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77" spans="1:21" x14ac:dyDescent="0.25">
      <c r="A77">
        <v>1</v>
      </c>
      <c r="B77">
        <v>4381015</v>
      </c>
      <c r="C77" t="s">
        <v>21</v>
      </c>
      <c r="D77" t="s">
        <v>21</v>
      </c>
      <c r="E77">
        <v>0</v>
      </c>
      <c r="F77" t="s">
        <v>62</v>
      </c>
      <c r="G77" s="41" t="s">
        <v>381</v>
      </c>
      <c r="H77" s="42">
        <v>0.4460648148148148</v>
      </c>
      <c r="I77" s="41" t="s">
        <v>381</v>
      </c>
      <c r="J77" s="42">
        <v>0.4460763888888889</v>
      </c>
      <c r="K77" t="s">
        <v>58</v>
      </c>
      <c r="U7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78" spans="1:21" x14ac:dyDescent="0.25">
      <c r="A78">
        <v>9</v>
      </c>
      <c r="B78">
        <v>4381016</v>
      </c>
      <c r="C78" t="s">
        <v>17</v>
      </c>
      <c r="D78" t="s">
        <v>17</v>
      </c>
      <c r="E78">
        <v>13</v>
      </c>
      <c r="F78" t="s">
        <v>57</v>
      </c>
      <c r="G78" s="41" t="s">
        <v>477</v>
      </c>
      <c r="H78" s="42">
        <v>0.39155092592592594</v>
      </c>
      <c r="I78" s="41" t="s">
        <v>477</v>
      </c>
      <c r="J78" s="42">
        <v>0.39250000000000002</v>
      </c>
      <c r="K78" t="s">
        <v>58</v>
      </c>
      <c r="U78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79" spans="1:21" x14ac:dyDescent="0.25">
      <c r="A79">
        <v>7</v>
      </c>
      <c r="B79">
        <v>4381020</v>
      </c>
      <c r="C79" t="s">
        <v>17</v>
      </c>
      <c r="D79" t="s">
        <v>17</v>
      </c>
      <c r="E79">
        <v>12</v>
      </c>
      <c r="F79" t="s">
        <v>59</v>
      </c>
      <c r="G79" s="41" t="s">
        <v>414</v>
      </c>
      <c r="H79" s="42">
        <v>0.6635416666666667</v>
      </c>
      <c r="I79" s="41" t="s">
        <v>414</v>
      </c>
      <c r="J79" s="42">
        <v>0.67228009259259258</v>
      </c>
      <c r="K79" t="s">
        <v>58</v>
      </c>
      <c r="U7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80" spans="1:21" x14ac:dyDescent="0.25">
      <c r="A80">
        <v>2</v>
      </c>
      <c r="B80">
        <v>4381062</v>
      </c>
      <c r="C80" t="s">
        <v>21</v>
      </c>
      <c r="D80" t="s">
        <v>19</v>
      </c>
      <c r="E80">
        <v>41</v>
      </c>
      <c r="F80" t="s">
        <v>64</v>
      </c>
      <c r="G80" s="41" t="s">
        <v>477</v>
      </c>
      <c r="H80" s="42">
        <v>0.33981481481481479</v>
      </c>
      <c r="I80" s="41" t="s">
        <v>477</v>
      </c>
      <c r="J80" s="42">
        <v>0.35712962962962963</v>
      </c>
      <c r="K80" t="s">
        <v>58</v>
      </c>
      <c r="U8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1" spans="1:21" x14ac:dyDescent="0.25">
      <c r="A81">
        <v>3</v>
      </c>
      <c r="B81">
        <v>4381063</v>
      </c>
      <c r="C81" t="s">
        <v>21</v>
      </c>
      <c r="D81" t="s">
        <v>19</v>
      </c>
      <c r="E81">
        <v>41</v>
      </c>
      <c r="F81" t="s">
        <v>64</v>
      </c>
      <c r="G81" s="41" t="s">
        <v>477</v>
      </c>
      <c r="H81" s="42">
        <v>0.33981481481481479</v>
      </c>
      <c r="I81" s="41" t="s">
        <v>477</v>
      </c>
      <c r="J81" s="42">
        <v>0.36829861111111112</v>
      </c>
      <c r="K81" t="s">
        <v>58</v>
      </c>
      <c r="U8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2" spans="1:21" x14ac:dyDescent="0.25">
      <c r="A82">
        <v>3</v>
      </c>
      <c r="B82">
        <v>4381064</v>
      </c>
      <c r="C82" t="s">
        <v>21</v>
      </c>
      <c r="D82" t="s">
        <v>19</v>
      </c>
      <c r="E82">
        <v>41</v>
      </c>
      <c r="F82" t="s">
        <v>64</v>
      </c>
      <c r="G82" s="41" t="s">
        <v>477</v>
      </c>
      <c r="H82" s="42">
        <v>0.33981481481481479</v>
      </c>
      <c r="I82" s="41" t="s">
        <v>477</v>
      </c>
      <c r="J82" s="42">
        <v>0.36834490740740738</v>
      </c>
      <c r="K82" t="s">
        <v>58</v>
      </c>
      <c r="U8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3" spans="1:21" x14ac:dyDescent="0.25">
      <c r="A83">
        <v>1</v>
      </c>
      <c r="B83">
        <v>4381065</v>
      </c>
      <c r="C83" t="s">
        <v>21</v>
      </c>
      <c r="D83" t="s">
        <v>19</v>
      </c>
      <c r="E83">
        <v>1</v>
      </c>
      <c r="F83" t="s">
        <v>162</v>
      </c>
      <c r="G83" s="41" t="s">
        <v>414</v>
      </c>
      <c r="H83" s="42">
        <v>0.91689814814814818</v>
      </c>
      <c r="I83" s="41" t="s">
        <v>414</v>
      </c>
      <c r="J83" s="42">
        <v>0.92344907407407406</v>
      </c>
      <c r="K83" t="s">
        <v>58</v>
      </c>
      <c r="U8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84" spans="1:21" x14ac:dyDescent="0.25">
      <c r="A84">
        <v>3</v>
      </c>
      <c r="B84">
        <v>4381066</v>
      </c>
      <c r="C84" t="s">
        <v>21</v>
      </c>
      <c r="D84" t="s">
        <v>19</v>
      </c>
      <c r="E84">
        <v>41</v>
      </c>
      <c r="F84" t="s">
        <v>64</v>
      </c>
      <c r="G84" s="41" t="s">
        <v>477</v>
      </c>
      <c r="H84" s="42">
        <v>0.33981481481481479</v>
      </c>
      <c r="I84" s="41" t="s">
        <v>477</v>
      </c>
      <c r="J84" s="42">
        <v>0.3684027777777778</v>
      </c>
      <c r="K84" t="s">
        <v>58</v>
      </c>
      <c r="U8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5" spans="1:21" x14ac:dyDescent="0.25">
      <c r="A85">
        <v>2</v>
      </c>
      <c r="B85">
        <v>4381067</v>
      </c>
      <c r="C85" t="s">
        <v>21</v>
      </c>
      <c r="D85" t="s">
        <v>19</v>
      </c>
      <c r="E85">
        <v>1</v>
      </c>
      <c r="F85" t="s">
        <v>162</v>
      </c>
      <c r="G85" s="41" t="s">
        <v>414</v>
      </c>
      <c r="H85" s="42">
        <v>0.91689814814814818</v>
      </c>
      <c r="I85" s="41" t="s">
        <v>414</v>
      </c>
      <c r="J85" s="42">
        <v>0.92351851851851852</v>
      </c>
      <c r="K85" t="s">
        <v>58</v>
      </c>
      <c r="U8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86" spans="1:21" x14ac:dyDescent="0.25">
      <c r="A86">
        <v>3</v>
      </c>
      <c r="B86">
        <v>4381068</v>
      </c>
      <c r="C86" t="s">
        <v>21</v>
      </c>
      <c r="D86" t="s">
        <v>19</v>
      </c>
      <c r="E86">
        <v>41</v>
      </c>
      <c r="F86" t="s">
        <v>64</v>
      </c>
      <c r="G86" s="41" t="s">
        <v>477</v>
      </c>
      <c r="H86" s="42">
        <v>0.33981481481481479</v>
      </c>
      <c r="I86" s="41" t="s">
        <v>477</v>
      </c>
      <c r="J86" s="42">
        <v>0.35726851851851854</v>
      </c>
      <c r="K86" t="s">
        <v>58</v>
      </c>
      <c r="U8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7" spans="1:21" x14ac:dyDescent="0.25">
      <c r="A87">
        <v>1</v>
      </c>
      <c r="B87">
        <v>4381069</v>
      </c>
      <c r="C87" t="s">
        <v>21</v>
      </c>
      <c r="D87" t="s">
        <v>19</v>
      </c>
      <c r="E87">
        <v>1</v>
      </c>
      <c r="F87" t="s">
        <v>162</v>
      </c>
      <c r="G87" s="41" t="s">
        <v>414</v>
      </c>
      <c r="H87" s="42">
        <v>0.91689814814814818</v>
      </c>
      <c r="I87" s="41" t="s">
        <v>414</v>
      </c>
      <c r="J87" s="42">
        <v>0.92358796296296297</v>
      </c>
      <c r="K87" t="s">
        <v>58</v>
      </c>
      <c r="U8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88" spans="1:21" x14ac:dyDescent="0.25">
      <c r="A88">
        <v>2</v>
      </c>
      <c r="B88">
        <v>4381071</v>
      </c>
      <c r="C88" t="s">
        <v>21</v>
      </c>
      <c r="D88" t="s">
        <v>19</v>
      </c>
      <c r="E88">
        <v>41</v>
      </c>
      <c r="F88" t="s">
        <v>64</v>
      </c>
      <c r="G88" s="41" t="s">
        <v>477</v>
      </c>
      <c r="H88" s="42">
        <v>0.33981481481481479</v>
      </c>
      <c r="I88" s="41" t="s">
        <v>477</v>
      </c>
      <c r="J88" s="42">
        <v>0.35730324074074077</v>
      </c>
      <c r="K88" t="s">
        <v>58</v>
      </c>
      <c r="U8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89" spans="1:21" x14ac:dyDescent="0.25">
      <c r="A89">
        <v>1</v>
      </c>
      <c r="B89">
        <v>4381072</v>
      </c>
      <c r="C89" t="s">
        <v>21</v>
      </c>
      <c r="D89" t="s">
        <v>19</v>
      </c>
      <c r="E89">
        <v>1</v>
      </c>
      <c r="F89" t="s">
        <v>162</v>
      </c>
      <c r="G89" s="41" t="s">
        <v>414</v>
      </c>
      <c r="H89" s="42">
        <v>0.91689814814814818</v>
      </c>
      <c r="I89" s="41" t="s">
        <v>414</v>
      </c>
      <c r="J89" s="42">
        <v>0.92364583333333339</v>
      </c>
      <c r="K89" t="s">
        <v>58</v>
      </c>
      <c r="U8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0" spans="1:21" x14ac:dyDescent="0.25">
      <c r="A90">
        <v>2</v>
      </c>
      <c r="B90">
        <v>4381073</v>
      </c>
      <c r="C90" t="s">
        <v>21</v>
      </c>
      <c r="D90" t="s">
        <v>19</v>
      </c>
      <c r="E90">
        <v>41</v>
      </c>
      <c r="F90" t="s">
        <v>64</v>
      </c>
      <c r="G90" s="41" t="s">
        <v>477</v>
      </c>
      <c r="H90" s="42">
        <v>0.33981481481481479</v>
      </c>
      <c r="I90" s="41" t="s">
        <v>477</v>
      </c>
      <c r="J90" s="42">
        <v>0.36846064814814816</v>
      </c>
      <c r="K90" t="s">
        <v>58</v>
      </c>
      <c r="U9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1" spans="1:21" x14ac:dyDescent="0.25">
      <c r="A91">
        <v>1</v>
      </c>
      <c r="B91">
        <v>4381074</v>
      </c>
      <c r="C91" t="s">
        <v>21</v>
      </c>
      <c r="D91" t="s">
        <v>21</v>
      </c>
      <c r="E91">
        <v>1</v>
      </c>
      <c r="F91" t="s">
        <v>162</v>
      </c>
      <c r="G91" s="41" t="s">
        <v>414</v>
      </c>
      <c r="H91" s="42">
        <v>0.91689814814814818</v>
      </c>
      <c r="I91" s="41" t="s">
        <v>414</v>
      </c>
      <c r="J91" s="42">
        <v>0.92372685185185188</v>
      </c>
      <c r="K91" t="s">
        <v>58</v>
      </c>
      <c r="U9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2" spans="1:21" x14ac:dyDescent="0.25">
      <c r="A92">
        <v>1</v>
      </c>
      <c r="B92">
        <v>4381075</v>
      </c>
      <c r="C92" t="s">
        <v>21</v>
      </c>
      <c r="D92" t="s">
        <v>21</v>
      </c>
      <c r="E92">
        <v>1</v>
      </c>
      <c r="F92" t="s">
        <v>162</v>
      </c>
      <c r="G92" s="41" t="s">
        <v>414</v>
      </c>
      <c r="H92" s="42">
        <v>0.91689814814814818</v>
      </c>
      <c r="I92" s="41" t="s">
        <v>414</v>
      </c>
      <c r="J92" s="42">
        <v>0.92376157407407411</v>
      </c>
      <c r="K92" t="s">
        <v>58</v>
      </c>
      <c r="U9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3" spans="1:21" x14ac:dyDescent="0.25">
      <c r="A93">
        <v>1</v>
      </c>
      <c r="B93">
        <v>4381076</v>
      </c>
      <c r="C93" t="s">
        <v>21</v>
      </c>
      <c r="D93" t="s">
        <v>21</v>
      </c>
      <c r="E93">
        <v>1</v>
      </c>
      <c r="F93" t="s">
        <v>162</v>
      </c>
      <c r="G93" s="41" t="s">
        <v>414</v>
      </c>
      <c r="H93" s="42">
        <v>0.91689814814814818</v>
      </c>
      <c r="I93" s="41" t="s">
        <v>414</v>
      </c>
      <c r="J93" s="42">
        <v>0.92379629629629634</v>
      </c>
      <c r="K93" t="s">
        <v>58</v>
      </c>
      <c r="U9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4" spans="1:21" x14ac:dyDescent="0.25">
      <c r="A94">
        <v>2</v>
      </c>
      <c r="B94">
        <v>4381077</v>
      </c>
      <c r="C94" t="s">
        <v>21</v>
      </c>
      <c r="D94" t="s">
        <v>19</v>
      </c>
      <c r="E94">
        <v>41</v>
      </c>
      <c r="F94" t="s">
        <v>64</v>
      </c>
      <c r="G94" s="41" t="s">
        <v>477</v>
      </c>
      <c r="H94" s="42">
        <v>0.33981481481481479</v>
      </c>
      <c r="I94" s="41" t="s">
        <v>477</v>
      </c>
      <c r="J94" s="42">
        <v>0.36849537037037039</v>
      </c>
      <c r="K94" t="s">
        <v>58</v>
      </c>
      <c r="U9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5" spans="1:21" x14ac:dyDescent="0.25">
      <c r="A95">
        <v>1</v>
      </c>
      <c r="B95">
        <v>4381078</v>
      </c>
      <c r="C95" t="s">
        <v>21</v>
      </c>
      <c r="D95" t="s">
        <v>19</v>
      </c>
      <c r="E95">
        <v>1</v>
      </c>
      <c r="F95" t="s">
        <v>162</v>
      </c>
      <c r="G95" s="41" t="s">
        <v>414</v>
      </c>
      <c r="H95" s="42">
        <v>0.91689814814814818</v>
      </c>
      <c r="I95" s="41" t="s">
        <v>414</v>
      </c>
      <c r="J95" s="42">
        <v>0.92383101851851857</v>
      </c>
      <c r="K95" t="s">
        <v>58</v>
      </c>
      <c r="U9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96" spans="1:21" x14ac:dyDescent="0.25">
      <c r="A96">
        <v>2</v>
      </c>
      <c r="B96">
        <v>4381080</v>
      </c>
      <c r="C96" t="s">
        <v>21</v>
      </c>
      <c r="D96" t="s">
        <v>19</v>
      </c>
      <c r="E96">
        <v>41</v>
      </c>
      <c r="F96" t="s">
        <v>64</v>
      </c>
      <c r="G96" s="41" t="s">
        <v>477</v>
      </c>
      <c r="H96" s="42">
        <v>0.33981481481481479</v>
      </c>
      <c r="I96" s="41" t="s">
        <v>477</v>
      </c>
      <c r="J96" s="42">
        <v>0.36854166666666666</v>
      </c>
      <c r="K96" t="s">
        <v>58</v>
      </c>
      <c r="U9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7" spans="1:21" x14ac:dyDescent="0.25">
      <c r="A97">
        <v>2</v>
      </c>
      <c r="B97">
        <v>4381081</v>
      </c>
      <c r="C97" t="s">
        <v>21</v>
      </c>
      <c r="D97" t="s">
        <v>19</v>
      </c>
      <c r="E97">
        <v>41</v>
      </c>
      <c r="F97" t="s">
        <v>64</v>
      </c>
      <c r="G97" s="41" t="s">
        <v>477</v>
      </c>
      <c r="H97" s="42">
        <v>0.33981481481481479</v>
      </c>
      <c r="I97" s="41" t="s">
        <v>477</v>
      </c>
      <c r="J97" s="42">
        <v>0.36857638888888888</v>
      </c>
      <c r="K97" t="s">
        <v>58</v>
      </c>
      <c r="U9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8" spans="1:21" x14ac:dyDescent="0.25">
      <c r="A98">
        <v>2</v>
      </c>
      <c r="B98">
        <v>4381082</v>
      </c>
      <c r="C98" t="s">
        <v>21</v>
      </c>
      <c r="D98" t="s">
        <v>19</v>
      </c>
      <c r="E98">
        <v>41</v>
      </c>
      <c r="F98" t="s">
        <v>64</v>
      </c>
      <c r="G98" s="41" t="s">
        <v>477</v>
      </c>
      <c r="H98" s="42">
        <v>0.33981481481481479</v>
      </c>
      <c r="I98" s="41" t="s">
        <v>477</v>
      </c>
      <c r="J98" s="42">
        <v>0.36861111111111111</v>
      </c>
      <c r="K98" t="s">
        <v>58</v>
      </c>
      <c r="U9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99" spans="1:21" x14ac:dyDescent="0.25">
      <c r="A99">
        <v>1</v>
      </c>
      <c r="B99">
        <v>4381083</v>
      </c>
      <c r="C99" t="s">
        <v>21</v>
      </c>
      <c r="D99" t="s">
        <v>19</v>
      </c>
      <c r="E99">
        <v>1</v>
      </c>
      <c r="F99" t="s">
        <v>162</v>
      </c>
      <c r="G99" s="41" t="s">
        <v>414</v>
      </c>
      <c r="H99" s="42">
        <v>0.91689814814814818</v>
      </c>
      <c r="I99" s="41" t="s">
        <v>414</v>
      </c>
      <c r="J99" s="42">
        <v>0.92396990740740736</v>
      </c>
      <c r="K99" t="s">
        <v>58</v>
      </c>
      <c r="U9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0" spans="1:21" x14ac:dyDescent="0.25">
      <c r="A100">
        <v>1</v>
      </c>
      <c r="B100">
        <v>4381084</v>
      </c>
      <c r="C100" t="s">
        <v>21</v>
      </c>
      <c r="D100" t="s">
        <v>19</v>
      </c>
      <c r="E100">
        <v>1</v>
      </c>
      <c r="F100" t="s">
        <v>162</v>
      </c>
      <c r="G100" s="41" t="s">
        <v>414</v>
      </c>
      <c r="H100" s="42">
        <v>0.93368055555555551</v>
      </c>
      <c r="I100" s="41" t="s">
        <v>414</v>
      </c>
      <c r="J100" s="42">
        <v>0.95089120370370372</v>
      </c>
      <c r="K100" t="s">
        <v>58</v>
      </c>
      <c r="U10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1" spans="1:21" x14ac:dyDescent="0.25">
      <c r="A101">
        <v>2</v>
      </c>
      <c r="B101">
        <v>4381085</v>
      </c>
      <c r="C101" t="s">
        <v>21</v>
      </c>
      <c r="D101" t="s">
        <v>19</v>
      </c>
      <c r="E101">
        <v>41</v>
      </c>
      <c r="F101" t="s">
        <v>64</v>
      </c>
      <c r="G101" s="41" t="s">
        <v>477</v>
      </c>
      <c r="H101" s="42">
        <v>0.33981481481481479</v>
      </c>
      <c r="I101" s="41" t="s">
        <v>477</v>
      </c>
      <c r="J101" s="42">
        <v>0.35749999999999998</v>
      </c>
      <c r="K101" t="s">
        <v>58</v>
      </c>
      <c r="U10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2" spans="1:21" x14ac:dyDescent="0.25">
      <c r="A102">
        <v>2</v>
      </c>
      <c r="B102">
        <v>4381086</v>
      </c>
      <c r="C102" t="s">
        <v>21</v>
      </c>
      <c r="D102" t="s">
        <v>19</v>
      </c>
      <c r="E102">
        <v>41</v>
      </c>
      <c r="F102" t="s">
        <v>64</v>
      </c>
      <c r="G102" s="41" t="s">
        <v>477</v>
      </c>
      <c r="H102" s="42">
        <v>0.33981481481481479</v>
      </c>
      <c r="I102" s="41" t="s">
        <v>477</v>
      </c>
      <c r="J102" s="42">
        <v>0.36864583333333334</v>
      </c>
      <c r="K102" t="s">
        <v>58</v>
      </c>
      <c r="U10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3" spans="1:21" x14ac:dyDescent="0.25">
      <c r="A103">
        <v>2</v>
      </c>
      <c r="B103">
        <v>4381087</v>
      </c>
      <c r="C103" t="s">
        <v>21</v>
      </c>
      <c r="D103" t="s">
        <v>19</v>
      </c>
      <c r="E103">
        <v>41</v>
      </c>
      <c r="F103" t="s">
        <v>64</v>
      </c>
      <c r="G103" s="41" t="s">
        <v>477</v>
      </c>
      <c r="H103" s="42">
        <v>0.33981481481481479</v>
      </c>
      <c r="I103" s="41" t="s">
        <v>477</v>
      </c>
      <c r="J103" s="42">
        <v>0.36868055555555557</v>
      </c>
      <c r="K103" t="s">
        <v>58</v>
      </c>
      <c r="U10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4" spans="1:21" x14ac:dyDescent="0.25">
      <c r="A104">
        <v>2</v>
      </c>
      <c r="B104">
        <v>4381088</v>
      </c>
      <c r="C104" t="s">
        <v>21</v>
      </c>
      <c r="D104" t="s">
        <v>19</v>
      </c>
      <c r="E104">
        <v>41</v>
      </c>
      <c r="F104" t="s">
        <v>64</v>
      </c>
      <c r="G104" s="41" t="s">
        <v>477</v>
      </c>
      <c r="H104" s="42">
        <v>0.33981481481481479</v>
      </c>
      <c r="I104" s="41" t="s">
        <v>477</v>
      </c>
      <c r="J104" s="42">
        <v>0.36871527777777779</v>
      </c>
      <c r="K104" t="s">
        <v>58</v>
      </c>
      <c r="U10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5" spans="1:21" x14ac:dyDescent="0.25">
      <c r="A105">
        <v>2</v>
      </c>
      <c r="B105">
        <v>4381089</v>
      </c>
      <c r="C105" t="s">
        <v>21</v>
      </c>
      <c r="D105" t="s">
        <v>19</v>
      </c>
      <c r="E105">
        <v>41</v>
      </c>
      <c r="F105" t="s">
        <v>64</v>
      </c>
      <c r="G105" s="41" t="s">
        <v>477</v>
      </c>
      <c r="H105" s="42">
        <v>0.33981481481481479</v>
      </c>
      <c r="I105" s="41" t="s">
        <v>477</v>
      </c>
      <c r="J105" s="42">
        <v>0.36875000000000002</v>
      </c>
      <c r="K105" t="s">
        <v>58</v>
      </c>
      <c r="U10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6" spans="1:21" x14ac:dyDescent="0.25">
      <c r="A106">
        <v>2</v>
      </c>
      <c r="B106">
        <v>4381090</v>
      </c>
      <c r="C106" t="s">
        <v>21</v>
      </c>
      <c r="D106" t="s">
        <v>19</v>
      </c>
      <c r="E106">
        <v>1</v>
      </c>
      <c r="F106" t="s">
        <v>162</v>
      </c>
      <c r="G106" s="41" t="s">
        <v>414</v>
      </c>
      <c r="H106" s="42">
        <v>0.91701388888888891</v>
      </c>
      <c r="I106" s="41" t="s">
        <v>414</v>
      </c>
      <c r="J106" s="42">
        <v>0.92415509259259254</v>
      </c>
      <c r="K106" t="s">
        <v>58</v>
      </c>
      <c r="U10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7" spans="1:21" x14ac:dyDescent="0.25">
      <c r="A107">
        <v>2</v>
      </c>
      <c r="B107">
        <v>4381091</v>
      </c>
      <c r="C107" t="s">
        <v>21</v>
      </c>
      <c r="D107" t="s">
        <v>19</v>
      </c>
      <c r="E107">
        <v>41</v>
      </c>
      <c r="F107" t="s">
        <v>64</v>
      </c>
      <c r="G107" s="41" t="s">
        <v>477</v>
      </c>
      <c r="H107" s="42">
        <v>0.33981481481481479</v>
      </c>
      <c r="I107" s="41" t="s">
        <v>477</v>
      </c>
      <c r="J107" s="42">
        <v>0.36879629629629629</v>
      </c>
      <c r="K107" t="s">
        <v>58</v>
      </c>
      <c r="U10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08" spans="1:21" x14ac:dyDescent="0.25">
      <c r="A108">
        <v>2</v>
      </c>
      <c r="B108">
        <v>4381092</v>
      </c>
      <c r="C108" t="s">
        <v>21</v>
      </c>
      <c r="D108" t="s">
        <v>19</v>
      </c>
      <c r="E108">
        <v>1</v>
      </c>
      <c r="F108" t="s">
        <v>162</v>
      </c>
      <c r="G108" s="41" t="s">
        <v>414</v>
      </c>
      <c r="H108" s="42">
        <v>0.91701388888888891</v>
      </c>
      <c r="I108" s="41" t="s">
        <v>414</v>
      </c>
      <c r="J108" s="42">
        <v>0.92418981481481477</v>
      </c>
      <c r="K108" t="s">
        <v>58</v>
      </c>
      <c r="U10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09" spans="1:21" x14ac:dyDescent="0.25">
      <c r="A109">
        <v>2</v>
      </c>
      <c r="B109">
        <v>4381094</v>
      </c>
      <c r="C109" t="s">
        <v>21</v>
      </c>
      <c r="D109" t="s">
        <v>19</v>
      </c>
      <c r="E109">
        <v>1</v>
      </c>
      <c r="F109" t="s">
        <v>162</v>
      </c>
      <c r="G109" s="41" t="s">
        <v>414</v>
      </c>
      <c r="H109" s="42">
        <v>0.93368055555555551</v>
      </c>
      <c r="I109" s="41" t="s">
        <v>414</v>
      </c>
      <c r="J109" s="42">
        <v>0.95099537037037041</v>
      </c>
      <c r="K109" t="s">
        <v>58</v>
      </c>
      <c r="U10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0" spans="1:21" x14ac:dyDescent="0.25">
      <c r="A110">
        <v>2</v>
      </c>
      <c r="B110">
        <v>4381095</v>
      </c>
      <c r="C110" t="s">
        <v>21</v>
      </c>
      <c r="D110" t="s">
        <v>19</v>
      </c>
      <c r="E110">
        <v>1</v>
      </c>
      <c r="F110" t="s">
        <v>162</v>
      </c>
      <c r="G110" s="41" t="s">
        <v>414</v>
      </c>
      <c r="H110" s="42">
        <v>0.91701388888888891</v>
      </c>
      <c r="I110" s="41" t="s">
        <v>414</v>
      </c>
      <c r="J110" s="42">
        <v>0.92421296296296296</v>
      </c>
      <c r="K110" t="s">
        <v>58</v>
      </c>
      <c r="U11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1" spans="1:21" x14ac:dyDescent="0.25">
      <c r="A111">
        <v>2</v>
      </c>
      <c r="B111">
        <v>4381100</v>
      </c>
      <c r="C111" t="s">
        <v>21</v>
      </c>
      <c r="D111" t="s">
        <v>21</v>
      </c>
      <c r="E111">
        <v>1</v>
      </c>
      <c r="F111" t="s">
        <v>162</v>
      </c>
      <c r="G111" s="41" t="s">
        <v>414</v>
      </c>
      <c r="H111" s="42">
        <v>0.91701388888888891</v>
      </c>
      <c r="I111" s="41" t="s">
        <v>414</v>
      </c>
      <c r="J111" s="42">
        <v>0.92424768518518519</v>
      </c>
      <c r="K111" t="s">
        <v>58</v>
      </c>
      <c r="U11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2" spans="1:21" x14ac:dyDescent="0.25">
      <c r="A112">
        <v>3</v>
      </c>
      <c r="B112">
        <v>4381101</v>
      </c>
      <c r="C112" t="s">
        <v>21</v>
      </c>
      <c r="D112" t="s">
        <v>19</v>
      </c>
      <c r="E112">
        <v>41</v>
      </c>
      <c r="F112" t="s">
        <v>64</v>
      </c>
      <c r="G112" s="41" t="s">
        <v>477</v>
      </c>
      <c r="H112" s="42">
        <v>0.33981481481481479</v>
      </c>
      <c r="I112" s="41" t="s">
        <v>477</v>
      </c>
      <c r="J112" s="42">
        <v>0.36883101851851852</v>
      </c>
      <c r="K112" t="s">
        <v>58</v>
      </c>
      <c r="U11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3" spans="1:21" x14ac:dyDescent="0.25">
      <c r="A113">
        <v>2</v>
      </c>
      <c r="B113">
        <v>4381102</v>
      </c>
      <c r="C113" t="s">
        <v>21</v>
      </c>
      <c r="D113" t="s">
        <v>19</v>
      </c>
      <c r="E113">
        <v>1</v>
      </c>
      <c r="F113" t="s">
        <v>162</v>
      </c>
      <c r="G113" s="41" t="s">
        <v>414</v>
      </c>
      <c r="H113" s="42">
        <v>0.93368055555555551</v>
      </c>
      <c r="I113" s="41" t="s">
        <v>414</v>
      </c>
      <c r="J113" s="42">
        <v>0.95103009259259264</v>
      </c>
      <c r="K113" t="s">
        <v>58</v>
      </c>
      <c r="U11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4" spans="1:21" x14ac:dyDescent="0.25">
      <c r="A114">
        <v>3</v>
      </c>
      <c r="B114">
        <v>4381103</v>
      </c>
      <c r="C114" t="s">
        <v>21</v>
      </c>
      <c r="D114" t="s">
        <v>19</v>
      </c>
      <c r="E114">
        <v>41</v>
      </c>
      <c r="F114" t="s">
        <v>64</v>
      </c>
      <c r="G114" s="41" t="s">
        <v>477</v>
      </c>
      <c r="H114" s="42">
        <v>0.33981481481481479</v>
      </c>
      <c r="I114" s="41" t="s">
        <v>477</v>
      </c>
      <c r="J114" s="42">
        <v>0.37312499999999998</v>
      </c>
      <c r="K114" t="s">
        <v>58</v>
      </c>
      <c r="U11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5" spans="1:21" x14ac:dyDescent="0.25">
      <c r="A115">
        <v>3</v>
      </c>
      <c r="B115">
        <v>4381104</v>
      </c>
      <c r="C115" t="s">
        <v>21</v>
      </c>
      <c r="D115" t="s">
        <v>19</v>
      </c>
      <c r="E115">
        <v>41</v>
      </c>
      <c r="F115" t="s">
        <v>64</v>
      </c>
      <c r="G115" s="41" t="s">
        <v>477</v>
      </c>
      <c r="H115" s="42">
        <v>0.33981481481481479</v>
      </c>
      <c r="I115" s="41" t="s">
        <v>477</v>
      </c>
      <c r="J115" s="42">
        <v>0.35775462962962962</v>
      </c>
      <c r="K115" t="s">
        <v>58</v>
      </c>
      <c r="U11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16" spans="1:21" x14ac:dyDescent="0.25">
      <c r="A116">
        <v>2</v>
      </c>
      <c r="B116">
        <v>4381106</v>
      </c>
      <c r="C116" t="s">
        <v>21</v>
      </c>
      <c r="D116" t="s">
        <v>19</v>
      </c>
      <c r="E116">
        <v>1</v>
      </c>
      <c r="F116" t="s">
        <v>162</v>
      </c>
      <c r="G116" s="41" t="s">
        <v>414</v>
      </c>
      <c r="H116" s="42">
        <v>0.93368055555555551</v>
      </c>
      <c r="I116" s="41" t="s">
        <v>414</v>
      </c>
      <c r="J116" s="42">
        <v>0.95109953703703709</v>
      </c>
      <c r="K116" t="s">
        <v>58</v>
      </c>
      <c r="U11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7" spans="1:21" x14ac:dyDescent="0.25">
      <c r="A117">
        <v>2</v>
      </c>
      <c r="B117">
        <v>4381107</v>
      </c>
      <c r="C117" t="s">
        <v>21</v>
      </c>
      <c r="D117" t="s">
        <v>19</v>
      </c>
      <c r="E117">
        <v>1</v>
      </c>
      <c r="F117" t="s">
        <v>162</v>
      </c>
      <c r="G117" s="41" t="s">
        <v>414</v>
      </c>
      <c r="H117" s="42">
        <v>0.93368055555555551</v>
      </c>
      <c r="I117" s="41" t="s">
        <v>414</v>
      </c>
      <c r="J117" s="42">
        <v>0.95113425925925921</v>
      </c>
      <c r="K117" t="s">
        <v>58</v>
      </c>
      <c r="U11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8" spans="1:21" x14ac:dyDescent="0.25">
      <c r="A118">
        <v>2</v>
      </c>
      <c r="B118">
        <v>4381109</v>
      </c>
      <c r="C118" t="s">
        <v>21</v>
      </c>
      <c r="D118" t="s">
        <v>19</v>
      </c>
      <c r="E118">
        <v>1</v>
      </c>
      <c r="F118" t="s">
        <v>162</v>
      </c>
      <c r="G118" s="41" t="s">
        <v>414</v>
      </c>
      <c r="H118" s="42">
        <v>0.93368055555555551</v>
      </c>
      <c r="I118" s="41" t="s">
        <v>414</v>
      </c>
      <c r="J118" s="42">
        <v>0.95116898148148143</v>
      </c>
      <c r="K118" t="s">
        <v>58</v>
      </c>
      <c r="U11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19" spans="1:21" x14ac:dyDescent="0.25">
      <c r="A119">
        <v>3</v>
      </c>
      <c r="B119">
        <v>4381110</v>
      </c>
      <c r="C119" t="s">
        <v>21</v>
      </c>
      <c r="D119" t="s">
        <v>19</v>
      </c>
      <c r="E119">
        <v>41</v>
      </c>
      <c r="F119" t="s">
        <v>64</v>
      </c>
      <c r="G119" s="41" t="s">
        <v>477</v>
      </c>
      <c r="H119" s="42">
        <v>0.33981481481481479</v>
      </c>
      <c r="I119" s="41" t="s">
        <v>477</v>
      </c>
      <c r="J119" s="42">
        <v>0.37318287037037035</v>
      </c>
      <c r="K119" t="s">
        <v>58</v>
      </c>
      <c r="U11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0" spans="1:21" x14ac:dyDescent="0.25">
      <c r="A120">
        <v>2</v>
      </c>
      <c r="B120">
        <v>4381111</v>
      </c>
      <c r="C120" t="s">
        <v>21</v>
      </c>
      <c r="D120" t="s">
        <v>19</v>
      </c>
      <c r="E120">
        <v>1</v>
      </c>
      <c r="F120" t="s">
        <v>162</v>
      </c>
      <c r="G120" s="41" t="s">
        <v>414</v>
      </c>
      <c r="H120" s="42">
        <v>0.93368055555555551</v>
      </c>
      <c r="I120" s="41" t="s">
        <v>414</v>
      </c>
      <c r="J120" s="42">
        <v>0.95125000000000004</v>
      </c>
      <c r="K120" t="s">
        <v>58</v>
      </c>
      <c r="U12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1" spans="1:21" x14ac:dyDescent="0.25">
      <c r="A121">
        <v>3</v>
      </c>
      <c r="B121">
        <v>4381112</v>
      </c>
      <c r="C121" t="s">
        <v>21</v>
      </c>
      <c r="D121" t="s">
        <v>21</v>
      </c>
      <c r="E121">
        <v>41</v>
      </c>
      <c r="F121" t="s">
        <v>64</v>
      </c>
      <c r="G121" s="41" t="s">
        <v>477</v>
      </c>
      <c r="H121" s="42">
        <v>0.33981481481481479</v>
      </c>
      <c r="I121" s="41" t="s">
        <v>477</v>
      </c>
      <c r="J121" s="42">
        <v>0.35781249999999998</v>
      </c>
      <c r="K121" t="s">
        <v>58</v>
      </c>
      <c r="U12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2" spans="1:21" x14ac:dyDescent="0.25">
      <c r="A122">
        <v>2</v>
      </c>
      <c r="B122">
        <v>4381113</v>
      </c>
      <c r="C122" t="s">
        <v>21</v>
      </c>
      <c r="D122" t="s">
        <v>19</v>
      </c>
      <c r="E122">
        <v>1</v>
      </c>
      <c r="F122" t="s">
        <v>162</v>
      </c>
      <c r="G122" s="41" t="s">
        <v>414</v>
      </c>
      <c r="H122" s="42">
        <v>0.91712962962962963</v>
      </c>
      <c r="I122" s="41" t="s">
        <v>414</v>
      </c>
      <c r="J122" s="42">
        <v>0.92881944444444442</v>
      </c>
      <c r="K122" t="s">
        <v>58</v>
      </c>
      <c r="U12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3" spans="1:21" x14ac:dyDescent="0.25">
      <c r="A123">
        <v>2</v>
      </c>
      <c r="B123">
        <v>4381116</v>
      </c>
      <c r="C123" t="s">
        <v>21</v>
      </c>
      <c r="D123" t="s">
        <v>19</v>
      </c>
      <c r="E123">
        <v>1</v>
      </c>
      <c r="F123" t="s">
        <v>162</v>
      </c>
      <c r="G123" s="41" t="s">
        <v>414</v>
      </c>
      <c r="H123" s="42">
        <v>0.93368055555555551</v>
      </c>
      <c r="I123" s="41" t="s">
        <v>414</v>
      </c>
      <c r="J123" s="42">
        <v>0.95128472222222227</v>
      </c>
      <c r="K123" t="s">
        <v>58</v>
      </c>
      <c r="U12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4" spans="1:21" x14ac:dyDescent="0.25">
      <c r="A124">
        <v>2</v>
      </c>
      <c r="B124">
        <v>4381117</v>
      </c>
      <c r="C124" t="s">
        <v>21</v>
      </c>
      <c r="D124" t="s">
        <v>19</v>
      </c>
      <c r="E124">
        <v>1</v>
      </c>
      <c r="F124" t="s">
        <v>162</v>
      </c>
      <c r="G124" s="41" t="s">
        <v>414</v>
      </c>
      <c r="H124" s="42">
        <v>0.93368055555555551</v>
      </c>
      <c r="I124" s="41" t="s">
        <v>414</v>
      </c>
      <c r="J124" s="42">
        <v>0.95130787037037035</v>
      </c>
      <c r="K124" t="s">
        <v>58</v>
      </c>
      <c r="U12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5" spans="1:21" x14ac:dyDescent="0.25">
      <c r="A125">
        <v>3</v>
      </c>
      <c r="B125">
        <v>4381118</v>
      </c>
      <c r="C125" t="s">
        <v>21</v>
      </c>
      <c r="D125" t="s">
        <v>19</v>
      </c>
      <c r="E125">
        <v>41</v>
      </c>
      <c r="F125" t="s">
        <v>64</v>
      </c>
      <c r="G125" s="41" t="s">
        <v>477</v>
      </c>
      <c r="H125" s="42">
        <v>0.33981481481481479</v>
      </c>
      <c r="I125" s="41" t="s">
        <v>477</v>
      </c>
      <c r="J125" s="42">
        <v>0.37324074074074076</v>
      </c>
      <c r="K125" t="s">
        <v>58</v>
      </c>
      <c r="U12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26" spans="1:21" x14ac:dyDescent="0.25">
      <c r="A126">
        <v>2</v>
      </c>
      <c r="B126">
        <v>4381120</v>
      </c>
      <c r="C126" t="s">
        <v>21</v>
      </c>
      <c r="D126" t="s">
        <v>19</v>
      </c>
      <c r="E126">
        <v>1</v>
      </c>
      <c r="F126" t="s">
        <v>162</v>
      </c>
      <c r="G126" s="41" t="s">
        <v>414</v>
      </c>
      <c r="H126" s="42">
        <v>0.93379629629629635</v>
      </c>
      <c r="I126" s="41" t="s">
        <v>414</v>
      </c>
      <c r="J126" s="42">
        <v>0.95134259259259257</v>
      </c>
      <c r="K126" t="s">
        <v>58</v>
      </c>
      <c r="U12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7" spans="1:21" x14ac:dyDescent="0.25">
      <c r="A127">
        <v>2</v>
      </c>
      <c r="B127">
        <v>4381121</v>
      </c>
      <c r="C127" t="s">
        <v>21</v>
      </c>
      <c r="D127" t="s">
        <v>19</v>
      </c>
      <c r="E127">
        <v>1</v>
      </c>
      <c r="F127" t="s">
        <v>162</v>
      </c>
      <c r="G127" s="41" t="s">
        <v>414</v>
      </c>
      <c r="H127" s="42">
        <v>0.93379629629629635</v>
      </c>
      <c r="I127" s="41" t="s">
        <v>414</v>
      </c>
      <c r="J127" s="42">
        <v>0.95138888888888884</v>
      </c>
      <c r="K127" t="s">
        <v>58</v>
      </c>
      <c r="U12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8" spans="1:21" x14ac:dyDescent="0.25">
      <c r="A128">
        <v>2</v>
      </c>
      <c r="B128">
        <v>4381123</v>
      </c>
      <c r="C128" t="s">
        <v>21</v>
      </c>
      <c r="D128" t="s">
        <v>19</v>
      </c>
      <c r="E128">
        <v>1</v>
      </c>
      <c r="F128" t="s">
        <v>162</v>
      </c>
      <c r="G128" s="41" t="s">
        <v>414</v>
      </c>
      <c r="H128" s="42">
        <v>0.93379629629629635</v>
      </c>
      <c r="I128" s="41" t="s">
        <v>414</v>
      </c>
      <c r="J128" s="42">
        <v>0.95142361111111107</v>
      </c>
      <c r="K128" t="s">
        <v>58</v>
      </c>
      <c r="U12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29" spans="1:21" x14ac:dyDescent="0.25">
      <c r="A129">
        <v>2</v>
      </c>
      <c r="B129">
        <v>4381124</v>
      </c>
      <c r="C129" t="s">
        <v>21</v>
      </c>
      <c r="D129" t="s">
        <v>19</v>
      </c>
      <c r="E129">
        <v>1</v>
      </c>
      <c r="F129" t="s">
        <v>162</v>
      </c>
      <c r="G129" s="41" t="s">
        <v>414</v>
      </c>
      <c r="H129" s="42">
        <v>0.93379629629629635</v>
      </c>
      <c r="I129" s="41" t="s">
        <v>414</v>
      </c>
      <c r="J129" s="42">
        <v>0.95145833333333329</v>
      </c>
      <c r="K129" t="s">
        <v>58</v>
      </c>
      <c r="U12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0" spans="1:21" x14ac:dyDescent="0.25">
      <c r="A130">
        <v>2</v>
      </c>
      <c r="B130">
        <v>4381125</v>
      </c>
      <c r="C130" t="s">
        <v>21</v>
      </c>
      <c r="D130" t="s">
        <v>19</v>
      </c>
      <c r="E130">
        <v>1</v>
      </c>
      <c r="F130" t="s">
        <v>162</v>
      </c>
      <c r="G130" s="41" t="s">
        <v>414</v>
      </c>
      <c r="H130" s="42">
        <v>0.93379629629629635</v>
      </c>
      <c r="I130" s="41" t="s">
        <v>414</v>
      </c>
      <c r="J130" s="42">
        <v>0.95150462962962967</v>
      </c>
      <c r="K130" t="s">
        <v>58</v>
      </c>
      <c r="U13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1" spans="1:21" x14ac:dyDescent="0.25">
      <c r="A131">
        <v>2</v>
      </c>
      <c r="B131">
        <v>4381126</v>
      </c>
      <c r="C131" t="s">
        <v>21</v>
      </c>
      <c r="D131" t="s">
        <v>19</v>
      </c>
      <c r="E131">
        <v>1</v>
      </c>
      <c r="F131" t="s">
        <v>162</v>
      </c>
      <c r="G131" s="41" t="s">
        <v>414</v>
      </c>
      <c r="H131" s="42">
        <v>0.93379629629629635</v>
      </c>
      <c r="I131" s="41" t="s">
        <v>414</v>
      </c>
      <c r="J131" s="42">
        <v>0.9515393518518519</v>
      </c>
      <c r="K131" t="s">
        <v>58</v>
      </c>
      <c r="U13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2" spans="1:21" x14ac:dyDescent="0.25">
      <c r="A132">
        <v>2</v>
      </c>
      <c r="B132">
        <v>4381127</v>
      </c>
      <c r="C132" t="s">
        <v>21</v>
      </c>
      <c r="D132" t="s">
        <v>19</v>
      </c>
      <c r="E132">
        <v>1</v>
      </c>
      <c r="F132" t="s">
        <v>162</v>
      </c>
      <c r="G132" s="41" t="s">
        <v>414</v>
      </c>
      <c r="H132" s="42">
        <v>0.93379629629629635</v>
      </c>
      <c r="I132" s="41" t="s">
        <v>414</v>
      </c>
      <c r="J132" s="42">
        <v>0.95158564814814817</v>
      </c>
      <c r="K132" t="s">
        <v>58</v>
      </c>
      <c r="U13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3" spans="1:21" x14ac:dyDescent="0.25">
      <c r="A133">
        <v>2</v>
      </c>
      <c r="B133">
        <v>4381128</v>
      </c>
      <c r="C133" t="s">
        <v>21</v>
      </c>
      <c r="D133" t="s">
        <v>19</v>
      </c>
      <c r="E133">
        <v>1</v>
      </c>
      <c r="F133" t="s">
        <v>162</v>
      </c>
      <c r="G133" s="41" t="s">
        <v>414</v>
      </c>
      <c r="H133" s="42">
        <v>0.93379629629629635</v>
      </c>
      <c r="I133" s="41" t="s">
        <v>414</v>
      </c>
      <c r="J133" s="42">
        <v>0.95163194444444443</v>
      </c>
      <c r="K133" t="s">
        <v>58</v>
      </c>
      <c r="U13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4" spans="1:21" x14ac:dyDescent="0.25">
      <c r="A134">
        <v>2</v>
      </c>
      <c r="B134">
        <v>4381129</v>
      </c>
      <c r="C134" t="s">
        <v>21</v>
      </c>
      <c r="D134" t="s">
        <v>19</v>
      </c>
      <c r="E134">
        <v>1</v>
      </c>
      <c r="F134" t="s">
        <v>162</v>
      </c>
      <c r="G134" s="41" t="s">
        <v>414</v>
      </c>
      <c r="H134" s="42">
        <v>0.93379629629629635</v>
      </c>
      <c r="I134" s="41" t="s">
        <v>414</v>
      </c>
      <c r="J134" s="42">
        <v>0.95166666666666666</v>
      </c>
      <c r="K134" t="s">
        <v>58</v>
      </c>
      <c r="U13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5" spans="1:21" x14ac:dyDescent="0.25">
      <c r="A135">
        <v>2</v>
      </c>
      <c r="B135">
        <v>4381130</v>
      </c>
      <c r="C135" t="s">
        <v>21</v>
      </c>
      <c r="D135" t="s">
        <v>19</v>
      </c>
      <c r="E135">
        <v>1</v>
      </c>
      <c r="F135" t="s">
        <v>162</v>
      </c>
      <c r="G135" s="41" t="s">
        <v>414</v>
      </c>
      <c r="H135" s="42">
        <v>0.93379629629629635</v>
      </c>
      <c r="I135" s="41" t="s">
        <v>414</v>
      </c>
      <c r="J135" s="42">
        <v>0.95177083333333334</v>
      </c>
      <c r="K135" t="s">
        <v>58</v>
      </c>
      <c r="U13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6" spans="1:21" x14ac:dyDescent="0.25">
      <c r="A136">
        <v>2</v>
      </c>
      <c r="B136">
        <v>4381133</v>
      </c>
      <c r="C136" t="s">
        <v>21</v>
      </c>
      <c r="D136" t="s">
        <v>19</v>
      </c>
      <c r="E136">
        <v>1</v>
      </c>
      <c r="F136" t="s">
        <v>162</v>
      </c>
      <c r="G136" s="41" t="s">
        <v>414</v>
      </c>
      <c r="H136" s="42">
        <v>0.93379629629629635</v>
      </c>
      <c r="I136" s="41" t="s">
        <v>414</v>
      </c>
      <c r="J136" s="42">
        <v>0.95186342592592588</v>
      </c>
      <c r="K136" t="s">
        <v>58</v>
      </c>
      <c r="U13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7" spans="1:21" x14ac:dyDescent="0.25">
      <c r="A137">
        <v>2</v>
      </c>
      <c r="B137">
        <v>4381134</v>
      </c>
      <c r="C137" t="s">
        <v>21</v>
      </c>
      <c r="D137" t="s">
        <v>19</v>
      </c>
      <c r="E137">
        <v>1</v>
      </c>
      <c r="F137" t="s">
        <v>162</v>
      </c>
      <c r="G137" s="41" t="s">
        <v>414</v>
      </c>
      <c r="H137" s="42">
        <v>0.93379629629629635</v>
      </c>
      <c r="I137" s="41" t="s">
        <v>414</v>
      </c>
      <c r="J137" s="42">
        <v>0.95190972222222225</v>
      </c>
      <c r="K137" t="s">
        <v>58</v>
      </c>
      <c r="U13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8" spans="1:21" x14ac:dyDescent="0.25">
      <c r="A138">
        <v>2</v>
      </c>
      <c r="B138">
        <v>4381135</v>
      </c>
      <c r="C138" t="s">
        <v>21</v>
      </c>
      <c r="D138" t="s">
        <v>19</v>
      </c>
      <c r="E138">
        <v>1</v>
      </c>
      <c r="F138" t="s">
        <v>162</v>
      </c>
      <c r="G138" s="41" t="s">
        <v>414</v>
      </c>
      <c r="H138" s="42">
        <v>0.93379629629629635</v>
      </c>
      <c r="I138" s="41" t="s">
        <v>414</v>
      </c>
      <c r="J138" s="42">
        <v>0.95195601851851852</v>
      </c>
      <c r="K138" t="s">
        <v>58</v>
      </c>
      <c r="U13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39" spans="1:21" x14ac:dyDescent="0.25">
      <c r="A139">
        <v>2</v>
      </c>
      <c r="B139">
        <v>4381136</v>
      </c>
      <c r="C139" t="s">
        <v>21</v>
      </c>
      <c r="D139" t="s">
        <v>19</v>
      </c>
      <c r="E139">
        <v>1</v>
      </c>
      <c r="F139" t="s">
        <v>162</v>
      </c>
      <c r="G139" s="41" t="s">
        <v>414</v>
      </c>
      <c r="H139" s="42">
        <v>0.93379629629629635</v>
      </c>
      <c r="I139" s="41" t="s">
        <v>414</v>
      </c>
      <c r="J139" s="42">
        <v>0.95199074074074075</v>
      </c>
      <c r="K139" t="s">
        <v>58</v>
      </c>
      <c r="U13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0" spans="1:21" x14ac:dyDescent="0.25">
      <c r="A140">
        <v>3</v>
      </c>
      <c r="B140">
        <v>4381137</v>
      </c>
      <c r="C140" t="s">
        <v>21</v>
      </c>
      <c r="D140" t="s">
        <v>19</v>
      </c>
      <c r="E140">
        <v>41</v>
      </c>
      <c r="F140" t="s">
        <v>64</v>
      </c>
      <c r="G140" s="41" t="s">
        <v>477</v>
      </c>
      <c r="H140" s="42">
        <v>0.33981481481481479</v>
      </c>
      <c r="I140" s="41" t="s">
        <v>477</v>
      </c>
      <c r="J140" s="42">
        <v>0.36896990740740743</v>
      </c>
      <c r="K140" t="s">
        <v>58</v>
      </c>
      <c r="U14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1" spans="1:21" x14ac:dyDescent="0.25">
      <c r="A141">
        <v>3</v>
      </c>
      <c r="B141">
        <v>4381138</v>
      </c>
      <c r="C141" t="s">
        <v>21</v>
      </c>
      <c r="D141" t="s">
        <v>19</v>
      </c>
      <c r="E141">
        <v>41</v>
      </c>
      <c r="F141" t="s">
        <v>64</v>
      </c>
      <c r="G141" s="41" t="s">
        <v>477</v>
      </c>
      <c r="H141" s="42">
        <v>0.33981481481481479</v>
      </c>
      <c r="I141" s="41" t="s">
        <v>477</v>
      </c>
      <c r="J141" s="42">
        <v>0.35791666666666666</v>
      </c>
      <c r="K141" t="s">
        <v>58</v>
      </c>
      <c r="U14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2" spans="1:21" x14ac:dyDescent="0.25">
      <c r="A142">
        <v>2</v>
      </c>
      <c r="B142">
        <v>4381139</v>
      </c>
      <c r="C142" t="s">
        <v>21</v>
      </c>
      <c r="D142" t="s">
        <v>19</v>
      </c>
      <c r="E142">
        <v>1</v>
      </c>
      <c r="F142" t="s">
        <v>162</v>
      </c>
      <c r="G142" s="41" t="s">
        <v>414</v>
      </c>
      <c r="H142" s="42">
        <v>0.93379629629629635</v>
      </c>
      <c r="I142" s="41" t="s">
        <v>414</v>
      </c>
      <c r="J142" s="42">
        <v>0.95202546296296298</v>
      </c>
      <c r="K142" t="s">
        <v>58</v>
      </c>
      <c r="U14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3" spans="1:21" x14ac:dyDescent="0.25">
      <c r="A143">
        <v>2</v>
      </c>
      <c r="B143">
        <v>4381140</v>
      </c>
      <c r="C143" t="s">
        <v>21</v>
      </c>
      <c r="D143" t="s">
        <v>19</v>
      </c>
      <c r="E143">
        <v>1</v>
      </c>
      <c r="F143" t="s">
        <v>162</v>
      </c>
      <c r="G143" s="41" t="s">
        <v>414</v>
      </c>
      <c r="H143" s="42">
        <v>0.93379629629629635</v>
      </c>
      <c r="I143" s="41" t="s">
        <v>414</v>
      </c>
      <c r="J143" s="42">
        <v>0.9520601851851852</v>
      </c>
      <c r="K143" t="s">
        <v>58</v>
      </c>
      <c r="U14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4" spans="1:21" x14ac:dyDescent="0.25">
      <c r="A144">
        <v>3</v>
      </c>
      <c r="B144">
        <v>4381141</v>
      </c>
      <c r="C144" t="s">
        <v>21</v>
      </c>
      <c r="D144" t="s">
        <v>19</v>
      </c>
      <c r="E144">
        <v>41</v>
      </c>
      <c r="F144" t="s">
        <v>64</v>
      </c>
      <c r="G144" s="41" t="s">
        <v>477</v>
      </c>
      <c r="H144" s="42">
        <v>0.33981481481481479</v>
      </c>
      <c r="I144" s="41" t="s">
        <v>477</v>
      </c>
      <c r="J144" s="42">
        <v>0.36900462962962965</v>
      </c>
      <c r="K144" t="s">
        <v>58</v>
      </c>
      <c r="U14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5" spans="1:21" x14ac:dyDescent="0.25">
      <c r="A145">
        <v>3</v>
      </c>
      <c r="B145">
        <v>4381142</v>
      </c>
      <c r="C145" t="s">
        <v>21</v>
      </c>
      <c r="D145" t="s">
        <v>19</v>
      </c>
      <c r="E145">
        <v>41</v>
      </c>
      <c r="F145" t="s">
        <v>64</v>
      </c>
      <c r="G145" s="41" t="s">
        <v>477</v>
      </c>
      <c r="H145" s="42">
        <v>0.33981481481481479</v>
      </c>
      <c r="I145" s="41" t="s">
        <v>477</v>
      </c>
      <c r="J145" s="42">
        <v>0.35798611111111112</v>
      </c>
      <c r="K145" t="s">
        <v>58</v>
      </c>
      <c r="U14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6" spans="1:21" x14ac:dyDescent="0.25">
      <c r="A146">
        <v>3</v>
      </c>
      <c r="B146">
        <v>4381143</v>
      </c>
      <c r="C146" t="s">
        <v>21</v>
      </c>
      <c r="D146" t="s">
        <v>19</v>
      </c>
      <c r="E146">
        <v>41</v>
      </c>
      <c r="F146" t="s">
        <v>64</v>
      </c>
      <c r="G146" s="41" t="s">
        <v>477</v>
      </c>
      <c r="H146" s="42">
        <v>0.33981481481481479</v>
      </c>
      <c r="I146" s="41" t="s">
        <v>477</v>
      </c>
      <c r="J146" s="42">
        <v>0.35810185185185184</v>
      </c>
      <c r="K146" t="s">
        <v>58</v>
      </c>
      <c r="U14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47" spans="1:21" x14ac:dyDescent="0.25">
      <c r="A147">
        <v>2</v>
      </c>
      <c r="B147">
        <v>4381144</v>
      </c>
      <c r="C147" t="s">
        <v>21</v>
      </c>
      <c r="D147" t="s">
        <v>19</v>
      </c>
      <c r="E147">
        <v>1</v>
      </c>
      <c r="F147" t="s">
        <v>162</v>
      </c>
      <c r="G147" s="41" t="s">
        <v>414</v>
      </c>
      <c r="H147" s="42">
        <v>0.93379629629629635</v>
      </c>
      <c r="I147" s="41" t="s">
        <v>414</v>
      </c>
      <c r="J147" s="42">
        <v>0.95634259259259258</v>
      </c>
      <c r="K147" t="s">
        <v>58</v>
      </c>
      <c r="U14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8" spans="1:21" x14ac:dyDescent="0.25">
      <c r="A148">
        <v>2</v>
      </c>
      <c r="B148">
        <v>4381145</v>
      </c>
      <c r="C148" t="s">
        <v>21</v>
      </c>
      <c r="D148" t="s">
        <v>19</v>
      </c>
      <c r="E148">
        <v>1</v>
      </c>
      <c r="F148" t="s">
        <v>162</v>
      </c>
      <c r="G148" s="41" t="s">
        <v>414</v>
      </c>
      <c r="H148" s="42">
        <v>0.93379629629629635</v>
      </c>
      <c r="I148" s="41" t="s">
        <v>414</v>
      </c>
      <c r="J148" s="42">
        <v>0.95638888888888884</v>
      </c>
      <c r="K148" t="s">
        <v>58</v>
      </c>
      <c r="U14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49" spans="1:21" x14ac:dyDescent="0.25">
      <c r="A149">
        <v>2</v>
      </c>
      <c r="B149">
        <v>4381146</v>
      </c>
      <c r="C149" t="s">
        <v>21</v>
      </c>
      <c r="D149" t="s">
        <v>19</v>
      </c>
      <c r="E149">
        <v>1</v>
      </c>
      <c r="F149" t="s">
        <v>162</v>
      </c>
      <c r="G149" s="41" t="s">
        <v>414</v>
      </c>
      <c r="H149" s="42">
        <v>0.91736111111111107</v>
      </c>
      <c r="I149" s="41" t="s">
        <v>414</v>
      </c>
      <c r="J149" s="42">
        <v>0.91951388888888885</v>
      </c>
      <c r="K149" t="s">
        <v>58</v>
      </c>
      <c r="U14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0" spans="1:21" x14ac:dyDescent="0.25">
      <c r="A150">
        <v>2</v>
      </c>
      <c r="B150">
        <v>4381147</v>
      </c>
      <c r="C150" t="s">
        <v>21</v>
      </c>
      <c r="D150" t="s">
        <v>19</v>
      </c>
      <c r="E150">
        <v>41</v>
      </c>
      <c r="F150" t="s">
        <v>64</v>
      </c>
      <c r="G150" s="41" t="s">
        <v>477</v>
      </c>
      <c r="H150" s="42">
        <v>0.33981481481481479</v>
      </c>
      <c r="I150" s="41" t="s">
        <v>477</v>
      </c>
      <c r="J150" s="42">
        <v>0.36903935185185183</v>
      </c>
      <c r="K150" t="s">
        <v>58</v>
      </c>
      <c r="U15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1" spans="1:21" x14ac:dyDescent="0.25">
      <c r="A151">
        <v>1</v>
      </c>
      <c r="B151">
        <v>4381148</v>
      </c>
      <c r="C151" t="s">
        <v>21</v>
      </c>
      <c r="D151" t="s">
        <v>21</v>
      </c>
      <c r="E151">
        <v>1</v>
      </c>
      <c r="F151" t="s">
        <v>162</v>
      </c>
      <c r="G151" s="41" t="s">
        <v>414</v>
      </c>
      <c r="H151" s="42">
        <v>0.91736111111111107</v>
      </c>
      <c r="I151" s="41" t="s">
        <v>414</v>
      </c>
      <c r="J151" s="42">
        <v>0.92912037037037032</v>
      </c>
      <c r="K151" t="s">
        <v>58</v>
      </c>
      <c r="U15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2" spans="1:21" x14ac:dyDescent="0.25">
      <c r="A152">
        <v>2</v>
      </c>
      <c r="B152">
        <v>4381149</v>
      </c>
      <c r="C152" t="s">
        <v>21</v>
      </c>
      <c r="D152" t="s">
        <v>21</v>
      </c>
      <c r="E152">
        <v>41</v>
      </c>
      <c r="F152" t="s">
        <v>64</v>
      </c>
      <c r="G152" s="41" t="s">
        <v>477</v>
      </c>
      <c r="H152" s="42">
        <v>0.33981481481481479</v>
      </c>
      <c r="I152" s="41" t="s">
        <v>477</v>
      </c>
      <c r="J152" s="42">
        <v>0.35817129629629629</v>
      </c>
      <c r="K152" t="s">
        <v>58</v>
      </c>
      <c r="U15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3" spans="1:21" x14ac:dyDescent="0.25">
      <c r="A153">
        <v>1</v>
      </c>
      <c r="B153">
        <v>4381150</v>
      </c>
      <c r="C153" t="s">
        <v>21</v>
      </c>
      <c r="D153" t="s">
        <v>19</v>
      </c>
      <c r="E153">
        <v>1</v>
      </c>
      <c r="F153" t="s">
        <v>162</v>
      </c>
      <c r="G153" s="41" t="s">
        <v>414</v>
      </c>
      <c r="H153" s="42">
        <v>0.91736111111111107</v>
      </c>
      <c r="I153" s="41" t="s">
        <v>414</v>
      </c>
      <c r="J153" s="42">
        <v>0.92918981481481477</v>
      </c>
      <c r="K153" t="s">
        <v>58</v>
      </c>
      <c r="U15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4" spans="1:21" x14ac:dyDescent="0.25">
      <c r="A154">
        <v>2</v>
      </c>
      <c r="B154">
        <v>4381151</v>
      </c>
      <c r="C154" t="s">
        <v>21</v>
      </c>
      <c r="D154" t="s">
        <v>19</v>
      </c>
      <c r="E154">
        <v>41</v>
      </c>
      <c r="F154" t="s">
        <v>64</v>
      </c>
      <c r="G154" s="41" t="s">
        <v>477</v>
      </c>
      <c r="H154" s="42">
        <v>0.33981481481481479</v>
      </c>
      <c r="I154" s="41" t="s">
        <v>477</v>
      </c>
      <c r="J154" s="42">
        <v>0.36907407407407405</v>
      </c>
      <c r="K154" t="s">
        <v>58</v>
      </c>
      <c r="U15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5" spans="1:21" x14ac:dyDescent="0.25">
      <c r="A155">
        <v>1</v>
      </c>
      <c r="B155">
        <v>4381152</v>
      </c>
      <c r="C155" t="s">
        <v>21</v>
      </c>
      <c r="D155" t="s">
        <v>19</v>
      </c>
      <c r="E155">
        <v>1</v>
      </c>
      <c r="F155" t="s">
        <v>162</v>
      </c>
      <c r="G155" s="41" t="s">
        <v>414</v>
      </c>
      <c r="H155" s="42">
        <v>0.91736111111111107</v>
      </c>
      <c r="I155" s="41" t="s">
        <v>414</v>
      </c>
      <c r="J155" s="42">
        <v>0.92925925925925923</v>
      </c>
      <c r="K155" t="s">
        <v>58</v>
      </c>
      <c r="U15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6" spans="1:21" x14ac:dyDescent="0.25">
      <c r="A156">
        <v>2</v>
      </c>
      <c r="B156">
        <v>4381153</v>
      </c>
      <c r="C156" t="s">
        <v>21</v>
      </c>
      <c r="D156" t="s">
        <v>21</v>
      </c>
      <c r="E156">
        <v>41</v>
      </c>
      <c r="F156" t="s">
        <v>64</v>
      </c>
      <c r="G156" s="41" t="s">
        <v>477</v>
      </c>
      <c r="H156" s="42">
        <v>0.33981481481481479</v>
      </c>
      <c r="I156" s="41" t="s">
        <v>477</v>
      </c>
      <c r="J156" s="42">
        <v>0.36910879629629628</v>
      </c>
      <c r="K156" t="s">
        <v>58</v>
      </c>
      <c r="U15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57" spans="1:21" x14ac:dyDescent="0.25">
      <c r="A157">
        <v>1</v>
      </c>
      <c r="B157">
        <v>4381154</v>
      </c>
      <c r="C157" t="s">
        <v>21</v>
      </c>
      <c r="D157" t="s">
        <v>19</v>
      </c>
      <c r="E157">
        <v>1</v>
      </c>
      <c r="F157" t="s">
        <v>162</v>
      </c>
      <c r="G157" s="41" t="s">
        <v>414</v>
      </c>
      <c r="H157" s="42">
        <v>0.91736111111111107</v>
      </c>
      <c r="I157" s="41" t="s">
        <v>414</v>
      </c>
      <c r="J157" s="42">
        <v>0.92482638888888891</v>
      </c>
      <c r="K157" t="s">
        <v>58</v>
      </c>
      <c r="U15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8" spans="1:21" x14ac:dyDescent="0.25">
      <c r="A158">
        <v>1</v>
      </c>
      <c r="B158">
        <v>4381155</v>
      </c>
      <c r="C158" t="s">
        <v>21</v>
      </c>
      <c r="D158" t="s">
        <v>19</v>
      </c>
      <c r="E158">
        <v>1</v>
      </c>
      <c r="F158" t="s">
        <v>162</v>
      </c>
      <c r="G158" s="41" t="s">
        <v>414</v>
      </c>
      <c r="H158" s="42">
        <v>0.91736111111111107</v>
      </c>
      <c r="I158" s="41" t="s">
        <v>414</v>
      </c>
      <c r="J158" s="42">
        <v>0.92935185185185187</v>
      </c>
      <c r="K158" t="s">
        <v>58</v>
      </c>
      <c r="U15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59" spans="1:21" x14ac:dyDescent="0.25">
      <c r="A159">
        <v>2</v>
      </c>
      <c r="B159">
        <v>4381156</v>
      </c>
      <c r="C159" t="s">
        <v>21</v>
      </c>
      <c r="D159" t="s">
        <v>21</v>
      </c>
      <c r="E159">
        <v>41</v>
      </c>
      <c r="F159" t="s">
        <v>64</v>
      </c>
      <c r="G159" s="41" t="s">
        <v>477</v>
      </c>
      <c r="H159" s="42">
        <v>0.33981481481481479</v>
      </c>
      <c r="I159" s="41" t="s">
        <v>477</v>
      </c>
      <c r="J159" s="42">
        <v>0.37327546296296299</v>
      </c>
      <c r="K159" t="s">
        <v>58</v>
      </c>
      <c r="U15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0" spans="1:21" x14ac:dyDescent="0.25">
      <c r="A160">
        <v>2</v>
      </c>
      <c r="B160">
        <v>4381157</v>
      </c>
      <c r="C160" t="s">
        <v>21</v>
      </c>
      <c r="D160" t="s">
        <v>19</v>
      </c>
      <c r="E160">
        <v>41</v>
      </c>
      <c r="F160" t="s">
        <v>64</v>
      </c>
      <c r="G160" s="41" t="s">
        <v>477</v>
      </c>
      <c r="H160" s="42">
        <v>0.33981481481481479</v>
      </c>
      <c r="I160" s="41" t="s">
        <v>477</v>
      </c>
      <c r="J160" s="42">
        <v>0.37331018518518516</v>
      </c>
      <c r="K160" t="s">
        <v>58</v>
      </c>
      <c r="U16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1" spans="1:21" x14ac:dyDescent="0.25">
      <c r="A161">
        <v>1</v>
      </c>
      <c r="B161">
        <v>4381158</v>
      </c>
      <c r="C161" t="s">
        <v>21</v>
      </c>
      <c r="D161" t="s">
        <v>19</v>
      </c>
      <c r="E161">
        <v>1</v>
      </c>
      <c r="F161" t="s">
        <v>162</v>
      </c>
      <c r="G161" s="41" t="s">
        <v>414</v>
      </c>
      <c r="H161" s="42">
        <v>0.91736111111111107</v>
      </c>
      <c r="I161" s="41" t="s">
        <v>414</v>
      </c>
      <c r="J161" s="42">
        <v>0.92945601851851856</v>
      </c>
      <c r="K161" t="s">
        <v>58</v>
      </c>
      <c r="U16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2" spans="1:21" x14ac:dyDescent="0.25">
      <c r="A162">
        <v>1</v>
      </c>
      <c r="B162">
        <v>4381159</v>
      </c>
      <c r="C162" t="s">
        <v>21</v>
      </c>
      <c r="D162" t="s">
        <v>19</v>
      </c>
      <c r="E162">
        <v>1</v>
      </c>
      <c r="F162" t="s">
        <v>162</v>
      </c>
      <c r="G162" s="41" t="s">
        <v>414</v>
      </c>
      <c r="H162" s="42">
        <v>0.91736111111111107</v>
      </c>
      <c r="I162" s="41" t="s">
        <v>414</v>
      </c>
      <c r="J162" s="42">
        <v>0.92949074074074078</v>
      </c>
      <c r="K162" t="s">
        <v>58</v>
      </c>
      <c r="U16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3" spans="1:21" x14ac:dyDescent="0.25">
      <c r="A163">
        <v>1</v>
      </c>
      <c r="B163">
        <v>4381160</v>
      </c>
      <c r="C163" t="s">
        <v>21</v>
      </c>
      <c r="D163" t="s">
        <v>19</v>
      </c>
      <c r="E163">
        <v>1</v>
      </c>
      <c r="F163" t="s">
        <v>162</v>
      </c>
      <c r="G163" s="41" t="s">
        <v>414</v>
      </c>
      <c r="H163" s="42">
        <v>0.91736111111111107</v>
      </c>
      <c r="I163" s="41" t="s">
        <v>414</v>
      </c>
      <c r="J163" s="42">
        <v>0.92954861111111109</v>
      </c>
      <c r="K163" t="s">
        <v>58</v>
      </c>
      <c r="U16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4" spans="1:21" x14ac:dyDescent="0.25">
      <c r="A164">
        <v>2</v>
      </c>
      <c r="B164">
        <v>4381161</v>
      </c>
      <c r="C164" t="s">
        <v>21</v>
      </c>
      <c r="D164" t="s">
        <v>19</v>
      </c>
      <c r="E164">
        <v>41</v>
      </c>
      <c r="F164" t="s">
        <v>64</v>
      </c>
      <c r="G164" s="41" t="s">
        <v>477</v>
      </c>
      <c r="H164" s="42">
        <v>0.33981481481481479</v>
      </c>
      <c r="I164" s="41" t="s">
        <v>477</v>
      </c>
      <c r="J164" s="42">
        <v>0.37333333333333335</v>
      </c>
      <c r="K164" t="s">
        <v>58</v>
      </c>
      <c r="U16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5" spans="1:21" x14ac:dyDescent="0.25">
      <c r="A165">
        <v>1</v>
      </c>
      <c r="B165">
        <v>4381162</v>
      </c>
      <c r="C165" t="s">
        <v>21</v>
      </c>
      <c r="D165" t="s">
        <v>19</v>
      </c>
      <c r="E165">
        <v>1</v>
      </c>
      <c r="F165" t="s">
        <v>162</v>
      </c>
      <c r="G165" s="41" t="s">
        <v>414</v>
      </c>
      <c r="H165" s="42">
        <v>0.9174768518518519</v>
      </c>
      <c r="I165" s="41" t="s">
        <v>414</v>
      </c>
      <c r="J165" s="42">
        <v>0.92965277777777777</v>
      </c>
      <c r="K165" t="s">
        <v>58</v>
      </c>
      <c r="U16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6" spans="1:21" x14ac:dyDescent="0.25">
      <c r="A166">
        <v>3</v>
      </c>
      <c r="B166">
        <v>4381163</v>
      </c>
      <c r="C166" t="s">
        <v>21</v>
      </c>
      <c r="D166" t="s">
        <v>21</v>
      </c>
      <c r="E166">
        <v>41</v>
      </c>
      <c r="F166" t="s">
        <v>64</v>
      </c>
      <c r="G166" s="41" t="s">
        <v>477</v>
      </c>
      <c r="H166" s="42">
        <v>0.33981481481481479</v>
      </c>
      <c r="I166" s="41" t="s">
        <v>477</v>
      </c>
      <c r="J166" s="42">
        <v>0.35835648148148147</v>
      </c>
      <c r="K166" t="s">
        <v>58</v>
      </c>
      <c r="U16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7" spans="1:21" x14ac:dyDescent="0.25">
      <c r="A167">
        <v>1</v>
      </c>
      <c r="B167">
        <v>4381164</v>
      </c>
      <c r="C167" t="s">
        <v>21</v>
      </c>
      <c r="D167" t="s">
        <v>21</v>
      </c>
      <c r="E167">
        <v>1</v>
      </c>
      <c r="F167" t="s">
        <v>162</v>
      </c>
      <c r="G167" s="41" t="s">
        <v>414</v>
      </c>
      <c r="H167" s="42">
        <v>0.9174768518518519</v>
      </c>
      <c r="I167" s="41" t="s">
        <v>414</v>
      </c>
      <c r="J167" s="42">
        <v>0.92979166666666668</v>
      </c>
      <c r="K167" t="s">
        <v>58</v>
      </c>
      <c r="U16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68" spans="1:21" x14ac:dyDescent="0.25">
      <c r="A168">
        <v>2</v>
      </c>
      <c r="B168">
        <v>4381165</v>
      </c>
      <c r="C168" t="s">
        <v>21</v>
      </c>
      <c r="D168" t="s">
        <v>21</v>
      </c>
      <c r="E168">
        <v>41</v>
      </c>
      <c r="F168" t="s">
        <v>64</v>
      </c>
      <c r="G168" s="41" t="s">
        <v>477</v>
      </c>
      <c r="H168" s="42">
        <v>0.33981481481481479</v>
      </c>
      <c r="I168" s="41" t="s">
        <v>477</v>
      </c>
      <c r="J168" s="42">
        <v>0.37337962962962962</v>
      </c>
      <c r="K168" t="s">
        <v>58</v>
      </c>
      <c r="U16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69" spans="1:21" x14ac:dyDescent="0.25">
      <c r="A169">
        <v>2</v>
      </c>
      <c r="B169">
        <v>4381166</v>
      </c>
      <c r="C169" t="s">
        <v>21</v>
      </c>
      <c r="D169" t="s">
        <v>19</v>
      </c>
      <c r="E169">
        <v>41</v>
      </c>
      <c r="F169" t="s">
        <v>64</v>
      </c>
      <c r="G169" s="41" t="s">
        <v>477</v>
      </c>
      <c r="H169" s="42">
        <v>0.33981481481481479</v>
      </c>
      <c r="I169" s="41" t="s">
        <v>477</v>
      </c>
      <c r="J169" s="42">
        <v>0.35843750000000002</v>
      </c>
      <c r="K169" t="s">
        <v>58</v>
      </c>
      <c r="U16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0" spans="1:21" x14ac:dyDescent="0.25">
      <c r="A170">
        <v>2</v>
      </c>
      <c r="B170">
        <v>4381167</v>
      </c>
      <c r="C170" t="s">
        <v>21</v>
      </c>
      <c r="D170" t="s">
        <v>21</v>
      </c>
      <c r="E170">
        <v>41</v>
      </c>
      <c r="F170" t="s">
        <v>64</v>
      </c>
      <c r="G170" s="41" t="s">
        <v>477</v>
      </c>
      <c r="H170" s="42">
        <v>0.33981481481481479</v>
      </c>
      <c r="I170" s="41" t="s">
        <v>477</v>
      </c>
      <c r="J170" s="42">
        <v>0.37341435185185184</v>
      </c>
      <c r="K170" t="s">
        <v>58</v>
      </c>
      <c r="U17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1" spans="1:21" x14ac:dyDescent="0.25">
      <c r="A171">
        <v>1</v>
      </c>
      <c r="B171">
        <v>4381168</v>
      </c>
      <c r="C171" t="s">
        <v>21</v>
      </c>
      <c r="D171" t="s">
        <v>19</v>
      </c>
      <c r="E171">
        <v>1</v>
      </c>
      <c r="F171" t="s">
        <v>162</v>
      </c>
      <c r="G171" s="41" t="s">
        <v>414</v>
      </c>
      <c r="H171" s="42">
        <v>0.93379629629629635</v>
      </c>
      <c r="I171" s="41" t="s">
        <v>414</v>
      </c>
      <c r="J171" s="42">
        <v>0.95641203703703703</v>
      </c>
      <c r="K171" t="s">
        <v>58</v>
      </c>
      <c r="U17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2" spans="1:21" x14ac:dyDescent="0.25">
      <c r="A172">
        <v>3</v>
      </c>
      <c r="B172">
        <v>4381169</v>
      </c>
      <c r="C172" t="s">
        <v>21</v>
      </c>
      <c r="D172" t="s">
        <v>21</v>
      </c>
      <c r="E172">
        <v>10</v>
      </c>
      <c r="F172" t="s">
        <v>61</v>
      </c>
      <c r="G172" s="41" t="s">
        <v>477</v>
      </c>
      <c r="H172" s="42">
        <v>0.34664351851851855</v>
      </c>
      <c r="I172" s="41" t="s">
        <v>477</v>
      </c>
      <c r="J172" s="42">
        <v>0.37347222222222221</v>
      </c>
      <c r="K172" t="s">
        <v>58</v>
      </c>
      <c r="U17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173" spans="1:21" x14ac:dyDescent="0.25">
      <c r="A173">
        <v>2</v>
      </c>
      <c r="B173">
        <v>4381170</v>
      </c>
      <c r="C173" t="s">
        <v>21</v>
      </c>
      <c r="D173" t="s">
        <v>19</v>
      </c>
      <c r="E173">
        <v>41</v>
      </c>
      <c r="F173" t="s">
        <v>64</v>
      </c>
      <c r="G173" s="41" t="s">
        <v>477</v>
      </c>
      <c r="H173" s="42">
        <v>0.33981481481481479</v>
      </c>
      <c r="I173" s="41" t="s">
        <v>477</v>
      </c>
      <c r="J173" s="42">
        <v>0.37350694444444443</v>
      </c>
      <c r="K173" t="s">
        <v>58</v>
      </c>
      <c r="U17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74" spans="1:21" x14ac:dyDescent="0.25">
      <c r="A174">
        <v>1</v>
      </c>
      <c r="B174">
        <v>4381171</v>
      </c>
      <c r="C174" t="s">
        <v>21</v>
      </c>
      <c r="D174" t="s">
        <v>19</v>
      </c>
      <c r="E174">
        <v>1</v>
      </c>
      <c r="F174" t="s">
        <v>162</v>
      </c>
      <c r="G174" s="41" t="s">
        <v>414</v>
      </c>
      <c r="H174" s="42">
        <v>0.9174768518518519</v>
      </c>
      <c r="I174" s="41" t="s">
        <v>414</v>
      </c>
      <c r="J174" s="42">
        <v>0.92994212962962963</v>
      </c>
      <c r="K174" t="s">
        <v>58</v>
      </c>
      <c r="U17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5" spans="1:21" x14ac:dyDescent="0.25">
      <c r="A175">
        <v>2</v>
      </c>
      <c r="B175">
        <v>4381172</v>
      </c>
      <c r="C175" t="s">
        <v>21</v>
      </c>
      <c r="D175" t="s">
        <v>21</v>
      </c>
      <c r="E175">
        <v>1</v>
      </c>
      <c r="F175" t="s">
        <v>162</v>
      </c>
      <c r="G175" s="41" t="s">
        <v>414</v>
      </c>
      <c r="H175" s="42">
        <v>0.93379629629629635</v>
      </c>
      <c r="I175" s="41" t="s">
        <v>414</v>
      </c>
      <c r="J175" s="42">
        <v>0.95648148148148149</v>
      </c>
      <c r="K175" t="s">
        <v>58</v>
      </c>
      <c r="U17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6" spans="1:21" x14ac:dyDescent="0.25">
      <c r="A176">
        <v>1</v>
      </c>
      <c r="B176">
        <v>4381173</v>
      </c>
      <c r="C176" t="s">
        <v>21</v>
      </c>
      <c r="D176" t="s">
        <v>19</v>
      </c>
      <c r="E176">
        <v>1</v>
      </c>
      <c r="F176" t="s">
        <v>162</v>
      </c>
      <c r="G176" s="41" t="s">
        <v>414</v>
      </c>
      <c r="H176" s="42">
        <v>0.93391203703703707</v>
      </c>
      <c r="I176" s="41" t="s">
        <v>414</v>
      </c>
      <c r="J176" s="42">
        <v>0.95651620370370372</v>
      </c>
      <c r="K176" t="s">
        <v>58</v>
      </c>
      <c r="U17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7" spans="1:21" x14ac:dyDescent="0.25">
      <c r="A177">
        <v>1</v>
      </c>
      <c r="B177">
        <v>4381174</v>
      </c>
      <c r="C177" t="s">
        <v>21</v>
      </c>
      <c r="D177" t="s">
        <v>19</v>
      </c>
      <c r="E177">
        <v>1</v>
      </c>
      <c r="F177" t="s">
        <v>162</v>
      </c>
      <c r="G177" s="41" t="s">
        <v>414</v>
      </c>
      <c r="H177" s="42">
        <v>0.93391203703703707</v>
      </c>
      <c r="I177" s="41" t="s">
        <v>414</v>
      </c>
      <c r="J177" s="42">
        <v>0.95655092592592594</v>
      </c>
      <c r="K177" t="s">
        <v>58</v>
      </c>
      <c r="U17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8" spans="1:21" x14ac:dyDescent="0.25">
      <c r="A178">
        <v>1</v>
      </c>
      <c r="B178">
        <v>4381175</v>
      </c>
      <c r="C178" t="s">
        <v>21</v>
      </c>
      <c r="D178" t="s">
        <v>19</v>
      </c>
      <c r="E178">
        <v>1</v>
      </c>
      <c r="F178" t="s">
        <v>162</v>
      </c>
      <c r="G178" s="41" t="s">
        <v>414</v>
      </c>
      <c r="H178" s="42">
        <v>0.93391203703703707</v>
      </c>
      <c r="I178" s="41" t="s">
        <v>414</v>
      </c>
      <c r="J178" s="42">
        <v>0.95658564814814817</v>
      </c>
      <c r="K178" t="s">
        <v>58</v>
      </c>
      <c r="U17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79" spans="1:21" x14ac:dyDescent="0.25">
      <c r="A179">
        <v>1</v>
      </c>
      <c r="B179">
        <v>4381176</v>
      </c>
      <c r="C179" t="s">
        <v>21</v>
      </c>
      <c r="D179" t="s">
        <v>21</v>
      </c>
      <c r="E179">
        <v>1</v>
      </c>
      <c r="F179" t="s">
        <v>162</v>
      </c>
      <c r="G179" s="41" t="s">
        <v>414</v>
      </c>
      <c r="H179" s="42">
        <v>0.93391203703703707</v>
      </c>
      <c r="I179" s="41" t="s">
        <v>414</v>
      </c>
      <c r="J179" s="42">
        <v>0.95663194444444444</v>
      </c>
      <c r="K179" t="s">
        <v>58</v>
      </c>
      <c r="U17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0" spans="1:21" x14ac:dyDescent="0.25">
      <c r="A180">
        <v>2</v>
      </c>
      <c r="B180">
        <v>4381177</v>
      </c>
      <c r="C180" t="s">
        <v>21</v>
      </c>
      <c r="D180" t="s">
        <v>19</v>
      </c>
      <c r="E180">
        <v>1</v>
      </c>
      <c r="F180" t="s">
        <v>162</v>
      </c>
      <c r="G180" s="41" t="s">
        <v>414</v>
      </c>
      <c r="H180" s="42">
        <v>0.93391203703703707</v>
      </c>
      <c r="I180" s="41" t="s">
        <v>414</v>
      </c>
      <c r="J180" s="42">
        <v>0.95666666666666667</v>
      </c>
      <c r="K180" t="s">
        <v>58</v>
      </c>
      <c r="U18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1" spans="1:21" x14ac:dyDescent="0.25">
      <c r="A181">
        <v>2</v>
      </c>
      <c r="B181">
        <v>4381178</v>
      </c>
      <c r="C181" t="s">
        <v>21</v>
      </c>
      <c r="D181" t="s">
        <v>19</v>
      </c>
      <c r="E181">
        <v>41</v>
      </c>
      <c r="F181" t="s">
        <v>64</v>
      </c>
      <c r="G181" s="41" t="s">
        <v>477</v>
      </c>
      <c r="H181" s="42">
        <v>0.33981481481481479</v>
      </c>
      <c r="I181" s="41" t="s">
        <v>477</v>
      </c>
      <c r="J181" s="42">
        <v>0.3586111111111111</v>
      </c>
      <c r="K181" t="s">
        <v>58</v>
      </c>
      <c r="U18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2" spans="1:21" x14ac:dyDescent="0.25">
      <c r="A182">
        <v>2</v>
      </c>
      <c r="B182">
        <v>4381179</v>
      </c>
      <c r="C182" t="s">
        <v>21</v>
      </c>
      <c r="D182" t="s">
        <v>19</v>
      </c>
      <c r="E182">
        <v>1</v>
      </c>
      <c r="F182" t="s">
        <v>162</v>
      </c>
      <c r="G182" s="41" t="s">
        <v>414</v>
      </c>
      <c r="H182" s="42">
        <v>0.93391203703703707</v>
      </c>
      <c r="I182" s="41" t="s">
        <v>414</v>
      </c>
      <c r="J182" s="42">
        <v>0.95670138888888889</v>
      </c>
      <c r="K182" t="s">
        <v>58</v>
      </c>
      <c r="U18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3" spans="1:21" x14ac:dyDescent="0.25">
      <c r="A183">
        <v>3</v>
      </c>
      <c r="B183">
        <v>4381180</v>
      </c>
      <c r="C183" t="s">
        <v>21</v>
      </c>
      <c r="D183" t="s">
        <v>19</v>
      </c>
      <c r="E183">
        <v>41</v>
      </c>
      <c r="F183" t="s">
        <v>64</v>
      </c>
      <c r="G183" s="41" t="s">
        <v>477</v>
      </c>
      <c r="H183" s="42">
        <v>0.33981481481481479</v>
      </c>
      <c r="I183" s="41" t="s">
        <v>477</v>
      </c>
      <c r="J183" s="42">
        <v>0.37353009259259257</v>
      </c>
      <c r="K183" t="s">
        <v>58</v>
      </c>
      <c r="U18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4" spans="1:21" x14ac:dyDescent="0.25">
      <c r="A184">
        <v>2</v>
      </c>
      <c r="B184">
        <v>4381181</v>
      </c>
      <c r="C184" t="s">
        <v>21</v>
      </c>
      <c r="D184" t="s">
        <v>19</v>
      </c>
      <c r="E184">
        <v>41</v>
      </c>
      <c r="F184" t="s">
        <v>64</v>
      </c>
      <c r="G184" s="41" t="s">
        <v>477</v>
      </c>
      <c r="H184" s="42">
        <v>0.33981481481481479</v>
      </c>
      <c r="I184" s="41" t="s">
        <v>477</v>
      </c>
      <c r="J184" s="42">
        <v>0.35869212962962965</v>
      </c>
      <c r="K184" t="s">
        <v>58</v>
      </c>
      <c r="U18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185" spans="1:21" x14ac:dyDescent="0.25">
      <c r="A185">
        <v>2</v>
      </c>
      <c r="B185">
        <v>4381182</v>
      </c>
      <c r="C185" t="s">
        <v>21</v>
      </c>
      <c r="D185" t="s">
        <v>21</v>
      </c>
      <c r="E185">
        <v>1</v>
      </c>
      <c r="F185" t="s">
        <v>162</v>
      </c>
      <c r="G185" s="41" t="s">
        <v>414</v>
      </c>
      <c r="H185" s="42">
        <v>0.9174768518518519</v>
      </c>
      <c r="I185" s="41" t="s">
        <v>414</v>
      </c>
      <c r="J185" s="42">
        <v>0.92538194444444444</v>
      </c>
      <c r="K185" t="s">
        <v>58</v>
      </c>
      <c r="U18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6" spans="1:21" x14ac:dyDescent="0.25">
      <c r="A186">
        <v>1</v>
      </c>
      <c r="B186">
        <v>4381183</v>
      </c>
      <c r="C186" t="s">
        <v>21</v>
      </c>
      <c r="D186" t="s">
        <v>19</v>
      </c>
      <c r="E186">
        <v>1</v>
      </c>
      <c r="F186" t="s">
        <v>162</v>
      </c>
      <c r="G186" s="41" t="s">
        <v>414</v>
      </c>
      <c r="H186" s="42">
        <v>0.9174768518518519</v>
      </c>
      <c r="I186" s="41" t="s">
        <v>414</v>
      </c>
      <c r="J186" s="42">
        <v>0.93010416666666662</v>
      </c>
      <c r="K186" t="s">
        <v>58</v>
      </c>
      <c r="U18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187" spans="1:21" x14ac:dyDescent="0.25">
      <c r="A187">
        <v>6</v>
      </c>
      <c r="B187">
        <v>4381187</v>
      </c>
      <c r="C187" t="s">
        <v>17</v>
      </c>
      <c r="D187" t="s">
        <v>17</v>
      </c>
      <c r="E187">
        <v>12</v>
      </c>
      <c r="F187" t="s">
        <v>59</v>
      </c>
      <c r="G187" s="41" t="s">
        <v>414</v>
      </c>
      <c r="H187" s="42">
        <v>0.71736111111111112</v>
      </c>
      <c r="I187" s="41" t="s">
        <v>414</v>
      </c>
      <c r="J187" s="42">
        <v>0.74258101851851854</v>
      </c>
      <c r="K187" t="s">
        <v>58</v>
      </c>
      <c r="U18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88" spans="1:21" x14ac:dyDescent="0.25">
      <c r="A188">
        <v>1</v>
      </c>
      <c r="B188">
        <v>4381188</v>
      </c>
      <c r="C188" t="s">
        <v>21</v>
      </c>
      <c r="D188" t="s">
        <v>21</v>
      </c>
      <c r="E188">
        <v>0</v>
      </c>
      <c r="F188" t="s">
        <v>62</v>
      </c>
      <c r="G188" s="41" t="s">
        <v>381</v>
      </c>
      <c r="H188" s="42">
        <v>0.34166666666666667</v>
      </c>
      <c r="I188" s="41" t="s">
        <v>381</v>
      </c>
      <c r="J188" s="42">
        <v>0.3417824074074074</v>
      </c>
      <c r="K188" t="s">
        <v>58</v>
      </c>
      <c r="U18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89" spans="1:21" x14ac:dyDescent="0.25">
      <c r="A189">
        <v>1</v>
      </c>
      <c r="B189">
        <v>4381190</v>
      </c>
      <c r="C189" t="s">
        <v>21</v>
      </c>
      <c r="D189" t="s">
        <v>21</v>
      </c>
      <c r="E189">
        <v>0</v>
      </c>
      <c r="F189" t="s">
        <v>62</v>
      </c>
      <c r="G189" s="41" t="s">
        <v>381</v>
      </c>
      <c r="H189" s="42">
        <v>0.35543981481481479</v>
      </c>
      <c r="I189" s="41" t="s">
        <v>381</v>
      </c>
      <c r="J189" s="42">
        <v>0.35555555555555557</v>
      </c>
      <c r="K189" t="s">
        <v>58</v>
      </c>
      <c r="U18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0" spans="1:21" x14ac:dyDescent="0.25">
      <c r="A190">
        <v>6</v>
      </c>
      <c r="B190">
        <v>4381191</v>
      </c>
      <c r="C190" t="s">
        <v>17</v>
      </c>
      <c r="D190" t="s">
        <v>17</v>
      </c>
      <c r="E190">
        <v>10</v>
      </c>
      <c r="F190" t="s">
        <v>63</v>
      </c>
      <c r="G190" s="41" t="s">
        <v>414</v>
      </c>
      <c r="H190" s="42">
        <v>0.70972222222222225</v>
      </c>
      <c r="I190" s="41" t="s">
        <v>414</v>
      </c>
      <c r="J190" s="42">
        <v>0.7154166666666667</v>
      </c>
      <c r="K190" t="s">
        <v>58</v>
      </c>
      <c r="U19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1" spans="1:21" x14ac:dyDescent="0.25">
      <c r="A191">
        <v>1</v>
      </c>
      <c r="B191">
        <v>4381192</v>
      </c>
      <c r="C191" t="s">
        <v>21</v>
      </c>
      <c r="D191" t="s">
        <v>21</v>
      </c>
      <c r="E191">
        <v>0</v>
      </c>
      <c r="F191" t="s">
        <v>62</v>
      </c>
      <c r="G191" s="41" t="s">
        <v>381</v>
      </c>
      <c r="H191" s="42">
        <v>0.36944444444444446</v>
      </c>
      <c r="I191" s="41" t="s">
        <v>381</v>
      </c>
      <c r="J191" s="42">
        <v>0.36956018518518519</v>
      </c>
      <c r="K191" t="s">
        <v>58</v>
      </c>
      <c r="U19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2" spans="1:21" x14ac:dyDescent="0.25">
      <c r="A192">
        <v>7</v>
      </c>
      <c r="B192">
        <v>4381193</v>
      </c>
      <c r="C192" t="s">
        <v>17</v>
      </c>
      <c r="D192" t="s">
        <v>17</v>
      </c>
      <c r="E192">
        <v>12</v>
      </c>
      <c r="F192" t="s">
        <v>59</v>
      </c>
      <c r="G192" s="41" t="s">
        <v>477</v>
      </c>
      <c r="H192" s="42">
        <v>0.40324074074074073</v>
      </c>
      <c r="I192" s="41" t="s">
        <v>477</v>
      </c>
      <c r="J192" s="42">
        <v>0.41048611111111111</v>
      </c>
      <c r="K192" t="s">
        <v>58</v>
      </c>
      <c r="U19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193" spans="1:21" x14ac:dyDescent="0.25">
      <c r="A193">
        <v>6</v>
      </c>
      <c r="B193">
        <v>4381194</v>
      </c>
      <c r="C193" t="s">
        <v>17</v>
      </c>
      <c r="D193" t="s">
        <v>17</v>
      </c>
      <c r="E193">
        <v>10</v>
      </c>
      <c r="F193" t="s">
        <v>63</v>
      </c>
      <c r="G193" s="41" t="s">
        <v>414</v>
      </c>
      <c r="H193" s="42">
        <v>0.69097222222222221</v>
      </c>
      <c r="I193" s="41" t="s">
        <v>414</v>
      </c>
      <c r="J193" s="42">
        <v>0.69939814814814816</v>
      </c>
      <c r="K193" t="s">
        <v>58</v>
      </c>
      <c r="U193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4" spans="1:21" x14ac:dyDescent="0.25">
      <c r="A194">
        <v>1</v>
      </c>
      <c r="B194">
        <v>4381195</v>
      </c>
      <c r="C194" t="s">
        <v>21</v>
      </c>
      <c r="D194" t="s">
        <v>21</v>
      </c>
      <c r="E194">
        <v>0</v>
      </c>
      <c r="F194" t="s">
        <v>62</v>
      </c>
      <c r="G194" s="41" t="s">
        <v>381</v>
      </c>
      <c r="H194" s="42">
        <v>0.36956018518518519</v>
      </c>
      <c r="I194" s="41" t="s">
        <v>381</v>
      </c>
      <c r="J194" s="42">
        <v>0.36964120370370368</v>
      </c>
      <c r="K194" t="s">
        <v>58</v>
      </c>
      <c r="U19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5" spans="1:21" x14ac:dyDescent="0.25">
      <c r="A195">
        <v>1</v>
      </c>
      <c r="B195">
        <v>4381303</v>
      </c>
      <c r="C195" t="s">
        <v>21</v>
      </c>
      <c r="D195" t="s">
        <v>21</v>
      </c>
      <c r="E195">
        <v>0</v>
      </c>
      <c r="F195" t="s">
        <v>62</v>
      </c>
      <c r="G195" s="41" t="s">
        <v>381</v>
      </c>
      <c r="H195" s="42">
        <v>0.38368055555555558</v>
      </c>
      <c r="I195" s="41" t="s">
        <v>381</v>
      </c>
      <c r="J195" s="42">
        <v>0.38376157407407407</v>
      </c>
      <c r="K195" t="s">
        <v>58</v>
      </c>
      <c r="U19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6" spans="1:21" x14ac:dyDescent="0.25">
      <c r="A196">
        <v>6</v>
      </c>
      <c r="B196">
        <v>4381304</v>
      </c>
      <c r="C196" t="s">
        <v>17</v>
      </c>
      <c r="D196" t="s">
        <v>17</v>
      </c>
      <c r="E196">
        <v>10</v>
      </c>
      <c r="F196" t="s">
        <v>63</v>
      </c>
      <c r="G196" s="41" t="s">
        <v>414</v>
      </c>
      <c r="H196" s="42">
        <v>0.65590277777777772</v>
      </c>
      <c r="I196" s="41" t="s">
        <v>414</v>
      </c>
      <c r="J196" s="42">
        <v>0.66344907407407405</v>
      </c>
      <c r="K196" t="s">
        <v>58</v>
      </c>
      <c r="U19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197" spans="1:21" x14ac:dyDescent="0.25">
      <c r="A197">
        <v>1</v>
      </c>
      <c r="B197">
        <v>4381370</v>
      </c>
      <c r="C197" t="s">
        <v>21</v>
      </c>
      <c r="D197" t="s">
        <v>21</v>
      </c>
      <c r="E197">
        <v>0</v>
      </c>
      <c r="F197" t="s">
        <v>62</v>
      </c>
      <c r="G197" s="41" t="s">
        <v>381</v>
      </c>
      <c r="H197" s="42">
        <v>0.4599537037037037</v>
      </c>
      <c r="I197" s="41" t="s">
        <v>381</v>
      </c>
      <c r="J197" s="42">
        <v>0.45996527777777779</v>
      </c>
      <c r="K197" t="s">
        <v>58</v>
      </c>
      <c r="U1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198" spans="1:21" x14ac:dyDescent="0.25">
      <c r="A198">
        <v>9</v>
      </c>
      <c r="B198">
        <v>4381383</v>
      </c>
      <c r="C198" t="s">
        <v>17</v>
      </c>
      <c r="D198" t="s">
        <v>17</v>
      </c>
      <c r="E198">
        <v>13</v>
      </c>
      <c r="F198" t="s">
        <v>57</v>
      </c>
      <c r="G198" s="41" t="s">
        <v>477</v>
      </c>
      <c r="H198" s="42">
        <v>0.42175925925925928</v>
      </c>
      <c r="I198" s="41" t="s">
        <v>477</v>
      </c>
      <c r="J198" s="42">
        <v>0.42887731481481484</v>
      </c>
      <c r="K198" t="s">
        <v>58</v>
      </c>
      <c r="U198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199" spans="1:21" x14ac:dyDescent="0.25">
      <c r="A199">
        <v>7</v>
      </c>
      <c r="B199">
        <v>4381574</v>
      </c>
      <c r="C199" t="s">
        <v>17</v>
      </c>
      <c r="D199" t="s">
        <v>17</v>
      </c>
      <c r="E199">
        <v>12</v>
      </c>
      <c r="F199" t="s">
        <v>59</v>
      </c>
      <c r="G199" s="41" t="s">
        <v>414</v>
      </c>
      <c r="H199" s="42">
        <v>0.48784722222222221</v>
      </c>
      <c r="I199" s="41" t="s">
        <v>414</v>
      </c>
      <c r="J199" s="42">
        <v>0.5012847222222222</v>
      </c>
      <c r="K199" t="s">
        <v>58</v>
      </c>
      <c r="U19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0" spans="1:21" x14ac:dyDescent="0.25">
      <c r="A200">
        <v>7</v>
      </c>
      <c r="B200">
        <v>4381575</v>
      </c>
      <c r="C200" t="s">
        <v>17</v>
      </c>
      <c r="D200" t="s">
        <v>17</v>
      </c>
      <c r="E200">
        <v>11</v>
      </c>
      <c r="F200" t="s">
        <v>60</v>
      </c>
      <c r="G200" s="41" t="s">
        <v>414</v>
      </c>
      <c r="H200" s="42">
        <v>0.48807870370370371</v>
      </c>
      <c r="I200" s="41" t="s">
        <v>414</v>
      </c>
      <c r="J200" s="42">
        <v>0.50131944444444443</v>
      </c>
      <c r="K200" t="s">
        <v>58</v>
      </c>
      <c r="U200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01" spans="1:21" x14ac:dyDescent="0.25">
      <c r="A201">
        <v>6</v>
      </c>
      <c r="B201">
        <v>4381634</v>
      </c>
      <c r="C201" t="s">
        <v>20</v>
      </c>
      <c r="D201" t="s">
        <v>20</v>
      </c>
      <c r="E201">
        <v>10</v>
      </c>
      <c r="F201" t="s">
        <v>63</v>
      </c>
      <c r="G201" s="41" t="s">
        <v>414</v>
      </c>
      <c r="H201" s="42">
        <v>0.42743055555555554</v>
      </c>
      <c r="I201" s="41" t="s">
        <v>414</v>
      </c>
      <c r="J201" s="42">
        <v>0.45805555555555555</v>
      </c>
      <c r="K201" t="s">
        <v>58</v>
      </c>
      <c r="U20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02" spans="1:21" x14ac:dyDescent="0.25">
      <c r="A202">
        <v>6</v>
      </c>
      <c r="B202">
        <v>4381635</v>
      </c>
      <c r="C202" t="s">
        <v>20</v>
      </c>
      <c r="D202" t="s">
        <v>20</v>
      </c>
      <c r="E202">
        <v>10</v>
      </c>
      <c r="F202" t="s">
        <v>63</v>
      </c>
      <c r="G202" s="41" t="s">
        <v>414</v>
      </c>
      <c r="H202" s="42">
        <v>0.42789351851851853</v>
      </c>
      <c r="I202" s="41" t="s">
        <v>414</v>
      </c>
      <c r="J202" s="42">
        <v>0.458125</v>
      </c>
      <c r="K202" t="s">
        <v>58</v>
      </c>
      <c r="U20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03" spans="1:21" x14ac:dyDescent="0.25">
      <c r="A203">
        <v>7</v>
      </c>
      <c r="B203">
        <v>4381636</v>
      </c>
      <c r="C203" t="s">
        <v>20</v>
      </c>
      <c r="D203" t="s">
        <v>20</v>
      </c>
      <c r="E203">
        <v>12</v>
      </c>
      <c r="F203" t="s">
        <v>59</v>
      </c>
      <c r="G203" s="41" t="s">
        <v>414</v>
      </c>
      <c r="H203" s="42">
        <v>0.63981481481481484</v>
      </c>
      <c r="I203" s="41" t="s">
        <v>414</v>
      </c>
      <c r="J203" s="42">
        <v>0.66559027777777779</v>
      </c>
      <c r="K203" t="s">
        <v>58</v>
      </c>
      <c r="U20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4" spans="1:21" x14ac:dyDescent="0.25">
      <c r="A204">
        <v>7</v>
      </c>
      <c r="B204">
        <v>4381637</v>
      </c>
      <c r="C204" t="s">
        <v>20</v>
      </c>
      <c r="D204" t="s">
        <v>20</v>
      </c>
      <c r="E204">
        <v>12</v>
      </c>
      <c r="F204" t="s">
        <v>59</v>
      </c>
      <c r="G204" s="41" t="s">
        <v>414</v>
      </c>
      <c r="H204" s="42">
        <v>0.63981481481481484</v>
      </c>
      <c r="I204" s="41" t="s">
        <v>414</v>
      </c>
      <c r="J204" s="42">
        <v>0.66561342592592587</v>
      </c>
      <c r="K204" t="s">
        <v>58</v>
      </c>
      <c r="U20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5" spans="1:21" x14ac:dyDescent="0.25">
      <c r="A205">
        <v>7</v>
      </c>
      <c r="B205">
        <v>4381638</v>
      </c>
      <c r="C205" t="s">
        <v>20</v>
      </c>
      <c r="D205" t="s">
        <v>20</v>
      </c>
      <c r="E205">
        <v>12</v>
      </c>
      <c r="F205" t="s">
        <v>59</v>
      </c>
      <c r="G205" s="41" t="s">
        <v>414</v>
      </c>
      <c r="H205" s="42">
        <v>0.63935185185185184</v>
      </c>
      <c r="I205" s="41" t="s">
        <v>414</v>
      </c>
      <c r="J205" s="42">
        <v>0.6656481481481481</v>
      </c>
      <c r="K205" t="s">
        <v>58</v>
      </c>
      <c r="U20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6" spans="1:21" x14ac:dyDescent="0.25">
      <c r="A206">
        <v>7</v>
      </c>
      <c r="B206">
        <v>4381639</v>
      </c>
      <c r="C206" t="s">
        <v>20</v>
      </c>
      <c r="D206" t="s">
        <v>20</v>
      </c>
      <c r="E206">
        <v>12</v>
      </c>
      <c r="F206" t="s">
        <v>59</v>
      </c>
      <c r="G206" s="41" t="s">
        <v>414</v>
      </c>
      <c r="H206" s="42">
        <v>0.63923611111111112</v>
      </c>
      <c r="I206" s="41" t="s">
        <v>414</v>
      </c>
      <c r="J206" s="42">
        <v>0.66568287037037033</v>
      </c>
      <c r="K206" t="s">
        <v>58</v>
      </c>
      <c r="U20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7" spans="1:21" x14ac:dyDescent="0.25">
      <c r="A207">
        <v>9</v>
      </c>
      <c r="B207">
        <v>4381704</v>
      </c>
      <c r="C207" t="s">
        <v>17</v>
      </c>
      <c r="D207" t="s">
        <v>17</v>
      </c>
      <c r="E207">
        <v>13</v>
      </c>
      <c r="F207" t="s">
        <v>57</v>
      </c>
      <c r="G207" s="41" t="s">
        <v>477</v>
      </c>
      <c r="H207" s="42">
        <v>0.42245370370370372</v>
      </c>
      <c r="I207" s="41" t="s">
        <v>477</v>
      </c>
      <c r="J207" s="42">
        <v>0.42899305555555556</v>
      </c>
      <c r="K207" t="s">
        <v>58</v>
      </c>
      <c r="U207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08" spans="1:21" x14ac:dyDescent="0.25">
      <c r="A208">
        <v>7</v>
      </c>
      <c r="B208">
        <v>4381706</v>
      </c>
      <c r="C208" t="s">
        <v>17</v>
      </c>
      <c r="D208" t="s">
        <v>17</v>
      </c>
      <c r="E208">
        <v>12</v>
      </c>
      <c r="F208" t="s">
        <v>59</v>
      </c>
      <c r="G208" s="41" t="s">
        <v>414</v>
      </c>
      <c r="H208" s="42">
        <v>0.63912037037037039</v>
      </c>
      <c r="I208" s="41" t="s">
        <v>414</v>
      </c>
      <c r="J208" s="42">
        <v>0.64541666666666664</v>
      </c>
      <c r="K208" t="s">
        <v>58</v>
      </c>
      <c r="U20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09" spans="1:21" x14ac:dyDescent="0.25">
      <c r="A209">
        <v>7</v>
      </c>
      <c r="B209">
        <v>4381707</v>
      </c>
      <c r="C209" t="s">
        <v>17</v>
      </c>
      <c r="D209" t="s">
        <v>17</v>
      </c>
      <c r="E209">
        <v>12</v>
      </c>
      <c r="F209" t="s">
        <v>59</v>
      </c>
      <c r="G209" s="41" t="s">
        <v>414</v>
      </c>
      <c r="H209" s="42">
        <v>0.64004629629629628</v>
      </c>
      <c r="I209" s="41" t="s">
        <v>414</v>
      </c>
      <c r="J209" s="42">
        <v>0.64546296296296302</v>
      </c>
      <c r="K209" t="s">
        <v>58</v>
      </c>
      <c r="U20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0" spans="1:21" x14ac:dyDescent="0.25">
      <c r="A210">
        <v>7</v>
      </c>
      <c r="B210">
        <v>4381710</v>
      </c>
      <c r="C210" t="s">
        <v>17</v>
      </c>
      <c r="D210" t="s">
        <v>17</v>
      </c>
      <c r="E210">
        <v>12</v>
      </c>
      <c r="F210" t="s">
        <v>59</v>
      </c>
      <c r="G210" s="41" t="s">
        <v>414</v>
      </c>
      <c r="H210" s="42">
        <v>0.64004629629629628</v>
      </c>
      <c r="I210" s="41" t="s">
        <v>414</v>
      </c>
      <c r="J210" s="42">
        <v>0.64549768518518513</v>
      </c>
      <c r="K210" t="s">
        <v>58</v>
      </c>
      <c r="U21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1" spans="1:21" x14ac:dyDescent="0.25">
      <c r="A211">
        <v>7</v>
      </c>
      <c r="B211">
        <v>4381712</v>
      </c>
      <c r="C211" t="s">
        <v>17</v>
      </c>
      <c r="D211" t="s">
        <v>17</v>
      </c>
      <c r="E211">
        <v>12</v>
      </c>
      <c r="F211" t="s">
        <v>59</v>
      </c>
      <c r="G211" s="41" t="s">
        <v>414</v>
      </c>
      <c r="H211" s="42">
        <v>0.64004629629629628</v>
      </c>
      <c r="I211" s="41" t="s">
        <v>414</v>
      </c>
      <c r="J211" s="42">
        <v>0.64553240740740736</v>
      </c>
      <c r="K211" t="s">
        <v>58</v>
      </c>
      <c r="U21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2" spans="1:21" x14ac:dyDescent="0.25">
      <c r="A212">
        <v>9</v>
      </c>
      <c r="B212">
        <v>4381717</v>
      </c>
      <c r="C212" t="s">
        <v>17</v>
      </c>
      <c r="D212" t="s">
        <v>17</v>
      </c>
      <c r="E212">
        <v>13</v>
      </c>
      <c r="F212" t="s">
        <v>57</v>
      </c>
      <c r="G212" s="41" t="s">
        <v>477</v>
      </c>
      <c r="H212" s="42">
        <v>0.43657407407407406</v>
      </c>
      <c r="I212" s="41" t="s">
        <v>477</v>
      </c>
      <c r="J212" s="42">
        <v>0.4377199074074074</v>
      </c>
      <c r="K212" t="s">
        <v>58</v>
      </c>
      <c r="U212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3" spans="1:21" x14ac:dyDescent="0.25">
      <c r="A213">
        <v>9</v>
      </c>
      <c r="B213">
        <v>4381718</v>
      </c>
      <c r="C213" t="s">
        <v>17</v>
      </c>
      <c r="D213" t="s">
        <v>17</v>
      </c>
      <c r="E213">
        <v>13</v>
      </c>
      <c r="F213" t="s">
        <v>57</v>
      </c>
      <c r="G213" s="41" t="s">
        <v>477</v>
      </c>
      <c r="H213" s="42">
        <v>0.43645833333333334</v>
      </c>
      <c r="I213" s="41" t="s">
        <v>477</v>
      </c>
      <c r="J213" s="42">
        <v>0.43781249999999999</v>
      </c>
      <c r="K213" t="s">
        <v>58</v>
      </c>
      <c r="U213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4" spans="1:21" x14ac:dyDescent="0.25">
      <c r="A214">
        <v>9</v>
      </c>
      <c r="B214">
        <v>4381719</v>
      </c>
      <c r="C214" t="s">
        <v>17</v>
      </c>
      <c r="D214" t="s">
        <v>17</v>
      </c>
      <c r="E214">
        <v>13</v>
      </c>
      <c r="F214" t="s">
        <v>57</v>
      </c>
      <c r="G214" s="41" t="s">
        <v>477</v>
      </c>
      <c r="H214" s="42">
        <v>0.42222222222222222</v>
      </c>
      <c r="I214" s="41" t="s">
        <v>477</v>
      </c>
      <c r="J214" s="42">
        <v>0.42908564814814815</v>
      </c>
      <c r="K214" t="s">
        <v>58</v>
      </c>
      <c r="U214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5" spans="1:21" x14ac:dyDescent="0.25">
      <c r="A215">
        <v>9</v>
      </c>
      <c r="B215">
        <v>4381724</v>
      </c>
      <c r="C215" t="s">
        <v>17</v>
      </c>
      <c r="D215" t="s">
        <v>17</v>
      </c>
      <c r="E215">
        <v>13</v>
      </c>
      <c r="F215" t="s">
        <v>57</v>
      </c>
      <c r="G215" s="41" t="s">
        <v>477</v>
      </c>
      <c r="H215" s="42">
        <v>0.42233796296296294</v>
      </c>
      <c r="I215" s="41" t="s">
        <v>477</v>
      </c>
      <c r="J215" s="42">
        <v>0.42935185185185187</v>
      </c>
      <c r="K215" t="s">
        <v>58</v>
      </c>
      <c r="U215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6" spans="1:21" x14ac:dyDescent="0.25">
      <c r="A216">
        <v>7</v>
      </c>
      <c r="B216">
        <v>4381729</v>
      </c>
      <c r="C216" t="s">
        <v>17</v>
      </c>
      <c r="D216" t="s">
        <v>17</v>
      </c>
      <c r="E216">
        <v>12</v>
      </c>
      <c r="F216" t="s">
        <v>59</v>
      </c>
      <c r="G216" s="41" t="s">
        <v>414</v>
      </c>
      <c r="H216" s="42">
        <v>0.63958333333333328</v>
      </c>
      <c r="I216" s="41" t="s">
        <v>414</v>
      </c>
      <c r="J216" s="42">
        <v>0.64585648148148145</v>
      </c>
      <c r="K216" t="s">
        <v>58</v>
      </c>
      <c r="U21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17" spans="1:21" x14ac:dyDescent="0.25">
      <c r="A217">
        <v>9</v>
      </c>
      <c r="B217">
        <v>4381733</v>
      </c>
      <c r="C217" t="s">
        <v>17</v>
      </c>
      <c r="D217" t="s">
        <v>17</v>
      </c>
      <c r="E217">
        <v>13</v>
      </c>
      <c r="F217" t="s">
        <v>57</v>
      </c>
      <c r="G217" s="41" t="s">
        <v>477</v>
      </c>
      <c r="H217" s="42">
        <v>0.43634259259259262</v>
      </c>
      <c r="I217" s="41" t="s">
        <v>477</v>
      </c>
      <c r="J217" s="42">
        <v>0.43791666666666668</v>
      </c>
      <c r="K217" t="s">
        <v>58</v>
      </c>
      <c r="U217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8" spans="1:21" x14ac:dyDescent="0.25">
      <c r="A218">
        <v>9</v>
      </c>
      <c r="B218">
        <v>4381738</v>
      </c>
      <c r="C218" t="s">
        <v>17</v>
      </c>
      <c r="D218" t="s">
        <v>17</v>
      </c>
      <c r="E218">
        <v>13</v>
      </c>
      <c r="F218" t="s">
        <v>57</v>
      </c>
      <c r="G218" s="41" t="s">
        <v>477</v>
      </c>
      <c r="H218" s="42">
        <v>0.43622685185185184</v>
      </c>
      <c r="I218" s="41" t="s">
        <v>477</v>
      </c>
      <c r="J218" s="42">
        <v>0.43798611111111113</v>
      </c>
      <c r="K218" t="s">
        <v>58</v>
      </c>
      <c r="U218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19" spans="1:21" x14ac:dyDescent="0.25">
      <c r="A219">
        <v>7</v>
      </c>
      <c r="B219">
        <v>4381751</v>
      </c>
      <c r="C219" t="s">
        <v>17</v>
      </c>
      <c r="D219" t="s">
        <v>17</v>
      </c>
      <c r="E219">
        <v>12</v>
      </c>
      <c r="F219" t="s">
        <v>59</v>
      </c>
      <c r="G219" s="41" t="s">
        <v>414</v>
      </c>
      <c r="H219" s="42">
        <v>0.640162037037037</v>
      </c>
      <c r="I219" s="41" t="s">
        <v>414</v>
      </c>
      <c r="J219" s="42">
        <v>0.64642361111111113</v>
      </c>
      <c r="K219" t="s">
        <v>58</v>
      </c>
      <c r="U21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0" spans="1:21" x14ac:dyDescent="0.25">
      <c r="A220">
        <v>9</v>
      </c>
      <c r="B220">
        <v>4381752</v>
      </c>
      <c r="C220" t="s">
        <v>17</v>
      </c>
      <c r="D220" t="s">
        <v>17</v>
      </c>
      <c r="E220">
        <v>13</v>
      </c>
      <c r="F220" t="s">
        <v>57</v>
      </c>
      <c r="G220" s="41" t="s">
        <v>477</v>
      </c>
      <c r="H220" s="42">
        <v>0.37719907407407405</v>
      </c>
      <c r="I220" s="41" t="s">
        <v>477</v>
      </c>
      <c r="J220" s="42">
        <v>0.3848611111111111</v>
      </c>
      <c r="K220" t="s">
        <v>58</v>
      </c>
      <c r="U220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1" spans="1:21" x14ac:dyDescent="0.25">
      <c r="A221">
        <v>7</v>
      </c>
      <c r="B221">
        <v>4381754</v>
      </c>
      <c r="C221" t="s">
        <v>17</v>
      </c>
      <c r="D221" t="s">
        <v>17</v>
      </c>
      <c r="E221">
        <v>12</v>
      </c>
      <c r="F221" t="s">
        <v>59</v>
      </c>
      <c r="G221" s="41" t="s">
        <v>414</v>
      </c>
      <c r="H221" s="42">
        <v>0.63958333333333328</v>
      </c>
      <c r="I221" s="41" t="s">
        <v>414</v>
      </c>
      <c r="J221" s="42">
        <v>0.64649305555555558</v>
      </c>
      <c r="K221" t="s">
        <v>58</v>
      </c>
      <c r="U22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2" spans="1:21" x14ac:dyDescent="0.25">
      <c r="A222">
        <v>8</v>
      </c>
      <c r="B222">
        <v>4381912</v>
      </c>
      <c r="C222" t="s">
        <v>20</v>
      </c>
      <c r="D222" t="s">
        <v>314</v>
      </c>
      <c r="E222">
        <v>13</v>
      </c>
      <c r="F222" t="s">
        <v>57</v>
      </c>
      <c r="G222" s="41" t="s">
        <v>477</v>
      </c>
      <c r="H222" s="42">
        <v>0.41342592592592592</v>
      </c>
      <c r="I222" s="41" t="s">
        <v>477</v>
      </c>
      <c r="J222" s="42">
        <v>0.43126157407407406</v>
      </c>
      <c r="K222" t="s">
        <v>58</v>
      </c>
      <c r="U222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3" spans="1:21" x14ac:dyDescent="0.25">
      <c r="A223">
        <v>7</v>
      </c>
      <c r="B223">
        <v>4381913</v>
      </c>
      <c r="C223" t="s">
        <v>20</v>
      </c>
      <c r="D223" t="s">
        <v>314</v>
      </c>
      <c r="E223">
        <v>13</v>
      </c>
      <c r="F223" t="s">
        <v>57</v>
      </c>
      <c r="G223" s="41" t="s">
        <v>477</v>
      </c>
      <c r="H223" s="42">
        <v>0.41342592592592592</v>
      </c>
      <c r="I223" s="41" t="s">
        <v>477</v>
      </c>
      <c r="J223" s="42">
        <v>0.43134259259259261</v>
      </c>
      <c r="K223" t="s">
        <v>58</v>
      </c>
      <c r="U223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224" spans="1:21" x14ac:dyDescent="0.25">
      <c r="A224">
        <v>3</v>
      </c>
      <c r="B224">
        <v>4381930</v>
      </c>
      <c r="C224" t="s">
        <v>17</v>
      </c>
      <c r="D224" t="s">
        <v>17</v>
      </c>
      <c r="E224">
        <v>41</v>
      </c>
      <c r="F224" t="s">
        <v>64</v>
      </c>
      <c r="G224" s="41" t="s">
        <v>381</v>
      </c>
      <c r="H224" s="42">
        <v>0.69108796296296293</v>
      </c>
      <c r="I224" s="41" t="s">
        <v>381</v>
      </c>
      <c r="J224" s="42">
        <v>0.69973379629629628</v>
      </c>
      <c r="K224" t="s">
        <v>58</v>
      </c>
      <c r="U22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225" spans="1:21" x14ac:dyDescent="0.25">
      <c r="A225">
        <v>6</v>
      </c>
      <c r="B225">
        <v>4381935</v>
      </c>
      <c r="C225" t="s">
        <v>17</v>
      </c>
      <c r="D225" t="s">
        <v>17</v>
      </c>
      <c r="E225">
        <v>12</v>
      </c>
      <c r="F225" t="s">
        <v>59</v>
      </c>
      <c r="G225" s="41" t="s">
        <v>414</v>
      </c>
      <c r="H225" s="42">
        <v>0.53773148148148153</v>
      </c>
      <c r="I225" s="41" t="s">
        <v>414</v>
      </c>
      <c r="J225" s="42">
        <v>0.54587962962962966</v>
      </c>
      <c r="K225" t="s">
        <v>58</v>
      </c>
      <c r="U22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6" spans="1:21" x14ac:dyDescent="0.25">
      <c r="A226">
        <v>6</v>
      </c>
      <c r="B226">
        <v>4382004</v>
      </c>
      <c r="C226" t="s">
        <v>17</v>
      </c>
      <c r="D226" t="s">
        <v>17</v>
      </c>
      <c r="E226">
        <v>10</v>
      </c>
      <c r="F226" t="s">
        <v>63</v>
      </c>
      <c r="G226" s="41" t="s">
        <v>477</v>
      </c>
      <c r="H226" s="42">
        <v>0.44421296296296298</v>
      </c>
      <c r="I226" s="41" t="s">
        <v>477</v>
      </c>
      <c r="J226" s="42">
        <v>0.44658564814814816</v>
      </c>
      <c r="K226" t="s">
        <v>58</v>
      </c>
      <c r="U22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27" spans="1:21" x14ac:dyDescent="0.25">
      <c r="A227">
        <v>7</v>
      </c>
      <c r="B227">
        <v>4382012</v>
      </c>
      <c r="C227" t="s">
        <v>17</v>
      </c>
      <c r="D227" t="s">
        <v>17</v>
      </c>
      <c r="E227">
        <v>12</v>
      </c>
      <c r="F227" t="s">
        <v>59</v>
      </c>
      <c r="G227" s="41" t="s">
        <v>414</v>
      </c>
      <c r="H227" s="42">
        <v>0.70983796296296298</v>
      </c>
      <c r="I227" s="41" t="s">
        <v>414</v>
      </c>
      <c r="J227" s="42">
        <v>0.71553240740740742</v>
      </c>
      <c r="K227" t="s">
        <v>58</v>
      </c>
      <c r="U22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8" spans="1:21" x14ac:dyDescent="0.25">
      <c r="A228">
        <v>7</v>
      </c>
      <c r="B228">
        <v>4382020</v>
      </c>
      <c r="C228">
        <v>1196</v>
      </c>
      <c r="D228" t="s">
        <v>309</v>
      </c>
      <c r="E228">
        <v>12</v>
      </c>
      <c r="F228" t="s">
        <v>59</v>
      </c>
      <c r="G228" s="41" t="s">
        <v>414</v>
      </c>
      <c r="H228" s="42">
        <v>0.59641203703703705</v>
      </c>
      <c r="I228" s="41" t="s">
        <v>414</v>
      </c>
      <c r="J228" s="42">
        <v>0.60968750000000005</v>
      </c>
      <c r="K228" t="s">
        <v>58</v>
      </c>
      <c r="U22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29" spans="1:21" x14ac:dyDescent="0.25">
      <c r="A229">
        <v>6</v>
      </c>
      <c r="B229">
        <v>4382161</v>
      </c>
      <c r="C229" t="s">
        <v>17</v>
      </c>
      <c r="D229" t="s">
        <v>17</v>
      </c>
      <c r="E229">
        <v>10</v>
      </c>
      <c r="F229" t="s">
        <v>63</v>
      </c>
      <c r="G229" s="41" t="s">
        <v>414</v>
      </c>
      <c r="H229" s="42">
        <v>0.66655092592592591</v>
      </c>
      <c r="I229" s="41" t="s">
        <v>414</v>
      </c>
      <c r="J229" s="42">
        <v>0.67234953703703704</v>
      </c>
      <c r="K229" t="s">
        <v>58</v>
      </c>
      <c r="U22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0" spans="1:21" x14ac:dyDescent="0.25">
      <c r="A230">
        <v>6</v>
      </c>
      <c r="B230">
        <v>4382162</v>
      </c>
      <c r="C230" t="s">
        <v>17</v>
      </c>
      <c r="D230" t="s">
        <v>17</v>
      </c>
      <c r="E230">
        <v>10</v>
      </c>
      <c r="F230" t="s">
        <v>63</v>
      </c>
      <c r="G230" s="41" t="s">
        <v>414</v>
      </c>
      <c r="H230" s="42">
        <v>0.6738425925925926</v>
      </c>
      <c r="I230" s="41" t="s">
        <v>414</v>
      </c>
      <c r="J230" s="42">
        <v>0.68131944444444448</v>
      </c>
      <c r="K230" t="s">
        <v>58</v>
      </c>
      <c r="U23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1" spans="1:21" x14ac:dyDescent="0.25">
      <c r="A231">
        <v>6</v>
      </c>
      <c r="B231">
        <v>4382163</v>
      </c>
      <c r="C231" t="s">
        <v>17</v>
      </c>
      <c r="D231" t="s">
        <v>17</v>
      </c>
      <c r="E231">
        <v>10</v>
      </c>
      <c r="F231" t="s">
        <v>63</v>
      </c>
      <c r="G231" s="41" t="s">
        <v>414</v>
      </c>
      <c r="H231" s="42">
        <v>0.6787037037037037</v>
      </c>
      <c r="I231" s="41" t="s">
        <v>414</v>
      </c>
      <c r="J231" s="42">
        <v>0.69043981481481487</v>
      </c>
      <c r="K231" t="s">
        <v>58</v>
      </c>
      <c r="U23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2" spans="1:21" x14ac:dyDescent="0.25">
      <c r="A232">
        <v>6</v>
      </c>
      <c r="B232">
        <v>4382164</v>
      </c>
      <c r="C232" t="s">
        <v>17</v>
      </c>
      <c r="D232" t="s">
        <v>17</v>
      </c>
      <c r="E232">
        <v>10</v>
      </c>
      <c r="F232" t="s">
        <v>63</v>
      </c>
      <c r="G232" s="41" t="s">
        <v>414</v>
      </c>
      <c r="H232" s="42">
        <v>0.67962962962962958</v>
      </c>
      <c r="I232" s="41" t="s">
        <v>414</v>
      </c>
      <c r="J232" s="42">
        <v>0.69050925925925921</v>
      </c>
      <c r="K232" t="s">
        <v>58</v>
      </c>
      <c r="U23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3" spans="1:21" x14ac:dyDescent="0.25">
      <c r="A233">
        <v>6</v>
      </c>
      <c r="B233">
        <v>4382165</v>
      </c>
      <c r="C233" t="s">
        <v>17</v>
      </c>
      <c r="D233" t="s">
        <v>17</v>
      </c>
      <c r="E233">
        <v>11</v>
      </c>
      <c r="F233" t="s">
        <v>60</v>
      </c>
      <c r="G233" s="41" t="s">
        <v>414</v>
      </c>
      <c r="H233" s="42">
        <v>0.68032407407407403</v>
      </c>
      <c r="I233" s="41" t="s">
        <v>414</v>
      </c>
      <c r="J233" s="42">
        <v>0.69055555555555559</v>
      </c>
      <c r="K233" t="s">
        <v>58</v>
      </c>
      <c r="U233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234" spans="1:21" x14ac:dyDescent="0.25">
      <c r="A234">
        <v>6</v>
      </c>
      <c r="B234">
        <v>4382166</v>
      </c>
      <c r="C234" t="s">
        <v>17</v>
      </c>
      <c r="D234" t="s">
        <v>17</v>
      </c>
      <c r="E234">
        <v>10</v>
      </c>
      <c r="F234" t="s">
        <v>63</v>
      </c>
      <c r="G234" s="41" t="s">
        <v>414</v>
      </c>
      <c r="H234" s="42">
        <v>0.68171296296296291</v>
      </c>
      <c r="I234" s="41" t="s">
        <v>414</v>
      </c>
      <c r="J234" s="42">
        <v>0.69062500000000004</v>
      </c>
      <c r="K234" t="s">
        <v>58</v>
      </c>
      <c r="U23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5" spans="1:21" x14ac:dyDescent="0.25">
      <c r="A235">
        <v>6</v>
      </c>
      <c r="B235">
        <v>4382167</v>
      </c>
      <c r="C235" t="s">
        <v>17</v>
      </c>
      <c r="D235" t="s">
        <v>17</v>
      </c>
      <c r="E235">
        <v>10</v>
      </c>
      <c r="F235" t="s">
        <v>63</v>
      </c>
      <c r="G235" s="41" t="s">
        <v>414</v>
      </c>
      <c r="H235" s="42">
        <v>0.6831018518518519</v>
      </c>
      <c r="I235" s="41" t="s">
        <v>414</v>
      </c>
      <c r="J235" s="42">
        <v>0.69068287037037035</v>
      </c>
      <c r="K235" t="s">
        <v>58</v>
      </c>
      <c r="U23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6" spans="1:21" x14ac:dyDescent="0.25">
      <c r="A236">
        <v>6</v>
      </c>
      <c r="B236">
        <v>4382168</v>
      </c>
      <c r="C236" t="s">
        <v>17</v>
      </c>
      <c r="D236" t="s">
        <v>17</v>
      </c>
      <c r="E236">
        <v>10</v>
      </c>
      <c r="F236" t="s">
        <v>63</v>
      </c>
      <c r="G236" s="41" t="s">
        <v>414</v>
      </c>
      <c r="H236" s="42">
        <v>0.68391203703703707</v>
      </c>
      <c r="I236" s="41" t="s">
        <v>414</v>
      </c>
      <c r="J236" s="42">
        <v>0.69075231481481481</v>
      </c>
      <c r="K236" t="s">
        <v>58</v>
      </c>
      <c r="U23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7" spans="1:21" x14ac:dyDescent="0.25">
      <c r="A237">
        <v>6</v>
      </c>
      <c r="B237">
        <v>4382169</v>
      </c>
      <c r="C237" t="s">
        <v>17</v>
      </c>
      <c r="D237" t="s">
        <v>17</v>
      </c>
      <c r="E237">
        <v>10</v>
      </c>
      <c r="F237" t="s">
        <v>63</v>
      </c>
      <c r="G237" s="41" t="s">
        <v>414</v>
      </c>
      <c r="H237" s="42">
        <v>0.68460648148148151</v>
      </c>
      <c r="I237" s="41" t="s">
        <v>414</v>
      </c>
      <c r="J237" s="42">
        <v>0.69085648148148149</v>
      </c>
      <c r="K237" t="s">
        <v>58</v>
      </c>
      <c r="U23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8" spans="1:21" x14ac:dyDescent="0.25">
      <c r="A238">
        <v>5</v>
      </c>
      <c r="B238">
        <v>4382170</v>
      </c>
      <c r="C238" t="s">
        <v>17</v>
      </c>
      <c r="D238" t="s">
        <v>17</v>
      </c>
      <c r="E238">
        <v>10</v>
      </c>
      <c r="F238" t="s">
        <v>63</v>
      </c>
      <c r="G238" s="41" t="s">
        <v>414</v>
      </c>
      <c r="H238" s="42">
        <v>0.68530092592592595</v>
      </c>
      <c r="I238" s="41" t="s">
        <v>414</v>
      </c>
      <c r="J238" s="42">
        <v>0.69094907407407402</v>
      </c>
      <c r="K238" t="s">
        <v>58</v>
      </c>
      <c r="U23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39" spans="1:21" x14ac:dyDescent="0.25">
      <c r="A239">
        <v>5</v>
      </c>
      <c r="B239">
        <v>4382171</v>
      </c>
      <c r="C239" t="s">
        <v>17</v>
      </c>
      <c r="D239" t="s">
        <v>17</v>
      </c>
      <c r="E239">
        <v>10</v>
      </c>
      <c r="F239" t="s">
        <v>63</v>
      </c>
      <c r="G239" s="41" t="s">
        <v>414</v>
      </c>
      <c r="H239" s="42">
        <v>0.68645833333333328</v>
      </c>
      <c r="I239" s="41" t="s">
        <v>414</v>
      </c>
      <c r="J239" s="42">
        <v>0.69101851851851848</v>
      </c>
      <c r="K239" t="s">
        <v>58</v>
      </c>
      <c r="U23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0" spans="1:21" x14ac:dyDescent="0.25">
      <c r="A240">
        <v>5</v>
      </c>
      <c r="B240">
        <v>4382172</v>
      </c>
      <c r="C240" t="s">
        <v>17</v>
      </c>
      <c r="D240" t="s">
        <v>17</v>
      </c>
      <c r="E240">
        <v>10</v>
      </c>
      <c r="F240" t="s">
        <v>63</v>
      </c>
      <c r="G240" s="41" t="s">
        <v>414</v>
      </c>
      <c r="H240" s="42">
        <v>0.68726851851851856</v>
      </c>
      <c r="I240" s="41" t="s">
        <v>414</v>
      </c>
      <c r="J240" s="42">
        <v>0.69109953703703708</v>
      </c>
      <c r="K240" t="s">
        <v>58</v>
      </c>
      <c r="U24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1" spans="1:21" x14ac:dyDescent="0.25">
      <c r="A241">
        <v>4</v>
      </c>
      <c r="B241">
        <v>4382285</v>
      </c>
      <c r="C241" t="s">
        <v>17</v>
      </c>
      <c r="D241" t="s">
        <v>17</v>
      </c>
      <c r="E241">
        <v>10</v>
      </c>
      <c r="F241" t="s">
        <v>61</v>
      </c>
      <c r="G241" s="41" t="s">
        <v>477</v>
      </c>
      <c r="H241" s="42">
        <v>0.40752314814814816</v>
      </c>
      <c r="I241" s="41" t="s">
        <v>477</v>
      </c>
      <c r="J241" s="42">
        <v>0.41054398148148147</v>
      </c>
      <c r="K241" t="s">
        <v>58</v>
      </c>
      <c r="U24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42" spans="1:21" x14ac:dyDescent="0.25">
      <c r="A242">
        <v>6</v>
      </c>
      <c r="B242">
        <v>4382286</v>
      </c>
      <c r="C242" t="s">
        <v>20</v>
      </c>
      <c r="D242" t="s">
        <v>314</v>
      </c>
      <c r="E242">
        <v>10</v>
      </c>
      <c r="F242" t="s">
        <v>63</v>
      </c>
      <c r="G242" s="41" t="s">
        <v>477</v>
      </c>
      <c r="H242" s="42">
        <v>0.44201388888888887</v>
      </c>
      <c r="I242" s="41" t="s">
        <v>477</v>
      </c>
      <c r="J242" s="42">
        <v>0.4468287037037037</v>
      </c>
      <c r="K242" t="s">
        <v>58</v>
      </c>
      <c r="U24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3" spans="1:21" x14ac:dyDescent="0.25">
      <c r="A243">
        <v>1</v>
      </c>
      <c r="B243">
        <v>4382287</v>
      </c>
      <c r="C243" t="s">
        <v>20</v>
      </c>
      <c r="D243" t="s">
        <v>419</v>
      </c>
      <c r="E243">
        <v>1</v>
      </c>
      <c r="F243" t="s">
        <v>162</v>
      </c>
      <c r="G243" s="41" t="s">
        <v>414</v>
      </c>
      <c r="H243" s="42">
        <v>0.52754629629629635</v>
      </c>
      <c r="I243" s="41" t="s">
        <v>414</v>
      </c>
      <c r="J243" s="42">
        <v>0.52829861111111109</v>
      </c>
      <c r="K243" t="s">
        <v>58</v>
      </c>
      <c r="U24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244" spans="1:21" x14ac:dyDescent="0.25">
      <c r="A244">
        <v>5</v>
      </c>
      <c r="B244">
        <v>4382288</v>
      </c>
      <c r="C244" t="s">
        <v>20</v>
      </c>
      <c r="D244" t="s">
        <v>314</v>
      </c>
      <c r="E244">
        <v>10</v>
      </c>
      <c r="F244" t="s">
        <v>63</v>
      </c>
      <c r="G244" s="41" t="s">
        <v>477</v>
      </c>
      <c r="H244" s="42">
        <v>0.44085648148148149</v>
      </c>
      <c r="I244" s="41" t="s">
        <v>477</v>
      </c>
      <c r="J244" s="42">
        <v>0.44689814814814816</v>
      </c>
      <c r="K244" t="s">
        <v>58</v>
      </c>
      <c r="U24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5" spans="1:21" x14ac:dyDescent="0.25">
      <c r="A245">
        <v>5</v>
      </c>
      <c r="B245">
        <v>4382289</v>
      </c>
      <c r="C245" t="s">
        <v>20</v>
      </c>
      <c r="D245" t="s">
        <v>314</v>
      </c>
      <c r="E245">
        <v>10</v>
      </c>
      <c r="F245" t="s">
        <v>63</v>
      </c>
      <c r="G245" s="41" t="s">
        <v>477</v>
      </c>
      <c r="H245" s="42">
        <v>0.43425925925925923</v>
      </c>
      <c r="I245" s="41" t="s">
        <v>477</v>
      </c>
      <c r="J245" s="42">
        <v>0.43895833333333334</v>
      </c>
      <c r="K245" t="s">
        <v>58</v>
      </c>
      <c r="U24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6" spans="1:21" x14ac:dyDescent="0.25">
      <c r="A246">
        <v>5</v>
      </c>
      <c r="B246">
        <v>4382290</v>
      </c>
      <c r="C246" t="s">
        <v>20</v>
      </c>
      <c r="D246" t="s">
        <v>314</v>
      </c>
      <c r="E246">
        <v>10</v>
      </c>
      <c r="F246" t="s">
        <v>63</v>
      </c>
      <c r="G246" s="41" t="s">
        <v>477</v>
      </c>
      <c r="H246" s="42">
        <v>0.43379629629629629</v>
      </c>
      <c r="I246" s="41" t="s">
        <v>477</v>
      </c>
      <c r="J246" s="42">
        <v>0.43907407407407406</v>
      </c>
      <c r="K246" t="s">
        <v>58</v>
      </c>
      <c r="U24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7" spans="1:21" x14ac:dyDescent="0.25">
      <c r="A247">
        <v>5</v>
      </c>
      <c r="B247">
        <v>4382291</v>
      </c>
      <c r="C247" t="s">
        <v>20</v>
      </c>
      <c r="D247" t="s">
        <v>314</v>
      </c>
      <c r="E247">
        <v>10</v>
      </c>
      <c r="F247" t="s">
        <v>63</v>
      </c>
      <c r="G247" s="41" t="s">
        <v>477</v>
      </c>
      <c r="H247" s="42">
        <v>0.4392361111111111</v>
      </c>
      <c r="I247" s="41" t="s">
        <v>477</v>
      </c>
      <c r="J247" s="42">
        <v>0.44697916666666665</v>
      </c>
      <c r="K247" t="s">
        <v>58</v>
      </c>
      <c r="U24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8" spans="1:21" x14ac:dyDescent="0.25">
      <c r="A248">
        <v>5</v>
      </c>
      <c r="B248">
        <v>4382292</v>
      </c>
      <c r="C248" t="s">
        <v>20</v>
      </c>
      <c r="D248" t="s">
        <v>314</v>
      </c>
      <c r="E248">
        <v>10</v>
      </c>
      <c r="F248" t="s">
        <v>63</v>
      </c>
      <c r="G248" s="41" t="s">
        <v>477</v>
      </c>
      <c r="H248" s="42">
        <v>0.43831018518518516</v>
      </c>
      <c r="I248" s="41" t="s">
        <v>477</v>
      </c>
      <c r="J248" s="42">
        <v>0.43917824074074074</v>
      </c>
      <c r="K248" t="s">
        <v>58</v>
      </c>
      <c r="U24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49" spans="1:21" x14ac:dyDescent="0.25">
      <c r="A249">
        <v>5</v>
      </c>
      <c r="B249">
        <v>4382293</v>
      </c>
      <c r="C249" t="s">
        <v>20</v>
      </c>
      <c r="D249" t="s">
        <v>314</v>
      </c>
      <c r="E249">
        <v>10</v>
      </c>
      <c r="F249" t="s">
        <v>63</v>
      </c>
      <c r="G249" s="41" t="s">
        <v>477</v>
      </c>
      <c r="H249" s="42">
        <v>0.4375</v>
      </c>
      <c r="I249" s="41" t="s">
        <v>477</v>
      </c>
      <c r="J249" s="42">
        <v>0.4392476851851852</v>
      </c>
      <c r="K249" t="s">
        <v>58</v>
      </c>
      <c r="U24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0" spans="1:21" x14ac:dyDescent="0.25">
      <c r="A250">
        <v>5</v>
      </c>
      <c r="B250">
        <v>4382294</v>
      </c>
      <c r="C250" t="s">
        <v>20</v>
      </c>
      <c r="D250" t="s">
        <v>314</v>
      </c>
      <c r="E250">
        <v>10</v>
      </c>
      <c r="F250" t="s">
        <v>63</v>
      </c>
      <c r="G250" s="41" t="s">
        <v>477</v>
      </c>
      <c r="H250" s="42">
        <v>0.43599537037037039</v>
      </c>
      <c r="I250" s="41" t="s">
        <v>477</v>
      </c>
      <c r="J250" s="42">
        <v>0.43931712962962965</v>
      </c>
      <c r="K250" t="s">
        <v>58</v>
      </c>
      <c r="U25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1" spans="1:21" x14ac:dyDescent="0.25">
      <c r="A251">
        <v>6</v>
      </c>
      <c r="B251">
        <v>4382295</v>
      </c>
      <c r="C251" t="s">
        <v>20</v>
      </c>
      <c r="D251" t="s">
        <v>314</v>
      </c>
      <c r="E251">
        <v>10</v>
      </c>
      <c r="F251" t="s">
        <v>63</v>
      </c>
      <c r="G251" s="41" t="s">
        <v>477</v>
      </c>
      <c r="H251" s="42">
        <v>0.43530092592592595</v>
      </c>
      <c r="I251" s="41" t="s">
        <v>477</v>
      </c>
      <c r="J251" s="42">
        <v>0.43939814814814815</v>
      </c>
      <c r="K251" t="s">
        <v>58</v>
      </c>
      <c r="U25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2" spans="1:21" x14ac:dyDescent="0.25">
      <c r="A252">
        <v>2</v>
      </c>
      <c r="B252">
        <v>4382296</v>
      </c>
      <c r="C252" t="s">
        <v>20</v>
      </c>
      <c r="D252" t="s">
        <v>419</v>
      </c>
      <c r="E252">
        <v>1</v>
      </c>
      <c r="F252" t="s">
        <v>162</v>
      </c>
      <c r="G252" s="41" t="s">
        <v>414</v>
      </c>
      <c r="H252" s="42">
        <v>0.52766203703703707</v>
      </c>
      <c r="I252" s="41" t="s">
        <v>414</v>
      </c>
      <c r="J252" s="42">
        <v>0.52861111111111114</v>
      </c>
      <c r="K252" t="s">
        <v>58</v>
      </c>
      <c r="U25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253" spans="1:21" x14ac:dyDescent="0.25">
      <c r="A253">
        <v>3</v>
      </c>
      <c r="B253">
        <v>4382297</v>
      </c>
      <c r="C253" t="s">
        <v>20</v>
      </c>
      <c r="D253" t="s">
        <v>314</v>
      </c>
      <c r="E253">
        <v>10</v>
      </c>
      <c r="F253" t="s">
        <v>61</v>
      </c>
      <c r="G253" s="41" t="s">
        <v>414</v>
      </c>
      <c r="H253" s="42">
        <v>0.61319444444444449</v>
      </c>
      <c r="I253" s="41" t="s">
        <v>414</v>
      </c>
      <c r="J253" s="42">
        <v>0.63687499999999997</v>
      </c>
      <c r="K253" t="s">
        <v>58</v>
      </c>
      <c r="U25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254" spans="1:21" x14ac:dyDescent="0.25">
      <c r="A254">
        <v>5</v>
      </c>
      <c r="B254">
        <v>4382298</v>
      </c>
      <c r="C254" t="s">
        <v>20</v>
      </c>
      <c r="D254" t="s">
        <v>314</v>
      </c>
      <c r="E254">
        <v>10</v>
      </c>
      <c r="F254" t="s">
        <v>63</v>
      </c>
      <c r="G254" s="41" t="s">
        <v>477</v>
      </c>
      <c r="H254" s="42">
        <v>0.43437500000000001</v>
      </c>
      <c r="I254" s="41" t="s">
        <v>477</v>
      </c>
      <c r="J254" s="42">
        <v>0.43947916666666664</v>
      </c>
      <c r="K254" t="s">
        <v>58</v>
      </c>
      <c r="U25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5" spans="1:21" x14ac:dyDescent="0.25">
      <c r="A255">
        <v>5</v>
      </c>
      <c r="B255">
        <v>4382299</v>
      </c>
      <c r="C255" t="s">
        <v>20</v>
      </c>
      <c r="D255" t="s">
        <v>314</v>
      </c>
      <c r="E255">
        <v>10</v>
      </c>
      <c r="F255" t="s">
        <v>63</v>
      </c>
      <c r="G255" s="41" t="s">
        <v>477</v>
      </c>
      <c r="H255" s="42">
        <v>0.43333333333333335</v>
      </c>
      <c r="I255" s="41" t="s">
        <v>477</v>
      </c>
      <c r="J255" s="42">
        <v>0.4395486111111111</v>
      </c>
      <c r="K255" t="s">
        <v>58</v>
      </c>
      <c r="U25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256" spans="1:21" x14ac:dyDescent="0.25">
      <c r="A256">
        <v>2</v>
      </c>
      <c r="B256">
        <v>4382300</v>
      </c>
      <c r="C256" t="s">
        <v>20</v>
      </c>
      <c r="D256" t="s">
        <v>314</v>
      </c>
      <c r="E256">
        <v>41</v>
      </c>
      <c r="F256" t="s">
        <v>64</v>
      </c>
      <c r="G256" s="41" t="s">
        <v>414</v>
      </c>
      <c r="H256" s="42">
        <v>0.56608796296296293</v>
      </c>
      <c r="I256" s="41" t="s">
        <v>414</v>
      </c>
      <c r="J256" s="42">
        <v>0.57635416666666661</v>
      </c>
      <c r="K256" t="s">
        <v>58</v>
      </c>
      <c r="U25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257" spans="1:21" x14ac:dyDescent="0.25">
      <c r="A257">
        <v>7</v>
      </c>
      <c r="B257">
        <v>4382314</v>
      </c>
      <c r="C257">
        <v>1196</v>
      </c>
      <c r="D257" t="s">
        <v>309</v>
      </c>
      <c r="E257">
        <v>12</v>
      </c>
      <c r="F257" t="s">
        <v>59</v>
      </c>
      <c r="G257" s="41" t="s">
        <v>477</v>
      </c>
      <c r="H257" s="42">
        <v>0.38819444444444445</v>
      </c>
      <c r="I257" s="41" t="s">
        <v>477</v>
      </c>
      <c r="J257" s="42">
        <v>0.39409722222222221</v>
      </c>
      <c r="K257" t="s">
        <v>58</v>
      </c>
      <c r="U25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58" spans="1:21" x14ac:dyDescent="0.25">
      <c r="A258">
        <v>7</v>
      </c>
      <c r="B258">
        <v>4382315</v>
      </c>
      <c r="C258">
        <v>1196</v>
      </c>
      <c r="D258" t="s">
        <v>309</v>
      </c>
      <c r="E258">
        <v>12</v>
      </c>
      <c r="F258" t="s">
        <v>59</v>
      </c>
      <c r="G258" s="41" t="s">
        <v>477</v>
      </c>
      <c r="H258" s="42">
        <v>0.3888888888888889</v>
      </c>
      <c r="I258" s="41" t="s">
        <v>477</v>
      </c>
      <c r="J258" s="42">
        <v>0.39427083333333335</v>
      </c>
      <c r="K258" t="s">
        <v>58</v>
      </c>
      <c r="U25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59" spans="1:21" x14ac:dyDescent="0.25">
      <c r="A259">
        <v>7</v>
      </c>
      <c r="B259">
        <v>4382316</v>
      </c>
      <c r="C259">
        <v>1196</v>
      </c>
      <c r="D259" t="s">
        <v>309</v>
      </c>
      <c r="E259">
        <v>12</v>
      </c>
      <c r="F259" t="s">
        <v>59</v>
      </c>
      <c r="G259" s="41" t="s">
        <v>477</v>
      </c>
      <c r="H259" s="42">
        <v>0.38946759259259262</v>
      </c>
      <c r="I259" s="41" t="s">
        <v>477</v>
      </c>
      <c r="J259" s="42">
        <v>0.39447916666666666</v>
      </c>
      <c r="K259" t="s">
        <v>58</v>
      </c>
      <c r="U25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260" spans="1:21" x14ac:dyDescent="0.25">
      <c r="A260">
        <v>1</v>
      </c>
      <c r="B260">
        <v>4382382</v>
      </c>
      <c r="C260" t="s">
        <v>21</v>
      </c>
      <c r="D260" t="s">
        <v>21</v>
      </c>
      <c r="E260">
        <v>0</v>
      </c>
      <c r="F260" t="s">
        <v>62</v>
      </c>
      <c r="G260" s="41" t="s">
        <v>381</v>
      </c>
      <c r="H260" s="42">
        <v>0.8</v>
      </c>
      <c r="I260" s="41" t="s">
        <v>381</v>
      </c>
      <c r="J260" s="42">
        <v>0.80010416666666662</v>
      </c>
      <c r="K260" t="s">
        <v>58</v>
      </c>
      <c r="U26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1" spans="1:21" x14ac:dyDescent="0.25">
      <c r="A261">
        <v>1</v>
      </c>
      <c r="B261">
        <v>4382387</v>
      </c>
      <c r="C261" t="s">
        <v>21</v>
      </c>
      <c r="D261" t="s">
        <v>21</v>
      </c>
      <c r="E261">
        <v>0</v>
      </c>
      <c r="F261" t="s">
        <v>62</v>
      </c>
      <c r="G261" s="41" t="s">
        <v>381</v>
      </c>
      <c r="H261" s="42">
        <v>0.80023148148148149</v>
      </c>
      <c r="I261" s="41" t="s">
        <v>381</v>
      </c>
      <c r="J261" s="42">
        <v>0.80032407407407402</v>
      </c>
      <c r="K261" t="s">
        <v>58</v>
      </c>
      <c r="U26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2" spans="1:21" x14ac:dyDescent="0.25">
      <c r="A262">
        <v>1</v>
      </c>
      <c r="B262">
        <v>4382388</v>
      </c>
      <c r="C262" t="s">
        <v>21</v>
      </c>
      <c r="D262" t="s">
        <v>21</v>
      </c>
      <c r="E262">
        <v>0</v>
      </c>
      <c r="F262" t="s">
        <v>62</v>
      </c>
      <c r="G262" s="41" t="s">
        <v>381</v>
      </c>
      <c r="H262" s="42">
        <v>0.80034722222222221</v>
      </c>
      <c r="I262" s="41" t="s">
        <v>381</v>
      </c>
      <c r="J262" s="42">
        <v>0.80038194444444444</v>
      </c>
      <c r="K262" t="s">
        <v>58</v>
      </c>
      <c r="U26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3" spans="1:21" x14ac:dyDescent="0.25">
      <c r="A263">
        <v>1</v>
      </c>
      <c r="B263">
        <v>4382396</v>
      </c>
      <c r="C263" t="s">
        <v>21</v>
      </c>
      <c r="D263" t="s">
        <v>21</v>
      </c>
      <c r="E263">
        <v>0</v>
      </c>
      <c r="F263" t="s">
        <v>62</v>
      </c>
      <c r="G263" s="41" t="s">
        <v>381</v>
      </c>
      <c r="H263" s="42">
        <v>0.80081018518518521</v>
      </c>
      <c r="I263" s="41" t="s">
        <v>381</v>
      </c>
      <c r="J263" s="42">
        <v>0.80090277777777774</v>
      </c>
      <c r="K263" t="s">
        <v>58</v>
      </c>
      <c r="U26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4" spans="1:21" x14ac:dyDescent="0.25">
      <c r="A264">
        <v>1</v>
      </c>
      <c r="B264">
        <v>4382401</v>
      </c>
      <c r="C264" t="s">
        <v>21</v>
      </c>
      <c r="D264" t="s">
        <v>21</v>
      </c>
      <c r="E264">
        <v>0</v>
      </c>
      <c r="F264" t="s">
        <v>62</v>
      </c>
      <c r="G264" s="41" t="s">
        <v>381</v>
      </c>
      <c r="H264" s="42">
        <v>0.80115740740740737</v>
      </c>
      <c r="I264" s="41" t="s">
        <v>381</v>
      </c>
      <c r="J264" s="42">
        <v>0.80116898148148152</v>
      </c>
      <c r="K264" t="s">
        <v>58</v>
      </c>
      <c r="U26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5" spans="1:21" x14ac:dyDescent="0.25">
      <c r="A265">
        <v>1</v>
      </c>
      <c r="B265">
        <v>4382404</v>
      </c>
      <c r="C265" t="s">
        <v>21</v>
      </c>
      <c r="D265" t="s">
        <v>21</v>
      </c>
      <c r="E265">
        <v>0</v>
      </c>
      <c r="F265" t="s">
        <v>62</v>
      </c>
      <c r="G265" s="41" t="s">
        <v>381</v>
      </c>
      <c r="H265" s="42">
        <v>0.8012731481481481</v>
      </c>
      <c r="I265" s="41" t="s">
        <v>381</v>
      </c>
      <c r="J265" s="42">
        <v>0.80129629629629628</v>
      </c>
      <c r="K265" t="s">
        <v>58</v>
      </c>
      <c r="U26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6" spans="1:21" x14ac:dyDescent="0.25">
      <c r="A266">
        <v>1</v>
      </c>
      <c r="B266">
        <v>4382408</v>
      </c>
      <c r="C266" t="s">
        <v>21</v>
      </c>
      <c r="D266" t="s">
        <v>182</v>
      </c>
      <c r="E266">
        <v>0</v>
      </c>
      <c r="F266" t="s">
        <v>62</v>
      </c>
      <c r="G266" s="41" t="s">
        <v>381</v>
      </c>
      <c r="H266" s="42">
        <v>0.80173611111111109</v>
      </c>
      <c r="I266" s="41" t="s">
        <v>381</v>
      </c>
      <c r="J266" s="42">
        <v>0.80175925925925928</v>
      </c>
      <c r="K266" t="s">
        <v>58</v>
      </c>
      <c r="U26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7" spans="1:21" x14ac:dyDescent="0.25">
      <c r="A267">
        <v>1</v>
      </c>
      <c r="B267">
        <v>4382415</v>
      </c>
      <c r="C267" t="s">
        <v>21</v>
      </c>
      <c r="D267" t="s">
        <v>182</v>
      </c>
      <c r="E267">
        <v>0</v>
      </c>
      <c r="F267" t="s">
        <v>62</v>
      </c>
      <c r="G267" s="41" t="s">
        <v>381</v>
      </c>
      <c r="H267" s="42">
        <v>0.80219907407407409</v>
      </c>
      <c r="I267" s="41" t="s">
        <v>381</v>
      </c>
      <c r="J267" s="42">
        <v>0.80229166666666663</v>
      </c>
      <c r="K267" t="s">
        <v>58</v>
      </c>
      <c r="U26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8" spans="1:21" x14ac:dyDescent="0.25">
      <c r="A268">
        <v>1</v>
      </c>
      <c r="B268">
        <v>4382417</v>
      </c>
      <c r="C268" t="s">
        <v>21</v>
      </c>
      <c r="D268" t="s">
        <v>21</v>
      </c>
      <c r="E268">
        <v>0</v>
      </c>
      <c r="F268" t="s">
        <v>62</v>
      </c>
      <c r="G268" s="41" t="s">
        <v>381</v>
      </c>
      <c r="H268" s="42">
        <v>0.80231481481481481</v>
      </c>
      <c r="I268" s="41" t="s">
        <v>381</v>
      </c>
      <c r="J268" s="42">
        <v>0.8024189814814815</v>
      </c>
      <c r="K268" t="s">
        <v>58</v>
      </c>
      <c r="U26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69" spans="1:21" x14ac:dyDescent="0.25">
      <c r="A269">
        <v>1</v>
      </c>
      <c r="B269">
        <v>4382419</v>
      </c>
      <c r="C269" t="s">
        <v>21</v>
      </c>
      <c r="D269" t="s">
        <v>21</v>
      </c>
      <c r="E269">
        <v>0</v>
      </c>
      <c r="F269" t="s">
        <v>62</v>
      </c>
      <c r="G269" s="41" t="s">
        <v>381</v>
      </c>
      <c r="H269" s="42">
        <v>0.80243055555555554</v>
      </c>
      <c r="I269" s="41" t="s">
        <v>381</v>
      </c>
      <c r="J269" s="42">
        <v>0.80248842592592595</v>
      </c>
      <c r="K269" t="s">
        <v>58</v>
      </c>
      <c r="U26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0" spans="1:21" x14ac:dyDescent="0.25">
      <c r="A270">
        <v>1</v>
      </c>
      <c r="B270">
        <v>4382427</v>
      </c>
      <c r="C270" t="s">
        <v>21</v>
      </c>
      <c r="D270" t="s">
        <v>21</v>
      </c>
      <c r="E270">
        <v>0</v>
      </c>
      <c r="F270" t="s">
        <v>62</v>
      </c>
      <c r="G270" s="41" t="s">
        <v>381</v>
      </c>
      <c r="H270" s="42">
        <v>0.80289351851851853</v>
      </c>
      <c r="I270" s="41" t="s">
        <v>381</v>
      </c>
      <c r="J270" s="42">
        <v>0.80295138888888884</v>
      </c>
      <c r="K270" t="s">
        <v>58</v>
      </c>
      <c r="U27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1" spans="1:21" x14ac:dyDescent="0.25">
      <c r="A271">
        <v>1</v>
      </c>
      <c r="B271">
        <v>4382428</v>
      </c>
      <c r="C271" t="s">
        <v>21</v>
      </c>
      <c r="D271" t="s">
        <v>21</v>
      </c>
      <c r="E271">
        <v>0</v>
      </c>
      <c r="F271" t="s">
        <v>62</v>
      </c>
      <c r="G271" s="41" t="s">
        <v>381</v>
      </c>
      <c r="H271" s="42">
        <v>0.80289351851851853</v>
      </c>
      <c r="I271" s="41" t="s">
        <v>381</v>
      </c>
      <c r="J271" s="42">
        <v>0.80300925925925926</v>
      </c>
      <c r="K271" t="s">
        <v>58</v>
      </c>
      <c r="U27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2" spans="1:21" x14ac:dyDescent="0.25">
      <c r="A272">
        <v>1</v>
      </c>
      <c r="B272">
        <v>4382429</v>
      </c>
      <c r="C272" t="s">
        <v>21</v>
      </c>
      <c r="D272" t="s">
        <v>21</v>
      </c>
      <c r="E272">
        <v>0</v>
      </c>
      <c r="F272" t="s">
        <v>62</v>
      </c>
      <c r="G272" s="41" t="s">
        <v>381</v>
      </c>
      <c r="H272" s="42">
        <v>0.80300925925925926</v>
      </c>
      <c r="I272" s="41" t="s">
        <v>381</v>
      </c>
      <c r="J272" s="42">
        <v>0.80314814814814817</v>
      </c>
      <c r="K272" t="s">
        <v>58</v>
      </c>
      <c r="U27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3" spans="1:21" x14ac:dyDescent="0.25">
      <c r="A273">
        <v>1</v>
      </c>
      <c r="B273">
        <v>4382430</v>
      </c>
      <c r="C273" t="s">
        <v>21</v>
      </c>
      <c r="D273" t="s">
        <v>21</v>
      </c>
      <c r="E273">
        <v>0</v>
      </c>
      <c r="F273" t="s">
        <v>62</v>
      </c>
      <c r="G273" s="41" t="s">
        <v>381</v>
      </c>
      <c r="H273" s="42">
        <v>0.80312499999999998</v>
      </c>
      <c r="I273" s="41" t="s">
        <v>381</v>
      </c>
      <c r="J273" s="42">
        <v>0.80322916666666666</v>
      </c>
      <c r="K273" t="s">
        <v>58</v>
      </c>
      <c r="U27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4" spans="1:21" x14ac:dyDescent="0.25">
      <c r="A274">
        <v>1</v>
      </c>
      <c r="B274">
        <v>4382431</v>
      </c>
      <c r="C274" t="s">
        <v>21</v>
      </c>
      <c r="D274" t="s">
        <v>21</v>
      </c>
      <c r="E274">
        <v>0</v>
      </c>
      <c r="F274" t="s">
        <v>62</v>
      </c>
      <c r="G274" s="41" t="s">
        <v>381</v>
      </c>
      <c r="H274" s="42">
        <v>0.8032407407407407</v>
      </c>
      <c r="I274" s="41" t="s">
        <v>381</v>
      </c>
      <c r="J274" s="42">
        <v>0.80331018518518515</v>
      </c>
      <c r="K274" t="s">
        <v>58</v>
      </c>
      <c r="U27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5" spans="1:21" x14ac:dyDescent="0.25">
      <c r="A275">
        <v>1</v>
      </c>
      <c r="B275">
        <v>4382432</v>
      </c>
      <c r="C275" t="s">
        <v>21</v>
      </c>
      <c r="D275" t="s">
        <v>21</v>
      </c>
      <c r="E275">
        <v>0</v>
      </c>
      <c r="F275" t="s">
        <v>62</v>
      </c>
      <c r="G275" s="41" t="s">
        <v>381</v>
      </c>
      <c r="H275" s="42">
        <v>0.80335648148148153</v>
      </c>
      <c r="I275" s="41" t="s">
        <v>381</v>
      </c>
      <c r="J275" s="42">
        <v>0.80339120370370365</v>
      </c>
      <c r="K275" t="s">
        <v>58</v>
      </c>
      <c r="U27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6" spans="1:21" x14ac:dyDescent="0.25">
      <c r="A276">
        <v>1</v>
      </c>
      <c r="B276">
        <v>4382433</v>
      </c>
      <c r="C276" t="s">
        <v>21</v>
      </c>
      <c r="D276" t="s">
        <v>21</v>
      </c>
      <c r="E276">
        <v>0</v>
      </c>
      <c r="F276" t="s">
        <v>62</v>
      </c>
      <c r="G276" s="41" t="s">
        <v>381</v>
      </c>
      <c r="H276" s="42">
        <v>0.80335648148148153</v>
      </c>
      <c r="I276" s="41" t="s">
        <v>381</v>
      </c>
      <c r="J276" s="42">
        <v>0.80344907407407407</v>
      </c>
      <c r="K276" t="s">
        <v>58</v>
      </c>
      <c r="U27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7" spans="1:21" x14ac:dyDescent="0.25">
      <c r="A277">
        <v>1</v>
      </c>
      <c r="B277">
        <v>4382434</v>
      </c>
      <c r="C277" t="s">
        <v>21</v>
      </c>
      <c r="D277" t="s">
        <v>21</v>
      </c>
      <c r="E277">
        <v>0</v>
      </c>
      <c r="F277" t="s">
        <v>62</v>
      </c>
      <c r="G277" s="41" t="s">
        <v>381</v>
      </c>
      <c r="H277" s="42">
        <v>0.80347222222222225</v>
      </c>
      <c r="I277" s="41" t="s">
        <v>381</v>
      </c>
      <c r="J277" s="42">
        <v>0.80355324074074075</v>
      </c>
      <c r="K277" t="s">
        <v>58</v>
      </c>
      <c r="U27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8" spans="1:21" x14ac:dyDescent="0.25">
      <c r="A278">
        <v>1</v>
      </c>
      <c r="B278">
        <v>4382435</v>
      </c>
      <c r="C278" t="s">
        <v>21</v>
      </c>
      <c r="D278" t="s">
        <v>21</v>
      </c>
      <c r="E278">
        <v>0</v>
      </c>
      <c r="F278" t="s">
        <v>62</v>
      </c>
      <c r="G278" s="41" t="s">
        <v>381</v>
      </c>
      <c r="H278" s="42">
        <v>0.80358796296296298</v>
      </c>
      <c r="I278" s="41" t="s">
        <v>381</v>
      </c>
      <c r="J278" s="42">
        <v>0.8036226851851852</v>
      </c>
      <c r="K278" t="s">
        <v>58</v>
      </c>
      <c r="U27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79" spans="1:21" x14ac:dyDescent="0.25">
      <c r="A279">
        <v>1</v>
      </c>
      <c r="B279">
        <v>4382436</v>
      </c>
      <c r="C279" t="s">
        <v>21</v>
      </c>
      <c r="D279" t="s">
        <v>21</v>
      </c>
      <c r="E279">
        <v>0</v>
      </c>
      <c r="F279" t="s">
        <v>62</v>
      </c>
      <c r="G279" s="41" t="s">
        <v>381</v>
      </c>
      <c r="H279" s="42">
        <v>0.80358796296296298</v>
      </c>
      <c r="I279" s="41" t="s">
        <v>381</v>
      </c>
      <c r="J279" s="42">
        <v>0.8037037037037037</v>
      </c>
      <c r="K279" t="s">
        <v>58</v>
      </c>
      <c r="U27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0" spans="1:21" x14ac:dyDescent="0.25">
      <c r="A280">
        <v>1</v>
      </c>
      <c r="B280">
        <v>4382437</v>
      </c>
      <c r="C280" t="s">
        <v>21</v>
      </c>
      <c r="D280" t="s">
        <v>21</v>
      </c>
      <c r="E280">
        <v>0</v>
      </c>
      <c r="F280" t="s">
        <v>62</v>
      </c>
      <c r="G280" s="41" t="s">
        <v>381</v>
      </c>
      <c r="H280" s="42">
        <v>0.8037037037037037</v>
      </c>
      <c r="I280" s="41" t="s">
        <v>381</v>
      </c>
      <c r="J280" s="42">
        <v>0.80379629629629634</v>
      </c>
      <c r="K280" t="s">
        <v>58</v>
      </c>
      <c r="U28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1" spans="1:21" x14ac:dyDescent="0.25">
      <c r="A281">
        <v>1</v>
      </c>
      <c r="B281">
        <v>4382438</v>
      </c>
      <c r="C281" t="s">
        <v>21</v>
      </c>
      <c r="D281" t="s">
        <v>21</v>
      </c>
      <c r="E281">
        <v>0</v>
      </c>
      <c r="F281" t="s">
        <v>62</v>
      </c>
      <c r="G281" s="41" t="s">
        <v>381</v>
      </c>
      <c r="H281" s="42">
        <v>0.80381944444444442</v>
      </c>
      <c r="I281" s="41" t="s">
        <v>381</v>
      </c>
      <c r="J281" s="42">
        <v>0.80387731481481484</v>
      </c>
      <c r="K281" t="s">
        <v>58</v>
      </c>
      <c r="U28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2" spans="1:21" x14ac:dyDescent="0.25">
      <c r="A282">
        <v>1</v>
      </c>
      <c r="B282">
        <v>4382439</v>
      </c>
      <c r="C282" t="s">
        <v>21</v>
      </c>
      <c r="D282" t="s">
        <v>21</v>
      </c>
      <c r="E282">
        <v>0</v>
      </c>
      <c r="F282" t="s">
        <v>62</v>
      </c>
      <c r="G282" s="41" t="s">
        <v>381</v>
      </c>
      <c r="H282" s="42">
        <v>0.80393518518518514</v>
      </c>
      <c r="I282" s="41" t="s">
        <v>381</v>
      </c>
      <c r="J282" s="42">
        <v>0.80394675925925929</v>
      </c>
      <c r="K282" t="s">
        <v>58</v>
      </c>
      <c r="U28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3" spans="1:21" x14ac:dyDescent="0.25">
      <c r="A283">
        <v>1</v>
      </c>
      <c r="B283">
        <v>4382440</v>
      </c>
      <c r="C283" t="s">
        <v>21</v>
      </c>
      <c r="D283" t="s">
        <v>21</v>
      </c>
      <c r="E283">
        <v>0</v>
      </c>
      <c r="F283" t="s">
        <v>62</v>
      </c>
      <c r="G283" s="41" t="s">
        <v>381</v>
      </c>
      <c r="H283" s="42">
        <v>0.80393518518518514</v>
      </c>
      <c r="I283" s="41" t="s">
        <v>381</v>
      </c>
      <c r="J283" s="42">
        <v>0.80414351851851851</v>
      </c>
      <c r="K283" t="s">
        <v>58</v>
      </c>
      <c r="U28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4" spans="1:21" x14ac:dyDescent="0.25">
      <c r="A284">
        <v>1</v>
      </c>
      <c r="B284">
        <v>4382441</v>
      </c>
      <c r="C284" t="s">
        <v>21</v>
      </c>
      <c r="D284" t="s">
        <v>21</v>
      </c>
      <c r="E284">
        <v>0</v>
      </c>
      <c r="F284" t="s">
        <v>62</v>
      </c>
      <c r="G284" s="41" t="s">
        <v>381</v>
      </c>
      <c r="H284" s="42">
        <v>0.8041666666666667</v>
      </c>
      <c r="I284" s="41" t="s">
        <v>381</v>
      </c>
      <c r="J284" s="42">
        <v>0.80421296296296296</v>
      </c>
      <c r="K284" t="s">
        <v>58</v>
      </c>
      <c r="U28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5" spans="1:21" x14ac:dyDescent="0.25">
      <c r="A285">
        <v>1</v>
      </c>
      <c r="B285">
        <v>4382442</v>
      </c>
      <c r="C285" t="s">
        <v>21</v>
      </c>
      <c r="D285" t="s">
        <v>182</v>
      </c>
      <c r="E285">
        <v>0</v>
      </c>
      <c r="F285" t="s">
        <v>62</v>
      </c>
      <c r="G285" s="41" t="s">
        <v>381</v>
      </c>
      <c r="H285" s="42">
        <v>0.8041666666666667</v>
      </c>
      <c r="I285" s="41" t="s">
        <v>381</v>
      </c>
      <c r="J285" s="42">
        <v>0.80427083333333338</v>
      </c>
      <c r="K285" t="s">
        <v>58</v>
      </c>
      <c r="U28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6" spans="1:21" x14ac:dyDescent="0.25">
      <c r="A286">
        <v>1</v>
      </c>
      <c r="B286">
        <v>4382443</v>
      </c>
      <c r="C286" t="s">
        <v>21</v>
      </c>
      <c r="D286" t="s">
        <v>21</v>
      </c>
      <c r="E286">
        <v>0</v>
      </c>
      <c r="F286" t="s">
        <v>62</v>
      </c>
      <c r="G286" s="41" t="s">
        <v>381</v>
      </c>
      <c r="H286" s="42">
        <v>0.80428240740740742</v>
      </c>
      <c r="I286" s="41" t="s">
        <v>381</v>
      </c>
      <c r="J286" s="42">
        <v>0.80442129629629633</v>
      </c>
      <c r="K286" t="s">
        <v>58</v>
      </c>
      <c r="U28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7" spans="1:21" x14ac:dyDescent="0.25">
      <c r="A287">
        <v>1</v>
      </c>
      <c r="B287">
        <v>4382444</v>
      </c>
      <c r="C287" t="s">
        <v>21</v>
      </c>
      <c r="D287" t="s">
        <v>21</v>
      </c>
      <c r="E287">
        <v>0</v>
      </c>
      <c r="F287" t="s">
        <v>62</v>
      </c>
      <c r="G287" s="41" t="s">
        <v>381</v>
      </c>
      <c r="H287" s="42">
        <v>0.80439814814814814</v>
      </c>
      <c r="I287" s="41" t="s">
        <v>381</v>
      </c>
      <c r="J287" s="42">
        <v>0.80449074074074078</v>
      </c>
      <c r="K287" t="s">
        <v>58</v>
      </c>
      <c r="U28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8" spans="1:21" x14ac:dyDescent="0.25">
      <c r="A288">
        <v>1</v>
      </c>
      <c r="B288">
        <v>4382445</v>
      </c>
      <c r="C288" t="s">
        <v>21</v>
      </c>
      <c r="D288" t="s">
        <v>21</v>
      </c>
      <c r="E288">
        <v>0</v>
      </c>
      <c r="F288" t="s">
        <v>62</v>
      </c>
      <c r="G288" s="41" t="s">
        <v>381</v>
      </c>
      <c r="H288" s="42">
        <v>0.80451388888888886</v>
      </c>
      <c r="I288" s="41" t="s">
        <v>381</v>
      </c>
      <c r="J288" s="42">
        <v>0.80460648148148151</v>
      </c>
      <c r="K288" t="s">
        <v>58</v>
      </c>
      <c r="U28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89" spans="1:21" x14ac:dyDescent="0.25">
      <c r="A289">
        <v>1</v>
      </c>
      <c r="B289">
        <v>4382446</v>
      </c>
      <c r="C289" t="s">
        <v>21</v>
      </c>
      <c r="D289" t="s">
        <v>21</v>
      </c>
      <c r="E289">
        <v>0</v>
      </c>
      <c r="F289" t="s">
        <v>62</v>
      </c>
      <c r="G289" s="41" t="s">
        <v>381</v>
      </c>
      <c r="H289" s="42">
        <v>0.80462962962962958</v>
      </c>
      <c r="I289" s="41" t="s">
        <v>381</v>
      </c>
      <c r="J289" s="42">
        <v>0.80466435185185181</v>
      </c>
      <c r="K289" t="s">
        <v>58</v>
      </c>
      <c r="U28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0" spans="1:21" x14ac:dyDescent="0.25">
      <c r="A290">
        <v>1</v>
      </c>
      <c r="B290">
        <v>4382447</v>
      </c>
      <c r="C290" t="s">
        <v>21</v>
      </c>
      <c r="D290" t="s">
        <v>21</v>
      </c>
      <c r="E290">
        <v>0</v>
      </c>
      <c r="F290" t="s">
        <v>62</v>
      </c>
      <c r="G290" s="41" t="s">
        <v>381</v>
      </c>
      <c r="H290" s="42">
        <v>0.80474537037037042</v>
      </c>
      <c r="I290" s="41" t="s">
        <v>381</v>
      </c>
      <c r="J290" s="42">
        <v>0.80483796296296295</v>
      </c>
      <c r="K290" t="s">
        <v>58</v>
      </c>
      <c r="U29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1" spans="1:21" x14ac:dyDescent="0.25">
      <c r="A291">
        <v>1</v>
      </c>
      <c r="B291">
        <v>4382448</v>
      </c>
      <c r="C291" t="s">
        <v>21</v>
      </c>
      <c r="D291" t="s">
        <v>21</v>
      </c>
      <c r="E291">
        <v>0</v>
      </c>
      <c r="F291" t="s">
        <v>62</v>
      </c>
      <c r="G291" s="41" t="s">
        <v>381</v>
      </c>
      <c r="H291" s="42">
        <v>0.80486111111111114</v>
      </c>
      <c r="I291" s="41" t="s">
        <v>381</v>
      </c>
      <c r="J291" s="42">
        <v>0.8049074074074074</v>
      </c>
      <c r="K291" t="s">
        <v>58</v>
      </c>
      <c r="U29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2" spans="1:21" x14ac:dyDescent="0.25">
      <c r="A292">
        <v>1</v>
      </c>
      <c r="B292">
        <v>4382449</v>
      </c>
      <c r="C292" t="s">
        <v>21</v>
      </c>
      <c r="D292" t="s">
        <v>21</v>
      </c>
      <c r="E292">
        <v>0</v>
      </c>
      <c r="F292" t="s">
        <v>62</v>
      </c>
      <c r="G292" s="41" t="s">
        <v>381</v>
      </c>
      <c r="H292" s="42">
        <v>0.80486111111111114</v>
      </c>
      <c r="I292" s="41" t="s">
        <v>381</v>
      </c>
      <c r="J292" s="42">
        <v>0.80500000000000005</v>
      </c>
      <c r="K292" t="s">
        <v>58</v>
      </c>
      <c r="U29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3" spans="1:21" x14ac:dyDescent="0.25">
      <c r="A293">
        <v>1</v>
      </c>
      <c r="B293">
        <v>4382450</v>
      </c>
      <c r="C293" t="s">
        <v>21</v>
      </c>
      <c r="D293" t="s">
        <v>21</v>
      </c>
      <c r="E293">
        <v>0</v>
      </c>
      <c r="F293" t="s">
        <v>62</v>
      </c>
      <c r="G293" s="41" t="s">
        <v>381</v>
      </c>
      <c r="H293" s="42">
        <v>0.80497685185185186</v>
      </c>
      <c r="I293" s="41" t="s">
        <v>381</v>
      </c>
      <c r="J293" s="42">
        <v>0.80505787037037035</v>
      </c>
      <c r="K293" t="s">
        <v>58</v>
      </c>
      <c r="U29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4" spans="1:21" x14ac:dyDescent="0.25">
      <c r="A294">
        <v>1</v>
      </c>
      <c r="B294">
        <v>4382451</v>
      </c>
      <c r="C294" t="s">
        <v>21</v>
      </c>
      <c r="D294" t="s">
        <v>21</v>
      </c>
      <c r="E294">
        <v>0</v>
      </c>
      <c r="F294" t="s">
        <v>62</v>
      </c>
      <c r="G294" s="41" t="s">
        <v>381</v>
      </c>
      <c r="H294" s="42">
        <v>0.80509259259259258</v>
      </c>
      <c r="I294" s="41" t="s">
        <v>381</v>
      </c>
      <c r="J294" s="42">
        <v>0.80523148148148149</v>
      </c>
      <c r="K294" t="s">
        <v>58</v>
      </c>
      <c r="U29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5" spans="1:21" x14ac:dyDescent="0.25">
      <c r="A295">
        <v>1</v>
      </c>
      <c r="B295">
        <v>4382452</v>
      </c>
      <c r="C295" t="s">
        <v>21</v>
      </c>
      <c r="D295" t="s">
        <v>21</v>
      </c>
      <c r="E295">
        <v>0</v>
      </c>
      <c r="F295" t="s">
        <v>62</v>
      </c>
      <c r="G295" s="41" t="s">
        <v>381</v>
      </c>
      <c r="H295" s="42">
        <v>0.8052083333333333</v>
      </c>
      <c r="I295" s="41" t="s">
        <v>381</v>
      </c>
      <c r="J295" s="42">
        <v>0.80530092592592595</v>
      </c>
      <c r="K295" t="s">
        <v>58</v>
      </c>
      <c r="U29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6" spans="1:21" x14ac:dyDescent="0.25">
      <c r="A296">
        <v>1</v>
      </c>
      <c r="B296">
        <v>4382453</v>
      </c>
      <c r="C296" t="s">
        <v>21</v>
      </c>
      <c r="D296" t="s">
        <v>21</v>
      </c>
      <c r="E296">
        <v>0</v>
      </c>
      <c r="F296" t="s">
        <v>62</v>
      </c>
      <c r="G296" s="41" t="s">
        <v>381</v>
      </c>
      <c r="H296" s="42">
        <v>0.80532407407407403</v>
      </c>
      <c r="I296" s="41" t="s">
        <v>381</v>
      </c>
      <c r="J296" s="42">
        <v>0.80541666666666667</v>
      </c>
      <c r="K296" t="s">
        <v>58</v>
      </c>
      <c r="U29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7" spans="1:21" x14ac:dyDescent="0.25">
      <c r="A297">
        <v>1</v>
      </c>
      <c r="B297">
        <v>4382454</v>
      </c>
      <c r="C297" t="s">
        <v>21</v>
      </c>
      <c r="D297" t="s">
        <v>21</v>
      </c>
      <c r="E297">
        <v>0</v>
      </c>
      <c r="F297" t="s">
        <v>62</v>
      </c>
      <c r="G297" s="41" t="s">
        <v>381</v>
      </c>
      <c r="H297" s="42">
        <v>0.80543981481481486</v>
      </c>
      <c r="I297" s="41" t="s">
        <v>381</v>
      </c>
      <c r="J297" s="42">
        <v>0.80547453703703709</v>
      </c>
      <c r="K297" t="s">
        <v>58</v>
      </c>
      <c r="U2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8" spans="1:21" x14ac:dyDescent="0.25">
      <c r="A298">
        <v>1</v>
      </c>
      <c r="B298">
        <v>4382455</v>
      </c>
      <c r="C298" t="s">
        <v>21</v>
      </c>
      <c r="D298" t="s">
        <v>21</v>
      </c>
      <c r="E298">
        <v>0</v>
      </c>
      <c r="F298" t="s">
        <v>62</v>
      </c>
      <c r="G298" s="41" t="s">
        <v>381</v>
      </c>
      <c r="H298" s="42">
        <v>0.80543981481481486</v>
      </c>
      <c r="I298" s="41" t="s">
        <v>381</v>
      </c>
      <c r="J298" s="42">
        <v>0.80564814814814811</v>
      </c>
      <c r="K298" t="s">
        <v>58</v>
      </c>
      <c r="U29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299" spans="1:21" x14ac:dyDescent="0.25">
      <c r="A299">
        <v>1</v>
      </c>
      <c r="B299">
        <v>4382456</v>
      </c>
      <c r="C299" t="s">
        <v>21</v>
      </c>
      <c r="D299" t="s">
        <v>21</v>
      </c>
      <c r="E299">
        <v>0</v>
      </c>
      <c r="F299" t="s">
        <v>62</v>
      </c>
      <c r="G299" s="41" t="s">
        <v>381</v>
      </c>
      <c r="H299" s="42">
        <v>0.8056712962962963</v>
      </c>
      <c r="I299" s="41" t="s">
        <v>381</v>
      </c>
      <c r="J299" s="42">
        <v>0.80571759259259257</v>
      </c>
      <c r="K299" t="s">
        <v>58</v>
      </c>
      <c r="U29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0" spans="1:21" x14ac:dyDescent="0.25">
      <c r="A300">
        <v>1</v>
      </c>
      <c r="B300">
        <v>4382457</v>
      </c>
      <c r="C300" t="s">
        <v>21</v>
      </c>
      <c r="D300" t="s">
        <v>21</v>
      </c>
      <c r="E300">
        <v>0</v>
      </c>
      <c r="F300" t="s">
        <v>62</v>
      </c>
      <c r="G300" s="41" t="s">
        <v>381</v>
      </c>
      <c r="H300" s="42">
        <v>0.80578703703703702</v>
      </c>
      <c r="I300" s="41" t="s">
        <v>381</v>
      </c>
      <c r="J300" s="42">
        <v>0.80585648148148148</v>
      </c>
      <c r="K300" t="s">
        <v>58</v>
      </c>
      <c r="U30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1" spans="1:21" x14ac:dyDescent="0.25">
      <c r="A301">
        <v>1</v>
      </c>
      <c r="B301">
        <v>4382458</v>
      </c>
      <c r="C301" t="s">
        <v>21</v>
      </c>
      <c r="D301" t="s">
        <v>21</v>
      </c>
      <c r="E301">
        <v>0</v>
      </c>
      <c r="F301" t="s">
        <v>62</v>
      </c>
      <c r="G301" s="41" t="s">
        <v>381</v>
      </c>
      <c r="H301" s="42">
        <v>0.80590277777777775</v>
      </c>
      <c r="I301" s="41" t="s">
        <v>381</v>
      </c>
      <c r="J301" s="42">
        <v>0.80596064814814816</v>
      </c>
      <c r="K301" t="s">
        <v>58</v>
      </c>
      <c r="U30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2" spans="1:21" x14ac:dyDescent="0.25">
      <c r="A302">
        <v>1</v>
      </c>
      <c r="B302">
        <v>4382459</v>
      </c>
      <c r="C302" t="s">
        <v>21</v>
      </c>
      <c r="D302" t="s">
        <v>21</v>
      </c>
      <c r="E302">
        <v>0</v>
      </c>
      <c r="F302" t="s">
        <v>62</v>
      </c>
      <c r="G302" s="41" t="s">
        <v>381</v>
      </c>
      <c r="H302" s="42">
        <v>0.80601851851851847</v>
      </c>
      <c r="I302" s="41" t="s">
        <v>381</v>
      </c>
      <c r="J302" s="42">
        <v>0.80608796296296292</v>
      </c>
      <c r="K302" t="s">
        <v>58</v>
      </c>
      <c r="U30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3" spans="1:21" x14ac:dyDescent="0.25">
      <c r="A303">
        <v>1</v>
      </c>
      <c r="B303">
        <v>4382460</v>
      </c>
      <c r="C303" t="s">
        <v>21</v>
      </c>
      <c r="D303" t="s">
        <v>21</v>
      </c>
      <c r="E303">
        <v>0</v>
      </c>
      <c r="F303" t="s">
        <v>62</v>
      </c>
      <c r="G303" s="41" t="s">
        <v>381</v>
      </c>
      <c r="H303" s="42">
        <v>0.8061342592592593</v>
      </c>
      <c r="I303" s="41" t="s">
        <v>381</v>
      </c>
      <c r="J303" s="42">
        <v>0.80615740740740738</v>
      </c>
      <c r="K303" t="s">
        <v>58</v>
      </c>
      <c r="U30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4" spans="1:21" x14ac:dyDescent="0.25">
      <c r="A304">
        <v>1</v>
      </c>
      <c r="B304">
        <v>4382461</v>
      </c>
      <c r="C304" t="s">
        <v>21</v>
      </c>
      <c r="D304" t="s">
        <v>21</v>
      </c>
      <c r="E304">
        <v>0</v>
      </c>
      <c r="F304" t="s">
        <v>62</v>
      </c>
      <c r="G304" s="41" t="s">
        <v>381</v>
      </c>
      <c r="H304" s="42">
        <v>0.8061342592592593</v>
      </c>
      <c r="I304" s="41" t="s">
        <v>381</v>
      </c>
      <c r="J304" s="42">
        <v>0.80622685185185183</v>
      </c>
      <c r="K304" t="s">
        <v>58</v>
      </c>
      <c r="U30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5" spans="1:21" x14ac:dyDescent="0.25">
      <c r="A305">
        <v>1</v>
      </c>
      <c r="B305">
        <v>4382462</v>
      </c>
      <c r="C305" t="s">
        <v>21</v>
      </c>
      <c r="D305" t="s">
        <v>21</v>
      </c>
      <c r="E305">
        <v>0</v>
      </c>
      <c r="F305" t="s">
        <v>62</v>
      </c>
      <c r="G305" s="41" t="s">
        <v>381</v>
      </c>
      <c r="H305" s="42">
        <v>0.80625000000000002</v>
      </c>
      <c r="I305" s="41" t="s">
        <v>381</v>
      </c>
      <c r="J305" s="42">
        <v>0.80630787037037033</v>
      </c>
      <c r="K305" t="s">
        <v>58</v>
      </c>
      <c r="U30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6" spans="1:21" x14ac:dyDescent="0.25">
      <c r="A306">
        <v>1</v>
      </c>
      <c r="B306">
        <v>4382463</v>
      </c>
      <c r="C306" t="s">
        <v>21</v>
      </c>
      <c r="D306" t="s">
        <v>21</v>
      </c>
      <c r="E306">
        <v>0</v>
      </c>
      <c r="F306" t="s">
        <v>62</v>
      </c>
      <c r="G306" s="41" t="s">
        <v>381</v>
      </c>
      <c r="H306" s="42">
        <v>0.80636574074074074</v>
      </c>
      <c r="I306" s="41" t="s">
        <v>381</v>
      </c>
      <c r="J306" s="42">
        <v>0.80638888888888893</v>
      </c>
      <c r="K306" t="s">
        <v>58</v>
      </c>
      <c r="U30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7" spans="1:21" x14ac:dyDescent="0.25">
      <c r="A307">
        <v>1</v>
      </c>
      <c r="B307">
        <v>4382464</v>
      </c>
      <c r="C307" t="s">
        <v>21</v>
      </c>
      <c r="D307" t="s">
        <v>19</v>
      </c>
      <c r="E307">
        <v>0</v>
      </c>
      <c r="F307" t="s">
        <v>62</v>
      </c>
      <c r="G307" s="41" t="s">
        <v>381</v>
      </c>
      <c r="H307" s="42">
        <v>0.80636574074074074</v>
      </c>
      <c r="I307" s="41" t="s">
        <v>381</v>
      </c>
      <c r="J307" s="42">
        <v>0.80645833333333339</v>
      </c>
      <c r="K307" t="s">
        <v>58</v>
      </c>
      <c r="U30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8" spans="1:21" x14ac:dyDescent="0.25">
      <c r="A308">
        <v>1</v>
      </c>
      <c r="B308">
        <v>4382465</v>
      </c>
      <c r="C308" t="s">
        <v>21</v>
      </c>
      <c r="D308" t="s">
        <v>21</v>
      </c>
      <c r="E308">
        <v>0</v>
      </c>
      <c r="F308" t="s">
        <v>62</v>
      </c>
      <c r="G308" s="41" t="s">
        <v>381</v>
      </c>
      <c r="H308" s="42">
        <v>0.80648148148148147</v>
      </c>
      <c r="I308" s="41" t="s">
        <v>381</v>
      </c>
      <c r="J308" s="42">
        <v>0.80660879629629634</v>
      </c>
      <c r="K308" t="s">
        <v>58</v>
      </c>
      <c r="U30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09" spans="1:21" x14ac:dyDescent="0.25">
      <c r="A309">
        <v>1</v>
      </c>
      <c r="B309">
        <v>4382466</v>
      </c>
      <c r="C309" t="s">
        <v>21</v>
      </c>
      <c r="D309" t="s">
        <v>21</v>
      </c>
      <c r="E309">
        <v>0</v>
      </c>
      <c r="F309" t="s">
        <v>62</v>
      </c>
      <c r="G309" s="41" t="s">
        <v>381</v>
      </c>
      <c r="H309" s="42">
        <v>0.80659722222222219</v>
      </c>
      <c r="I309" s="41" t="s">
        <v>381</v>
      </c>
      <c r="J309" s="42">
        <v>0.80670138888888887</v>
      </c>
      <c r="K309" t="s">
        <v>58</v>
      </c>
      <c r="U30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0" spans="1:21" x14ac:dyDescent="0.25">
      <c r="A310">
        <v>1</v>
      </c>
      <c r="B310">
        <v>4382467</v>
      </c>
      <c r="C310" t="s">
        <v>21</v>
      </c>
      <c r="D310" t="s">
        <v>19</v>
      </c>
      <c r="E310">
        <v>0</v>
      </c>
      <c r="F310" t="s">
        <v>62</v>
      </c>
      <c r="G310" s="41" t="s">
        <v>381</v>
      </c>
      <c r="H310" s="42">
        <v>0.80671296296296291</v>
      </c>
      <c r="I310" s="41" t="s">
        <v>381</v>
      </c>
      <c r="J310" s="42">
        <v>0.80675925925925929</v>
      </c>
      <c r="K310" t="s">
        <v>58</v>
      </c>
      <c r="U31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1" spans="1:21" x14ac:dyDescent="0.25">
      <c r="A311">
        <v>1</v>
      </c>
      <c r="B311">
        <v>4382468</v>
      </c>
      <c r="C311" t="s">
        <v>21</v>
      </c>
      <c r="D311" t="s">
        <v>19</v>
      </c>
      <c r="E311">
        <v>0</v>
      </c>
      <c r="F311" t="s">
        <v>62</v>
      </c>
      <c r="G311" s="41" t="s">
        <v>381</v>
      </c>
      <c r="H311" s="42">
        <v>0.80671296296296291</v>
      </c>
      <c r="I311" s="41" t="s">
        <v>381</v>
      </c>
      <c r="J311" s="42">
        <v>0.80681712962962959</v>
      </c>
      <c r="K311" t="s">
        <v>58</v>
      </c>
      <c r="U31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2" spans="1:21" x14ac:dyDescent="0.25">
      <c r="A312">
        <v>1</v>
      </c>
      <c r="B312">
        <v>4382469</v>
      </c>
      <c r="C312" t="s">
        <v>21</v>
      </c>
      <c r="D312" t="s">
        <v>21</v>
      </c>
      <c r="E312">
        <v>0</v>
      </c>
      <c r="F312" t="s">
        <v>62</v>
      </c>
      <c r="G312" s="41" t="s">
        <v>381</v>
      </c>
      <c r="H312" s="42">
        <v>0.80682870370370374</v>
      </c>
      <c r="I312" s="41" t="s">
        <v>381</v>
      </c>
      <c r="J312" s="42">
        <v>0.8068981481481482</v>
      </c>
      <c r="K312" t="s">
        <v>58</v>
      </c>
      <c r="U31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3" spans="1:21" x14ac:dyDescent="0.25">
      <c r="A313">
        <v>1</v>
      </c>
      <c r="B313">
        <v>4382470</v>
      </c>
      <c r="C313" t="s">
        <v>21</v>
      </c>
      <c r="D313" t="s">
        <v>19</v>
      </c>
      <c r="E313">
        <v>0</v>
      </c>
      <c r="F313" t="s">
        <v>62</v>
      </c>
      <c r="G313" s="41" t="s">
        <v>381</v>
      </c>
      <c r="H313" s="42">
        <v>0.80694444444444446</v>
      </c>
      <c r="I313" s="41" t="s">
        <v>381</v>
      </c>
      <c r="J313" s="42">
        <v>0.8069560185185185</v>
      </c>
      <c r="K313" t="s">
        <v>58</v>
      </c>
      <c r="U31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4" spans="1:21" x14ac:dyDescent="0.25">
      <c r="A314">
        <v>1</v>
      </c>
      <c r="B314">
        <v>4382471</v>
      </c>
      <c r="C314" t="s">
        <v>21</v>
      </c>
      <c r="D314" t="s">
        <v>19</v>
      </c>
      <c r="E314">
        <v>0</v>
      </c>
      <c r="F314" t="s">
        <v>62</v>
      </c>
      <c r="G314" s="41" t="s">
        <v>381</v>
      </c>
      <c r="H314" s="42">
        <v>0.80694444444444446</v>
      </c>
      <c r="I314" s="41" t="s">
        <v>381</v>
      </c>
      <c r="J314" s="42">
        <v>0.80701388888888892</v>
      </c>
      <c r="K314" t="s">
        <v>58</v>
      </c>
      <c r="U31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5" spans="1:21" x14ac:dyDescent="0.25">
      <c r="A315">
        <v>1</v>
      </c>
      <c r="B315">
        <v>4382472</v>
      </c>
      <c r="C315" t="s">
        <v>21</v>
      </c>
      <c r="D315" t="s">
        <v>21</v>
      </c>
      <c r="E315">
        <v>0</v>
      </c>
      <c r="F315" t="s">
        <v>62</v>
      </c>
      <c r="G315" s="41" t="s">
        <v>381</v>
      </c>
      <c r="H315" s="42">
        <v>0.80706018518518519</v>
      </c>
      <c r="I315" s="41" t="s">
        <v>381</v>
      </c>
      <c r="J315" s="42">
        <v>0.80710648148148145</v>
      </c>
      <c r="K315" t="s">
        <v>58</v>
      </c>
      <c r="U31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6" spans="1:21" x14ac:dyDescent="0.25">
      <c r="A316">
        <v>1</v>
      </c>
      <c r="B316">
        <v>4382473</v>
      </c>
      <c r="C316" t="s">
        <v>21</v>
      </c>
      <c r="D316" t="s">
        <v>19</v>
      </c>
      <c r="E316">
        <v>0</v>
      </c>
      <c r="F316" t="s">
        <v>62</v>
      </c>
      <c r="G316" s="41" t="s">
        <v>381</v>
      </c>
      <c r="H316" s="42">
        <v>0.80717592592592591</v>
      </c>
      <c r="I316" s="41" t="s">
        <v>381</v>
      </c>
      <c r="J316" s="42">
        <v>0.80717592592592591</v>
      </c>
      <c r="K316" t="s">
        <v>58</v>
      </c>
      <c r="U31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7" spans="1:21" x14ac:dyDescent="0.25">
      <c r="A317">
        <v>1</v>
      </c>
      <c r="B317">
        <v>4382474</v>
      </c>
      <c r="C317" t="s">
        <v>21</v>
      </c>
      <c r="D317" t="s">
        <v>19</v>
      </c>
      <c r="E317">
        <v>0</v>
      </c>
      <c r="F317" t="s">
        <v>62</v>
      </c>
      <c r="G317" s="41" t="s">
        <v>381</v>
      </c>
      <c r="H317" s="42">
        <v>0.80717592592592591</v>
      </c>
      <c r="I317" s="41" t="s">
        <v>381</v>
      </c>
      <c r="J317" s="42">
        <v>0.80723379629629632</v>
      </c>
      <c r="K317" t="s">
        <v>58</v>
      </c>
      <c r="U31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8" spans="1:21" x14ac:dyDescent="0.25">
      <c r="A318">
        <v>1</v>
      </c>
      <c r="B318">
        <v>4382475</v>
      </c>
      <c r="C318" t="s">
        <v>21</v>
      </c>
      <c r="D318" t="s">
        <v>19</v>
      </c>
      <c r="E318">
        <v>0</v>
      </c>
      <c r="F318" t="s">
        <v>62</v>
      </c>
      <c r="G318" s="41" t="s">
        <v>381</v>
      </c>
      <c r="H318" s="42">
        <v>0.80729166666666663</v>
      </c>
      <c r="I318" s="41" t="s">
        <v>381</v>
      </c>
      <c r="J318" s="42">
        <v>0.80730324074074078</v>
      </c>
      <c r="K318" t="s">
        <v>58</v>
      </c>
      <c r="U31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19" spans="1:21" x14ac:dyDescent="0.25">
      <c r="A319">
        <v>1</v>
      </c>
      <c r="B319">
        <v>4382476</v>
      </c>
      <c r="C319" t="s">
        <v>21</v>
      </c>
      <c r="D319" t="s">
        <v>19</v>
      </c>
      <c r="E319">
        <v>0</v>
      </c>
      <c r="F319" t="s">
        <v>62</v>
      </c>
      <c r="G319" s="41" t="s">
        <v>381</v>
      </c>
      <c r="H319" s="42">
        <v>0.80729166666666663</v>
      </c>
      <c r="I319" s="41" t="s">
        <v>381</v>
      </c>
      <c r="J319" s="42">
        <v>0.80736111111111108</v>
      </c>
      <c r="K319" t="s">
        <v>58</v>
      </c>
      <c r="U31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0" spans="1:21" x14ac:dyDescent="0.25">
      <c r="A320">
        <v>1</v>
      </c>
      <c r="B320">
        <v>4382477</v>
      </c>
      <c r="C320" t="s">
        <v>21</v>
      </c>
      <c r="D320" t="s">
        <v>21</v>
      </c>
      <c r="E320">
        <v>0</v>
      </c>
      <c r="F320" t="s">
        <v>62</v>
      </c>
      <c r="G320" s="41" t="s">
        <v>381</v>
      </c>
      <c r="H320" s="42">
        <v>0.80740740740740746</v>
      </c>
      <c r="I320" s="41" t="s">
        <v>381</v>
      </c>
      <c r="J320" s="42">
        <v>0.80748842592592596</v>
      </c>
      <c r="K320" t="s">
        <v>58</v>
      </c>
      <c r="U32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1" spans="1:21" x14ac:dyDescent="0.25">
      <c r="A321">
        <v>1</v>
      </c>
      <c r="B321">
        <v>4382478</v>
      </c>
      <c r="C321" t="s">
        <v>21</v>
      </c>
      <c r="D321" t="s">
        <v>21</v>
      </c>
      <c r="E321">
        <v>0</v>
      </c>
      <c r="F321" t="s">
        <v>62</v>
      </c>
      <c r="G321" s="41" t="s">
        <v>381</v>
      </c>
      <c r="H321" s="42">
        <v>0.80752314814814818</v>
      </c>
      <c r="I321" s="41" t="s">
        <v>381</v>
      </c>
      <c r="J321" s="42">
        <v>0.80755787037037041</v>
      </c>
      <c r="K321" t="s">
        <v>58</v>
      </c>
      <c r="U32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2" spans="1:21" x14ac:dyDescent="0.25">
      <c r="A322">
        <v>1</v>
      </c>
      <c r="B322">
        <v>4382479</v>
      </c>
      <c r="C322" t="s">
        <v>21</v>
      </c>
      <c r="D322" t="s">
        <v>19</v>
      </c>
      <c r="E322">
        <v>0</v>
      </c>
      <c r="F322" t="s">
        <v>62</v>
      </c>
      <c r="G322" s="41" t="s">
        <v>381</v>
      </c>
      <c r="H322" s="42">
        <v>0.80752314814814818</v>
      </c>
      <c r="I322" s="41" t="s">
        <v>381</v>
      </c>
      <c r="J322" s="42">
        <v>0.80761574074074072</v>
      </c>
      <c r="K322" t="s">
        <v>58</v>
      </c>
      <c r="U32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3" spans="1:21" x14ac:dyDescent="0.25">
      <c r="A323">
        <v>1</v>
      </c>
      <c r="B323">
        <v>4382480</v>
      </c>
      <c r="C323" t="s">
        <v>21</v>
      </c>
      <c r="D323" t="s">
        <v>19</v>
      </c>
      <c r="E323">
        <v>0</v>
      </c>
      <c r="F323" t="s">
        <v>62</v>
      </c>
      <c r="G323" s="41" t="s">
        <v>381</v>
      </c>
      <c r="H323" s="42">
        <v>0.80763888888888891</v>
      </c>
      <c r="I323" s="41" t="s">
        <v>381</v>
      </c>
      <c r="J323" s="42">
        <v>0.80768518518518517</v>
      </c>
      <c r="K323" t="s">
        <v>58</v>
      </c>
      <c r="U32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4" spans="1:21" x14ac:dyDescent="0.25">
      <c r="A324">
        <v>1</v>
      </c>
      <c r="B324">
        <v>4382481</v>
      </c>
      <c r="C324" t="s">
        <v>21</v>
      </c>
      <c r="D324" t="s">
        <v>21</v>
      </c>
      <c r="E324">
        <v>0</v>
      </c>
      <c r="F324" t="s">
        <v>62</v>
      </c>
      <c r="G324" s="41" t="s">
        <v>381</v>
      </c>
      <c r="H324" s="42">
        <v>0.80763888888888891</v>
      </c>
      <c r="I324" s="41" t="s">
        <v>381</v>
      </c>
      <c r="J324" s="42">
        <v>0.80774305555555559</v>
      </c>
      <c r="K324" t="s">
        <v>58</v>
      </c>
      <c r="U32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5" spans="1:21" x14ac:dyDescent="0.25">
      <c r="A325">
        <v>1</v>
      </c>
      <c r="B325">
        <v>4382482</v>
      </c>
      <c r="C325" t="s">
        <v>21</v>
      </c>
      <c r="D325" t="s">
        <v>19</v>
      </c>
      <c r="E325">
        <v>0</v>
      </c>
      <c r="F325" t="s">
        <v>62</v>
      </c>
      <c r="G325" s="41" t="s">
        <v>381</v>
      </c>
      <c r="H325" s="42">
        <v>0.80775462962962963</v>
      </c>
      <c r="I325" s="41" t="s">
        <v>381</v>
      </c>
      <c r="J325" s="42">
        <v>0.80780092592592589</v>
      </c>
      <c r="K325" t="s">
        <v>58</v>
      </c>
      <c r="U32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6" spans="1:21" x14ac:dyDescent="0.25">
      <c r="A326">
        <v>1</v>
      </c>
      <c r="B326">
        <v>4382483</v>
      </c>
      <c r="C326" t="s">
        <v>21</v>
      </c>
      <c r="D326" t="s">
        <v>21</v>
      </c>
      <c r="E326">
        <v>0</v>
      </c>
      <c r="F326" t="s">
        <v>62</v>
      </c>
      <c r="G326" s="41" t="s">
        <v>381</v>
      </c>
      <c r="H326" s="42">
        <v>0.80775462962962963</v>
      </c>
      <c r="I326" s="41" t="s">
        <v>381</v>
      </c>
      <c r="J326" s="42">
        <v>0.80787037037037035</v>
      </c>
      <c r="K326" t="s">
        <v>58</v>
      </c>
      <c r="U32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7" spans="1:21" x14ac:dyDescent="0.25">
      <c r="A327">
        <v>1</v>
      </c>
      <c r="B327">
        <v>4382484</v>
      </c>
      <c r="C327" t="s">
        <v>21</v>
      </c>
      <c r="D327" t="s">
        <v>19</v>
      </c>
      <c r="E327">
        <v>0</v>
      </c>
      <c r="F327" t="s">
        <v>62</v>
      </c>
      <c r="G327" s="41" t="s">
        <v>381</v>
      </c>
      <c r="H327" s="42">
        <v>0.80787037037037035</v>
      </c>
      <c r="I327" s="41" t="s">
        <v>381</v>
      </c>
      <c r="J327" s="42">
        <v>0.80792824074074077</v>
      </c>
      <c r="K327" t="s">
        <v>58</v>
      </c>
      <c r="U32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8" spans="1:21" x14ac:dyDescent="0.25">
      <c r="A328">
        <v>1</v>
      </c>
      <c r="B328">
        <v>4382485</v>
      </c>
      <c r="C328" t="s">
        <v>21</v>
      </c>
      <c r="D328" t="s">
        <v>19</v>
      </c>
      <c r="E328">
        <v>0</v>
      </c>
      <c r="F328" t="s">
        <v>62</v>
      </c>
      <c r="G328" s="41" t="s">
        <v>381</v>
      </c>
      <c r="H328" s="42">
        <v>0.80798611111111107</v>
      </c>
      <c r="I328" s="41" t="s">
        <v>381</v>
      </c>
      <c r="J328" s="42">
        <v>0.80798611111111107</v>
      </c>
      <c r="K328" t="s">
        <v>58</v>
      </c>
      <c r="U32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29" spans="1:21" x14ac:dyDescent="0.25">
      <c r="A329">
        <v>1</v>
      </c>
      <c r="B329">
        <v>4382486</v>
      </c>
      <c r="C329" t="s">
        <v>21</v>
      </c>
      <c r="D329" t="s">
        <v>19</v>
      </c>
      <c r="E329">
        <v>0</v>
      </c>
      <c r="F329" t="s">
        <v>62</v>
      </c>
      <c r="G329" s="41" t="s">
        <v>381</v>
      </c>
      <c r="H329" s="42">
        <v>0.80798611111111107</v>
      </c>
      <c r="I329" s="41" t="s">
        <v>381</v>
      </c>
      <c r="J329" s="42">
        <v>0.80806712962962968</v>
      </c>
      <c r="K329" t="s">
        <v>58</v>
      </c>
      <c r="U32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0" spans="1:21" x14ac:dyDescent="0.25">
      <c r="A330">
        <v>1</v>
      </c>
      <c r="B330">
        <v>4382487</v>
      </c>
      <c r="C330" t="s">
        <v>21</v>
      </c>
      <c r="D330" t="s">
        <v>19</v>
      </c>
      <c r="E330">
        <v>0</v>
      </c>
      <c r="F330" t="s">
        <v>62</v>
      </c>
      <c r="G330" s="41" t="s">
        <v>381</v>
      </c>
      <c r="H330" s="42">
        <v>0.8081018518518519</v>
      </c>
      <c r="I330" s="41" t="s">
        <v>381</v>
      </c>
      <c r="J330" s="42">
        <v>0.80812499999999998</v>
      </c>
      <c r="K330" t="s">
        <v>58</v>
      </c>
      <c r="U33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1" spans="1:21" x14ac:dyDescent="0.25">
      <c r="A331">
        <v>1</v>
      </c>
      <c r="B331">
        <v>4382488</v>
      </c>
      <c r="C331" t="s">
        <v>21</v>
      </c>
      <c r="D331" t="s">
        <v>19</v>
      </c>
      <c r="E331">
        <v>0</v>
      </c>
      <c r="F331" t="s">
        <v>62</v>
      </c>
      <c r="G331" s="41" t="s">
        <v>381</v>
      </c>
      <c r="H331" s="42">
        <v>0.80925925925925923</v>
      </c>
      <c r="I331" s="41" t="s">
        <v>381</v>
      </c>
      <c r="J331" s="42">
        <v>0.80929398148148146</v>
      </c>
      <c r="K331" t="s">
        <v>58</v>
      </c>
      <c r="U33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2" spans="1:21" x14ac:dyDescent="0.25">
      <c r="A332">
        <v>1</v>
      </c>
      <c r="B332">
        <v>4382489</v>
      </c>
      <c r="C332" t="s">
        <v>21</v>
      </c>
      <c r="D332" t="s">
        <v>19</v>
      </c>
      <c r="E332">
        <v>0</v>
      </c>
      <c r="F332" t="s">
        <v>62</v>
      </c>
      <c r="G332" s="41" t="s">
        <v>381</v>
      </c>
      <c r="H332" s="42">
        <v>0.80925925925925923</v>
      </c>
      <c r="I332" s="41" t="s">
        <v>381</v>
      </c>
      <c r="J332" s="42">
        <v>0.80936342592592592</v>
      </c>
      <c r="K332" t="s">
        <v>58</v>
      </c>
      <c r="U33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3" spans="1:21" x14ac:dyDescent="0.25">
      <c r="A333">
        <v>1</v>
      </c>
      <c r="B333">
        <v>4382490</v>
      </c>
      <c r="C333" t="s">
        <v>21</v>
      </c>
      <c r="D333" t="s">
        <v>19</v>
      </c>
      <c r="E333">
        <v>0</v>
      </c>
      <c r="F333" t="s">
        <v>62</v>
      </c>
      <c r="G333" s="41" t="s">
        <v>381</v>
      </c>
      <c r="H333" s="42">
        <v>0.80937499999999996</v>
      </c>
      <c r="I333" s="41" t="s">
        <v>381</v>
      </c>
      <c r="J333" s="42">
        <v>0.80942129629629633</v>
      </c>
      <c r="K333" t="s">
        <v>58</v>
      </c>
      <c r="U33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4" spans="1:21" x14ac:dyDescent="0.25">
      <c r="A334">
        <v>1</v>
      </c>
      <c r="B334">
        <v>4382491</v>
      </c>
      <c r="C334" t="s">
        <v>21</v>
      </c>
      <c r="D334" t="s">
        <v>19</v>
      </c>
      <c r="E334">
        <v>0</v>
      </c>
      <c r="F334" t="s">
        <v>62</v>
      </c>
      <c r="G334" s="41" t="s">
        <v>381</v>
      </c>
      <c r="H334" s="42">
        <v>0.80937499999999996</v>
      </c>
      <c r="I334" s="41" t="s">
        <v>381</v>
      </c>
      <c r="J334" s="42">
        <v>0.80949074074074079</v>
      </c>
      <c r="K334" t="s">
        <v>58</v>
      </c>
      <c r="U33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5" spans="1:21" x14ac:dyDescent="0.25">
      <c r="A335">
        <v>1</v>
      </c>
      <c r="B335">
        <v>4382492</v>
      </c>
      <c r="C335" t="s">
        <v>21</v>
      </c>
      <c r="D335" t="s">
        <v>19</v>
      </c>
      <c r="E335">
        <v>0</v>
      </c>
      <c r="F335" t="s">
        <v>62</v>
      </c>
      <c r="G335" s="41" t="s">
        <v>381</v>
      </c>
      <c r="H335" s="42">
        <v>0.80949074074074079</v>
      </c>
      <c r="I335" s="41" t="s">
        <v>381</v>
      </c>
      <c r="J335" s="42">
        <v>0.80956018518518513</v>
      </c>
      <c r="K335" t="s">
        <v>58</v>
      </c>
      <c r="U33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36" spans="1:21" x14ac:dyDescent="0.25">
      <c r="A336">
        <v>7</v>
      </c>
      <c r="B336">
        <v>4382495</v>
      </c>
      <c r="C336">
        <v>1196</v>
      </c>
      <c r="D336" t="s">
        <v>309</v>
      </c>
      <c r="E336">
        <v>12</v>
      </c>
      <c r="F336" t="s">
        <v>59</v>
      </c>
      <c r="G336" s="41" t="s">
        <v>414</v>
      </c>
      <c r="H336" s="42">
        <v>0.67812499999999998</v>
      </c>
      <c r="I336" s="41" t="s">
        <v>414</v>
      </c>
      <c r="J336" s="42">
        <v>0.69127314814814811</v>
      </c>
      <c r="K336" t="s">
        <v>58</v>
      </c>
      <c r="U33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37" spans="1:21" x14ac:dyDescent="0.25">
      <c r="A337">
        <v>7</v>
      </c>
      <c r="B337">
        <v>4382519</v>
      </c>
      <c r="C337">
        <v>1196</v>
      </c>
      <c r="D337" t="s">
        <v>314</v>
      </c>
      <c r="E337">
        <v>12</v>
      </c>
      <c r="F337" t="s">
        <v>59</v>
      </c>
      <c r="G337" s="41" t="s">
        <v>414</v>
      </c>
      <c r="H337" s="42">
        <v>0.67418981481481477</v>
      </c>
      <c r="I337" s="41" t="s">
        <v>414</v>
      </c>
      <c r="J337" s="42">
        <v>0.69142361111111106</v>
      </c>
      <c r="K337" t="s">
        <v>58</v>
      </c>
      <c r="U337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38" spans="1:21" x14ac:dyDescent="0.25">
      <c r="A338">
        <v>7</v>
      </c>
      <c r="B338">
        <v>4382520</v>
      </c>
      <c r="C338">
        <v>1196</v>
      </c>
      <c r="D338" t="s">
        <v>314</v>
      </c>
      <c r="E338">
        <v>12</v>
      </c>
      <c r="F338" t="s">
        <v>59</v>
      </c>
      <c r="G338" s="41" t="s">
        <v>414</v>
      </c>
      <c r="H338" s="42">
        <v>0.67523148148148149</v>
      </c>
      <c r="I338" s="41" t="s">
        <v>414</v>
      </c>
      <c r="J338" s="42">
        <v>0.69152777777777774</v>
      </c>
      <c r="K338" t="s">
        <v>58</v>
      </c>
      <c r="U33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39" spans="1:21" x14ac:dyDescent="0.25">
      <c r="A339">
        <v>7</v>
      </c>
      <c r="B339">
        <v>4382528</v>
      </c>
      <c r="C339">
        <v>1196</v>
      </c>
      <c r="D339" t="s">
        <v>309</v>
      </c>
      <c r="E339">
        <v>12</v>
      </c>
      <c r="F339" t="s">
        <v>59</v>
      </c>
      <c r="G339" s="41" t="s">
        <v>414</v>
      </c>
      <c r="H339" s="42">
        <v>0.67314814814814816</v>
      </c>
      <c r="I339" s="41" t="s">
        <v>414</v>
      </c>
      <c r="J339" s="42">
        <v>0.6915972222222222</v>
      </c>
      <c r="K339" t="s">
        <v>58</v>
      </c>
      <c r="U33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0" spans="1:21" x14ac:dyDescent="0.25">
      <c r="A340">
        <v>7</v>
      </c>
      <c r="B340">
        <v>4382530</v>
      </c>
      <c r="C340">
        <v>1196</v>
      </c>
      <c r="D340" t="s">
        <v>309</v>
      </c>
      <c r="E340">
        <v>12</v>
      </c>
      <c r="F340" t="s">
        <v>59</v>
      </c>
      <c r="G340" s="41" t="s">
        <v>414</v>
      </c>
      <c r="H340" s="42">
        <v>0.6074074074074074</v>
      </c>
      <c r="I340" s="41" t="s">
        <v>414</v>
      </c>
      <c r="J340" s="42">
        <v>0.609837962962963</v>
      </c>
      <c r="K340" t="s">
        <v>58</v>
      </c>
      <c r="U34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1" spans="1:21" x14ac:dyDescent="0.25">
      <c r="A341">
        <v>8</v>
      </c>
      <c r="B341">
        <v>4382531</v>
      </c>
      <c r="C341">
        <v>1196</v>
      </c>
      <c r="D341" t="s">
        <v>309</v>
      </c>
      <c r="E341">
        <v>14</v>
      </c>
      <c r="F341" t="s">
        <v>159</v>
      </c>
      <c r="G341" s="41" t="s">
        <v>477</v>
      </c>
      <c r="H341" s="42">
        <v>0.43877314814814816</v>
      </c>
      <c r="I341" s="41" t="s">
        <v>477</v>
      </c>
      <c r="J341" s="42">
        <v>0.44675925925925924</v>
      </c>
      <c r="K341" t="s">
        <v>58</v>
      </c>
      <c r="U341" s="43" t="str">
        <f>IF(Tabela3[[#This Row],[Seq.Integ.]]="","",IF(AND(Tabela3[[#This Row],[Descrição do status]]="AGUARDANDO EXPEDIÇÃO",Tabela3[[#This Row],[Nº NF-e]]=""),"EM FATURAMENTO",Tabela3[[#This Row],[Descrição do status]]))</f>
        <v>EM FATURAMENTO</v>
      </c>
    </row>
    <row r="342" spans="1:21" x14ac:dyDescent="0.25">
      <c r="A342">
        <v>6</v>
      </c>
      <c r="B342">
        <v>4382544</v>
      </c>
      <c r="C342">
        <v>1196</v>
      </c>
      <c r="D342" t="s">
        <v>309</v>
      </c>
      <c r="E342">
        <v>12</v>
      </c>
      <c r="F342" t="s">
        <v>59</v>
      </c>
      <c r="G342" s="41" t="s">
        <v>414</v>
      </c>
      <c r="H342" s="42">
        <v>0.68240740740740746</v>
      </c>
      <c r="I342" s="41" t="s">
        <v>414</v>
      </c>
      <c r="J342" s="42">
        <v>0.69170138888888888</v>
      </c>
      <c r="K342" t="s">
        <v>58</v>
      </c>
      <c r="U34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3" spans="1:21" x14ac:dyDescent="0.25">
      <c r="A343">
        <v>6</v>
      </c>
      <c r="B343">
        <v>4382557</v>
      </c>
      <c r="C343">
        <v>1196</v>
      </c>
      <c r="D343" t="s">
        <v>314</v>
      </c>
      <c r="E343">
        <v>12</v>
      </c>
      <c r="F343" t="s">
        <v>59</v>
      </c>
      <c r="G343" s="41" t="s">
        <v>414</v>
      </c>
      <c r="H343" s="42">
        <v>0.67650462962962965</v>
      </c>
      <c r="I343" s="41" t="s">
        <v>414</v>
      </c>
      <c r="J343" s="42">
        <v>0.69179398148148152</v>
      </c>
      <c r="K343" t="s">
        <v>58</v>
      </c>
      <c r="U34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4" spans="1:21" x14ac:dyDescent="0.25">
      <c r="A344">
        <v>6</v>
      </c>
      <c r="B344">
        <v>4382565</v>
      </c>
      <c r="C344">
        <v>1196</v>
      </c>
      <c r="D344" t="s">
        <v>412</v>
      </c>
      <c r="E344">
        <v>12</v>
      </c>
      <c r="F344" t="s">
        <v>59</v>
      </c>
      <c r="G344" s="41" t="s">
        <v>477</v>
      </c>
      <c r="H344" s="42">
        <v>0.37627314814814816</v>
      </c>
      <c r="I344" s="41" t="s">
        <v>477</v>
      </c>
      <c r="J344" s="42">
        <v>0.39458333333333334</v>
      </c>
      <c r="K344" t="s">
        <v>58</v>
      </c>
      <c r="U34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5" spans="1:21" x14ac:dyDescent="0.25">
      <c r="A345">
        <v>6</v>
      </c>
      <c r="B345">
        <v>4382566</v>
      </c>
      <c r="C345">
        <v>1196</v>
      </c>
      <c r="D345" t="s">
        <v>314</v>
      </c>
      <c r="E345">
        <v>12</v>
      </c>
      <c r="F345" t="s">
        <v>59</v>
      </c>
      <c r="G345" s="41" t="s">
        <v>414</v>
      </c>
      <c r="H345" s="42">
        <v>0.67731481481481481</v>
      </c>
      <c r="I345" s="41" t="s">
        <v>414</v>
      </c>
      <c r="J345" s="42">
        <v>0.69956018518518515</v>
      </c>
      <c r="K345" t="s">
        <v>58</v>
      </c>
      <c r="U34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46" spans="1:21" x14ac:dyDescent="0.25">
      <c r="A346">
        <v>4</v>
      </c>
      <c r="B346">
        <v>4382701</v>
      </c>
      <c r="C346" t="s">
        <v>17</v>
      </c>
      <c r="D346" t="s">
        <v>17</v>
      </c>
      <c r="E346">
        <v>10</v>
      </c>
      <c r="F346" t="s">
        <v>61</v>
      </c>
      <c r="G346" s="41" t="s">
        <v>477</v>
      </c>
      <c r="H346" s="42">
        <v>0.40752314814814816</v>
      </c>
      <c r="I346" s="41" t="s">
        <v>477</v>
      </c>
      <c r="J346" s="42">
        <v>0.4105787037037037</v>
      </c>
      <c r="K346" t="s">
        <v>58</v>
      </c>
      <c r="U34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47" spans="1:21" x14ac:dyDescent="0.25">
      <c r="A347">
        <v>3</v>
      </c>
      <c r="B347">
        <v>4382702</v>
      </c>
      <c r="C347" t="s">
        <v>17</v>
      </c>
      <c r="D347" t="s">
        <v>17</v>
      </c>
      <c r="E347">
        <v>41</v>
      </c>
      <c r="F347" t="s">
        <v>64</v>
      </c>
      <c r="G347" s="41" t="s">
        <v>414</v>
      </c>
      <c r="H347" s="42">
        <v>0.56550925925925921</v>
      </c>
      <c r="I347" s="41" t="s">
        <v>414</v>
      </c>
      <c r="J347" s="42">
        <v>0.573125</v>
      </c>
      <c r="K347" t="s">
        <v>58</v>
      </c>
      <c r="U34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48" spans="1:21" x14ac:dyDescent="0.25">
      <c r="A348">
        <v>3</v>
      </c>
      <c r="B348">
        <v>4382703</v>
      </c>
      <c r="C348" t="s">
        <v>17</v>
      </c>
      <c r="D348" t="s">
        <v>17</v>
      </c>
      <c r="E348">
        <v>41</v>
      </c>
      <c r="F348" t="s">
        <v>64</v>
      </c>
      <c r="G348" s="41" t="s">
        <v>414</v>
      </c>
      <c r="H348" s="42">
        <v>0.56550925925925921</v>
      </c>
      <c r="I348" s="41" t="s">
        <v>414</v>
      </c>
      <c r="J348" s="42">
        <v>0.57315972222222222</v>
      </c>
      <c r="K348" t="s">
        <v>58</v>
      </c>
      <c r="U34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49" spans="1:21" x14ac:dyDescent="0.25">
      <c r="A349">
        <v>3</v>
      </c>
      <c r="B349">
        <v>4382704</v>
      </c>
      <c r="C349" t="s">
        <v>17</v>
      </c>
      <c r="D349" t="s">
        <v>17</v>
      </c>
      <c r="E349">
        <v>41</v>
      </c>
      <c r="F349" t="s">
        <v>64</v>
      </c>
      <c r="G349" s="41" t="s">
        <v>414</v>
      </c>
      <c r="H349" s="42">
        <v>0.56550925925925921</v>
      </c>
      <c r="I349" s="41" t="s">
        <v>414</v>
      </c>
      <c r="J349" s="42">
        <v>0.57319444444444445</v>
      </c>
      <c r="K349" t="s">
        <v>58</v>
      </c>
      <c r="U34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50" spans="1:21" x14ac:dyDescent="0.25">
      <c r="A350">
        <v>3</v>
      </c>
      <c r="B350">
        <v>4382705</v>
      </c>
      <c r="C350" t="s">
        <v>17</v>
      </c>
      <c r="D350" t="s">
        <v>17</v>
      </c>
      <c r="E350">
        <v>41</v>
      </c>
      <c r="F350" t="s">
        <v>64</v>
      </c>
      <c r="G350" s="41" t="s">
        <v>414</v>
      </c>
      <c r="H350" s="42">
        <v>0.56550925925925921</v>
      </c>
      <c r="I350" s="41" t="s">
        <v>414</v>
      </c>
      <c r="J350" s="42">
        <v>0.57325231481481487</v>
      </c>
      <c r="K350" t="s">
        <v>58</v>
      </c>
      <c r="U35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51" spans="1:21" x14ac:dyDescent="0.25">
      <c r="A351">
        <v>4</v>
      </c>
      <c r="B351">
        <v>4382706</v>
      </c>
      <c r="C351" t="s">
        <v>20</v>
      </c>
      <c r="D351" t="s">
        <v>314</v>
      </c>
      <c r="E351">
        <v>10</v>
      </c>
      <c r="F351" t="s">
        <v>61</v>
      </c>
      <c r="G351" s="41" t="s">
        <v>414</v>
      </c>
      <c r="H351" s="42">
        <v>0.56550925925925921</v>
      </c>
      <c r="I351" s="41" t="s">
        <v>414</v>
      </c>
      <c r="J351" s="42">
        <v>0.57643518518518522</v>
      </c>
      <c r="K351" t="s">
        <v>58</v>
      </c>
      <c r="U35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52" spans="1:21" x14ac:dyDescent="0.25">
      <c r="A352">
        <v>6</v>
      </c>
      <c r="B352">
        <v>4382707</v>
      </c>
      <c r="C352" t="s">
        <v>20</v>
      </c>
      <c r="D352" t="s">
        <v>314</v>
      </c>
      <c r="E352">
        <v>10</v>
      </c>
      <c r="F352" t="s">
        <v>63</v>
      </c>
      <c r="G352" s="41" t="s">
        <v>477</v>
      </c>
      <c r="H352" s="42">
        <v>0.43275462962962963</v>
      </c>
      <c r="I352" s="41" t="s">
        <v>477</v>
      </c>
      <c r="J352" s="42">
        <v>0.43962962962962965</v>
      </c>
      <c r="K352" t="s">
        <v>58</v>
      </c>
      <c r="U35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53" spans="1:21" x14ac:dyDescent="0.25">
      <c r="A353">
        <v>3</v>
      </c>
      <c r="B353">
        <v>4382708</v>
      </c>
      <c r="C353" t="s">
        <v>20</v>
      </c>
      <c r="D353" t="s">
        <v>314</v>
      </c>
      <c r="E353">
        <v>10</v>
      </c>
      <c r="F353" t="s">
        <v>61</v>
      </c>
      <c r="G353" s="41" t="s">
        <v>414</v>
      </c>
      <c r="H353" s="42">
        <v>0.61319444444444449</v>
      </c>
      <c r="I353" s="41" t="s">
        <v>414</v>
      </c>
      <c r="J353" s="42">
        <v>0.63708333333333333</v>
      </c>
      <c r="K353" t="s">
        <v>58</v>
      </c>
      <c r="U35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54" spans="1:21" x14ac:dyDescent="0.25">
      <c r="A354">
        <v>6</v>
      </c>
      <c r="B354">
        <v>4382709</v>
      </c>
      <c r="C354" t="s">
        <v>20</v>
      </c>
      <c r="D354" t="s">
        <v>314</v>
      </c>
      <c r="E354">
        <v>10</v>
      </c>
      <c r="F354" t="s">
        <v>63</v>
      </c>
      <c r="G354" s="41" t="s">
        <v>477</v>
      </c>
      <c r="H354" s="42">
        <v>0.43333333333333335</v>
      </c>
      <c r="I354" s="41" t="s">
        <v>477</v>
      </c>
      <c r="J354" s="42">
        <v>0.44701388888888888</v>
      </c>
      <c r="K354" t="s">
        <v>58</v>
      </c>
      <c r="U35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55" spans="1:21" x14ac:dyDescent="0.25">
      <c r="A355">
        <v>5</v>
      </c>
      <c r="B355">
        <v>4382710</v>
      </c>
      <c r="C355" t="s">
        <v>20</v>
      </c>
      <c r="D355" t="s">
        <v>314</v>
      </c>
      <c r="E355">
        <v>10</v>
      </c>
      <c r="F355" t="s">
        <v>63</v>
      </c>
      <c r="G355" s="41" t="s">
        <v>477</v>
      </c>
      <c r="H355" s="42">
        <v>0.43634259259259262</v>
      </c>
      <c r="I355" s="41" t="s">
        <v>477</v>
      </c>
      <c r="J355" s="42">
        <v>0.43979166666666669</v>
      </c>
      <c r="K355" t="s">
        <v>58</v>
      </c>
      <c r="U35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56" spans="1:21" x14ac:dyDescent="0.25">
      <c r="A356">
        <v>5</v>
      </c>
      <c r="B356">
        <v>4382711</v>
      </c>
      <c r="C356" t="s">
        <v>20</v>
      </c>
      <c r="D356" t="s">
        <v>314</v>
      </c>
      <c r="E356">
        <v>10</v>
      </c>
      <c r="F356" t="s">
        <v>63</v>
      </c>
      <c r="G356" s="41" t="s">
        <v>477</v>
      </c>
      <c r="H356" s="42">
        <v>0.43263888888888891</v>
      </c>
      <c r="I356" s="41" t="s">
        <v>477</v>
      </c>
      <c r="J356" s="42">
        <v>0.43986111111111109</v>
      </c>
      <c r="K356" t="s">
        <v>58</v>
      </c>
      <c r="U35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57" spans="1:21" x14ac:dyDescent="0.25">
      <c r="A357">
        <v>5</v>
      </c>
      <c r="B357">
        <v>4382712</v>
      </c>
      <c r="C357" t="s">
        <v>20</v>
      </c>
      <c r="D357" t="s">
        <v>314</v>
      </c>
      <c r="E357">
        <v>10</v>
      </c>
      <c r="F357" t="s">
        <v>63</v>
      </c>
      <c r="G357" s="41" t="s">
        <v>477</v>
      </c>
      <c r="H357" s="42">
        <v>0.43159722222222224</v>
      </c>
      <c r="I357" s="41" t="s">
        <v>477</v>
      </c>
      <c r="J357" s="42">
        <v>0.43990740740740741</v>
      </c>
      <c r="K357" t="s">
        <v>58</v>
      </c>
      <c r="U35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58" spans="1:21" x14ac:dyDescent="0.25">
      <c r="A358">
        <v>1</v>
      </c>
      <c r="B358">
        <v>4382713</v>
      </c>
      <c r="C358" t="s">
        <v>20</v>
      </c>
      <c r="D358" t="s">
        <v>419</v>
      </c>
      <c r="E358">
        <v>1</v>
      </c>
      <c r="F358" t="s">
        <v>162</v>
      </c>
      <c r="G358" s="41" t="s">
        <v>414</v>
      </c>
      <c r="H358" s="42">
        <v>0.52777777777777779</v>
      </c>
      <c r="I358" s="41" t="s">
        <v>414</v>
      </c>
      <c r="J358" s="42">
        <v>0.52907407407407403</v>
      </c>
      <c r="K358" t="s">
        <v>58</v>
      </c>
      <c r="U35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359" spans="1:21" x14ac:dyDescent="0.25">
      <c r="A359">
        <v>5</v>
      </c>
      <c r="B359">
        <v>4382714</v>
      </c>
      <c r="C359" t="s">
        <v>20</v>
      </c>
      <c r="D359" t="s">
        <v>314</v>
      </c>
      <c r="E359">
        <v>10</v>
      </c>
      <c r="F359" t="s">
        <v>63</v>
      </c>
      <c r="G359" s="41" t="s">
        <v>477</v>
      </c>
      <c r="H359" s="42">
        <v>0.43229166666666669</v>
      </c>
      <c r="I359" s="41" t="s">
        <v>477</v>
      </c>
      <c r="J359" s="42">
        <v>0.43997685185185187</v>
      </c>
      <c r="K359" t="s">
        <v>58</v>
      </c>
      <c r="U35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0" spans="1:21" x14ac:dyDescent="0.25">
      <c r="A360">
        <v>5</v>
      </c>
      <c r="B360">
        <v>4382715</v>
      </c>
      <c r="C360" t="s">
        <v>20</v>
      </c>
      <c r="D360" t="s">
        <v>314</v>
      </c>
      <c r="E360">
        <v>10</v>
      </c>
      <c r="F360" t="s">
        <v>63</v>
      </c>
      <c r="G360" s="41" t="s">
        <v>477</v>
      </c>
      <c r="H360" s="42">
        <v>0.44189814814814815</v>
      </c>
      <c r="I360" s="41" t="s">
        <v>477</v>
      </c>
      <c r="J360" s="42">
        <v>0.44708333333333333</v>
      </c>
      <c r="K360" t="s">
        <v>58</v>
      </c>
      <c r="U36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1" spans="1:21" x14ac:dyDescent="0.25">
      <c r="A361">
        <v>5</v>
      </c>
      <c r="B361">
        <v>4382716</v>
      </c>
      <c r="C361" t="s">
        <v>20</v>
      </c>
      <c r="D361" t="s">
        <v>314</v>
      </c>
      <c r="E361">
        <v>10</v>
      </c>
      <c r="F361" t="s">
        <v>63</v>
      </c>
      <c r="G361" s="41" t="s">
        <v>477</v>
      </c>
      <c r="H361" s="42">
        <v>0.43055555555555558</v>
      </c>
      <c r="I361" s="41" t="s">
        <v>477</v>
      </c>
      <c r="J361" s="42">
        <v>0.43145833333333333</v>
      </c>
      <c r="K361" t="s">
        <v>58</v>
      </c>
      <c r="U36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2" spans="1:21" x14ac:dyDescent="0.25">
      <c r="A362">
        <v>6</v>
      </c>
      <c r="B362">
        <v>4382717</v>
      </c>
      <c r="C362" t="s">
        <v>17</v>
      </c>
      <c r="D362" t="s">
        <v>17</v>
      </c>
      <c r="E362">
        <v>10</v>
      </c>
      <c r="F362" t="s">
        <v>63</v>
      </c>
      <c r="G362" s="41" t="s">
        <v>477</v>
      </c>
      <c r="H362" s="42">
        <v>0.4440972222222222</v>
      </c>
      <c r="I362" s="41" t="s">
        <v>477</v>
      </c>
      <c r="J362" s="42">
        <v>0.44665509259259262</v>
      </c>
      <c r="K362" t="s">
        <v>58</v>
      </c>
      <c r="U36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3" spans="1:21" x14ac:dyDescent="0.25">
      <c r="A363">
        <v>5</v>
      </c>
      <c r="B363">
        <v>4382718</v>
      </c>
      <c r="C363" t="s">
        <v>20</v>
      </c>
      <c r="D363" t="s">
        <v>314</v>
      </c>
      <c r="E363">
        <v>10</v>
      </c>
      <c r="F363" t="s">
        <v>63</v>
      </c>
      <c r="G363" s="41" t="s">
        <v>477</v>
      </c>
      <c r="H363" s="42">
        <v>0.42974537037037036</v>
      </c>
      <c r="I363" s="41" t="s">
        <v>477</v>
      </c>
      <c r="J363" s="42">
        <v>0.43153935185185183</v>
      </c>
      <c r="K363" t="s">
        <v>58</v>
      </c>
      <c r="U363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4" spans="1:21" x14ac:dyDescent="0.25">
      <c r="A364">
        <v>5</v>
      </c>
      <c r="B364">
        <v>4382719</v>
      </c>
      <c r="C364" t="s">
        <v>20</v>
      </c>
      <c r="D364" t="s">
        <v>314</v>
      </c>
      <c r="E364">
        <v>10</v>
      </c>
      <c r="F364" t="s">
        <v>63</v>
      </c>
      <c r="G364" s="41" t="s">
        <v>477</v>
      </c>
      <c r="H364" s="42">
        <v>0.42835648148148148</v>
      </c>
      <c r="I364" s="41" t="s">
        <v>477</v>
      </c>
      <c r="J364" s="42">
        <v>0.4316550925925926</v>
      </c>
      <c r="K364" t="s">
        <v>58</v>
      </c>
      <c r="U36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5" spans="1:21" x14ac:dyDescent="0.25">
      <c r="A365">
        <v>6</v>
      </c>
      <c r="B365">
        <v>4382720</v>
      </c>
      <c r="C365" t="s">
        <v>20</v>
      </c>
      <c r="D365" t="s">
        <v>314</v>
      </c>
      <c r="E365">
        <v>10</v>
      </c>
      <c r="F365" t="s">
        <v>63</v>
      </c>
      <c r="G365" s="41" t="s">
        <v>477</v>
      </c>
      <c r="H365" s="42">
        <v>0.42766203703703703</v>
      </c>
      <c r="I365" s="41" t="s">
        <v>477</v>
      </c>
      <c r="J365" s="42">
        <v>0.4317361111111111</v>
      </c>
      <c r="K365" t="s">
        <v>58</v>
      </c>
      <c r="U36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6" spans="1:21" x14ac:dyDescent="0.25">
      <c r="A366">
        <v>5</v>
      </c>
      <c r="B366">
        <v>4382721</v>
      </c>
      <c r="C366" t="s">
        <v>20</v>
      </c>
      <c r="D366" t="s">
        <v>314</v>
      </c>
      <c r="E366">
        <v>10</v>
      </c>
      <c r="F366" t="s">
        <v>63</v>
      </c>
      <c r="G366" s="41" t="s">
        <v>477</v>
      </c>
      <c r="H366" s="42">
        <v>0.42685185185185187</v>
      </c>
      <c r="I366" s="41" t="s">
        <v>477</v>
      </c>
      <c r="J366" s="42">
        <v>0.43181712962962965</v>
      </c>
      <c r="K366" t="s">
        <v>58</v>
      </c>
      <c r="U36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7" spans="1:21" x14ac:dyDescent="0.25">
      <c r="A367">
        <v>5</v>
      </c>
      <c r="B367">
        <v>4382722</v>
      </c>
      <c r="C367" t="s">
        <v>20</v>
      </c>
      <c r="D367" t="s">
        <v>314</v>
      </c>
      <c r="E367">
        <v>10</v>
      </c>
      <c r="F367" t="s">
        <v>63</v>
      </c>
      <c r="G367" s="41" t="s">
        <v>477</v>
      </c>
      <c r="H367" s="42">
        <v>0.42569444444444443</v>
      </c>
      <c r="I367" s="41" t="s">
        <v>477</v>
      </c>
      <c r="J367" s="42">
        <v>0.43189814814814814</v>
      </c>
      <c r="K367" t="s">
        <v>58</v>
      </c>
      <c r="U36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8" spans="1:21" x14ac:dyDescent="0.25">
      <c r="A368">
        <v>5</v>
      </c>
      <c r="B368">
        <v>4382723</v>
      </c>
      <c r="C368" t="s">
        <v>20</v>
      </c>
      <c r="D368" t="s">
        <v>314</v>
      </c>
      <c r="E368">
        <v>10</v>
      </c>
      <c r="F368" t="s">
        <v>63</v>
      </c>
      <c r="G368" s="41" t="s">
        <v>477</v>
      </c>
      <c r="H368" s="42">
        <v>0.42268518518518516</v>
      </c>
      <c r="I368" s="41" t="s">
        <v>477</v>
      </c>
      <c r="J368" s="42">
        <v>0.43197916666666669</v>
      </c>
      <c r="K368" t="s">
        <v>58</v>
      </c>
      <c r="U36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69" spans="1:21" x14ac:dyDescent="0.25">
      <c r="A369">
        <v>5</v>
      </c>
      <c r="B369">
        <v>4382724</v>
      </c>
      <c r="C369" t="s">
        <v>20</v>
      </c>
      <c r="D369" t="s">
        <v>314</v>
      </c>
      <c r="E369">
        <v>10</v>
      </c>
      <c r="F369" t="s">
        <v>63</v>
      </c>
      <c r="G369" s="41" t="s">
        <v>477</v>
      </c>
      <c r="H369" s="42">
        <v>0.42141203703703706</v>
      </c>
      <c r="I369" s="41" t="s">
        <v>477</v>
      </c>
      <c r="J369" s="42">
        <v>0.44004629629629627</v>
      </c>
      <c r="K369" t="s">
        <v>58</v>
      </c>
      <c r="U36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70" spans="1:21" x14ac:dyDescent="0.25">
      <c r="A370">
        <v>5</v>
      </c>
      <c r="B370">
        <v>4382725</v>
      </c>
      <c r="C370" t="s">
        <v>20</v>
      </c>
      <c r="D370" t="s">
        <v>314</v>
      </c>
      <c r="E370">
        <v>11</v>
      </c>
      <c r="F370" t="s">
        <v>60</v>
      </c>
      <c r="G370" s="41" t="s">
        <v>477</v>
      </c>
      <c r="H370" s="42">
        <v>0.41851851851851851</v>
      </c>
      <c r="I370" s="41" t="s">
        <v>477</v>
      </c>
      <c r="J370" s="42">
        <v>0.4400810185185185</v>
      </c>
      <c r="K370" t="s">
        <v>58</v>
      </c>
      <c r="U370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71" spans="1:21" x14ac:dyDescent="0.25">
      <c r="A371">
        <v>5</v>
      </c>
      <c r="B371">
        <v>4382726</v>
      </c>
      <c r="C371" t="s">
        <v>20</v>
      </c>
      <c r="D371" t="s">
        <v>314</v>
      </c>
      <c r="E371">
        <v>11</v>
      </c>
      <c r="F371" t="s">
        <v>60</v>
      </c>
      <c r="G371" s="41" t="s">
        <v>477</v>
      </c>
      <c r="H371" s="42">
        <v>0.41793981481481479</v>
      </c>
      <c r="I371" s="41" t="s">
        <v>477</v>
      </c>
      <c r="J371" s="42">
        <v>0.44011574074074072</v>
      </c>
      <c r="K371" t="s">
        <v>58</v>
      </c>
      <c r="U371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72" spans="1:21" x14ac:dyDescent="0.25">
      <c r="A372">
        <v>5</v>
      </c>
      <c r="B372">
        <v>4382727</v>
      </c>
      <c r="C372" t="s">
        <v>20</v>
      </c>
      <c r="D372" t="s">
        <v>314</v>
      </c>
      <c r="E372">
        <v>10</v>
      </c>
      <c r="F372" t="s">
        <v>63</v>
      </c>
      <c r="G372" s="41" t="s">
        <v>477</v>
      </c>
      <c r="H372" s="42">
        <v>0.41747685185185185</v>
      </c>
      <c r="I372" s="41" t="s">
        <v>477</v>
      </c>
      <c r="J372" s="42">
        <v>0.44018518518518518</v>
      </c>
      <c r="K372" t="s">
        <v>58</v>
      </c>
      <c r="U37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73" spans="1:21" x14ac:dyDescent="0.25">
      <c r="A373">
        <v>5</v>
      </c>
      <c r="B373">
        <v>4382728</v>
      </c>
      <c r="C373" t="s">
        <v>20</v>
      </c>
      <c r="D373" t="s">
        <v>314</v>
      </c>
      <c r="E373">
        <v>11</v>
      </c>
      <c r="F373" t="s">
        <v>60</v>
      </c>
      <c r="G373" s="41" t="s">
        <v>477</v>
      </c>
      <c r="H373" s="42">
        <v>0.41180555555555554</v>
      </c>
      <c r="I373" s="41" t="s">
        <v>477</v>
      </c>
      <c r="J373" s="42">
        <v>0.44021990740740741</v>
      </c>
      <c r="K373" t="s">
        <v>58</v>
      </c>
      <c r="U373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74" spans="1:21" x14ac:dyDescent="0.25">
      <c r="A374">
        <v>5</v>
      </c>
      <c r="B374">
        <v>4382729</v>
      </c>
      <c r="C374" t="s">
        <v>17</v>
      </c>
      <c r="D374" t="s">
        <v>17</v>
      </c>
      <c r="E374">
        <v>11</v>
      </c>
      <c r="F374" t="s">
        <v>60</v>
      </c>
      <c r="G374" s="41" t="s">
        <v>477</v>
      </c>
      <c r="H374" s="42">
        <v>0.44247685185185187</v>
      </c>
      <c r="I374" s="41" t="s">
        <v>477</v>
      </c>
      <c r="J374" s="42">
        <v>0.44668981481481479</v>
      </c>
      <c r="K374" t="s">
        <v>58</v>
      </c>
      <c r="U374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375" spans="1:21" x14ac:dyDescent="0.25">
      <c r="A375">
        <v>4</v>
      </c>
      <c r="B375">
        <v>4382730</v>
      </c>
      <c r="C375" t="s">
        <v>17</v>
      </c>
      <c r="D375" t="s">
        <v>17</v>
      </c>
      <c r="E375">
        <v>10</v>
      </c>
      <c r="F375" t="s">
        <v>61</v>
      </c>
      <c r="G375" s="41" t="s">
        <v>477</v>
      </c>
      <c r="H375" s="42">
        <v>0.40763888888888888</v>
      </c>
      <c r="I375" s="41" t="s">
        <v>477</v>
      </c>
      <c r="J375" s="42">
        <v>0.41067129629629628</v>
      </c>
      <c r="K375" t="s">
        <v>58</v>
      </c>
      <c r="U37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76" spans="1:21" x14ac:dyDescent="0.25">
      <c r="A376">
        <v>5</v>
      </c>
      <c r="B376">
        <v>4382731</v>
      </c>
      <c r="C376" t="s">
        <v>20</v>
      </c>
      <c r="D376" t="s">
        <v>19</v>
      </c>
      <c r="E376">
        <v>10</v>
      </c>
      <c r="F376" t="s">
        <v>63</v>
      </c>
      <c r="G376" s="41" t="s">
        <v>477</v>
      </c>
      <c r="H376" s="42">
        <v>0.43981481481481483</v>
      </c>
      <c r="I376" s="41" t="s">
        <v>477</v>
      </c>
      <c r="J376" s="42">
        <v>0.44715277777777779</v>
      </c>
      <c r="K376" t="s">
        <v>58</v>
      </c>
      <c r="U376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77" spans="1:21" x14ac:dyDescent="0.25">
      <c r="A377">
        <v>5</v>
      </c>
      <c r="B377">
        <v>4382732</v>
      </c>
      <c r="C377" t="s">
        <v>20</v>
      </c>
      <c r="D377" t="s">
        <v>19</v>
      </c>
      <c r="E377">
        <v>10</v>
      </c>
      <c r="F377" t="s">
        <v>63</v>
      </c>
      <c r="G377" s="41" t="s">
        <v>477</v>
      </c>
      <c r="H377" s="42">
        <v>0.44039351851851855</v>
      </c>
      <c r="I377" s="41" t="s">
        <v>477</v>
      </c>
      <c r="J377" s="42">
        <v>0.44722222222222224</v>
      </c>
      <c r="K377" t="s">
        <v>58</v>
      </c>
      <c r="U377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78" spans="1:21" x14ac:dyDescent="0.25">
      <c r="A378">
        <v>6</v>
      </c>
      <c r="B378">
        <v>4382733</v>
      </c>
      <c r="C378" t="s">
        <v>20</v>
      </c>
      <c r="D378" t="s">
        <v>19</v>
      </c>
      <c r="E378">
        <v>10</v>
      </c>
      <c r="F378" t="s">
        <v>63</v>
      </c>
      <c r="G378" s="41" t="s">
        <v>477</v>
      </c>
      <c r="H378" s="42">
        <v>0.44074074074074077</v>
      </c>
      <c r="I378" s="41" t="s">
        <v>477</v>
      </c>
      <c r="J378" s="42">
        <v>0.44729166666666664</v>
      </c>
      <c r="K378" t="s">
        <v>58</v>
      </c>
      <c r="U37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79" spans="1:21" x14ac:dyDescent="0.25">
      <c r="A379">
        <v>6</v>
      </c>
      <c r="B379">
        <v>4382734</v>
      </c>
      <c r="C379" t="s">
        <v>20</v>
      </c>
      <c r="D379" t="s">
        <v>19</v>
      </c>
      <c r="E379">
        <v>10</v>
      </c>
      <c r="F379" t="s">
        <v>63</v>
      </c>
      <c r="G379" s="41" t="s">
        <v>477</v>
      </c>
      <c r="H379" s="42">
        <v>0.44108796296296299</v>
      </c>
      <c r="I379" s="41" t="s">
        <v>477</v>
      </c>
      <c r="J379" s="42">
        <v>0.4473611111111111</v>
      </c>
      <c r="K379" t="s">
        <v>58</v>
      </c>
      <c r="U379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0" spans="1:21" x14ac:dyDescent="0.25">
      <c r="A380">
        <v>5</v>
      </c>
      <c r="B380">
        <v>4382735</v>
      </c>
      <c r="C380" t="s">
        <v>20</v>
      </c>
      <c r="D380" t="s">
        <v>19</v>
      </c>
      <c r="E380">
        <v>10</v>
      </c>
      <c r="F380" t="s">
        <v>63</v>
      </c>
      <c r="G380" s="41" t="s">
        <v>477</v>
      </c>
      <c r="H380" s="42">
        <v>0.43831018518518516</v>
      </c>
      <c r="I380" s="41" t="s">
        <v>477</v>
      </c>
      <c r="J380" s="42">
        <v>0.4403009259259259</v>
      </c>
      <c r="K380" t="s">
        <v>58</v>
      </c>
      <c r="U380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1" spans="1:21" x14ac:dyDescent="0.25">
      <c r="A381">
        <v>5</v>
      </c>
      <c r="B381">
        <v>4382736</v>
      </c>
      <c r="C381" t="s">
        <v>20</v>
      </c>
      <c r="D381" t="s">
        <v>19</v>
      </c>
      <c r="E381">
        <v>10</v>
      </c>
      <c r="F381" t="s">
        <v>63</v>
      </c>
      <c r="G381" s="41" t="s">
        <v>477</v>
      </c>
      <c r="H381" s="42">
        <v>0.43877314814814816</v>
      </c>
      <c r="I381" s="41" t="s">
        <v>477</v>
      </c>
      <c r="J381" s="42">
        <v>0.44743055555555555</v>
      </c>
      <c r="K381" t="s">
        <v>58</v>
      </c>
      <c r="U381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2" spans="1:21" x14ac:dyDescent="0.25">
      <c r="A382">
        <v>5</v>
      </c>
      <c r="B382">
        <v>4382737</v>
      </c>
      <c r="C382" t="s">
        <v>20</v>
      </c>
      <c r="D382" t="s">
        <v>19</v>
      </c>
      <c r="E382">
        <v>10</v>
      </c>
      <c r="F382" t="s">
        <v>63</v>
      </c>
      <c r="G382" s="41" t="s">
        <v>477</v>
      </c>
      <c r="H382" s="42">
        <v>0.43912037037037038</v>
      </c>
      <c r="I382" s="41" t="s">
        <v>477</v>
      </c>
      <c r="J382" s="42">
        <v>0.44750000000000001</v>
      </c>
      <c r="K382" t="s">
        <v>58</v>
      </c>
      <c r="U382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3" spans="1:21" x14ac:dyDescent="0.25">
      <c r="A383">
        <v>5</v>
      </c>
      <c r="B383">
        <v>4382738</v>
      </c>
      <c r="C383" t="s">
        <v>20</v>
      </c>
      <c r="D383" t="s">
        <v>19</v>
      </c>
      <c r="E383">
        <v>10</v>
      </c>
      <c r="F383" t="s">
        <v>63</v>
      </c>
      <c r="G383" s="41" t="s">
        <v>477</v>
      </c>
      <c r="H383" s="42">
        <v>0.43761574074074072</v>
      </c>
      <c r="I383" s="41" t="s">
        <v>477</v>
      </c>
      <c r="J383" s="42">
        <v>0.44041666666666668</v>
      </c>
      <c r="K383" t="s">
        <v>58</v>
      </c>
      <c r="U383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4" spans="1:21" x14ac:dyDescent="0.25">
      <c r="A384">
        <v>5</v>
      </c>
      <c r="B384">
        <v>4382739</v>
      </c>
      <c r="C384" t="s">
        <v>20</v>
      </c>
      <c r="D384" t="s">
        <v>19</v>
      </c>
      <c r="E384">
        <v>10</v>
      </c>
      <c r="F384" t="s">
        <v>63</v>
      </c>
      <c r="G384" s="41" t="s">
        <v>477</v>
      </c>
      <c r="H384" s="42">
        <v>0.43796296296296294</v>
      </c>
      <c r="I384" s="41" t="s">
        <v>477</v>
      </c>
      <c r="J384" s="42">
        <v>0.44048611111111113</v>
      </c>
      <c r="K384" t="s">
        <v>58</v>
      </c>
      <c r="U384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5" spans="1:21" x14ac:dyDescent="0.25">
      <c r="A385">
        <v>6</v>
      </c>
      <c r="B385">
        <v>4382761</v>
      </c>
      <c r="C385">
        <v>1196</v>
      </c>
      <c r="D385" t="s">
        <v>309</v>
      </c>
      <c r="E385">
        <v>10</v>
      </c>
      <c r="F385" t="s">
        <v>63</v>
      </c>
      <c r="G385" s="41" t="s">
        <v>414</v>
      </c>
      <c r="H385" s="42">
        <v>0.59606481481481477</v>
      </c>
      <c r="I385" s="41" t="s">
        <v>414</v>
      </c>
      <c r="J385" s="42">
        <v>0.61011574074074071</v>
      </c>
      <c r="K385" t="s">
        <v>58</v>
      </c>
      <c r="U385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86" spans="1:21" x14ac:dyDescent="0.25">
      <c r="A386">
        <v>10</v>
      </c>
      <c r="B386">
        <v>4382762</v>
      </c>
      <c r="C386">
        <v>1196</v>
      </c>
      <c r="D386" t="s">
        <v>309</v>
      </c>
      <c r="E386">
        <v>12</v>
      </c>
      <c r="F386" t="s">
        <v>59</v>
      </c>
      <c r="G386" s="41" t="s">
        <v>414</v>
      </c>
      <c r="H386" s="42">
        <v>0.64837962962962958</v>
      </c>
      <c r="I386" s="41" t="s">
        <v>414</v>
      </c>
      <c r="J386" s="42">
        <v>0.6651273148148148</v>
      </c>
      <c r="K386" t="s">
        <v>58</v>
      </c>
      <c r="U386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87" spans="1:21" x14ac:dyDescent="0.25">
      <c r="A387">
        <v>3</v>
      </c>
      <c r="B387">
        <v>4382763</v>
      </c>
      <c r="C387" t="s">
        <v>17</v>
      </c>
      <c r="D387" t="s">
        <v>17</v>
      </c>
      <c r="E387">
        <v>41</v>
      </c>
      <c r="F387" t="s">
        <v>64</v>
      </c>
      <c r="G387" s="41" t="s">
        <v>414</v>
      </c>
      <c r="H387" s="42">
        <v>0.56550925925925921</v>
      </c>
      <c r="I387" s="41" t="s">
        <v>414</v>
      </c>
      <c r="J387" s="42">
        <v>0.57336805555555559</v>
      </c>
      <c r="K387" t="s">
        <v>58</v>
      </c>
      <c r="U38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88" spans="1:21" x14ac:dyDescent="0.25">
      <c r="A388">
        <v>7</v>
      </c>
      <c r="B388">
        <v>4382764</v>
      </c>
      <c r="C388">
        <v>1196</v>
      </c>
      <c r="D388" t="s">
        <v>309</v>
      </c>
      <c r="E388">
        <v>12</v>
      </c>
      <c r="F388" t="s">
        <v>59</v>
      </c>
      <c r="G388" s="41" t="s">
        <v>414</v>
      </c>
      <c r="H388" s="42">
        <v>0.59641203703703705</v>
      </c>
      <c r="I388" s="41" t="s">
        <v>414</v>
      </c>
      <c r="J388" s="42">
        <v>0.61028935185185185</v>
      </c>
      <c r="K388" t="s">
        <v>58</v>
      </c>
      <c r="U38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89" spans="1:21" x14ac:dyDescent="0.25">
      <c r="A389">
        <v>7</v>
      </c>
      <c r="B389">
        <v>4382765</v>
      </c>
      <c r="C389">
        <v>1196</v>
      </c>
      <c r="D389" t="s">
        <v>309</v>
      </c>
      <c r="E389">
        <v>12</v>
      </c>
      <c r="F389" t="s">
        <v>59</v>
      </c>
      <c r="G389" s="41" t="s">
        <v>414</v>
      </c>
      <c r="H389" s="42">
        <v>0.59641203703703705</v>
      </c>
      <c r="I389" s="41" t="s">
        <v>414</v>
      </c>
      <c r="J389" s="42">
        <v>0.61045138888888884</v>
      </c>
      <c r="K389" t="s">
        <v>58</v>
      </c>
      <c r="U38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90" spans="1:21" x14ac:dyDescent="0.25">
      <c r="A390">
        <v>7</v>
      </c>
      <c r="B390">
        <v>4382771</v>
      </c>
      <c r="C390">
        <v>1196</v>
      </c>
      <c r="D390" t="s">
        <v>314</v>
      </c>
      <c r="E390">
        <v>12</v>
      </c>
      <c r="F390" t="s">
        <v>59</v>
      </c>
      <c r="G390" s="41" t="s">
        <v>414</v>
      </c>
      <c r="H390" s="42">
        <v>0.51076388888888891</v>
      </c>
      <c r="I390" s="41" t="s">
        <v>414</v>
      </c>
      <c r="J390" s="42">
        <v>0.5191203703703704</v>
      </c>
      <c r="K390" t="s">
        <v>58</v>
      </c>
      <c r="U390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391" spans="1:21" x14ac:dyDescent="0.25">
      <c r="A391">
        <v>3</v>
      </c>
      <c r="B391">
        <v>4382773</v>
      </c>
      <c r="C391" t="s">
        <v>17</v>
      </c>
      <c r="D391" t="s">
        <v>17</v>
      </c>
      <c r="E391">
        <v>41</v>
      </c>
      <c r="F391" t="s">
        <v>64</v>
      </c>
      <c r="G391" s="41" t="s">
        <v>414</v>
      </c>
      <c r="H391" s="42">
        <v>0.56550925925925921</v>
      </c>
      <c r="I391" s="41" t="s">
        <v>414</v>
      </c>
      <c r="J391" s="42">
        <v>0.57340277777777782</v>
      </c>
      <c r="K391" t="s">
        <v>58</v>
      </c>
      <c r="U39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92" spans="1:21" x14ac:dyDescent="0.25">
      <c r="A392">
        <v>4</v>
      </c>
      <c r="B392">
        <v>4382796</v>
      </c>
      <c r="C392" t="s">
        <v>17</v>
      </c>
      <c r="D392" t="s">
        <v>17</v>
      </c>
      <c r="E392">
        <v>10</v>
      </c>
      <c r="F392" t="s">
        <v>61</v>
      </c>
      <c r="G392" s="41" t="s">
        <v>477</v>
      </c>
      <c r="H392" s="42">
        <v>0.40763888888888888</v>
      </c>
      <c r="I392" s="41" t="s">
        <v>477</v>
      </c>
      <c r="J392" s="42">
        <v>0.41069444444444442</v>
      </c>
      <c r="K392" t="s">
        <v>58</v>
      </c>
      <c r="U39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3" spans="1:21" x14ac:dyDescent="0.25">
      <c r="A393">
        <v>3</v>
      </c>
      <c r="B393">
        <v>4382798</v>
      </c>
      <c r="C393" t="s">
        <v>17</v>
      </c>
      <c r="D393" t="s">
        <v>17</v>
      </c>
      <c r="E393">
        <v>41</v>
      </c>
      <c r="F393" t="s">
        <v>64</v>
      </c>
      <c r="G393" s="41" t="s">
        <v>414</v>
      </c>
      <c r="H393" s="42">
        <v>0.56550925925925921</v>
      </c>
      <c r="I393" s="41" t="s">
        <v>414</v>
      </c>
      <c r="J393" s="42">
        <v>0.57347222222222227</v>
      </c>
      <c r="K393" t="s">
        <v>58</v>
      </c>
      <c r="U39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94" spans="1:21" x14ac:dyDescent="0.25">
      <c r="A394">
        <v>3</v>
      </c>
      <c r="B394">
        <v>4382799</v>
      </c>
      <c r="C394" t="s">
        <v>17</v>
      </c>
      <c r="D394" t="s">
        <v>17</v>
      </c>
      <c r="E394">
        <v>41</v>
      </c>
      <c r="F394" t="s">
        <v>64</v>
      </c>
      <c r="G394" s="41" t="s">
        <v>414</v>
      </c>
      <c r="H394" s="42">
        <v>0.56550925925925921</v>
      </c>
      <c r="I394" s="41" t="s">
        <v>414</v>
      </c>
      <c r="J394" s="42">
        <v>0.5735069444444445</v>
      </c>
      <c r="K394" t="s">
        <v>58</v>
      </c>
      <c r="U39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395" spans="1:21" x14ac:dyDescent="0.25">
      <c r="A395">
        <v>4</v>
      </c>
      <c r="B395">
        <v>4382800</v>
      </c>
      <c r="C395" t="s">
        <v>17</v>
      </c>
      <c r="D395" t="s">
        <v>17</v>
      </c>
      <c r="E395">
        <v>10</v>
      </c>
      <c r="F395" t="s">
        <v>61</v>
      </c>
      <c r="G395" s="41" t="s">
        <v>477</v>
      </c>
      <c r="H395" s="42">
        <v>0.41967592592592595</v>
      </c>
      <c r="I395" s="41" t="s">
        <v>477</v>
      </c>
      <c r="J395" s="42">
        <v>0.43034722222222221</v>
      </c>
      <c r="K395" t="s">
        <v>58</v>
      </c>
      <c r="U39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396" spans="1:21" x14ac:dyDescent="0.25">
      <c r="A396">
        <v>2</v>
      </c>
      <c r="B396">
        <v>4382809</v>
      </c>
      <c r="C396" t="s">
        <v>18</v>
      </c>
      <c r="D396" t="s">
        <v>18</v>
      </c>
      <c r="E396">
        <v>7</v>
      </c>
      <c r="F396" t="s">
        <v>161</v>
      </c>
      <c r="G396" s="41" t="s">
        <v>414</v>
      </c>
      <c r="H396" s="42">
        <v>0.60358796296296291</v>
      </c>
      <c r="I396" s="41" t="s">
        <v>414</v>
      </c>
      <c r="J396" s="42">
        <v>0.61189814814814814</v>
      </c>
      <c r="K396" t="s">
        <v>58</v>
      </c>
      <c r="U396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397" spans="1:21" x14ac:dyDescent="0.25">
      <c r="A397">
        <v>1</v>
      </c>
      <c r="B397">
        <v>4382811</v>
      </c>
      <c r="C397" t="s">
        <v>21</v>
      </c>
      <c r="D397" t="s">
        <v>21</v>
      </c>
      <c r="E397">
        <v>0</v>
      </c>
      <c r="F397" t="s">
        <v>62</v>
      </c>
      <c r="G397" s="41" t="s">
        <v>414</v>
      </c>
      <c r="H397" s="42">
        <v>0.43275462962962963</v>
      </c>
      <c r="I397" s="41" t="s">
        <v>414</v>
      </c>
      <c r="J397" s="42">
        <v>0.43285879629629631</v>
      </c>
      <c r="K397" t="s">
        <v>58</v>
      </c>
      <c r="U3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398" spans="1:21" x14ac:dyDescent="0.25">
      <c r="A398">
        <v>6</v>
      </c>
      <c r="B398">
        <v>4382812</v>
      </c>
      <c r="C398" t="s">
        <v>20</v>
      </c>
      <c r="D398" t="s">
        <v>314</v>
      </c>
      <c r="E398">
        <v>10</v>
      </c>
      <c r="F398" t="s">
        <v>63</v>
      </c>
      <c r="G398" s="41" t="s">
        <v>477</v>
      </c>
      <c r="H398" s="42">
        <v>0.43564814814814817</v>
      </c>
      <c r="I398" s="41" t="s">
        <v>477</v>
      </c>
      <c r="J398" s="42">
        <v>0.44056712962962963</v>
      </c>
      <c r="K398" t="s">
        <v>58</v>
      </c>
      <c r="U398" s="43" t="str">
        <f>IF(Tabela3[[#This Row],[Seq.Integ.]]="","",IF(AND(Tabela3[[#This Row],[Descrição do status]]="AGUARDANDO EXPEDIÇÃO",Tabela3[[#This Row],[Nº NF-e]]=""),"EM FATURAMENTO",Tabela3[[#This Row],[Descrição do status]]))</f>
        <v>PEDIDO EM LABORATORIO</v>
      </c>
    </row>
    <row r="399" spans="1:21" x14ac:dyDescent="0.25">
      <c r="A399">
        <v>4</v>
      </c>
      <c r="B399">
        <v>4382813</v>
      </c>
      <c r="C399" t="s">
        <v>17</v>
      </c>
      <c r="D399" t="s">
        <v>17</v>
      </c>
      <c r="E399">
        <v>10</v>
      </c>
      <c r="F399" t="s">
        <v>61</v>
      </c>
      <c r="G399" s="41" t="s">
        <v>477</v>
      </c>
      <c r="H399" s="42">
        <v>0.40763888888888888</v>
      </c>
      <c r="I399" s="41" t="s">
        <v>477</v>
      </c>
      <c r="J399" s="42">
        <v>0.41076388888888887</v>
      </c>
      <c r="K399" t="s">
        <v>58</v>
      </c>
      <c r="U39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0" spans="1:21" x14ac:dyDescent="0.25">
      <c r="A400">
        <v>4</v>
      </c>
      <c r="B400">
        <v>4382814</v>
      </c>
      <c r="C400" t="s">
        <v>17</v>
      </c>
      <c r="D400" t="s">
        <v>17</v>
      </c>
      <c r="E400">
        <v>10</v>
      </c>
      <c r="F400" t="s">
        <v>61</v>
      </c>
      <c r="G400" s="41" t="s">
        <v>477</v>
      </c>
      <c r="H400" s="42">
        <v>0.40763888888888888</v>
      </c>
      <c r="I400" s="41" t="s">
        <v>477</v>
      </c>
      <c r="J400" s="42">
        <v>0.4107986111111111</v>
      </c>
      <c r="K400" t="s">
        <v>58</v>
      </c>
      <c r="U40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1" spans="1:21" x14ac:dyDescent="0.25">
      <c r="A401">
        <v>4</v>
      </c>
      <c r="B401">
        <v>4382816</v>
      </c>
      <c r="C401" t="s">
        <v>17</v>
      </c>
      <c r="D401" t="s">
        <v>17</v>
      </c>
      <c r="E401">
        <v>10</v>
      </c>
      <c r="F401" t="s">
        <v>61</v>
      </c>
      <c r="G401" s="41" t="s">
        <v>477</v>
      </c>
      <c r="H401" s="42">
        <v>0.40763888888888888</v>
      </c>
      <c r="I401" s="41" t="s">
        <v>477</v>
      </c>
      <c r="J401" s="42">
        <v>0.41084490740740742</v>
      </c>
      <c r="K401" t="s">
        <v>58</v>
      </c>
      <c r="U40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2" spans="1:21" x14ac:dyDescent="0.25">
      <c r="A402">
        <v>4</v>
      </c>
      <c r="B402">
        <v>4382817</v>
      </c>
      <c r="C402" t="s">
        <v>17</v>
      </c>
      <c r="D402" t="s">
        <v>17</v>
      </c>
      <c r="E402">
        <v>10</v>
      </c>
      <c r="F402" t="s">
        <v>61</v>
      </c>
      <c r="G402" s="41" t="s">
        <v>477</v>
      </c>
      <c r="H402" s="42">
        <v>0.40763888888888888</v>
      </c>
      <c r="I402" s="41" t="s">
        <v>477</v>
      </c>
      <c r="J402" s="42">
        <v>0.41089120370370369</v>
      </c>
      <c r="K402" t="s">
        <v>58</v>
      </c>
      <c r="U40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3" spans="1:21" x14ac:dyDescent="0.25">
      <c r="A403">
        <v>4</v>
      </c>
      <c r="B403">
        <v>4382818</v>
      </c>
      <c r="C403" t="s">
        <v>17</v>
      </c>
      <c r="D403" t="s">
        <v>17</v>
      </c>
      <c r="E403">
        <v>10</v>
      </c>
      <c r="F403" t="s">
        <v>61</v>
      </c>
      <c r="G403" s="41" t="s">
        <v>477</v>
      </c>
      <c r="H403" s="42">
        <v>0.40763888888888888</v>
      </c>
      <c r="I403" s="41" t="s">
        <v>477</v>
      </c>
      <c r="J403" s="42">
        <v>0.41092592592592592</v>
      </c>
      <c r="K403" t="s">
        <v>58</v>
      </c>
      <c r="U40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4" spans="1:21" x14ac:dyDescent="0.25">
      <c r="A404">
        <v>4</v>
      </c>
      <c r="B404">
        <v>4382819</v>
      </c>
      <c r="C404" t="s">
        <v>17</v>
      </c>
      <c r="D404" t="s">
        <v>17</v>
      </c>
      <c r="E404">
        <v>10</v>
      </c>
      <c r="F404" t="s">
        <v>61</v>
      </c>
      <c r="G404" s="41" t="s">
        <v>477</v>
      </c>
      <c r="H404" s="42">
        <v>0.40763888888888888</v>
      </c>
      <c r="I404" s="41" t="s">
        <v>477</v>
      </c>
      <c r="J404" s="42">
        <v>0.43038194444444444</v>
      </c>
      <c r="K404" t="s">
        <v>58</v>
      </c>
      <c r="U40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5" spans="1:21" x14ac:dyDescent="0.25">
      <c r="A405">
        <v>4</v>
      </c>
      <c r="B405">
        <v>4382820</v>
      </c>
      <c r="C405" t="s">
        <v>17</v>
      </c>
      <c r="D405" t="s">
        <v>17</v>
      </c>
      <c r="E405">
        <v>10</v>
      </c>
      <c r="F405" t="s">
        <v>61</v>
      </c>
      <c r="G405" s="41" t="s">
        <v>477</v>
      </c>
      <c r="H405" s="42">
        <v>0.40763888888888888</v>
      </c>
      <c r="I405" s="41" t="s">
        <v>477</v>
      </c>
      <c r="J405" s="42">
        <v>0.41119212962962964</v>
      </c>
      <c r="K405" t="s">
        <v>58</v>
      </c>
      <c r="U40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6" spans="1:21" x14ac:dyDescent="0.25">
      <c r="A406">
        <v>4</v>
      </c>
      <c r="B406">
        <v>4382821</v>
      </c>
      <c r="C406" t="s">
        <v>17</v>
      </c>
      <c r="D406" t="s">
        <v>17</v>
      </c>
      <c r="E406">
        <v>10</v>
      </c>
      <c r="F406" t="s">
        <v>61</v>
      </c>
      <c r="G406" s="41" t="s">
        <v>477</v>
      </c>
      <c r="H406" s="42">
        <v>0.40763888888888888</v>
      </c>
      <c r="I406" s="41" t="s">
        <v>477</v>
      </c>
      <c r="J406" s="42">
        <v>0.41125</v>
      </c>
      <c r="K406" t="s">
        <v>58</v>
      </c>
      <c r="U40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7" spans="1:21" x14ac:dyDescent="0.25">
      <c r="A407">
        <v>5</v>
      </c>
      <c r="B407">
        <v>4382865</v>
      </c>
      <c r="C407" t="s">
        <v>20</v>
      </c>
      <c r="D407" t="s">
        <v>419</v>
      </c>
      <c r="E407">
        <v>11</v>
      </c>
      <c r="F407" t="s">
        <v>60</v>
      </c>
      <c r="G407" s="41" t="s">
        <v>477</v>
      </c>
      <c r="H407" s="42">
        <v>0.44583333333333336</v>
      </c>
      <c r="I407" s="41" t="s">
        <v>477</v>
      </c>
      <c r="J407" s="42">
        <v>0.44752314814814814</v>
      </c>
      <c r="K407" t="s">
        <v>58</v>
      </c>
      <c r="U407" s="43" t="str">
        <f>IF(Tabela3[[#This Row],[Seq.Integ.]]="","",IF(AND(Tabela3[[#This Row],[Descrição do status]]="AGUARDANDO EXPEDIÇÃO",Tabela3[[#This Row],[Nº NF-e]]=""),"EM FATURAMENTO",Tabela3[[#This Row],[Descrição do status]]))</f>
        <v>EM SEPARAÇÃO</v>
      </c>
    </row>
    <row r="408" spans="1:21" x14ac:dyDescent="0.25">
      <c r="A408">
        <v>4</v>
      </c>
      <c r="B408">
        <v>4382869</v>
      </c>
      <c r="C408" t="s">
        <v>17</v>
      </c>
      <c r="D408" t="s">
        <v>17</v>
      </c>
      <c r="E408">
        <v>10</v>
      </c>
      <c r="F408" t="s">
        <v>61</v>
      </c>
      <c r="G408" s="41" t="s">
        <v>477</v>
      </c>
      <c r="H408" s="42">
        <v>0.40775462962962961</v>
      </c>
      <c r="I408" s="41" t="s">
        <v>477</v>
      </c>
      <c r="J408" s="42">
        <v>0.41129629629629627</v>
      </c>
      <c r="K408" t="s">
        <v>58</v>
      </c>
      <c r="U40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09" spans="1:21" x14ac:dyDescent="0.25">
      <c r="A409">
        <v>1</v>
      </c>
      <c r="B409">
        <v>4382895</v>
      </c>
      <c r="C409" t="s">
        <v>18</v>
      </c>
      <c r="D409" t="s">
        <v>18</v>
      </c>
      <c r="E409">
        <v>7</v>
      </c>
      <c r="F409" t="s">
        <v>161</v>
      </c>
      <c r="G409" s="41" t="s">
        <v>414</v>
      </c>
      <c r="H409" s="42">
        <v>0.60335648148148147</v>
      </c>
      <c r="I409" s="41" t="s">
        <v>414</v>
      </c>
      <c r="J409" s="42">
        <v>0.61193287037037036</v>
      </c>
      <c r="K409" t="s">
        <v>58</v>
      </c>
      <c r="U409" s="43" t="str">
        <f>IF(Tabela3[[#This Row],[Seq.Integ.]]="","",IF(AND(Tabela3[[#This Row],[Descrição do status]]="AGUARDANDO EXPEDIÇÃO",Tabela3[[#This Row],[Nº NF-e]]=""),"EM FATURAMENTO",Tabela3[[#This Row],[Descrição do status]]))</f>
        <v>CANCELAMENTO DE PEDIDO</v>
      </c>
    </row>
    <row r="410" spans="1:21" x14ac:dyDescent="0.25">
      <c r="A410">
        <v>4</v>
      </c>
      <c r="B410">
        <v>4382961</v>
      </c>
      <c r="C410" t="s">
        <v>17</v>
      </c>
      <c r="D410" t="s">
        <v>17</v>
      </c>
      <c r="E410">
        <v>10</v>
      </c>
      <c r="F410" t="s">
        <v>61</v>
      </c>
      <c r="G410" s="41" t="s">
        <v>477</v>
      </c>
      <c r="H410" s="42">
        <v>0.41967592592592595</v>
      </c>
      <c r="I410" s="41" t="s">
        <v>477</v>
      </c>
      <c r="J410" s="42">
        <v>0.43041666666666667</v>
      </c>
      <c r="K410" t="s">
        <v>58</v>
      </c>
      <c r="U41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1" spans="1:21" x14ac:dyDescent="0.25">
      <c r="A411">
        <v>4</v>
      </c>
      <c r="B411">
        <v>4382962</v>
      </c>
      <c r="C411" t="s">
        <v>17</v>
      </c>
      <c r="D411" t="s">
        <v>17</v>
      </c>
      <c r="E411">
        <v>10</v>
      </c>
      <c r="F411" t="s">
        <v>61</v>
      </c>
      <c r="G411" s="41" t="s">
        <v>477</v>
      </c>
      <c r="H411" s="42">
        <v>0.41967592592592595</v>
      </c>
      <c r="I411" s="41" t="s">
        <v>477</v>
      </c>
      <c r="J411" s="42">
        <v>0.43046296296296294</v>
      </c>
      <c r="K411" t="s">
        <v>58</v>
      </c>
      <c r="U41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2" spans="1:21" x14ac:dyDescent="0.25">
      <c r="A412">
        <v>3</v>
      </c>
      <c r="B412">
        <v>4382963</v>
      </c>
      <c r="C412" t="s">
        <v>17</v>
      </c>
      <c r="D412" t="s">
        <v>17</v>
      </c>
      <c r="E412">
        <v>41</v>
      </c>
      <c r="F412" t="s">
        <v>64</v>
      </c>
      <c r="G412" s="41" t="s">
        <v>414</v>
      </c>
      <c r="H412" s="42">
        <v>0.56550925925925921</v>
      </c>
      <c r="I412" s="41" t="s">
        <v>414</v>
      </c>
      <c r="J412" s="42">
        <v>0.57394675925925931</v>
      </c>
      <c r="K412" t="s">
        <v>58</v>
      </c>
      <c r="U41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13" spans="1:21" x14ac:dyDescent="0.25">
      <c r="A413">
        <v>3</v>
      </c>
      <c r="B413">
        <v>4382964</v>
      </c>
      <c r="C413" t="s">
        <v>17</v>
      </c>
      <c r="D413" t="s">
        <v>17</v>
      </c>
      <c r="E413">
        <v>41</v>
      </c>
      <c r="F413" t="s">
        <v>64</v>
      </c>
      <c r="G413" s="41" t="s">
        <v>414</v>
      </c>
      <c r="H413" s="42">
        <v>0.56550925925925921</v>
      </c>
      <c r="I413" s="41" t="s">
        <v>414</v>
      </c>
      <c r="J413" s="42">
        <v>0.57398148148148154</v>
      </c>
      <c r="K413" t="s">
        <v>58</v>
      </c>
      <c r="U41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14" spans="1:21" x14ac:dyDescent="0.25">
      <c r="A414">
        <v>4</v>
      </c>
      <c r="B414">
        <v>4382965</v>
      </c>
      <c r="C414" t="s">
        <v>17</v>
      </c>
      <c r="D414" t="s">
        <v>17</v>
      </c>
      <c r="E414">
        <v>10</v>
      </c>
      <c r="F414" t="s">
        <v>61</v>
      </c>
      <c r="G414" s="41" t="s">
        <v>477</v>
      </c>
      <c r="H414" s="42">
        <v>0.40763888888888888</v>
      </c>
      <c r="I414" s="41" t="s">
        <v>477</v>
      </c>
      <c r="J414" s="42">
        <v>0.41136574074074073</v>
      </c>
      <c r="K414" t="s">
        <v>58</v>
      </c>
      <c r="U414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5" spans="1:21" x14ac:dyDescent="0.25">
      <c r="A415">
        <v>4</v>
      </c>
      <c r="B415">
        <v>4382966</v>
      </c>
      <c r="C415" t="s">
        <v>17</v>
      </c>
      <c r="D415" t="s">
        <v>17</v>
      </c>
      <c r="E415">
        <v>10</v>
      </c>
      <c r="F415" t="s">
        <v>61</v>
      </c>
      <c r="G415" s="41" t="s">
        <v>477</v>
      </c>
      <c r="H415" s="42">
        <v>0.41967592592592595</v>
      </c>
      <c r="I415" s="41" t="s">
        <v>477</v>
      </c>
      <c r="J415" s="42">
        <v>0.43050925925925926</v>
      </c>
      <c r="K415" t="s">
        <v>58</v>
      </c>
      <c r="U415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6" spans="1:21" x14ac:dyDescent="0.25">
      <c r="A416">
        <v>3</v>
      </c>
      <c r="B416">
        <v>4382967</v>
      </c>
      <c r="C416" t="s">
        <v>17</v>
      </c>
      <c r="D416" t="s">
        <v>17</v>
      </c>
      <c r="E416">
        <v>41</v>
      </c>
      <c r="F416" t="s">
        <v>64</v>
      </c>
      <c r="G416" s="41" t="s">
        <v>414</v>
      </c>
      <c r="H416" s="42">
        <v>0.56608796296296293</v>
      </c>
      <c r="I416" s="41" t="s">
        <v>414</v>
      </c>
      <c r="J416" s="42">
        <v>0.57408564814814811</v>
      </c>
      <c r="K416" t="s">
        <v>58</v>
      </c>
      <c r="U41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17" spans="1:21" x14ac:dyDescent="0.25">
      <c r="A417">
        <v>4</v>
      </c>
      <c r="B417">
        <v>4382968</v>
      </c>
      <c r="C417" t="s">
        <v>17</v>
      </c>
      <c r="D417" t="s">
        <v>17</v>
      </c>
      <c r="E417">
        <v>10</v>
      </c>
      <c r="F417" t="s">
        <v>61</v>
      </c>
      <c r="G417" s="41" t="s">
        <v>477</v>
      </c>
      <c r="H417" s="42">
        <v>0.41967592592592595</v>
      </c>
      <c r="I417" s="41" t="s">
        <v>477</v>
      </c>
      <c r="J417" s="42">
        <v>0.43054398148148149</v>
      </c>
      <c r="K417" t="s">
        <v>58</v>
      </c>
      <c r="U41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8" spans="1:21" x14ac:dyDescent="0.25">
      <c r="A418">
        <v>4</v>
      </c>
      <c r="B418">
        <v>4382969</v>
      </c>
      <c r="C418" t="s">
        <v>17</v>
      </c>
      <c r="D418" t="s">
        <v>17</v>
      </c>
      <c r="E418">
        <v>10</v>
      </c>
      <c r="F418" t="s">
        <v>61</v>
      </c>
      <c r="G418" s="41" t="s">
        <v>477</v>
      </c>
      <c r="H418" s="42">
        <v>0.41967592592592595</v>
      </c>
      <c r="I418" s="41" t="s">
        <v>477</v>
      </c>
      <c r="J418" s="42">
        <v>0.43060185185185185</v>
      </c>
      <c r="K418" t="s">
        <v>58</v>
      </c>
      <c r="U418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19" spans="1:21" x14ac:dyDescent="0.25">
      <c r="A419">
        <v>4</v>
      </c>
      <c r="B419">
        <v>4382970</v>
      </c>
      <c r="C419" t="s">
        <v>17</v>
      </c>
      <c r="D419" t="s">
        <v>17</v>
      </c>
      <c r="E419">
        <v>10</v>
      </c>
      <c r="F419" t="s">
        <v>61</v>
      </c>
      <c r="G419" s="41" t="s">
        <v>477</v>
      </c>
      <c r="H419" s="42">
        <v>0.41967592592592595</v>
      </c>
      <c r="I419" s="41" t="s">
        <v>477</v>
      </c>
      <c r="J419" s="42">
        <v>0.43063657407407407</v>
      </c>
      <c r="K419" t="s">
        <v>58</v>
      </c>
      <c r="U419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0" spans="1:21" x14ac:dyDescent="0.25">
      <c r="A420">
        <v>4</v>
      </c>
      <c r="B420">
        <v>4382971</v>
      </c>
      <c r="C420" t="s">
        <v>17</v>
      </c>
      <c r="D420" t="s">
        <v>17</v>
      </c>
      <c r="E420">
        <v>10</v>
      </c>
      <c r="F420" t="s">
        <v>61</v>
      </c>
      <c r="G420" s="41" t="s">
        <v>477</v>
      </c>
      <c r="H420" s="42">
        <v>0.40763888888888888</v>
      </c>
      <c r="I420" s="41" t="s">
        <v>477</v>
      </c>
      <c r="J420" s="42">
        <v>0.41141203703703705</v>
      </c>
      <c r="K420" t="s">
        <v>58</v>
      </c>
      <c r="U42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1" spans="1:21" x14ac:dyDescent="0.25">
      <c r="A421">
        <v>4</v>
      </c>
      <c r="B421">
        <v>4382972</v>
      </c>
      <c r="C421" t="s">
        <v>17</v>
      </c>
      <c r="D421" t="s">
        <v>17</v>
      </c>
      <c r="E421">
        <v>10</v>
      </c>
      <c r="F421" t="s">
        <v>61</v>
      </c>
      <c r="G421" s="41" t="s">
        <v>477</v>
      </c>
      <c r="H421" s="42">
        <v>0.41967592592592595</v>
      </c>
      <c r="I421" s="41" t="s">
        <v>477</v>
      </c>
      <c r="J421" s="42">
        <v>0.4306712962962963</v>
      </c>
      <c r="K421" t="s">
        <v>58</v>
      </c>
      <c r="U42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2" spans="1:21" x14ac:dyDescent="0.25">
      <c r="A422">
        <v>4</v>
      </c>
      <c r="B422">
        <v>4382973</v>
      </c>
      <c r="C422" t="s">
        <v>17</v>
      </c>
      <c r="D422" t="s">
        <v>17</v>
      </c>
      <c r="E422">
        <v>10</v>
      </c>
      <c r="F422" t="s">
        <v>61</v>
      </c>
      <c r="G422" s="41" t="s">
        <v>477</v>
      </c>
      <c r="H422" s="42">
        <v>0.41967592592592595</v>
      </c>
      <c r="I422" s="41" t="s">
        <v>477</v>
      </c>
      <c r="J422" s="42">
        <v>0.43071759259259257</v>
      </c>
      <c r="K422" t="s">
        <v>58</v>
      </c>
      <c r="U42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3" spans="1:21" x14ac:dyDescent="0.25">
      <c r="A423">
        <v>3</v>
      </c>
      <c r="B423">
        <v>4382974</v>
      </c>
      <c r="C423" t="s">
        <v>17</v>
      </c>
      <c r="D423" t="s">
        <v>17</v>
      </c>
      <c r="E423">
        <v>41</v>
      </c>
      <c r="F423" t="s">
        <v>64</v>
      </c>
      <c r="G423" s="41" t="s">
        <v>414</v>
      </c>
      <c r="H423" s="42">
        <v>0.56550925925925921</v>
      </c>
      <c r="I423" s="41" t="s">
        <v>414</v>
      </c>
      <c r="J423" s="42">
        <v>0.57548611111111114</v>
      </c>
      <c r="K423" t="s">
        <v>58</v>
      </c>
      <c r="U42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4" spans="1:21" x14ac:dyDescent="0.25">
      <c r="A424">
        <v>3</v>
      </c>
      <c r="B424">
        <v>4382975</v>
      </c>
      <c r="C424" t="s">
        <v>17</v>
      </c>
      <c r="D424" t="s">
        <v>17</v>
      </c>
      <c r="E424">
        <v>41</v>
      </c>
      <c r="F424" t="s">
        <v>64</v>
      </c>
      <c r="G424" s="41" t="s">
        <v>414</v>
      </c>
      <c r="H424" s="42">
        <v>0.56550925925925921</v>
      </c>
      <c r="I424" s="41" t="s">
        <v>414</v>
      </c>
      <c r="J424" s="42">
        <v>0.57552083333333337</v>
      </c>
      <c r="K424" t="s">
        <v>58</v>
      </c>
      <c r="U42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5" spans="1:21" x14ac:dyDescent="0.25">
      <c r="A425">
        <v>3</v>
      </c>
      <c r="B425">
        <v>4382976</v>
      </c>
      <c r="C425" t="s">
        <v>17</v>
      </c>
      <c r="D425" t="s">
        <v>17</v>
      </c>
      <c r="E425">
        <v>41</v>
      </c>
      <c r="F425" t="s">
        <v>64</v>
      </c>
      <c r="G425" s="41" t="s">
        <v>414</v>
      </c>
      <c r="H425" s="42">
        <v>0.56550925925925921</v>
      </c>
      <c r="I425" s="41" t="s">
        <v>414</v>
      </c>
      <c r="J425" s="42">
        <v>0.5755555555555556</v>
      </c>
      <c r="K425" t="s">
        <v>58</v>
      </c>
      <c r="U42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6" spans="1:21" x14ac:dyDescent="0.25">
      <c r="A426">
        <v>4</v>
      </c>
      <c r="B426">
        <v>4382977</v>
      </c>
      <c r="C426" t="s">
        <v>17</v>
      </c>
      <c r="D426" t="s">
        <v>17</v>
      </c>
      <c r="E426">
        <v>10</v>
      </c>
      <c r="F426" t="s">
        <v>61</v>
      </c>
      <c r="G426" s="41" t="s">
        <v>414</v>
      </c>
      <c r="H426" s="42">
        <v>0.56550925925925921</v>
      </c>
      <c r="I426" s="41" t="s">
        <v>414</v>
      </c>
      <c r="J426" s="42">
        <v>0.57562500000000005</v>
      </c>
      <c r="K426" t="s">
        <v>58</v>
      </c>
      <c r="U42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27" spans="1:21" x14ac:dyDescent="0.25">
      <c r="A427">
        <v>3</v>
      </c>
      <c r="B427">
        <v>4382978</v>
      </c>
      <c r="C427" t="s">
        <v>17</v>
      </c>
      <c r="D427" t="s">
        <v>17</v>
      </c>
      <c r="E427">
        <v>41</v>
      </c>
      <c r="F427" t="s">
        <v>64</v>
      </c>
      <c r="G427" s="41" t="s">
        <v>414</v>
      </c>
      <c r="H427" s="42">
        <v>0.56550925925925921</v>
      </c>
      <c r="I427" s="41" t="s">
        <v>414</v>
      </c>
      <c r="J427" s="42">
        <v>0.57565972222222217</v>
      </c>
      <c r="K427" t="s">
        <v>58</v>
      </c>
      <c r="U42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8" spans="1:21" x14ac:dyDescent="0.25">
      <c r="A428">
        <v>3</v>
      </c>
      <c r="B428">
        <v>4382979</v>
      </c>
      <c r="C428" t="s">
        <v>17</v>
      </c>
      <c r="D428" t="s">
        <v>17</v>
      </c>
      <c r="E428">
        <v>41</v>
      </c>
      <c r="F428" t="s">
        <v>64</v>
      </c>
      <c r="G428" s="41" t="s">
        <v>414</v>
      </c>
      <c r="H428" s="42">
        <v>0.56550925925925921</v>
      </c>
      <c r="I428" s="41" t="s">
        <v>414</v>
      </c>
      <c r="J428" s="42">
        <v>0.5756944444444444</v>
      </c>
      <c r="K428" t="s">
        <v>58</v>
      </c>
      <c r="U42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29" spans="1:21" x14ac:dyDescent="0.25">
      <c r="A429">
        <v>3</v>
      </c>
      <c r="B429">
        <v>4382980</v>
      </c>
      <c r="C429" t="s">
        <v>17</v>
      </c>
      <c r="D429" t="s">
        <v>17</v>
      </c>
      <c r="E429">
        <v>41</v>
      </c>
      <c r="F429" t="s">
        <v>64</v>
      </c>
      <c r="G429" s="41" t="s">
        <v>414</v>
      </c>
      <c r="H429" s="42">
        <v>0.56550925925925921</v>
      </c>
      <c r="I429" s="41" t="s">
        <v>414</v>
      </c>
      <c r="J429" s="42">
        <v>0.57574074074074078</v>
      </c>
      <c r="K429" t="s">
        <v>58</v>
      </c>
      <c r="U42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0" spans="1:21" x14ac:dyDescent="0.25">
      <c r="A430">
        <v>3</v>
      </c>
      <c r="B430">
        <v>4382981</v>
      </c>
      <c r="C430" t="s">
        <v>17</v>
      </c>
      <c r="D430" t="s">
        <v>17</v>
      </c>
      <c r="E430">
        <v>41</v>
      </c>
      <c r="F430" t="s">
        <v>64</v>
      </c>
      <c r="G430" s="41" t="s">
        <v>414</v>
      </c>
      <c r="H430" s="42">
        <v>0.56550925925925921</v>
      </c>
      <c r="I430" s="41" t="s">
        <v>414</v>
      </c>
      <c r="J430" s="42">
        <v>0.57576388888888885</v>
      </c>
      <c r="K430" t="s">
        <v>58</v>
      </c>
      <c r="U430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1" spans="1:21" x14ac:dyDescent="0.25">
      <c r="A431">
        <v>3</v>
      </c>
      <c r="B431">
        <v>4382982</v>
      </c>
      <c r="C431" t="s">
        <v>17</v>
      </c>
      <c r="D431" t="s">
        <v>17</v>
      </c>
      <c r="E431">
        <v>41</v>
      </c>
      <c r="F431" t="s">
        <v>64</v>
      </c>
      <c r="G431" s="41" t="s">
        <v>414</v>
      </c>
      <c r="H431" s="42">
        <v>0.56550925925925921</v>
      </c>
      <c r="I431" s="41" t="s">
        <v>414</v>
      </c>
      <c r="J431" s="42">
        <v>0.57579861111111108</v>
      </c>
      <c r="K431" t="s">
        <v>58</v>
      </c>
      <c r="U431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2" spans="1:21" x14ac:dyDescent="0.25">
      <c r="A432">
        <v>3</v>
      </c>
      <c r="B432">
        <v>4382983</v>
      </c>
      <c r="C432" t="s">
        <v>17</v>
      </c>
      <c r="D432" t="s">
        <v>17</v>
      </c>
      <c r="E432">
        <v>41</v>
      </c>
      <c r="F432" t="s">
        <v>64</v>
      </c>
      <c r="G432" s="41" t="s">
        <v>414</v>
      </c>
      <c r="H432" s="42">
        <v>0.56550925925925921</v>
      </c>
      <c r="I432" s="41" t="s">
        <v>414</v>
      </c>
      <c r="J432" s="42">
        <v>0.57584490740740746</v>
      </c>
      <c r="K432" t="s">
        <v>58</v>
      </c>
      <c r="U432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3" spans="1:21" x14ac:dyDescent="0.25">
      <c r="A433">
        <v>3</v>
      </c>
      <c r="B433">
        <v>4382984</v>
      </c>
      <c r="C433" t="s">
        <v>17</v>
      </c>
      <c r="D433" t="s">
        <v>17</v>
      </c>
      <c r="E433">
        <v>41</v>
      </c>
      <c r="F433" t="s">
        <v>64</v>
      </c>
      <c r="G433" s="41" t="s">
        <v>414</v>
      </c>
      <c r="H433" s="42">
        <v>0.56550925925925921</v>
      </c>
      <c r="I433" s="41" t="s">
        <v>414</v>
      </c>
      <c r="J433" s="42">
        <v>0.57587962962962957</v>
      </c>
      <c r="K433" t="s">
        <v>58</v>
      </c>
      <c r="U433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4" spans="1:21" x14ac:dyDescent="0.25">
      <c r="A434">
        <v>3</v>
      </c>
      <c r="B434">
        <v>4382985</v>
      </c>
      <c r="C434" t="s">
        <v>17</v>
      </c>
      <c r="D434" t="s">
        <v>17</v>
      </c>
      <c r="E434">
        <v>41</v>
      </c>
      <c r="F434" t="s">
        <v>64</v>
      </c>
      <c r="G434" s="41" t="s">
        <v>414</v>
      </c>
      <c r="H434" s="42">
        <v>0.56550925925925921</v>
      </c>
      <c r="I434" s="41" t="s">
        <v>414</v>
      </c>
      <c r="J434" s="42">
        <v>0.57596064814814818</v>
      </c>
      <c r="K434" t="s">
        <v>58</v>
      </c>
      <c r="U434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5" spans="1:21" x14ac:dyDescent="0.25">
      <c r="A435">
        <v>3</v>
      </c>
      <c r="B435">
        <v>4382986</v>
      </c>
      <c r="C435" t="s">
        <v>17</v>
      </c>
      <c r="D435" t="s">
        <v>17</v>
      </c>
      <c r="E435">
        <v>41</v>
      </c>
      <c r="F435" t="s">
        <v>64</v>
      </c>
      <c r="G435" s="41" t="s">
        <v>414</v>
      </c>
      <c r="H435" s="42">
        <v>0.56550925925925921</v>
      </c>
      <c r="I435" s="41" t="s">
        <v>414</v>
      </c>
      <c r="J435" s="42">
        <v>0.57600694444444445</v>
      </c>
      <c r="K435" t="s">
        <v>58</v>
      </c>
      <c r="U435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6" spans="1:21" x14ac:dyDescent="0.25">
      <c r="A436">
        <v>3</v>
      </c>
      <c r="B436">
        <v>4382987</v>
      </c>
      <c r="C436" t="s">
        <v>17</v>
      </c>
      <c r="D436" t="s">
        <v>17</v>
      </c>
      <c r="E436">
        <v>41</v>
      </c>
      <c r="F436" t="s">
        <v>64</v>
      </c>
      <c r="G436" s="41" t="s">
        <v>414</v>
      </c>
      <c r="H436" s="42">
        <v>0.56550925925925921</v>
      </c>
      <c r="I436" s="41" t="s">
        <v>414</v>
      </c>
      <c r="J436" s="42">
        <v>0.57604166666666667</v>
      </c>
      <c r="K436" t="s">
        <v>58</v>
      </c>
      <c r="U436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7" spans="1:21" x14ac:dyDescent="0.25">
      <c r="A437">
        <v>3</v>
      </c>
      <c r="B437">
        <v>4382988</v>
      </c>
      <c r="C437" t="s">
        <v>17</v>
      </c>
      <c r="D437" t="s">
        <v>17</v>
      </c>
      <c r="E437">
        <v>41</v>
      </c>
      <c r="F437" t="s">
        <v>64</v>
      </c>
      <c r="G437" s="41" t="s">
        <v>414</v>
      </c>
      <c r="H437" s="42">
        <v>0.56550925925925921</v>
      </c>
      <c r="I437" s="41" t="s">
        <v>414</v>
      </c>
      <c r="J437" s="42">
        <v>0.5760763888888889</v>
      </c>
      <c r="K437" t="s">
        <v>58</v>
      </c>
      <c r="U437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8" spans="1:21" x14ac:dyDescent="0.25">
      <c r="A438">
        <v>3</v>
      </c>
      <c r="B438">
        <v>4382989</v>
      </c>
      <c r="C438" t="s">
        <v>17</v>
      </c>
      <c r="D438" t="s">
        <v>17</v>
      </c>
      <c r="E438">
        <v>41</v>
      </c>
      <c r="F438" t="s">
        <v>64</v>
      </c>
      <c r="G438" s="41" t="s">
        <v>414</v>
      </c>
      <c r="H438" s="42">
        <v>0.56550925925925921</v>
      </c>
      <c r="I438" s="41" t="s">
        <v>414</v>
      </c>
      <c r="J438" s="42">
        <v>0.57612268518518517</v>
      </c>
      <c r="K438" t="s">
        <v>58</v>
      </c>
      <c r="U438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39" spans="1:21" x14ac:dyDescent="0.25">
      <c r="A439">
        <v>3</v>
      </c>
      <c r="B439">
        <v>4382990</v>
      </c>
      <c r="C439" t="s">
        <v>17</v>
      </c>
      <c r="D439" t="s">
        <v>17</v>
      </c>
      <c r="E439">
        <v>41</v>
      </c>
      <c r="F439" t="s">
        <v>64</v>
      </c>
      <c r="G439" s="41" t="s">
        <v>414</v>
      </c>
      <c r="H439" s="42">
        <v>0.56550925925925921</v>
      </c>
      <c r="I439" s="41" t="s">
        <v>414</v>
      </c>
      <c r="J439" s="42">
        <v>0.5761574074074074</v>
      </c>
      <c r="K439" t="s">
        <v>58</v>
      </c>
      <c r="U439" s="43" t="str">
        <f>IF(Tabela3[[#This Row],[Seq.Integ.]]="","",IF(AND(Tabela3[[#This Row],[Descrição do status]]="AGUARDANDO EXPEDIÇÃO",Tabela3[[#This Row],[Nº NF-e]]=""),"EM FATURAMENTO",Tabela3[[#This Row],[Descrição do status]]))</f>
        <v>EM RESSUPRIMENTO</v>
      </c>
    </row>
    <row r="440" spans="1:21" x14ac:dyDescent="0.25">
      <c r="A440">
        <v>3</v>
      </c>
      <c r="B440">
        <v>4383021</v>
      </c>
      <c r="C440" t="s">
        <v>20</v>
      </c>
      <c r="D440" t="s">
        <v>20</v>
      </c>
      <c r="E440">
        <v>10</v>
      </c>
      <c r="F440" t="s">
        <v>61</v>
      </c>
      <c r="G440" s="41" t="s">
        <v>414</v>
      </c>
      <c r="H440" s="42">
        <v>0.62835648148148149</v>
      </c>
      <c r="I440" s="41" t="s">
        <v>414</v>
      </c>
      <c r="J440" s="42">
        <v>0.6378125</v>
      </c>
      <c r="K440" t="s">
        <v>58</v>
      </c>
      <c r="U44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1" spans="1:21" x14ac:dyDescent="0.25">
      <c r="A441">
        <v>3</v>
      </c>
      <c r="B441">
        <v>4383022</v>
      </c>
      <c r="C441" t="s">
        <v>20</v>
      </c>
      <c r="D441" t="s">
        <v>20</v>
      </c>
      <c r="E441">
        <v>10</v>
      </c>
      <c r="F441" t="s">
        <v>61</v>
      </c>
      <c r="G441" s="41" t="s">
        <v>414</v>
      </c>
      <c r="H441" s="42">
        <v>0.62835648148148149</v>
      </c>
      <c r="I441" s="41" t="s">
        <v>414</v>
      </c>
      <c r="J441" s="42">
        <v>0.63784722222222223</v>
      </c>
      <c r="K441" t="s">
        <v>58</v>
      </c>
      <c r="U441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2" spans="1:21" x14ac:dyDescent="0.25">
      <c r="A442">
        <v>3</v>
      </c>
      <c r="B442">
        <v>4383023</v>
      </c>
      <c r="C442" t="s">
        <v>20</v>
      </c>
      <c r="D442" t="s">
        <v>20</v>
      </c>
      <c r="E442">
        <v>10</v>
      </c>
      <c r="F442" t="s">
        <v>61</v>
      </c>
      <c r="G442" s="41" t="s">
        <v>414</v>
      </c>
      <c r="H442" s="42">
        <v>0.62835648148148149</v>
      </c>
      <c r="I442" s="41" t="s">
        <v>414</v>
      </c>
      <c r="J442" s="42">
        <v>0.63790509259259254</v>
      </c>
      <c r="K442" t="s">
        <v>58</v>
      </c>
      <c r="U44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3" spans="1:21" x14ac:dyDescent="0.25">
      <c r="A443">
        <v>3</v>
      </c>
      <c r="B443">
        <v>4383024</v>
      </c>
      <c r="C443" t="s">
        <v>20</v>
      </c>
      <c r="D443" t="s">
        <v>20</v>
      </c>
      <c r="E443">
        <v>10</v>
      </c>
      <c r="F443" t="s">
        <v>61</v>
      </c>
      <c r="G443" s="41" t="s">
        <v>477</v>
      </c>
      <c r="H443" s="42">
        <v>0.40775462962962961</v>
      </c>
      <c r="I443" s="41" t="s">
        <v>477</v>
      </c>
      <c r="J443" s="42">
        <v>0.41241898148148148</v>
      </c>
      <c r="K443" t="s">
        <v>58</v>
      </c>
      <c r="U443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44" spans="1:21" x14ac:dyDescent="0.25">
      <c r="A444">
        <v>2</v>
      </c>
      <c r="B444">
        <v>4383025</v>
      </c>
      <c r="C444" t="s">
        <v>20</v>
      </c>
      <c r="D444" t="s">
        <v>20</v>
      </c>
      <c r="E444">
        <v>1</v>
      </c>
      <c r="F444" t="s">
        <v>162</v>
      </c>
      <c r="G444" s="41" t="s">
        <v>477</v>
      </c>
      <c r="H444" s="42">
        <v>0.3769675925925926</v>
      </c>
      <c r="I444" s="41" t="s">
        <v>477</v>
      </c>
      <c r="J444" s="42">
        <v>0.39483796296296297</v>
      </c>
      <c r="K444" t="s">
        <v>58</v>
      </c>
      <c r="U44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45" spans="1:21" x14ac:dyDescent="0.25">
      <c r="A445">
        <v>2</v>
      </c>
      <c r="B445">
        <v>4383026</v>
      </c>
      <c r="C445" t="s">
        <v>20</v>
      </c>
      <c r="D445" t="s">
        <v>20</v>
      </c>
      <c r="E445">
        <v>1</v>
      </c>
      <c r="F445" t="s">
        <v>162</v>
      </c>
      <c r="G445" s="41" t="s">
        <v>477</v>
      </c>
      <c r="H445" s="42">
        <v>0.3769675925925926</v>
      </c>
      <c r="I445" s="41" t="s">
        <v>477</v>
      </c>
      <c r="J445" s="42">
        <v>0.3948726851851852</v>
      </c>
      <c r="K445" t="s">
        <v>58</v>
      </c>
      <c r="U44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46" spans="1:21" x14ac:dyDescent="0.25">
      <c r="A446">
        <v>2</v>
      </c>
      <c r="B446">
        <v>4383027</v>
      </c>
      <c r="C446" t="s">
        <v>20</v>
      </c>
      <c r="D446" t="s">
        <v>20</v>
      </c>
      <c r="E446">
        <v>1</v>
      </c>
      <c r="F446" t="s">
        <v>162</v>
      </c>
      <c r="G446" s="41" t="s">
        <v>477</v>
      </c>
      <c r="H446" s="42">
        <v>0.3769675925925926</v>
      </c>
      <c r="I446" s="41" t="s">
        <v>477</v>
      </c>
      <c r="J446" s="42">
        <v>0.39490740740740743</v>
      </c>
      <c r="K446" t="s">
        <v>58</v>
      </c>
      <c r="U44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47" spans="1:21" x14ac:dyDescent="0.25">
      <c r="A447">
        <v>2</v>
      </c>
      <c r="B447">
        <v>4383028</v>
      </c>
      <c r="C447" t="s">
        <v>20</v>
      </c>
      <c r="D447" t="s">
        <v>20</v>
      </c>
      <c r="E447">
        <v>1</v>
      </c>
      <c r="F447" t="s">
        <v>162</v>
      </c>
      <c r="G447" s="41" t="s">
        <v>477</v>
      </c>
      <c r="H447" s="42">
        <v>0.3769675925925926</v>
      </c>
      <c r="I447" s="41" t="s">
        <v>477</v>
      </c>
      <c r="J447" s="42">
        <v>0.39494212962962966</v>
      </c>
      <c r="K447" t="s">
        <v>58</v>
      </c>
      <c r="U44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48" spans="1:21" x14ac:dyDescent="0.25">
      <c r="A448">
        <v>2</v>
      </c>
      <c r="B448">
        <v>4383029</v>
      </c>
      <c r="C448" t="s">
        <v>20</v>
      </c>
      <c r="D448" t="s">
        <v>20</v>
      </c>
      <c r="E448">
        <v>1</v>
      </c>
      <c r="F448" t="s">
        <v>162</v>
      </c>
      <c r="G448" s="41" t="s">
        <v>477</v>
      </c>
      <c r="H448" s="42">
        <v>0.3769675925925926</v>
      </c>
      <c r="I448" s="41" t="s">
        <v>477</v>
      </c>
      <c r="J448" s="42">
        <v>0.39502314814814815</v>
      </c>
      <c r="K448" t="s">
        <v>58</v>
      </c>
      <c r="U44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49" spans="1:21" x14ac:dyDescent="0.25">
      <c r="A449">
        <v>1</v>
      </c>
      <c r="B449">
        <v>4383030</v>
      </c>
      <c r="C449" t="s">
        <v>20</v>
      </c>
      <c r="D449" t="s">
        <v>20</v>
      </c>
      <c r="E449">
        <v>1</v>
      </c>
      <c r="F449" t="s">
        <v>162</v>
      </c>
      <c r="G449" s="41" t="s">
        <v>477</v>
      </c>
      <c r="H449" s="42">
        <v>0.3769675925925926</v>
      </c>
      <c r="I449" s="41" t="s">
        <v>477</v>
      </c>
      <c r="J449" s="42">
        <v>0.39505787037037038</v>
      </c>
      <c r="K449" t="s">
        <v>58</v>
      </c>
      <c r="U44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0" spans="1:21" x14ac:dyDescent="0.25">
      <c r="A450">
        <v>1</v>
      </c>
      <c r="B450">
        <v>4383031</v>
      </c>
      <c r="C450" t="s">
        <v>20</v>
      </c>
      <c r="D450" t="s">
        <v>20</v>
      </c>
      <c r="E450">
        <v>1</v>
      </c>
      <c r="F450" t="s">
        <v>162</v>
      </c>
      <c r="G450" s="41" t="s">
        <v>477</v>
      </c>
      <c r="H450" s="42">
        <v>0.3769675925925926</v>
      </c>
      <c r="I450" s="41" t="s">
        <v>477</v>
      </c>
      <c r="J450" s="42">
        <v>0.39510416666666665</v>
      </c>
      <c r="K450" t="s">
        <v>58</v>
      </c>
      <c r="U450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1" spans="1:21" x14ac:dyDescent="0.25">
      <c r="A451">
        <v>1</v>
      </c>
      <c r="B451">
        <v>4383032</v>
      </c>
      <c r="C451" t="s">
        <v>20</v>
      </c>
      <c r="D451" t="s">
        <v>20</v>
      </c>
      <c r="E451">
        <v>1</v>
      </c>
      <c r="F451" t="s">
        <v>162</v>
      </c>
      <c r="G451" s="41" t="s">
        <v>477</v>
      </c>
      <c r="H451" s="42">
        <v>0.3769675925925926</v>
      </c>
      <c r="I451" s="41" t="s">
        <v>477</v>
      </c>
      <c r="J451" s="42">
        <v>0.39515046296296297</v>
      </c>
      <c r="K451" t="s">
        <v>58</v>
      </c>
      <c r="U45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2" spans="1:21" x14ac:dyDescent="0.25">
      <c r="A452">
        <v>1</v>
      </c>
      <c r="B452">
        <v>4383033</v>
      </c>
      <c r="C452" t="s">
        <v>20</v>
      </c>
      <c r="D452" t="s">
        <v>20</v>
      </c>
      <c r="E452">
        <v>1</v>
      </c>
      <c r="F452" t="s">
        <v>162</v>
      </c>
      <c r="G452" s="41" t="s">
        <v>477</v>
      </c>
      <c r="H452" s="42">
        <v>0.37708333333333333</v>
      </c>
      <c r="I452" s="41" t="s">
        <v>477</v>
      </c>
      <c r="J452" s="42">
        <v>0.38668981481481479</v>
      </c>
      <c r="K452" t="s">
        <v>58</v>
      </c>
      <c r="U45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3" spans="1:21" x14ac:dyDescent="0.25">
      <c r="A453">
        <v>1</v>
      </c>
      <c r="B453">
        <v>4383034</v>
      </c>
      <c r="C453" t="s">
        <v>20</v>
      </c>
      <c r="D453" t="s">
        <v>20</v>
      </c>
      <c r="E453">
        <v>1</v>
      </c>
      <c r="F453" t="s">
        <v>162</v>
      </c>
      <c r="G453" s="41" t="s">
        <v>477</v>
      </c>
      <c r="H453" s="42">
        <v>0.37708333333333333</v>
      </c>
      <c r="I453" s="41" t="s">
        <v>477</v>
      </c>
      <c r="J453" s="42">
        <v>0.39518518518518519</v>
      </c>
      <c r="K453" t="s">
        <v>58</v>
      </c>
      <c r="U45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4" spans="1:21" x14ac:dyDescent="0.25">
      <c r="A454">
        <v>1</v>
      </c>
      <c r="B454">
        <v>4383040</v>
      </c>
      <c r="C454" t="s">
        <v>20</v>
      </c>
      <c r="D454" t="s">
        <v>20</v>
      </c>
      <c r="E454">
        <v>0</v>
      </c>
      <c r="F454" t="s">
        <v>62</v>
      </c>
      <c r="G454" s="41" t="s">
        <v>477</v>
      </c>
      <c r="H454" s="42">
        <v>0.41539351851851852</v>
      </c>
      <c r="I454" s="41" t="s">
        <v>477</v>
      </c>
      <c r="J454" s="42">
        <v>0.41540509259259262</v>
      </c>
      <c r="K454" t="s">
        <v>58</v>
      </c>
      <c r="U45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55" spans="1:21" x14ac:dyDescent="0.25">
      <c r="A455">
        <v>6</v>
      </c>
      <c r="B455">
        <v>4383049</v>
      </c>
      <c r="C455">
        <v>1196</v>
      </c>
      <c r="D455" t="s">
        <v>309</v>
      </c>
      <c r="E455">
        <v>12</v>
      </c>
      <c r="F455" t="s">
        <v>59</v>
      </c>
      <c r="G455" s="41" t="s">
        <v>477</v>
      </c>
      <c r="H455" s="42">
        <v>0.38738425925925923</v>
      </c>
      <c r="I455" s="41" t="s">
        <v>477</v>
      </c>
      <c r="J455" s="42">
        <v>0.39480324074074075</v>
      </c>
      <c r="K455" t="s">
        <v>58</v>
      </c>
      <c r="U45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56" spans="1:21" x14ac:dyDescent="0.25">
      <c r="A456">
        <v>2</v>
      </c>
      <c r="B456">
        <v>4383065</v>
      </c>
      <c r="C456" t="s">
        <v>17</v>
      </c>
      <c r="D456" t="s">
        <v>17</v>
      </c>
      <c r="E456">
        <v>1</v>
      </c>
      <c r="F456" t="s">
        <v>162</v>
      </c>
      <c r="G456" s="41" t="s">
        <v>477</v>
      </c>
      <c r="H456" s="42">
        <v>0.37708333333333333</v>
      </c>
      <c r="I456" s="41" t="s">
        <v>477</v>
      </c>
      <c r="J456" s="42">
        <v>0.38488425925925923</v>
      </c>
      <c r="K456" t="s">
        <v>58</v>
      </c>
      <c r="U45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7" spans="1:21" x14ac:dyDescent="0.25">
      <c r="A457">
        <v>2</v>
      </c>
      <c r="B457">
        <v>4383066</v>
      </c>
      <c r="C457" t="s">
        <v>17</v>
      </c>
      <c r="D457" t="s">
        <v>17</v>
      </c>
      <c r="E457">
        <v>1</v>
      </c>
      <c r="F457" t="s">
        <v>162</v>
      </c>
      <c r="G457" s="41" t="s">
        <v>477</v>
      </c>
      <c r="H457" s="42">
        <v>0.37708333333333333</v>
      </c>
      <c r="I457" s="41" t="s">
        <v>477</v>
      </c>
      <c r="J457" s="42">
        <v>0.39302083333333332</v>
      </c>
      <c r="K457" t="s">
        <v>58</v>
      </c>
      <c r="U45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8" spans="1:21" x14ac:dyDescent="0.25">
      <c r="A458">
        <v>2</v>
      </c>
      <c r="B458">
        <v>4383067</v>
      </c>
      <c r="C458" t="s">
        <v>17</v>
      </c>
      <c r="D458" t="s">
        <v>17</v>
      </c>
      <c r="E458">
        <v>1</v>
      </c>
      <c r="F458" t="s">
        <v>162</v>
      </c>
      <c r="G458" s="41" t="s">
        <v>477</v>
      </c>
      <c r="H458" s="42">
        <v>0.37708333333333333</v>
      </c>
      <c r="I458" s="41" t="s">
        <v>477</v>
      </c>
      <c r="J458" s="42">
        <v>0.39305555555555555</v>
      </c>
      <c r="K458" t="s">
        <v>58</v>
      </c>
      <c r="U45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59" spans="1:21" x14ac:dyDescent="0.25">
      <c r="A459">
        <v>2</v>
      </c>
      <c r="B459">
        <v>4383068</v>
      </c>
      <c r="C459" t="s">
        <v>17</v>
      </c>
      <c r="D459" t="s">
        <v>17</v>
      </c>
      <c r="E459">
        <v>1</v>
      </c>
      <c r="F459" t="s">
        <v>162</v>
      </c>
      <c r="G459" s="41" t="s">
        <v>477</v>
      </c>
      <c r="H459" s="42">
        <v>0.37708333333333333</v>
      </c>
      <c r="I459" s="41" t="s">
        <v>477</v>
      </c>
      <c r="J459" s="42">
        <v>0.40153935185185186</v>
      </c>
      <c r="K459" t="s">
        <v>58</v>
      </c>
      <c r="U45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0" spans="1:21" x14ac:dyDescent="0.25">
      <c r="A460">
        <v>4</v>
      </c>
      <c r="B460">
        <v>4383069</v>
      </c>
      <c r="C460" t="s">
        <v>17</v>
      </c>
      <c r="D460" t="s">
        <v>17</v>
      </c>
      <c r="E460">
        <v>10</v>
      </c>
      <c r="F460" t="s">
        <v>61</v>
      </c>
      <c r="G460" s="41" t="s">
        <v>477</v>
      </c>
      <c r="H460" s="42">
        <v>0.41932870370370373</v>
      </c>
      <c r="I460" s="41" t="s">
        <v>477</v>
      </c>
      <c r="J460" s="42">
        <v>0.43079861111111112</v>
      </c>
      <c r="K460" t="s">
        <v>58</v>
      </c>
      <c r="U46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61" spans="1:21" x14ac:dyDescent="0.25">
      <c r="A461">
        <v>2</v>
      </c>
      <c r="B461">
        <v>4383070</v>
      </c>
      <c r="C461" t="s">
        <v>17</v>
      </c>
      <c r="D461" t="s">
        <v>17</v>
      </c>
      <c r="E461">
        <v>1</v>
      </c>
      <c r="F461" t="s">
        <v>162</v>
      </c>
      <c r="G461" s="41" t="s">
        <v>477</v>
      </c>
      <c r="H461" s="42">
        <v>0.37708333333333333</v>
      </c>
      <c r="I461" s="41" t="s">
        <v>477</v>
      </c>
      <c r="J461" s="42">
        <v>0.40157407407407408</v>
      </c>
      <c r="K461" t="s">
        <v>58</v>
      </c>
      <c r="U46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2" spans="1:21" x14ac:dyDescent="0.25">
      <c r="A462">
        <v>2</v>
      </c>
      <c r="B462">
        <v>4383071</v>
      </c>
      <c r="C462" t="s">
        <v>17</v>
      </c>
      <c r="D462" t="s">
        <v>17</v>
      </c>
      <c r="E462">
        <v>1</v>
      </c>
      <c r="F462" t="s">
        <v>162</v>
      </c>
      <c r="G462" s="41" t="s">
        <v>477</v>
      </c>
      <c r="H462" s="42">
        <v>0.37708333333333333</v>
      </c>
      <c r="I462" s="41" t="s">
        <v>477</v>
      </c>
      <c r="J462" s="42">
        <v>0.40159722222222222</v>
      </c>
      <c r="K462" t="s">
        <v>58</v>
      </c>
      <c r="U46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3" spans="1:21" x14ac:dyDescent="0.25">
      <c r="A463">
        <v>2</v>
      </c>
      <c r="B463">
        <v>4383072</v>
      </c>
      <c r="C463" t="s">
        <v>17</v>
      </c>
      <c r="D463" t="s">
        <v>17</v>
      </c>
      <c r="E463">
        <v>1</v>
      </c>
      <c r="F463" t="s">
        <v>162</v>
      </c>
      <c r="G463" s="41" t="s">
        <v>477</v>
      </c>
      <c r="H463" s="42">
        <v>0.37708333333333333</v>
      </c>
      <c r="I463" s="41" t="s">
        <v>477</v>
      </c>
      <c r="J463" s="42">
        <v>0.3850925925925926</v>
      </c>
      <c r="K463" t="s">
        <v>58</v>
      </c>
      <c r="U46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4" spans="1:21" x14ac:dyDescent="0.25">
      <c r="A464">
        <v>2</v>
      </c>
      <c r="B464">
        <v>4383073</v>
      </c>
      <c r="C464" t="s">
        <v>17</v>
      </c>
      <c r="D464" t="s">
        <v>17</v>
      </c>
      <c r="E464">
        <v>1</v>
      </c>
      <c r="F464" t="s">
        <v>162</v>
      </c>
      <c r="G464" s="41" t="s">
        <v>477</v>
      </c>
      <c r="H464" s="42">
        <v>0.37708333333333333</v>
      </c>
      <c r="I464" s="41" t="s">
        <v>477</v>
      </c>
      <c r="J464" s="42">
        <v>0.39322916666666669</v>
      </c>
      <c r="K464" t="s">
        <v>58</v>
      </c>
      <c r="U46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5" spans="1:21" x14ac:dyDescent="0.25">
      <c r="A465">
        <v>2</v>
      </c>
      <c r="B465">
        <v>4383074</v>
      </c>
      <c r="C465" t="s">
        <v>17</v>
      </c>
      <c r="D465" t="s">
        <v>17</v>
      </c>
      <c r="E465">
        <v>1</v>
      </c>
      <c r="F465" t="s">
        <v>162</v>
      </c>
      <c r="G465" s="41" t="s">
        <v>477</v>
      </c>
      <c r="H465" s="42">
        <v>0.37708333333333333</v>
      </c>
      <c r="I465" s="41" t="s">
        <v>477</v>
      </c>
      <c r="J465" s="42">
        <v>0.39326388888888891</v>
      </c>
      <c r="K465" t="s">
        <v>58</v>
      </c>
      <c r="U46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6" spans="1:21" x14ac:dyDescent="0.25">
      <c r="A466">
        <v>2</v>
      </c>
      <c r="B466">
        <v>4383075</v>
      </c>
      <c r="C466" t="s">
        <v>17</v>
      </c>
      <c r="D466" t="s">
        <v>17</v>
      </c>
      <c r="E466">
        <v>1</v>
      </c>
      <c r="F466" t="s">
        <v>162</v>
      </c>
      <c r="G466" s="41" t="s">
        <v>477</v>
      </c>
      <c r="H466" s="42">
        <v>0.37708333333333333</v>
      </c>
      <c r="I466" s="41" t="s">
        <v>477</v>
      </c>
      <c r="J466" s="42">
        <v>0.39331018518518518</v>
      </c>
      <c r="K466" t="s">
        <v>58</v>
      </c>
      <c r="U46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7" spans="1:21" x14ac:dyDescent="0.25">
      <c r="A467">
        <v>2</v>
      </c>
      <c r="B467">
        <v>4383076</v>
      </c>
      <c r="C467" t="s">
        <v>17</v>
      </c>
      <c r="D467" t="s">
        <v>17</v>
      </c>
      <c r="E467">
        <v>1</v>
      </c>
      <c r="F467" t="s">
        <v>162</v>
      </c>
      <c r="G467" s="41" t="s">
        <v>477</v>
      </c>
      <c r="H467" s="42">
        <v>0.37708333333333333</v>
      </c>
      <c r="I467" s="41" t="s">
        <v>477</v>
      </c>
      <c r="J467" s="42">
        <v>0.38520833333333332</v>
      </c>
      <c r="K467" t="s">
        <v>58</v>
      </c>
      <c r="U46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8" spans="1:21" x14ac:dyDescent="0.25">
      <c r="A468">
        <v>2</v>
      </c>
      <c r="B468">
        <v>4383077</v>
      </c>
      <c r="C468" t="s">
        <v>17</v>
      </c>
      <c r="D468" t="s">
        <v>17</v>
      </c>
      <c r="E468">
        <v>1</v>
      </c>
      <c r="F468" t="s">
        <v>162</v>
      </c>
      <c r="G468" s="41" t="s">
        <v>477</v>
      </c>
      <c r="H468" s="42">
        <v>0.37708333333333333</v>
      </c>
      <c r="I468" s="41" t="s">
        <v>477</v>
      </c>
      <c r="J468" s="42">
        <v>0.3933564814814815</v>
      </c>
      <c r="K468" t="s">
        <v>58</v>
      </c>
      <c r="U46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69" spans="1:21" x14ac:dyDescent="0.25">
      <c r="A469">
        <v>1</v>
      </c>
      <c r="B469">
        <v>4383081</v>
      </c>
      <c r="C469" t="s">
        <v>17</v>
      </c>
      <c r="D469" t="s">
        <v>17</v>
      </c>
      <c r="E469">
        <v>1</v>
      </c>
      <c r="F469" t="s">
        <v>162</v>
      </c>
      <c r="G469" s="41" t="s">
        <v>477</v>
      </c>
      <c r="H469" s="42">
        <v>0.37708333333333333</v>
      </c>
      <c r="I469" s="41" t="s">
        <v>477</v>
      </c>
      <c r="J469" s="42">
        <v>0.39339120370370373</v>
      </c>
      <c r="K469" t="s">
        <v>58</v>
      </c>
      <c r="U46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0" spans="1:21" x14ac:dyDescent="0.25">
      <c r="A470">
        <v>4</v>
      </c>
      <c r="B470">
        <v>4383083</v>
      </c>
      <c r="C470" t="s">
        <v>17</v>
      </c>
      <c r="D470" t="s">
        <v>17</v>
      </c>
      <c r="E470">
        <v>10</v>
      </c>
      <c r="F470" t="s">
        <v>61</v>
      </c>
      <c r="G470" s="41" t="s">
        <v>477</v>
      </c>
      <c r="H470" s="42">
        <v>0.41932870370370373</v>
      </c>
      <c r="I470" s="41" t="s">
        <v>477</v>
      </c>
      <c r="J470" s="42">
        <v>0.42128472222222224</v>
      </c>
      <c r="K470" t="s">
        <v>58</v>
      </c>
      <c r="U47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1" spans="1:21" x14ac:dyDescent="0.25">
      <c r="A471">
        <v>7</v>
      </c>
      <c r="B471">
        <v>4383113</v>
      </c>
      <c r="C471">
        <v>1196</v>
      </c>
      <c r="D471" t="s">
        <v>309</v>
      </c>
      <c r="E471">
        <v>12</v>
      </c>
      <c r="F471" t="s">
        <v>59</v>
      </c>
      <c r="G471" s="41" t="s">
        <v>414</v>
      </c>
      <c r="H471" s="42">
        <v>0.71944444444444444</v>
      </c>
      <c r="I471" s="41" t="s">
        <v>414</v>
      </c>
      <c r="J471" s="42">
        <v>0.74266203703703704</v>
      </c>
      <c r="K471" t="s">
        <v>58</v>
      </c>
      <c r="U471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2" spans="1:21" x14ac:dyDescent="0.25">
      <c r="A472">
        <v>7</v>
      </c>
      <c r="B472">
        <v>4383120</v>
      </c>
      <c r="C472">
        <v>1196</v>
      </c>
      <c r="D472" t="s">
        <v>309</v>
      </c>
      <c r="E472">
        <v>12</v>
      </c>
      <c r="F472" t="s">
        <v>59</v>
      </c>
      <c r="G472" s="41" t="s">
        <v>414</v>
      </c>
      <c r="H472" s="42">
        <v>0.71932870370370372</v>
      </c>
      <c r="I472" s="41" t="s">
        <v>414</v>
      </c>
      <c r="J472" s="42">
        <v>0.74276620370370372</v>
      </c>
      <c r="K472" t="s">
        <v>58</v>
      </c>
      <c r="U472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3" spans="1:21" x14ac:dyDescent="0.25">
      <c r="A473">
        <v>7</v>
      </c>
      <c r="B473">
        <v>4383136</v>
      </c>
      <c r="C473">
        <v>1196</v>
      </c>
      <c r="D473" t="s">
        <v>309</v>
      </c>
      <c r="E473">
        <v>12</v>
      </c>
      <c r="F473" t="s">
        <v>59</v>
      </c>
      <c r="G473" s="41" t="s">
        <v>414</v>
      </c>
      <c r="H473" s="42">
        <v>0.71932870370370372</v>
      </c>
      <c r="I473" s="41" t="s">
        <v>414</v>
      </c>
      <c r="J473" s="42">
        <v>0.7428703703703704</v>
      </c>
      <c r="K473" t="s">
        <v>58</v>
      </c>
      <c r="U473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4" spans="1:21" x14ac:dyDescent="0.25">
      <c r="A474">
        <v>7</v>
      </c>
      <c r="B474">
        <v>4383162</v>
      </c>
      <c r="C474">
        <v>1196</v>
      </c>
      <c r="D474" t="s">
        <v>309</v>
      </c>
      <c r="E474">
        <v>12</v>
      </c>
      <c r="F474" t="s">
        <v>59</v>
      </c>
      <c r="G474" s="41" t="s">
        <v>414</v>
      </c>
      <c r="H474" s="42">
        <v>0.65069444444444446</v>
      </c>
      <c r="I474" s="41" t="s">
        <v>414</v>
      </c>
      <c r="J474" s="42">
        <v>0.66527777777777775</v>
      </c>
      <c r="K474" t="s">
        <v>58</v>
      </c>
      <c r="U474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5" spans="1:21" x14ac:dyDescent="0.25">
      <c r="A475">
        <v>7</v>
      </c>
      <c r="B475">
        <v>4383164</v>
      </c>
      <c r="C475">
        <v>1196</v>
      </c>
      <c r="D475" t="s">
        <v>309</v>
      </c>
      <c r="E475">
        <v>12</v>
      </c>
      <c r="F475" t="s">
        <v>59</v>
      </c>
      <c r="G475" s="41" t="s">
        <v>414</v>
      </c>
      <c r="H475" s="42">
        <v>0.65069444444444446</v>
      </c>
      <c r="I475" s="41" t="s">
        <v>414</v>
      </c>
      <c r="J475" s="42">
        <v>0.66543981481481485</v>
      </c>
      <c r="K475" t="s">
        <v>58</v>
      </c>
      <c r="U475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76" spans="1:21" x14ac:dyDescent="0.25">
      <c r="A476">
        <v>4</v>
      </c>
      <c r="B476">
        <v>4383217</v>
      </c>
      <c r="C476" t="s">
        <v>17</v>
      </c>
      <c r="D476" t="s">
        <v>17</v>
      </c>
      <c r="E476">
        <v>10</v>
      </c>
      <c r="F476" t="s">
        <v>61</v>
      </c>
      <c r="G476" s="41" t="s">
        <v>477</v>
      </c>
      <c r="H476" s="42">
        <v>0.41932870370370373</v>
      </c>
      <c r="I476" s="41" t="s">
        <v>477</v>
      </c>
      <c r="J476" s="42">
        <v>0.4309027777777778</v>
      </c>
      <c r="K476" t="s">
        <v>58</v>
      </c>
      <c r="U476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7" spans="1:21" x14ac:dyDescent="0.25">
      <c r="A477">
        <v>4</v>
      </c>
      <c r="B477">
        <v>4383218</v>
      </c>
      <c r="C477" t="s">
        <v>17</v>
      </c>
      <c r="D477" t="s">
        <v>17</v>
      </c>
      <c r="E477">
        <v>10</v>
      </c>
      <c r="F477" t="s">
        <v>61</v>
      </c>
      <c r="G477" s="41" t="s">
        <v>477</v>
      </c>
      <c r="H477" s="42">
        <v>0.41932870370370373</v>
      </c>
      <c r="I477" s="41" t="s">
        <v>477</v>
      </c>
      <c r="J477" s="42">
        <v>0.43101851851851852</v>
      </c>
      <c r="K477" t="s">
        <v>58</v>
      </c>
      <c r="U477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78" spans="1:21" x14ac:dyDescent="0.25">
      <c r="A478">
        <v>2</v>
      </c>
      <c r="B478">
        <v>4383219</v>
      </c>
      <c r="C478" t="s">
        <v>17</v>
      </c>
      <c r="D478" t="s">
        <v>17</v>
      </c>
      <c r="E478">
        <v>1</v>
      </c>
      <c r="F478" t="s">
        <v>162</v>
      </c>
      <c r="G478" s="41" t="s">
        <v>477</v>
      </c>
      <c r="H478" s="42">
        <v>0.37719907407407405</v>
      </c>
      <c r="I478" s="41" t="s">
        <v>477</v>
      </c>
      <c r="J478" s="42">
        <v>0.39351851851851855</v>
      </c>
      <c r="K478" t="s">
        <v>58</v>
      </c>
      <c r="U478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79" spans="1:21" x14ac:dyDescent="0.25">
      <c r="A479">
        <v>2</v>
      </c>
      <c r="B479">
        <v>4383220</v>
      </c>
      <c r="C479" t="s">
        <v>17</v>
      </c>
      <c r="D479" t="s">
        <v>17</v>
      </c>
      <c r="E479">
        <v>1</v>
      </c>
      <c r="F479" t="s">
        <v>162</v>
      </c>
      <c r="G479" s="41" t="s">
        <v>477</v>
      </c>
      <c r="H479" s="42">
        <v>0.37719907407407405</v>
      </c>
      <c r="I479" s="41" t="s">
        <v>477</v>
      </c>
      <c r="J479" s="42">
        <v>0.38542824074074072</v>
      </c>
      <c r="K479" t="s">
        <v>58</v>
      </c>
      <c r="U479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0" spans="1:21" x14ac:dyDescent="0.25">
      <c r="A480">
        <v>1</v>
      </c>
      <c r="B480">
        <v>4383240</v>
      </c>
      <c r="C480" t="s">
        <v>18</v>
      </c>
      <c r="D480" t="s">
        <v>496</v>
      </c>
      <c r="E480">
        <v>0</v>
      </c>
      <c r="F480" t="s">
        <v>62</v>
      </c>
      <c r="G480" s="41" t="s">
        <v>477</v>
      </c>
      <c r="H480" s="42">
        <v>0.40370370370370373</v>
      </c>
      <c r="I480" s="41" t="s">
        <v>477</v>
      </c>
      <c r="J480" s="42">
        <v>0.40370370370370373</v>
      </c>
      <c r="K480" t="s">
        <v>58</v>
      </c>
      <c r="U48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81" spans="1:21" x14ac:dyDescent="0.25">
      <c r="A481">
        <v>2</v>
      </c>
      <c r="B481">
        <v>4383248</v>
      </c>
      <c r="C481" t="s">
        <v>17</v>
      </c>
      <c r="D481" t="s">
        <v>17</v>
      </c>
      <c r="E481">
        <v>1</v>
      </c>
      <c r="F481" t="s">
        <v>162</v>
      </c>
      <c r="G481" s="41" t="s">
        <v>477</v>
      </c>
      <c r="H481" s="42">
        <v>0.37719907407407405</v>
      </c>
      <c r="I481" s="41" t="s">
        <v>477</v>
      </c>
      <c r="J481" s="42">
        <v>0.39355324074074072</v>
      </c>
      <c r="K481" t="s">
        <v>58</v>
      </c>
      <c r="U48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2" spans="1:21" x14ac:dyDescent="0.25">
      <c r="A482">
        <v>2</v>
      </c>
      <c r="B482">
        <v>4383282</v>
      </c>
      <c r="C482" t="s">
        <v>17</v>
      </c>
      <c r="D482" t="s">
        <v>17</v>
      </c>
      <c r="E482">
        <v>1</v>
      </c>
      <c r="F482" t="s">
        <v>162</v>
      </c>
      <c r="G482" s="41" t="s">
        <v>477</v>
      </c>
      <c r="H482" s="42">
        <v>0.37719907407407405</v>
      </c>
      <c r="I482" s="41" t="s">
        <v>477</v>
      </c>
      <c r="J482" s="42">
        <v>0.39358796296296295</v>
      </c>
      <c r="K482" t="s">
        <v>58</v>
      </c>
      <c r="U482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3" spans="1:21" x14ac:dyDescent="0.25">
      <c r="A483">
        <v>2</v>
      </c>
      <c r="B483">
        <v>4383287</v>
      </c>
      <c r="C483" t="s">
        <v>17</v>
      </c>
      <c r="D483" t="s">
        <v>17</v>
      </c>
      <c r="E483">
        <v>1</v>
      </c>
      <c r="F483" t="s">
        <v>162</v>
      </c>
      <c r="G483" s="41" t="s">
        <v>477</v>
      </c>
      <c r="H483" s="42">
        <v>0.37719907407407405</v>
      </c>
      <c r="I483" s="41" t="s">
        <v>477</v>
      </c>
      <c r="J483" s="42">
        <v>0.39362268518518517</v>
      </c>
      <c r="K483" t="s">
        <v>58</v>
      </c>
      <c r="U48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4" spans="1:21" x14ac:dyDescent="0.25">
      <c r="A484">
        <v>2</v>
      </c>
      <c r="B484">
        <v>4383305</v>
      </c>
      <c r="C484" t="s">
        <v>17</v>
      </c>
      <c r="D484" t="s">
        <v>17</v>
      </c>
      <c r="E484">
        <v>1</v>
      </c>
      <c r="F484" t="s">
        <v>162</v>
      </c>
      <c r="G484" s="41" t="s">
        <v>477</v>
      </c>
      <c r="H484" s="42">
        <v>0.37719907407407405</v>
      </c>
      <c r="I484" s="41" t="s">
        <v>477</v>
      </c>
      <c r="J484" s="42">
        <v>0.3936574074074074</v>
      </c>
      <c r="K484" t="s">
        <v>58</v>
      </c>
      <c r="U484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5" spans="1:21" x14ac:dyDescent="0.25">
      <c r="A485">
        <v>2</v>
      </c>
      <c r="B485">
        <v>4383306</v>
      </c>
      <c r="C485" t="s">
        <v>17</v>
      </c>
      <c r="D485" t="s">
        <v>17</v>
      </c>
      <c r="E485">
        <v>1</v>
      </c>
      <c r="F485" t="s">
        <v>162</v>
      </c>
      <c r="G485" s="41" t="s">
        <v>477</v>
      </c>
      <c r="H485" s="42">
        <v>0.37719907407407405</v>
      </c>
      <c r="I485" s="41" t="s">
        <v>477</v>
      </c>
      <c r="J485" s="42">
        <v>0.39369212962962963</v>
      </c>
      <c r="K485" t="s">
        <v>58</v>
      </c>
      <c r="U485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6" spans="1:21" x14ac:dyDescent="0.25">
      <c r="A486">
        <v>2</v>
      </c>
      <c r="B486">
        <v>4383307</v>
      </c>
      <c r="C486" t="s">
        <v>17</v>
      </c>
      <c r="D486" t="s">
        <v>17</v>
      </c>
      <c r="E486">
        <v>1</v>
      </c>
      <c r="F486" t="s">
        <v>162</v>
      </c>
      <c r="G486" s="41" t="s">
        <v>477</v>
      </c>
      <c r="H486" s="42">
        <v>0.37719907407407405</v>
      </c>
      <c r="I486" s="41" t="s">
        <v>477</v>
      </c>
      <c r="J486" s="42">
        <v>0.39372685185185186</v>
      </c>
      <c r="K486" t="s">
        <v>58</v>
      </c>
      <c r="U486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7" spans="1:21" x14ac:dyDescent="0.25">
      <c r="A487">
        <v>2</v>
      </c>
      <c r="B487">
        <v>4383324</v>
      </c>
      <c r="C487" t="s">
        <v>17</v>
      </c>
      <c r="D487" t="s">
        <v>17</v>
      </c>
      <c r="E487">
        <v>1</v>
      </c>
      <c r="F487" t="s">
        <v>162</v>
      </c>
      <c r="G487" s="41" t="s">
        <v>477</v>
      </c>
      <c r="H487" s="42">
        <v>0.37719907407407405</v>
      </c>
      <c r="I487" s="41" t="s">
        <v>477</v>
      </c>
      <c r="J487" s="42">
        <v>0.39376157407407408</v>
      </c>
      <c r="K487" t="s">
        <v>58</v>
      </c>
      <c r="U487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88" spans="1:21" x14ac:dyDescent="0.25">
      <c r="A488">
        <v>7</v>
      </c>
      <c r="B488">
        <v>4383567</v>
      </c>
      <c r="C488">
        <v>1196</v>
      </c>
      <c r="D488" t="s">
        <v>309</v>
      </c>
      <c r="E488">
        <v>12</v>
      </c>
      <c r="F488" t="s">
        <v>59</v>
      </c>
      <c r="G488" s="41" t="s">
        <v>414</v>
      </c>
      <c r="H488" s="42">
        <v>0.71932870370370372</v>
      </c>
      <c r="I488" s="41" t="s">
        <v>414</v>
      </c>
      <c r="J488" s="42">
        <v>0.74297453703703709</v>
      </c>
      <c r="K488" t="s">
        <v>58</v>
      </c>
      <c r="U488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89" spans="1:21" x14ac:dyDescent="0.25">
      <c r="A489">
        <v>6</v>
      </c>
      <c r="B489">
        <v>4383568</v>
      </c>
      <c r="C489">
        <v>1196</v>
      </c>
      <c r="D489" t="s">
        <v>309</v>
      </c>
      <c r="E489">
        <v>12</v>
      </c>
      <c r="F489" t="s">
        <v>59</v>
      </c>
      <c r="G489" s="41" t="s">
        <v>414</v>
      </c>
      <c r="H489" s="42">
        <v>0.71932870370370372</v>
      </c>
      <c r="I489" s="41" t="s">
        <v>414</v>
      </c>
      <c r="J489" s="42">
        <v>0.74309027777777781</v>
      </c>
      <c r="K489" t="s">
        <v>58</v>
      </c>
      <c r="U489" s="43" t="str">
        <f>IF(Tabela3[[#This Row],[Seq.Integ.]]="","",IF(AND(Tabela3[[#This Row],[Descrição do status]]="AGUARDANDO EXPEDIÇÃO",Tabela3[[#This Row],[Nº NF-e]]=""),"EM FATURAMENTO",Tabela3[[#This Row],[Descrição do status]]))</f>
        <v>EM CONFERENCIA</v>
      </c>
    </row>
    <row r="490" spans="1:21" x14ac:dyDescent="0.25">
      <c r="A490">
        <v>4</v>
      </c>
      <c r="B490">
        <v>4383570</v>
      </c>
      <c r="C490" t="s">
        <v>17</v>
      </c>
      <c r="D490" t="s">
        <v>17</v>
      </c>
      <c r="E490">
        <v>10</v>
      </c>
      <c r="F490" t="s">
        <v>61</v>
      </c>
      <c r="G490" s="41" t="s">
        <v>477</v>
      </c>
      <c r="H490" s="42">
        <v>0.41932870370370373</v>
      </c>
      <c r="I490" s="41" t="s">
        <v>477</v>
      </c>
      <c r="J490" s="42">
        <v>0.43105324074074075</v>
      </c>
      <c r="K490" t="s">
        <v>58</v>
      </c>
      <c r="U490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91" spans="1:21" x14ac:dyDescent="0.25">
      <c r="A491">
        <v>2</v>
      </c>
      <c r="B491">
        <v>4383571</v>
      </c>
      <c r="C491" t="s">
        <v>17</v>
      </c>
      <c r="D491" t="s">
        <v>17</v>
      </c>
      <c r="E491">
        <v>1</v>
      </c>
      <c r="F491" t="s">
        <v>162</v>
      </c>
      <c r="G491" s="41" t="s">
        <v>477</v>
      </c>
      <c r="H491" s="42">
        <v>0.37719907407407405</v>
      </c>
      <c r="I491" s="41" t="s">
        <v>477</v>
      </c>
      <c r="J491" s="42">
        <v>0.39383101851851854</v>
      </c>
      <c r="K491" t="s">
        <v>58</v>
      </c>
      <c r="U491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2" spans="1:21" x14ac:dyDescent="0.25">
      <c r="A492">
        <v>4</v>
      </c>
      <c r="B492">
        <v>4383572</v>
      </c>
      <c r="C492" t="s">
        <v>17</v>
      </c>
      <c r="D492" t="s">
        <v>17</v>
      </c>
      <c r="E492">
        <v>10</v>
      </c>
      <c r="F492" t="s">
        <v>61</v>
      </c>
      <c r="G492" s="41" t="s">
        <v>477</v>
      </c>
      <c r="H492" s="42">
        <v>0.41932870370370373</v>
      </c>
      <c r="I492" s="41" t="s">
        <v>477</v>
      </c>
      <c r="J492" s="42">
        <v>0.42158564814814814</v>
      </c>
      <c r="K492" t="s">
        <v>58</v>
      </c>
      <c r="U492" s="43" t="str">
        <f>IF(Tabela3[[#This Row],[Seq.Integ.]]="","",IF(AND(Tabela3[[#This Row],[Descrição do status]]="AGUARDANDO EXPEDIÇÃO",Tabela3[[#This Row],[Nº NF-e]]=""),"EM FATURAMENTO",Tabela3[[#This Row],[Descrição do status]]))</f>
        <v>AGUARDANDO SEPARAÇÃO</v>
      </c>
    </row>
    <row r="493" spans="1:21" x14ac:dyDescent="0.25">
      <c r="A493">
        <v>2</v>
      </c>
      <c r="B493">
        <v>4383573</v>
      </c>
      <c r="C493" t="s">
        <v>17</v>
      </c>
      <c r="D493" t="s">
        <v>17</v>
      </c>
      <c r="E493">
        <v>1</v>
      </c>
      <c r="F493" t="s">
        <v>162</v>
      </c>
      <c r="G493" s="41" t="s">
        <v>477</v>
      </c>
      <c r="H493" s="42">
        <v>0.37731481481481483</v>
      </c>
      <c r="I493" s="41" t="s">
        <v>477</v>
      </c>
      <c r="J493" s="42">
        <v>0.39390046296296294</v>
      </c>
      <c r="K493" t="s">
        <v>58</v>
      </c>
      <c r="U493" s="43" t="str">
        <f>IF(Tabela3[[#This Row],[Seq.Integ.]]="","",IF(AND(Tabela3[[#This Row],[Descrição do status]]="AGUARDANDO EXPEDIÇÃO",Tabela3[[#This Row],[Nº NF-e]]=""),"EM FATURAMENTO",Tabela3[[#This Row],[Descrição do status]]))</f>
        <v>IMPORTADO</v>
      </c>
    </row>
    <row r="494" spans="1:21" x14ac:dyDescent="0.25">
      <c r="A494">
        <v>1</v>
      </c>
      <c r="B494">
        <v>4383919</v>
      </c>
      <c r="C494" t="s">
        <v>21</v>
      </c>
      <c r="D494" t="s">
        <v>21</v>
      </c>
      <c r="E494">
        <v>0</v>
      </c>
      <c r="F494" t="s">
        <v>62</v>
      </c>
      <c r="G494" s="41" t="s">
        <v>414</v>
      </c>
      <c r="H494" s="42">
        <v>0.93449074074074079</v>
      </c>
      <c r="I494" s="41" t="s">
        <v>414</v>
      </c>
      <c r="J494" s="42">
        <v>0.93453703703703705</v>
      </c>
      <c r="K494" t="s">
        <v>58</v>
      </c>
      <c r="U49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95" spans="1:21" x14ac:dyDescent="0.25">
      <c r="A495">
        <v>1</v>
      </c>
      <c r="B495">
        <v>4383920</v>
      </c>
      <c r="C495" t="s">
        <v>21</v>
      </c>
      <c r="D495" t="s">
        <v>21</v>
      </c>
      <c r="E495">
        <v>0</v>
      </c>
      <c r="F495" t="s">
        <v>62</v>
      </c>
      <c r="G495" s="41" t="s">
        <v>414</v>
      </c>
      <c r="H495" s="42">
        <v>0.93449074074074079</v>
      </c>
      <c r="I495" s="41" t="s">
        <v>414</v>
      </c>
      <c r="J495" s="42">
        <v>0.93459490740740736</v>
      </c>
      <c r="K495" t="s">
        <v>58</v>
      </c>
      <c r="U49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96" spans="1:21" x14ac:dyDescent="0.25">
      <c r="A496">
        <v>1</v>
      </c>
      <c r="B496">
        <v>4383923</v>
      </c>
      <c r="C496" t="s">
        <v>21</v>
      </c>
      <c r="D496" t="s">
        <v>21</v>
      </c>
      <c r="E496">
        <v>0</v>
      </c>
      <c r="F496" t="s">
        <v>62</v>
      </c>
      <c r="G496" s="41" t="s">
        <v>414</v>
      </c>
      <c r="H496" s="42">
        <v>0.93472222222222223</v>
      </c>
      <c r="I496" s="41" t="s">
        <v>414</v>
      </c>
      <c r="J496" s="42">
        <v>0.93480324074074073</v>
      </c>
      <c r="K496" t="s">
        <v>58</v>
      </c>
      <c r="U49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97" spans="1:21" x14ac:dyDescent="0.25">
      <c r="A497">
        <v>1</v>
      </c>
      <c r="B497">
        <v>4383924</v>
      </c>
      <c r="C497" t="s">
        <v>21</v>
      </c>
      <c r="D497" t="s">
        <v>19</v>
      </c>
      <c r="E497">
        <v>0</v>
      </c>
      <c r="F497" t="s">
        <v>62</v>
      </c>
      <c r="G497" s="41" t="s">
        <v>414</v>
      </c>
      <c r="H497" s="42">
        <v>0.93483796296296295</v>
      </c>
      <c r="I497" s="41" t="s">
        <v>414</v>
      </c>
      <c r="J497" s="42">
        <v>0.93491898148148145</v>
      </c>
      <c r="K497" t="s">
        <v>58</v>
      </c>
      <c r="U49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98" spans="1:21" x14ac:dyDescent="0.25">
      <c r="A498">
        <v>1</v>
      </c>
      <c r="B498">
        <v>4383925</v>
      </c>
      <c r="C498" t="s">
        <v>21</v>
      </c>
      <c r="D498" t="s">
        <v>21</v>
      </c>
      <c r="E498">
        <v>0</v>
      </c>
      <c r="F498" t="s">
        <v>62</v>
      </c>
      <c r="G498" s="41" t="s">
        <v>414</v>
      </c>
      <c r="H498" s="42">
        <v>0.93495370370370368</v>
      </c>
      <c r="I498" s="41" t="s">
        <v>414</v>
      </c>
      <c r="J498" s="42">
        <v>0.9349884259259259</v>
      </c>
      <c r="K498" t="s">
        <v>58</v>
      </c>
      <c r="U49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499" spans="1:21" x14ac:dyDescent="0.25">
      <c r="A499">
        <v>1</v>
      </c>
      <c r="B499">
        <v>4383926</v>
      </c>
      <c r="C499" t="s">
        <v>21</v>
      </c>
      <c r="D499" t="s">
        <v>21</v>
      </c>
      <c r="E499">
        <v>0</v>
      </c>
      <c r="F499" t="s">
        <v>62</v>
      </c>
      <c r="G499" s="41" t="s">
        <v>414</v>
      </c>
      <c r="H499" s="42">
        <v>0.93495370370370368</v>
      </c>
      <c r="I499" s="41" t="s">
        <v>414</v>
      </c>
      <c r="J499" s="42">
        <v>0.93505787037037036</v>
      </c>
      <c r="K499" t="s">
        <v>58</v>
      </c>
      <c r="U49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0" spans="1:21" x14ac:dyDescent="0.25">
      <c r="A500">
        <v>1</v>
      </c>
      <c r="B500">
        <v>4383927</v>
      </c>
      <c r="C500" t="s">
        <v>21</v>
      </c>
      <c r="D500" t="s">
        <v>21</v>
      </c>
      <c r="E500">
        <v>0</v>
      </c>
      <c r="F500" t="s">
        <v>62</v>
      </c>
      <c r="G500" s="41" t="s">
        <v>414</v>
      </c>
      <c r="H500" s="42">
        <v>0.9350694444444444</v>
      </c>
      <c r="I500" s="41" t="s">
        <v>414</v>
      </c>
      <c r="J500" s="42">
        <v>0.93513888888888885</v>
      </c>
      <c r="K500" t="s">
        <v>58</v>
      </c>
      <c r="U50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1" spans="1:21" x14ac:dyDescent="0.25">
      <c r="A501">
        <v>1</v>
      </c>
      <c r="B501">
        <v>4383928</v>
      </c>
      <c r="C501" t="s">
        <v>21</v>
      </c>
      <c r="D501" t="s">
        <v>21</v>
      </c>
      <c r="E501">
        <v>0</v>
      </c>
      <c r="F501" t="s">
        <v>62</v>
      </c>
      <c r="G501" s="41" t="s">
        <v>414</v>
      </c>
      <c r="H501" s="42">
        <v>0.93518518518518523</v>
      </c>
      <c r="I501" s="41" t="s">
        <v>414</v>
      </c>
      <c r="J501" s="42">
        <v>0.93521990740740746</v>
      </c>
      <c r="K501" t="s">
        <v>58</v>
      </c>
      <c r="U50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2" spans="1:21" x14ac:dyDescent="0.25">
      <c r="A502">
        <v>1</v>
      </c>
      <c r="B502">
        <v>4383929</v>
      </c>
      <c r="C502" t="s">
        <v>21</v>
      </c>
      <c r="D502" t="s">
        <v>21</v>
      </c>
      <c r="E502">
        <v>0</v>
      </c>
      <c r="F502" t="s">
        <v>62</v>
      </c>
      <c r="G502" s="41" t="s">
        <v>414</v>
      </c>
      <c r="H502" s="42">
        <v>0.93518518518518523</v>
      </c>
      <c r="I502" s="41" t="s">
        <v>414</v>
      </c>
      <c r="J502" s="42">
        <v>0.93530092592592595</v>
      </c>
      <c r="K502" t="s">
        <v>58</v>
      </c>
      <c r="U50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3" spans="1:21" x14ac:dyDescent="0.25">
      <c r="A503">
        <v>1</v>
      </c>
      <c r="B503">
        <v>4383931</v>
      </c>
      <c r="C503" t="s">
        <v>21</v>
      </c>
      <c r="D503" t="s">
        <v>21</v>
      </c>
      <c r="E503">
        <v>0</v>
      </c>
      <c r="F503" t="s">
        <v>62</v>
      </c>
      <c r="G503" s="41" t="s">
        <v>414</v>
      </c>
      <c r="H503" s="42">
        <v>0.93530092592592595</v>
      </c>
      <c r="I503" s="41" t="s">
        <v>414</v>
      </c>
      <c r="J503" s="42">
        <v>0.93538194444444445</v>
      </c>
      <c r="K503" t="s">
        <v>58</v>
      </c>
      <c r="U50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4" spans="1:21" x14ac:dyDescent="0.25">
      <c r="A504">
        <v>1</v>
      </c>
      <c r="B504">
        <v>4383932</v>
      </c>
      <c r="C504" t="s">
        <v>21</v>
      </c>
      <c r="D504" t="s">
        <v>182</v>
      </c>
      <c r="E504">
        <v>0</v>
      </c>
      <c r="F504" t="s">
        <v>62</v>
      </c>
      <c r="G504" s="41" t="s">
        <v>414</v>
      </c>
      <c r="H504" s="42">
        <v>0.93541666666666667</v>
      </c>
      <c r="I504" s="41" t="s">
        <v>414</v>
      </c>
      <c r="J504" s="42">
        <v>0.93543981481481486</v>
      </c>
      <c r="K504" t="s">
        <v>58</v>
      </c>
      <c r="U50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5" spans="1:21" x14ac:dyDescent="0.25">
      <c r="A505">
        <v>1</v>
      </c>
      <c r="B505">
        <v>4383933</v>
      </c>
      <c r="C505" t="s">
        <v>21</v>
      </c>
      <c r="D505" t="s">
        <v>21</v>
      </c>
      <c r="E505">
        <v>0</v>
      </c>
      <c r="F505" t="s">
        <v>62</v>
      </c>
      <c r="G505" s="41" t="s">
        <v>414</v>
      </c>
      <c r="H505" s="42">
        <v>0.93541666666666667</v>
      </c>
      <c r="I505" s="41" t="s">
        <v>414</v>
      </c>
      <c r="J505" s="42">
        <v>0.93550925925925921</v>
      </c>
      <c r="K505" t="s">
        <v>58</v>
      </c>
      <c r="U50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6" spans="1:21" x14ac:dyDescent="0.25">
      <c r="A506">
        <v>1</v>
      </c>
      <c r="B506">
        <v>4383934</v>
      </c>
      <c r="C506" t="s">
        <v>21</v>
      </c>
      <c r="D506" t="s">
        <v>21</v>
      </c>
      <c r="E506">
        <v>0</v>
      </c>
      <c r="F506" t="s">
        <v>62</v>
      </c>
      <c r="G506" s="41" t="s">
        <v>414</v>
      </c>
      <c r="H506" s="42">
        <v>0.9355324074074074</v>
      </c>
      <c r="I506" s="41" t="s">
        <v>414</v>
      </c>
      <c r="J506" s="42">
        <v>0.93560185185185185</v>
      </c>
      <c r="K506" t="s">
        <v>58</v>
      </c>
      <c r="U50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7" spans="1:21" x14ac:dyDescent="0.25">
      <c r="A507">
        <v>1</v>
      </c>
      <c r="B507">
        <v>4383935</v>
      </c>
      <c r="C507" t="s">
        <v>21</v>
      </c>
      <c r="D507" t="s">
        <v>21</v>
      </c>
      <c r="E507">
        <v>0</v>
      </c>
      <c r="F507" t="s">
        <v>62</v>
      </c>
      <c r="G507" s="41" t="s">
        <v>414</v>
      </c>
      <c r="H507" s="42">
        <v>0.93564814814814812</v>
      </c>
      <c r="I507" s="41" t="s">
        <v>414</v>
      </c>
      <c r="J507" s="42">
        <v>0.9356944444444445</v>
      </c>
      <c r="K507" t="s">
        <v>58</v>
      </c>
      <c r="U50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8" spans="1:21" x14ac:dyDescent="0.25">
      <c r="A508">
        <v>1</v>
      </c>
      <c r="B508">
        <v>4383936</v>
      </c>
      <c r="C508" t="s">
        <v>21</v>
      </c>
      <c r="D508" t="s">
        <v>21</v>
      </c>
      <c r="E508">
        <v>0</v>
      </c>
      <c r="F508" t="s">
        <v>62</v>
      </c>
      <c r="G508" s="41" t="s">
        <v>414</v>
      </c>
      <c r="H508" s="42">
        <v>0.93564814814814812</v>
      </c>
      <c r="I508" s="41" t="s">
        <v>414</v>
      </c>
      <c r="J508" s="42">
        <v>0.93577546296296299</v>
      </c>
      <c r="K508" t="s">
        <v>58</v>
      </c>
      <c r="U50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09" spans="1:21" x14ac:dyDescent="0.25">
      <c r="A509">
        <v>1</v>
      </c>
      <c r="B509">
        <v>4383937</v>
      </c>
      <c r="C509" t="s">
        <v>21</v>
      </c>
      <c r="D509" t="s">
        <v>21</v>
      </c>
      <c r="E509">
        <v>0</v>
      </c>
      <c r="F509" t="s">
        <v>62</v>
      </c>
      <c r="G509" s="41" t="s">
        <v>414</v>
      </c>
      <c r="H509" s="42">
        <v>0.93576388888888884</v>
      </c>
      <c r="I509" s="41" t="s">
        <v>414</v>
      </c>
      <c r="J509" s="42">
        <v>0.93587962962962967</v>
      </c>
      <c r="K509" t="s">
        <v>58</v>
      </c>
      <c r="U50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0" spans="1:21" x14ac:dyDescent="0.25">
      <c r="A510">
        <v>1</v>
      </c>
      <c r="B510">
        <v>4383938</v>
      </c>
      <c r="C510" t="s">
        <v>21</v>
      </c>
      <c r="D510" t="s">
        <v>19</v>
      </c>
      <c r="E510">
        <v>0</v>
      </c>
      <c r="F510" t="s">
        <v>62</v>
      </c>
      <c r="G510" s="41" t="s">
        <v>414</v>
      </c>
      <c r="H510" s="42">
        <v>0.93587962962962967</v>
      </c>
      <c r="I510" s="41" t="s">
        <v>414</v>
      </c>
      <c r="J510" s="42">
        <v>0.93593749999999998</v>
      </c>
      <c r="K510" t="s">
        <v>58</v>
      </c>
      <c r="U51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1" spans="1:21" x14ac:dyDescent="0.25">
      <c r="A511">
        <v>1</v>
      </c>
      <c r="B511">
        <v>4383939</v>
      </c>
      <c r="C511" t="s">
        <v>21</v>
      </c>
      <c r="D511" t="s">
        <v>21</v>
      </c>
      <c r="E511">
        <v>0</v>
      </c>
      <c r="F511" t="s">
        <v>62</v>
      </c>
      <c r="G511" s="41" t="s">
        <v>414</v>
      </c>
      <c r="H511" s="42">
        <v>0.93599537037037039</v>
      </c>
      <c r="I511" s="41" t="s">
        <v>414</v>
      </c>
      <c r="J511" s="42">
        <v>0.93604166666666666</v>
      </c>
      <c r="K511" t="s">
        <v>58</v>
      </c>
      <c r="U51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2" spans="1:21" x14ac:dyDescent="0.25">
      <c r="A512">
        <v>1</v>
      </c>
      <c r="B512">
        <v>4383940</v>
      </c>
      <c r="C512" t="s">
        <v>21</v>
      </c>
      <c r="D512" t="s">
        <v>21</v>
      </c>
      <c r="E512">
        <v>0</v>
      </c>
      <c r="F512" t="s">
        <v>62</v>
      </c>
      <c r="G512" s="41" t="s">
        <v>414</v>
      </c>
      <c r="H512" s="42">
        <v>0.93599537037037039</v>
      </c>
      <c r="I512" s="41" t="s">
        <v>414</v>
      </c>
      <c r="J512" s="42">
        <v>0.9361342592592593</v>
      </c>
      <c r="K512" t="s">
        <v>58</v>
      </c>
      <c r="U51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3" spans="1:21" x14ac:dyDescent="0.25">
      <c r="A513">
        <v>1</v>
      </c>
      <c r="B513">
        <v>4383941</v>
      </c>
      <c r="C513" t="s">
        <v>21</v>
      </c>
      <c r="D513" t="s">
        <v>21</v>
      </c>
      <c r="E513">
        <v>0</v>
      </c>
      <c r="F513" t="s">
        <v>62</v>
      </c>
      <c r="G513" s="41" t="s">
        <v>414</v>
      </c>
      <c r="H513" s="42">
        <v>0.93611111111111112</v>
      </c>
      <c r="I513" s="41" t="s">
        <v>414</v>
      </c>
      <c r="J513" s="42">
        <v>0.9362152777777778</v>
      </c>
      <c r="K513" t="s">
        <v>58</v>
      </c>
      <c r="U51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4" spans="1:21" x14ac:dyDescent="0.25">
      <c r="A514">
        <v>1</v>
      </c>
      <c r="B514">
        <v>4383942</v>
      </c>
      <c r="C514" t="s">
        <v>21</v>
      </c>
      <c r="D514" t="s">
        <v>21</v>
      </c>
      <c r="E514">
        <v>0</v>
      </c>
      <c r="F514" t="s">
        <v>62</v>
      </c>
      <c r="G514" s="41" t="s">
        <v>414</v>
      </c>
      <c r="H514" s="42">
        <v>0.93622685185185184</v>
      </c>
      <c r="I514" s="41" t="s">
        <v>414</v>
      </c>
      <c r="J514" s="42">
        <v>0.93628472222222225</v>
      </c>
      <c r="K514" t="s">
        <v>58</v>
      </c>
      <c r="U51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5" spans="1:21" x14ac:dyDescent="0.25">
      <c r="A515">
        <v>1</v>
      </c>
      <c r="B515">
        <v>4383943</v>
      </c>
      <c r="C515" t="s">
        <v>21</v>
      </c>
      <c r="D515" t="s">
        <v>21</v>
      </c>
      <c r="E515">
        <v>0</v>
      </c>
      <c r="F515" t="s">
        <v>62</v>
      </c>
      <c r="G515" s="41" t="s">
        <v>414</v>
      </c>
      <c r="H515" s="42">
        <v>0.93622685185185184</v>
      </c>
      <c r="I515" s="41" t="s">
        <v>414</v>
      </c>
      <c r="J515" s="42">
        <v>0.93636574074074075</v>
      </c>
      <c r="K515" t="s">
        <v>58</v>
      </c>
      <c r="U51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6" spans="1:21" x14ac:dyDescent="0.25">
      <c r="A516">
        <v>1</v>
      </c>
      <c r="B516">
        <v>4383944</v>
      </c>
      <c r="C516" t="s">
        <v>21</v>
      </c>
      <c r="D516" t="s">
        <v>21</v>
      </c>
      <c r="E516">
        <v>0</v>
      </c>
      <c r="F516" t="s">
        <v>62</v>
      </c>
      <c r="G516" s="41" t="s">
        <v>414</v>
      </c>
      <c r="H516" s="42">
        <v>0.93634259259259256</v>
      </c>
      <c r="I516" s="41" t="s">
        <v>414</v>
      </c>
      <c r="J516" s="42">
        <v>0.93645833333333328</v>
      </c>
      <c r="K516" t="s">
        <v>58</v>
      </c>
      <c r="U51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7" spans="1:21" x14ac:dyDescent="0.25">
      <c r="A517">
        <v>1</v>
      </c>
      <c r="B517">
        <v>4383945</v>
      </c>
      <c r="C517" t="s">
        <v>21</v>
      </c>
      <c r="D517" t="s">
        <v>21</v>
      </c>
      <c r="E517">
        <v>0</v>
      </c>
      <c r="F517" t="s">
        <v>62</v>
      </c>
      <c r="G517" s="41" t="s">
        <v>414</v>
      </c>
      <c r="H517" s="42">
        <v>0.93645833333333328</v>
      </c>
      <c r="I517" s="41" t="s">
        <v>414</v>
      </c>
      <c r="J517" s="42">
        <v>0.93653935185185189</v>
      </c>
      <c r="K517" t="s">
        <v>58</v>
      </c>
      <c r="U51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8" spans="1:21" x14ac:dyDescent="0.25">
      <c r="A518">
        <v>1</v>
      </c>
      <c r="B518">
        <v>4383946</v>
      </c>
      <c r="C518" t="s">
        <v>21</v>
      </c>
      <c r="D518" t="s">
        <v>19</v>
      </c>
      <c r="E518">
        <v>0</v>
      </c>
      <c r="F518" t="s">
        <v>62</v>
      </c>
      <c r="G518" s="41" t="s">
        <v>414</v>
      </c>
      <c r="H518" s="42">
        <v>0.93657407407407411</v>
      </c>
      <c r="I518" s="41" t="s">
        <v>414</v>
      </c>
      <c r="J518" s="42">
        <v>0.93660879629629634</v>
      </c>
      <c r="K518" t="s">
        <v>58</v>
      </c>
      <c r="U51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19" spans="1:21" x14ac:dyDescent="0.25">
      <c r="A519">
        <v>1</v>
      </c>
      <c r="B519">
        <v>4383948</v>
      </c>
      <c r="C519" t="s">
        <v>21</v>
      </c>
      <c r="D519" t="s">
        <v>21</v>
      </c>
      <c r="E519">
        <v>0</v>
      </c>
      <c r="F519" t="s">
        <v>62</v>
      </c>
      <c r="G519" s="41" t="s">
        <v>414</v>
      </c>
      <c r="H519" s="42">
        <v>0.93657407407407411</v>
      </c>
      <c r="I519" s="41" t="s">
        <v>414</v>
      </c>
      <c r="J519" s="42">
        <v>0.93666666666666665</v>
      </c>
      <c r="K519" t="s">
        <v>58</v>
      </c>
      <c r="U51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0" spans="1:21" x14ac:dyDescent="0.25">
      <c r="A520">
        <v>1</v>
      </c>
      <c r="B520">
        <v>4383949</v>
      </c>
      <c r="C520" t="s">
        <v>21</v>
      </c>
      <c r="D520" t="s">
        <v>19</v>
      </c>
      <c r="E520">
        <v>0</v>
      </c>
      <c r="F520" t="s">
        <v>62</v>
      </c>
      <c r="G520" s="41" t="s">
        <v>414</v>
      </c>
      <c r="H520" s="42">
        <v>0.93668981481481484</v>
      </c>
      <c r="I520" s="41" t="s">
        <v>414</v>
      </c>
      <c r="J520" s="42">
        <v>0.9367361111111111</v>
      </c>
      <c r="K520" t="s">
        <v>58</v>
      </c>
      <c r="U52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1" spans="1:21" x14ac:dyDescent="0.25">
      <c r="A521">
        <v>1</v>
      </c>
      <c r="B521">
        <v>4383951</v>
      </c>
      <c r="C521" t="s">
        <v>21</v>
      </c>
      <c r="D521" t="s">
        <v>21</v>
      </c>
      <c r="E521">
        <v>0</v>
      </c>
      <c r="F521" t="s">
        <v>62</v>
      </c>
      <c r="G521" s="41" t="s">
        <v>414</v>
      </c>
      <c r="H521" s="42">
        <v>0.93668981481481484</v>
      </c>
      <c r="I521" s="41" t="s">
        <v>414</v>
      </c>
      <c r="J521" s="42">
        <v>0.9368171296296296</v>
      </c>
      <c r="K521" t="s">
        <v>58</v>
      </c>
      <c r="U52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2" spans="1:21" x14ac:dyDescent="0.25">
      <c r="A522">
        <v>1</v>
      </c>
      <c r="B522">
        <v>4383952</v>
      </c>
      <c r="C522" t="s">
        <v>21</v>
      </c>
      <c r="D522" t="s">
        <v>21</v>
      </c>
      <c r="E522">
        <v>0</v>
      </c>
      <c r="F522" t="s">
        <v>62</v>
      </c>
      <c r="G522" s="41" t="s">
        <v>414</v>
      </c>
      <c r="H522" s="42">
        <v>0.93680555555555556</v>
      </c>
      <c r="I522" s="41" t="s">
        <v>414</v>
      </c>
      <c r="J522" s="42">
        <v>0.9368981481481482</v>
      </c>
      <c r="K522" t="s">
        <v>58</v>
      </c>
      <c r="U52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3" spans="1:21" x14ac:dyDescent="0.25">
      <c r="A523">
        <v>1</v>
      </c>
      <c r="B523">
        <v>4383953</v>
      </c>
      <c r="C523" t="s">
        <v>21</v>
      </c>
      <c r="D523" t="s">
        <v>21</v>
      </c>
      <c r="E523">
        <v>0</v>
      </c>
      <c r="F523" t="s">
        <v>62</v>
      </c>
      <c r="G523" s="41" t="s">
        <v>414</v>
      </c>
      <c r="H523" s="42">
        <v>0.93692129629629628</v>
      </c>
      <c r="I523" s="41" t="s">
        <v>414</v>
      </c>
      <c r="J523" s="42">
        <v>0.93696759259259255</v>
      </c>
      <c r="K523" t="s">
        <v>58</v>
      </c>
      <c r="U52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4" spans="1:21" x14ac:dyDescent="0.25">
      <c r="A524">
        <v>1</v>
      </c>
      <c r="B524">
        <v>4383954</v>
      </c>
      <c r="C524" t="s">
        <v>21</v>
      </c>
      <c r="D524" t="s">
        <v>19</v>
      </c>
      <c r="E524">
        <v>0</v>
      </c>
      <c r="F524" t="s">
        <v>62</v>
      </c>
      <c r="G524" s="41" t="s">
        <v>414</v>
      </c>
      <c r="H524" s="42">
        <v>0.93692129629629628</v>
      </c>
      <c r="I524" s="41" t="s">
        <v>414</v>
      </c>
      <c r="J524" s="42">
        <v>0.937037037037037</v>
      </c>
      <c r="K524" t="s">
        <v>58</v>
      </c>
      <c r="U52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5" spans="1:21" x14ac:dyDescent="0.25">
      <c r="A525">
        <v>1</v>
      </c>
      <c r="B525">
        <v>4383955</v>
      </c>
      <c r="C525" t="s">
        <v>21</v>
      </c>
      <c r="D525" t="s">
        <v>21</v>
      </c>
      <c r="E525">
        <v>0</v>
      </c>
      <c r="F525" t="s">
        <v>62</v>
      </c>
      <c r="G525" s="41" t="s">
        <v>414</v>
      </c>
      <c r="H525" s="42">
        <v>0.937037037037037</v>
      </c>
      <c r="I525" s="41" t="s">
        <v>414</v>
      </c>
      <c r="J525" s="42">
        <v>0.93711805555555561</v>
      </c>
      <c r="K525" t="s">
        <v>58</v>
      </c>
      <c r="U52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6" spans="1:21" x14ac:dyDescent="0.25">
      <c r="A526">
        <v>1</v>
      </c>
      <c r="B526">
        <v>4383956</v>
      </c>
      <c r="C526" t="s">
        <v>21</v>
      </c>
      <c r="D526" t="s">
        <v>21</v>
      </c>
      <c r="E526">
        <v>0</v>
      </c>
      <c r="F526" t="s">
        <v>62</v>
      </c>
      <c r="G526" s="41" t="s">
        <v>414</v>
      </c>
      <c r="H526" s="42">
        <v>0.93715277777777772</v>
      </c>
      <c r="I526" s="41" t="s">
        <v>414</v>
      </c>
      <c r="J526" s="42">
        <v>0.93718749999999995</v>
      </c>
      <c r="K526" t="s">
        <v>58</v>
      </c>
      <c r="U52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7" spans="1:21" x14ac:dyDescent="0.25">
      <c r="A527">
        <v>1</v>
      </c>
      <c r="B527">
        <v>4383957</v>
      </c>
      <c r="C527" t="s">
        <v>21</v>
      </c>
      <c r="D527" t="s">
        <v>21</v>
      </c>
      <c r="E527">
        <v>0</v>
      </c>
      <c r="F527" t="s">
        <v>62</v>
      </c>
      <c r="G527" s="41" t="s">
        <v>414</v>
      </c>
      <c r="H527" s="42">
        <v>0.93715277777777772</v>
      </c>
      <c r="I527" s="41" t="s">
        <v>414</v>
      </c>
      <c r="J527" s="42">
        <v>0.93725694444444441</v>
      </c>
      <c r="K527" t="s">
        <v>58</v>
      </c>
      <c r="U52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8" spans="1:21" x14ac:dyDescent="0.25">
      <c r="A528">
        <v>1</v>
      </c>
      <c r="B528">
        <v>4383958</v>
      </c>
      <c r="C528" t="s">
        <v>21</v>
      </c>
      <c r="D528" t="s">
        <v>21</v>
      </c>
      <c r="E528">
        <v>0</v>
      </c>
      <c r="F528" t="s">
        <v>62</v>
      </c>
      <c r="G528" s="41" t="s">
        <v>414</v>
      </c>
      <c r="H528" s="42">
        <v>0.93726851851851856</v>
      </c>
      <c r="I528" s="41" t="s">
        <v>414</v>
      </c>
      <c r="J528" s="42">
        <v>0.93733796296296301</v>
      </c>
      <c r="K528" t="s">
        <v>58</v>
      </c>
      <c r="U52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29" spans="1:21" x14ac:dyDescent="0.25">
      <c r="A529">
        <v>1</v>
      </c>
      <c r="B529">
        <v>4383959</v>
      </c>
      <c r="C529" t="s">
        <v>21</v>
      </c>
      <c r="D529" t="s">
        <v>19</v>
      </c>
      <c r="E529">
        <v>0</v>
      </c>
      <c r="F529" t="s">
        <v>62</v>
      </c>
      <c r="G529" s="41" t="s">
        <v>414</v>
      </c>
      <c r="H529" s="42">
        <v>0.93738425925925928</v>
      </c>
      <c r="I529" s="41" t="s">
        <v>414</v>
      </c>
      <c r="J529" s="42">
        <v>0.93740740740740736</v>
      </c>
      <c r="K529" t="s">
        <v>58</v>
      </c>
      <c r="U52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0" spans="1:21" x14ac:dyDescent="0.25">
      <c r="A530">
        <v>1</v>
      </c>
      <c r="B530">
        <v>4383960</v>
      </c>
      <c r="C530" t="s">
        <v>21</v>
      </c>
      <c r="D530" t="s">
        <v>19</v>
      </c>
      <c r="E530">
        <v>0</v>
      </c>
      <c r="F530" t="s">
        <v>62</v>
      </c>
      <c r="G530" s="41" t="s">
        <v>414</v>
      </c>
      <c r="H530" s="42">
        <v>0.93738425925925928</v>
      </c>
      <c r="I530" s="41" t="s">
        <v>414</v>
      </c>
      <c r="J530" s="42">
        <v>0.93747685185185181</v>
      </c>
      <c r="K530" t="s">
        <v>58</v>
      </c>
      <c r="U53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1" spans="1:21" x14ac:dyDescent="0.25">
      <c r="A531">
        <v>1</v>
      </c>
      <c r="B531">
        <v>4383961</v>
      </c>
      <c r="C531" t="s">
        <v>21</v>
      </c>
      <c r="D531" t="s">
        <v>21</v>
      </c>
      <c r="E531">
        <v>0</v>
      </c>
      <c r="F531" t="s">
        <v>62</v>
      </c>
      <c r="G531" s="41" t="s">
        <v>414</v>
      </c>
      <c r="H531" s="42">
        <v>0.9375</v>
      </c>
      <c r="I531" s="41" t="s">
        <v>414</v>
      </c>
      <c r="J531" s="42">
        <v>0.93756944444444446</v>
      </c>
      <c r="K531" t="s">
        <v>58</v>
      </c>
      <c r="U53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2" spans="1:21" x14ac:dyDescent="0.25">
      <c r="A532">
        <v>1</v>
      </c>
      <c r="B532">
        <v>4383962</v>
      </c>
      <c r="C532" t="s">
        <v>21</v>
      </c>
      <c r="D532" t="s">
        <v>21</v>
      </c>
      <c r="E532">
        <v>0</v>
      </c>
      <c r="F532" t="s">
        <v>62</v>
      </c>
      <c r="G532" s="41" t="s">
        <v>414</v>
      </c>
      <c r="H532" s="42">
        <v>0.93761574074074072</v>
      </c>
      <c r="I532" s="41" t="s">
        <v>414</v>
      </c>
      <c r="J532" s="42">
        <v>0.93767361111111114</v>
      </c>
      <c r="K532" t="s">
        <v>58</v>
      </c>
      <c r="U53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3" spans="1:21" x14ac:dyDescent="0.25">
      <c r="A533">
        <v>1</v>
      </c>
      <c r="B533">
        <v>4383963</v>
      </c>
      <c r="C533" t="s">
        <v>21</v>
      </c>
      <c r="D533" t="s">
        <v>21</v>
      </c>
      <c r="E533">
        <v>0</v>
      </c>
      <c r="F533" t="s">
        <v>62</v>
      </c>
      <c r="G533" s="41" t="s">
        <v>414</v>
      </c>
      <c r="H533" s="42">
        <v>0.93773148148148144</v>
      </c>
      <c r="I533" s="41" t="s">
        <v>414</v>
      </c>
      <c r="J533" s="42">
        <v>0.93781250000000005</v>
      </c>
      <c r="K533" t="s">
        <v>58</v>
      </c>
      <c r="U53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4" spans="1:21" x14ac:dyDescent="0.25">
      <c r="A534">
        <v>1</v>
      </c>
      <c r="B534">
        <v>4383964</v>
      </c>
      <c r="C534" t="s">
        <v>21</v>
      </c>
      <c r="D534" t="s">
        <v>19</v>
      </c>
      <c r="E534">
        <v>0</v>
      </c>
      <c r="F534" t="s">
        <v>62</v>
      </c>
      <c r="G534" s="41" t="s">
        <v>414</v>
      </c>
      <c r="H534" s="42">
        <v>0.93784722222222228</v>
      </c>
      <c r="I534" s="41" t="s">
        <v>414</v>
      </c>
      <c r="J534" s="42">
        <v>0.93790509259259258</v>
      </c>
      <c r="K534" t="s">
        <v>58</v>
      </c>
      <c r="U53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5" spans="1:21" x14ac:dyDescent="0.25">
      <c r="A535">
        <v>1</v>
      </c>
      <c r="B535">
        <v>4383965</v>
      </c>
      <c r="C535" t="s">
        <v>21</v>
      </c>
      <c r="D535" t="s">
        <v>21</v>
      </c>
      <c r="E535">
        <v>0</v>
      </c>
      <c r="F535" t="s">
        <v>62</v>
      </c>
      <c r="G535" s="41" t="s">
        <v>414</v>
      </c>
      <c r="H535" s="42">
        <v>0.937962962962963</v>
      </c>
      <c r="I535" s="41" t="s">
        <v>414</v>
      </c>
      <c r="J535" s="42">
        <v>0.93797453703703704</v>
      </c>
      <c r="K535" t="s">
        <v>58</v>
      </c>
      <c r="U53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6" spans="1:21" x14ac:dyDescent="0.25">
      <c r="A536">
        <v>1</v>
      </c>
      <c r="B536">
        <v>4383966</v>
      </c>
      <c r="C536" t="s">
        <v>21</v>
      </c>
      <c r="D536" t="s">
        <v>19</v>
      </c>
      <c r="E536">
        <v>0</v>
      </c>
      <c r="F536" t="s">
        <v>62</v>
      </c>
      <c r="G536" s="41" t="s">
        <v>414</v>
      </c>
      <c r="H536" s="42">
        <v>0.937962962962963</v>
      </c>
      <c r="I536" s="41" t="s">
        <v>414</v>
      </c>
      <c r="J536" s="42">
        <v>0.93803240740740745</v>
      </c>
      <c r="K536" t="s">
        <v>58</v>
      </c>
      <c r="U53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7" spans="1:21" x14ac:dyDescent="0.25">
      <c r="A537">
        <v>1</v>
      </c>
      <c r="B537">
        <v>4383968</v>
      </c>
      <c r="C537" t="s">
        <v>21</v>
      </c>
      <c r="D537" t="s">
        <v>21</v>
      </c>
      <c r="E537">
        <v>0</v>
      </c>
      <c r="F537" t="s">
        <v>62</v>
      </c>
      <c r="G537" s="41" t="s">
        <v>414</v>
      </c>
      <c r="H537" s="42">
        <v>0.93807870370370372</v>
      </c>
      <c r="I537" s="41" t="s">
        <v>414</v>
      </c>
      <c r="J537" s="42">
        <v>0.93809027777777776</v>
      </c>
      <c r="K537" t="s">
        <v>58</v>
      </c>
      <c r="U53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8" spans="1:21" x14ac:dyDescent="0.25">
      <c r="A538">
        <v>1</v>
      </c>
      <c r="B538">
        <v>4383969</v>
      </c>
      <c r="C538" t="s">
        <v>21</v>
      </c>
      <c r="D538" t="s">
        <v>21</v>
      </c>
      <c r="E538">
        <v>0</v>
      </c>
      <c r="F538" t="s">
        <v>62</v>
      </c>
      <c r="G538" s="41" t="s">
        <v>414</v>
      </c>
      <c r="H538" s="42">
        <v>0.93807870370370372</v>
      </c>
      <c r="I538" s="41" t="s">
        <v>414</v>
      </c>
      <c r="J538" s="42">
        <v>0.93815972222222221</v>
      </c>
      <c r="K538" t="s">
        <v>58</v>
      </c>
      <c r="U53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39" spans="1:21" x14ac:dyDescent="0.25">
      <c r="A539">
        <v>1</v>
      </c>
      <c r="B539">
        <v>4383970</v>
      </c>
      <c r="C539" t="s">
        <v>21</v>
      </c>
      <c r="D539" t="s">
        <v>21</v>
      </c>
      <c r="E539">
        <v>0</v>
      </c>
      <c r="F539" t="s">
        <v>62</v>
      </c>
      <c r="G539" s="41" t="s">
        <v>414</v>
      </c>
      <c r="H539" s="42">
        <v>0.93819444444444444</v>
      </c>
      <c r="I539" s="41" t="s">
        <v>414</v>
      </c>
      <c r="J539" s="42">
        <v>0.93824074074074071</v>
      </c>
      <c r="K539" t="s">
        <v>58</v>
      </c>
      <c r="U53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0" spans="1:21" x14ac:dyDescent="0.25">
      <c r="A540">
        <v>1</v>
      </c>
      <c r="B540">
        <v>4383971</v>
      </c>
      <c r="C540" t="s">
        <v>21</v>
      </c>
      <c r="D540" t="s">
        <v>21</v>
      </c>
      <c r="E540">
        <v>0</v>
      </c>
      <c r="F540" t="s">
        <v>62</v>
      </c>
      <c r="G540" s="41" t="s">
        <v>414</v>
      </c>
      <c r="H540" s="42">
        <v>0.93819444444444444</v>
      </c>
      <c r="I540" s="41" t="s">
        <v>414</v>
      </c>
      <c r="J540" s="42">
        <v>0.93831018518518516</v>
      </c>
      <c r="K540" t="s">
        <v>58</v>
      </c>
      <c r="U54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1" spans="1:21" x14ac:dyDescent="0.25">
      <c r="A541">
        <v>1</v>
      </c>
      <c r="B541">
        <v>4383972</v>
      </c>
      <c r="C541" t="s">
        <v>21</v>
      </c>
      <c r="D541" t="s">
        <v>19</v>
      </c>
      <c r="E541">
        <v>0</v>
      </c>
      <c r="F541" t="s">
        <v>62</v>
      </c>
      <c r="G541" s="41" t="s">
        <v>414</v>
      </c>
      <c r="H541" s="42">
        <v>0.93831018518518516</v>
      </c>
      <c r="I541" s="41" t="s">
        <v>414</v>
      </c>
      <c r="J541" s="42">
        <v>0.93840277777777781</v>
      </c>
      <c r="K541" t="s">
        <v>58</v>
      </c>
      <c r="U54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2" spans="1:21" x14ac:dyDescent="0.25">
      <c r="A542">
        <v>1</v>
      </c>
      <c r="B542">
        <v>4383973</v>
      </c>
      <c r="C542" t="s">
        <v>21</v>
      </c>
      <c r="D542" t="s">
        <v>21</v>
      </c>
      <c r="E542">
        <v>0</v>
      </c>
      <c r="F542" t="s">
        <v>62</v>
      </c>
      <c r="G542" s="41" t="s">
        <v>414</v>
      </c>
      <c r="H542" s="42">
        <v>0.93842592592592589</v>
      </c>
      <c r="I542" s="41" t="s">
        <v>414</v>
      </c>
      <c r="J542" s="42">
        <v>0.9384837962962963</v>
      </c>
      <c r="K542" t="s">
        <v>58</v>
      </c>
      <c r="U54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3" spans="1:21" x14ac:dyDescent="0.25">
      <c r="A543">
        <v>1</v>
      </c>
      <c r="B543">
        <v>4383974</v>
      </c>
      <c r="C543" t="s">
        <v>21</v>
      </c>
      <c r="D543" t="s">
        <v>21</v>
      </c>
      <c r="E543">
        <v>0</v>
      </c>
      <c r="F543" t="s">
        <v>62</v>
      </c>
      <c r="G543" s="41" t="s">
        <v>414</v>
      </c>
      <c r="H543" s="42">
        <v>0.93854166666666672</v>
      </c>
      <c r="I543" s="41" t="s">
        <v>414</v>
      </c>
      <c r="J543" s="42">
        <v>0.93855324074074076</v>
      </c>
      <c r="K543" t="s">
        <v>58</v>
      </c>
      <c r="U54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4" spans="1:21" x14ac:dyDescent="0.25">
      <c r="A544">
        <v>1</v>
      </c>
      <c r="B544">
        <v>4383975</v>
      </c>
      <c r="C544" t="s">
        <v>21</v>
      </c>
      <c r="D544" t="s">
        <v>21</v>
      </c>
      <c r="E544">
        <v>0</v>
      </c>
      <c r="F544" t="s">
        <v>62</v>
      </c>
      <c r="G544" s="41" t="s">
        <v>414</v>
      </c>
      <c r="H544" s="42">
        <v>0.93854166666666672</v>
      </c>
      <c r="I544" s="41" t="s">
        <v>414</v>
      </c>
      <c r="J544" s="42">
        <v>0.93865740740740744</v>
      </c>
      <c r="K544" t="s">
        <v>58</v>
      </c>
      <c r="U54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5" spans="1:21" x14ac:dyDescent="0.25">
      <c r="A545">
        <v>1</v>
      </c>
      <c r="B545">
        <v>4383976</v>
      </c>
      <c r="C545" t="s">
        <v>21</v>
      </c>
      <c r="D545" t="s">
        <v>21</v>
      </c>
      <c r="E545">
        <v>0</v>
      </c>
      <c r="F545" t="s">
        <v>62</v>
      </c>
      <c r="G545" s="41" t="s">
        <v>414</v>
      </c>
      <c r="H545" s="42">
        <v>0.93865740740740744</v>
      </c>
      <c r="I545" s="41" t="s">
        <v>414</v>
      </c>
      <c r="J545" s="42">
        <v>0.93877314814814816</v>
      </c>
      <c r="K545" t="s">
        <v>58</v>
      </c>
      <c r="U54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6" spans="1:21" x14ac:dyDescent="0.25">
      <c r="A546">
        <v>1</v>
      </c>
      <c r="B546">
        <v>4383977</v>
      </c>
      <c r="C546" t="s">
        <v>21</v>
      </c>
      <c r="D546" t="s">
        <v>21</v>
      </c>
      <c r="E546">
        <v>0</v>
      </c>
      <c r="F546" t="s">
        <v>62</v>
      </c>
      <c r="G546" s="41" t="s">
        <v>414</v>
      </c>
      <c r="H546" s="42">
        <v>0.93877314814814816</v>
      </c>
      <c r="I546" s="41" t="s">
        <v>414</v>
      </c>
      <c r="J546" s="42">
        <v>0.9388657407407407</v>
      </c>
      <c r="K546" t="s">
        <v>58</v>
      </c>
      <c r="U54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7" spans="1:21" x14ac:dyDescent="0.25">
      <c r="A547">
        <v>1</v>
      </c>
      <c r="B547">
        <v>4383978</v>
      </c>
      <c r="C547" t="s">
        <v>21</v>
      </c>
      <c r="D547" t="s">
        <v>21</v>
      </c>
      <c r="E547">
        <v>0</v>
      </c>
      <c r="F547" t="s">
        <v>62</v>
      </c>
      <c r="G547" s="41" t="s">
        <v>414</v>
      </c>
      <c r="H547" s="42">
        <v>0.93888888888888888</v>
      </c>
      <c r="I547" s="41" t="s">
        <v>414</v>
      </c>
      <c r="J547" s="42">
        <v>0.93896990740740738</v>
      </c>
      <c r="K547" t="s">
        <v>58</v>
      </c>
      <c r="U54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8" spans="1:21" x14ac:dyDescent="0.25">
      <c r="A548">
        <v>1</v>
      </c>
      <c r="B548">
        <v>4383979</v>
      </c>
      <c r="C548" t="s">
        <v>21</v>
      </c>
      <c r="D548" t="s">
        <v>21</v>
      </c>
      <c r="E548">
        <v>0</v>
      </c>
      <c r="F548" t="s">
        <v>62</v>
      </c>
      <c r="G548" s="41" t="s">
        <v>414</v>
      </c>
      <c r="H548" s="42">
        <v>0.93900462962962961</v>
      </c>
      <c r="I548" s="41" t="s">
        <v>414</v>
      </c>
      <c r="J548" s="42">
        <v>0.93906250000000002</v>
      </c>
      <c r="K548" t="s">
        <v>58</v>
      </c>
      <c r="U54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49" spans="1:21" x14ac:dyDescent="0.25">
      <c r="A549">
        <v>1</v>
      </c>
      <c r="B549">
        <v>4383980</v>
      </c>
      <c r="C549" t="s">
        <v>21</v>
      </c>
      <c r="D549" t="s">
        <v>21</v>
      </c>
      <c r="E549">
        <v>0</v>
      </c>
      <c r="F549" t="s">
        <v>62</v>
      </c>
      <c r="G549" s="41" t="s">
        <v>414</v>
      </c>
      <c r="H549" s="42">
        <v>0.93912037037037033</v>
      </c>
      <c r="I549" s="41" t="s">
        <v>414</v>
      </c>
      <c r="J549" s="42">
        <v>0.93915509259259256</v>
      </c>
      <c r="K549" t="s">
        <v>58</v>
      </c>
      <c r="U54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0" spans="1:21" x14ac:dyDescent="0.25">
      <c r="A550">
        <v>1</v>
      </c>
      <c r="B550">
        <v>4383992</v>
      </c>
      <c r="C550" t="s">
        <v>21</v>
      </c>
      <c r="D550" t="s">
        <v>19</v>
      </c>
      <c r="E550">
        <v>0</v>
      </c>
      <c r="F550" t="s">
        <v>62</v>
      </c>
      <c r="G550" s="41" t="s">
        <v>414</v>
      </c>
      <c r="H550" s="42">
        <v>0.94027777777777777</v>
      </c>
      <c r="I550" s="41" t="s">
        <v>414</v>
      </c>
      <c r="J550" s="42">
        <v>0.9403125</v>
      </c>
      <c r="K550" t="s">
        <v>58</v>
      </c>
      <c r="U55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1" spans="1:21" x14ac:dyDescent="0.25">
      <c r="A551">
        <v>1</v>
      </c>
      <c r="B551">
        <v>4383993</v>
      </c>
      <c r="C551" t="s">
        <v>21</v>
      </c>
      <c r="D551" t="s">
        <v>19</v>
      </c>
      <c r="E551">
        <v>0</v>
      </c>
      <c r="F551" t="s">
        <v>62</v>
      </c>
      <c r="G551" s="41" t="s">
        <v>414</v>
      </c>
      <c r="H551" s="42">
        <v>0.94027777777777777</v>
      </c>
      <c r="I551" s="41" t="s">
        <v>414</v>
      </c>
      <c r="J551" s="42">
        <v>0.94038194444444445</v>
      </c>
      <c r="K551" t="s">
        <v>58</v>
      </c>
      <c r="U55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2" spans="1:21" x14ac:dyDescent="0.25">
      <c r="A552">
        <v>1</v>
      </c>
      <c r="B552">
        <v>4383998</v>
      </c>
      <c r="C552" t="s">
        <v>21</v>
      </c>
      <c r="D552" t="s">
        <v>21</v>
      </c>
      <c r="E552">
        <v>0</v>
      </c>
      <c r="F552" t="s">
        <v>62</v>
      </c>
      <c r="G552" s="41" t="s">
        <v>414</v>
      </c>
      <c r="H552" s="42">
        <v>0.94085648148148149</v>
      </c>
      <c r="I552" s="41" t="s">
        <v>414</v>
      </c>
      <c r="J552" s="42">
        <v>0.94087962962962968</v>
      </c>
      <c r="K552" t="s">
        <v>58</v>
      </c>
      <c r="U55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3" spans="1:21" x14ac:dyDescent="0.25">
      <c r="A553">
        <v>1</v>
      </c>
      <c r="B553">
        <v>4383999</v>
      </c>
      <c r="C553" t="s">
        <v>21</v>
      </c>
      <c r="D553" t="s">
        <v>21</v>
      </c>
      <c r="E553">
        <v>0</v>
      </c>
      <c r="F553" t="s">
        <v>62</v>
      </c>
      <c r="G553" s="41" t="s">
        <v>414</v>
      </c>
      <c r="H553" s="42">
        <v>0.94085648148148149</v>
      </c>
      <c r="I553" s="41" t="s">
        <v>414</v>
      </c>
      <c r="J553" s="42">
        <v>0.94096064814814817</v>
      </c>
      <c r="K553" t="s">
        <v>58</v>
      </c>
      <c r="U55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4" spans="1:21" x14ac:dyDescent="0.25">
      <c r="A554">
        <v>1</v>
      </c>
      <c r="B554">
        <v>4384002</v>
      </c>
      <c r="C554" t="s">
        <v>21</v>
      </c>
      <c r="D554" t="s">
        <v>182</v>
      </c>
      <c r="E554">
        <v>0</v>
      </c>
      <c r="F554" t="s">
        <v>62</v>
      </c>
      <c r="G554" s="41" t="s">
        <v>414</v>
      </c>
      <c r="H554" s="42">
        <v>0.94108796296296293</v>
      </c>
      <c r="I554" s="41" t="s">
        <v>414</v>
      </c>
      <c r="J554" s="42">
        <v>0.94116898148148154</v>
      </c>
      <c r="K554" t="s">
        <v>58</v>
      </c>
      <c r="U55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5" spans="1:21" x14ac:dyDescent="0.25">
      <c r="A555">
        <v>1</v>
      </c>
      <c r="B555">
        <v>4384005</v>
      </c>
      <c r="C555" t="s">
        <v>21</v>
      </c>
      <c r="D555" t="s">
        <v>21</v>
      </c>
      <c r="E555">
        <v>0</v>
      </c>
      <c r="F555" t="s">
        <v>62</v>
      </c>
      <c r="G555" s="41" t="s">
        <v>414</v>
      </c>
      <c r="H555" s="42">
        <v>0.94131944444444449</v>
      </c>
      <c r="I555" s="41" t="s">
        <v>414</v>
      </c>
      <c r="J555" s="42">
        <v>0.94140046296296298</v>
      </c>
      <c r="K555" t="s">
        <v>58</v>
      </c>
      <c r="U55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6" spans="1:21" x14ac:dyDescent="0.25">
      <c r="A556">
        <v>1</v>
      </c>
      <c r="B556">
        <v>4384006</v>
      </c>
      <c r="C556" t="s">
        <v>21</v>
      </c>
      <c r="D556" t="s">
        <v>19</v>
      </c>
      <c r="E556">
        <v>0</v>
      </c>
      <c r="F556" t="s">
        <v>62</v>
      </c>
      <c r="G556" s="41" t="s">
        <v>414</v>
      </c>
      <c r="H556" s="42">
        <v>0.94143518518518521</v>
      </c>
      <c r="I556" s="41" t="s">
        <v>414</v>
      </c>
      <c r="J556" s="42">
        <v>0.94148148148148147</v>
      </c>
      <c r="K556" t="s">
        <v>58</v>
      </c>
      <c r="U55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7" spans="1:21" x14ac:dyDescent="0.25">
      <c r="A557">
        <v>1</v>
      </c>
      <c r="B557">
        <v>4384011</v>
      </c>
      <c r="C557" t="s">
        <v>21</v>
      </c>
      <c r="D557" t="s">
        <v>19</v>
      </c>
      <c r="E557">
        <v>0</v>
      </c>
      <c r="F557" t="s">
        <v>62</v>
      </c>
      <c r="G557" s="41" t="s">
        <v>414</v>
      </c>
      <c r="H557" s="42">
        <v>0.94178240740740737</v>
      </c>
      <c r="I557" s="41" t="s">
        <v>414</v>
      </c>
      <c r="J557" s="42">
        <v>0.94187500000000002</v>
      </c>
      <c r="K557" t="s">
        <v>58</v>
      </c>
      <c r="U55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8" spans="1:21" x14ac:dyDescent="0.25">
      <c r="A558">
        <v>1</v>
      </c>
      <c r="B558">
        <v>4384014</v>
      </c>
      <c r="C558" t="s">
        <v>21</v>
      </c>
      <c r="D558" t="s">
        <v>21</v>
      </c>
      <c r="E558">
        <v>0</v>
      </c>
      <c r="F558" t="s">
        <v>62</v>
      </c>
      <c r="G558" s="41" t="s">
        <v>414</v>
      </c>
      <c r="H558" s="42">
        <v>0.94201388888888893</v>
      </c>
      <c r="I558" s="41" t="s">
        <v>414</v>
      </c>
      <c r="J558" s="42">
        <v>0.94209490740740742</v>
      </c>
      <c r="K558" t="s">
        <v>58</v>
      </c>
      <c r="U55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59" spans="1:21" x14ac:dyDescent="0.25">
      <c r="A559">
        <v>1</v>
      </c>
      <c r="B559">
        <v>4384027</v>
      </c>
      <c r="C559" t="s">
        <v>21</v>
      </c>
      <c r="D559" t="s">
        <v>19</v>
      </c>
      <c r="E559">
        <v>0</v>
      </c>
      <c r="F559" t="s">
        <v>62</v>
      </c>
      <c r="G559" s="41" t="s">
        <v>414</v>
      </c>
      <c r="H559" s="42">
        <v>0.94282407407407409</v>
      </c>
      <c r="I559" s="41" t="s">
        <v>414</v>
      </c>
      <c r="J559" s="42">
        <v>0.94289351851851855</v>
      </c>
      <c r="K559" t="s">
        <v>58</v>
      </c>
      <c r="U55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0" spans="1:21" x14ac:dyDescent="0.25">
      <c r="A560">
        <v>1</v>
      </c>
      <c r="B560">
        <v>4384028</v>
      </c>
      <c r="C560" t="s">
        <v>21</v>
      </c>
      <c r="D560" t="s">
        <v>19</v>
      </c>
      <c r="E560">
        <v>0</v>
      </c>
      <c r="F560" t="s">
        <v>62</v>
      </c>
      <c r="G560" s="41" t="s">
        <v>414</v>
      </c>
      <c r="H560" s="42">
        <v>0.94293981481481481</v>
      </c>
      <c r="I560" s="41" t="s">
        <v>414</v>
      </c>
      <c r="J560" s="42">
        <v>0.94297453703703704</v>
      </c>
      <c r="K560" t="s">
        <v>58</v>
      </c>
      <c r="U56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1" spans="1:21" x14ac:dyDescent="0.25">
      <c r="A561">
        <v>1</v>
      </c>
      <c r="B561">
        <v>4384029</v>
      </c>
      <c r="C561" t="s">
        <v>21</v>
      </c>
      <c r="D561" t="s">
        <v>21</v>
      </c>
      <c r="E561">
        <v>0</v>
      </c>
      <c r="F561" t="s">
        <v>62</v>
      </c>
      <c r="G561" s="41" t="s">
        <v>414</v>
      </c>
      <c r="H561" s="42">
        <v>0.94293981481481481</v>
      </c>
      <c r="I561" s="41" t="s">
        <v>414</v>
      </c>
      <c r="J561" s="42">
        <v>0.9430439814814815</v>
      </c>
      <c r="K561" t="s">
        <v>58</v>
      </c>
      <c r="U561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2" spans="1:21" x14ac:dyDescent="0.25">
      <c r="A562">
        <v>1</v>
      </c>
      <c r="B562">
        <v>4384030</v>
      </c>
      <c r="C562" t="s">
        <v>21</v>
      </c>
      <c r="D562" t="s">
        <v>21</v>
      </c>
      <c r="E562">
        <v>0</v>
      </c>
      <c r="F562" t="s">
        <v>62</v>
      </c>
      <c r="G562" s="41" t="s">
        <v>414</v>
      </c>
      <c r="H562" s="42">
        <v>0.94305555555555554</v>
      </c>
      <c r="I562" s="41" t="s">
        <v>414</v>
      </c>
      <c r="J562" s="42">
        <v>0.94313657407407403</v>
      </c>
      <c r="K562" t="s">
        <v>58</v>
      </c>
      <c r="U562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3" spans="1:21" x14ac:dyDescent="0.25">
      <c r="A563">
        <v>1</v>
      </c>
      <c r="B563">
        <v>4384124</v>
      </c>
      <c r="C563" t="s">
        <v>21</v>
      </c>
      <c r="D563" t="s">
        <v>541</v>
      </c>
      <c r="E563">
        <v>0</v>
      </c>
      <c r="F563" t="s">
        <v>62</v>
      </c>
      <c r="G563" s="41" t="s">
        <v>477</v>
      </c>
      <c r="H563" s="42">
        <v>0.44594907407407408</v>
      </c>
      <c r="I563" s="41" t="s">
        <v>477</v>
      </c>
      <c r="J563" s="42">
        <v>0.44603009259259258</v>
      </c>
      <c r="K563" t="s">
        <v>58</v>
      </c>
      <c r="U563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4" spans="1:21" x14ac:dyDescent="0.25">
      <c r="A564">
        <v>1</v>
      </c>
      <c r="B564">
        <v>4384157</v>
      </c>
      <c r="C564" t="s">
        <v>17</v>
      </c>
      <c r="D564" t="s">
        <v>397</v>
      </c>
      <c r="E564">
        <v>0</v>
      </c>
      <c r="F564" t="s">
        <v>62</v>
      </c>
      <c r="G564" s="41" t="s">
        <v>477</v>
      </c>
      <c r="H564" s="42">
        <v>0.40578703703703706</v>
      </c>
      <c r="I564" s="41" t="s">
        <v>477</v>
      </c>
      <c r="J564" s="42">
        <v>0.40590277777777778</v>
      </c>
      <c r="K564" t="s">
        <v>58</v>
      </c>
      <c r="U564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5" spans="1:21" x14ac:dyDescent="0.25">
      <c r="A565">
        <v>1</v>
      </c>
      <c r="B565">
        <v>4384161</v>
      </c>
      <c r="C565" t="s">
        <v>20</v>
      </c>
      <c r="D565" t="s">
        <v>20</v>
      </c>
      <c r="E565">
        <v>0</v>
      </c>
      <c r="F565" t="s">
        <v>62</v>
      </c>
      <c r="G565" s="41" t="s">
        <v>477</v>
      </c>
      <c r="H565" s="42">
        <v>0.41539351851851852</v>
      </c>
      <c r="I565" s="41" t="s">
        <v>477</v>
      </c>
      <c r="J565" s="42">
        <v>0.41546296296296298</v>
      </c>
      <c r="K565" t="s">
        <v>58</v>
      </c>
      <c r="U565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6" spans="1:21" x14ac:dyDescent="0.25">
      <c r="A566">
        <v>1</v>
      </c>
      <c r="B566">
        <v>4384162</v>
      </c>
      <c r="C566" t="s">
        <v>20</v>
      </c>
      <c r="D566" t="s">
        <v>20</v>
      </c>
      <c r="E566">
        <v>0</v>
      </c>
      <c r="F566" t="s">
        <v>62</v>
      </c>
      <c r="G566" s="41" t="s">
        <v>477</v>
      </c>
      <c r="H566" s="42">
        <v>0.41550925925925924</v>
      </c>
      <c r="I566" s="41" t="s">
        <v>477</v>
      </c>
      <c r="J566" s="42">
        <v>0.41554398148148147</v>
      </c>
      <c r="K566" t="s">
        <v>58</v>
      </c>
      <c r="U566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7" spans="1:21" x14ac:dyDescent="0.25">
      <c r="A567">
        <v>1</v>
      </c>
      <c r="B567">
        <v>4384163</v>
      </c>
      <c r="C567" t="s">
        <v>20</v>
      </c>
      <c r="D567" t="s">
        <v>20</v>
      </c>
      <c r="E567">
        <v>0</v>
      </c>
      <c r="F567" t="s">
        <v>62</v>
      </c>
      <c r="G567" s="41" t="s">
        <v>477</v>
      </c>
      <c r="H567" s="42">
        <v>0.41550925925925924</v>
      </c>
      <c r="I567" s="41" t="s">
        <v>477</v>
      </c>
      <c r="J567" s="42">
        <v>0.41560185185185183</v>
      </c>
      <c r="K567" t="s">
        <v>58</v>
      </c>
      <c r="U567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8" spans="1:21" x14ac:dyDescent="0.25">
      <c r="A568">
        <v>1</v>
      </c>
      <c r="B568">
        <v>4384164</v>
      </c>
      <c r="C568" t="s">
        <v>20</v>
      </c>
      <c r="D568" t="s">
        <v>20</v>
      </c>
      <c r="E568">
        <v>0</v>
      </c>
      <c r="F568" t="s">
        <v>62</v>
      </c>
      <c r="G568" s="41" t="s">
        <v>477</v>
      </c>
      <c r="H568" s="42">
        <v>0.41562500000000002</v>
      </c>
      <c r="I568" s="41" t="s">
        <v>477</v>
      </c>
      <c r="J568" s="42">
        <v>0.41565972222222225</v>
      </c>
      <c r="K568" t="s">
        <v>58</v>
      </c>
      <c r="U568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69" spans="1:21" x14ac:dyDescent="0.25">
      <c r="A569">
        <v>1</v>
      </c>
      <c r="B569">
        <v>4384165</v>
      </c>
      <c r="C569" t="s">
        <v>20</v>
      </c>
      <c r="D569" t="s">
        <v>20</v>
      </c>
      <c r="E569">
        <v>0</v>
      </c>
      <c r="F569" t="s">
        <v>62</v>
      </c>
      <c r="G569" s="41" t="s">
        <v>477</v>
      </c>
      <c r="H569" s="42">
        <v>0.41562500000000002</v>
      </c>
      <c r="I569" s="41" t="s">
        <v>477</v>
      </c>
      <c r="J569" s="42">
        <v>0.41570601851851852</v>
      </c>
      <c r="K569" t="s">
        <v>58</v>
      </c>
      <c r="U569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  <row r="570" spans="1:21" x14ac:dyDescent="0.25">
      <c r="A570">
        <v>1</v>
      </c>
      <c r="B570">
        <v>4384166</v>
      </c>
      <c r="C570" t="s">
        <v>20</v>
      </c>
      <c r="D570" t="s">
        <v>20</v>
      </c>
      <c r="E570">
        <v>0</v>
      </c>
      <c r="F570" t="s">
        <v>62</v>
      </c>
      <c r="G570" s="41" t="s">
        <v>477</v>
      </c>
      <c r="H570" s="42">
        <v>0.41574074074074074</v>
      </c>
      <c r="I570" s="41" t="s">
        <v>477</v>
      </c>
      <c r="J570" s="42">
        <v>0.41576388888888888</v>
      </c>
      <c r="K570" t="s">
        <v>58</v>
      </c>
      <c r="U570" s="43" t="str">
        <f>IF(Tabela3[[#This Row],[Seq.Integ.]]="","",IF(AND(Tabela3[[#This Row],[Descrição do status]]="AGUARDANDO EXPEDIÇÃO",Tabela3[[#This Row],[Nº NF-e]]=""),"EM FATURAMENTO",Tabela3[[#This Row],[Descrição do status]]))</f>
        <v>IMPORTADO COM SUCESSO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r"/>
  <dimension ref="A1:T419"/>
  <sheetViews>
    <sheetView showGridLines="0" workbookViewId="0"/>
  </sheetViews>
  <sheetFormatPr defaultRowHeight="15" x14ac:dyDescent="0.25"/>
  <cols>
    <col min="1" max="1" width="12.140625" customWidth="1"/>
    <col min="2" max="2" width="10.140625" customWidth="1"/>
    <col min="3" max="3" width="9.140625" customWidth="1"/>
    <col min="4" max="4" width="11.140625" customWidth="1"/>
    <col min="5" max="5" width="9.28515625" customWidth="1"/>
    <col min="6" max="6" width="25.5703125" bestFit="1" customWidth="1"/>
    <col min="7" max="7" width="10.7109375" bestFit="1" customWidth="1"/>
    <col min="8" max="8" width="8.140625" bestFit="1" customWidth="1"/>
    <col min="9" max="10" width="11.85546875" customWidth="1"/>
    <col min="11" max="11" width="10" customWidth="1"/>
    <col min="12" max="12" width="10.28515625" customWidth="1"/>
    <col min="13" max="13" width="8.5703125" customWidth="1"/>
    <col min="14" max="14" width="9.7109375" customWidth="1"/>
    <col min="15" max="15" width="11" customWidth="1"/>
    <col min="16" max="16" width="14" customWidth="1"/>
    <col min="17" max="17" width="11" customWidth="1"/>
    <col min="18" max="20" width="11.85546875" customWidth="1"/>
  </cols>
  <sheetData>
    <row r="1" spans="1:20" x14ac:dyDescent="0.25">
      <c r="A1" t="s">
        <v>39</v>
      </c>
      <c r="B1" t="s">
        <v>0</v>
      </c>
      <c r="C1" t="s">
        <v>27</v>
      </c>
      <c r="D1" t="s">
        <v>40</v>
      </c>
      <c r="E1" t="s">
        <v>41</v>
      </c>
      <c r="F1" t="s">
        <v>42</v>
      </c>
      <c r="G1" t="s">
        <v>43</v>
      </c>
      <c r="H1" t="s">
        <v>23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</row>
    <row r="2" spans="1:20" x14ac:dyDescent="0.25">
      <c r="A2">
        <v>1</v>
      </c>
      <c r="B2">
        <v>4378638</v>
      </c>
      <c r="C2" t="s">
        <v>21</v>
      </c>
      <c r="D2" t="s">
        <v>21</v>
      </c>
      <c r="E2">
        <v>0</v>
      </c>
      <c r="F2" t="s">
        <v>62</v>
      </c>
      <c r="G2" s="41" t="s">
        <v>414</v>
      </c>
      <c r="H2" s="42">
        <v>0.53622685185185182</v>
      </c>
      <c r="I2" s="41" t="s">
        <v>414</v>
      </c>
      <c r="J2" s="42">
        <v>0.5363310185185185</v>
      </c>
      <c r="K2" t="s">
        <v>58</v>
      </c>
    </row>
    <row r="3" spans="1:20" x14ac:dyDescent="0.25">
      <c r="A3">
        <v>1</v>
      </c>
      <c r="B3">
        <v>4379075</v>
      </c>
      <c r="C3" t="s">
        <v>20</v>
      </c>
      <c r="D3" t="s">
        <v>20</v>
      </c>
      <c r="E3">
        <v>0</v>
      </c>
      <c r="F3" t="s">
        <v>62</v>
      </c>
      <c r="G3" s="41" t="s">
        <v>381</v>
      </c>
      <c r="H3" s="42">
        <v>0.46099537037037036</v>
      </c>
      <c r="I3" s="41" t="s">
        <v>381</v>
      </c>
      <c r="J3" s="42">
        <v>0.46111111111111114</v>
      </c>
      <c r="K3" t="s">
        <v>58</v>
      </c>
      <c r="L3" s="43"/>
    </row>
    <row r="4" spans="1:20" x14ac:dyDescent="0.25">
      <c r="A4">
        <v>1</v>
      </c>
      <c r="B4">
        <v>4379076</v>
      </c>
      <c r="C4" t="s">
        <v>20</v>
      </c>
      <c r="D4" t="s">
        <v>20</v>
      </c>
      <c r="E4">
        <v>0</v>
      </c>
      <c r="F4" t="s">
        <v>62</v>
      </c>
      <c r="G4" s="41" t="s">
        <v>381</v>
      </c>
      <c r="H4" s="42">
        <v>0.46111111111111114</v>
      </c>
      <c r="I4" s="41" t="s">
        <v>381</v>
      </c>
      <c r="J4" s="42">
        <v>0.4611574074074074</v>
      </c>
      <c r="K4" t="s">
        <v>58</v>
      </c>
      <c r="L4" s="43"/>
    </row>
    <row r="5" spans="1:20" x14ac:dyDescent="0.25">
      <c r="A5">
        <v>1</v>
      </c>
      <c r="B5">
        <v>4379569</v>
      </c>
      <c r="C5" t="s">
        <v>18</v>
      </c>
      <c r="D5" t="s">
        <v>18</v>
      </c>
      <c r="E5">
        <v>0</v>
      </c>
      <c r="F5" t="s">
        <v>62</v>
      </c>
      <c r="G5" s="41" t="s">
        <v>342</v>
      </c>
      <c r="H5" s="42">
        <v>0.35486111111111113</v>
      </c>
      <c r="I5" s="41" t="s">
        <v>342</v>
      </c>
      <c r="J5" s="42">
        <v>0.35487268518518517</v>
      </c>
      <c r="K5" t="s">
        <v>58</v>
      </c>
      <c r="L5" s="43"/>
    </row>
    <row r="6" spans="1:20" x14ac:dyDescent="0.25">
      <c r="A6">
        <v>1</v>
      </c>
      <c r="B6">
        <v>4379599</v>
      </c>
      <c r="C6" t="s">
        <v>21</v>
      </c>
      <c r="D6" t="s">
        <v>21</v>
      </c>
      <c r="E6">
        <v>0</v>
      </c>
      <c r="F6" t="s">
        <v>62</v>
      </c>
      <c r="G6" s="41" t="s">
        <v>414</v>
      </c>
      <c r="H6" s="42">
        <v>0.53657407407407409</v>
      </c>
      <c r="I6" s="41" t="s">
        <v>414</v>
      </c>
      <c r="J6" s="42">
        <v>0.53668981481481481</v>
      </c>
      <c r="K6" t="s">
        <v>58</v>
      </c>
      <c r="L6" s="43"/>
    </row>
    <row r="7" spans="1:20" x14ac:dyDescent="0.25">
      <c r="A7">
        <v>1</v>
      </c>
      <c r="B7">
        <v>4379609</v>
      </c>
      <c r="C7" t="s">
        <v>21</v>
      </c>
      <c r="D7" t="s">
        <v>21</v>
      </c>
      <c r="E7">
        <v>0</v>
      </c>
      <c r="F7" t="s">
        <v>62</v>
      </c>
      <c r="G7" s="41" t="s">
        <v>305</v>
      </c>
      <c r="H7" s="42">
        <v>0.77476851851851847</v>
      </c>
      <c r="I7" s="41" t="s">
        <v>305</v>
      </c>
      <c r="J7" s="42">
        <v>0.77505787037037033</v>
      </c>
      <c r="K7" t="s">
        <v>58</v>
      </c>
      <c r="L7" s="43"/>
    </row>
    <row r="8" spans="1:20" x14ac:dyDescent="0.25">
      <c r="A8">
        <v>1</v>
      </c>
      <c r="B8">
        <v>4379610</v>
      </c>
      <c r="C8" t="s">
        <v>21</v>
      </c>
      <c r="D8" t="s">
        <v>21</v>
      </c>
      <c r="E8">
        <v>0</v>
      </c>
      <c r="F8" t="s">
        <v>62</v>
      </c>
      <c r="G8" s="41" t="s">
        <v>305</v>
      </c>
      <c r="H8" s="42">
        <v>0.77500000000000002</v>
      </c>
      <c r="I8" s="41" t="s">
        <v>305</v>
      </c>
      <c r="J8" s="42">
        <v>0.77512731481481478</v>
      </c>
      <c r="K8" t="s">
        <v>58</v>
      </c>
      <c r="L8" s="43"/>
    </row>
    <row r="9" spans="1:20" x14ac:dyDescent="0.25">
      <c r="A9">
        <v>1</v>
      </c>
      <c r="B9">
        <v>4379613</v>
      </c>
      <c r="C9" t="s">
        <v>21</v>
      </c>
      <c r="D9" t="s">
        <v>19</v>
      </c>
      <c r="E9">
        <v>0</v>
      </c>
      <c r="F9" t="s">
        <v>62</v>
      </c>
      <c r="G9" s="41" t="s">
        <v>414</v>
      </c>
      <c r="H9" s="42">
        <v>0.53668981481481481</v>
      </c>
      <c r="I9" s="41" t="s">
        <v>414</v>
      </c>
      <c r="J9" s="42">
        <v>0.53677083333333331</v>
      </c>
      <c r="K9" t="s">
        <v>58</v>
      </c>
      <c r="L9" s="43"/>
    </row>
    <row r="10" spans="1:20" x14ac:dyDescent="0.25">
      <c r="A10">
        <v>1</v>
      </c>
      <c r="B10">
        <v>4379614</v>
      </c>
      <c r="C10" t="s">
        <v>21</v>
      </c>
      <c r="D10" t="s">
        <v>19</v>
      </c>
      <c r="E10">
        <v>0</v>
      </c>
      <c r="F10" t="s">
        <v>62</v>
      </c>
      <c r="G10" s="41" t="s">
        <v>305</v>
      </c>
      <c r="H10" s="42">
        <v>0.77534722222222219</v>
      </c>
      <c r="I10" s="41" t="s">
        <v>305</v>
      </c>
      <c r="J10" s="42">
        <v>0.77546296296296291</v>
      </c>
      <c r="K10" t="s">
        <v>58</v>
      </c>
      <c r="L10" s="43"/>
    </row>
    <row r="11" spans="1:20" x14ac:dyDescent="0.25">
      <c r="A11">
        <v>1</v>
      </c>
      <c r="B11">
        <v>4379617</v>
      </c>
      <c r="C11" t="s">
        <v>21</v>
      </c>
      <c r="D11" t="s">
        <v>19</v>
      </c>
      <c r="E11">
        <v>0</v>
      </c>
      <c r="F11" t="s">
        <v>62</v>
      </c>
      <c r="G11" s="41" t="s">
        <v>414</v>
      </c>
      <c r="H11" s="42">
        <v>0.53680555555555554</v>
      </c>
      <c r="I11" s="41" t="s">
        <v>414</v>
      </c>
      <c r="J11" s="42">
        <v>0.53695601851851849</v>
      </c>
      <c r="K11" t="s">
        <v>58</v>
      </c>
      <c r="L11" s="43"/>
    </row>
    <row r="12" spans="1:20" x14ac:dyDescent="0.25">
      <c r="A12">
        <v>1</v>
      </c>
      <c r="B12">
        <v>4379619</v>
      </c>
      <c r="C12" t="s">
        <v>21</v>
      </c>
      <c r="D12" t="s">
        <v>21</v>
      </c>
      <c r="E12">
        <v>0</v>
      </c>
      <c r="F12" t="s">
        <v>62</v>
      </c>
      <c r="G12" s="41" t="s">
        <v>305</v>
      </c>
      <c r="H12" s="42">
        <v>0.77557870370370374</v>
      </c>
      <c r="I12" s="41" t="s">
        <v>305</v>
      </c>
      <c r="J12" s="42">
        <v>0.77562500000000001</v>
      </c>
      <c r="K12" t="s">
        <v>58</v>
      </c>
      <c r="L12" s="43"/>
    </row>
    <row r="13" spans="1:20" x14ac:dyDescent="0.25">
      <c r="A13">
        <v>1</v>
      </c>
      <c r="B13">
        <v>4379621</v>
      </c>
      <c r="C13" t="s">
        <v>21</v>
      </c>
      <c r="D13" t="s">
        <v>19</v>
      </c>
      <c r="E13">
        <v>0</v>
      </c>
      <c r="F13" t="s">
        <v>62</v>
      </c>
      <c r="G13" s="41" t="s">
        <v>305</v>
      </c>
      <c r="H13" s="42">
        <v>0.77581018518518519</v>
      </c>
      <c r="I13" s="41" t="s">
        <v>305</v>
      </c>
      <c r="J13" s="42">
        <v>0.77585648148148145</v>
      </c>
      <c r="K13" t="s">
        <v>58</v>
      </c>
      <c r="L13" s="43"/>
    </row>
    <row r="14" spans="1:20" x14ac:dyDescent="0.25">
      <c r="A14">
        <v>1</v>
      </c>
      <c r="B14">
        <v>4379623</v>
      </c>
      <c r="C14" t="s">
        <v>21</v>
      </c>
      <c r="D14" t="s">
        <v>21</v>
      </c>
      <c r="E14">
        <v>0</v>
      </c>
      <c r="F14" t="s">
        <v>62</v>
      </c>
      <c r="G14" s="41" t="s">
        <v>305</v>
      </c>
      <c r="H14" s="42">
        <v>0.77592592592592591</v>
      </c>
      <c r="I14" s="41" t="s">
        <v>305</v>
      </c>
      <c r="J14" s="42">
        <v>0.7760069444444444</v>
      </c>
      <c r="K14" t="s">
        <v>58</v>
      </c>
      <c r="L14" s="43"/>
    </row>
    <row r="15" spans="1:20" x14ac:dyDescent="0.25">
      <c r="A15">
        <v>1</v>
      </c>
      <c r="B15">
        <v>4379628</v>
      </c>
      <c r="C15" t="s">
        <v>21</v>
      </c>
      <c r="D15" t="s">
        <v>21</v>
      </c>
      <c r="E15">
        <v>0</v>
      </c>
      <c r="F15" t="s">
        <v>62</v>
      </c>
      <c r="G15" s="41" t="s">
        <v>305</v>
      </c>
      <c r="H15" s="42">
        <v>0.77638888888888891</v>
      </c>
      <c r="I15" s="41" t="s">
        <v>305</v>
      </c>
      <c r="J15" s="42">
        <v>0.77641203703703698</v>
      </c>
      <c r="K15" t="s">
        <v>58</v>
      </c>
      <c r="L15" s="43"/>
    </row>
    <row r="16" spans="1:20" x14ac:dyDescent="0.25">
      <c r="A16">
        <v>1</v>
      </c>
      <c r="B16">
        <v>4379630</v>
      </c>
      <c r="C16" t="s">
        <v>21</v>
      </c>
      <c r="D16" t="s">
        <v>21</v>
      </c>
      <c r="E16">
        <v>0</v>
      </c>
      <c r="F16" t="s">
        <v>62</v>
      </c>
      <c r="G16" s="41" t="s">
        <v>305</v>
      </c>
      <c r="H16" s="42">
        <v>0.77638888888888891</v>
      </c>
      <c r="I16" s="41" t="s">
        <v>305</v>
      </c>
      <c r="J16" s="42">
        <v>0.77650462962962963</v>
      </c>
      <c r="K16" t="s">
        <v>58</v>
      </c>
      <c r="L16" s="43"/>
    </row>
    <row r="17" spans="1:12" x14ac:dyDescent="0.25">
      <c r="A17">
        <v>1</v>
      </c>
      <c r="B17">
        <v>4379632</v>
      </c>
      <c r="C17" t="s">
        <v>21</v>
      </c>
      <c r="D17" t="s">
        <v>19</v>
      </c>
      <c r="E17">
        <v>0</v>
      </c>
      <c r="F17" t="s">
        <v>62</v>
      </c>
      <c r="G17" s="41" t="s">
        <v>305</v>
      </c>
      <c r="H17" s="42">
        <v>0.77662037037037035</v>
      </c>
      <c r="I17" s="41" t="s">
        <v>305</v>
      </c>
      <c r="J17" s="42">
        <v>0.7766319444444445</v>
      </c>
      <c r="K17" t="s">
        <v>58</v>
      </c>
      <c r="L17" s="43"/>
    </row>
    <row r="18" spans="1:12" x14ac:dyDescent="0.25">
      <c r="A18">
        <v>1</v>
      </c>
      <c r="B18">
        <v>4379636</v>
      </c>
      <c r="C18" t="s">
        <v>21</v>
      </c>
      <c r="D18" t="s">
        <v>19</v>
      </c>
      <c r="E18">
        <v>0</v>
      </c>
      <c r="F18" t="s">
        <v>62</v>
      </c>
      <c r="G18" s="41" t="s">
        <v>305</v>
      </c>
      <c r="H18" s="42">
        <v>0.77662037037037035</v>
      </c>
      <c r="I18" s="41" t="s">
        <v>305</v>
      </c>
      <c r="J18" s="42">
        <v>0.77670138888888884</v>
      </c>
      <c r="K18" t="s">
        <v>58</v>
      </c>
      <c r="L18" s="43"/>
    </row>
    <row r="19" spans="1:12" x14ac:dyDescent="0.25">
      <c r="A19">
        <v>1</v>
      </c>
      <c r="B19">
        <v>4379651</v>
      </c>
      <c r="C19" t="s">
        <v>21</v>
      </c>
      <c r="D19" t="s">
        <v>21</v>
      </c>
      <c r="E19">
        <v>0</v>
      </c>
      <c r="F19" t="s">
        <v>62</v>
      </c>
      <c r="G19" s="41" t="s">
        <v>305</v>
      </c>
      <c r="H19" s="42">
        <v>0.77766203703703707</v>
      </c>
      <c r="I19" s="41" t="s">
        <v>305</v>
      </c>
      <c r="J19" s="42">
        <v>0.77770833333333333</v>
      </c>
      <c r="K19" t="s">
        <v>58</v>
      </c>
      <c r="L19" s="43"/>
    </row>
    <row r="20" spans="1:12" x14ac:dyDescent="0.25">
      <c r="A20">
        <v>1</v>
      </c>
      <c r="B20">
        <v>4379654</v>
      </c>
      <c r="C20" t="s">
        <v>21</v>
      </c>
      <c r="D20" t="s">
        <v>21</v>
      </c>
      <c r="E20">
        <v>0</v>
      </c>
      <c r="F20" t="s">
        <v>62</v>
      </c>
      <c r="G20" s="41" t="s">
        <v>305</v>
      </c>
      <c r="H20" s="42">
        <v>0.77789351851851851</v>
      </c>
      <c r="I20" s="41" t="s">
        <v>305</v>
      </c>
      <c r="J20" s="42">
        <v>0.77802083333333338</v>
      </c>
      <c r="K20" t="s">
        <v>58</v>
      </c>
      <c r="L20" s="43"/>
    </row>
    <row r="21" spans="1:12" x14ac:dyDescent="0.25">
      <c r="A21">
        <v>1</v>
      </c>
      <c r="B21">
        <v>4379661</v>
      </c>
      <c r="C21" t="s">
        <v>21</v>
      </c>
      <c r="D21" t="s">
        <v>21</v>
      </c>
      <c r="E21">
        <v>0</v>
      </c>
      <c r="F21" t="s">
        <v>62</v>
      </c>
      <c r="G21" s="41" t="s">
        <v>305</v>
      </c>
      <c r="H21" s="42">
        <v>0.77835648148148151</v>
      </c>
      <c r="I21" s="41" t="s">
        <v>305</v>
      </c>
      <c r="J21" s="42">
        <v>0.77842592592592597</v>
      </c>
      <c r="K21" t="s">
        <v>58</v>
      </c>
      <c r="L21" s="43"/>
    </row>
    <row r="22" spans="1:12" x14ac:dyDescent="0.25">
      <c r="A22">
        <v>1</v>
      </c>
      <c r="B22">
        <v>4379668</v>
      </c>
      <c r="C22" t="s">
        <v>21</v>
      </c>
      <c r="D22" t="s">
        <v>21</v>
      </c>
      <c r="E22">
        <v>0</v>
      </c>
      <c r="F22" t="s">
        <v>62</v>
      </c>
      <c r="G22" s="41" t="s">
        <v>305</v>
      </c>
      <c r="H22" s="42">
        <v>0.77858796296296295</v>
      </c>
      <c r="I22" s="41" t="s">
        <v>305</v>
      </c>
      <c r="J22" s="42">
        <v>0.77871527777777783</v>
      </c>
      <c r="K22" t="s">
        <v>58</v>
      </c>
      <c r="L22" s="43"/>
    </row>
    <row r="23" spans="1:12" x14ac:dyDescent="0.25">
      <c r="A23">
        <v>1</v>
      </c>
      <c r="B23">
        <v>4379670</v>
      </c>
      <c r="C23" t="s">
        <v>21</v>
      </c>
      <c r="D23" t="s">
        <v>19</v>
      </c>
      <c r="E23">
        <v>0</v>
      </c>
      <c r="F23" t="s">
        <v>62</v>
      </c>
      <c r="G23" s="41" t="s">
        <v>305</v>
      </c>
      <c r="H23" s="42">
        <v>0.7788194444444444</v>
      </c>
      <c r="I23" s="41" t="s">
        <v>305</v>
      </c>
      <c r="J23" s="42">
        <v>0.77886574074074078</v>
      </c>
      <c r="K23" t="s">
        <v>58</v>
      </c>
      <c r="L23" s="43"/>
    </row>
    <row r="24" spans="1:12" x14ac:dyDescent="0.25">
      <c r="A24">
        <v>1</v>
      </c>
      <c r="B24">
        <v>4379672</v>
      </c>
      <c r="C24" t="s">
        <v>21</v>
      </c>
      <c r="D24" t="s">
        <v>19</v>
      </c>
      <c r="E24">
        <v>0</v>
      </c>
      <c r="F24" t="s">
        <v>62</v>
      </c>
      <c r="G24" s="41" t="s">
        <v>305</v>
      </c>
      <c r="H24" s="42">
        <v>0.7788194444444444</v>
      </c>
      <c r="I24" s="41" t="s">
        <v>305</v>
      </c>
      <c r="J24" s="42">
        <v>0.77895833333333331</v>
      </c>
      <c r="K24" t="s">
        <v>58</v>
      </c>
      <c r="L24" s="43"/>
    </row>
    <row r="25" spans="1:12" x14ac:dyDescent="0.25">
      <c r="A25">
        <v>1</v>
      </c>
      <c r="B25">
        <v>4379678</v>
      </c>
      <c r="C25" t="s">
        <v>21</v>
      </c>
      <c r="D25" t="s">
        <v>19</v>
      </c>
      <c r="E25">
        <v>0</v>
      </c>
      <c r="F25" t="s">
        <v>62</v>
      </c>
      <c r="G25" s="41" t="s">
        <v>305</v>
      </c>
      <c r="H25" s="42">
        <v>0.77916666666666667</v>
      </c>
      <c r="I25" s="41" t="s">
        <v>305</v>
      </c>
      <c r="J25" s="42">
        <v>0.77921296296296294</v>
      </c>
      <c r="K25" t="s">
        <v>58</v>
      </c>
      <c r="L25" s="43"/>
    </row>
    <row r="26" spans="1:12" x14ac:dyDescent="0.25">
      <c r="A26">
        <v>1</v>
      </c>
      <c r="B26">
        <v>4379681</v>
      </c>
      <c r="C26" t="s">
        <v>21</v>
      </c>
      <c r="D26" t="s">
        <v>21</v>
      </c>
      <c r="E26">
        <v>0</v>
      </c>
      <c r="F26" t="s">
        <v>62</v>
      </c>
      <c r="G26" s="41" t="s">
        <v>414</v>
      </c>
      <c r="H26" s="42">
        <v>0.53831018518518514</v>
      </c>
      <c r="I26" s="41" t="s">
        <v>414</v>
      </c>
      <c r="J26" s="42">
        <v>0.53842592592592597</v>
      </c>
      <c r="K26" t="s">
        <v>58</v>
      </c>
      <c r="L26" s="43"/>
    </row>
    <row r="27" spans="1:12" x14ac:dyDescent="0.25">
      <c r="A27">
        <v>1</v>
      </c>
      <c r="B27">
        <v>4379682</v>
      </c>
      <c r="C27" t="s">
        <v>21</v>
      </c>
      <c r="D27" t="s">
        <v>19</v>
      </c>
      <c r="E27">
        <v>0</v>
      </c>
      <c r="F27" t="s">
        <v>62</v>
      </c>
      <c r="G27" s="41" t="s">
        <v>305</v>
      </c>
      <c r="H27" s="42">
        <v>0.77939814814814812</v>
      </c>
      <c r="I27" s="41" t="s">
        <v>305</v>
      </c>
      <c r="J27" s="42">
        <v>0.77942129629629631</v>
      </c>
      <c r="K27" t="s">
        <v>58</v>
      </c>
      <c r="L27" s="43"/>
    </row>
    <row r="28" spans="1:12" x14ac:dyDescent="0.25">
      <c r="A28">
        <v>1</v>
      </c>
      <c r="B28">
        <v>4379684</v>
      </c>
      <c r="C28" t="s">
        <v>21</v>
      </c>
      <c r="D28" t="s">
        <v>21</v>
      </c>
      <c r="E28">
        <v>0</v>
      </c>
      <c r="F28" t="s">
        <v>62</v>
      </c>
      <c r="G28" s="41" t="s">
        <v>305</v>
      </c>
      <c r="H28" s="42">
        <v>0.77939814814814812</v>
      </c>
      <c r="I28" s="41" t="s">
        <v>305</v>
      </c>
      <c r="J28" s="42">
        <v>0.7795023148148148</v>
      </c>
      <c r="K28" t="s">
        <v>58</v>
      </c>
      <c r="L28" s="43"/>
    </row>
    <row r="29" spans="1:12" x14ac:dyDescent="0.25">
      <c r="A29">
        <v>1</v>
      </c>
      <c r="B29">
        <v>4379686</v>
      </c>
      <c r="C29" t="s">
        <v>21</v>
      </c>
      <c r="D29" t="s">
        <v>19</v>
      </c>
      <c r="E29">
        <v>0</v>
      </c>
      <c r="F29" t="s">
        <v>62</v>
      </c>
      <c r="G29" s="41" t="s">
        <v>305</v>
      </c>
      <c r="H29" s="42">
        <v>0.77962962962962967</v>
      </c>
      <c r="I29" s="41" t="s">
        <v>305</v>
      </c>
      <c r="J29" s="42">
        <v>0.77965277777777775</v>
      </c>
      <c r="K29" t="s">
        <v>58</v>
      </c>
      <c r="L29" s="43"/>
    </row>
    <row r="30" spans="1:12" x14ac:dyDescent="0.25">
      <c r="A30">
        <v>1</v>
      </c>
      <c r="B30">
        <v>4379688</v>
      </c>
      <c r="C30" t="s">
        <v>21</v>
      </c>
      <c r="D30" t="s">
        <v>21</v>
      </c>
      <c r="E30">
        <v>0</v>
      </c>
      <c r="F30" t="s">
        <v>62</v>
      </c>
      <c r="G30" s="41" t="s">
        <v>305</v>
      </c>
      <c r="H30" s="42">
        <v>0.77974537037037039</v>
      </c>
      <c r="I30" s="41" t="s">
        <v>305</v>
      </c>
      <c r="J30" s="42">
        <v>0.77981481481481485</v>
      </c>
      <c r="K30" t="s">
        <v>58</v>
      </c>
      <c r="L30" s="43"/>
    </row>
    <row r="31" spans="1:12" x14ac:dyDescent="0.25">
      <c r="A31">
        <v>1</v>
      </c>
      <c r="B31">
        <v>4379729</v>
      </c>
      <c r="C31" t="s">
        <v>21</v>
      </c>
      <c r="D31" t="s">
        <v>19</v>
      </c>
      <c r="E31">
        <v>0</v>
      </c>
      <c r="F31" t="s">
        <v>62</v>
      </c>
      <c r="G31" s="41" t="s">
        <v>305</v>
      </c>
      <c r="H31" s="42">
        <v>0.78333333333333333</v>
      </c>
      <c r="I31" s="41" t="s">
        <v>305</v>
      </c>
      <c r="J31" s="42">
        <v>0.78344907407407405</v>
      </c>
      <c r="K31" t="s">
        <v>58</v>
      </c>
      <c r="L31" s="43"/>
    </row>
    <row r="32" spans="1:12" x14ac:dyDescent="0.25">
      <c r="A32">
        <v>1</v>
      </c>
      <c r="B32">
        <v>4379836</v>
      </c>
      <c r="C32" t="s">
        <v>21</v>
      </c>
      <c r="D32" t="s">
        <v>21</v>
      </c>
      <c r="E32">
        <v>0</v>
      </c>
      <c r="F32" t="s">
        <v>62</v>
      </c>
      <c r="G32" s="41" t="s">
        <v>342</v>
      </c>
      <c r="H32" s="42">
        <v>0.44594907407407408</v>
      </c>
      <c r="I32" s="41" t="s">
        <v>342</v>
      </c>
      <c r="J32" s="42">
        <v>0.44603009259259258</v>
      </c>
      <c r="K32" t="s">
        <v>58</v>
      </c>
      <c r="L32" s="43"/>
    </row>
    <row r="33" spans="1:12" x14ac:dyDescent="0.25">
      <c r="A33">
        <v>1</v>
      </c>
      <c r="B33">
        <v>4380056</v>
      </c>
      <c r="C33" t="s">
        <v>21</v>
      </c>
      <c r="D33" t="s">
        <v>21</v>
      </c>
      <c r="E33">
        <v>0</v>
      </c>
      <c r="F33" t="s">
        <v>62</v>
      </c>
      <c r="G33" s="41" t="s">
        <v>342</v>
      </c>
      <c r="H33" s="42">
        <v>0.5917824074074074</v>
      </c>
      <c r="I33" s="41" t="s">
        <v>342</v>
      </c>
      <c r="J33" s="42">
        <v>0.59182870370370366</v>
      </c>
      <c r="K33" t="s">
        <v>58</v>
      </c>
      <c r="L33" s="43"/>
    </row>
    <row r="34" spans="1:12" x14ac:dyDescent="0.25">
      <c r="A34">
        <v>1</v>
      </c>
      <c r="B34">
        <v>4380372</v>
      </c>
      <c r="C34" t="s">
        <v>21</v>
      </c>
      <c r="D34" t="s">
        <v>21</v>
      </c>
      <c r="E34">
        <v>0</v>
      </c>
      <c r="F34" t="s">
        <v>62</v>
      </c>
      <c r="G34" s="41" t="s">
        <v>342</v>
      </c>
      <c r="H34" s="42">
        <v>0.67523148148148149</v>
      </c>
      <c r="I34" s="41" t="s">
        <v>342</v>
      </c>
      <c r="J34" s="42">
        <v>0.67533564814814817</v>
      </c>
      <c r="K34" t="s">
        <v>58</v>
      </c>
      <c r="L34" s="43"/>
    </row>
    <row r="35" spans="1:12" x14ac:dyDescent="0.25">
      <c r="A35">
        <v>1</v>
      </c>
      <c r="B35">
        <v>4380769</v>
      </c>
      <c r="C35" t="s">
        <v>21</v>
      </c>
      <c r="D35" t="s">
        <v>21</v>
      </c>
      <c r="E35">
        <v>0</v>
      </c>
      <c r="F35" t="s">
        <v>62</v>
      </c>
      <c r="G35" s="41" t="s">
        <v>342</v>
      </c>
      <c r="H35" s="42">
        <v>0.82754629629629628</v>
      </c>
      <c r="I35" s="41" t="s">
        <v>342</v>
      </c>
      <c r="J35" s="42">
        <v>0.82770833333333338</v>
      </c>
      <c r="K35" t="s">
        <v>58</v>
      </c>
      <c r="L35" s="43"/>
    </row>
    <row r="36" spans="1:12" x14ac:dyDescent="0.25">
      <c r="A36">
        <v>1</v>
      </c>
      <c r="B36">
        <v>4380796</v>
      </c>
      <c r="C36" t="s">
        <v>17</v>
      </c>
      <c r="D36" t="s">
        <v>17</v>
      </c>
      <c r="E36">
        <v>0</v>
      </c>
      <c r="F36" t="s">
        <v>62</v>
      </c>
      <c r="G36" s="41" t="s">
        <v>381</v>
      </c>
      <c r="H36" s="42">
        <v>0.44189814814814815</v>
      </c>
      <c r="I36" s="41" t="s">
        <v>381</v>
      </c>
      <c r="J36" s="42">
        <v>0.44200231481481483</v>
      </c>
      <c r="K36" t="s">
        <v>58</v>
      </c>
      <c r="L36" s="43"/>
    </row>
    <row r="37" spans="1:12" x14ac:dyDescent="0.25">
      <c r="A37">
        <v>1</v>
      </c>
      <c r="B37">
        <v>4380797</v>
      </c>
      <c r="C37" t="s">
        <v>17</v>
      </c>
      <c r="D37" t="s">
        <v>17</v>
      </c>
      <c r="E37">
        <v>0</v>
      </c>
      <c r="F37" t="s">
        <v>62</v>
      </c>
      <c r="G37" s="41" t="s">
        <v>381</v>
      </c>
      <c r="H37" s="42">
        <v>0.46006944444444442</v>
      </c>
      <c r="I37" s="41" t="s">
        <v>381</v>
      </c>
      <c r="J37" s="42">
        <v>0.4601736111111111</v>
      </c>
      <c r="K37" t="s">
        <v>58</v>
      </c>
      <c r="L37" s="43"/>
    </row>
    <row r="38" spans="1:12" x14ac:dyDescent="0.25">
      <c r="A38">
        <v>1</v>
      </c>
      <c r="B38">
        <v>4381005</v>
      </c>
      <c r="C38" t="s">
        <v>21</v>
      </c>
      <c r="D38" t="s">
        <v>21</v>
      </c>
      <c r="E38">
        <v>0</v>
      </c>
      <c r="F38" t="s">
        <v>62</v>
      </c>
      <c r="G38" s="41" t="s">
        <v>381</v>
      </c>
      <c r="H38" s="42">
        <v>0.41134259259259259</v>
      </c>
      <c r="I38" s="41" t="s">
        <v>381</v>
      </c>
      <c r="J38" s="42">
        <v>0.41142361111111109</v>
      </c>
      <c r="K38" t="s">
        <v>58</v>
      </c>
      <c r="L38" s="43"/>
    </row>
    <row r="39" spans="1:12" x14ac:dyDescent="0.25">
      <c r="A39">
        <v>1</v>
      </c>
      <c r="B39">
        <v>4381012</v>
      </c>
      <c r="C39" t="s">
        <v>21</v>
      </c>
      <c r="D39" t="s">
        <v>21</v>
      </c>
      <c r="E39">
        <v>0</v>
      </c>
      <c r="F39" t="s">
        <v>62</v>
      </c>
      <c r="G39" s="41" t="s">
        <v>381</v>
      </c>
      <c r="H39" s="42">
        <v>0.43217592592592591</v>
      </c>
      <c r="I39" s="41" t="s">
        <v>381</v>
      </c>
      <c r="J39" s="42">
        <v>0.43223379629629627</v>
      </c>
      <c r="K39" t="s">
        <v>58</v>
      </c>
      <c r="L39" s="43"/>
    </row>
    <row r="40" spans="1:12" x14ac:dyDescent="0.25">
      <c r="A40">
        <v>1</v>
      </c>
      <c r="B40">
        <v>4381015</v>
      </c>
      <c r="C40" t="s">
        <v>21</v>
      </c>
      <c r="D40" t="s">
        <v>21</v>
      </c>
      <c r="E40">
        <v>0</v>
      </c>
      <c r="F40" t="s">
        <v>62</v>
      </c>
      <c r="G40" s="41" t="s">
        <v>381</v>
      </c>
      <c r="H40" s="42">
        <v>0.4460648148148148</v>
      </c>
      <c r="I40" s="41" t="s">
        <v>381</v>
      </c>
      <c r="J40" s="42">
        <v>0.4460763888888889</v>
      </c>
      <c r="K40" t="s">
        <v>58</v>
      </c>
      <c r="L40" s="43"/>
    </row>
    <row r="41" spans="1:12" x14ac:dyDescent="0.25">
      <c r="A41">
        <v>1</v>
      </c>
      <c r="B41">
        <v>4381016</v>
      </c>
      <c r="C41" t="s">
        <v>17</v>
      </c>
      <c r="D41" t="s">
        <v>17</v>
      </c>
      <c r="E41">
        <v>0</v>
      </c>
      <c r="F41" t="s">
        <v>62</v>
      </c>
      <c r="G41" s="41" t="s">
        <v>381</v>
      </c>
      <c r="H41" s="42">
        <v>0.4601851851851852</v>
      </c>
      <c r="I41" s="41" t="s">
        <v>381</v>
      </c>
      <c r="J41" s="42">
        <v>0.46021990740740742</v>
      </c>
      <c r="K41" t="s">
        <v>58</v>
      </c>
      <c r="L41" s="43"/>
    </row>
    <row r="42" spans="1:12" x14ac:dyDescent="0.25">
      <c r="A42">
        <v>1</v>
      </c>
      <c r="B42">
        <v>4381020</v>
      </c>
      <c r="C42" t="s">
        <v>17</v>
      </c>
      <c r="D42" t="s">
        <v>17</v>
      </c>
      <c r="E42">
        <v>0</v>
      </c>
      <c r="F42" t="s">
        <v>62</v>
      </c>
      <c r="G42" s="41" t="s">
        <v>381</v>
      </c>
      <c r="H42" s="42">
        <v>0.46909722222222222</v>
      </c>
      <c r="I42" s="41" t="s">
        <v>381</v>
      </c>
      <c r="J42" s="42">
        <v>0.46918981481481481</v>
      </c>
      <c r="K42" t="s">
        <v>58</v>
      </c>
      <c r="L42" s="43"/>
    </row>
    <row r="43" spans="1:12" x14ac:dyDescent="0.25">
      <c r="A43">
        <v>1</v>
      </c>
      <c r="B43">
        <v>4381063</v>
      </c>
      <c r="C43" t="s">
        <v>21</v>
      </c>
      <c r="D43" t="s">
        <v>21</v>
      </c>
      <c r="E43">
        <v>0</v>
      </c>
      <c r="F43" t="s">
        <v>62</v>
      </c>
      <c r="G43" s="41" t="s">
        <v>342</v>
      </c>
      <c r="H43" s="42">
        <v>0.82847222222222228</v>
      </c>
      <c r="I43" s="41" t="s">
        <v>342</v>
      </c>
      <c r="J43" s="42">
        <v>0.82850694444444439</v>
      </c>
      <c r="K43" t="s">
        <v>58</v>
      </c>
      <c r="L43" s="43"/>
    </row>
    <row r="44" spans="1:12" x14ac:dyDescent="0.25">
      <c r="A44">
        <v>1</v>
      </c>
      <c r="B44">
        <v>4381064</v>
      </c>
      <c r="C44" t="s">
        <v>21</v>
      </c>
      <c r="D44" t="s">
        <v>21</v>
      </c>
      <c r="E44">
        <v>0</v>
      </c>
      <c r="F44" t="s">
        <v>62</v>
      </c>
      <c r="G44" s="41" t="s">
        <v>342</v>
      </c>
      <c r="H44" s="42">
        <v>0.82847222222222228</v>
      </c>
      <c r="I44" s="41" t="s">
        <v>342</v>
      </c>
      <c r="J44" s="42">
        <v>0.828587962962963</v>
      </c>
      <c r="K44" t="s">
        <v>58</v>
      </c>
      <c r="L44" s="43"/>
    </row>
    <row r="45" spans="1:12" x14ac:dyDescent="0.25">
      <c r="A45">
        <v>1</v>
      </c>
      <c r="B45">
        <v>4381066</v>
      </c>
      <c r="C45" t="s">
        <v>21</v>
      </c>
      <c r="D45" t="s">
        <v>21</v>
      </c>
      <c r="E45">
        <v>0</v>
      </c>
      <c r="F45" t="s">
        <v>62</v>
      </c>
      <c r="G45" s="41" t="s">
        <v>342</v>
      </c>
      <c r="H45" s="42">
        <v>0.82870370370370372</v>
      </c>
      <c r="I45" s="41" t="s">
        <v>342</v>
      </c>
      <c r="J45" s="42">
        <v>0.8287268518518518</v>
      </c>
      <c r="K45" t="s">
        <v>58</v>
      </c>
      <c r="L45" s="43"/>
    </row>
    <row r="46" spans="1:12" x14ac:dyDescent="0.25">
      <c r="A46">
        <v>1</v>
      </c>
      <c r="B46">
        <v>4381067</v>
      </c>
      <c r="C46" t="s">
        <v>21</v>
      </c>
      <c r="D46" t="s">
        <v>21</v>
      </c>
      <c r="E46">
        <v>0</v>
      </c>
      <c r="F46" t="s">
        <v>62</v>
      </c>
      <c r="G46" s="41" t="s">
        <v>342</v>
      </c>
      <c r="H46" s="42">
        <v>0.82870370370370372</v>
      </c>
      <c r="I46" s="41" t="s">
        <v>342</v>
      </c>
      <c r="J46" s="42">
        <v>0.8288078703703704</v>
      </c>
      <c r="K46" t="s">
        <v>58</v>
      </c>
      <c r="L46" s="43"/>
    </row>
    <row r="47" spans="1:12" x14ac:dyDescent="0.25">
      <c r="A47">
        <v>1</v>
      </c>
      <c r="B47">
        <v>4381068</v>
      </c>
      <c r="C47" t="s">
        <v>21</v>
      </c>
      <c r="D47" t="s">
        <v>21</v>
      </c>
      <c r="E47">
        <v>0</v>
      </c>
      <c r="F47" t="s">
        <v>62</v>
      </c>
      <c r="G47" s="41" t="s">
        <v>342</v>
      </c>
      <c r="H47" s="42">
        <v>0.82881944444444444</v>
      </c>
      <c r="I47" s="41" t="s">
        <v>342</v>
      </c>
      <c r="J47" s="42">
        <v>0.82890046296296294</v>
      </c>
      <c r="K47" t="s">
        <v>58</v>
      </c>
      <c r="L47" s="43"/>
    </row>
    <row r="48" spans="1:12" x14ac:dyDescent="0.25">
      <c r="A48">
        <v>1</v>
      </c>
      <c r="B48">
        <v>4381090</v>
      </c>
      <c r="C48" t="s">
        <v>21</v>
      </c>
      <c r="D48" t="s">
        <v>19</v>
      </c>
      <c r="E48">
        <v>0</v>
      </c>
      <c r="F48" t="s">
        <v>62</v>
      </c>
      <c r="G48" s="41" t="s">
        <v>342</v>
      </c>
      <c r="H48" s="42">
        <v>0.83032407407407405</v>
      </c>
      <c r="I48" s="41" t="s">
        <v>342</v>
      </c>
      <c r="J48" s="42">
        <v>0.8303356481481482</v>
      </c>
      <c r="K48" t="s">
        <v>58</v>
      </c>
      <c r="L48" s="43"/>
    </row>
    <row r="49" spans="1:12" x14ac:dyDescent="0.25">
      <c r="A49">
        <v>1</v>
      </c>
      <c r="B49">
        <v>4381092</v>
      </c>
      <c r="C49" t="s">
        <v>21</v>
      </c>
      <c r="D49" t="s">
        <v>19</v>
      </c>
      <c r="E49">
        <v>0</v>
      </c>
      <c r="F49" t="s">
        <v>62</v>
      </c>
      <c r="G49" s="41" t="s">
        <v>342</v>
      </c>
      <c r="H49" s="42">
        <v>0.83067129629629632</v>
      </c>
      <c r="I49" s="41" t="s">
        <v>342</v>
      </c>
      <c r="J49" s="42">
        <v>0.83068287037037036</v>
      </c>
      <c r="K49" t="s">
        <v>58</v>
      </c>
      <c r="L49" s="43"/>
    </row>
    <row r="50" spans="1:12" x14ac:dyDescent="0.25">
      <c r="A50">
        <v>1</v>
      </c>
      <c r="B50">
        <v>4381094</v>
      </c>
      <c r="C50" t="s">
        <v>21</v>
      </c>
      <c r="D50" t="s">
        <v>21</v>
      </c>
      <c r="E50">
        <v>0</v>
      </c>
      <c r="F50" t="s">
        <v>62</v>
      </c>
      <c r="G50" s="41" t="s">
        <v>342</v>
      </c>
      <c r="H50" s="42">
        <v>0.83067129629629632</v>
      </c>
      <c r="I50" s="41" t="s">
        <v>342</v>
      </c>
      <c r="J50" s="42">
        <v>0.83077546296296301</v>
      </c>
      <c r="K50" t="s">
        <v>58</v>
      </c>
      <c r="L50" s="43"/>
    </row>
    <row r="51" spans="1:12" x14ac:dyDescent="0.25">
      <c r="A51">
        <v>1</v>
      </c>
      <c r="B51">
        <v>4381095</v>
      </c>
      <c r="C51" t="s">
        <v>21</v>
      </c>
      <c r="D51" t="s">
        <v>19</v>
      </c>
      <c r="E51">
        <v>0</v>
      </c>
      <c r="F51" t="s">
        <v>62</v>
      </c>
      <c r="G51" s="41" t="s">
        <v>342</v>
      </c>
      <c r="H51" s="42">
        <v>0.83078703703703705</v>
      </c>
      <c r="I51" s="41" t="s">
        <v>342</v>
      </c>
      <c r="J51" s="42">
        <v>0.83086805555555554</v>
      </c>
      <c r="K51" t="s">
        <v>58</v>
      </c>
      <c r="L51" s="43"/>
    </row>
    <row r="52" spans="1:12" x14ac:dyDescent="0.25">
      <c r="A52">
        <v>1</v>
      </c>
      <c r="B52">
        <v>4381100</v>
      </c>
      <c r="C52" t="s">
        <v>21</v>
      </c>
      <c r="D52" t="s">
        <v>21</v>
      </c>
      <c r="E52">
        <v>0</v>
      </c>
      <c r="F52" t="s">
        <v>62</v>
      </c>
      <c r="G52" s="41" t="s">
        <v>342</v>
      </c>
      <c r="H52" s="42">
        <v>0.83101851851851849</v>
      </c>
      <c r="I52" s="41" t="s">
        <v>342</v>
      </c>
      <c r="J52" s="42">
        <v>0.83108796296296295</v>
      </c>
      <c r="K52" t="s">
        <v>58</v>
      </c>
      <c r="L52" s="43"/>
    </row>
    <row r="53" spans="1:12" x14ac:dyDescent="0.25">
      <c r="A53">
        <v>1</v>
      </c>
      <c r="B53">
        <v>4381101</v>
      </c>
      <c r="C53" t="s">
        <v>21</v>
      </c>
      <c r="D53" t="s">
        <v>21</v>
      </c>
      <c r="E53">
        <v>0</v>
      </c>
      <c r="F53" t="s">
        <v>62</v>
      </c>
      <c r="G53" s="41" t="s">
        <v>342</v>
      </c>
      <c r="H53" s="42">
        <v>0.83113425925925921</v>
      </c>
      <c r="I53" s="41" t="s">
        <v>342</v>
      </c>
      <c r="J53" s="42">
        <v>0.8311574074074074</v>
      </c>
      <c r="K53" t="s">
        <v>58</v>
      </c>
      <c r="L53" s="43"/>
    </row>
    <row r="54" spans="1:12" x14ac:dyDescent="0.25">
      <c r="A54">
        <v>1</v>
      </c>
      <c r="B54">
        <v>4381102</v>
      </c>
      <c r="C54" t="s">
        <v>21</v>
      </c>
      <c r="D54" t="s">
        <v>19</v>
      </c>
      <c r="E54">
        <v>0</v>
      </c>
      <c r="F54" t="s">
        <v>62</v>
      </c>
      <c r="G54" s="41" t="s">
        <v>342</v>
      </c>
      <c r="H54" s="42">
        <v>0.83113425925925921</v>
      </c>
      <c r="I54" s="41" t="s">
        <v>342</v>
      </c>
      <c r="J54" s="42">
        <v>0.83123842592592589</v>
      </c>
      <c r="K54" t="s">
        <v>58</v>
      </c>
      <c r="L54" s="43"/>
    </row>
    <row r="55" spans="1:12" x14ac:dyDescent="0.25">
      <c r="A55">
        <v>1</v>
      </c>
      <c r="B55">
        <v>4381103</v>
      </c>
      <c r="C55" t="s">
        <v>21</v>
      </c>
      <c r="D55" t="s">
        <v>21</v>
      </c>
      <c r="E55">
        <v>0</v>
      </c>
      <c r="F55" t="s">
        <v>62</v>
      </c>
      <c r="G55" s="41" t="s">
        <v>342</v>
      </c>
      <c r="H55" s="42">
        <v>0.83125000000000004</v>
      </c>
      <c r="I55" s="41" t="s">
        <v>342</v>
      </c>
      <c r="J55" s="42">
        <v>0.83130787037037035</v>
      </c>
      <c r="K55" t="s">
        <v>58</v>
      </c>
      <c r="L55" s="43"/>
    </row>
    <row r="56" spans="1:12" x14ac:dyDescent="0.25">
      <c r="A56">
        <v>1</v>
      </c>
      <c r="B56">
        <v>4381104</v>
      </c>
      <c r="C56" t="s">
        <v>21</v>
      </c>
      <c r="D56" t="s">
        <v>21</v>
      </c>
      <c r="E56">
        <v>0</v>
      </c>
      <c r="F56" t="s">
        <v>62</v>
      </c>
      <c r="G56" s="41" t="s">
        <v>342</v>
      </c>
      <c r="H56" s="42">
        <v>0.83136574074074077</v>
      </c>
      <c r="I56" s="41" t="s">
        <v>342</v>
      </c>
      <c r="J56" s="42">
        <v>0.83140046296296299</v>
      </c>
      <c r="K56" t="s">
        <v>58</v>
      </c>
      <c r="L56" s="43"/>
    </row>
    <row r="57" spans="1:12" x14ac:dyDescent="0.25">
      <c r="A57">
        <v>1</v>
      </c>
      <c r="B57">
        <v>4381106</v>
      </c>
      <c r="C57" t="s">
        <v>21</v>
      </c>
      <c r="D57" t="s">
        <v>21</v>
      </c>
      <c r="E57">
        <v>0</v>
      </c>
      <c r="F57" t="s">
        <v>62</v>
      </c>
      <c r="G57" s="41" t="s">
        <v>342</v>
      </c>
      <c r="H57" s="42">
        <v>0.83159722222222221</v>
      </c>
      <c r="I57" s="41" t="s">
        <v>342</v>
      </c>
      <c r="J57" s="42">
        <v>0.83164351851851848</v>
      </c>
      <c r="K57" t="s">
        <v>58</v>
      </c>
      <c r="L57" s="43"/>
    </row>
    <row r="58" spans="1:12" x14ac:dyDescent="0.25">
      <c r="A58">
        <v>1</v>
      </c>
      <c r="B58">
        <v>4381107</v>
      </c>
      <c r="C58" t="s">
        <v>21</v>
      </c>
      <c r="D58" t="s">
        <v>19</v>
      </c>
      <c r="E58">
        <v>0</v>
      </c>
      <c r="F58" t="s">
        <v>62</v>
      </c>
      <c r="G58" s="41" t="s">
        <v>342</v>
      </c>
      <c r="H58" s="42">
        <v>0.83159722222222221</v>
      </c>
      <c r="I58" s="41" t="s">
        <v>342</v>
      </c>
      <c r="J58" s="42">
        <v>0.83171296296296293</v>
      </c>
      <c r="K58" t="s">
        <v>58</v>
      </c>
      <c r="L58" s="43"/>
    </row>
    <row r="59" spans="1:12" x14ac:dyDescent="0.25">
      <c r="A59">
        <v>1</v>
      </c>
      <c r="B59">
        <v>4381109</v>
      </c>
      <c r="C59" t="s">
        <v>21</v>
      </c>
      <c r="D59" t="s">
        <v>19</v>
      </c>
      <c r="E59">
        <v>0</v>
      </c>
      <c r="F59" t="s">
        <v>62</v>
      </c>
      <c r="G59" s="41" t="s">
        <v>342</v>
      </c>
      <c r="H59" s="42">
        <v>0.83194444444444449</v>
      </c>
      <c r="I59" s="41" t="s">
        <v>342</v>
      </c>
      <c r="J59" s="42">
        <v>0.83197916666666671</v>
      </c>
      <c r="K59" t="s">
        <v>58</v>
      </c>
      <c r="L59" s="43"/>
    </row>
    <row r="60" spans="1:12" x14ac:dyDescent="0.25">
      <c r="A60">
        <v>1</v>
      </c>
      <c r="B60">
        <v>4381110</v>
      </c>
      <c r="C60" t="s">
        <v>21</v>
      </c>
      <c r="D60" t="s">
        <v>21</v>
      </c>
      <c r="E60">
        <v>0</v>
      </c>
      <c r="F60" t="s">
        <v>62</v>
      </c>
      <c r="G60" s="41" t="s">
        <v>342</v>
      </c>
      <c r="H60" s="42">
        <v>0.83206018518518521</v>
      </c>
      <c r="I60" s="41" t="s">
        <v>342</v>
      </c>
      <c r="J60" s="42">
        <v>0.83206018518518521</v>
      </c>
      <c r="K60" t="s">
        <v>58</v>
      </c>
      <c r="L60" s="43"/>
    </row>
    <row r="61" spans="1:12" x14ac:dyDescent="0.25">
      <c r="A61">
        <v>1</v>
      </c>
      <c r="B61">
        <v>4381111</v>
      </c>
      <c r="C61" t="s">
        <v>21</v>
      </c>
      <c r="D61" t="s">
        <v>19</v>
      </c>
      <c r="E61">
        <v>0</v>
      </c>
      <c r="F61" t="s">
        <v>62</v>
      </c>
      <c r="G61" s="41" t="s">
        <v>342</v>
      </c>
      <c r="H61" s="42">
        <v>0.83206018518518521</v>
      </c>
      <c r="I61" s="41" t="s">
        <v>342</v>
      </c>
      <c r="J61" s="42">
        <v>0.83212962962962966</v>
      </c>
      <c r="K61" t="s">
        <v>58</v>
      </c>
      <c r="L61" s="43"/>
    </row>
    <row r="62" spans="1:12" x14ac:dyDescent="0.25">
      <c r="A62">
        <v>1</v>
      </c>
      <c r="B62">
        <v>4381112</v>
      </c>
      <c r="C62" t="s">
        <v>21</v>
      </c>
      <c r="D62" t="s">
        <v>19</v>
      </c>
      <c r="E62">
        <v>0</v>
      </c>
      <c r="F62" t="s">
        <v>62</v>
      </c>
      <c r="G62" s="41" t="s">
        <v>342</v>
      </c>
      <c r="H62" s="42">
        <v>0.83217592592592593</v>
      </c>
      <c r="I62" s="41" t="s">
        <v>342</v>
      </c>
      <c r="J62" s="42">
        <v>0.83224537037037039</v>
      </c>
      <c r="K62" t="s">
        <v>58</v>
      </c>
      <c r="L62" s="43"/>
    </row>
    <row r="63" spans="1:12" x14ac:dyDescent="0.25">
      <c r="A63">
        <v>1</v>
      </c>
      <c r="B63">
        <v>4381113</v>
      </c>
      <c r="C63" t="s">
        <v>21</v>
      </c>
      <c r="D63" t="s">
        <v>21</v>
      </c>
      <c r="E63">
        <v>0</v>
      </c>
      <c r="F63" t="s">
        <v>62</v>
      </c>
      <c r="G63" s="41" t="s">
        <v>342</v>
      </c>
      <c r="H63" s="42">
        <v>0.83229166666666665</v>
      </c>
      <c r="I63" s="41" t="s">
        <v>342</v>
      </c>
      <c r="J63" s="42">
        <v>0.83232638888888888</v>
      </c>
      <c r="K63" t="s">
        <v>58</v>
      </c>
      <c r="L63" s="43"/>
    </row>
    <row r="64" spans="1:12" x14ac:dyDescent="0.25">
      <c r="A64">
        <v>1</v>
      </c>
      <c r="B64">
        <v>4381116</v>
      </c>
      <c r="C64" t="s">
        <v>21</v>
      </c>
      <c r="D64" t="s">
        <v>21</v>
      </c>
      <c r="E64">
        <v>0</v>
      </c>
      <c r="F64" t="s">
        <v>62</v>
      </c>
      <c r="G64" s="41" t="s">
        <v>342</v>
      </c>
      <c r="H64" s="42">
        <v>0.8325231481481481</v>
      </c>
      <c r="I64" s="41" t="s">
        <v>342</v>
      </c>
      <c r="J64" s="42">
        <v>0.83255787037037032</v>
      </c>
      <c r="K64" t="s">
        <v>58</v>
      </c>
      <c r="L64" s="43"/>
    </row>
    <row r="65" spans="1:12" x14ac:dyDescent="0.25">
      <c r="A65">
        <v>1</v>
      </c>
      <c r="B65">
        <v>4381117</v>
      </c>
      <c r="C65" t="s">
        <v>21</v>
      </c>
      <c r="D65" t="s">
        <v>21</v>
      </c>
      <c r="E65">
        <v>0</v>
      </c>
      <c r="F65" t="s">
        <v>62</v>
      </c>
      <c r="G65" s="41" t="s">
        <v>342</v>
      </c>
      <c r="H65" s="42">
        <v>0.8325231481481481</v>
      </c>
      <c r="I65" s="41" t="s">
        <v>342</v>
      </c>
      <c r="J65" s="42">
        <v>0.83263888888888893</v>
      </c>
      <c r="K65" t="s">
        <v>58</v>
      </c>
      <c r="L65" s="43"/>
    </row>
    <row r="66" spans="1:12" x14ac:dyDescent="0.25">
      <c r="A66">
        <v>1</v>
      </c>
      <c r="B66">
        <v>4381118</v>
      </c>
      <c r="C66" t="s">
        <v>21</v>
      </c>
      <c r="D66" t="s">
        <v>19</v>
      </c>
      <c r="E66">
        <v>0</v>
      </c>
      <c r="F66" t="s">
        <v>62</v>
      </c>
      <c r="G66" s="41" t="s">
        <v>342</v>
      </c>
      <c r="H66" s="42">
        <v>0.83263888888888893</v>
      </c>
      <c r="I66" s="41" t="s">
        <v>342</v>
      </c>
      <c r="J66" s="42">
        <v>0.83270833333333338</v>
      </c>
      <c r="K66" t="s">
        <v>58</v>
      </c>
      <c r="L66" s="43"/>
    </row>
    <row r="67" spans="1:12" x14ac:dyDescent="0.25">
      <c r="A67">
        <v>1</v>
      </c>
      <c r="B67">
        <v>4381120</v>
      </c>
      <c r="C67" t="s">
        <v>21</v>
      </c>
      <c r="D67" t="s">
        <v>21</v>
      </c>
      <c r="E67">
        <v>0</v>
      </c>
      <c r="F67" t="s">
        <v>62</v>
      </c>
      <c r="G67" s="41" t="s">
        <v>342</v>
      </c>
      <c r="H67" s="42">
        <v>0.83275462962962965</v>
      </c>
      <c r="I67" s="41" t="s">
        <v>342</v>
      </c>
      <c r="J67" s="42">
        <v>0.83284722222222218</v>
      </c>
      <c r="K67" t="s">
        <v>58</v>
      </c>
      <c r="L67" s="43"/>
    </row>
    <row r="68" spans="1:12" x14ac:dyDescent="0.25">
      <c r="A68">
        <v>1</v>
      </c>
      <c r="B68">
        <v>4381121</v>
      </c>
      <c r="C68" t="s">
        <v>21</v>
      </c>
      <c r="D68" t="s">
        <v>19</v>
      </c>
      <c r="E68">
        <v>0</v>
      </c>
      <c r="F68" t="s">
        <v>62</v>
      </c>
      <c r="G68" s="41" t="s">
        <v>342</v>
      </c>
      <c r="H68" s="42">
        <v>0.83287037037037037</v>
      </c>
      <c r="I68" s="41" t="s">
        <v>342</v>
      </c>
      <c r="J68" s="42">
        <v>0.8329050925925926</v>
      </c>
      <c r="K68" t="s">
        <v>58</v>
      </c>
      <c r="L68" s="43"/>
    </row>
    <row r="69" spans="1:12" x14ac:dyDescent="0.25">
      <c r="A69">
        <v>1</v>
      </c>
      <c r="B69">
        <v>4381123</v>
      </c>
      <c r="C69" t="s">
        <v>21</v>
      </c>
      <c r="D69" t="s">
        <v>21</v>
      </c>
      <c r="E69">
        <v>0</v>
      </c>
      <c r="F69" t="s">
        <v>62</v>
      </c>
      <c r="G69" s="41" t="s">
        <v>342</v>
      </c>
      <c r="H69" s="42">
        <v>0.83298611111111109</v>
      </c>
      <c r="I69" s="41" t="s">
        <v>342</v>
      </c>
      <c r="J69" s="42">
        <v>0.83306712962962959</v>
      </c>
      <c r="K69" t="s">
        <v>58</v>
      </c>
      <c r="L69" s="43"/>
    </row>
    <row r="70" spans="1:12" x14ac:dyDescent="0.25">
      <c r="A70">
        <v>1</v>
      </c>
      <c r="B70">
        <v>4381124</v>
      </c>
      <c r="C70" t="s">
        <v>21</v>
      </c>
      <c r="D70" t="s">
        <v>21</v>
      </c>
      <c r="E70">
        <v>0</v>
      </c>
      <c r="F70" t="s">
        <v>62</v>
      </c>
      <c r="G70" s="41" t="s">
        <v>342</v>
      </c>
      <c r="H70" s="42">
        <v>0.83310185185185182</v>
      </c>
      <c r="I70" s="41" t="s">
        <v>342</v>
      </c>
      <c r="J70" s="42">
        <v>0.83314814814814819</v>
      </c>
      <c r="K70" t="s">
        <v>58</v>
      </c>
      <c r="L70" s="43"/>
    </row>
    <row r="71" spans="1:12" x14ac:dyDescent="0.25">
      <c r="A71">
        <v>1</v>
      </c>
      <c r="B71">
        <v>4381125</v>
      </c>
      <c r="C71" t="s">
        <v>21</v>
      </c>
      <c r="D71" t="s">
        <v>21</v>
      </c>
      <c r="E71">
        <v>0</v>
      </c>
      <c r="F71" t="s">
        <v>62</v>
      </c>
      <c r="G71" s="41" t="s">
        <v>342</v>
      </c>
      <c r="H71" s="42">
        <v>0.83321759259259254</v>
      </c>
      <c r="I71" s="41" t="s">
        <v>342</v>
      </c>
      <c r="J71" s="42">
        <v>0.83321759259259254</v>
      </c>
      <c r="K71" t="s">
        <v>58</v>
      </c>
      <c r="L71" s="43"/>
    </row>
    <row r="72" spans="1:12" x14ac:dyDescent="0.25">
      <c r="A72">
        <v>1</v>
      </c>
      <c r="B72">
        <v>4381126</v>
      </c>
      <c r="C72" t="s">
        <v>21</v>
      </c>
      <c r="D72" t="s">
        <v>21</v>
      </c>
      <c r="E72">
        <v>0</v>
      </c>
      <c r="F72" t="s">
        <v>62</v>
      </c>
      <c r="G72" s="41" t="s">
        <v>342</v>
      </c>
      <c r="H72" s="42">
        <v>0.83321759259259254</v>
      </c>
      <c r="I72" s="41" t="s">
        <v>342</v>
      </c>
      <c r="J72" s="42">
        <v>0.83331018518518518</v>
      </c>
      <c r="K72" t="s">
        <v>58</v>
      </c>
      <c r="L72" s="43"/>
    </row>
    <row r="73" spans="1:12" x14ac:dyDescent="0.25">
      <c r="A73">
        <v>1</v>
      </c>
      <c r="B73">
        <v>4381127</v>
      </c>
      <c r="C73" t="s">
        <v>21</v>
      </c>
      <c r="D73" t="s">
        <v>21</v>
      </c>
      <c r="E73">
        <v>0</v>
      </c>
      <c r="F73" t="s">
        <v>62</v>
      </c>
      <c r="G73" s="41" t="s">
        <v>342</v>
      </c>
      <c r="H73" s="42">
        <v>0.83333333333333337</v>
      </c>
      <c r="I73" s="41" t="s">
        <v>342</v>
      </c>
      <c r="J73" s="42">
        <v>0.83337962962962964</v>
      </c>
      <c r="K73" t="s">
        <v>58</v>
      </c>
      <c r="L73" s="43"/>
    </row>
    <row r="74" spans="1:12" x14ac:dyDescent="0.25">
      <c r="A74">
        <v>1</v>
      </c>
      <c r="B74">
        <v>4381128</v>
      </c>
      <c r="C74" t="s">
        <v>21</v>
      </c>
      <c r="D74" t="s">
        <v>21</v>
      </c>
      <c r="E74">
        <v>0</v>
      </c>
      <c r="F74" t="s">
        <v>62</v>
      </c>
      <c r="G74" s="41" t="s">
        <v>342</v>
      </c>
      <c r="H74" s="42">
        <v>0.83344907407407409</v>
      </c>
      <c r="I74" s="41" t="s">
        <v>342</v>
      </c>
      <c r="J74" s="42">
        <v>0.83346064814814813</v>
      </c>
      <c r="K74" t="s">
        <v>58</v>
      </c>
      <c r="L74" s="43"/>
    </row>
    <row r="75" spans="1:12" x14ac:dyDescent="0.25">
      <c r="A75">
        <v>1</v>
      </c>
      <c r="B75">
        <v>4381129</v>
      </c>
      <c r="C75" t="s">
        <v>21</v>
      </c>
      <c r="D75" t="s">
        <v>21</v>
      </c>
      <c r="E75">
        <v>0</v>
      </c>
      <c r="F75" t="s">
        <v>62</v>
      </c>
      <c r="G75" s="41" t="s">
        <v>342</v>
      </c>
      <c r="H75" s="42">
        <v>0.83344907407407409</v>
      </c>
      <c r="I75" s="41" t="s">
        <v>342</v>
      </c>
      <c r="J75" s="42">
        <v>0.83353009259259259</v>
      </c>
      <c r="K75" t="s">
        <v>58</v>
      </c>
      <c r="L75" s="43"/>
    </row>
    <row r="76" spans="1:12" x14ac:dyDescent="0.25">
      <c r="A76">
        <v>1</v>
      </c>
      <c r="B76">
        <v>4381130</v>
      </c>
      <c r="C76" t="s">
        <v>21</v>
      </c>
      <c r="D76" t="s">
        <v>21</v>
      </c>
      <c r="E76">
        <v>0</v>
      </c>
      <c r="F76" t="s">
        <v>62</v>
      </c>
      <c r="G76" s="41" t="s">
        <v>342</v>
      </c>
      <c r="H76" s="42">
        <v>0.83356481481481481</v>
      </c>
      <c r="I76" s="41" t="s">
        <v>342</v>
      </c>
      <c r="J76" s="42">
        <v>0.83362268518518523</v>
      </c>
      <c r="K76" t="s">
        <v>58</v>
      </c>
      <c r="L76" s="43"/>
    </row>
    <row r="77" spans="1:12" x14ac:dyDescent="0.25">
      <c r="A77">
        <v>1</v>
      </c>
      <c r="B77">
        <v>4381133</v>
      </c>
      <c r="C77" t="s">
        <v>21</v>
      </c>
      <c r="D77" t="s">
        <v>21</v>
      </c>
      <c r="E77">
        <v>0</v>
      </c>
      <c r="F77" t="s">
        <v>62</v>
      </c>
      <c r="G77" s="41" t="s">
        <v>342</v>
      </c>
      <c r="H77" s="42">
        <v>0.83379629629629626</v>
      </c>
      <c r="I77" s="41" t="s">
        <v>342</v>
      </c>
      <c r="J77" s="42">
        <v>0.83385416666666667</v>
      </c>
      <c r="K77" t="s">
        <v>58</v>
      </c>
      <c r="L77" s="43"/>
    </row>
    <row r="78" spans="1:12" x14ac:dyDescent="0.25">
      <c r="A78">
        <v>1</v>
      </c>
      <c r="B78">
        <v>4381134</v>
      </c>
      <c r="C78" t="s">
        <v>21</v>
      </c>
      <c r="D78" t="s">
        <v>19</v>
      </c>
      <c r="E78">
        <v>0</v>
      </c>
      <c r="F78" t="s">
        <v>62</v>
      </c>
      <c r="G78" s="41" t="s">
        <v>342</v>
      </c>
      <c r="H78" s="42">
        <v>0.83391203703703709</v>
      </c>
      <c r="I78" s="41" t="s">
        <v>342</v>
      </c>
      <c r="J78" s="42">
        <v>0.83393518518518517</v>
      </c>
      <c r="K78" t="s">
        <v>58</v>
      </c>
      <c r="L78" s="43"/>
    </row>
    <row r="79" spans="1:12" x14ac:dyDescent="0.25">
      <c r="A79">
        <v>1</v>
      </c>
      <c r="B79">
        <v>4381135</v>
      </c>
      <c r="C79" t="s">
        <v>21</v>
      </c>
      <c r="D79" t="s">
        <v>21</v>
      </c>
      <c r="E79">
        <v>0</v>
      </c>
      <c r="F79" t="s">
        <v>62</v>
      </c>
      <c r="G79" s="41" t="s">
        <v>342</v>
      </c>
      <c r="H79" s="42">
        <v>0.83402777777777781</v>
      </c>
      <c r="I79" s="41" t="s">
        <v>342</v>
      </c>
      <c r="J79" s="42">
        <v>0.83407407407407408</v>
      </c>
      <c r="K79" t="s">
        <v>58</v>
      </c>
      <c r="L79" s="43"/>
    </row>
    <row r="80" spans="1:12" x14ac:dyDescent="0.25">
      <c r="A80">
        <v>1</v>
      </c>
      <c r="B80">
        <v>4381136</v>
      </c>
      <c r="C80" t="s">
        <v>21</v>
      </c>
      <c r="D80" t="s">
        <v>21</v>
      </c>
      <c r="E80">
        <v>0</v>
      </c>
      <c r="F80" t="s">
        <v>62</v>
      </c>
      <c r="G80" s="41" t="s">
        <v>342</v>
      </c>
      <c r="H80" s="42">
        <v>0.83414351851851853</v>
      </c>
      <c r="I80" s="41" t="s">
        <v>342</v>
      </c>
      <c r="J80" s="42">
        <v>0.83420138888888884</v>
      </c>
      <c r="K80" t="s">
        <v>58</v>
      </c>
      <c r="L80" s="43"/>
    </row>
    <row r="81" spans="1:12" x14ac:dyDescent="0.25">
      <c r="A81">
        <v>1</v>
      </c>
      <c r="B81">
        <v>4381137</v>
      </c>
      <c r="C81" t="s">
        <v>21</v>
      </c>
      <c r="D81" t="s">
        <v>21</v>
      </c>
      <c r="E81">
        <v>0</v>
      </c>
      <c r="F81" t="s">
        <v>62</v>
      </c>
      <c r="G81" s="41" t="s">
        <v>342</v>
      </c>
      <c r="H81" s="42">
        <v>0.83425925925925926</v>
      </c>
      <c r="I81" s="41" t="s">
        <v>342</v>
      </c>
      <c r="J81" s="42">
        <v>0.83442129629629624</v>
      </c>
      <c r="K81" t="s">
        <v>58</v>
      </c>
      <c r="L81" s="43"/>
    </row>
    <row r="82" spans="1:12" x14ac:dyDescent="0.25">
      <c r="A82">
        <v>1</v>
      </c>
      <c r="B82">
        <v>4381138</v>
      </c>
      <c r="C82" t="s">
        <v>21</v>
      </c>
      <c r="D82" t="s">
        <v>19</v>
      </c>
      <c r="E82">
        <v>0</v>
      </c>
      <c r="F82" t="s">
        <v>62</v>
      </c>
      <c r="G82" s="41" t="s">
        <v>342</v>
      </c>
      <c r="H82" s="42">
        <v>0.8344907407407407</v>
      </c>
      <c r="I82" s="41" t="s">
        <v>342</v>
      </c>
      <c r="J82" s="42">
        <v>0.83450231481481485</v>
      </c>
      <c r="K82" t="s">
        <v>58</v>
      </c>
      <c r="L82" s="43"/>
    </row>
    <row r="83" spans="1:12" x14ac:dyDescent="0.25">
      <c r="A83">
        <v>1</v>
      </c>
      <c r="B83">
        <v>4381139</v>
      </c>
      <c r="C83" t="s">
        <v>21</v>
      </c>
      <c r="D83" t="s">
        <v>21</v>
      </c>
      <c r="E83">
        <v>0</v>
      </c>
      <c r="F83" t="s">
        <v>62</v>
      </c>
      <c r="G83" s="41" t="s">
        <v>342</v>
      </c>
      <c r="H83" s="42">
        <v>0.8344907407407407</v>
      </c>
      <c r="I83" s="41" t="s">
        <v>342</v>
      </c>
      <c r="J83" s="42">
        <v>0.83459490740740738</v>
      </c>
      <c r="K83" t="s">
        <v>58</v>
      </c>
      <c r="L83" s="43"/>
    </row>
    <row r="84" spans="1:12" x14ac:dyDescent="0.25">
      <c r="A84">
        <v>1</v>
      </c>
      <c r="B84">
        <v>4381140</v>
      </c>
      <c r="C84" t="s">
        <v>21</v>
      </c>
      <c r="D84" t="s">
        <v>21</v>
      </c>
      <c r="E84">
        <v>0</v>
      </c>
      <c r="F84" t="s">
        <v>62</v>
      </c>
      <c r="G84" s="41" t="s">
        <v>342</v>
      </c>
      <c r="H84" s="42">
        <v>0.83460648148148153</v>
      </c>
      <c r="I84" s="41" t="s">
        <v>342</v>
      </c>
      <c r="J84" s="42">
        <v>0.83466435185185184</v>
      </c>
      <c r="K84" t="s">
        <v>58</v>
      </c>
      <c r="L84" s="43"/>
    </row>
    <row r="85" spans="1:12" x14ac:dyDescent="0.25">
      <c r="A85">
        <v>1</v>
      </c>
      <c r="B85">
        <v>4381141</v>
      </c>
      <c r="C85" t="s">
        <v>21</v>
      </c>
      <c r="D85" t="s">
        <v>19</v>
      </c>
      <c r="E85">
        <v>0</v>
      </c>
      <c r="F85" t="s">
        <v>62</v>
      </c>
      <c r="G85" s="41" t="s">
        <v>342</v>
      </c>
      <c r="H85" s="42">
        <v>0.83472222222222225</v>
      </c>
      <c r="I85" s="41" t="s">
        <v>342</v>
      </c>
      <c r="J85" s="42">
        <v>0.83474537037037033</v>
      </c>
      <c r="K85" t="s">
        <v>58</v>
      </c>
      <c r="L85" s="43"/>
    </row>
    <row r="86" spans="1:12" x14ac:dyDescent="0.25">
      <c r="A86">
        <v>1</v>
      </c>
      <c r="B86">
        <v>4381142</v>
      </c>
      <c r="C86" t="s">
        <v>21</v>
      </c>
      <c r="D86" t="s">
        <v>21</v>
      </c>
      <c r="E86">
        <v>0</v>
      </c>
      <c r="F86" t="s">
        <v>62</v>
      </c>
      <c r="G86" s="41" t="s">
        <v>342</v>
      </c>
      <c r="H86" s="42">
        <v>0.83472222222222225</v>
      </c>
      <c r="I86" s="41" t="s">
        <v>342</v>
      </c>
      <c r="J86" s="42">
        <v>0.83499999999999996</v>
      </c>
      <c r="K86" t="s">
        <v>58</v>
      </c>
      <c r="L86" s="43"/>
    </row>
    <row r="87" spans="1:12" x14ac:dyDescent="0.25">
      <c r="A87">
        <v>1</v>
      </c>
      <c r="B87">
        <v>4381143</v>
      </c>
      <c r="C87" t="s">
        <v>21</v>
      </c>
      <c r="D87" t="s">
        <v>19</v>
      </c>
      <c r="E87">
        <v>0</v>
      </c>
      <c r="F87" t="s">
        <v>62</v>
      </c>
      <c r="G87" s="41" t="s">
        <v>342</v>
      </c>
      <c r="H87" s="42">
        <v>0.83506944444444442</v>
      </c>
      <c r="I87" s="41" t="s">
        <v>342</v>
      </c>
      <c r="J87" s="42">
        <v>0.83506944444444442</v>
      </c>
      <c r="K87" t="s">
        <v>58</v>
      </c>
      <c r="L87" s="43"/>
    </row>
    <row r="88" spans="1:12" x14ac:dyDescent="0.25">
      <c r="A88">
        <v>1</v>
      </c>
      <c r="B88">
        <v>4381144</v>
      </c>
      <c r="C88" t="s">
        <v>21</v>
      </c>
      <c r="D88" t="s">
        <v>21</v>
      </c>
      <c r="E88">
        <v>0</v>
      </c>
      <c r="F88" t="s">
        <v>62</v>
      </c>
      <c r="G88" s="41" t="s">
        <v>342</v>
      </c>
      <c r="H88" s="42">
        <v>0.83506944444444442</v>
      </c>
      <c r="I88" s="41" t="s">
        <v>342</v>
      </c>
      <c r="J88" s="42">
        <v>0.83515046296296291</v>
      </c>
      <c r="K88" t="s">
        <v>58</v>
      </c>
      <c r="L88" s="43"/>
    </row>
    <row r="89" spans="1:12" x14ac:dyDescent="0.25">
      <c r="A89">
        <v>1</v>
      </c>
      <c r="B89">
        <v>4381145</v>
      </c>
      <c r="C89" t="s">
        <v>21</v>
      </c>
      <c r="D89" t="s">
        <v>21</v>
      </c>
      <c r="E89">
        <v>0</v>
      </c>
      <c r="F89" t="s">
        <v>62</v>
      </c>
      <c r="G89" s="41" t="s">
        <v>342</v>
      </c>
      <c r="H89" s="42">
        <v>0.83518518518518514</v>
      </c>
      <c r="I89" s="41" t="s">
        <v>342</v>
      </c>
      <c r="J89" s="42">
        <v>0.83524305555555556</v>
      </c>
      <c r="K89" t="s">
        <v>58</v>
      </c>
      <c r="L89" s="43"/>
    </row>
    <row r="90" spans="1:12" x14ac:dyDescent="0.25">
      <c r="A90">
        <v>1</v>
      </c>
      <c r="B90">
        <v>4381146</v>
      </c>
      <c r="C90" t="s">
        <v>21</v>
      </c>
      <c r="D90" t="s">
        <v>19</v>
      </c>
      <c r="E90">
        <v>0</v>
      </c>
      <c r="F90" t="s">
        <v>62</v>
      </c>
      <c r="G90" s="41" t="s">
        <v>342</v>
      </c>
      <c r="H90" s="42">
        <v>0.83530092592592597</v>
      </c>
      <c r="I90" s="41" t="s">
        <v>342</v>
      </c>
      <c r="J90" s="42">
        <v>0.83531250000000001</v>
      </c>
      <c r="K90" t="s">
        <v>58</v>
      </c>
      <c r="L90" s="43"/>
    </row>
    <row r="91" spans="1:12" x14ac:dyDescent="0.25">
      <c r="A91">
        <v>1</v>
      </c>
      <c r="B91">
        <v>4381163</v>
      </c>
      <c r="C91" t="s">
        <v>21</v>
      </c>
      <c r="D91" t="s">
        <v>21</v>
      </c>
      <c r="E91">
        <v>0</v>
      </c>
      <c r="F91" t="s">
        <v>62</v>
      </c>
      <c r="G91" s="41" t="s">
        <v>342</v>
      </c>
      <c r="H91" s="42">
        <v>0.83657407407407403</v>
      </c>
      <c r="I91" s="41" t="s">
        <v>342</v>
      </c>
      <c r="J91" s="42">
        <v>0.83666666666666667</v>
      </c>
      <c r="K91" t="s">
        <v>58</v>
      </c>
      <c r="L91" s="43"/>
    </row>
    <row r="92" spans="1:12" x14ac:dyDescent="0.25">
      <c r="A92">
        <v>1</v>
      </c>
      <c r="B92">
        <v>4381172</v>
      </c>
      <c r="C92" t="s">
        <v>21</v>
      </c>
      <c r="D92" t="s">
        <v>21</v>
      </c>
      <c r="E92">
        <v>0</v>
      </c>
      <c r="F92" t="s">
        <v>62</v>
      </c>
      <c r="G92" s="41" t="s">
        <v>342</v>
      </c>
      <c r="H92" s="42">
        <v>0.83761574074074074</v>
      </c>
      <c r="I92" s="41" t="s">
        <v>342</v>
      </c>
      <c r="J92" s="42">
        <v>0.83761574074074074</v>
      </c>
      <c r="K92" t="s">
        <v>58</v>
      </c>
      <c r="L92" s="43"/>
    </row>
    <row r="93" spans="1:12" x14ac:dyDescent="0.25">
      <c r="A93">
        <v>1</v>
      </c>
      <c r="B93">
        <v>4381177</v>
      </c>
      <c r="C93" t="s">
        <v>21</v>
      </c>
      <c r="D93" t="s">
        <v>19</v>
      </c>
      <c r="E93">
        <v>0</v>
      </c>
      <c r="F93" t="s">
        <v>62</v>
      </c>
      <c r="G93" s="41" t="s">
        <v>342</v>
      </c>
      <c r="H93" s="42">
        <v>0.83796296296296291</v>
      </c>
      <c r="I93" s="41" t="s">
        <v>342</v>
      </c>
      <c r="J93" s="42">
        <v>0.83797453703703706</v>
      </c>
      <c r="K93" t="s">
        <v>58</v>
      </c>
      <c r="L93" s="43"/>
    </row>
    <row r="94" spans="1:12" x14ac:dyDescent="0.25">
      <c r="A94">
        <v>1</v>
      </c>
      <c r="B94">
        <v>4381179</v>
      </c>
      <c r="C94" t="s">
        <v>21</v>
      </c>
      <c r="D94" t="s">
        <v>19</v>
      </c>
      <c r="E94">
        <v>0</v>
      </c>
      <c r="F94" t="s">
        <v>62</v>
      </c>
      <c r="G94" s="41" t="s">
        <v>342</v>
      </c>
      <c r="H94" s="42">
        <v>0.83819444444444446</v>
      </c>
      <c r="I94" s="41" t="s">
        <v>342</v>
      </c>
      <c r="J94" s="42">
        <v>0.83824074074074073</v>
      </c>
      <c r="K94" t="s">
        <v>58</v>
      </c>
      <c r="L94" s="43"/>
    </row>
    <row r="95" spans="1:12" x14ac:dyDescent="0.25">
      <c r="A95">
        <v>1</v>
      </c>
      <c r="B95">
        <v>4381180</v>
      </c>
      <c r="C95" t="s">
        <v>21</v>
      </c>
      <c r="D95" t="s">
        <v>19</v>
      </c>
      <c r="E95">
        <v>0</v>
      </c>
      <c r="F95" t="s">
        <v>62</v>
      </c>
      <c r="G95" s="41" t="s">
        <v>342</v>
      </c>
      <c r="H95" s="42">
        <v>0.83831018518518519</v>
      </c>
      <c r="I95" s="41" t="s">
        <v>342</v>
      </c>
      <c r="J95" s="42">
        <v>0.83832175925925922</v>
      </c>
      <c r="K95" t="s">
        <v>58</v>
      </c>
      <c r="L95" s="43"/>
    </row>
    <row r="96" spans="1:12" x14ac:dyDescent="0.25">
      <c r="A96">
        <v>1</v>
      </c>
      <c r="B96">
        <v>4381182</v>
      </c>
      <c r="C96" t="s">
        <v>21</v>
      </c>
      <c r="D96" t="s">
        <v>21</v>
      </c>
      <c r="E96">
        <v>0</v>
      </c>
      <c r="F96" t="s">
        <v>62</v>
      </c>
      <c r="G96" s="41" t="s">
        <v>342</v>
      </c>
      <c r="H96" s="42">
        <v>0.83842592592592591</v>
      </c>
      <c r="I96" s="41" t="s">
        <v>342</v>
      </c>
      <c r="J96" s="42">
        <v>0.8384490740740741</v>
      </c>
      <c r="K96" t="s">
        <v>58</v>
      </c>
      <c r="L96" s="43"/>
    </row>
    <row r="97" spans="1:12" x14ac:dyDescent="0.25">
      <c r="A97">
        <v>1</v>
      </c>
      <c r="B97">
        <v>4381188</v>
      </c>
      <c r="C97" t="s">
        <v>21</v>
      </c>
      <c r="D97" t="s">
        <v>21</v>
      </c>
      <c r="E97">
        <v>0</v>
      </c>
      <c r="F97" t="s">
        <v>62</v>
      </c>
      <c r="G97" s="41" t="s">
        <v>381</v>
      </c>
      <c r="H97" s="42">
        <v>0.34166666666666667</v>
      </c>
      <c r="I97" s="41" t="s">
        <v>381</v>
      </c>
      <c r="J97" s="42">
        <v>0.3417824074074074</v>
      </c>
      <c r="K97" t="s">
        <v>58</v>
      </c>
      <c r="L97" s="43"/>
    </row>
    <row r="98" spans="1:12" x14ac:dyDescent="0.25">
      <c r="A98">
        <v>1</v>
      </c>
      <c r="B98">
        <v>4381190</v>
      </c>
      <c r="C98" t="s">
        <v>21</v>
      </c>
      <c r="D98" t="s">
        <v>21</v>
      </c>
      <c r="E98">
        <v>0</v>
      </c>
      <c r="F98" t="s">
        <v>62</v>
      </c>
      <c r="G98" s="41" t="s">
        <v>381</v>
      </c>
      <c r="H98" s="42">
        <v>0.35543981481481479</v>
      </c>
      <c r="I98" s="41" t="s">
        <v>381</v>
      </c>
      <c r="J98" s="42">
        <v>0.35555555555555557</v>
      </c>
      <c r="K98" t="s">
        <v>58</v>
      </c>
      <c r="L98" s="43"/>
    </row>
    <row r="99" spans="1:12" x14ac:dyDescent="0.25">
      <c r="A99">
        <v>1</v>
      </c>
      <c r="B99">
        <v>4381191</v>
      </c>
      <c r="C99" t="s">
        <v>17</v>
      </c>
      <c r="D99" t="s">
        <v>17</v>
      </c>
      <c r="E99">
        <v>0</v>
      </c>
      <c r="F99" t="s">
        <v>62</v>
      </c>
      <c r="G99" s="41" t="s">
        <v>381</v>
      </c>
      <c r="H99" s="42">
        <v>0.35173611111111114</v>
      </c>
      <c r="I99" s="41" t="s">
        <v>381</v>
      </c>
      <c r="J99" s="42">
        <v>0.35182870370370373</v>
      </c>
      <c r="K99" t="s">
        <v>58</v>
      </c>
      <c r="L99" s="43"/>
    </row>
    <row r="100" spans="1:12" x14ac:dyDescent="0.25">
      <c r="A100">
        <v>1</v>
      </c>
      <c r="B100">
        <v>4381192</v>
      </c>
      <c r="C100" t="s">
        <v>21</v>
      </c>
      <c r="D100" t="s">
        <v>21</v>
      </c>
      <c r="E100">
        <v>0</v>
      </c>
      <c r="F100" t="s">
        <v>62</v>
      </c>
      <c r="G100" s="41" t="s">
        <v>381</v>
      </c>
      <c r="H100" s="42">
        <v>0.36944444444444446</v>
      </c>
      <c r="I100" s="41" t="s">
        <v>381</v>
      </c>
      <c r="J100" s="42">
        <v>0.36956018518518519</v>
      </c>
      <c r="K100" t="s">
        <v>58</v>
      </c>
      <c r="L100" s="43"/>
    </row>
    <row r="101" spans="1:12" x14ac:dyDescent="0.25">
      <c r="A101">
        <v>1</v>
      </c>
      <c r="B101">
        <v>4381193</v>
      </c>
      <c r="C101" t="s">
        <v>17</v>
      </c>
      <c r="D101" t="s">
        <v>17</v>
      </c>
      <c r="E101">
        <v>0</v>
      </c>
      <c r="F101" t="s">
        <v>62</v>
      </c>
      <c r="G101" s="41" t="s">
        <v>381</v>
      </c>
      <c r="H101" s="42">
        <v>0.36967592592592591</v>
      </c>
      <c r="I101" s="41" t="s">
        <v>381</v>
      </c>
      <c r="J101" s="42">
        <v>0.36975694444444446</v>
      </c>
      <c r="K101" t="s">
        <v>58</v>
      </c>
      <c r="L101" s="43"/>
    </row>
    <row r="102" spans="1:12" x14ac:dyDescent="0.25">
      <c r="A102">
        <v>1</v>
      </c>
      <c r="B102">
        <v>4381194</v>
      </c>
      <c r="C102" t="s">
        <v>17</v>
      </c>
      <c r="D102" t="s">
        <v>17</v>
      </c>
      <c r="E102">
        <v>0</v>
      </c>
      <c r="F102" t="s">
        <v>62</v>
      </c>
      <c r="G102" s="41" t="s">
        <v>381</v>
      </c>
      <c r="H102" s="42">
        <v>0.36979166666666669</v>
      </c>
      <c r="I102" s="41" t="s">
        <v>381</v>
      </c>
      <c r="J102" s="42">
        <v>0.36982638888888891</v>
      </c>
      <c r="K102" t="s">
        <v>58</v>
      </c>
      <c r="L102" s="43"/>
    </row>
    <row r="103" spans="1:12" x14ac:dyDescent="0.25">
      <c r="A103">
        <v>1</v>
      </c>
      <c r="B103">
        <v>4381195</v>
      </c>
      <c r="C103" t="s">
        <v>21</v>
      </c>
      <c r="D103" t="s">
        <v>21</v>
      </c>
      <c r="E103">
        <v>0</v>
      </c>
      <c r="F103" t="s">
        <v>62</v>
      </c>
      <c r="G103" s="41" t="s">
        <v>381</v>
      </c>
      <c r="H103" s="42">
        <v>0.36956018518518519</v>
      </c>
      <c r="I103" s="41" t="s">
        <v>381</v>
      </c>
      <c r="J103" s="42">
        <v>0.36964120370370368</v>
      </c>
      <c r="K103" t="s">
        <v>58</v>
      </c>
      <c r="L103" s="43"/>
    </row>
    <row r="104" spans="1:12" x14ac:dyDescent="0.25">
      <c r="A104">
        <v>1</v>
      </c>
      <c r="B104">
        <v>4381303</v>
      </c>
      <c r="C104" t="s">
        <v>21</v>
      </c>
      <c r="D104" t="s">
        <v>21</v>
      </c>
      <c r="E104">
        <v>0</v>
      </c>
      <c r="F104" t="s">
        <v>62</v>
      </c>
      <c r="G104" s="41" t="s">
        <v>381</v>
      </c>
      <c r="H104" s="42">
        <v>0.38368055555555558</v>
      </c>
      <c r="I104" s="41" t="s">
        <v>381</v>
      </c>
      <c r="J104" s="42">
        <v>0.38376157407407407</v>
      </c>
      <c r="K104" t="s">
        <v>58</v>
      </c>
      <c r="L104" s="43"/>
    </row>
    <row r="105" spans="1:12" x14ac:dyDescent="0.25">
      <c r="A105">
        <v>1</v>
      </c>
      <c r="B105">
        <v>4381304</v>
      </c>
      <c r="C105" t="s">
        <v>17</v>
      </c>
      <c r="D105" t="s">
        <v>17</v>
      </c>
      <c r="E105">
        <v>0</v>
      </c>
      <c r="F105" t="s">
        <v>62</v>
      </c>
      <c r="G105" s="41" t="s">
        <v>381</v>
      </c>
      <c r="H105" s="42">
        <v>0.39675925925925926</v>
      </c>
      <c r="I105" s="41" t="s">
        <v>381</v>
      </c>
      <c r="J105" s="42">
        <v>0.39688657407407407</v>
      </c>
      <c r="K105" t="s">
        <v>58</v>
      </c>
      <c r="L105" s="43"/>
    </row>
    <row r="106" spans="1:12" x14ac:dyDescent="0.25">
      <c r="A106">
        <v>1</v>
      </c>
      <c r="B106">
        <v>4381370</v>
      </c>
      <c r="C106" t="s">
        <v>21</v>
      </c>
      <c r="D106" t="s">
        <v>21</v>
      </c>
      <c r="E106">
        <v>0</v>
      </c>
      <c r="F106" t="s">
        <v>62</v>
      </c>
      <c r="G106" s="41" t="s">
        <v>381</v>
      </c>
      <c r="H106" s="42">
        <v>0.4599537037037037</v>
      </c>
      <c r="I106" s="41" t="s">
        <v>381</v>
      </c>
      <c r="J106" s="42">
        <v>0.45996527777777779</v>
      </c>
      <c r="K106" t="s">
        <v>58</v>
      </c>
      <c r="L106" s="43"/>
    </row>
    <row r="107" spans="1:12" x14ac:dyDescent="0.25">
      <c r="A107">
        <v>1</v>
      </c>
      <c r="B107">
        <v>4381383</v>
      </c>
      <c r="C107" t="s">
        <v>17</v>
      </c>
      <c r="D107" t="s">
        <v>17</v>
      </c>
      <c r="E107">
        <v>0</v>
      </c>
      <c r="F107" t="s">
        <v>62</v>
      </c>
      <c r="G107" s="41" t="s">
        <v>381</v>
      </c>
      <c r="H107" s="42">
        <v>0.46030092592592592</v>
      </c>
      <c r="I107" s="41" t="s">
        <v>381</v>
      </c>
      <c r="J107" s="42">
        <v>0.46033564814814815</v>
      </c>
      <c r="K107" t="s">
        <v>58</v>
      </c>
      <c r="L107" s="43"/>
    </row>
    <row r="108" spans="1:12" x14ac:dyDescent="0.25">
      <c r="A108">
        <v>1</v>
      </c>
      <c r="B108">
        <v>4381574</v>
      </c>
      <c r="C108" t="s">
        <v>17</v>
      </c>
      <c r="D108" t="s">
        <v>17</v>
      </c>
      <c r="E108">
        <v>0</v>
      </c>
      <c r="F108" t="s">
        <v>62</v>
      </c>
      <c r="G108" s="41" t="s">
        <v>381</v>
      </c>
      <c r="H108" s="42">
        <v>0.53217592592592589</v>
      </c>
      <c r="I108" s="41" t="s">
        <v>381</v>
      </c>
      <c r="J108" s="42">
        <v>0.53221064814814811</v>
      </c>
      <c r="K108" t="s">
        <v>58</v>
      </c>
      <c r="L108" s="43"/>
    </row>
    <row r="109" spans="1:12" x14ac:dyDescent="0.25">
      <c r="A109">
        <v>1</v>
      </c>
      <c r="B109">
        <v>4381575</v>
      </c>
      <c r="C109" t="s">
        <v>17</v>
      </c>
      <c r="D109" t="s">
        <v>17</v>
      </c>
      <c r="E109">
        <v>0</v>
      </c>
      <c r="F109" t="s">
        <v>62</v>
      </c>
      <c r="G109" s="41" t="s">
        <v>381</v>
      </c>
      <c r="H109" s="42">
        <v>0.53217592592592589</v>
      </c>
      <c r="I109" s="41" t="s">
        <v>381</v>
      </c>
      <c r="J109" s="42">
        <v>0.53225694444444449</v>
      </c>
      <c r="K109" t="s">
        <v>58</v>
      </c>
      <c r="L109" s="43"/>
    </row>
    <row r="110" spans="1:12" x14ac:dyDescent="0.25">
      <c r="A110">
        <v>1</v>
      </c>
      <c r="B110">
        <v>4381634</v>
      </c>
      <c r="C110" t="s">
        <v>20</v>
      </c>
      <c r="D110" t="s">
        <v>20</v>
      </c>
      <c r="E110">
        <v>0</v>
      </c>
      <c r="F110" t="s">
        <v>62</v>
      </c>
      <c r="G110" s="41" t="s">
        <v>381</v>
      </c>
      <c r="H110" s="42">
        <v>0.66840277777777779</v>
      </c>
      <c r="I110" s="41" t="s">
        <v>381</v>
      </c>
      <c r="J110" s="42">
        <v>0.6684606481481481</v>
      </c>
      <c r="K110" t="s">
        <v>58</v>
      </c>
      <c r="L110" s="43"/>
    </row>
    <row r="111" spans="1:12" x14ac:dyDescent="0.25">
      <c r="A111">
        <v>1</v>
      </c>
      <c r="B111">
        <v>4381635</v>
      </c>
      <c r="C111" t="s">
        <v>20</v>
      </c>
      <c r="D111" t="s">
        <v>20</v>
      </c>
      <c r="E111">
        <v>0</v>
      </c>
      <c r="F111" t="s">
        <v>62</v>
      </c>
      <c r="G111" s="41" t="s">
        <v>381</v>
      </c>
      <c r="H111" s="42">
        <v>0.66840277777777779</v>
      </c>
      <c r="I111" s="41" t="s">
        <v>381</v>
      </c>
      <c r="J111" s="42">
        <v>0.66850694444444447</v>
      </c>
      <c r="K111" t="s">
        <v>58</v>
      </c>
      <c r="L111" s="43"/>
    </row>
    <row r="112" spans="1:12" x14ac:dyDescent="0.25">
      <c r="A112">
        <v>1</v>
      </c>
      <c r="B112">
        <v>4381636</v>
      </c>
      <c r="C112" t="s">
        <v>20</v>
      </c>
      <c r="D112" t="s">
        <v>20</v>
      </c>
      <c r="E112">
        <v>0</v>
      </c>
      <c r="F112" t="s">
        <v>62</v>
      </c>
      <c r="G112" s="41" t="s">
        <v>381</v>
      </c>
      <c r="H112" s="42">
        <v>0.66851851851851851</v>
      </c>
      <c r="I112" s="41" t="s">
        <v>381</v>
      </c>
      <c r="J112" s="42">
        <v>0.66856481481481478</v>
      </c>
      <c r="K112" t="s">
        <v>58</v>
      </c>
      <c r="L112" s="43"/>
    </row>
    <row r="113" spans="1:12" x14ac:dyDescent="0.25">
      <c r="A113">
        <v>1</v>
      </c>
      <c r="B113">
        <v>4381637</v>
      </c>
      <c r="C113" t="s">
        <v>20</v>
      </c>
      <c r="D113" t="s">
        <v>20</v>
      </c>
      <c r="E113">
        <v>0</v>
      </c>
      <c r="F113" t="s">
        <v>62</v>
      </c>
      <c r="G113" s="41" t="s">
        <v>381</v>
      </c>
      <c r="H113" s="42">
        <v>0.66851851851851851</v>
      </c>
      <c r="I113" s="41" t="s">
        <v>381</v>
      </c>
      <c r="J113" s="42">
        <v>0.66862268518518519</v>
      </c>
      <c r="K113" t="s">
        <v>58</v>
      </c>
      <c r="L113" s="43"/>
    </row>
    <row r="114" spans="1:12" x14ac:dyDescent="0.25">
      <c r="A114">
        <v>1</v>
      </c>
      <c r="B114">
        <v>4381638</v>
      </c>
      <c r="C114" t="s">
        <v>20</v>
      </c>
      <c r="D114" t="s">
        <v>20</v>
      </c>
      <c r="E114">
        <v>0</v>
      </c>
      <c r="F114" t="s">
        <v>62</v>
      </c>
      <c r="G114" s="41" t="s">
        <v>381</v>
      </c>
      <c r="H114" s="42">
        <v>0.67743055555555554</v>
      </c>
      <c r="I114" s="41" t="s">
        <v>381</v>
      </c>
      <c r="J114" s="42">
        <v>0.67745370370370372</v>
      </c>
      <c r="K114" t="s">
        <v>58</v>
      </c>
      <c r="L114" s="43"/>
    </row>
    <row r="115" spans="1:12" x14ac:dyDescent="0.25">
      <c r="A115">
        <v>1</v>
      </c>
      <c r="B115">
        <v>4381639</v>
      </c>
      <c r="C115" t="s">
        <v>20</v>
      </c>
      <c r="D115" t="s">
        <v>20</v>
      </c>
      <c r="E115">
        <v>0</v>
      </c>
      <c r="F115" t="s">
        <v>62</v>
      </c>
      <c r="G115" s="41" t="s">
        <v>381</v>
      </c>
      <c r="H115" s="42">
        <v>0.67743055555555554</v>
      </c>
      <c r="I115" s="41" t="s">
        <v>381</v>
      </c>
      <c r="J115" s="42">
        <v>0.67751157407407403</v>
      </c>
      <c r="K115" t="s">
        <v>58</v>
      </c>
      <c r="L115" s="43"/>
    </row>
    <row r="116" spans="1:12" x14ac:dyDescent="0.25">
      <c r="A116">
        <v>1</v>
      </c>
      <c r="B116">
        <v>4381704</v>
      </c>
      <c r="C116" t="s">
        <v>17</v>
      </c>
      <c r="D116" t="s">
        <v>17</v>
      </c>
      <c r="E116">
        <v>0</v>
      </c>
      <c r="F116" t="s">
        <v>62</v>
      </c>
      <c r="G116" s="41" t="s">
        <v>381</v>
      </c>
      <c r="H116" s="42">
        <v>0.61365740740740737</v>
      </c>
      <c r="I116" s="41" t="s">
        <v>381</v>
      </c>
      <c r="J116" s="42">
        <v>0.61372685185185183</v>
      </c>
      <c r="K116" t="s">
        <v>58</v>
      </c>
      <c r="L116" s="43"/>
    </row>
    <row r="117" spans="1:12" x14ac:dyDescent="0.25">
      <c r="A117">
        <v>1</v>
      </c>
      <c r="B117">
        <v>4381706</v>
      </c>
      <c r="C117" t="s">
        <v>17</v>
      </c>
      <c r="D117" t="s">
        <v>17</v>
      </c>
      <c r="E117">
        <v>0</v>
      </c>
      <c r="F117" t="s">
        <v>62</v>
      </c>
      <c r="G117" s="41" t="s">
        <v>381</v>
      </c>
      <c r="H117" s="42">
        <v>0.6137731481481481</v>
      </c>
      <c r="I117" s="41" t="s">
        <v>381</v>
      </c>
      <c r="J117" s="42">
        <v>0.61383101851851851</v>
      </c>
      <c r="K117" t="s">
        <v>58</v>
      </c>
      <c r="L117" s="43"/>
    </row>
    <row r="118" spans="1:12" x14ac:dyDescent="0.25">
      <c r="A118">
        <v>1</v>
      </c>
      <c r="B118">
        <v>4381707</v>
      </c>
      <c r="C118" t="s">
        <v>17</v>
      </c>
      <c r="D118" t="s">
        <v>17</v>
      </c>
      <c r="E118">
        <v>0</v>
      </c>
      <c r="F118" t="s">
        <v>62</v>
      </c>
      <c r="G118" s="41" t="s">
        <v>381</v>
      </c>
      <c r="H118" s="42">
        <v>0.6137731481481481</v>
      </c>
      <c r="I118" s="41" t="s">
        <v>381</v>
      </c>
      <c r="J118" s="42">
        <v>0.61388888888888893</v>
      </c>
      <c r="K118" t="s">
        <v>58</v>
      </c>
      <c r="L118" s="43"/>
    </row>
    <row r="119" spans="1:12" x14ac:dyDescent="0.25">
      <c r="A119">
        <v>1</v>
      </c>
      <c r="B119">
        <v>4381710</v>
      </c>
      <c r="C119" t="s">
        <v>17</v>
      </c>
      <c r="D119" t="s">
        <v>17</v>
      </c>
      <c r="E119">
        <v>0</v>
      </c>
      <c r="F119" t="s">
        <v>62</v>
      </c>
      <c r="G119" s="41" t="s">
        <v>381</v>
      </c>
      <c r="H119" s="42">
        <v>0.61400462962962965</v>
      </c>
      <c r="I119" s="41" t="s">
        <v>381</v>
      </c>
      <c r="J119" s="42">
        <v>0.61403935185185188</v>
      </c>
      <c r="K119" t="s">
        <v>58</v>
      </c>
      <c r="L119" s="43"/>
    </row>
    <row r="120" spans="1:12" x14ac:dyDescent="0.25">
      <c r="A120">
        <v>1</v>
      </c>
      <c r="B120">
        <v>4381712</v>
      </c>
      <c r="C120" t="s">
        <v>17</v>
      </c>
      <c r="D120" t="s">
        <v>17</v>
      </c>
      <c r="E120">
        <v>0</v>
      </c>
      <c r="F120" t="s">
        <v>62</v>
      </c>
      <c r="G120" s="41" t="s">
        <v>381</v>
      </c>
      <c r="H120" s="42">
        <v>0.61412037037037037</v>
      </c>
      <c r="I120" s="41" t="s">
        <v>381</v>
      </c>
      <c r="J120" s="42">
        <v>0.61413194444444441</v>
      </c>
      <c r="K120" t="s">
        <v>58</v>
      </c>
      <c r="L120" s="43"/>
    </row>
    <row r="121" spans="1:12" x14ac:dyDescent="0.25">
      <c r="A121">
        <v>1</v>
      </c>
      <c r="B121">
        <v>4381717</v>
      </c>
      <c r="C121" t="s">
        <v>17</v>
      </c>
      <c r="D121" t="s">
        <v>17</v>
      </c>
      <c r="E121">
        <v>0</v>
      </c>
      <c r="F121" t="s">
        <v>62</v>
      </c>
      <c r="G121" s="41" t="s">
        <v>381</v>
      </c>
      <c r="H121" s="42">
        <v>0.61435185185185182</v>
      </c>
      <c r="I121" s="41" t="s">
        <v>381</v>
      </c>
      <c r="J121" s="42">
        <v>0.61438657407407404</v>
      </c>
      <c r="K121" t="s">
        <v>58</v>
      </c>
      <c r="L121" s="43"/>
    </row>
    <row r="122" spans="1:12" x14ac:dyDescent="0.25">
      <c r="A122">
        <v>1</v>
      </c>
      <c r="B122">
        <v>4381718</v>
      </c>
      <c r="C122" t="s">
        <v>17</v>
      </c>
      <c r="D122" t="s">
        <v>17</v>
      </c>
      <c r="E122">
        <v>0</v>
      </c>
      <c r="F122" t="s">
        <v>62</v>
      </c>
      <c r="G122" s="41" t="s">
        <v>381</v>
      </c>
      <c r="H122" s="42">
        <v>0.61435185185185182</v>
      </c>
      <c r="I122" s="41" t="s">
        <v>381</v>
      </c>
      <c r="J122" s="42">
        <v>0.61443287037037042</v>
      </c>
      <c r="K122" t="s">
        <v>58</v>
      </c>
      <c r="L122" s="43"/>
    </row>
    <row r="123" spans="1:12" x14ac:dyDescent="0.25">
      <c r="A123">
        <v>1</v>
      </c>
      <c r="B123">
        <v>4381719</v>
      </c>
      <c r="C123" t="s">
        <v>17</v>
      </c>
      <c r="D123" t="s">
        <v>17</v>
      </c>
      <c r="E123">
        <v>0</v>
      </c>
      <c r="F123" t="s">
        <v>62</v>
      </c>
      <c r="G123" s="41" t="s">
        <v>381</v>
      </c>
      <c r="H123" s="42">
        <v>0.61446759259259254</v>
      </c>
      <c r="I123" s="41" t="s">
        <v>381</v>
      </c>
      <c r="J123" s="42">
        <v>0.61447916666666669</v>
      </c>
      <c r="K123" t="s">
        <v>58</v>
      </c>
      <c r="L123" s="43"/>
    </row>
    <row r="124" spans="1:12" x14ac:dyDescent="0.25">
      <c r="A124">
        <v>1</v>
      </c>
      <c r="B124">
        <v>4381724</v>
      </c>
      <c r="C124" t="s">
        <v>17</v>
      </c>
      <c r="D124" t="s">
        <v>17</v>
      </c>
      <c r="E124">
        <v>0</v>
      </c>
      <c r="F124" t="s">
        <v>62</v>
      </c>
      <c r="G124" s="41" t="s">
        <v>381</v>
      </c>
      <c r="H124" s="42">
        <v>0.61481481481481481</v>
      </c>
      <c r="I124" s="41" t="s">
        <v>381</v>
      </c>
      <c r="J124" s="42">
        <v>0.614837962962963</v>
      </c>
      <c r="K124" t="s">
        <v>58</v>
      </c>
      <c r="L124" s="43"/>
    </row>
    <row r="125" spans="1:12" x14ac:dyDescent="0.25">
      <c r="A125">
        <v>1</v>
      </c>
      <c r="B125">
        <v>4381729</v>
      </c>
      <c r="C125" t="s">
        <v>17</v>
      </c>
      <c r="D125" t="s">
        <v>17</v>
      </c>
      <c r="E125">
        <v>0</v>
      </c>
      <c r="F125" t="s">
        <v>62</v>
      </c>
      <c r="G125" s="41" t="s">
        <v>381</v>
      </c>
      <c r="H125" s="42">
        <v>0.61504629629629626</v>
      </c>
      <c r="I125" s="41" t="s">
        <v>381</v>
      </c>
      <c r="J125" s="42">
        <v>0.61515046296296294</v>
      </c>
      <c r="K125" t="s">
        <v>58</v>
      </c>
      <c r="L125" s="43"/>
    </row>
    <row r="126" spans="1:12" x14ac:dyDescent="0.25">
      <c r="A126">
        <v>1</v>
      </c>
      <c r="B126">
        <v>4381733</v>
      </c>
      <c r="C126" t="s">
        <v>17</v>
      </c>
      <c r="D126" t="s">
        <v>17</v>
      </c>
      <c r="E126">
        <v>0</v>
      </c>
      <c r="F126" t="s">
        <v>62</v>
      </c>
      <c r="G126" s="41" t="s">
        <v>381</v>
      </c>
      <c r="H126" s="42">
        <v>0.61539351851851853</v>
      </c>
      <c r="I126" s="41" t="s">
        <v>381</v>
      </c>
      <c r="J126" s="42">
        <v>0.61539351851851853</v>
      </c>
      <c r="K126" t="s">
        <v>58</v>
      </c>
      <c r="L126" s="43"/>
    </row>
    <row r="127" spans="1:12" x14ac:dyDescent="0.25">
      <c r="A127">
        <v>1</v>
      </c>
      <c r="B127">
        <v>4381738</v>
      </c>
      <c r="C127" t="s">
        <v>17</v>
      </c>
      <c r="D127" t="s">
        <v>17</v>
      </c>
      <c r="E127">
        <v>0</v>
      </c>
      <c r="F127" t="s">
        <v>62</v>
      </c>
      <c r="G127" s="41" t="s">
        <v>381</v>
      </c>
      <c r="H127" s="42">
        <v>0.61562499999999998</v>
      </c>
      <c r="I127" s="41" t="s">
        <v>381</v>
      </c>
      <c r="J127" s="42">
        <v>0.61568287037037039</v>
      </c>
      <c r="K127" t="s">
        <v>58</v>
      </c>
      <c r="L127" s="43"/>
    </row>
    <row r="128" spans="1:12" x14ac:dyDescent="0.25">
      <c r="A128">
        <v>1</v>
      </c>
      <c r="B128">
        <v>4381751</v>
      </c>
      <c r="C128" t="s">
        <v>17</v>
      </c>
      <c r="D128" t="s">
        <v>17</v>
      </c>
      <c r="E128">
        <v>0</v>
      </c>
      <c r="F128" t="s">
        <v>62</v>
      </c>
      <c r="G128" s="41" t="s">
        <v>381</v>
      </c>
      <c r="H128" s="42">
        <v>0.61643518518518514</v>
      </c>
      <c r="I128" s="41" t="s">
        <v>381</v>
      </c>
      <c r="J128" s="42">
        <v>0.61645833333333333</v>
      </c>
      <c r="K128" t="s">
        <v>58</v>
      </c>
      <c r="L128" s="43"/>
    </row>
    <row r="129" spans="1:12" x14ac:dyDescent="0.25">
      <c r="A129">
        <v>1</v>
      </c>
      <c r="B129">
        <v>4381752</v>
      </c>
      <c r="C129" t="s">
        <v>17</v>
      </c>
      <c r="D129" t="s">
        <v>17</v>
      </c>
      <c r="E129">
        <v>0</v>
      </c>
      <c r="F129" t="s">
        <v>62</v>
      </c>
      <c r="G129" s="41" t="s">
        <v>381</v>
      </c>
      <c r="H129" s="42">
        <v>0.61643518518518514</v>
      </c>
      <c r="I129" s="41" t="s">
        <v>381</v>
      </c>
      <c r="J129" s="42">
        <v>0.61653935185185182</v>
      </c>
      <c r="K129" t="s">
        <v>58</v>
      </c>
      <c r="L129" s="43"/>
    </row>
    <row r="130" spans="1:12" x14ac:dyDescent="0.25">
      <c r="A130">
        <v>1</v>
      </c>
      <c r="B130">
        <v>4381754</v>
      </c>
      <c r="C130" t="s">
        <v>17</v>
      </c>
      <c r="D130" t="s">
        <v>17</v>
      </c>
      <c r="E130">
        <v>0</v>
      </c>
      <c r="F130" t="s">
        <v>62</v>
      </c>
      <c r="G130" s="41" t="s">
        <v>381</v>
      </c>
      <c r="H130" s="42">
        <v>0.61655092592592597</v>
      </c>
      <c r="I130" s="41" t="s">
        <v>381</v>
      </c>
      <c r="J130" s="42">
        <v>0.61665509259259255</v>
      </c>
      <c r="K130" t="s">
        <v>58</v>
      </c>
      <c r="L130" s="43"/>
    </row>
    <row r="131" spans="1:12" x14ac:dyDescent="0.25">
      <c r="A131">
        <v>1</v>
      </c>
      <c r="B131">
        <v>4381912</v>
      </c>
      <c r="C131" t="s">
        <v>20</v>
      </c>
      <c r="D131" t="s">
        <v>314</v>
      </c>
      <c r="E131">
        <v>0</v>
      </c>
      <c r="F131" t="s">
        <v>62</v>
      </c>
      <c r="G131" s="41" t="s">
        <v>381</v>
      </c>
      <c r="H131" s="42">
        <v>0.65960648148148149</v>
      </c>
      <c r="I131" s="41" t="s">
        <v>381</v>
      </c>
      <c r="J131" s="42">
        <v>0.65960648148148149</v>
      </c>
      <c r="K131" t="s">
        <v>58</v>
      </c>
      <c r="L131" s="43"/>
    </row>
    <row r="132" spans="1:12" x14ac:dyDescent="0.25">
      <c r="A132">
        <v>1</v>
      </c>
      <c r="B132">
        <v>4381930</v>
      </c>
      <c r="C132" t="s">
        <v>17</v>
      </c>
      <c r="D132" t="s">
        <v>17</v>
      </c>
      <c r="E132">
        <v>0</v>
      </c>
      <c r="F132" t="s">
        <v>62</v>
      </c>
      <c r="G132" s="41" t="s">
        <v>381</v>
      </c>
      <c r="H132" s="42">
        <v>0.65891203703703705</v>
      </c>
      <c r="I132" s="41" t="s">
        <v>381</v>
      </c>
      <c r="J132" s="42">
        <v>0.65895833333333331</v>
      </c>
      <c r="K132" t="s">
        <v>58</v>
      </c>
      <c r="L132" s="43"/>
    </row>
    <row r="133" spans="1:12" x14ac:dyDescent="0.25">
      <c r="A133">
        <v>1</v>
      </c>
      <c r="B133">
        <v>4382004</v>
      </c>
      <c r="C133" t="s">
        <v>17</v>
      </c>
      <c r="D133" t="s">
        <v>17</v>
      </c>
      <c r="E133">
        <v>0</v>
      </c>
      <c r="F133" t="s">
        <v>62</v>
      </c>
      <c r="G133" s="41" t="s">
        <v>381</v>
      </c>
      <c r="H133" s="42">
        <v>0.6947916666666667</v>
      </c>
      <c r="I133" s="41" t="s">
        <v>381</v>
      </c>
      <c r="J133" s="42">
        <v>0.69483796296296296</v>
      </c>
      <c r="K133" t="s">
        <v>58</v>
      </c>
      <c r="L133" s="43"/>
    </row>
    <row r="134" spans="1:12" x14ac:dyDescent="0.25">
      <c r="A134">
        <v>1</v>
      </c>
      <c r="B134">
        <v>4382012</v>
      </c>
      <c r="C134" t="s">
        <v>17</v>
      </c>
      <c r="D134" t="s">
        <v>17</v>
      </c>
      <c r="E134">
        <v>0</v>
      </c>
      <c r="F134" t="s">
        <v>62</v>
      </c>
      <c r="G134" s="41" t="s">
        <v>381</v>
      </c>
      <c r="H134" s="42">
        <v>0.70370370370370372</v>
      </c>
      <c r="I134" s="41" t="s">
        <v>381</v>
      </c>
      <c r="J134" s="42">
        <v>0.70381944444444444</v>
      </c>
      <c r="K134" t="s">
        <v>58</v>
      </c>
      <c r="L134" s="43"/>
    </row>
    <row r="135" spans="1:12" x14ac:dyDescent="0.25">
      <c r="A135">
        <v>1</v>
      </c>
      <c r="B135">
        <v>4382020</v>
      </c>
      <c r="C135">
        <v>1196</v>
      </c>
      <c r="D135" t="s">
        <v>309</v>
      </c>
      <c r="E135">
        <v>0</v>
      </c>
      <c r="F135" t="s">
        <v>62</v>
      </c>
      <c r="G135" s="41" t="s">
        <v>414</v>
      </c>
      <c r="H135" s="42">
        <v>0.42442129629629627</v>
      </c>
      <c r="I135" s="41" t="s">
        <v>414</v>
      </c>
      <c r="J135" s="42">
        <v>0.42443287037037036</v>
      </c>
      <c r="K135" t="s">
        <v>58</v>
      </c>
      <c r="L135" s="43"/>
    </row>
    <row r="136" spans="1:12" x14ac:dyDescent="0.25">
      <c r="A136">
        <v>1</v>
      </c>
      <c r="B136">
        <v>4382161</v>
      </c>
      <c r="C136" t="s">
        <v>17</v>
      </c>
      <c r="D136" t="s">
        <v>17</v>
      </c>
      <c r="E136">
        <v>0</v>
      </c>
      <c r="F136" t="s">
        <v>62</v>
      </c>
      <c r="G136" s="41" t="s">
        <v>381</v>
      </c>
      <c r="H136" s="42">
        <v>0.73078703703703707</v>
      </c>
      <c r="I136" s="41" t="s">
        <v>381</v>
      </c>
      <c r="J136" s="42">
        <v>0.73085648148148152</v>
      </c>
      <c r="K136" t="s">
        <v>58</v>
      </c>
      <c r="L136" s="43"/>
    </row>
    <row r="137" spans="1:12" x14ac:dyDescent="0.25">
      <c r="A137">
        <v>1</v>
      </c>
      <c r="B137">
        <v>4382162</v>
      </c>
      <c r="C137" t="s">
        <v>17</v>
      </c>
      <c r="D137" t="s">
        <v>17</v>
      </c>
      <c r="E137">
        <v>0</v>
      </c>
      <c r="F137" t="s">
        <v>62</v>
      </c>
      <c r="G137" s="41" t="s">
        <v>381</v>
      </c>
      <c r="H137" s="42">
        <v>0.73090277777777779</v>
      </c>
      <c r="I137" s="41" t="s">
        <v>381</v>
      </c>
      <c r="J137" s="42">
        <v>0.73103009259259255</v>
      </c>
      <c r="K137" t="s">
        <v>58</v>
      </c>
      <c r="L137" s="43"/>
    </row>
    <row r="138" spans="1:12" x14ac:dyDescent="0.25">
      <c r="A138">
        <v>1</v>
      </c>
      <c r="B138">
        <v>4382163</v>
      </c>
      <c r="C138" t="s">
        <v>17</v>
      </c>
      <c r="D138" t="s">
        <v>17</v>
      </c>
      <c r="E138">
        <v>0</v>
      </c>
      <c r="F138" t="s">
        <v>62</v>
      </c>
      <c r="G138" s="41" t="s">
        <v>381</v>
      </c>
      <c r="H138" s="42">
        <v>0.73101851851851851</v>
      </c>
      <c r="I138" s="41" t="s">
        <v>381</v>
      </c>
      <c r="J138" s="42">
        <v>0.73108796296296297</v>
      </c>
      <c r="K138" t="s">
        <v>58</v>
      </c>
      <c r="L138" s="43"/>
    </row>
    <row r="139" spans="1:12" x14ac:dyDescent="0.25">
      <c r="A139">
        <v>1</v>
      </c>
      <c r="B139">
        <v>4382164</v>
      </c>
      <c r="C139" t="s">
        <v>17</v>
      </c>
      <c r="D139" t="s">
        <v>17</v>
      </c>
      <c r="E139">
        <v>0</v>
      </c>
      <c r="F139" t="s">
        <v>62</v>
      </c>
      <c r="G139" s="41" t="s">
        <v>381</v>
      </c>
      <c r="H139" s="42">
        <v>0.73113425925925923</v>
      </c>
      <c r="I139" s="41" t="s">
        <v>381</v>
      </c>
      <c r="J139" s="42">
        <v>0.73113425925925923</v>
      </c>
      <c r="K139" t="s">
        <v>58</v>
      </c>
      <c r="L139" s="43"/>
    </row>
    <row r="140" spans="1:12" x14ac:dyDescent="0.25">
      <c r="A140">
        <v>1</v>
      </c>
      <c r="B140">
        <v>4382165</v>
      </c>
      <c r="C140" t="s">
        <v>17</v>
      </c>
      <c r="D140" t="s">
        <v>17</v>
      </c>
      <c r="E140">
        <v>0</v>
      </c>
      <c r="F140" t="s">
        <v>62</v>
      </c>
      <c r="G140" s="41" t="s">
        <v>381</v>
      </c>
      <c r="H140" s="42">
        <v>0.73113425925925923</v>
      </c>
      <c r="I140" s="41" t="s">
        <v>381</v>
      </c>
      <c r="J140" s="42">
        <v>0.73119212962962965</v>
      </c>
      <c r="K140" t="s">
        <v>58</v>
      </c>
      <c r="L140" s="43"/>
    </row>
    <row r="141" spans="1:12" x14ac:dyDescent="0.25">
      <c r="A141">
        <v>1</v>
      </c>
      <c r="B141">
        <v>4382166</v>
      </c>
      <c r="C141" t="s">
        <v>17</v>
      </c>
      <c r="D141" t="s">
        <v>17</v>
      </c>
      <c r="E141">
        <v>0</v>
      </c>
      <c r="F141" t="s">
        <v>62</v>
      </c>
      <c r="G141" s="41" t="s">
        <v>381</v>
      </c>
      <c r="H141" s="42">
        <v>0.73113425925925923</v>
      </c>
      <c r="I141" s="41" t="s">
        <v>381</v>
      </c>
      <c r="J141" s="42">
        <v>0.73123842592592592</v>
      </c>
      <c r="K141" t="s">
        <v>58</v>
      </c>
      <c r="L141" s="43"/>
    </row>
    <row r="142" spans="1:12" x14ac:dyDescent="0.25">
      <c r="A142">
        <v>1</v>
      </c>
      <c r="B142">
        <v>4382167</v>
      </c>
      <c r="C142" t="s">
        <v>17</v>
      </c>
      <c r="D142" t="s">
        <v>17</v>
      </c>
      <c r="E142">
        <v>0</v>
      </c>
      <c r="F142" t="s">
        <v>62</v>
      </c>
      <c r="G142" s="41" t="s">
        <v>381</v>
      </c>
      <c r="H142" s="42">
        <v>0.73124999999999996</v>
      </c>
      <c r="I142" s="41" t="s">
        <v>381</v>
      </c>
      <c r="J142" s="42">
        <v>0.73129629629629633</v>
      </c>
      <c r="K142" t="s">
        <v>58</v>
      </c>
      <c r="L142" s="43"/>
    </row>
    <row r="143" spans="1:12" x14ac:dyDescent="0.25">
      <c r="A143">
        <v>1</v>
      </c>
      <c r="B143">
        <v>4382168</v>
      </c>
      <c r="C143" t="s">
        <v>17</v>
      </c>
      <c r="D143" t="s">
        <v>17</v>
      </c>
      <c r="E143">
        <v>0</v>
      </c>
      <c r="F143" t="s">
        <v>62</v>
      </c>
      <c r="G143" s="41" t="s">
        <v>381</v>
      </c>
      <c r="H143" s="42">
        <v>0.73124999999999996</v>
      </c>
      <c r="I143" s="41" t="s">
        <v>381</v>
      </c>
      <c r="J143" s="42">
        <v>0.73136574074074079</v>
      </c>
      <c r="K143" t="s">
        <v>58</v>
      </c>
      <c r="L143" s="43"/>
    </row>
    <row r="144" spans="1:12" x14ac:dyDescent="0.25">
      <c r="A144">
        <v>1</v>
      </c>
      <c r="B144">
        <v>4382169</v>
      </c>
      <c r="C144" t="s">
        <v>17</v>
      </c>
      <c r="D144" t="s">
        <v>17</v>
      </c>
      <c r="E144">
        <v>0</v>
      </c>
      <c r="F144" t="s">
        <v>62</v>
      </c>
      <c r="G144" s="41" t="s">
        <v>381</v>
      </c>
      <c r="H144" s="42">
        <v>0.73136574074074079</v>
      </c>
      <c r="I144" s="41" t="s">
        <v>381</v>
      </c>
      <c r="J144" s="42">
        <v>0.73141203703703705</v>
      </c>
      <c r="K144" t="s">
        <v>58</v>
      </c>
      <c r="L144" s="43"/>
    </row>
    <row r="145" spans="1:12" x14ac:dyDescent="0.25">
      <c r="A145">
        <v>1</v>
      </c>
      <c r="B145">
        <v>4382285</v>
      </c>
      <c r="C145" t="s">
        <v>17</v>
      </c>
      <c r="D145" t="s">
        <v>17</v>
      </c>
      <c r="E145">
        <v>0</v>
      </c>
      <c r="F145" t="s">
        <v>62</v>
      </c>
      <c r="G145" s="41" t="s">
        <v>414</v>
      </c>
      <c r="H145" s="42">
        <v>0.39687499999999998</v>
      </c>
      <c r="I145" s="41" t="s">
        <v>414</v>
      </c>
      <c r="J145" s="42">
        <v>0.39694444444444443</v>
      </c>
      <c r="K145" t="s">
        <v>58</v>
      </c>
      <c r="L145" s="43"/>
    </row>
    <row r="146" spans="1:12" x14ac:dyDescent="0.25">
      <c r="A146">
        <v>1</v>
      </c>
      <c r="B146">
        <v>4382286</v>
      </c>
      <c r="C146" t="s">
        <v>20</v>
      </c>
      <c r="D146" t="s">
        <v>314</v>
      </c>
      <c r="E146">
        <v>0</v>
      </c>
      <c r="F146" t="s">
        <v>62</v>
      </c>
      <c r="G146" s="41" t="s">
        <v>414</v>
      </c>
      <c r="H146" s="42">
        <v>0.39803240740740742</v>
      </c>
      <c r="I146" s="41" t="s">
        <v>414</v>
      </c>
      <c r="J146" s="42">
        <v>0.39805555555555555</v>
      </c>
      <c r="K146" t="s">
        <v>58</v>
      </c>
      <c r="L146" s="43"/>
    </row>
    <row r="147" spans="1:12" x14ac:dyDescent="0.25">
      <c r="A147">
        <v>1</v>
      </c>
      <c r="B147">
        <v>4382295</v>
      </c>
      <c r="C147" t="s">
        <v>20</v>
      </c>
      <c r="D147" t="s">
        <v>314</v>
      </c>
      <c r="E147">
        <v>0</v>
      </c>
      <c r="F147" t="s">
        <v>62</v>
      </c>
      <c r="G147" s="41" t="s">
        <v>414</v>
      </c>
      <c r="H147" s="42">
        <v>0.39849537037037036</v>
      </c>
      <c r="I147" s="41" t="s">
        <v>414</v>
      </c>
      <c r="J147" s="42">
        <v>0.39857638888888891</v>
      </c>
      <c r="K147" t="s">
        <v>58</v>
      </c>
      <c r="L147" s="43"/>
    </row>
    <row r="148" spans="1:12" x14ac:dyDescent="0.25">
      <c r="A148">
        <v>1</v>
      </c>
      <c r="B148">
        <v>4382296</v>
      </c>
      <c r="C148" t="s">
        <v>20</v>
      </c>
      <c r="D148" t="s">
        <v>419</v>
      </c>
      <c r="E148">
        <v>0</v>
      </c>
      <c r="F148" t="s">
        <v>62</v>
      </c>
      <c r="G148" s="41" t="s">
        <v>414</v>
      </c>
      <c r="H148" s="42">
        <v>0.39861111111111114</v>
      </c>
      <c r="I148" s="41" t="s">
        <v>414</v>
      </c>
      <c r="J148" s="42">
        <v>0.39864583333333331</v>
      </c>
      <c r="K148" t="s">
        <v>58</v>
      </c>
      <c r="L148" s="43"/>
    </row>
    <row r="149" spans="1:12" x14ac:dyDescent="0.25">
      <c r="A149">
        <v>1</v>
      </c>
      <c r="B149">
        <v>4382314</v>
      </c>
      <c r="C149">
        <v>1196</v>
      </c>
      <c r="D149" t="s">
        <v>309</v>
      </c>
      <c r="E149">
        <v>0</v>
      </c>
      <c r="F149" t="s">
        <v>62</v>
      </c>
      <c r="G149" s="41" t="s">
        <v>414</v>
      </c>
      <c r="H149" s="42">
        <v>0.48935185185185187</v>
      </c>
      <c r="I149" s="41" t="s">
        <v>414</v>
      </c>
      <c r="J149" s="42">
        <v>0.48940972222222223</v>
      </c>
      <c r="K149" t="s">
        <v>58</v>
      </c>
      <c r="L149" s="43"/>
    </row>
    <row r="150" spans="1:12" x14ac:dyDescent="0.25">
      <c r="A150">
        <v>1</v>
      </c>
      <c r="B150">
        <v>4382315</v>
      </c>
      <c r="C150">
        <v>1196</v>
      </c>
      <c r="D150" t="s">
        <v>309</v>
      </c>
      <c r="E150">
        <v>0</v>
      </c>
      <c r="F150" t="s">
        <v>62</v>
      </c>
      <c r="G150" s="41" t="s">
        <v>414</v>
      </c>
      <c r="H150" s="42">
        <v>0.48935185185185187</v>
      </c>
      <c r="I150" s="41" t="s">
        <v>414</v>
      </c>
      <c r="J150" s="42">
        <v>0.48946759259259259</v>
      </c>
      <c r="K150" t="s">
        <v>58</v>
      </c>
      <c r="L150" s="43"/>
    </row>
    <row r="151" spans="1:12" x14ac:dyDescent="0.25">
      <c r="A151">
        <v>1</v>
      </c>
      <c r="B151">
        <v>4382316</v>
      </c>
      <c r="C151">
        <v>1196</v>
      </c>
      <c r="D151" t="s">
        <v>309</v>
      </c>
      <c r="E151">
        <v>0</v>
      </c>
      <c r="F151" t="s">
        <v>62</v>
      </c>
      <c r="G151" s="41" t="s">
        <v>414</v>
      </c>
      <c r="H151" s="42">
        <v>0.48946759259259259</v>
      </c>
      <c r="I151" s="41" t="s">
        <v>414</v>
      </c>
      <c r="J151" s="42">
        <v>0.48951388888888892</v>
      </c>
      <c r="K151" t="s">
        <v>58</v>
      </c>
      <c r="L151" s="43"/>
    </row>
    <row r="152" spans="1:12" x14ac:dyDescent="0.25">
      <c r="A152">
        <v>1</v>
      </c>
      <c r="B152">
        <v>4382382</v>
      </c>
      <c r="C152" t="s">
        <v>21</v>
      </c>
      <c r="D152" t="s">
        <v>21</v>
      </c>
      <c r="E152">
        <v>0</v>
      </c>
      <c r="F152" t="s">
        <v>62</v>
      </c>
      <c r="G152" s="41" t="s">
        <v>381</v>
      </c>
      <c r="H152" s="42">
        <v>0.8</v>
      </c>
      <c r="I152" s="41" t="s">
        <v>381</v>
      </c>
      <c r="J152" s="42">
        <v>0.80010416666666662</v>
      </c>
      <c r="K152" t="s">
        <v>58</v>
      </c>
      <c r="L152" s="43"/>
    </row>
    <row r="153" spans="1:12" x14ac:dyDescent="0.25">
      <c r="A153">
        <v>1</v>
      </c>
      <c r="B153">
        <v>4382387</v>
      </c>
      <c r="C153" t="s">
        <v>21</v>
      </c>
      <c r="D153" t="s">
        <v>21</v>
      </c>
      <c r="E153">
        <v>0</v>
      </c>
      <c r="F153" t="s">
        <v>62</v>
      </c>
      <c r="G153" s="41" t="s">
        <v>381</v>
      </c>
      <c r="H153" s="42">
        <v>0.80023148148148149</v>
      </c>
      <c r="I153" s="41" t="s">
        <v>381</v>
      </c>
      <c r="J153" s="42">
        <v>0.80032407407407402</v>
      </c>
      <c r="K153" t="s">
        <v>58</v>
      </c>
      <c r="L153" s="43"/>
    </row>
    <row r="154" spans="1:12" x14ac:dyDescent="0.25">
      <c r="A154">
        <v>1</v>
      </c>
      <c r="B154">
        <v>4382388</v>
      </c>
      <c r="C154" t="s">
        <v>21</v>
      </c>
      <c r="D154" t="s">
        <v>21</v>
      </c>
      <c r="E154">
        <v>0</v>
      </c>
      <c r="F154" t="s">
        <v>62</v>
      </c>
      <c r="G154" s="41" t="s">
        <v>381</v>
      </c>
      <c r="H154" s="42">
        <v>0.80034722222222221</v>
      </c>
      <c r="I154" s="41" t="s">
        <v>381</v>
      </c>
      <c r="J154" s="42">
        <v>0.80038194444444444</v>
      </c>
      <c r="K154" t="s">
        <v>58</v>
      </c>
      <c r="L154" s="43"/>
    </row>
    <row r="155" spans="1:12" x14ac:dyDescent="0.25">
      <c r="A155">
        <v>1</v>
      </c>
      <c r="B155">
        <v>4382396</v>
      </c>
      <c r="C155" t="s">
        <v>21</v>
      </c>
      <c r="D155" t="s">
        <v>21</v>
      </c>
      <c r="E155">
        <v>0</v>
      </c>
      <c r="F155" t="s">
        <v>62</v>
      </c>
      <c r="G155" s="41" t="s">
        <v>381</v>
      </c>
      <c r="H155" s="42">
        <v>0.80081018518518521</v>
      </c>
      <c r="I155" s="41" t="s">
        <v>381</v>
      </c>
      <c r="J155" s="42">
        <v>0.80090277777777774</v>
      </c>
      <c r="K155" t="s">
        <v>58</v>
      </c>
      <c r="L155" s="43"/>
    </row>
    <row r="156" spans="1:12" x14ac:dyDescent="0.25">
      <c r="A156">
        <v>1</v>
      </c>
      <c r="B156">
        <v>4382401</v>
      </c>
      <c r="C156" t="s">
        <v>21</v>
      </c>
      <c r="D156" t="s">
        <v>21</v>
      </c>
      <c r="E156">
        <v>0</v>
      </c>
      <c r="F156" t="s">
        <v>62</v>
      </c>
      <c r="G156" s="41" t="s">
        <v>381</v>
      </c>
      <c r="H156" s="42">
        <v>0.80115740740740737</v>
      </c>
      <c r="I156" s="41" t="s">
        <v>381</v>
      </c>
      <c r="J156" s="42">
        <v>0.80116898148148152</v>
      </c>
      <c r="K156" t="s">
        <v>58</v>
      </c>
      <c r="L156" s="43"/>
    </row>
    <row r="157" spans="1:12" x14ac:dyDescent="0.25">
      <c r="A157">
        <v>1</v>
      </c>
      <c r="B157">
        <v>4382404</v>
      </c>
      <c r="C157" t="s">
        <v>21</v>
      </c>
      <c r="D157" t="s">
        <v>21</v>
      </c>
      <c r="E157">
        <v>0</v>
      </c>
      <c r="F157" t="s">
        <v>62</v>
      </c>
      <c r="G157" s="41" t="s">
        <v>381</v>
      </c>
      <c r="H157" s="42">
        <v>0.8012731481481481</v>
      </c>
      <c r="I157" s="41" t="s">
        <v>381</v>
      </c>
      <c r="J157" s="42">
        <v>0.80129629629629628</v>
      </c>
      <c r="K157" t="s">
        <v>58</v>
      </c>
      <c r="L157" s="43"/>
    </row>
    <row r="158" spans="1:12" x14ac:dyDescent="0.25">
      <c r="A158">
        <v>1</v>
      </c>
      <c r="B158">
        <v>4382408</v>
      </c>
      <c r="C158" t="s">
        <v>21</v>
      </c>
      <c r="D158" t="s">
        <v>182</v>
      </c>
      <c r="E158">
        <v>0</v>
      </c>
      <c r="F158" t="s">
        <v>62</v>
      </c>
      <c r="G158" s="41" t="s">
        <v>381</v>
      </c>
      <c r="H158" s="42">
        <v>0.80173611111111109</v>
      </c>
      <c r="I158" s="41" t="s">
        <v>381</v>
      </c>
      <c r="J158" s="42">
        <v>0.80175925925925928</v>
      </c>
      <c r="K158" t="s">
        <v>58</v>
      </c>
      <c r="L158" s="43"/>
    </row>
    <row r="159" spans="1:12" x14ac:dyDescent="0.25">
      <c r="A159">
        <v>1</v>
      </c>
      <c r="B159">
        <v>4382415</v>
      </c>
      <c r="C159" t="s">
        <v>21</v>
      </c>
      <c r="D159" t="s">
        <v>182</v>
      </c>
      <c r="E159">
        <v>0</v>
      </c>
      <c r="F159" t="s">
        <v>62</v>
      </c>
      <c r="G159" s="41" t="s">
        <v>381</v>
      </c>
      <c r="H159" s="42">
        <v>0.80219907407407409</v>
      </c>
      <c r="I159" s="41" t="s">
        <v>381</v>
      </c>
      <c r="J159" s="42">
        <v>0.80229166666666663</v>
      </c>
      <c r="K159" t="s">
        <v>58</v>
      </c>
      <c r="L159" s="43"/>
    </row>
    <row r="160" spans="1:12" x14ac:dyDescent="0.25">
      <c r="A160">
        <v>1</v>
      </c>
      <c r="B160">
        <v>4382417</v>
      </c>
      <c r="C160" t="s">
        <v>21</v>
      </c>
      <c r="D160" t="s">
        <v>21</v>
      </c>
      <c r="E160">
        <v>0</v>
      </c>
      <c r="F160" t="s">
        <v>62</v>
      </c>
      <c r="G160" s="41" t="s">
        <v>381</v>
      </c>
      <c r="H160" s="42">
        <v>0.80231481481481481</v>
      </c>
      <c r="I160" s="41" t="s">
        <v>381</v>
      </c>
      <c r="J160" s="42">
        <v>0.8024189814814815</v>
      </c>
      <c r="K160" t="s">
        <v>58</v>
      </c>
      <c r="L160" s="43"/>
    </row>
    <row r="161" spans="1:12" x14ac:dyDescent="0.25">
      <c r="A161">
        <v>1</v>
      </c>
      <c r="B161">
        <v>4382419</v>
      </c>
      <c r="C161" t="s">
        <v>21</v>
      </c>
      <c r="D161" t="s">
        <v>21</v>
      </c>
      <c r="E161">
        <v>0</v>
      </c>
      <c r="F161" t="s">
        <v>62</v>
      </c>
      <c r="G161" s="41" t="s">
        <v>381</v>
      </c>
      <c r="H161" s="42">
        <v>0.80243055555555554</v>
      </c>
      <c r="I161" s="41" t="s">
        <v>381</v>
      </c>
      <c r="J161" s="42">
        <v>0.80248842592592595</v>
      </c>
      <c r="K161" t="s">
        <v>58</v>
      </c>
      <c r="L161" s="43"/>
    </row>
    <row r="162" spans="1:12" x14ac:dyDescent="0.25">
      <c r="A162">
        <v>1</v>
      </c>
      <c r="B162">
        <v>4382427</v>
      </c>
      <c r="C162" t="s">
        <v>21</v>
      </c>
      <c r="D162" t="s">
        <v>21</v>
      </c>
      <c r="E162">
        <v>0</v>
      </c>
      <c r="F162" t="s">
        <v>62</v>
      </c>
      <c r="G162" s="41" t="s">
        <v>381</v>
      </c>
      <c r="H162" s="42">
        <v>0.80289351851851853</v>
      </c>
      <c r="I162" s="41" t="s">
        <v>381</v>
      </c>
      <c r="J162" s="42">
        <v>0.80295138888888884</v>
      </c>
      <c r="K162" t="s">
        <v>58</v>
      </c>
      <c r="L162" s="43"/>
    </row>
    <row r="163" spans="1:12" x14ac:dyDescent="0.25">
      <c r="A163">
        <v>1</v>
      </c>
      <c r="B163">
        <v>4382428</v>
      </c>
      <c r="C163" t="s">
        <v>21</v>
      </c>
      <c r="D163" t="s">
        <v>21</v>
      </c>
      <c r="E163">
        <v>0</v>
      </c>
      <c r="F163" t="s">
        <v>62</v>
      </c>
      <c r="G163" s="41" t="s">
        <v>381</v>
      </c>
      <c r="H163" s="42">
        <v>0.80289351851851853</v>
      </c>
      <c r="I163" s="41" t="s">
        <v>381</v>
      </c>
      <c r="J163" s="42">
        <v>0.80300925925925926</v>
      </c>
      <c r="K163" t="s">
        <v>58</v>
      </c>
      <c r="L163" s="43"/>
    </row>
    <row r="164" spans="1:12" x14ac:dyDescent="0.25">
      <c r="A164">
        <v>1</v>
      </c>
      <c r="B164">
        <v>4382429</v>
      </c>
      <c r="C164" t="s">
        <v>21</v>
      </c>
      <c r="D164" t="s">
        <v>21</v>
      </c>
      <c r="E164">
        <v>0</v>
      </c>
      <c r="F164" t="s">
        <v>62</v>
      </c>
      <c r="G164" s="41" t="s">
        <v>381</v>
      </c>
      <c r="H164" s="42">
        <v>0.80300925925925926</v>
      </c>
      <c r="I164" s="41" t="s">
        <v>381</v>
      </c>
      <c r="J164" s="42">
        <v>0.80314814814814817</v>
      </c>
      <c r="K164" t="s">
        <v>58</v>
      </c>
      <c r="L164" s="43"/>
    </row>
    <row r="165" spans="1:12" x14ac:dyDescent="0.25">
      <c r="A165">
        <v>1</v>
      </c>
      <c r="B165">
        <v>4382430</v>
      </c>
      <c r="C165" t="s">
        <v>21</v>
      </c>
      <c r="D165" t="s">
        <v>21</v>
      </c>
      <c r="E165">
        <v>0</v>
      </c>
      <c r="F165" t="s">
        <v>62</v>
      </c>
      <c r="G165" s="41" t="s">
        <v>381</v>
      </c>
      <c r="H165" s="42">
        <v>0.80312499999999998</v>
      </c>
      <c r="I165" s="41" t="s">
        <v>381</v>
      </c>
      <c r="J165" s="42">
        <v>0.80322916666666666</v>
      </c>
      <c r="K165" t="s">
        <v>58</v>
      </c>
      <c r="L165" s="43"/>
    </row>
    <row r="166" spans="1:12" x14ac:dyDescent="0.25">
      <c r="A166">
        <v>1</v>
      </c>
      <c r="B166">
        <v>4382431</v>
      </c>
      <c r="C166" t="s">
        <v>21</v>
      </c>
      <c r="D166" t="s">
        <v>21</v>
      </c>
      <c r="E166">
        <v>0</v>
      </c>
      <c r="F166" t="s">
        <v>62</v>
      </c>
      <c r="G166" s="41" t="s">
        <v>381</v>
      </c>
      <c r="H166" s="42">
        <v>0.8032407407407407</v>
      </c>
      <c r="I166" s="41" t="s">
        <v>381</v>
      </c>
      <c r="J166" s="42">
        <v>0.80331018518518515</v>
      </c>
      <c r="K166" t="s">
        <v>58</v>
      </c>
      <c r="L166" s="43"/>
    </row>
    <row r="167" spans="1:12" x14ac:dyDescent="0.25">
      <c r="A167">
        <v>1</v>
      </c>
      <c r="B167">
        <v>4382432</v>
      </c>
      <c r="C167" t="s">
        <v>21</v>
      </c>
      <c r="D167" t="s">
        <v>21</v>
      </c>
      <c r="E167">
        <v>0</v>
      </c>
      <c r="F167" t="s">
        <v>62</v>
      </c>
      <c r="G167" s="41" t="s">
        <v>381</v>
      </c>
      <c r="H167" s="42">
        <v>0.80335648148148153</v>
      </c>
      <c r="I167" s="41" t="s">
        <v>381</v>
      </c>
      <c r="J167" s="42">
        <v>0.80339120370370365</v>
      </c>
      <c r="K167" t="s">
        <v>58</v>
      </c>
      <c r="L167" s="43"/>
    </row>
    <row r="168" spans="1:12" x14ac:dyDescent="0.25">
      <c r="A168">
        <v>1</v>
      </c>
      <c r="B168">
        <v>4382433</v>
      </c>
      <c r="C168" t="s">
        <v>21</v>
      </c>
      <c r="D168" t="s">
        <v>21</v>
      </c>
      <c r="E168">
        <v>0</v>
      </c>
      <c r="F168" t="s">
        <v>62</v>
      </c>
      <c r="G168" s="41" t="s">
        <v>381</v>
      </c>
      <c r="H168" s="42">
        <v>0.80335648148148153</v>
      </c>
      <c r="I168" s="41" t="s">
        <v>381</v>
      </c>
      <c r="J168" s="42">
        <v>0.80344907407407407</v>
      </c>
      <c r="K168" t="s">
        <v>58</v>
      </c>
      <c r="L168" s="43"/>
    </row>
    <row r="169" spans="1:12" x14ac:dyDescent="0.25">
      <c r="A169">
        <v>1</v>
      </c>
      <c r="B169">
        <v>4382434</v>
      </c>
      <c r="C169" t="s">
        <v>21</v>
      </c>
      <c r="D169" t="s">
        <v>21</v>
      </c>
      <c r="E169">
        <v>0</v>
      </c>
      <c r="F169" t="s">
        <v>62</v>
      </c>
      <c r="G169" s="41" t="s">
        <v>381</v>
      </c>
      <c r="H169" s="42">
        <v>0.80347222222222225</v>
      </c>
      <c r="I169" s="41" t="s">
        <v>381</v>
      </c>
      <c r="J169" s="42">
        <v>0.80355324074074075</v>
      </c>
      <c r="K169" t="s">
        <v>58</v>
      </c>
      <c r="L169" s="43"/>
    </row>
    <row r="170" spans="1:12" x14ac:dyDescent="0.25">
      <c r="A170">
        <v>1</v>
      </c>
      <c r="B170">
        <v>4382435</v>
      </c>
      <c r="C170" t="s">
        <v>21</v>
      </c>
      <c r="D170" t="s">
        <v>21</v>
      </c>
      <c r="E170">
        <v>0</v>
      </c>
      <c r="F170" t="s">
        <v>62</v>
      </c>
      <c r="G170" s="41" t="s">
        <v>381</v>
      </c>
      <c r="H170" s="42">
        <v>0.80358796296296298</v>
      </c>
      <c r="I170" s="41" t="s">
        <v>381</v>
      </c>
      <c r="J170" s="42">
        <v>0.8036226851851852</v>
      </c>
      <c r="K170" t="s">
        <v>58</v>
      </c>
      <c r="L170" s="43"/>
    </row>
    <row r="171" spans="1:12" x14ac:dyDescent="0.25">
      <c r="A171">
        <v>1</v>
      </c>
      <c r="B171">
        <v>4382436</v>
      </c>
      <c r="C171" t="s">
        <v>21</v>
      </c>
      <c r="D171" t="s">
        <v>21</v>
      </c>
      <c r="E171">
        <v>0</v>
      </c>
      <c r="F171" t="s">
        <v>62</v>
      </c>
      <c r="G171" s="41" t="s">
        <v>381</v>
      </c>
      <c r="H171" s="42">
        <v>0.80358796296296298</v>
      </c>
      <c r="I171" s="41" t="s">
        <v>381</v>
      </c>
      <c r="J171" s="42">
        <v>0.8037037037037037</v>
      </c>
      <c r="K171" t="s">
        <v>58</v>
      </c>
      <c r="L171" s="43"/>
    </row>
    <row r="172" spans="1:12" x14ac:dyDescent="0.25">
      <c r="A172">
        <v>1</v>
      </c>
      <c r="B172">
        <v>4382437</v>
      </c>
      <c r="C172" t="s">
        <v>21</v>
      </c>
      <c r="D172" t="s">
        <v>21</v>
      </c>
      <c r="E172">
        <v>0</v>
      </c>
      <c r="F172" t="s">
        <v>62</v>
      </c>
      <c r="G172" s="41" t="s">
        <v>381</v>
      </c>
      <c r="H172" s="42">
        <v>0.8037037037037037</v>
      </c>
      <c r="I172" s="41" t="s">
        <v>381</v>
      </c>
      <c r="J172" s="42">
        <v>0.80379629629629634</v>
      </c>
      <c r="K172" t="s">
        <v>58</v>
      </c>
      <c r="L172" s="43"/>
    </row>
    <row r="173" spans="1:12" x14ac:dyDescent="0.25">
      <c r="A173">
        <v>1</v>
      </c>
      <c r="B173">
        <v>4382438</v>
      </c>
      <c r="C173" t="s">
        <v>21</v>
      </c>
      <c r="D173" t="s">
        <v>21</v>
      </c>
      <c r="E173">
        <v>0</v>
      </c>
      <c r="F173" t="s">
        <v>62</v>
      </c>
      <c r="G173" s="41" t="s">
        <v>381</v>
      </c>
      <c r="H173" s="42">
        <v>0.80381944444444442</v>
      </c>
      <c r="I173" s="41" t="s">
        <v>381</v>
      </c>
      <c r="J173" s="42">
        <v>0.80387731481481484</v>
      </c>
      <c r="K173" t="s">
        <v>58</v>
      </c>
      <c r="L173" s="43"/>
    </row>
    <row r="174" spans="1:12" x14ac:dyDescent="0.25">
      <c r="A174">
        <v>1</v>
      </c>
      <c r="B174">
        <v>4382439</v>
      </c>
      <c r="C174" t="s">
        <v>21</v>
      </c>
      <c r="D174" t="s">
        <v>21</v>
      </c>
      <c r="E174">
        <v>0</v>
      </c>
      <c r="F174" t="s">
        <v>62</v>
      </c>
      <c r="G174" s="41" t="s">
        <v>381</v>
      </c>
      <c r="H174" s="42">
        <v>0.80393518518518514</v>
      </c>
      <c r="I174" s="41" t="s">
        <v>381</v>
      </c>
      <c r="J174" s="42">
        <v>0.80394675925925929</v>
      </c>
      <c r="K174" t="s">
        <v>58</v>
      </c>
      <c r="L174" s="43"/>
    </row>
    <row r="175" spans="1:12" x14ac:dyDescent="0.25">
      <c r="A175">
        <v>1</v>
      </c>
      <c r="B175">
        <v>4382440</v>
      </c>
      <c r="C175" t="s">
        <v>21</v>
      </c>
      <c r="D175" t="s">
        <v>21</v>
      </c>
      <c r="E175">
        <v>0</v>
      </c>
      <c r="F175" t="s">
        <v>62</v>
      </c>
      <c r="G175" s="41" t="s">
        <v>381</v>
      </c>
      <c r="H175" s="42">
        <v>0.80393518518518514</v>
      </c>
      <c r="I175" s="41" t="s">
        <v>381</v>
      </c>
      <c r="J175" s="42">
        <v>0.80414351851851851</v>
      </c>
      <c r="K175" t="s">
        <v>58</v>
      </c>
      <c r="L175" s="43"/>
    </row>
    <row r="176" spans="1:12" x14ac:dyDescent="0.25">
      <c r="A176">
        <v>1</v>
      </c>
      <c r="B176">
        <v>4382441</v>
      </c>
      <c r="C176" t="s">
        <v>21</v>
      </c>
      <c r="D176" t="s">
        <v>21</v>
      </c>
      <c r="E176">
        <v>0</v>
      </c>
      <c r="F176" t="s">
        <v>62</v>
      </c>
      <c r="G176" s="41" t="s">
        <v>381</v>
      </c>
      <c r="H176" s="42">
        <v>0.8041666666666667</v>
      </c>
      <c r="I176" s="41" t="s">
        <v>381</v>
      </c>
      <c r="J176" s="42">
        <v>0.80421296296296296</v>
      </c>
      <c r="K176" t="s">
        <v>58</v>
      </c>
      <c r="L176" s="43"/>
    </row>
    <row r="177" spans="1:12" x14ac:dyDescent="0.25">
      <c r="A177">
        <v>1</v>
      </c>
      <c r="B177">
        <v>4382442</v>
      </c>
      <c r="C177" t="s">
        <v>21</v>
      </c>
      <c r="D177" t="s">
        <v>182</v>
      </c>
      <c r="E177">
        <v>0</v>
      </c>
      <c r="F177" t="s">
        <v>62</v>
      </c>
      <c r="G177" s="41" t="s">
        <v>381</v>
      </c>
      <c r="H177" s="42">
        <v>0.8041666666666667</v>
      </c>
      <c r="I177" s="41" t="s">
        <v>381</v>
      </c>
      <c r="J177" s="42">
        <v>0.80427083333333338</v>
      </c>
      <c r="K177" t="s">
        <v>58</v>
      </c>
      <c r="L177" s="43"/>
    </row>
    <row r="178" spans="1:12" x14ac:dyDescent="0.25">
      <c r="A178">
        <v>1</v>
      </c>
      <c r="B178">
        <v>4382443</v>
      </c>
      <c r="C178" t="s">
        <v>21</v>
      </c>
      <c r="D178" t="s">
        <v>21</v>
      </c>
      <c r="E178">
        <v>0</v>
      </c>
      <c r="F178" t="s">
        <v>62</v>
      </c>
      <c r="G178" s="41" t="s">
        <v>381</v>
      </c>
      <c r="H178" s="42">
        <v>0.80428240740740742</v>
      </c>
      <c r="I178" s="41" t="s">
        <v>381</v>
      </c>
      <c r="J178" s="42">
        <v>0.80442129629629633</v>
      </c>
      <c r="K178" t="s">
        <v>58</v>
      </c>
      <c r="L178" s="43"/>
    </row>
    <row r="179" spans="1:12" x14ac:dyDescent="0.25">
      <c r="A179">
        <v>1</v>
      </c>
      <c r="B179">
        <v>4382444</v>
      </c>
      <c r="C179" t="s">
        <v>21</v>
      </c>
      <c r="D179" t="s">
        <v>21</v>
      </c>
      <c r="E179">
        <v>0</v>
      </c>
      <c r="F179" t="s">
        <v>62</v>
      </c>
      <c r="G179" s="41" t="s">
        <v>381</v>
      </c>
      <c r="H179" s="42">
        <v>0.80439814814814814</v>
      </c>
      <c r="I179" s="41" t="s">
        <v>381</v>
      </c>
      <c r="J179" s="42">
        <v>0.80449074074074078</v>
      </c>
      <c r="K179" t="s">
        <v>58</v>
      </c>
      <c r="L179" s="43"/>
    </row>
    <row r="180" spans="1:12" x14ac:dyDescent="0.25">
      <c r="A180">
        <v>1</v>
      </c>
      <c r="B180">
        <v>4382445</v>
      </c>
      <c r="C180" t="s">
        <v>21</v>
      </c>
      <c r="D180" t="s">
        <v>21</v>
      </c>
      <c r="E180">
        <v>0</v>
      </c>
      <c r="F180" t="s">
        <v>62</v>
      </c>
      <c r="G180" s="41" t="s">
        <v>381</v>
      </c>
      <c r="H180" s="42">
        <v>0.80451388888888886</v>
      </c>
      <c r="I180" s="41" t="s">
        <v>381</v>
      </c>
      <c r="J180" s="42">
        <v>0.80460648148148151</v>
      </c>
      <c r="K180" t="s">
        <v>58</v>
      </c>
      <c r="L180" s="43"/>
    </row>
    <row r="181" spans="1:12" x14ac:dyDescent="0.25">
      <c r="A181">
        <v>1</v>
      </c>
      <c r="B181">
        <v>4382446</v>
      </c>
      <c r="C181" t="s">
        <v>21</v>
      </c>
      <c r="D181" t="s">
        <v>21</v>
      </c>
      <c r="E181">
        <v>0</v>
      </c>
      <c r="F181" t="s">
        <v>62</v>
      </c>
      <c r="G181" s="41" t="s">
        <v>381</v>
      </c>
      <c r="H181" s="42">
        <v>0.80462962962962958</v>
      </c>
      <c r="I181" s="41" t="s">
        <v>381</v>
      </c>
      <c r="J181" s="42">
        <v>0.80466435185185181</v>
      </c>
      <c r="K181" t="s">
        <v>58</v>
      </c>
      <c r="L181" s="43"/>
    </row>
    <row r="182" spans="1:12" x14ac:dyDescent="0.25">
      <c r="A182">
        <v>1</v>
      </c>
      <c r="B182">
        <v>4382447</v>
      </c>
      <c r="C182" t="s">
        <v>21</v>
      </c>
      <c r="D182" t="s">
        <v>21</v>
      </c>
      <c r="E182">
        <v>0</v>
      </c>
      <c r="F182" t="s">
        <v>62</v>
      </c>
      <c r="G182" s="41" t="s">
        <v>381</v>
      </c>
      <c r="H182" s="42">
        <v>0.80474537037037042</v>
      </c>
      <c r="I182" s="41" t="s">
        <v>381</v>
      </c>
      <c r="J182" s="42">
        <v>0.80483796296296295</v>
      </c>
      <c r="K182" t="s">
        <v>58</v>
      </c>
      <c r="L182" s="43"/>
    </row>
    <row r="183" spans="1:12" x14ac:dyDescent="0.25">
      <c r="A183">
        <v>1</v>
      </c>
      <c r="B183">
        <v>4382448</v>
      </c>
      <c r="C183" t="s">
        <v>21</v>
      </c>
      <c r="D183" t="s">
        <v>21</v>
      </c>
      <c r="E183">
        <v>0</v>
      </c>
      <c r="F183" t="s">
        <v>62</v>
      </c>
      <c r="G183" s="41" t="s">
        <v>381</v>
      </c>
      <c r="H183" s="42">
        <v>0.80486111111111114</v>
      </c>
      <c r="I183" s="41" t="s">
        <v>381</v>
      </c>
      <c r="J183" s="42">
        <v>0.8049074074074074</v>
      </c>
      <c r="K183" t="s">
        <v>58</v>
      </c>
      <c r="L183" s="43"/>
    </row>
    <row r="184" spans="1:12" x14ac:dyDescent="0.25">
      <c r="A184">
        <v>1</v>
      </c>
      <c r="B184">
        <v>4382449</v>
      </c>
      <c r="C184" t="s">
        <v>21</v>
      </c>
      <c r="D184" t="s">
        <v>21</v>
      </c>
      <c r="E184">
        <v>0</v>
      </c>
      <c r="F184" t="s">
        <v>62</v>
      </c>
      <c r="G184" s="41" t="s">
        <v>381</v>
      </c>
      <c r="H184" s="42">
        <v>0.80486111111111114</v>
      </c>
      <c r="I184" s="41" t="s">
        <v>381</v>
      </c>
      <c r="J184" s="42">
        <v>0.80500000000000005</v>
      </c>
      <c r="K184" t="s">
        <v>58</v>
      </c>
      <c r="L184" s="43"/>
    </row>
    <row r="185" spans="1:12" x14ac:dyDescent="0.25">
      <c r="A185">
        <v>1</v>
      </c>
      <c r="B185">
        <v>4382450</v>
      </c>
      <c r="C185" t="s">
        <v>21</v>
      </c>
      <c r="D185" t="s">
        <v>21</v>
      </c>
      <c r="E185">
        <v>0</v>
      </c>
      <c r="F185" t="s">
        <v>62</v>
      </c>
      <c r="G185" s="41" t="s">
        <v>381</v>
      </c>
      <c r="H185" s="42">
        <v>0.80497685185185186</v>
      </c>
      <c r="I185" s="41" t="s">
        <v>381</v>
      </c>
      <c r="J185" s="42">
        <v>0.80505787037037035</v>
      </c>
      <c r="K185" t="s">
        <v>58</v>
      </c>
      <c r="L185" s="43"/>
    </row>
    <row r="186" spans="1:12" x14ac:dyDescent="0.25">
      <c r="A186">
        <v>1</v>
      </c>
      <c r="B186">
        <v>4382451</v>
      </c>
      <c r="C186" t="s">
        <v>21</v>
      </c>
      <c r="D186" t="s">
        <v>21</v>
      </c>
      <c r="E186">
        <v>0</v>
      </c>
      <c r="F186" t="s">
        <v>62</v>
      </c>
      <c r="G186" s="41" t="s">
        <v>381</v>
      </c>
      <c r="H186" s="42">
        <v>0.80509259259259258</v>
      </c>
      <c r="I186" s="41" t="s">
        <v>381</v>
      </c>
      <c r="J186" s="42">
        <v>0.80523148148148149</v>
      </c>
      <c r="K186" t="s">
        <v>58</v>
      </c>
      <c r="L186" s="43"/>
    </row>
    <row r="187" spans="1:12" x14ac:dyDescent="0.25">
      <c r="A187">
        <v>1</v>
      </c>
      <c r="B187">
        <v>4382452</v>
      </c>
      <c r="C187" t="s">
        <v>21</v>
      </c>
      <c r="D187" t="s">
        <v>21</v>
      </c>
      <c r="E187">
        <v>0</v>
      </c>
      <c r="F187" t="s">
        <v>62</v>
      </c>
      <c r="G187" s="41" t="s">
        <v>381</v>
      </c>
      <c r="H187" s="42">
        <v>0.8052083333333333</v>
      </c>
      <c r="I187" s="41" t="s">
        <v>381</v>
      </c>
      <c r="J187" s="42">
        <v>0.80530092592592595</v>
      </c>
      <c r="K187" t="s">
        <v>58</v>
      </c>
      <c r="L187" s="43"/>
    </row>
    <row r="188" spans="1:12" x14ac:dyDescent="0.25">
      <c r="A188">
        <v>1</v>
      </c>
      <c r="B188">
        <v>4382453</v>
      </c>
      <c r="C188" t="s">
        <v>21</v>
      </c>
      <c r="D188" t="s">
        <v>21</v>
      </c>
      <c r="E188">
        <v>0</v>
      </c>
      <c r="F188" t="s">
        <v>62</v>
      </c>
      <c r="G188" s="41" t="s">
        <v>381</v>
      </c>
      <c r="H188" s="42">
        <v>0.80532407407407403</v>
      </c>
      <c r="I188" s="41" t="s">
        <v>381</v>
      </c>
      <c r="J188" s="42">
        <v>0.80541666666666667</v>
      </c>
      <c r="K188" t="s">
        <v>58</v>
      </c>
      <c r="L188" s="43"/>
    </row>
    <row r="189" spans="1:12" x14ac:dyDescent="0.25">
      <c r="A189">
        <v>1</v>
      </c>
      <c r="B189">
        <v>4382454</v>
      </c>
      <c r="C189" t="s">
        <v>21</v>
      </c>
      <c r="D189" t="s">
        <v>21</v>
      </c>
      <c r="E189">
        <v>0</v>
      </c>
      <c r="F189" t="s">
        <v>62</v>
      </c>
      <c r="G189" s="41" t="s">
        <v>381</v>
      </c>
      <c r="H189" s="42">
        <v>0.80543981481481486</v>
      </c>
      <c r="I189" s="41" t="s">
        <v>381</v>
      </c>
      <c r="J189" s="42">
        <v>0.80547453703703709</v>
      </c>
      <c r="K189" t="s">
        <v>58</v>
      </c>
      <c r="L189" s="43"/>
    </row>
    <row r="190" spans="1:12" x14ac:dyDescent="0.25">
      <c r="A190">
        <v>1</v>
      </c>
      <c r="B190">
        <v>4382455</v>
      </c>
      <c r="C190" t="s">
        <v>21</v>
      </c>
      <c r="D190" t="s">
        <v>21</v>
      </c>
      <c r="E190">
        <v>0</v>
      </c>
      <c r="F190" t="s">
        <v>62</v>
      </c>
      <c r="G190" s="41" t="s">
        <v>381</v>
      </c>
      <c r="H190" s="42">
        <v>0.80543981481481486</v>
      </c>
      <c r="I190" s="41" t="s">
        <v>381</v>
      </c>
      <c r="J190" s="42">
        <v>0.80564814814814811</v>
      </c>
      <c r="K190" t="s">
        <v>58</v>
      </c>
      <c r="L190" s="43"/>
    </row>
    <row r="191" spans="1:12" x14ac:dyDescent="0.25">
      <c r="A191">
        <v>1</v>
      </c>
      <c r="B191">
        <v>4382456</v>
      </c>
      <c r="C191" t="s">
        <v>21</v>
      </c>
      <c r="D191" t="s">
        <v>21</v>
      </c>
      <c r="E191">
        <v>0</v>
      </c>
      <c r="F191" t="s">
        <v>62</v>
      </c>
      <c r="G191" s="41" t="s">
        <v>381</v>
      </c>
      <c r="H191" s="42">
        <v>0.8056712962962963</v>
      </c>
      <c r="I191" s="41" t="s">
        <v>381</v>
      </c>
      <c r="J191" s="42">
        <v>0.80571759259259257</v>
      </c>
      <c r="K191" t="s">
        <v>58</v>
      </c>
      <c r="L191" s="43"/>
    </row>
    <row r="192" spans="1:12" x14ac:dyDescent="0.25">
      <c r="A192">
        <v>1</v>
      </c>
      <c r="B192">
        <v>4382457</v>
      </c>
      <c r="C192" t="s">
        <v>21</v>
      </c>
      <c r="D192" t="s">
        <v>21</v>
      </c>
      <c r="E192">
        <v>0</v>
      </c>
      <c r="F192" t="s">
        <v>62</v>
      </c>
      <c r="G192" s="41" t="s">
        <v>381</v>
      </c>
      <c r="H192" s="42">
        <v>0.80578703703703702</v>
      </c>
      <c r="I192" s="41" t="s">
        <v>381</v>
      </c>
      <c r="J192" s="42">
        <v>0.80585648148148148</v>
      </c>
      <c r="K192" t="s">
        <v>58</v>
      </c>
      <c r="L192" s="43"/>
    </row>
    <row r="193" spans="1:12" x14ac:dyDescent="0.25">
      <c r="A193">
        <v>1</v>
      </c>
      <c r="B193">
        <v>4382458</v>
      </c>
      <c r="C193" t="s">
        <v>21</v>
      </c>
      <c r="D193" t="s">
        <v>21</v>
      </c>
      <c r="E193">
        <v>0</v>
      </c>
      <c r="F193" t="s">
        <v>62</v>
      </c>
      <c r="G193" s="41" t="s">
        <v>381</v>
      </c>
      <c r="H193" s="42">
        <v>0.80590277777777775</v>
      </c>
      <c r="I193" s="41" t="s">
        <v>381</v>
      </c>
      <c r="J193" s="42">
        <v>0.80596064814814816</v>
      </c>
      <c r="K193" t="s">
        <v>58</v>
      </c>
      <c r="L193" s="43"/>
    </row>
    <row r="194" spans="1:12" x14ac:dyDescent="0.25">
      <c r="A194">
        <v>1</v>
      </c>
      <c r="B194">
        <v>4382459</v>
      </c>
      <c r="C194" t="s">
        <v>21</v>
      </c>
      <c r="D194" t="s">
        <v>21</v>
      </c>
      <c r="E194">
        <v>0</v>
      </c>
      <c r="F194" t="s">
        <v>62</v>
      </c>
      <c r="G194" s="41" t="s">
        <v>381</v>
      </c>
      <c r="H194" s="42">
        <v>0.80601851851851847</v>
      </c>
      <c r="I194" s="41" t="s">
        <v>381</v>
      </c>
      <c r="J194" s="42">
        <v>0.80608796296296292</v>
      </c>
      <c r="K194" t="s">
        <v>58</v>
      </c>
      <c r="L194" s="43"/>
    </row>
    <row r="195" spans="1:12" x14ac:dyDescent="0.25">
      <c r="A195">
        <v>1</v>
      </c>
      <c r="B195">
        <v>4382460</v>
      </c>
      <c r="C195" t="s">
        <v>21</v>
      </c>
      <c r="D195" t="s">
        <v>21</v>
      </c>
      <c r="E195">
        <v>0</v>
      </c>
      <c r="F195" t="s">
        <v>62</v>
      </c>
      <c r="G195" s="41" t="s">
        <v>381</v>
      </c>
      <c r="H195" s="42">
        <v>0.8061342592592593</v>
      </c>
      <c r="I195" s="41" t="s">
        <v>381</v>
      </c>
      <c r="J195" s="42">
        <v>0.80615740740740738</v>
      </c>
      <c r="K195" t="s">
        <v>58</v>
      </c>
      <c r="L195" s="43"/>
    </row>
    <row r="196" spans="1:12" x14ac:dyDescent="0.25">
      <c r="A196">
        <v>1</v>
      </c>
      <c r="B196">
        <v>4382461</v>
      </c>
      <c r="C196" t="s">
        <v>21</v>
      </c>
      <c r="D196" t="s">
        <v>21</v>
      </c>
      <c r="E196">
        <v>0</v>
      </c>
      <c r="F196" t="s">
        <v>62</v>
      </c>
      <c r="G196" s="41" t="s">
        <v>381</v>
      </c>
      <c r="H196" s="42">
        <v>0.8061342592592593</v>
      </c>
      <c r="I196" s="41" t="s">
        <v>381</v>
      </c>
      <c r="J196" s="42">
        <v>0.80622685185185183</v>
      </c>
      <c r="K196" t="s">
        <v>58</v>
      </c>
      <c r="L196" s="43"/>
    </row>
    <row r="197" spans="1:12" x14ac:dyDescent="0.25">
      <c r="A197">
        <v>1</v>
      </c>
      <c r="B197">
        <v>4382462</v>
      </c>
      <c r="C197" t="s">
        <v>21</v>
      </c>
      <c r="D197" t="s">
        <v>21</v>
      </c>
      <c r="E197">
        <v>0</v>
      </c>
      <c r="F197" t="s">
        <v>62</v>
      </c>
      <c r="G197" s="41" t="s">
        <v>381</v>
      </c>
      <c r="H197" s="42">
        <v>0.80625000000000002</v>
      </c>
      <c r="I197" s="41" t="s">
        <v>381</v>
      </c>
      <c r="J197" s="42">
        <v>0.80630787037037033</v>
      </c>
      <c r="K197" t="s">
        <v>58</v>
      </c>
      <c r="L197" s="43"/>
    </row>
    <row r="198" spans="1:12" x14ac:dyDescent="0.25">
      <c r="A198">
        <v>1</v>
      </c>
      <c r="B198">
        <v>4382463</v>
      </c>
      <c r="C198" t="s">
        <v>21</v>
      </c>
      <c r="D198" t="s">
        <v>21</v>
      </c>
      <c r="E198">
        <v>0</v>
      </c>
      <c r="F198" t="s">
        <v>62</v>
      </c>
      <c r="G198" s="41" t="s">
        <v>381</v>
      </c>
      <c r="H198" s="42">
        <v>0.80636574074074074</v>
      </c>
      <c r="I198" s="41" t="s">
        <v>381</v>
      </c>
      <c r="J198" s="42">
        <v>0.80638888888888893</v>
      </c>
      <c r="K198" t="s">
        <v>58</v>
      </c>
      <c r="L198" s="43"/>
    </row>
    <row r="199" spans="1:12" x14ac:dyDescent="0.25">
      <c r="A199">
        <v>1</v>
      </c>
      <c r="B199">
        <v>4382464</v>
      </c>
      <c r="C199" t="s">
        <v>21</v>
      </c>
      <c r="D199" t="s">
        <v>19</v>
      </c>
      <c r="E199">
        <v>0</v>
      </c>
      <c r="F199" t="s">
        <v>62</v>
      </c>
      <c r="G199" s="41" t="s">
        <v>381</v>
      </c>
      <c r="H199" s="42">
        <v>0.80636574074074074</v>
      </c>
      <c r="I199" s="41" t="s">
        <v>381</v>
      </c>
      <c r="J199" s="42">
        <v>0.80645833333333339</v>
      </c>
      <c r="K199" t="s">
        <v>58</v>
      </c>
      <c r="L199" s="43"/>
    </row>
    <row r="200" spans="1:12" x14ac:dyDescent="0.25">
      <c r="A200">
        <v>1</v>
      </c>
      <c r="B200">
        <v>4382465</v>
      </c>
      <c r="C200" t="s">
        <v>21</v>
      </c>
      <c r="D200" t="s">
        <v>21</v>
      </c>
      <c r="E200">
        <v>0</v>
      </c>
      <c r="F200" t="s">
        <v>62</v>
      </c>
      <c r="G200" s="41" t="s">
        <v>381</v>
      </c>
      <c r="H200" s="42">
        <v>0.80648148148148147</v>
      </c>
      <c r="I200" s="41" t="s">
        <v>381</v>
      </c>
      <c r="J200" s="42">
        <v>0.80660879629629634</v>
      </c>
      <c r="K200" t="s">
        <v>58</v>
      </c>
      <c r="L200" s="43"/>
    </row>
    <row r="201" spans="1:12" x14ac:dyDescent="0.25">
      <c r="A201">
        <v>1</v>
      </c>
      <c r="B201">
        <v>4382466</v>
      </c>
      <c r="C201" t="s">
        <v>21</v>
      </c>
      <c r="D201" t="s">
        <v>21</v>
      </c>
      <c r="E201">
        <v>0</v>
      </c>
      <c r="F201" t="s">
        <v>62</v>
      </c>
      <c r="G201" s="41" t="s">
        <v>381</v>
      </c>
      <c r="H201" s="42">
        <v>0.80659722222222219</v>
      </c>
      <c r="I201" s="41" t="s">
        <v>381</v>
      </c>
      <c r="J201" s="42">
        <v>0.80670138888888887</v>
      </c>
      <c r="K201" t="s">
        <v>58</v>
      </c>
      <c r="L201" s="43"/>
    </row>
    <row r="202" spans="1:12" x14ac:dyDescent="0.25">
      <c r="A202">
        <v>1</v>
      </c>
      <c r="B202">
        <v>4382467</v>
      </c>
      <c r="C202" t="s">
        <v>21</v>
      </c>
      <c r="D202" t="s">
        <v>19</v>
      </c>
      <c r="E202">
        <v>0</v>
      </c>
      <c r="F202" t="s">
        <v>62</v>
      </c>
      <c r="G202" s="41" t="s">
        <v>381</v>
      </c>
      <c r="H202" s="42">
        <v>0.80671296296296291</v>
      </c>
      <c r="I202" s="41" t="s">
        <v>381</v>
      </c>
      <c r="J202" s="42">
        <v>0.80675925925925929</v>
      </c>
      <c r="K202" t="s">
        <v>58</v>
      </c>
      <c r="L202" s="43"/>
    </row>
    <row r="203" spans="1:12" x14ac:dyDescent="0.25">
      <c r="A203">
        <v>1</v>
      </c>
      <c r="B203">
        <v>4382468</v>
      </c>
      <c r="C203" t="s">
        <v>21</v>
      </c>
      <c r="D203" t="s">
        <v>19</v>
      </c>
      <c r="E203">
        <v>0</v>
      </c>
      <c r="F203" t="s">
        <v>62</v>
      </c>
      <c r="G203" s="41" t="s">
        <v>381</v>
      </c>
      <c r="H203" s="42">
        <v>0.80671296296296291</v>
      </c>
      <c r="I203" s="41" t="s">
        <v>381</v>
      </c>
      <c r="J203" s="42">
        <v>0.80681712962962959</v>
      </c>
      <c r="K203" t="s">
        <v>58</v>
      </c>
      <c r="L203" s="43"/>
    </row>
    <row r="204" spans="1:12" x14ac:dyDescent="0.25">
      <c r="A204">
        <v>1</v>
      </c>
      <c r="B204">
        <v>4382469</v>
      </c>
      <c r="C204" t="s">
        <v>21</v>
      </c>
      <c r="D204" t="s">
        <v>21</v>
      </c>
      <c r="E204">
        <v>0</v>
      </c>
      <c r="F204" t="s">
        <v>62</v>
      </c>
      <c r="G204" s="41" t="s">
        <v>381</v>
      </c>
      <c r="H204" s="42">
        <v>0.80682870370370374</v>
      </c>
      <c r="I204" s="41" t="s">
        <v>381</v>
      </c>
      <c r="J204" s="42">
        <v>0.8068981481481482</v>
      </c>
      <c r="K204" t="s">
        <v>58</v>
      </c>
      <c r="L204" s="43"/>
    </row>
    <row r="205" spans="1:12" x14ac:dyDescent="0.25">
      <c r="A205">
        <v>1</v>
      </c>
      <c r="B205">
        <v>4382470</v>
      </c>
      <c r="C205" t="s">
        <v>21</v>
      </c>
      <c r="D205" t="s">
        <v>19</v>
      </c>
      <c r="E205">
        <v>0</v>
      </c>
      <c r="F205" t="s">
        <v>62</v>
      </c>
      <c r="G205" s="41" t="s">
        <v>381</v>
      </c>
      <c r="H205" s="42">
        <v>0.80694444444444446</v>
      </c>
      <c r="I205" s="41" t="s">
        <v>381</v>
      </c>
      <c r="J205" s="42">
        <v>0.8069560185185185</v>
      </c>
      <c r="K205" t="s">
        <v>58</v>
      </c>
      <c r="L205" s="43"/>
    </row>
    <row r="206" spans="1:12" x14ac:dyDescent="0.25">
      <c r="A206">
        <v>1</v>
      </c>
      <c r="B206">
        <v>4382471</v>
      </c>
      <c r="C206" t="s">
        <v>21</v>
      </c>
      <c r="D206" t="s">
        <v>19</v>
      </c>
      <c r="E206">
        <v>0</v>
      </c>
      <c r="F206" t="s">
        <v>62</v>
      </c>
      <c r="G206" s="41" t="s">
        <v>381</v>
      </c>
      <c r="H206" s="42">
        <v>0.80694444444444446</v>
      </c>
      <c r="I206" s="41" t="s">
        <v>381</v>
      </c>
      <c r="J206" s="42">
        <v>0.80701388888888892</v>
      </c>
      <c r="K206" t="s">
        <v>58</v>
      </c>
      <c r="L206" s="43"/>
    </row>
    <row r="207" spans="1:12" x14ac:dyDescent="0.25">
      <c r="A207">
        <v>1</v>
      </c>
      <c r="B207">
        <v>4382472</v>
      </c>
      <c r="C207" t="s">
        <v>21</v>
      </c>
      <c r="D207" t="s">
        <v>21</v>
      </c>
      <c r="E207">
        <v>0</v>
      </c>
      <c r="F207" t="s">
        <v>62</v>
      </c>
      <c r="G207" s="41" t="s">
        <v>381</v>
      </c>
      <c r="H207" s="42">
        <v>0.80706018518518519</v>
      </c>
      <c r="I207" s="41" t="s">
        <v>381</v>
      </c>
      <c r="J207" s="42">
        <v>0.80710648148148145</v>
      </c>
      <c r="K207" t="s">
        <v>58</v>
      </c>
      <c r="L207" s="43"/>
    </row>
    <row r="208" spans="1:12" x14ac:dyDescent="0.25">
      <c r="A208">
        <v>1</v>
      </c>
      <c r="B208">
        <v>4382473</v>
      </c>
      <c r="C208" t="s">
        <v>21</v>
      </c>
      <c r="D208" t="s">
        <v>19</v>
      </c>
      <c r="E208">
        <v>0</v>
      </c>
      <c r="F208" t="s">
        <v>62</v>
      </c>
      <c r="G208" s="41" t="s">
        <v>381</v>
      </c>
      <c r="H208" s="42">
        <v>0.80717592592592591</v>
      </c>
      <c r="I208" s="41" t="s">
        <v>381</v>
      </c>
      <c r="J208" s="42">
        <v>0.80717592592592591</v>
      </c>
      <c r="K208" t="s">
        <v>58</v>
      </c>
      <c r="L208" s="43"/>
    </row>
    <row r="209" spans="1:12" x14ac:dyDescent="0.25">
      <c r="A209">
        <v>1</v>
      </c>
      <c r="B209">
        <v>4382474</v>
      </c>
      <c r="C209" t="s">
        <v>21</v>
      </c>
      <c r="D209" t="s">
        <v>19</v>
      </c>
      <c r="E209">
        <v>0</v>
      </c>
      <c r="F209" t="s">
        <v>62</v>
      </c>
      <c r="G209" s="41" t="s">
        <v>381</v>
      </c>
      <c r="H209" s="42">
        <v>0.80717592592592591</v>
      </c>
      <c r="I209" s="41" t="s">
        <v>381</v>
      </c>
      <c r="J209" s="42">
        <v>0.80723379629629632</v>
      </c>
      <c r="K209" t="s">
        <v>58</v>
      </c>
      <c r="L209" s="43"/>
    </row>
    <row r="210" spans="1:12" x14ac:dyDescent="0.25">
      <c r="A210">
        <v>1</v>
      </c>
      <c r="B210">
        <v>4382475</v>
      </c>
      <c r="C210" t="s">
        <v>21</v>
      </c>
      <c r="D210" t="s">
        <v>19</v>
      </c>
      <c r="E210">
        <v>0</v>
      </c>
      <c r="F210" t="s">
        <v>62</v>
      </c>
      <c r="G210" s="41" t="s">
        <v>381</v>
      </c>
      <c r="H210" s="42">
        <v>0.80729166666666663</v>
      </c>
      <c r="I210" s="41" t="s">
        <v>381</v>
      </c>
      <c r="J210" s="42">
        <v>0.80730324074074078</v>
      </c>
      <c r="K210" t="s">
        <v>58</v>
      </c>
      <c r="L210" s="43"/>
    </row>
    <row r="211" spans="1:12" x14ac:dyDescent="0.25">
      <c r="A211">
        <v>1</v>
      </c>
      <c r="B211">
        <v>4382476</v>
      </c>
      <c r="C211" t="s">
        <v>21</v>
      </c>
      <c r="D211" t="s">
        <v>19</v>
      </c>
      <c r="E211">
        <v>0</v>
      </c>
      <c r="F211" t="s">
        <v>62</v>
      </c>
      <c r="G211" s="41" t="s">
        <v>381</v>
      </c>
      <c r="H211" s="42">
        <v>0.80729166666666663</v>
      </c>
      <c r="I211" s="41" t="s">
        <v>381</v>
      </c>
      <c r="J211" s="42">
        <v>0.80736111111111108</v>
      </c>
      <c r="K211" t="s">
        <v>58</v>
      </c>
      <c r="L211" s="43"/>
    </row>
    <row r="212" spans="1:12" x14ac:dyDescent="0.25">
      <c r="A212">
        <v>1</v>
      </c>
      <c r="B212">
        <v>4382477</v>
      </c>
      <c r="C212" t="s">
        <v>21</v>
      </c>
      <c r="D212" t="s">
        <v>21</v>
      </c>
      <c r="E212">
        <v>0</v>
      </c>
      <c r="F212" t="s">
        <v>62</v>
      </c>
      <c r="G212" s="41" t="s">
        <v>381</v>
      </c>
      <c r="H212" s="42">
        <v>0.80740740740740746</v>
      </c>
      <c r="I212" s="41" t="s">
        <v>381</v>
      </c>
      <c r="J212" s="42">
        <v>0.80748842592592596</v>
      </c>
      <c r="K212" t="s">
        <v>58</v>
      </c>
      <c r="L212" s="43"/>
    </row>
    <row r="213" spans="1:12" x14ac:dyDescent="0.25">
      <c r="A213">
        <v>1</v>
      </c>
      <c r="B213">
        <v>4382478</v>
      </c>
      <c r="C213" t="s">
        <v>21</v>
      </c>
      <c r="D213" t="s">
        <v>21</v>
      </c>
      <c r="E213">
        <v>0</v>
      </c>
      <c r="F213" t="s">
        <v>62</v>
      </c>
      <c r="G213" s="41" t="s">
        <v>381</v>
      </c>
      <c r="H213" s="42">
        <v>0.80752314814814818</v>
      </c>
      <c r="I213" s="41" t="s">
        <v>381</v>
      </c>
      <c r="J213" s="42">
        <v>0.80755787037037041</v>
      </c>
      <c r="K213" t="s">
        <v>58</v>
      </c>
      <c r="L213" s="43"/>
    </row>
    <row r="214" spans="1:12" x14ac:dyDescent="0.25">
      <c r="A214">
        <v>1</v>
      </c>
      <c r="B214">
        <v>4382479</v>
      </c>
      <c r="C214" t="s">
        <v>21</v>
      </c>
      <c r="D214" t="s">
        <v>19</v>
      </c>
      <c r="E214">
        <v>0</v>
      </c>
      <c r="F214" t="s">
        <v>62</v>
      </c>
      <c r="G214" s="41" t="s">
        <v>381</v>
      </c>
      <c r="H214" s="42">
        <v>0.80752314814814818</v>
      </c>
      <c r="I214" s="41" t="s">
        <v>381</v>
      </c>
      <c r="J214" s="42">
        <v>0.80761574074074072</v>
      </c>
      <c r="K214" t="s">
        <v>58</v>
      </c>
      <c r="L214" s="43"/>
    </row>
    <row r="215" spans="1:12" x14ac:dyDescent="0.25">
      <c r="A215">
        <v>1</v>
      </c>
      <c r="B215">
        <v>4382480</v>
      </c>
      <c r="C215" t="s">
        <v>21</v>
      </c>
      <c r="D215" t="s">
        <v>19</v>
      </c>
      <c r="E215">
        <v>0</v>
      </c>
      <c r="F215" t="s">
        <v>62</v>
      </c>
      <c r="G215" s="41" t="s">
        <v>381</v>
      </c>
      <c r="H215" s="42">
        <v>0.80763888888888891</v>
      </c>
      <c r="I215" s="41" t="s">
        <v>381</v>
      </c>
      <c r="J215" s="42">
        <v>0.80768518518518517</v>
      </c>
      <c r="K215" t="s">
        <v>58</v>
      </c>
      <c r="L215" s="43"/>
    </row>
    <row r="216" spans="1:12" x14ac:dyDescent="0.25">
      <c r="A216">
        <v>1</v>
      </c>
      <c r="B216">
        <v>4382481</v>
      </c>
      <c r="C216" t="s">
        <v>21</v>
      </c>
      <c r="D216" t="s">
        <v>21</v>
      </c>
      <c r="E216">
        <v>0</v>
      </c>
      <c r="F216" t="s">
        <v>62</v>
      </c>
      <c r="G216" s="41" t="s">
        <v>381</v>
      </c>
      <c r="H216" s="42">
        <v>0.80763888888888891</v>
      </c>
      <c r="I216" s="41" t="s">
        <v>381</v>
      </c>
      <c r="J216" s="42">
        <v>0.80774305555555559</v>
      </c>
      <c r="K216" t="s">
        <v>58</v>
      </c>
      <c r="L216" s="43"/>
    </row>
    <row r="217" spans="1:12" x14ac:dyDescent="0.25">
      <c r="A217">
        <v>1</v>
      </c>
      <c r="B217">
        <v>4382482</v>
      </c>
      <c r="C217" t="s">
        <v>21</v>
      </c>
      <c r="D217" t="s">
        <v>19</v>
      </c>
      <c r="E217">
        <v>0</v>
      </c>
      <c r="F217" t="s">
        <v>62</v>
      </c>
      <c r="G217" s="41" t="s">
        <v>381</v>
      </c>
      <c r="H217" s="42">
        <v>0.80775462962962963</v>
      </c>
      <c r="I217" s="41" t="s">
        <v>381</v>
      </c>
      <c r="J217" s="42">
        <v>0.80780092592592589</v>
      </c>
      <c r="K217" t="s">
        <v>58</v>
      </c>
      <c r="L217" s="43"/>
    </row>
    <row r="218" spans="1:12" x14ac:dyDescent="0.25">
      <c r="A218">
        <v>1</v>
      </c>
      <c r="B218">
        <v>4382483</v>
      </c>
      <c r="C218" t="s">
        <v>21</v>
      </c>
      <c r="D218" t="s">
        <v>21</v>
      </c>
      <c r="E218">
        <v>0</v>
      </c>
      <c r="F218" t="s">
        <v>62</v>
      </c>
      <c r="G218" s="41" t="s">
        <v>381</v>
      </c>
      <c r="H218" s="42">
        <v>0.80775462962962963</v>
      </c>
      <c r="I218" s="41" t="s">
        <v>381</v>
      </c>
      <c r="J218" s="42">
        <v>0.80787037037037035</v>
      </c>
      <c r="K218" t="s">
        <v>58</v>
      </c>
      <c r="L218" s="43"/>
    </row>
    <row r="219" spans="1:12" x14ac:dyDescent="0.25">
      <c r="A219">
        <v>1</v>
      </c>
      <c r="B219">
        <v>4382484</v>
      </c>
      <c r="C219" t="s">
        <v>21</v>
      </c>
      <c r="D219" t="s">
        <v>19</v>
      </c>
      <c r="E219">
        <v>0</v>
      </c>
      <c r="F219" t="s">
        <v>62</v>
      </c>
      <c r="G219" s="41" t="s">
        <v>381</v>
      </c>
      <c r="H219" s="42">
        <v>0.80787037037037035</v>
      </c>
      <c r="I219" s="41" t="s">
        <v>381</v>
      </c>
      <c r="J219" s="42">
        <v>0.80792824074074077</v>
      </c>
      <c r="K219" t="s">
        <v>58</v>
      </c>
      <c r="L219" s="43"/>
    </row>
    <row r="220" spans="1:12" x14ac:dyDescent="0.25">
      <c r="A220">
        <v>1</v>
      </c>
      <c r="B220">
        <v>4382485</v>
      </c>
      <c r="C220" t="s">
        <v>21</v>
      </c>
      <c r="D220" t="s">
        <v>19</v>
      </c>
      <c r="E220">
        <v>0</v>
      </c>
      <c r="F220" t="s">
        <v>62</v>
      </c>
      <c r="G220" s="41" t="s">
        <v>381</v>
      </c>
      <c r="H220" s="42">
        <v>0.80798611111111107</v>
      </c>
      <c r="I220" s="41" t="s">
        <v>381</v>
      </c>
      <c r="J220" s="42">
        <v>0.80798611111111107</v>
      </c>
      <c r="K220" t="s">
        <v>58</v>
      </c>
      <c r="L220" s="43"/>
    </row>
    <row r="221" spans="1:12" x14ac:dyDescent="0.25">
      <c r="A221">
        <v>1</v>
      </c>
      <c r="B221">
        <v>4382486</v>
      </c>
      <c r="C221" t="s">
        <v>21</v>
      </c>
      <c r="D221" t="s">
        <v>19</v>
      </c>
      <c r="E221">
        <v>0</v>
      </c>
      <c r="F221" t="s">
        <v>62</v>
      </c>
      <c r="G221" s="41" t="s">
        <v>381</v>
      </c>
      <c r="H221" s="42">
        <v>0.80798611111111107</v>
      </c>
      <c r="I221" s="41" t="s">
        <v>381</v>
      </c>
      <c r="J221" s="42">
        <v>0.80806712962962968</v>
      </c>
      <c r="K221" t="s">
        <v>58</v>
      </c>
      <c r="L221" s="43"/>
    </row>
    <row r="222" spans="1:12" x14ac:dyDescent="0.25">
      <c r="A222">
        <v>1</v>
      </c>
      <c r="B222">
        <v>4382487</v>
      </c>
      <c r="C222" t="s">
        <v>21</v>
      </c>
      <c r="D222" t="s">
        <v>19</v>
      </c>
      <c r="E222">
        <v>0</v>
      </c>
      <c r="F222" t="s">
        <v>62</v>
      </c>
      <c r="G222" s="41" t="s">
        <v>381</v>
      </c>
      <c r="H222" s="42">
        <v>0.8081018518518519</v>
      </c>
      <c r="I222" s="41" t="s">
        <v>381</v>
      </c>
      <c r="J222" s="42">
        <v>0.80812499999999998</v>
      </c>
      <c r="K222" t="s">
        <v>58</v>
      </c>
      <c r="L222" s="43"/>
    </row>
    <row r="223" spans="1:12" x14ac:dyDescent="0.25">
      <c r="A223">
        <v>1</v>
      </c>
      <c r="B223">
        <v>4382488</v>
      </c>
      <c r="C223" t="s">
        <v>21</v>
      </c>
      <c r="D223" t="s">
        <v>19</v>
      </c>
      <c r="E223">
        <v>0</v>
      </c>
      <c r="F223" t="s">
        <v>62</v>
      </c>
      <c r="G223" s="41" t="s">
        <v>381</v>
      </c>
      <c r="H223" s="42">
        <v>0.80925925925925923</v>
      </c>
      <c r="I223" s="41" t="s">
        <v>381</v>
      </c>
      <c r="J223" s="42">
        <v>0.80929398148148146</v>
      </c>
      <c r="K223" t="s">
        <v>58</v>
      </c>
      <c r="L223" s="43"/>
    </row>
    <row r="224" spans="1:12" x14ac:dyDescent="0.25">
      <c r="A224">
        <v>1</v>
      </c>
      <c r="B224">
        <v>4382489</v>
      </c>
      <c r="C224" t="s">
        <v>21</v>
      </c>
      <c r="D224" t="s">
        <v>19</v>
      </c>
      <c r="E224">
        <v>0</v>
      </c>
      <c r="F224" t="s">
        <v>62</v>
      </c>
      <c r="G224" s="41" t="s">
        <v>381</v>
      </c>
      <c r="H224" s="42">
        <v>0.80925925925925923</v>
      </c>
      <c r="I224" s="41" t="s">
        <v>381</v>
      </c>
      <c r="J224" s="42">
        <v>0.80936342592592592</v>
      </c>
      <c r="K224" t="s">
        <v>58</v>
      </c>
      <c r="L224" s="43"/>
    </row>
    <row r="225" spans="1:12" x14ac:dyDescent="0.25">
      <c r="A225">
        <v>1</v>
      </c>
      <c r="B225">
        <v>4382490</v>
      </c>
      <c r="C225" t="s">
        <v>21</v>
      </c>
      <c r="D225" t="s">
        <v>19</v>
      </c>
      <c r="E225">
        <v>0</v>
      </c>
      <c r="F225" t="s">
        <v>62</v>
      </c>
      <c r="G225" s="41" t="s">
        <v>381</v>
      </c>
      <c r="H225" s="42">
        <v>0.80937499999999996</v>
      </c>
      <c r="I225" s="41" t="s">
        <v>381</v>
      </c>
      <c r="J225" s="42">
        <v>0.80942129629629633</v>
      </c>
      <c r="K225" t="s">
        <v>58</v>
      </c>
      <c r="L225" s="43"/>
    </row>
    <row r="226" spans="1:12" x14ac:dyDescent="0.25">
      <c r="A226">
        <v>1</v>
      </c>
      <c r="B226">
        <v>4382491</v>
      </c>
      <c r="C226" t="s">
        <v>21</v>
      </c>
      <c r="D226" t="s">
        <v>19</v>
      </c>
      <c r="E226">
        <v>0</v>
      </c>
      <c r="F226" t="s">
        <v>62</v>
      </c>
      <c r="G226" s="41" t="s">
        <v>381</v>
      </c>
      <c r="H226" s="42">
        <v>0.80937499999999996</v>
      </c>
      <c r="I226" s="41" t="s">
        <v>381</v>
      </c>
      <c r="J226" s="42">
        <v>0.80949074074074079</v>
      </c>
      <c r="K226" t="s">
        <v>58</v>
      </c>
      <c r="L226" s="43"/>
    </row>
    <row r="227" spans="1:12" x14ac:dyDescent="0.25">
      <c r="A227">
        <v>1</v>
      </c>
      <c r="B227">
        <v>4382492</v>
      </c>
      <c r="C227" t="s">
        <v>21</v>
      </c>
      <c r="D227" t="s">
        <v>19</v>
      </c>
      <c r="E227">
        <v>0</v>
      </c>
      <c r="F227" t="s">
        <v>62</v>
      </c>
      <c r="G227" s="41" t="s">
        <v>381</v>
      </c>
      <c r="H227" s="42">
        <v>0.80949074074074079</v>
      </c>
      <c r="I227" s="41" t="s">
        <v>381</v>
      </c>
      <c r="J227" s="42">
        <v>0.80956018518518513</v>
      </c>
      <c r="K227" t="s">
        <v>58</v>
      </c>
      <c r="L227" s="43"/>
    </row>
    <row r="228" spans="1:12" x14ac:dyDescent="0.25">
      <c r="A228">
        <v>1</v>
      </c>
      <c r="B228">
        <v>4382495</v>
      </c>
      <c r="C228">
        <v>1196</v>
      </c>
      <c r="D228" t="s">
        <v>309</v>
      </c>
      <c r="E228">
        <v>0</v>
      </c>
      <c r="F228" t="s">
        <v>62</v>
      </c>
      <c r="G228" s="41" t="s">
        <v>381</v>
      </c>
      <c r="H228" s="42">
        <v>0.93645833333333328</v>
      </c>
      <c r="I228" s="41" t="s">
        <v>381</v>
      </c>
      <c r="J228" s="42">
        <v>0.93655092592592593</v>
      </c>
      <c r="K228" t="s">
        <v>58</v>
      </c>
      <c r="L228" s="43"/>
    </row>
    <row r="229" spans="1:12" x14ac:dyDescent="0.25">
      <c r="A229">
        <v>1</v>
      </c>
      <c r="B229">
        <v>4382519</v>
      </c>
      <c r="C229">
        <v>1196</v>
      </c>
      <c r="D229" t="s">
        <v>314</v>
      </c>
      <c r="E229">
        <v>0</v>
      </c>
      <c r="F229" t="s">
        <v>62</v>
      </c>
      <c r="G229" s="41" t="s">
        <v>381</v>
      </c>
      <c r="H229" s="42">
        <v>0.93657407407407411</v>
      </c>
      <c r="I229" s="41" t="s">
        <v>381</v>
      </c>
      <c r="J229" s="42">
        <v>0.93659722222222219</v>
      </c>
      <c r="K229" t="s">
        <v>58</v>
      </c>
      <c r="L229" s="43"/>
    </row>
    <row r="230" spans="1:12" x14ac:dyDescent="0.25">
      <c r="A230">
        <v>1</v>
      </c>
      <c r="B230">
        <v>4382520</v>
      </c>
      <c r="C230">
        <v>1196</v>
      </c>
      <c r="D230" t="s">
        <v>314</v>
      </c>
      <c r="E230">
        <v>0</v>
      </c>
      <c r="F230" t="s">
        <v>62</v>
      </c>
      <c r="G230" s="41" t="s">
        <v>381</v>
      </c>
      <c r="H230" s="42">
        <v>0.93657407407407411</v>
      </c>
      <c r="I230" s="41" t="s">
        <v>381</v>
      </c>
      <c r="J230" s="42">
        <v>0.93664351851851857</v>
      </c>
      <c r="K230" t="s">
        <v>58</v>
      </c>
      <c r="L230" s="43"/>
    </row>
    <row r="231" spans="1:12" x14ac:dyDescent="0.25">
      <c r="A231">
        <v>1</v>
      </c>
      <c r="B231">
        <v>4382528</v>
      </c>
      <c r="C231">
        <v>1196</v>
      </c>
      <c r="D231" t="s">
        <v>309</v>
      </c>
      <c r="E231">
        <v>0</v>
      </c>
      <c r="F231" t="s">
        <v>62</v>
      </c>
      <c r="G231" s="41" t="s">
        <v>381</v>
      </c>
      <c r="H231" s="42">
        <v>0.93668981481481484</v>
      </c>
      <c r="I231" s="41" t="s">
        <v>381</v>
      </c>
      <c r="J231" s="42">
        <v>0.93668981481481484</v>
      </c>
      <c r="K231" t="s">
        <v>58</v>
      </c>
      <c r="L231" s="43"/>
    </row>
    <row r="232" spans="1:12" x14ac:dyDescent="0.25">
      <c r="A232">
        <v>1</v>
      </c>
      <c r="B232">
        <v>4382530</v>
      </c>
      <c r="C232">
        <v>1196</v>
      </c>
      <c r="D232" t="s">
        <v>309</v>
      </c>
      <c r="E232">
        <v>0</v>
      </c>
      <c r="F232" t="s">
        <v>62</v>
      </c>
      <c r="G232" s="41" t="s">
        <v>381</v>
      </c>
      <c r="H232" s="42">
        <v>0.93668981481481484</v>
      </c>
      <c r="I232" s="41" t="s">
        <v>381</v>
      </c>
      <c r="J232" s="42">
        <v>0.9367361111111111</v>
      </c>
      <c r="K232" t="s">
        <v>58</v>
      </c>
      <c r="L232" s="43"/>
    </row>
    <row r="233" spans="1:12" x14ac:dyDescent="0.25">
      <c r="A233">
        <v>1</v>
      </c>
      <c r="B233">
        <v>4382701</v>
      </c>
      <c r="C233" t="s">
        <v>17</v>
      </c>
      <c r="D233" t="s">
        <v>17</v>
      </c>
      <c r="E233">
        <v>0</v>
      </c>
      <c r="F233" t="s">
        <v>62</v>
      </c>
      <c r="G233" s="41" t="s">
        <v>414</v>
      </c>
      <c r="H233" s="42">
        <v>0.39699074074074076</v>
      </c>
      <c r="I233" s="41" t="s">
        <v>414</v>
      </c>
      <c r="J233" s="42">
        <v>0.39700231481481479</v>
      </c>
      <c r="K233" t="s">
        <v>58</v>
      </c>
      <c r="L233" s="43"/>
    </row>
    <row r="234" spans="1:12" x14ac:dyDescent="0.25">
      <c r="A234">
        <v>1</v>
      </c>
      <c r="B234">
        <v>4382702</v>
      </c>
      <c r="C234" t="s">
        <v>17</v>
      </c>
      <c r="D234" t="s">
        <v>17</v>
      </c>
      <c r="E234">
        <v>0</v>
      </c>
      <c r="F234" t="s">
        <v>62</v>
      </c>
      <c r="G234" s="41" t="s">
        <v>414</v>
      </c>
      <c r="H234" s="42">
        <v>0.39699074074074076</v>
      </c>
      <c r="I234" s="41" t="s">
        <v>414</v>
      </c>
      <c r="J234" s="42">
        <v>0.39706018518518521</v>
      </c>
      <c r="K234" t="s">
        <v>58</v>
      </c>
      <c r="L234" s="43"/>
    </row>
    <row r="235" spans="1:12" x14ac:dyDescent="0.25">
      <c r="A235">
        <v>1</v>
      </c>
      <c r="B235">
        <v>4382703</v>
      </c>
      <c r="C235" t="s">
        <v>17</v>
      </c>
      <c r="D235" t="s">
        <v>17</v>
      </c>
      <c r="E235">
        <v>0</v>
      </c>
      <c r="F235" t="s">
        <v>62</v>
      </c>
      <c r="G235" s="41" t="s">
        <v>414</v>
      </c>
      <c r="H235" s="42">
        <v>0.39710648148148148</v>
      </c>
      <c r="I235" s="41" t="s">
        <v>414</v>
      </c>
      <c r="J235" s="42">
        <v>0.39711805555555557</v>
      </c>
      <c r="K235" t="s">
        <v>58</v>
      </c>
      <c r="L235" s="43"/>
    </row>
    <row r="236" spans="1:12" x14ac:dyDescent="0.25">
      <c r="A236">
        <v>1</v>
      </c>
      <c r="B236">
        <v>4382704</v>
      </c>
      <c r="C236" t="s">
        <v>17</v>
      </c>
      <c r="D236" t="s">
        <v>17</v>
      </c>
      <c r="E236">
        <v>0</v>
      </c>
      <c r="F236" t="s">
        <v>62</v>
      </c>
      <c r="G236" s="41" t="s">
        <v>414</v>
      </c>
      <c r="H236" s="42">
        <v>0.39710648148148148</v>
      </c>
      <c r="I236" s="41" t="s">
        <v>414</v>
      </c>
      <c r="J236" s="42">
        <v>0.39716435185185184</v>
      </c>
      <c r="K236" t="s">
        <v>58</v>
      </c>
      <c r="L236" s="43"/>
    </row>
    <row r="237" spans="1:12" x14ac:dyDescent="0.25">
      <c r="A237">
        <v>1</v>
      </c>
      <c r="B237">
        <v>4382705</v>
      </c>
      <c r="C237" t="s">
        <v>17</v>
      </c>
      <c r="D237" t="s">
        <v>17</v>
      </c>
      <c r="E237">
        <v>0</v>
      </c>
      <c r="F237" t="s">
        <v>62</v>
      </c>
      <c r="G237" s="41" t="s">
        <v>414</v>
      </c>
      <c r="H237" s="42">
        <v>0.3972222222222222</v>
      </c>
      <c r="I237" s="41" t="s">
        <v>414</v>
      </c>
      <c r="J237" s="42">
        <v>0.39723379629629629</v>
      </c>
      <c r="K237" t="s">
        <v>58</v>
      </c>
      <c r="L237" s="43"/>
    </row>
    <row r="238" spans="1:12" x14ac:dyDescent="0.25">
      <c r="A238">
        <v>1</v>
      </c>
      <c r="B238">
        <v>4382706</v>
      </c>
      <c r="C238" t="s">
        <v>20</v>
      </c>
      <c r="D238" t="s">
        <v>314</v>
      </c>
      <c r="E238">
        <v>0</v>
      </c>
      <c r="F238" t="s">
        <v>62</v>
      </c>
      <c r="G238" s="41" t="s">
        <v>414</v>
      </c>
      <c r="H238" s="42">
        <v>0.39884259259259258</v>
      </c>
      <c r="I238" s="41" t="s">
        <v>414</v>
      </c>
      <c r="J238" s="42">
        <v>0.39894675925925926</v>
      </c>
      <c r="K238" t="s">
        <v>58</v>
      </c>
      <c r="L238" s="43"/>
    </row>
    <row r="239" spans="1:12" x14ac:dyDescent="0.25">
      <c r="A239">
        <v>1</v>
      </c>
      <c r="B239">
        <v>4382707</v>
      </c>
      <c r="C239" t="s">
        <v>20</v>
      </c>
      <c r="D239" t="s">
        <v>314</v>
      </c>
      <c r="E239">
        <v>0</v>
      </c>
      <c r="F239" t="s">
        <v>62</v>
      </c>
      <c r="G239" s="41" t="s">
        <v>414</v>
      </c>
      <c r="H239" s="42">
        <v>0.39895833333333336</v>
      </c>
      <c r="I239" s="41" t="s">
        <v>414</v>
      </c>
      <c r="J239" s="42">
        <v>0.39900462962962963</v>
      </c>
      <c r="K239" t="s">
        <v>58</v>
      </c>
      <c r="L239" s="43"/>
    </row>
    <row r="240" spans="1:12" x14ac:dyDescent="0.25">
      <c r="A240">
        <v>1</v>
      </c>
      <c r="B240">
        <v>4382709</v>
      </c>
      <c r="C240" t="s">
        <v>20</v>
      </c>
      <c r="D240" t="s">
        <v>314</v>
      </c>
      <c r="E240">
        <v>0</v>
      </c>
      <c r="F240" t="s">
        <v>62</v>
      </c>
      <c r="G240" s="41" t="s">
        <v>414</v>
      </c>
      <c r="H240" s="42">
        <v>0.39907407407407408</v>
      </c>
      <c r="I240" s="41" t="s">
        <v>414</v>
      </c>
      <c r="J240" s="42">
        <v>0.39912037037037035</v>
      </c>
      <c r="K240" t="s">
        <v>58</v>
      </c>
      <c r="L240" s="43"/>
    </row>
    <row r="241" spans="1:12" x14ac:dyDescent="0.25">
      <c r="A241">
        <v>1</v>
      </c>
      <c r="B241">
        <v>4382717</v>
      </c>
      <c r="C241" t="s">
        <v>17</v>
      </c>
      <c r="D241" t="s">
        <v>17</v>
      </c>
      <c r="E241">
        <v>0</v>
      </c>
      <c r="F241" t="s">
        <v>62</v>
      </c>
      <c r="G241" s="41" t="s">
        <v>414</v>
      </c>
      <c r="H241" s="42">
        <v>0.3972222222222222</v>
      </c>
      <c r="I241" s="41" t="s">
        <v>414</v>
      </c>
      <c r="J241" s="42">
        <v>0.39729166666666665</v>
      </c>
      <c r="K241" t="s">
        <v>58</v>
      </c>
      <c r="L241" s="43"/>
    </row>
    <row r="242" spans="1:12" x14ac:dyDescent="0.25">
      <c r="A242">
        <v>1</v>
      </c>
      <c r="B242">
        <v>4382720</v>
      </c>
      <c r="C242" t="s">
        <v>20</v>
      </c>
      <c r="D242" t="s">
        <v>314</v>
      </c>
      <c r="E242">
        <v>0</v>
      </c>
      <c r="F242" t="s">
        <v>62</v>
      </c>
      <c r="G242" s="41" t="s">
        <v>414</v>
      </c>
      <c r="H242" s="42">
        <v>0.3996527777777778</v>
      </c>
      <c r="I242" s="41" t="s">
        <v>414</v>
      </c>
      <c r="J242" s="42">
        <v>0.39974537037037039</v>
      </c>
      <c r="K242" t="s">
        <v>58</v>
      </c>
      <c r="L242" s="43"/>
    </row>
    <row r="243" spans="1:12" x14ac:dyDescent="0.25">
      <c r="A243">
        <v>1</v>
      </c>
      <c r="B243">
        <v>4382729</v>
      </c>
      <c r="C243" t="s">
        <v>17</v>
      </c>
      <c r="D243" t="s">
        <v>17</v>
      </c>
      <c r="E243">
        <v>0</v>
      </c>
      <c r="F243" t="s">
        <v>62</v>
      </c>
      <c r="G243" s="41" t="s">
        <v>414</v>
      </c>
      <c r="H243" s="42">
        <v>0.39733796296296298</v>
      </c>
      <c r="I243" s="41" t="s">
        <v>414</v>
      </c>
      <c r="J243" s="42">
        <v>0.39734953703703701</v>
      </c>
      <c r="K243" t="s">
        <v>58</v>
      </c>
      <c r="L243" s="43"/>
    </row>
    <row r="244" spans="1:12" x14ac:dyDescent="0.25">
      <c r="A244">
        <v>1</v>
      </c>
      <c r="B244">
        <v>4382730</v>
      </c>
      <c r="C244" t="s">
        <v>17</v>
      </c>
      <c r="D244" t="s">
        <v>17</v>
      </c>
      <c r="E244">
        <v>0</v>
      </c>
      <c r="F244" t="s">
        <v>62</v>
      </c>
      <c r="G244" s="41" t="s">
        <v>414</v>
      </c>
      <c r="H244" s="42">
        <v>0.3974537037037037</v>
      </c>
      <c r="I244" s="41" t="s">
        <v>414</v>
      </c>
      <c r="J244" s="42">
        <v>0.3974537037037037</v>
      </c>
      <c r="K244" t="s">
        <v>58</v>
      </c>
      <c r="L244" s="43"/>
    </row>
    <row r="245" spans="1:12" x14ac:dyDescent="0.25">
      <c r="A245">
        <v>1</v>
      </c>
      <c r="B245">
        <v>4382733</v>
      </c>
      <c r="C245" t="s">
        <v>20</v>
      </c>
      <c r="D245" t="s">
        <v>19</v>
      </c>
      <c r="E245">
        <v>0</v>
      </c>
      <c r="F245" t="s">
        <v>62</v>
      </c>
      <c r="G245" s="41" t="s">
        <v>414</v>
      </c>
      <c r="H245" s="42">
        <v>0.40034722222222224</v>
      </c>
      <c r="I245" s="41" t="s">
        <v>414</v>
      </c>
      <c r="J245" s="42">
        <v>0.40034722222222224</v>
      </c>
      <c r="K245" t="s">
        <v>58</v>
      </c>
      <c r="L245" s="43"/>
    </row>
    <row r="246" spans="1:12" x14ac:dyDescent="0.25">
      <c r="A246">
        <v>1</v>
      </c>
      <c r="B246">
        <v>4382734</v>
      </c>
      <c r="C246" t="s">
        <v>20</v>
      </c>
      <c r="D246" t="s">
        <v>19</v>
      </c>
      <c r="E246">
        <v>0</v>
      </c>
      <c r="F246" t="s">
        <v>62</v>
      </c>
      <c r="G246" s="41" t="s">
        <v>414</v>
      </c>
      <c r="H246" s="42">
        <v>0.40034722222222224</v>
      </c>
      <c r="I246" s="41" t="s">
        <v>414</v>
      </c>
      <c r="J246" s="42">
        <v>0.4004050925925926</v>
      </c>
      <c r="K246" t="s">
        <v>58</v>
      </c>
      <c r="L246" s="43"/>
    </row>
    <row r="247" spans="1:12" x14ac:dyDescent="0.25">
      <c r="A247">
        <v>1</v>
      </c>
      <c r="B247">
        <v>4382761</v>
      </c>
      <c r="C247">
        <v>1196</v>
      </c>
      <c r="D247" t="s">
        <v>309</v>
      </c>
      <c r="E247">
        <v>0</v>
      </c>
      <c r="F247" t="s">
        <v>62</v>
      </c>
      <c r="G247" s="41" t="s">
        <v>414</v>
      </c>
      <c r="H247" s="42">
        <v>0.42442129629629627</v>
      </c>
      <c r="I247" s="41" t="s">
        <v>414</v>
      </c>
      <c r="J247" s="42">
        <v>0.42447916666666669</v>
      </c>
      <c r="K247" t="s">
        <v>58</v>
      </c>
      <c r="L247" s="43"/>
    </row>
    <row r="248" spans="1:12" x14ac:dyDescent="0.25">
      <c r="A248">
        <v>1</v>
      </c>
      <c r="B248">
        <v>4382762</v>
      </c>
      <c r="C248">
        <v>1196</v>
      </c>
      <c r="D248" t="s">
        <v>309</v>
      </c>
      <c r="E248">
        <v>0</v>
      </c>
      <c r="F248" t="s">
        <v>62</v>
      </c>
      <c r="G248" s="41" t="s">
        <v>414</v>
      </c>
      <c r="H248" s="42">
        <v>0.42442129629629627</v>
      </c>
      <c r="I248" s="41" t="s">
        <v>414</v>
      </c>
      <c r="J248" s="42">
        <v>0.42453703703703705</v>
      </c>
      <c r="K248" t="s">
        <v>58</v>
      </c>
      <c r="L248" s="43"/>
    </row>
    <row r="249" spans="1:12" x14ac:dyDescent="0.25">
      <c r="A249">
        <v>1</v>
      </c>
      <c r="B249">
        <v>4382763</v>
      </c>
      <c r="C249" t="s">
        <v>17</v>
      </c>
      <c r="D249" t="s">
        <v>17</v>
      </c>
      <c r="E249">
        <v>0</v>
      </c>
      <c r="F249" t="s">
        <v>62</v>
      </c>
      <c r="G249" s="41" t="s">
        <v>414</v>
      </c>
      <c r="H249" s="42">
        <v>0.42395833333333333</v>
      </c>
      <c r="I249" s="41" t="s">
        <v>414</v>
      </c>
      <c r="J249" s="42">
        <v>0.42408564814814814</v>
      </c>
      <c r="K249" t="s">
        <v>58</v>
      </c>
      <c r="L249" s="43"/>
    </row>
    <row r="250" spans="1:12" x14ac:dyDescent="0.25">
      <c r="A250">
        <v>1</v>
      </c>
      <c r="B250">
        <v>4382764</v>
      </c>
      <c r="C250">
        <v>1196</v>
      </c>
      <c r="D250" t="s">
        <v>309</v>
      </c>
      <c r="E250">
        <v>0</v>
      </c>
      <c r="F250" t="s">
        <v>62</v>
      </c>
      <c r="G250" s="41" t="s">
        <v>414</v>
      </c>
      <c r="H250" s="42">
        <v>0.42453703703703705</v>
      </c>
      <c r="I250" s="41" t="s">
        <v>414</v>
      </c>
      <c r="J250" s="42">
        <v>0.4246064814814815</v>
      </c>
      <c r="K250" t="s">
        <v>58</v>
      </c>
      <c r="L250" s="43"/>
    </row>
    <row r="251" spans="1:12" x14ac:dyDescent="0.25">
      <c r="A251">
        <v>1</v>
      </c>
      <c r="B251">
        <v>4382765</v>
      </c>
      <c r="C251">
        <v>1196</v>
      </c>
      <c r="D251" t="s">
        <v>309</v>
      </c>
      <c r="E251">
        <v>0</v>
      </c>
      <c r="F251" t="s">
        <v>62</v>
      </c>
      <c r="G251" s="41" t="s">
        <v>414</v>
      </c>
      <c r="H251" s="42">
        <v>0.42465277777777777</v>
      </c>
      <c r="I251" s="41" t="s">
        <v>414</v>
      </c>
      <c r="J251" s="42">
        <v>0.42466435185185186</v>
      </c>
      <c r="K251" t="s">
        <v>58</v>
      </c>
      <c r="L251" s="43"/>
    </row>
    <row r="252" spans="1:12" x14ac:dyDescent="0.25">
      <c r="A252">
        <v>1</v>
      </c>
      <c r="B252">
        <v>4382771</v>
      </c>
      <c r="C252">
        <v>1196</v>
      </c>
      <c r="D252" t="s">
        <v>314</v>
      </c>
      <c r="E252">
        <v>0</v>
      </c>
      <c r="F252" t="s">
        <v>62</v>
      </c>
      <c r="G252" s="41" t="s">
        <v>414</v>
      </c>
      <c r="H252" s="42">
        <v>0.42465277777777777</v>
      </c>
      <c r="I252" s="41" t="s">
        <v>414</v>
      </c>
      <c r="J252" s="42">
        <v>0.42472222222222222</v>
      </c>
      <c r="K252" t="s">
        <v>58</v>
      </c>
      <c r="L252" s="43"/>
    </row>
    <row r="253" spans="1:12" x14ac:dyDescent="0.25">
      <c r="A253">
        <v>1</v>
      </c>
      <c r="B253">
        <v>4382773</v>
      </c>
      <c r="C253" t="s">
        <v>17</v>
      </c>
      <c r="D253" t="s">
        <v>17</v>
      </c>
      <c r="E253">
        <v>0</v>
      </c>
      <c r="F253" t="s">
        <v>62</v>
      </c>
      <c r="G253" s="41" t="s">
        <v>414</v>
      </c>
      <c r="H253" s="42">
        <v>0.42407407407407405</v>
      </c>
      <c r="I253" s="41" t="s">
        <v>414</v>
      </c>
      <c r="J253" s="42">
        <v>0.42420138888888886</v>
      </c>
      <c r="K253" t="s">
        <v>58</v>
      </c>
      <c r="L253" s="43"/>
    </row>
    <row r="254" spans="1:12" x14ac:dyDescent="0.25">
      <c r="A254">
        <v>1</v>
      </c>
      <c r="B254">
        <v>4382796</v>
      </c>
      <c r="C254" t="s">
        <v>17</v>
      </c>
      <c r="D254" t="s">
        <v>17</v>
      </c>
      <c r="E254">
        <v>0</v>
      </c>
      <c r="F254" t="s">
        <v>62</v>
      </c>
      <c r="G254" s="41" t="s">
        <v>414</v>
      </c>
      <c r="H254" s="42">
        <v>0.48726851851851855</v>
      </c>
      <c r="I254" s="41" t="s">
        <v>414</v>
      </c>
      <c r="J254" s="42">
        <v>0.48728009259259258</v>
      </c>
      <c r="K254" t="s">
        <v>58</v>
      </c>
      <c r="L254" s="43"/>
    </row>
    <row r="255" spans="1:12" x14ac:dyDescent="0.25">
      <c r="A255">
        <v>1</v>
      </c>
      <c r="B255">
        <v>4382798</v>
      </c>
      <c r="C255" t="s">
        <v>17</v>
      </c>
      <c r="D255" t="s">
        <v>17</v>
      </c>
      <c r="E255">
        <v>0</v>
      </c>
      <c r="F255" t="s">
        <v>62</v>
      </c>
      <c r="G255" s="41" t="s">
        <v>414</v>
      </c>
      <c r="H255" s="42">
        <v>0.48726851851851855</v>
      </c>
      <c r="I255" s="41" t="s">
        <v>414</v>
      </c>
      <c r="J255" s="42">
        <v>0.48733796296296295</v>
      </c>
      <c r="K255" t="s">
        <v>58</v>
      </c>
      <c r="L255" s="43"/>
    </row>
    <row r="256" spans="1:12" x14ac:dyDescent="0.25">
      <c r="A256">
        <v>1</v>
      </c>
      <c r="B256">
        <v>4382799</v>
      </c>
      <c r="C256" t="s">
        <v>17</v>
      </c>
      <c r="D256" t="s">
        <v>17</v>
      </c>
      <c r="E256">
        <v>0</v>
      </c>
      <c r="F256" t="s">
        <v>62</v>
      </c>
      <c r="G256" s="41" t="s">
        <v>414</v>
      </c>
      <c r="H256" s="42">
        <v>0.48738425925925927</v>
      </c>
      <c r="I256" s="41" t="s">
        <v>414</v>
      </c>
      <c r="J256" s="42">
        <v>0.48738425925925927</v>
      </c>
      <c r="K256" t="s">
        <v>58</v>
      </c>
      <c r="L256" s="43"/>
    </row>
    <row r="257" spans="1:12" x14ac:dyDescent="0.25">
      <c r="A257">
        <v>1</v>
      </c>
      <c r="B257">
        <v>4382800</v>
      </c>
      <c r="C257" t="s">
        <v>17</v>
      </c>
      <c r="D257" t="s">
        <v>17</v>
      </c>
      <c r="E257">
        <v>0</v>
      </c>
      <c r="F257" t="s">
        <v>62</v>
      </c>
      <c r="G257" s="41" t="s">
        <v>414</v>
      </c>
      <c r="H257" s="42">
        <v>0.48738425925925927</v>
      </c>
      <c r="I257" s="41" t="s">
        <v>414</v>
      </c>
      <c r="J257" s="42">
        <v>0.48744212962962963</v>
      </c>
      <c r="K257" t="s">
        <v>58</v>
      </c>
      <c r="L257" s="43"/>
    </row>
    <row r="258" spans="1:12" x14ac:dyDescent="0.25">
      <c r="A258">
        <v>1</v>
      </c>
      <c r="B258">
        <v>4382809</v>
      </c>
      <c r="C258" t="s">
        <v>18</v>
      </c>
      <c r="D258" t="s">
        <v>18</v>
      </c>
      <c r="E258">
        <v>0</v>
      </c>
      <c r="F258" t="s">
        <v>62</v>
      </c>
      <c r="G258" s="41" t="s">
        <v>414</v>
      </c>
      <c r="H258" s="42">
        <v>0.43148148148148147</v>
      </c>
      <c r="I258" s="41" t="s">
        <v>414</v>
      </c>
      <c r="J258" s="42">
        <v>0.43157407407407405</v>
      </c>
      <c r="K258" t="s">
        <v>58</v>
      </c>
      <c r="L258" s="43"/>
    </row>
    <row r="259" spans="1:12" x14ac:dyDescent="0.25">
      <c r="A259">
        <v>1</v>
      </c>
      <c r="B259">
        <v>4382811</v>
      </c>
      <c r="C259" t="s">
        <v>21</v>
      </c>
      <c r="D259" t="s">
        <v>21</v>
      </c>
      <c r="E259">
        <v>0</v>
      </c>
      <c r="F259" t="s">
        <v>62</v>
      </c>
      <c r="G259" s="41" t="s">
        <v>414</v>
      </c>
      <c r="H259" s="42">
        <v>0.43275462962962963</v>
      </c>
      <c r="I259" s="41" t="s">
        <v>414</v>
      </c>
      <c r="J259" s="42">
        <v>0.43285879629629631</v>
      </c>
      <c r="K259" t="s">
        <v>58</v>
      </c>
      <c r="L259" s="43"/>
    </row>
    <row r="260" spans="1:12" x14ac:dyDescent="0.25">
      <c r="A260">
        <v>1</v>
      </c>
      <c r="B260">
        <v>4382812</v>
      </c>
      <c r="C260" t="s">
        <v>20</v>
      </c>
      <c r="D260" t="s">
        <v>314</v>
      </c>
      <c r="E260">
        <v>0</v>
      </c>
      <c r="F260" t="s">
        <v>62</v>
      </c>
      <c r="G260" s="41" t="s">
        <v>414</v>
      </c>
      <c r="H260" s="42">
        <v>0.44282407407407409</v>
      </c>
      <c r="I260" s="41" t="s">
        <v>414</v>
      </c>
      <c r="J260" s="42">
        <v>0.44290509259259259</v>
      </c>
      <c r="K260" t="s">
        <v>58</v>
      </c>
      <c r="L260" s="43"/>
    </row>
    <row r="261" spans="1:12" x14ac:dyDescent="0.25">
      <c r="A261">
        <v>1</v>
      </c>
      <c r="B261">
        <v>4382813</v>
      </c>
      <c r="C261" t="s">
        <v>17</v>
      </c>
      <c r="D261" t="s">
        <v>17</v>
      </c>
      <c r="E261">
        <v>0</v>
      </c>
      <c r="F261" t="s">
        <v>62</v>
      </c>
      <c r="G261" s="41" t="s">
        <v>414</v>
      </c>
      <c r="H261" s="42">
        <v>0.44189814814814815</v>
      </c>
      <c r="I261" s="41" t="s">
        <v>414</v>
      </c>
      <c r="J261" s="42">
        <v>0.44197916666666665</v>
      </c>
      <c r="K261" t="s">
        <v>58</v>
      </c>
      <c r="L261" s="43"/>
    </row>
    <row r="262" spans="1:12" x14ac:dyDescent="0.25">
      <c r="A262">
        <v>1</v>
      </c>
      <c r="B262">
        <v>4382814</v>
      </c>
      <c r="C262" t="s">
        <v>17</v>
      </c>
      <c r="D262" t="s">
        <v>17</v>
      </c>
      <c r="E262">
        <v>0</v>
      </c>
      <c r="F262" t="s">
        <v>62</v>
      </c>
      <c r="G262" s="41" t="s">
        <v>414</v>
      </c>
      <c r="H262" s="42">
        <v>0.44201388888888887</v>
      </c>
      <c r="I262" s="41" t="s">
        <v>414</v>
      </c>
      <c r="J262" s="42">
        <v>0.44202546296296297</v>
      </c>
      <c r="K262" t="s">
        <v>58</v>
      </c>
      <c r="L262" s="43"/>
    </row>
    <row r="263" spans="1:12" x14ac:dyDescent="0.25">
      <c r="A263">
        <v>1</v>
      </c>
      <c r="B263">
        <v>4382816</v>
      </c>
      <c r="C263" t="s">
        <v>17</v>
      </c>
      <c r="D263" t="s">
        <v>17</v>
      </c>
      <c r="E263">
        <v>0</v>
      </c>
      <c r="F263" t="s">
        <v>62</v>
      </c>
      <c r="G263" s="41" t="s">
        <v>414</v>
      </c>
      <c r="H263" s="42">
        <v>0.44201388888888887</v>
      </c>
      <c r="I263" s="41" t="s">
        <v>414</v>
      </c>
      <c r="J263" s="42">
        <v>0.44207175925925923</v>
      </c>
      <c r="K263" t="s">
        <v>58</v>
      </c>
      <c r="L263" s="43"/>
    </row>
    <row r="264" spans="1:12" x14ac:dyDescent="0.25">
      <c r="A264">
        <v>1</v>
      </c>
      <c r="B264">
        <v>4382817</v>
      </c>
      <c r="C264" t="s">
        <v>17</v>
      </c>
      <c r="D264" t="s">
        <v>17</v>
      </c>
      <c r="E264">
        <v>0</v>
      </c>
      <c r="F264" t="s">
        <v>62</v>
      </c>
      <c r="G264" s="41" t="s">
        <v>414</v>
      </c>
      <c r="H264" s="42">
        <v>0.44201388888888887</v>
      </c>
      <c r="I264" s="41" t="s">
        <v>414</v>
      </c>
      <c r="J264" s="42">
        <v>0.44211805555555556</v>
      </c>
      <c r="K264" t="s">
        <v>58</v>
      </c>
      <c r="L264" s="43"/>
    </row>
    <row r="265" spans="1:12" x14ac:dyDescent="0.25">
      <c r="A265">
        <v>1</v>
      </c>
      <c r="B265">
        <v>4382818</v>
      </c>
      <c r="C265" t="s">
        <v>17</v>
      </c>
      <c r="D265" t="s">
        <v>17</v>
      </c>
      <c r="E265">
        <v>0</v>
      </c>
      <c r="F265" t="s">
        <v>62</v>
      </c>
      <c r="G265" s="41" t="s">
        <v>414</v>
      </c>
      <c r="H265" s="42">
        <v>0.44212962962962965</v>
      </c>
      <c r="I265" s="41" t="s">
        <v>414</v>
      </c>
      <c r="J265" s="42">
        <v>0.44217592592592592</v>
      </c>
      <c r="K265" t="s">
        <v>58</v>
      </c>
      <c r="L265" s="43"/>
    </row>
    <row r="266" spans="1:12" x14ac:dyDescent="0.25">
      <c r="A266">
        <v>1</v>
      </c>
      <c r="B266">
        <v>4382819</v>
      </c>
      <c r="C266" t="s">
        <v>17</v>
      </c>
      <c r="D266" t="s">
        <v>17</v>
      </c>
      <c r="E266">
        <v>0</v>
      </c>
      <c r="F266" t="s">
        <v>62</v>
      </c>
      <c r="G266" s="41" t="s">
        <v>414</v>
      </c>
      <c r="H266" s="42">
        <v>0.44212962962962965</v>
      </c>
      <c r="I266" s="41" t="s">
        <v>414</v>
      </c>
      <c r="J266" s="42">
        <v>0.44222222222222224</v>
      </c>
      <c r="K266" t="s">
        <v>58</v>
      </c>
      <c r="L266" s="43"/>
    </row>
    <row r="267" spans="1:12" x14ac:dyDescent="0.25">
      <c r="A267">
        <v>1</v>
      </c>
      <c r="B267">
        <v>4382820</v>
      </c>
      <c r="C267" t="s">
        <v>17</v>
      </c>
      <c r="D267" t="s">
        <v>17</v>
      </c>
      <c r="E267">
        <v>0</v>
      </c>
      <c r="F267" t="s">
        <v>62</v>
      </c>
      <c r="G267" s="41" t="s">
        <v>414</v>
      </c>
      <c r="H267" s="42">
        <v>0.44224537037037037</v>
      </c>
      <c r="I267" s="41" t="s">
        <v>414</v>
      </c>
      <c r="J267" s="42">
        <v>0.4422800925925926</v>
      </c>
      <c r="K267" t="s">
        <v>58</v>
      </c>
      <c r="L267" s="43"/>
    </row>
    <row r="268" spans="1:12" x14ac:dyDescent="0.25">
      <c r="A268">
        <v>1</v>
      </c>
      <c r="B268">
        <v>4382821</v>
      </c>
      <c r="C268" t="s">
        <v>17</v>
      </c>
      <c r="D268" t="s">
        <v>17</v>
      </c>
      <c r="E268">
        <v>0</v>
      </c>
      <c r="F268" t="s">
        <v>62</v>
      </c>
      <c r="G268" s="41" t="s">
        <v>414</v>
      </c>
      <c r="H268" s="42">
        <v>0.4599537037037037</v>
      </c>
      <c r="I268" s="41" t="s">
        <v>414</v>
      </c>
      <c r="J268" s="42">
        <v>0.46003472222222225</v>
      </c>
      <c r="K268" t="s">
        <v>58</v>
      </c>
      <c r="L268" s="43"/>
    </row>
    <row r="269" spans="1:12" x14ac:dyDescent="0.25">
      <c r="A269">
        <v>1</v>
      </c>
      <c r="B269">
        <v>4382865</v>
      </c>
      <c r="C269" t="s">
        <v>20</v>
      </c>
      <c r="D269" t="s">
        <v>419</v>
      </c>
      <c r="E269">
        <v>0</v>
      </c>
      <c r="F269" t="s">
        <v>62</v>
      </c>
      <c r="G269" s="41" t="s">
        <v>414</v>
      </c>
      <c r="H269" s="42">
        <v>0.49664351851851851</v>
      </c>
      <c r="I269" s="41" t="s">
        <v>414</v>
      </c>
      <c r="J269" s="42">
        <v>0.49674768518518519</v>
      </c>
      <c r="K269" t="s">
        <v>58</v>
      </c>
      <c r="L269" s="43"/>
    </row>
    <row r="270" spans="1:12" x14ac:dyDescent="0.25">
      <c r="A270">
        <v>1</v>
      </c>
      <c r="B270">
        <v>4382869</v>
      </c>
      <c r="C270" t="s">
        <v>17</v>
      </c>
      <c r="D270" t="s">
        <v>17</v>
      </c>
      <c r="E270">
        <v>0</v>
      </c>
      <c r="F270" t="s">
        <v>62</v>
      </c>
      <c r="G270" s="41" t="s">
        <v>414</v>
      </c>
      <c r="H270" s="42">
        <v>0.52326388888888886</v>
      </c>
      <c r="I270" s="41" t="s">
        <v>414</v>
      </c>
      <c r="J270" s="42">
        <v>0.52326388888888886</v>
      </c>
      <c r="K270" t="s">
        <v>58</v>
      </c>
      <c r="L270" s="43"/>
    </row>
    <row r="271" spans="1:12" x14ac:dyDescent="0.25">
      <c r="A271">
        <v>1</v>
      </c>
      <c r="B271">
        <v>4382961</v>
      </c>
      <c r="C271" t="s">
        <v>17</v>
      </c>
      <c r="D271" t="s">
        <v>17</v>
      </c>
      <c r="E271">
        <v>0</v>
      </c>
      <c r="F271" t="s">
        <v>62</v>
      </c>
      <c r="G271" s="41" t="s">
        <v>414</v>
      </c>
      <c r="H271" s="42">
        <v>0.48738425925925927</v>
      </c>
      <c r="I271" s="41" t="s">
        <v>414</v>
      </c>
      <c r="J271" s="42">
        <v>0.48749999999999999</v>
      </c>
      <c r="K271" t="s">
        <v>58</v>
      </c>
      <c r="L271" s="43"/>
    </row>
    <row r="272" spans="1:12" x14ac:dyDescent="0.25">
      <c r="A272">
        <v>1</v>
      </c>
      <c r="B272">
        <v>4382962</v>
      </c>
      <c r="C272" t="s">
        <v>17</v>
      </c>
      <c r="D272" t="s">
        <v>17</v>
      </c>
      <c r="E272">
        <v>0</v>
      </c>
      <c r="F272" t="s">
        <v>62</v>
      </c>
      <c r="G272" s="41" t="s">
        <v>414</v>
      </c>
      <c r="H272" s="42">
        <v>0.48749999999999999</v>
      </c>
      <c r="I272" s="41" t="s">
        <v>414</v>
      </c>
      <c r="J272" s="42">
        <v>0.48758101851851854</v>
      </c>
      <c r="K272" t="s">
        <v>58</v>
      </c>
      <c r="L272" s="43"/>
    </row>
    <row r="273" spans="1:12" x14ac:dyDescent="0.25">
      <c r="A273">
        <v>1</v>
      </c>
      <c r="B273">
        <v>4382963</v>
      </c>
      <c r="C273" t="s">
        <v>17</v>
      </c>
      <c r="D273" t="s">
        <v>17</v>
      </c>
      <c r="E273">
        <v>0</v>
      </c>
      <c r="F273" t="s">
        <v>62</v>
      </c>
      <c r="G273" s="41" t="s">
        <v>414</v>
      </c>
      <c r="H273" s="42">
        <v>0.48761574074074077</v>
      </c>
      <c r="I273" s="41" t="s">
        <v>414</v>
      </c>
      <c r="J273" s="42">
        <v>0.48766203703703703</v>
      </c>
      <c r="K273" t="s">
        <v>58</v>
      </c>
      <c r="L273" s="43"/>
    </row>
    <row r="274" spans="1:12" x14ac:dyDescent="0.25">
      <c r="A274">
        <v>1</v>
      </c>
      <c r="B274">
        <v>4382964</v>
      </c>
      <c r="C274" t="s">
        <v>17</v>
      </c>
      <c r="D274" t="s">
        <v>17</v>
      </c>
      <c r="E274">
        <v>0</v>
      </c>
      <c r="F274" t="s">
        <v>62</v>
      </c>
      <c r="G274" s="41" t="s">
        <v>414</v>
      </c>
      <c r="H274" s="42">
        <v>0.48761574074074077</v>
      </c>
      <c r="I274" s="41" t="s">
        <v>414</v>
      </c>
      <c r="J274" s="42">
        <v>0.48770833333333335</v>
      </c>
      <c r="K274" t="s">
        <v>58</v>
      </c>
      <c r="L274" s="43"/>
    </row>
    <row r="275" spans="1:12" x14ac:dyDescent="0.25">
      <c r="A275">
        <v>1</v>
      </c>
      <c r="B275">
        <v>4382965</v>
      </c>
      <c r="C275" t="s">
        <v>17</v>
      </c>
      <c r="D275" t="s">
        <v>17</v>
      </c>
      <c r="E275">
        <v>0</v>
      </c>
      <c r="F275" t="s">
        <v>62</v>
      </c>
      <c r="G275" s="41" t="s">
        <v>414</v>
      </c>
      <c r="H275" s="42">
        <v>0.48773148148148149</v>
      </c>
      <c r="I275" s="41" t="s">
        <v>414</v>
      </c>
      <c r="J275" s="42">
        <v>0.48775462962962962</v>
      </c>
      <c r="K275" t="s">
        <v>58</v>
      </c>
      <c r="L275" s="43"/>
    </row>
    <row r="276" spans="1:12" x14ac:dyDescent="0.25">
      <c r="A276">
        <v>1</v>
      </c>
      <c r="B276">
        <v>4382966</v>
      </c>
      <c r="C276" t="s">
        <v>17</v>
      </c>
      <c r="D276" t="s">
        <v>17</v>
      </c>
      <c r="E276">
        <v>0</v>
      </c>
      <c r="F276" t="s">
        <v>62</v>
      </c>
      <c r="G276" s="41" t="s">
        <v>414</v>
      </c>
      <c r="H276" s="42">
        <v>0.48773148148148149</v>
      </c>
      <c r="I276" s="41" t="s">
        <v>414</v>
      </c>
      <c r="J276" s="42">
        <v>0.48780092592592594</v>
      </c>
      <c r="K276" t="s">
        <v>58</v>
      </c>
      <c r="L276" s="43"/>
    </row>
    <row r="277" spans="1:12" x14ac:dyDescent="0.25">
      <c r="A277">
        <v>1</v>
      </c>
      <c r="B277">
        <v>4382967</v>
      </c>
      <c r="C277" t="s">
        <v>17</v>
      </c>
      <c r="D277" t="s">
        <v>17</v>
      </c>
      <c r="E277">
        <v>0</v>
      </c>
      <c r="F277" t="s">
        <v>62</v>
      </c>
      <c r="G277" s="41" t="s">
        <v>414</v>
      </c>
      <c r="H277" s="42">
        <v>0.48784722222222221</v>
      </c>
      <c r="I277" s="41" t="s">
        <v>414</v>
      </c>
      <c r="J277" s="42">
        <v>0.4878587962962963</v>
      </c>
      <c r="K277" t="s">
        <v>58</v>
      </c>
      <c r="L277" s="43"/>
    </row>
    <row r="278" spans="1:12" x14ac:dyDescent="0.25">
      <c r="A278">
        <v>1</v>
      </c>
      <c r="B278">
        <v>4382968</v>
      </c>
      <c r="C278" t="s">
        <v>17</v>
      </c>
      <c r="D278" t="s">
        <v>17</v>
      </c>
      <c r="E278">
        <v>0</v>
      </c>
      <c r="F278" t="s">
        <v>62</v>
      </c>
      <c r="G278" s="41" t="s">
        <v>414</v>
      </c>
      <c r="H278" s="42">
        <v>0.48784722222222221</v>
      </c>
      <c r="I278" s="41" t="s">
        <v>414</v>
      </c>
      <c r="J278" s="42">
        <v>0.48790509259259257</v>
      </c>
      <c r="K278" t="s">
        <v>58</v>
      </c>
      <c r="L278" s="43"/>
    </row>
    <row r="279" spans="1:12" x14ac:dyDescent="0.25">
      <c r="A279">
        <v>1</v>
      </c>
      <c r="B279">
        <v>4382969</v>
      </c>
      <c r="C279" t="s">
        <v>17</v>
      </c>
      <c r="D279" t="s">
        <v>17</v>
      </c>
      <c r="E279">
        <v>0</v>
      </c>
      <c r="F279" t="s">
        <v>62</v>
      </c>
      <c r="G279" s="41" t="s">
        <v>414</v>
      </c>
      <c r="H279" s="42">
        <v>0.48796296296296299</v>
      </c>
      <c r="I279" s="41" t="s">
        <v>414</v>
      </c>
      <c r="J279" s="42">
        <v>0.48796296296296299</v>
      </c>
      <c r="K279" t="s">
        <v>58</v>
      </c>
      <c r="L279" s="43"/>
    </row>
    <row r="280" spans="1:12" x14ac:dyDescent="0.25">
      <c r="A280">
        <v>1</v>
      </c>
      <c r="B280">
        <v>4382970</v>
      </c>
      <c r="C280" t="s">
        <v>17</v>
      </c>
      <c r="D280" t="s">
        <v>17</v>
      </c>
      <c r="E280">
        <v>0</v>
      </c>
      <c r="F280" t="s">
        <v>62</v>
      </c>
      <c r="G280" s="41" t="s">
        <v>414</v>
      </c>
      <c r="H280" s="42">
        <v>0.48796296296296299</v>
      </c>
      <c r="I280" s="41" t="s">
        <v>414</v>
      </c>
      <c r="J280" s="42">
        <v>0.48804398148148148</v>
      </c>
      <c r="K280" t="s">
        <v>58</v>
      </c>
      <c r="L280" s="43"/>
    </row>
    <row r="281" spans="1:12" x14ac:dyDescent="0.25">
      <c r="A281">
        <v>1</v>
      </c>
      <c r="B281">
        <v>4382971</v>
      </c>
      <c r="C281" t="s">
        <v>17</v>
      </c>
      <c r="D281" t="s">
        <v>17</v>
      </c>
      <c r="E281">
        <v>0</v>
      </c>
      <c r="F281" t="s">
        <v>62</v>
      </c>
      <c r="G281" s="41" t="s">
        <v>414</v>
      </c>
      <c r="H281" s="42">
        <v>0.48807870370370371</v>
      </c>
      <c r="I281" s="41" t="s">
        <v>414</v>
      </c>
      <c r="J281" s="42">
        <v>0.4880902777777778</v>
      </c>
      <c r="K281" t="s">
        <v>58</v>
      </c>
      <c r="L281" s="43"/>
    </row>
    <row r="282" spans="1:12" x14ac:dyDescent="0.25">
      <c r="A282">
        <v>1</v>
      </c>
      <c r="B282">
        <v>4382972</v>
      </c>
      <c r="C282" t="s">
        <v>17</v>
      </c>
      <c r="D282" t="s">
        <v>17</v>
      </c>
      <c r="E282">
        <v>0</v>
      </c>
      <c r="F282" t="s">
        <v>62</v>
      </c>
      <c r="G282" s="41" t="s">
        <v>414</v>
      </c>
      <c r="H282" s="42">
        <v>0.48807870370370371</v>
      </c>
      <c r="I282" s="41" t="s">
        <v>414</v>
      </c>
      <c r="J282" s="42">
        <v>0.48814814814814816</v>
      </c>
      <c r="K282" t="s">
        <v>58</v>
      </c>
      <c r="L282" s="43"/>
    </row>
    <row r="283" spans="1:12" x14ac:dyDescent="0.25">
      <c r="A283">
        <v>1</v>
      </c>
      <c r="B283">
        <v>4382973</v>
      </c>
      <c r="C283" t="s">
        <v>17</v>
      </c>
      <c r="D283" t="s">
        <v>17</v>
      </c>
      <c r="E283">
        <v>0</v>
      </c>
      <c r="F283" t="s">
        <v>62</v>
      </c>
      <c r="G283" s="41" t="s">
        <v>414</v>
      </c>
      <c r="H283" s="42">
        <v>0.48819444444444443</v>
      </c>
      <c r="I283" s="41" t="s">
        <v>414</v>
      </c>
      <c r="J283" s="42">
        <v>0.48819444444444443</v>
      </c>
      <c r="K283" t="s">
        <v>58</v>
      </c>
      <c r="L283" s="43"/>
    </row>
    <row r="284" spans="1:12" x14ac:dyDescent="0.25">
      <c r="A284">
        <v>1</v>
      </c>
      <c r="B284">
        <v>4382974</v>
      </c>
      <c r="C284" t="s">
        <v>17</v>
      </c>
      <c r="D284" t="s">
        <v>17</v>
      </c>
      <c r="E284">
        <v>0</v>
      </c>
      <c r="F284" t="s">
        <v>62</v>
      </c>
      <c r="G284" s="41" t="s">
        <v>414</v>
      </c>
      <c r="H284" s="42">
        <v>0.48819444444444443</v>
      </c>
      <c r="I284" s="41" t="s">
        <v>414</v>
      </c>
      <c r="J284" s="42">
        <v>0.48825231481481479</v>
      </c>
      <c r="K284" t="s">
        <v>58</v>
      </c>
      <c r="L284" s="43"/>
    </row>
    <row r="285" spans="1:12" x14ac:dyDescent="0.25">
      <c r="A285">
        <v>1</v>
      </c>
      <c r="B285">
        <v>4382975</v>
      </c>
      <c r="C285" t="s">
        <v>17</v>
      </c>
      <c r="D285" t="s">
        <v>17</v>
      </c>
      <c r="E285">
        <v>0</v>
      </c>
      <c r="F285" t="s">
        <v>62</v>
      </c>
      <c r="G285" s="41" t="s">
        <v>414</v>
      </c>
      <c r="H285" s="42">
        <v>0.48819444444444443</v>
      </c>
      <c r="I285" s="41" t="s">
        <v>414</v>
      </c>
      <c r="J285" s="42">
        <v>0.48829861111111111</v>
      </c>
      <c r="K285" t="s">
        <v>58</v>
      </c>
      <c r="L285" s="43"/>
    </row>
    <row r="286" spans="1:12" x14ac:dyDescent="0.25">
      <c r="A286">
        <v>1</v>
      </c>
      <c r="B286">
        <v>4382976</v>
      </c>
      <c r="C286" t="s">
        <v>17</v>
      </c>
      <c r="D286" t="s">
        <v>17</v>
      </c>
      <c r="E286">
        <v>0</v>
      </c>
      <c r="F286" t="s">
        <v>62</v>
      </c>
      <c r="G286" s="41" t="s">
        <v>414</v>
      </c>
      <c r="H286" s="42">
        <v>0.48831018518518521</v>
      </c>
      <c r="I286" s="41" t="s">
        <v>414</v>
      </c>
      <c r="J286" s="42">
        <v>0.48835648148148147</v>
      </c>
      <c r="K286" t="s">
        <v>58</v>
      </c>
      <c r="L286" s="43"/>
    </row>
    <row r="287" spans="1:12" x14ac:dyDescent="0.25">
      <c r="A287">
        <v>1</v>
      </c>
      <c r="B287">
        <v>4382977</v>
      </c>
      <c r="C287" t="s">
        <v>17</v>
      </c>
      <c r="D287" t="s">
        <v>17</v>
      </c>
      <c r="E287">
        <v>0</v>
      </c>
      <c r="F287" t="s">
        <v>62</v>
      </c>
      <c r="G287" s="41" t="s">
        <v>414</v>
      </c>
      <c r="H287" s="42">
        <v>0.48831018518518521</v>
      </c>
      <c r="I287" s="41" t="s">
        <v>414</v>
      </c>
      <c r="J287" s="42">
        <v>0.48841435185185184</v>
      </c>
      <c r="K287" t="s">
        <v>58</v>
      </c>
      <c r="L287" s="43"/>
    </row>
    <row r="288" spans="1:12" x14ac:dyDescent="0.25">
      <c r="A288">
        <v>1</v>
      </c>
      <c r="B288">
        <v>4382978</v>
      </c>
      <c r="C288" t="s">
        <v>17</v>
      </c>
      <c r="D288" t="s">
        <v>17</v>
      </c>
      <c r="E288">
        <v>0</v>
      </c>
      <c r="F288" t="s">
        <v>62</v>
      </c>
      <c r="G288" s="41" t="s">
        <v>414</v>
      </c>
      <c r="H288" s="42">
        <v>0.48842592592592593</v>
      </c>
      <c r="I288" s="41" t="s">
        <v>414</v>
      </c>
      <c r="J288" s="42">
        <v>0.48848379629629629</v>
      </c>
      <c r="K288" t="s">
        <v>58</v>
      </c>
      <c r="L288" s="43"/>
    </row>
    <row r="289" spans="1:12" x14ac:dyDescent="0.25">
      <c r="A289">
        <v>1</v>
      </c>
      <c r="B289">
        <v>4382979</v>
      </c>
      <c r="C289" t="s">
        <v>17</v>
      </c>
      <c r="D289" t="s">
        <v>17</v>
      </c>
      <c r="E289">
        <v>0</v>
      </c>
      <c r="F289" t="s">
        <v>62</v>
      </c>
      <c r="G289" s="41" t="s">
        <v>414</v>
      </c>
      <c r="H289" s="42">
        <v>0.48842592592592593</v>
      </c>
      <c r="I289" s="41" t="s">
        <v>414</v>
      </c>
      <c r="J289" s="42">
        <v>0.48854166666666665</v>
      </c>
      <c r="K289" t="s">
        <v>58</v>
      </c>
      <c r="L289" s="43"/>
    </row>
    <row r="290" spans="1:12" x14ac:dyDescent="0.25">
      <c r="A290">
        <v>1</v>
      </c>
      <c r="B290">
        <v>4382980</v>
      </c>
      <c r="C290" t="s">
        <v>17</v>
      </c>
      <c r="D290" t="s">
        <v>17</v>
      </c>
      <c r="E290">
        <v>0</v>
      </c>
      <c r="F290" t="s">
        <v>62</v>
      </c>
      <c r="G290" s="41" t="s">
        <v>414</v>
      </c>
      <c r="H290" s="42">
        <v>0.48854166666666665</v>
      </c>
      <c r="I290" s="41" t="s">
        <v>414</v>
      </c>
      <c r="J290" s="42">
        <v>0.48858796296296297</v>
      </c>
      <c r="K290" t="s">
        <v>58</v>
      </c>
      <c r="L290" s="43"/>
    </row>
    <row r="291" spans="1:12" x14ac:dyDescent="0.25">
      <c r="A291">
        <v>1</v>
      </c>
      <c r="B291">
        <v>4382981</v>
      </c>
      <c r="C291" t="s">
        <v>17</v>
      </c>
      <c r="D291" t="s">
        <v>17</v>
      </c>
      <c r="E291">
        <v>0</v>
      </c>
      <c r="F291" t="s">
        <v>62</v>
      </c>
      <c r="G291" s="41" t="s">
        <v>414</v>
      </c>
      <c r="H291" s="42">
        <v>0.48854166666666665</v>
      </c>
      <c r="I291" s="41" t="s">
        <v>414</v>
      </c>
      <c r="J291" s="42">
        <v>0.48864583333333333</v>
      </c>
      <c r="K291" t="s">
        <v>58</v>
      </c>
      <c r="L291" s="43"/>
    </row>
    <row r="292" spans="1:12" x14ac:dyDescent="0.25">
      <c r="A292">
        <v>1</v>
      </c>
      <c r="B292">
        <v>4382982</v>
      </c>
      <c r="C292" t="s">
        <v>17</v>
      </c>
      <c r="D292" t="s">
        <v>17</v>
      </c>
      <c r="E292">
        <v>0</v>
      </c>
      <c r="F292" t="s">
        <v>62</v>
      </c>
      <c r="G292" s="41" t="s">
        <v>414</v>
      </c>
      <c r="H292" s="42">
        <v>0.48865740740740743</v>
      </c>
      <c r="I292" s="41" t="s">
        <v>414</v>
      </c>
      <c r="J292" s="42">
        <v>0.48869212962962966</v>
      </c>
      <c r="K292" t="s">
        <v>58</v>
      </c>
      <c r="L292" s="43"/>
    </row>
    <row r="293" spans="1:12" x14ac:dyDescent="0.25">
      <c r="A293">
        <v>1</v>
      </c>
      <c r="B293">
        <v>4382983</v>
      </c>
      <c r="C293" t="s">
        <v>17</v>
      </c>
      <c r="D293" t="s">
        <v>17</v>
      </c>
      <c r="E293">
        <v>0</v>
      </c>
      <c r="F293" t="s">
        <v>62</v>
      </c>
      <c r="G293" s="41" t="s">
        <v>414</v>
      </c>
      <c r="H293" s="42">
        <v>0.48865740740740743</v>
      </c>
      <c r="I293" s="41" t="s">
        <v>414</v>
      </c>
      <c r="J293" s="42">
        <v>0.48873842592592592</v>
      </c>
      <c r="K293" t="s">
        <v>58</v>
      </c>
      <c r="L293" s="43"/>
    </row>
    <row r="294" spans="1:12" x14ac:dyDescent="0.25">
      <c r="A294">
        <v>1</v>
      </c>
      <c r="B294">
        <v>4382984</v>
      </c>
      <c r="C294" t="s">
        <v>17</v>
      </c>
      <c r="D294" t="s">
        <v>17</v>
      </c>
      <c r="E294">
        <v>0</v>
      </c>
      <c r="F294" t="s">
        <v>62</v>
      </c>
      <c r="G294" s="41" t="s">
        <v>414</v>
      </c>
      <c r="H294" s="42">
        <v>0.48877314814814815</v>
      </c>
      <c r="I294" s="41" t="s">
        <v>414</v>
      </c>
      <c r="J294" s="42">
        <v>0.48879629629629628</v>
      </c>
      <c r="K294" t="s">
        <v>58</v>
      </c>
      <c r="L294" s="43"/>
    </row>
    <row r="295" spans="1:12" x14ac:dyDescent="0.25">
      <c r="A295">
        <v>1</v>
      </c>
      <c r="B295">
        <v>4382985</v>
      </c>
      <c r="C295" t="s">
        <v>17</v>
      </c>
      <c r="D295" t="s">
        <v>17</v>
      </c>
      <c r="E295">
        <v>0</v>
      </c>
      <c r="F295" t="s">
        <v>62</v>
      </c>
      <c r="G295" s="41" t="s">
        <v>414</v>
      </c>
      <c r="H295" s="42">
        <v>0.48877314814814815</v>
      </c>
      <c r="I295" s="41" t="s">
        <v>414</v>
      </c>
      <c r="J295" s="42">
        <v>0.48884259259259261</v>
      </c>
      <c r="K295" t="s">
        <v>58</v>
      </c>
      <c r="L295" s="43"/>
    </row>
    <row r="296" spans="1:12" x14ac:dyDescent="0.25">
      <c r="A296">
        <v>1</v>
      </c>
      <c r="B296">
        <v>4382986</v>
      </c>
      <c r="C296" t="s">
        <v>17</v>
      </c>
      <c r="D296" t="s">
        <v>17</v>
      </c>
      <c r="E296">
        <v>0</v>
      </c>
      <c r="F296" t="s">
        <v>62</v>
      </c>
      <c r="G296" s="41" t="s">
        <v>414</v>
      </c>
      <c r="H296" s="42">
        <v>0.48888888888888887</v>
      </c>
      <c r="I296" s="41" t="s">
        <v>414</v>
      </c>
      <c r="J296" s="42">
        <v>0.48890046296296297</v>
      </c>
      <c r="K296" t="s">
        <v>58</v>
      </c>
      <c r="L296" s="43"/>
    </row>
    <row r="297" spans="1:12" x14ac:dyDescent="0.25">
      <c r="A297">
        <v>1</v>
      </c>
      <c r="B297">
        <v>4382987</v>
      </c>
      <c r="C297" t="s">
        <v>17</v>
      </c>
      <c r="D297" t="s">
        <v>17</v>
      </c>
      <c r="E297">
        <v>0</v>
      </c>
      <c r="F297" t="s">
        <v>62</v>
      </c>
      <c r="G297" s="41" t="s">
        <v>414</v>
      </c>
      <c r="H297" s="42">
        <v>0.48888888888888887</v>
      </c>
      <c r="I297" s="41" t="s">
        <v>414</v>
      </c>
      <c r="J297" s="42">
        <v>0.48894675925925923</v>
      </c>
      <c r="K297" t="s">
        <v>58</v>
      </c>
      <c r="L297" s="43"/>
    </row>
    <row r="298" spans="1:12" x14ac:dyDescent="0.25">
      <c r="A298">
        <v>1</v>
      </c>
      <c r="B298">
        <v>4382988</v>
      </c>
      <c r="C298" t="s">
        <v>17</v>
      </c>
      <c r="D298" t="s">
        <v>17</v>
      </c>
      <c r="E298">
        <v>0</v>
      </c>
      <c r="F298" t="s">
        <v>62</v>
      </c>
      <c r="G298" s="41" t="s">
        <v>414</v>
      </c>
      <c r="H298" s="42">
        <v>0.48888888888888887</v>
      </c>
      <c r="I298" s="41" t="s">
        <v>414</v>
      </c>
      <c r="J298" s="42">
        <v>0.48901620370370369</v>
      </c>
      <c r="K298" t="s">
        <v>58</v>
      </c>
      <c r="L298" s="43"/>
    </row>
    <row r="299" spans="1:12" x14ac:dyDescent="0.25">
      <c r="A299">
        <v>1</v>
      </c>
      <c r="B299">
        <v>4382989</v>
      </c>
      <c r="C299" t="s">
        <v>17</v>
      </c>
      <c r="D299" t="s">
        <v>17</v>
      </c>
      <c r="E299">
        <v>0</v>
      </c>
      <c r="F299" t="s">
        <v>62</v>
      </c>
      <c r="G299" s="41" t="s">
        <v>414</v>
      </c>
      <c r="H299" s="42">
        <v>0.48900462962962965</v>
      </c>
      <c r="I299" s="41" t="s">
        <v>414</v>
      </c>
      <c r="J299" s="42">
        <v>0.48906250000000001</v>
      </c>
      <c r="K299" t="s">
        <v>58</v>
      </c>
      <c r="L299" s="43"/>
    </row>
    <row r="300" spans="1:12" x14ac:dyDescent="0.25">
      <c r="A300">
        <v>1</v>
      </c>
      <c r="B300">
        <v>4382990</v>
      </c>
      <c r="C300" t="s">
        <v>17</v>
      </c>
      <c r="D300" t="s">
        <v>17</v>
      </c>
      <c r="E300">
        <v>0</v>
      </c>
      <c r="F300" t="s">
        <v>62</v>
      </c>
      <c r="G300" s="41" t="s">
        <v>414</v>
      </c>
      <c r="H300" s="42">
        <v>0.48900462962962965</v>
      </c>
      <c r="I300" s="41" t="s">
        <v>414</v>
      </c>
      <c r="J300" s="42">
        <v>0.48912037037037037</v>
      </c>
      <c r="K300" t="s">
        <v>58</v>
      </c>
      <c r="L300" s="43"/>
    </row>
    <row r="301" spans="1:12" x14ac:dyDescent="0.25">
      <c r="A301">
        <v>1</v>
      </c>
      <c r="B301">
        <v>4383025</v>
      </c>
      <c r="C301" t="s">
        <v>20</v>
      </c>
      <c r="D301" t="s">
        <v>20</v>
      </c>
      <c r="E301">
        <v>0</v>
      </c>
      <c r="F301" t="s">
        <v>62</v>
      </c>
      <c r="G301" s="41" t="s">
        <v>414</v>
      </c>
      <c r="H301" s="42">
        <v>0.68657407407407411</v>
      </c>
      <c r="I301" s="41" t="s">
        <v>414</v>
      </c>
      <c r="J301" s="42">
        <v>0.68667824074074069</v>
      </c>
      <c r="K301" t="s">
        <v>58</v>
      </c>
      <c r="L301" s="43"/>
    </row>
    <row r="302" spans="1:12" x14ac:dyDescent="0.25">
      <c r="A302">
        <v>1</v>
      </c>
      <c r="B302">
        <v>4383026</v>
      </c>
      <c r="C302" t="s">
        <v>20</v>
      </c>
      <c r="D302" t="s">
        <v>20</v>
      </c>
      <c r="E302">
        <v>0</v>
      </c>
      <c r="F302" t="s">
        <v>62</v>
      </c>
      <c r="G302" s="41" t="s">
        <v>414</v>
      </c>
      <c r="H302" s="42">
        <v>0.68668981481481484</v>
      </c>
      <c r="I302" s="41" t="s">
        <v>414</v>
      </c>
      <c r="J302" s="42">
        <v>0.68672453703703706</v>
      </c>
      <c r="K302" t="s">
        <v>58</v>
      </c>
      <c r="L302" s="43"/>
    </row>
    <row r="303" spans="1:12" x14ac:dyDescent="0.25">
      <c r="A303">
        <v>1</v>
      </c>
      <c r="B303">
        <v>4383027</v>
      </c>
      <c r="C303" t="s">
        <v>20</v>
      </c>
      <c r="D303" t="s">
        <v>20</v>
      </c>
      <c r="E303">
        <v>0</v>
      </c>
      <c r="F303" t="s">
        <v>62</v>
      </c>
      <c r="G303" s="41" t="s">
        <v>414</v>
      </c>
      <c r="H303" s="42">
        <v>0.68668981481481484</v>
      </c>
      <c r="I303" s="41" t="s">
        <v>414</v>
      </c>
      <c r="J303" s="42">
        <v>0.68679398148148152</v>
      </c>
      <c r="K303" t="s">
        <v>58</v>
      </c>
      <c r="L303" s="43"/>
    </row>
    <row r="304" spans="1:12" x14ac:dyDescent="0.25">
      <c r="A304">
        <v>1</v>
      </c>
      <c r="B304">
        <v>4383028</v>
      </c>
      <c r="C304" t="s">
        <v>20</v>
      </c>
      <c r="D304" t="s">
        <v>20</v>
      </c>
      <c r="E304">
        <v>0</v>
      </c>
      <c r="F304" t="s">
        <v>62</v>
      </c>
      <c r="G304" s="41" t="s">
        <v>414</v>
      </c>
      <c r="H304" s="42">
        <v>0.68680555555555556</v>
      </c>
      <c r="I304" s="41" t="s">
        <v>414</v>
      </c>
      <c r="J304" s="42">
        <v>0.68684027777777779</v>
      </c>
      <c r="K304" t="s">
        <v>58</v>
      </c>
      <c r="L304" s="43"/>
    </row>
    <row r="305" spans="1:12" x14ac:dyDescent="0.25">
      <c r="A305">
        <v>1</v>
      </c>
      <c r="B305">
        <v>4383029</v>
      </c>
      <c r="C305" t="s">
        <v>20</v>
      </c>
      <c r="D305" t="s">
        <v>20</v>
      </c>
      <c r="E305">
        <v>0</v>
      </c>
      <c r="F305" t="s">
        <v>62</v>
      </c>
      <c r="G305" s="41" t="s">
        <v>414</v>
      </c>
      <c r="H305" s="42">
        <v>0.68680555555555556</v>
      </c>
      <c r="I305" s="41" t="s">
        <v>414</v>
      </c>
      <c r="J305" s="42">
        <v>0.68688657407407405</v>
      </c>
      <c r="K305" t="s">
        <v>58</v>
      </c>
      <c r="L305" s="43"/>
    </row>
    <row r="306" spans="1:12" x14ac:dyDescent="0.25">
      <c r="A306">
        <v>1</v>
      </c>
      <c r="B306">
        <v>4383040</v>
      </c>
      <c r="C306" t="s">
        <v>20</v>
      </c>
      <c r="D306" t="s">
        <v>20</v>
      </c>
      <c r="E306">
        <v>0</v>
      </c>
      <c r="F306" t="s">
        <v>62</v>
      </c>
      <c r="G306" s="41" t="s">
        <v>477</v>
      </c>
      <c r="H306" s="42">
        <v>0.41539351851851852</v>
      </c>
      <c r="I306" s="41" t="s">
        <v>477</v>
      </c>
      <c r="J306" s="42">
        <v>0.41540509259259262</v>
      </c>
      <c r="K306" t="s">
        <v>58</v>
      </c>
      <c r="L306" s="43"/>
    </row>
    <row r="307" spans="1:12" x14ac:dyDescent="0.25">
      <c r="A307">
        <v>1</v>
      </c>
      <c r="B307">
        <v>4383065</v>
      </c>
      <c r="C307" t="s">
        <v>17</v>
      </c>
      <c r="D307" t="s">
        <v>17</v>
      </c>
      <c r="E307">
        <v>0</v>
      </c>
      <c r="F307" t="s">
        <v>62</v>
      </c>
      <c r="G307" s="41" t="s">
        <v>414</v>
      </c>
      <c r="H307" s="42">
        <v>0.62245370370370368</v>
      </c>
      <c r="I307" s="41" t="s">
        <v>414</v>
      </c>
      <c r="J307" s="42">
        <v>0.62253472222222217</v>
      </c>
      <c r="K307" t="s">
        <v>58</v>
      </c>
      <c r="L307" s="43"/>
    </row>
    <row r="308" spans="1:12" x14ac:dyDescent="0.25">
      <c r="A308">
        <v>1</v>
      </c>
      <c r="B308">
        <v>4383066</v>
      </c>
      <c r="C308" t="s">
        <v>17</v>
      </c>
      <c r="D308" t="s">
        <v>17</v>
      </c>
      <c r="E308">
        <v>0</v>
      </c>
      <c r="F308" t="s">
        <v>62</v>
      </c>
      <c r="G308" s="41" t="s">
        <v>414</v>
      </c>
      <c r="H308" s="42">
        <v>0.6225694444444444</v>
      </c>
      <c r="I308" s="41" t="s">
        <v>414</v>
      </c>
      <c r="J308" s="42">
        <v>0.62258101851851855</v>
      </c>
      <c r="K308" t="s">
        <v>58</v>
      </c>
      <c r="L308" s="43"/>
    </row>
    <row r="309" spans="1:12" x14ac:dyDescent="0.25">
      <c r="A309">
        <v>1</v>
      </c>
      <c r="B309">
        <v>4383067</v>
      </c>
      <c r="C309" t="s">
        <v>17</v>
      </c>
      <c r="D309" t="s">
        <v>17</v>
      </c>
      <c r="E309">
        <v>0</v>
      </c>
      <c r="F309" t="s">
        <v>62</v>
      </c>
      <c r="G309" s="41" t="s">
        <v>414</v>
      </c>
      <c r="H309" s="42">
        <v>0.6225694444444444</v>
      </c>
      <c r="I309" s="41" t="s">
        <v>414</v>
      </c>
      <c r="J309" s="42">
        <v>0.62262731481481481</v>
      </c>
      <c r="K309" t="s">
        <v>58</v>
      </c>
      <c r="L309" s="43"/>
    </row>
    <row r="310" spans="1:12" x14ac:dyDescent="0.25">
      <c r="A310">
        <v>1</v>
      </c>
      <c r="B310">
        <v>4383068</v>
      </c>
      <c r="C310" t="s">
        <v>17</v>
      </c>
      <c r="D310" t="s">
        <v>17</v>
      </c>
      <c r="E310">
        <v>0</v>
      </c>
      <c r="F310" t="s">
        <v>62</v>
      </c>
      <c r="G310" s="41" t="s">
        <v>414</v>
      </c>
      <c r="H310" s="42">
        <v>0.6225694444444444</v>
      </c>
      <c r="I310" s="41" t="s">
        <v>414</v>
      </c>
      <c r="J310" s="42">
        <v>0.62267361111111108</v>
      </c>
      <c r="K310" t="s">
        <v>58</v>
      </c>
      <c r="L310" s="43"/>
    </row>
    <row r="311" spans="1:12" x14ac:dyDescent="0.25">
      <c r="A311">
        <v>1</v>
      </c>
      <c r="B311">
        <v>4383069</v>
      </c>
      <c r="C311" t="s">
        <v>17</v>
      </c>
      <c r="D311" t="s">
        <v>17</v>
      </c>
      <c r="E311">
        <v>0</v>
      </c>
      <c r="F311" t="s">
        <v>62</v>
      </c>
      <c r="G311" s="41" t="s">
        <v>414</v>
      </c>
      <c r="H311" s="42">
        <v>0.62268518518518523</v>
      </c>
      <c r="I311" s="41" t="s">
        <v>414</v>
      </c>
      <c r="J311" s="42">
        <v>0.62271990740740746</v>
      </c>
      <c r="K311" t="s">
        <v>58</v>
      </c>
      <c r="L311" s="43"/>
    </row>
    <row r="312" spans="1:12" x14ac:dyDescent="0.25">
      <c r="A312">
        <v>1</v>
      </c>
      <c r="B312">
        <v>4383070</v>
      </c>
      <c r="C312" t="s">
        <v>17</v>
      </c>
      <c r="D312" t="s">
        <v>17</v>
      </c>
      <c r="E312">
        <v>0</v>
      </c>
      <c r="F312" t="s">
        <v>62</v>
      </c>
      <c r="G312" s="41" t="s">
        <v>414</v>
      </c>
      <c r="H312" s="42">
        <v>0.62268518518518523</v>
      </c>
      <c r="I312" s="41" t="s">
        <v>414</v>
      </c>
      <c r="J312" s="42">
        <v>0.62276620370370372</v>
      </c>
      <c r="K312" t="s">
        <v>58</v>
      </c>
      <c r="L312" s="43"/>
    </row>
    <row r="313" spans="1:12" x14ac:dyDescent="0.25">
      <c r="A313">
        <v>1</v>
      </c>
      <c r="B313">
        <v>4383071</v>
      </c>
      <c r="C313" t="s">
        <v>17</v>
      </c>
      <c r="D313" t="s">
        <v>17</v>
      </c>
      <c r="E313">
        <v>0</v>
      </c>
      <c r="F313" t="s">
        <v>62</v>
      </c>
      <c r="G313" s="41" t="s">
        <v>414</v>
      </c>
      <c r="H313" s="42">
        <v>0.62280092592592595</v>
      </c>
      <c r="I313" s="41" t="s">
        <v>414</v>
      </c>
      <c r="J313" s="42">
        <v>0.62281249999999999</v>
      </c>
      <c r="K313" t="s">
        <v>58</v>
      </c>
      <c r="L313" s="43"/>
    </row>
    <row r="314" spans="1:12" x14ac:dyDescent="0.25">
      <c r="A314">
        <v>1</v>
      </c>
      <c r="B314">
        <v>4383072</v>
      </c>
      <c r="C314" t="s">
        <v>17</v>
      </c>
      <c r="D314" t="s">
        <v>17</v>
      </c>
      <c r="E314">
        <v>0</v>
      </c>
      <c r="F314" t="s">
        <v>62</v>
      </c>
      <c r="G314" s="41" t="s">
        <v>414</v>
      </c>
      <c r="H314" s="42">
        <v>0.62280092592592595</v>
      </c>
      <c r="I314" s="41" t="s">
        <v>414</v>
      </c>
      <c r="J314" s="42">
        <v>0.62285879629629626</v>
      </c>
      <c r="K314" t="s">
        <v>58</v>
      </c>
      <c r="L314" s="43"/>
    </row>
    <row r="315" spans="1:12" x14ac:dyDescent="0.25">
      <c r="A315">
        <v>1</v>
      </c>
      <c r="B315">
        <v>4383073</v>
      </c>
      <c r="C315" t="s">
        <v>17</v>
      </c>
      <c r="D315" t="s">
        <v>17</v>
      </c>
      <c r="E315">
        <v>0</v>
      </c>
      <c r="F315" t="s">
        <v>62</v>
      </c>
      <c r="G315" s="41" t="s">
        <v>414</v>
      </c>
      <c r="H315" s="42">
        <v>0.62280092592592595</v>
      </c>
      <c r="I315" s="41" t="s">
        <v>414</v>
      </c>
      <c r="J315" s="42">
        <v>0.62290509259259264</v>
      </c>
      <c r="K315" t="s">
        <v>58</v>
      </c>
      <c r="L315" s="43"/>
    </row>
    <row r="316" spans="1:12" x14ac:dyDescent="0.25">
      <c r="A316">
        <v>1</v>
      </c>
      <c r="B316">
        <v>4383074</v>
      </c>
      <c r="C316" t="s">
        <v>17</v>
      </c>
      <c r="D316" t="s">
        <v>17</v>
      </c>
      <c r="E316">
        <v>0</v>
      </c>
      <c r="F316" t="s">
        <v>62</v>
      </c>
      <c r="G316" s="41" t="s">
        <v>414</v>
      </c>
      <c r="H316" s="42">
        <v>0.62291666666666667</v>
      </c>
      <c r="I316" s="41" t="s">
        <v>414</v>
      </c>
      <c r="J316" s="42">
        <v>0.62296296296296294</v>
      </c>
      <c r="K316" t="s">
        <v>58</v>
      </c>
      <c r="L316" s="43"/>
    </row>
    <row r="317" spans="1:12" x14ac:dyDescent="0.25">
      <c r="A317">
        <v>1</v>
      </c>
      <c r="B317">
        <v>4383075</v>
      </c>
      <c r="C317" t="s">
        <v>17</v>
      </c>
      <c r="D317" t="s">
        <v>17</v>
      </c>
      <c r="E317">
        <v>0</v>
      </c>
      <c r="F317" t="s">
        <v>62</v>
      </c>
      <c r="G317" s="41" t="s">
        <v>414</v>
      </c>
      <c r="H317" s="42">
        <v>0.62291666666666667</v>
      </c>
      <c r="I317" s="41" t="s">
        <v>414</v>
      </c>
      <c r="J317" s="42">
        <v>0.62300925925925921</v>
      </c>
      <c r="K317" t="s">
        <v>58</v>
      </c>
      <c r="L317" s="43"/>
    </row>
    <row r="318" spans="1:12" x14ac:dyDescent="0.25">
      <c r="A318">
        <v>1</v>
      </c>
      <c r="B318">
        <v>4383076</v>
      </c>
      <c r="C318" t="s">
        <v>17</v>
      </c>
      <c r="D318" t="s">
        <v>17</v>
      </c>
      <c r="E318">
        <v>0</v>
      </c>
      <c r="F318" t="s">
        <v>62</v>
      </c>
      <c r="G318" s="41" t="s">
        <v>414</v>
      </c>
      <c r="H318" s="42">
        <v>0.6230324074074074</v>
      </c>
      <c r="I318" s="41" t="s">
        <v>414</v>
      </c>
      <c r="J318" s="42">
        <v>0.62305555555555558</v>
      </c>
      <c r="K318" t="s">
        <v>58</v>
      </c>
      <c r="L318" s="43"/>
    </row>
    <row r="319" spans="1:12" x14ac:dyDescent="0.25">
      <c r="A319">
        <v>1</v>
      </c>
      <c r="B319">
        <v>4383077</v>
      </c>
      <c r="C319" t="s">
        <v>17</v>
      </c>
      <c r="D319" t="s">
        <v>17</v>
      </c>
      <c r="E319">
        <v>0</v>
      </c>
      <c r="F319" t="s">
        <v>62</v>
      </c>
      <c r="G319" s="41" t="s">
        <v>414</v>
      </c>
      <c r="H319" s="42">
        <v>0.6230324074074074</v>
      </c>
      <c r="I319" s="41" t="s">
        <v>414</v>
      </c>
      <c r="J319" s="42">
        <v>0.62311342592592589</v>
      </c>
      <c r="K319" t="s">
        <v>58</v>
      </c>
      <c r="L319" s="43"/>
    </row>
    <row r="320" spans="1:12" x14ac:dyDescent="0.25">
      <c r="A320">
        <v>1</v>
      </c>
      <c r="B320">
        <v>4383083</v>
      </c>
      <c r="C320" t="s">
        <v>17</v>
      </c>
      <c r="D320" t="s">
        <v>17</v>
      </c>
      <c r="E320">
        <v>0</v>
      </c>
      <c r="F320" t="s">
        <v>62</v>
      </c>
      <c r="G320" s="41" t="s">
        <v>414</v>
      </c>
      <c r="H320" s="42">
        <v>0.5864583333333333</v>
      </c>
      <c r="I320" s="41" t="s">
        <v>414</v>
      </c>
      <c r="J320" s="42">
        <v>0.58650462962962968</v>
      </c>
      <c r="K320" t="s">
        <v>58</v>
      </c>
      <c r="L320" s="43"/>
    </row>
    <row r="321" spans="1:12" x14ac:dyDescent="0.25">
      <c r="A321">
        <v>1</v>
      </c>
      <c r="B321">
        <v>4383113</v>
      </c>
      <c r="C321">
        <v>1196</v>
      </c>
      <c r="D321" t="s">
        <v>309</v>
      </c>
      <c r="E321">
        <v>0</v>
      </c>
      <c r="F321" t="s">
        <v>62</v>
      </c>
      <c r="G321" s="41" t="s">
        <v>414</v>
      </c>
      <c r="H321" s="42">
        <v>0.62337962962962967</v>
      </c>
      <c r="I321" s="41" t="s">
        <v>414</v>
      </c>
      <c r="J321" s="42">
        <v>0.62339120370370371</v>
      </c>
      <c r="K321" t="s">
        <v>58</v>
      </c>
      <c r="L321" s="43"/>
    </row>
    <row r="322" spans="1:12" x14ac:dyDescent="0.25">
      <c r="A322">
        <v>1</v>
      </c>
      <c r="B322">
        <v>4383120</v>
      </c>
      <c r="C322">
        <v>1196</v>
      </c>
      <c r="D322" t="s">
        <v>309</v>
      </c>
      <c r="E322">
        <v>0</v>
      </c>
      <c r="F322" t="s">
        <v>62</v>
      </c>
      <c r="G322" s="41" t="s">
        <v>414</v>
      </c>
      <c r="H322" s="42">
        <v>0.62337962962962967</v>
      </c>
      <c r="I322" s="41" t="s">
        <v>414</v>
      </c>
      <c r="J322" s="42">
        <v>0.62343749999999998</v>
      </c>
      <c r="K322" t="s">
        <v>58</v>
      </c>
      <c r="L322" s="43"/>
    </row>
    <row r="323" spans="1:12" x14ac:dyDescent="0.25">
      <c r="A323">
        <v>1</v>
      </c>
      <c r="B323">
        <v>4383136</v>
      </c>
      <c r="C323">
        <v>1196</v>
      </c>
      <c r="D323" t="s">
        <v>309</v>
      </c>
      <c r="E323">
        <v>0</v>
      </c>
      <c r="F323" t="s">
        <v>62</v>
      </c>
      <c r="G323" s="41" t="s">
        <v>414</v>
      </c>
      <c r="H323" s="42">
        <v>0.69502314814814814</v>
      </c>
      <c r="I323" s="41" t="s">
        <v>414</v>
      </c>
      <c r="J323" s="42">
        <v>0.69512731481481482</v>
      </c>
      <c r="K323" t="s">
        <v>58</v>
      </c>
      <c r="L323" s="43"/>
    </row>
    <row r="324" spans="1:12" x14ac:dyDescent="0.25">
      <c r="A324">
        <v>1</v>
      </c>
      <c r="B324">
        <v>4383162</v>
      </c>
      <c r="C324">
        <v>1196</v>
      </c>
      <c r="D324" t="s">
        <v>309</v>
      </c>
      <c r="E324">
        <v>0</v>
      </c>
      <c r="F324" t="s">
        <v>62</v>
      </c>
      <c r="G324" s="41" t="s">
        <v>414</v>
      </c>
      <c r="H324" s="42">
        <v>0.62337962962962967</v>
      </c>
      <c r="I324" s="41" t="s">
        <v>414</v>
      </c>
      <c r="J324" s="42">
        <v>0.62349537037037039</v>
      </c>
      <c r="K324" t="s">
        <v>58</v>
      </c>
      <c r="L324" s="43"/>
    </row>
    <row r="325" spans="1:12" x14ac:dyDescent="0.25">
      <c r="A325">
        <v>1</v>
      </c>
      <c r="B325">
        <v>4383164</v>
      </c>
      <c r="C325">
        <v>1196</v>
      </c>
      <c r="D325" t="s">
        <v>309</v>
      </c>
      <c r="E325">
        <v>0</v>
      </c>
      <c r="F325" t="s">
        <v>62</v>
      </c>
      <c r="G325" s="41" t="s">
        <v>414</v>
      </c>
      <c r="H325" s="42">
        <v>0.64085648148148144</v>
      </c>
      <c r="I325" s="41" t="s">
        <v>414</v>
      </c>
      <c r="J325" s="42">
        <v>0.64087962962962963</v>
      </c>
      <c r="K325" t="s">
        <v>58</v>
      </c>
      <c r="L325" s="43"/>
    </row>
    <row r="326" spans="1:12" x14ac:dyDescent="0.25">
      <c r="A326">
        <v>1</v>
      </c>
      <c r="B326">
        <v>4383217</v>
      </c>
      <c r="C326" t="s">
        <v>17</v>
      </c>
      <c r="D326" t="s">
        <v>17</v>
      </c>
      <c r="E326">
        <v>0</v>
      </c>
      <c r="F326" t="s">
        <v>62</v>
      </c>
      <c r="G326" s="41" t="s">
        <v>414</v>
      </c>
      <c r="H326" s="42">
        <v>0.68564814814814812</v>
      </c>
      <c r="I326" s="41" t="s">
        <v>414</v>
      </c>
      <c r="J326" s="42">
        <v>0.68571759259259257</v>
      </c>
      <c r="K326" t="s">
        <v>58</v>
      </c>
      <c r="L326" s="43"/>
    </row>
    <row r="327" spans="1:12" x14ac:dyDescent="0.25">
      <c r="A327">
        <v>1</v>
      </c>
      <c r="B327">
        <v>4383218</v>
      </c>
      <c r="C327" t="s">
        <v>17</v>
      </c>
      <c r="D327" t="s">
        <v>17</v>
      </c>
      <c r="E327">
        <v>0</v>
      </c>
      <c r="F327" t="s">
        <v>62</v>
      </c>
      <c r="G327" s="41" t="s">
        <v>414</v>
      </c>
      <c r="H327" s="42">
        <v>0.68576388888888884</v>
      </c>
      <c r="I327" s="41" t="s">
        <v>414</v>
      </c>
      <c r="J327" s="42">
        <v>0.68577546296296299</v>
      </c>
      <c r="K327" t="s">
        <v>58</v>
      </c>
      <c r="L327" s="43"/>
    </row>
    <row r="328" spans="1:12" x14ac:dyDescent="0.25">
      <c r="A328">
        <v>1</v>
      </c>
      <c r="B328">
        <v>4383219</v>
      </c>
      <c r="C328" t="s">
        <v>17</v>
      </c>
      <c r="D328" t="s">
        <v>17</v>
      </c>
      <c r="E328">
        <v>0</v>
      </c>
      <c r="F328" t="s">
        <v>62</v>
      </c>
      <c r="G328" s="41" t="s">
        <v>414</v>
      </c>
      <c r="H328" s="42">
        <v>0.68576388888888884</v>
      </c>
      <c r="I328" s="41" t="s">
        <v>414</v>
      </c>
      <c r="J328" s="42">
        <v>0.68582175925925926</v>
      </c>
      <c r="K328" t="s">
        <v>58</v>
      </c>
      <c r="L328" s="43"/>
    </row>
    <row r="329" spans="1:12" x14ac:dyDescent="0.25">
      <c r="A329">
        <v>1</v>
      </c>
      <c r="B329">
        <v>4383220</v>
      </c>
      <c r="C329" t="s">
        <v>17</v>
      </c>
      <c r="D329" t="s">
        <v>17</v>
      </c>
      <c r="E329">
        <v>0</v>
      </c>
      <c r="F329" t="s">
        <v>62</v>
      </c>
      <c r="G329" s="41" t="s">
        <v>414</v>
      </c>
      <c r="H329" s="42">
        <v>0.68576388888888884</v>
      </c>
      <c r="I329" s="41" t="s">
        <v>414</v>
      </c>
      <c r="J329" s="42">
        <v>0.68586805555555552</v>
      </c>
      <c r="K329" t="s">
        <v>58</v>
      </c>
      <c r="L329" s="43"/>
    </row>
    <row r="330" spans="1:12" x14ac:dyDescent="0.25">
      <c r="A330">
        <v>1</v>
      </c>
      <c r="B330">
        <v>4383240</v>
      </c>
      <c r="C330" t="s">
        <v>18</v>
      </c>
      <c r="D330" t="s">
        <v>496</v>
      </c>
      <c r="E330">
        <v>0</v>
      </c>
      <c r="F330" t="s">
        <v>62</v>
      </c>
      <c r="G330" s="41" t="s">
        <v>477</v>
      </c>
      <c r="H330" s="42">
        <v>0.40370370370370373</v>
      </c>
      <c r="I330" s="41" t="s">
        <v>477</v>
      </c>
      <c r="J330" s="42">
        <v>0.40370370370370373</v>
      </c>
      <c r="K330" t="s">
        <v>58</v>
      </c>
      <c r="L330" s="43"/>
    </row>
    <row r="331" spans="1:12" x14ac:dyDescent="0.25">
      <c r="A331">
        <v>1</v>
      </c>
      <c r="B331">
        <v>4383248</v>
      </c>
      <c r="C331" t="s">
        <v>17</v>
      </c>
      <c r="D331" t="s">
        <v>17</v>
      </c>
      <c r="E331">
        <v>0</v>
      </c>
      <c r="F331" t="s">
        <v>62</v>
      </c>
      <c r="G331" s="41" t="s">
        <v>414</v>
      </c>
      <c r="H331" s="42">
        <v>0.68587962962962967</v>
      </c>
      <c r="I331" s="41" t="s">
        <v>414</v>
      </c>
      <c r="J331" s="42">
        <v>0.68592592592592594</v>
      </c>
      <c r="K331" t="s">
        <v>58</v>
      </c>
      <c r="L331" s="43"/>
    </row>
    <row r="332" spans="1:12" x14ac:dyDescent="0.25">
      <c r="A332">
        <v>1</v>
      </c>
      <c r="B332">
        <v>4383282</v>
      </c>
      <c r="C332" t="s">
        <v>17</v>
      </c>
      <c r="D332" t="s">
        <v>17</v>
      </c>
      <c r="E332">
        <v>0</v>
      </c>
      <c r="F332" t="s">
        <v>62</v>
      </c>
      <c r="G332" s="41" t="s">
        <v>414</v>
      </c>
      <c r="H332" s="42">
        <v>0.68587962962962967</v>
      </c>
      <c r="I332" s="41" t="s">
        <v>414</v>
      </c>
      <c r="J332" s="42">
        <v>0.68597222222222221</v>
      </c>
      <c r="K332" t="s">
        <v>58</v>
      </c>
      <c r="L332" s="43"/>
    </row>
    <row r="333" spans="1:12" x14ac:dyDescent="0.25">
      <c r="A333">
        <v>1</v>
      </c>
      <c r="B333">
        <v>4383287</v>
      </c>
      <c r="C333" t="s">
        <v>17</v>
      </c>
      <c r="D333" t="s">
        <v>17</v>
      </c>
      <c r="E333">
        <v>0</v>
      </c>
      <c r="F333" t="s">
        <v>62</v>
      </c>
      <c r="G333" s="41" t="s">
        <v>414</v>
      </c>
      <c r="H333" s="42">
        <v>0.68599537037037039</v>
      </c>
      <c r="I333" s="41" t="s">
        <v>414</v>
      </c>
      <c r="J333" s="42">
        <v>0.68603009259259262</v>
      </c>
      <c r="K333" t="s">
        <v>58</v>
      </c>
      <c r="L333" s="43"/>
    </row>
    <row r="334" spans="1:12" x14ac:dyDescent="0.25">
      <c r="A334">
        <v>1</v>
      </c>
      <c r="B334">
        <v>4383305</v>
      </c>
      <c r="C334" t="s">
        <v>17</v>
      </c>
      <c r="D334" t="s">
        <v>17</v>
      </c>
      <c r="E334">
        <v>0</v>
      </c>
      <c r="F334" t="s">
        <v>62</v>
      </c>
      <c r="G334" s="41" t="s">
        <v>414</v>
      </c>
      <c r="H334" s="42">
        <v>0.73090277777777779</v>
      </c>
      <c r="I334" s="41" t="s">
        <v>414</v>
      </c>
      <c r="J334" s="42">
        <v>0.73094907407407406</v>
      </c>
      <c r="K334" t="s">
        <v>58</v>
      </c>
      <c r="L334" s="43"/>
    </row>
    <row r="335" spans="1:12" x14ac:dyDescent="0.25">
      <c r="A335">
        <v>1</v>
      </c>
      <c r="B335">
        <v>4383306</v>
      </c>
      <c r="C335" t="s">
        <v>17</v>
      </c>
      <c r="D335" t="s">
        <v>17</v>
      </c>
      <c r="E335">
        <v>0</v>
      </c>
      <c r="F335" t="s">
        <v>62</v>
      </c>
      <c r="G335" s="41" t="s">
        <v>414</v>
      </c>
      <c r="H335" s="42">
        <v>0.73090277777777779</v>
      </c>
      <c r="I335" s="41" t="s">
        <v>414</v>
      </c>
      <c r="J335" s="42">
        <v>0.73099537037037032</v>
      </c>
      <c r="K335" t="s">
        <v>58</v>
      </c>
      <c r="L335" s="43"/>
    </row>
    <row r="336" spans="1:12" x14ac:dyDescent="0.25">
      <c r="A336">
        <v>1</v>
      </c>
      <c r="B336">
        <v>4383307</v>
      </c>
      <c r="C336" t="s">
        <v>17</v>
      </c>
      <c r="D336" t="s">
        <v>17</v>
      </c>
      <c r="E336">
        <v>0</v>
      </c>
      <c r="F336" t="s">
        <v>62</v>
      </c>
      <c r="G336" s="41" t="s">
        <v>414</v>
      </c>
      <c r="H336" s="42">
        <v>0.73101851851851851</v>
      </c>
      <c r="I336" s="41" t="s">
        <v>414</v>
      </c>
      <c r="J336" s="42">
        <v>0.7310416666666667</v>
      </c>
      <c r="K336" t="s">
        <v>58</v>
      </c>
      <c r="L336" s="43"/>
    </row>
    <row r="337" spans="1:12" x14ac:dyDescent="0.25">
      <c r="A337">
        <v>1</v>
      </c>
      <c r="B337">
        <v>4383324</v>
      </c>
      <c r="C337" t="s">
        <v>17</v>
      </c>
      <c r="D337" t="s">
        <v>17</v>
      </c>
      <c r="E337">
        <v>0</v>
      </c>
      <c r="F337" t="s">
        <v>62</v>
      </c>
      <c r="G337" s="41" t="s">
        <v>414</v>
      </c>
      <c r="H337" s="42">
        <v>0.68599537037037039</v>
      </c>
      <c r="I337" s="41" t="s">
        <v>414</v>
      </c>
      <c r="J337" s="42">
        <v>0.68607638888888889</v>
      </c>
      <c r="K337" t="s">
        <v>58</v>
      </c>
      <c r="L337" s="43"/>
    </row>
    <row r="338" spans="1:12" x14ac:dyDescent="0.25">
      <c r="A338">
        <v>1</v>
      </c>
      <c r="B338">
        <v>4383567</v>
      </c>
      <c r="C338">
        <v>1196</v>
      </c>
      <c r="D338" t="s">
        <v>309</v>
      </c>
      <c r="E338">
        <v>0</v>
      </c>
      <c r="F338" t="s">
        <v>62</v>
      </c>
      <c r="G338" s="41" t="s">
        <v>414</v>
      </c>
      <c r="H338" s="42">
        <v>0.70405092592592589</v>
      </c>
      <c r="I338" s="41" t="s">
        <v>414</v>
      </c>
      <c r="J338" s="42">
        <v>0.70414351851851853</v>
      </c>
      <c r="K338" t="s">
        <v>58</v>
      </c>
      <c r="L338" s="43"/>
    </row>
    <row r="339" spans="1:12" x14ac:dyDescent="0.25">
      <c r="A339">
        <v>1</v>
      </c>
      <c r="B339">
        <v>4383570</v>
      </c>
      <c r="C339" t="s">
        <v>17</v>
      </c>
      <c r="D339" t="s">
        <v>17</v>
      </c>
      <c r="E339">
        <v>0</v>
      </c>
      <c r="F339" t="s">
        <v>62</v>
      </c>
      <c r="G339" s="41" t="s">
        <v>414</v>
      </c>
      <c r="H339" s="42">
        <v>0.70370370370370372</v>
      </c>
      <c r="I339" s="41" t="s">
        <v>414</v>
      </c>
      <c r="J339" s="42">
        <v>0.7038078703703704</v>
      </c>
      <c r="K339" t="s">
        <v>58</v>
      </c>
      <c r="L339" s="43"/>
    </row>
    <row r="340" spans="1:12" x14ac:dyDescent="0.25">
      <c r="A340">
        <v>1</v>
      </c>
      <c r="B340">
        <v>4383571</v>
      </c>
      <c r="C340" t="s">
        <v>17</v>
      </c>
      <c r="D340" t="s">
        <v>17</v>
      </c>
      <c r="E340">
        <v>0</v>
      </c>
      <c r="F340" t="s">
        <v>62</v>
      </c>
      <c r="G340" s="41" t="s">
        <v>414</v>
      </c>
      <c r="H340" s="42">
        <v>0.70381944444444444</v>
      </c>
      <c r="I340" s="41" t="s">
        <v>414</v>
      </c>
      <c r="J340" s="42">
        <v>0.70385416666666667</v>
      </c>
      <c r="K340" t="s">
        <v>58</v>
      </c>
      <c r="L340" s="43"/>
    </row>
    <row r="341" spans="1:12" x14ac:dyDescent="0.25">
      <c r="A341">
        <v>1</v>
      </c>
      <c r="B341">
        <v>4383572</v>
      </c>
      <c r="C341" t="s">
        <v>17</v>
      </c>
      <c r="D341" t="s">
        <v>17</v>
      </c>
      <c r="E341">
        <v>0</v>
      </c>
      <c r="F341" t="s">
        <v>62</v>
      </c>
      <c r="G341" s="41" t="s">
        <v>414</v>
      </c>
      <c r="H341" s="42">
        <v>0.70381944444444444</v>
      </c>
      <c r="I341" s="41" t="s">
        <v>414</v>
      </c>
      <c r="J341" s="42">
        <v>0.70390046296296294</v>
      </c>
      <c r="K341" t="s">
        <v>58</v>
      </c>
      <c r="L341" s="43"/>
    </row>
    <row r="342" spans="1:12" x14ac:dyDescent="0.25">
      <c r="A342">
        <v>1</v>
      </c>
      <c r="B342">
        <v>4383573</v>
      </c>
      <c r="C342" t="s">
        <v>17</v>
      </c>
      <c r="D342" t="s">
        <v>17</v>
      </c>
      <c r="E342">
        <v>0</v>
      </c>
      <c r="F342" t="s">
        <v>62</v>
      </c>
      <c r="G342" s="41" t="s">
        <v>414</v>
      </c>
      <c r="H342" s="42">
        <v>0.70393518518518516</v>
      </c>
      <c r="I342" s="41" t="s">
        <v>414</v>
      </c>
      <c r="J342" s="42">
        <v>0.70393518518518516</v>
      </c>
      <c r="K342" t="s">
        <v>58</v>
      </c>
      <c r="L342" s="43"/>
    </row>
    <row r="343" spans="1:12" x14ac:dyDescent="0.25">
      <c r="A343">
        <v>1</v>
      </c>
      <c r="B343">
        <v>4383919</v>
      </c>
      <c r="C343" t="s">
        <v>21</v>
      </c>
      <c r="D343" t="s">
        <v>21</v>
      </c>
      <c r="E343">
        <v>0</v>
      </c>
      <c r="F343" t="s">
        <v>62</v>
      </c>
      <c r="G343" s="41" t="s">
        <v>414</v>
      </c>
      <c r="H343" s="42">
        <v>0.93449074074074079</v>
      </c>
      <c r="I343" s="41" t="s">
        <v>414</v>
      </c>
      <c r="J343" s="42">
        <v>0.93453703703703705</v>
      </c>
      <c r="K343" t="s">
        <v>58</v>
      </c>
      <c r="L343" s="43"/>
    </row>
    <row r="344" spans="1:12" x14ac:dyDescent="0.25">
      <c r="A344">
        <v>1</v>
      </c>
      <c r="B344">
        <v>4383920</v>
      </c>
      <c r="C344" t="s">
        <v>21</v>
      </c>
      <c r="D344" t="s">
        <v>21</v>
      </c>
      <c r="E344">
        <v>0</v>
      </c>
      <c r="F344" t="s">
        <v>62</v>
      </c>
      <c r="G344" s="41" t="s">
        <v>414</v>
      </c>
      <c r="H344" s="42">
        <v>0.93449074074074079</v>
      </c>
      <c r="I344" s="41" t="s">
        <v>414</v>
      </c>
      <c r="J344" s="42">
        <v>0.93459490740740736</v>
      </c>
      <c r="K344" t="s">
        <v>58</v>
      </c>
      <c r="L344" s="43"/>
    </row>
    <row r="345" spans="1:12" x14ac:dyDescent="0.25">
      <c r="A345">
        <v>1</v>
      </c>
      <c r="B345">
        <v>4383923</v>
      </c>
      <c r="C345" t="s">
        <v>21</v>
      </c>
      <c r="D345" t="s">
        <v>21</v>
      </c>
      <c r="E345">
        <v>0</v>
      </c>
      <c r="F345" t="s">
        <v>62</v>
      </c>
      <c r="G345" s="41" t="s">
        <v>414</v>
      </c>
      <c r="H345" s="42">
        <v>0.93472222222222223</v>
      </c>
      <c r="I345" s="41" t="s">
        <v>414</v>
      </c>
      <c r="J345" s="42">
        <v>0.93480324074074073</v>
      </c>
      <c r="K345" t="s">
        <v>58</v>
      </c>
      <c r="L345" s="43"/>
    </row>
    <row r="346" spans="1:12" x14ac:dyDescent="0.25">
      <c r="A346">
        <v>1</v>
      </c>
      <c r="B346">
        <v>4383924</v>
      </c>
      <c r="C346" t="s">
        <v>21</v>
      </c>
      <c r="D346" t="s">
        <v>19</v>
      </c>
      <c r="E346">
        <v>0</v>
      </c>
      <c r="F346" t="s">
        <v>62</v>
      </c>
      <c r="G346" s="41" t="s">
        <v>414</v>
      </c>
      <c r="H346" s="42">
        <v>0.93483796296296295</v>
      </c>
      <c r="I346" s="41" t="s">
        <v>414</v>
      </c>
      <c r="J346" s="42">
        <v>0.93491898148148145</v>
      </c>
      <c r="K346" t="s">
        <v>58</v>
      </c>
      <c r="L346" s="43"/>
    </row>
    <row r="347" spans="1:12" x14ac:dyDescent="0.25">
      <c r="A347">
        <v>1</v>
      </c>
      <c r="B347">
        <v>4383925</v>
      </c>
      <c r="C347" t="s">
        <v>21</v>
      </c>
      <c r="D347" t="s">
        <v>21</v>
      </c>
      <c r="E347">
        <v>0</v>
      </c>
      <c r="F347" t="s">
        <v>62</v>
      </c>
      <c r="G347" s="41" t="s">
        <v>414</v>
      </c>
      <c r="H347" s="42">
        <v>0.93495370370370368</v>
      </c>
      <c r="I347" s="41" t="s">
        <v>414</v>
      </c>
      <c r="J347" s="42">
        <v>0.9349884259259259</v>
      </c>
      <c r="K347" t="s">
        <v>58</v>
      </c>
      <c r="L347" s="43"/>
    </row>
    <row r="348" spans="1:12" x14ac:dyDescent="0.25">
      <c r="A348">
        <v>1</v>
      </c>
      <c r="B348">
        <v>4383926</v>
      </c>
      <c r="C348" t="s">
        <v>21</v>
      </c>
      <c r="D348" t="s">
        <v>21</v>
      </c>
      <c r="E348">
        <v>0</v>
      </c>
      <c r="F348" t="s">
        <v>62</v>
      </c>
      <c r="G348" s="41" t="s">
        <v>414</v>
      </c>
      <c r="H348" s="42">
        <v>0.93495370370370368</v>
      </c>
      <c r="I348" s="41" t="s">
        <v>414</v>
      </c>
      <c r="J348" s="42">
        <v>0.93505787037037036</v>
      </c>
      <c r="K348" t="s">
        <v>58</v>
      </c>
      <c r="L348" s="43"/>
    </row>
    <row r="349" spans="1:12" x14ac:dyDescent="0.25">
      <c r="A349">
        <v>1</v>
      </c>
      <c r="B349">
        <v>4383927</v>
      </c>
      <c r="C349" t="s">
        <v>21</v>
      </c>
      <c r="D349" t="s">
        <v>21</v>
      </c>
      <c r="E349">
        <v>0</v>
      </c>
      <c r="F349" t="s">
        <v>62</v>
      </c>
      <c r="G349" s="41" t="s">
        <v>414</v>
      </c>
      <c r="H349" s="42">
        <v>0.9350694444444444</v>
      </c>
      <c r="I349" s="41" t="s">
        <v>414</v>
      </c>
      <c r="J349" s="42">
        <v>0.93513888888888885</v>
      </c>
      <c r="K349" t="s">
        <v>58</v>
      </c>
      <c r="L349" s="43"/>
    </row>
    <row r="350" spans="1:12" x14ac:dyDescent="0.25">
      <c r="A350">
        <v>1</v>
      </c>
      <c r="B350">
        <v>4383928</v>
      </c>
      <c r="C350" t="s">
        <v>21</v>
      </c>
      <c r="D350" t="s">
        <v>21</v>
      </c>
      <c r="E350">
        <v>0</v>
      </c>
      <c r="F350" t="s">
        <v>62</v>
      </c>
      <c r="G350" s="41" t="s">
        <v>414</v>
      </c>
      <c r="H350" s="42">
        <v>0.93518518518518523</v>
      </c>
      <c r="I350" s="41" t="s">
        <v>414</v>
      </c>
      <c r="J350" s="42">
        <v>0.93521990740740746</v>
      </c>
      <c r="K350" t="s">
        <v>58</v>
      </c>
      <c r="L350" s="43"/>
    </row>
    <row r="351" spans="1:12" x14ac:dyDescent="0.25">
      <c r="A351">
        <v>1</v>
      </c>
      <c r="B351">
        <v>4383929</v>
      </c>
      <c r="C351" t="s">
        <v>21</v>
      </c>
      <c r="D351" t="s">
        <v>21</v>
      </c>
      <c r="E351">
        <v>0</v>
      </c>
      <c r="F351" t="s">
        <v>62</v>
      </c>
      <c r="G351" s="41" t="s">
        <v>414</v>
      </c>
      <c r="H351" s="42">
        <v>0.93518518518518523</v>
      </c>
      <c r="I351" s="41" t="s">
        <v>414</v>
      </c>
      <c r="J351" s="42">
        <v>0.93530092592592595</v>
      </c>
      <c r="K351" t="s">
        <v>58</v>
      </c>
      <c r="L351" s="43"/>
    </row>
    <row r="352" spans="1:12" x14ac:dyDescent="0.25">
      <c r="A352">
        <v>1</v>
      </c>
      <c r="B352">
        <v>4383931</v>
      </c>
      <c r="C352" t="s">
        <v>21</v>
      </c>
      <c r="D352" t="s">
        <v>21</v>
      </c>
      <c r="E352">
        <v>0</v>
      </c>
      <c r="F352" t="s">
        <v>62</v>
      </c>
      <c r="G352" s="41" t="s">
        <v>414</v>
      </c>
      <c r="H352" s="42">
        <v>0.93530092592592595</v>
      </c>
      <c r="I352" s="41" t="s">
        <v>414</v>
      </c>
      <c r="J352" s="42">
        <v>0.93538194444444445</v>
      </c>
      <c r="K352" t="s">
        <v>58</v>
      </c>
      <c r="L352" s="43"/>
    </row>
    <row r="353" spans="1:12" x14ac:dyDescent="0.25">
      <c r="A353">
        <v>1</v>
      </c>
      <c r="B353">
        <v>4383932</v>
      </c>
      <c r="C353" t="s">
        <v>21</v>
      </c>
      <c r="D353" t="s">
        <v>182</v>
      </c>
      <c r="E353">
        <v>0</v>
      </c>
      <c r="F353" t="s">
        <v>62</v>
      </c>
      <c r="G353" s="41" t="s">
        <v>414</v>
      </c>
      <c r="H353" s="42">
        <v>0.93541666666666667</v>
      </c>
      <c r="I353" s="41" t="s">
        <v>414</v>
      </c>
      <c r="J353" s="42">
        <v>0.93543981481481486</v>
      </c>
      <c r="K353" t="s">
        <v>58</v>
      </c>
      <c r="L353" s="43"/>
    </row>
    <row r="354" spans="1:12" x14ac:dyDescent="0.25">
      <c r="A354">
        <v>1</v>
      </c>
      <c r="B354">
        <v>4383933</v>
      </c>
      <c r="C354" t="s">
        <v>21</v>
      </c>
      <c r="D354" t="s">
        <v>21</v>
      </c>
      <c r="E354">
        <v>0</v>
      </c>
      <c r="F354" t="s">
        <v>62</v>
      </c>
      <c r="G354" s="41" t="s">
        <v>414</v>
      </c>
      <c r="H354" s="42">
        <v>0.93541666666666667</v>
      </c>
      <c r="I354" s="41" t="s">
        <v>414</v>
      </c>
      <c r="J354" s="42">
        <v>0.93550925925925921</v>
      </c>
      <c r="K354" t="s">
        <v>58</v>
      </c>
      <c r="L354" s="43"/>
    </row>
    <row r="355" spans="1:12" x14ac:dyDescent="0.25">
      <c r="A355">
        <v>1</v>
      </c>
      <c r="B355">
        <v>4383934</v>
      </c>
      <c r="C355" t="s">
        <v>21</v>
      </c>
      <c r="D355" t="s">
        <v>21</v>
      </c>
      <c r="E355">
        <v>0</v>
      </c>
      <c r="F355" t="s">
        <v>62</v>
      </c>
      <c r="G355" s="41" t="s">
        <v>414</v>
      </c>
      <c r="H355" s="42">
        <v>0.9355324074074074</v>
      </c>
      <c r="I355" s="41" t="s">
        <v>414</v>
      </c>
      <c r="J355" s="42">
        <v>0.93560185185185185</v>
      </c>
      <c r="K355" t="s">
        <v>58</v>
      </c>
      <c r="L355" s="43"/>
    </row>
    <row r="356" spans="1:12" x14ac:dyDescent="0.25">
      <c r="A356">
        <v>1</v>
      </c>
      <c r="B356">
        <v>4383935</v>
      </c>
      <c r="C356" t="s">
        <v>21</v>
      </c>
      <c r="D356" t="s">
        <v>21</v>
      </c>
      <c r="E356">
        <v>0</v>
      </c>
      <c r="F356" t="s">
        <v>62</v>
      </c>
      <c r="G356" s="41" t="s">
        <v>414</v>
      </c>
      <c r="H356" s="42">
        <v>0.93564814814814812</v>
      </c>
      <c r="I356" s="41" t="s">
        <v>414</v>
      </c>
      <c r="J356" s="42">
        <v>0.9356944444444445</v>
      </c>
      <c r="K356" t="s">
        <v>58</v>
      </c>
      <c r="L356" s="43"/>
    </row>
    <row r="357" spans="1:12" x14ac:dyDescent="0.25">
      <c r="A357">
        <v>1</v>
      </c>
      <c r="B357">
        <v>4383936</v>
      </c>
      <c r="C357" t="s">
        <v>21</v>
      </c>
      <c r="D357" t="s">
        <v>21</v>
      </c>
      <c r="E357">
        <v>0</v>
      </c>
      <c r="F357" t="s">
        <v>62</v>
      </c>
      <c r="G357" s="41" t="s">
        <v>414</v>
      </c>
      <c r="H357" s="42">
        <v>0.93564814814814812</v>
      </c>
      <c r="I357" s="41" t="s">
        <v>414</v>
      </c>
      <c r="J357" s="42">
        <v>0.93577546296296299</v>
      </c>
      <c r="K357" t="s">
        <v>58</v>
      </c>
      <c r="L357" s="43"/>
    </row>
    <row r="358" spans="1:12" x14ac:dyDescent="0.25">
      <c r="A358">
        <v>1</v>
      </c>
      <c r="B358">
        <v>4383937</v>
      </c>
      <c r="C358" t="s">
        <v>21</v>
      </c>
      <c r="D358" t="s">
        <v>21</v>
      </c>
      <c r="E358">
        <v>0</v>
      </c>
      <c r="F358" t="s">
        <v>62</v>
      </c>
      <c r="G358" s="41" t="s">
        <v>414</v>
      </c>
      <c r="H358" s="42">
        <v>0.93576388888888884</v>
      </c>
      <c r="I358" s="41" t="s">
        <v>414</v>
      </c>
      <c r="J358" s="42">
        <v>0.93587962962962967</v>
      </c>
      <c r="K358" t="s">
        <v>58</v>
      </c>
      <c r="L358" s="43"/>
    </row>
    <row r="359" spans="1:12" x14ac:dyDescent="0.25">
      <c r="A359">
        <v>1</v>
      </c>
      <c r="B359">
        <v>4383938</v>
      </c>
      <c r="C359" t="s">
        <v>21</v>
      </c>
      <c r="D359" t="s">
        <v>19</v>
      </c>
      <c r="E359">
        <v>0</v>
      </c>
      <c r="F359" t="s">
        <v>62</v>
      </c>
      <c r="G359" s="41" t="s">
        <v>414</v>
      </c>
      <c r="H359" s="42">
        <v>0.93587962962962967</v>
      </c>
      <c r="I359" s="41" t="s">
        <v>414</v>
      </c>
      <c r="J359" s="42">
        <v>0.93593749999999998</v>
      </c>
      <c r="K359" t="s">
        <v>58</v>
      </c>
      <c r="L359" s="43"/>
    </row>
    <row r="360" spans="1:12" x14ac:dyDescent="0.25">
      <c r="A360">
        <v>1</v>
      </c>
      <c r="B360">
        <v>4383939</v>
      </c>
      <c r="C360" t="s">
        <v>21</v>
      </c>
      <c r="D360" t="s">
        <v>21</v>
      </c>
      <c r="E360">
        <v>0</v>
      </c>
      <c r="F360" t="s">
        <v>62</v>
      </c>
      <c r="G360" s="41" t="s">
        <v>414</v>
      </c>
      <c r="H360" s="42">
        <v>0.93599537037037039</v>
      </c>
      <c r="I360" s="41" t="s">
        <v>414</v>
      </c>
      <c r="J360" s="42">
        <v>0.93604166666666666</v>
      </c>
      <c r="K360" t="s">
        <v>58</v>
      </c>
      <c r="L360" s="43"/>
    </row>
    <row r="361" spans="1:12" x14ac:dyDescent="0.25">
      <c r="A361">
        <v>1</v>
      </c>
      <c r="B361">
        <v>4383940</v>
      </c>
      <c r="C361" t="s">
        <v>21</v>
      </c>
      <c r="D361" t="s">
        <v>21</v>
      </c>
      <c r="E361">
        <v>0</v>
      </c>
      <c r="F361" t="s">
        <v>62</v>
      </c>
      <c r="G361" s="41" t="s">
        <v>414</v>
      </c>
      <c r="H361" s="42">
        <v>0.93599537037037039</v>
      </c>
      <c r="I361" s="41" t="s">
        <v>414</v>
      </c>
      <c r="J361" s="42">
        <v>0.9361342592592593</v>
      </c>
      <c r="K361" t="s">
        <v>58</v>
      </c>
      <c r="L361" s="43"/>
    </row>
    <row r="362" spans="1:12" x14ac:dyDescent="0.25">
      <c r="A362">
        <v>1</v>
      </c>
      <c r="B362">
        <v>4383941</v>
      </c>
      <c r="C362" t="s">
        <v>21</v>
      </c>
      <c r="D362" t="s">
        <v>21</v>
      </c>
      <c r="E362">
        <v>0</v>
      </c>
      <c r="F362" t="s">
        <v>62</v>
      </c>
      <c r="G362" s="41" t="s">
        <v>414</v>
      </c>
      <c r="H362" s="42">
        <v>0.93611111111111112</v>
      </c>
      <c r="I362" s="41" t="s">
        <v>414</v>
      </c>
      <c r="J362" s="42">
        <v>0.9362152777777778</v>
      </c>
      <c r="K362" t="s">
        <v>58</v>
      </c>
      <c r="L362" s="43"/>
    </row>
    <row r="363" spans="1:12" x14ac:dyDescent="0.25">
      <c r="A363">
        <v>1</v>
      </c>
      <c r="B363">
        <v>4383942</v>
      </c>
      <c r="C363" t="s">
        <v>21</v>
      </c>
      <c r="D363" t="s">
        <v>21</v>
      </c>
      <c r="E363">
        <v>0</v>
      </c>
      <c r="F363" t="s">
        <v>62</v>
      </c>
      <c r="G363" s="41" t="s">
        <v>414</v>
      </c>
      <c r="H363" s="42">
        <v>0.93622685185185184</v>
      </c>
      <c r="I363" s="41" t="s">
        <v>414</v>
      </c>
      <c r="J363" s="42">
        <v>0.93628472222222225</v>
      </c>
      <c r="K363" t="s">
        <v>58</v>
      </c>
      <c r="L363" s="43"/>
    </row>
    <row r="364" spans="1:12" x14ac:dyDescent="0.25">
      <c r="A364">
        <v>1</v>
      </c>
      <c r="B364">
        <v>4383943</v>
      </c>
      <c r="C364" t="s">
        <v>21</v>
      </c>
      <c r="D364" t="s">
        <v>21</v>
      </c>
      <c r="E364">
        <v>0</v>
      </c>
      <c r="F364" t="s">
        <v>62</v>
      </c>
      <c r="G364" s="41" t="s">
        <v>414</v>
      </c>
      <c r="H364" s="42">
        <v>0.93622685185185184</v>
      </c>
      <c r="I364" s="41" t="s">
        <v>414</v>
      </c>
      <c r="J364" s="42">
        <v>0.93636574074074075</v>
      </c>
      <c r="K364" t="s">
        <v>58</v>
      </c>
      <c r="L364" s="43"/>
    </row>
    <row r="365" spans="1:12" x14ac:dyDescent="0.25">
      <c r="A365">
        <v>1</v>
      </c>
      <c r="B365">
        <v>4383944</v>
      </c>
      <c r="C365" t="s">
        <v>21</v>
      </c>
      <c r="D365" t="s">
        <v>21</v>
      </c>
      <c r="E365">
        <v>0</v>
      </c>
      <c r="F365" t="s">
        <v>62</v>
      </c>
      <c r="G365" s="41" t="s">
        <v>414</v>
      </c>
      <c r="H365" s="42">
        <v>0.93634259259259256</v>
      </c>
      <c r="I365" s="41" t="s">
        <v>414</v>
      </c>
      <c r="J365" s="42">
        <v>0.93645833333333328</v>
      </c>
      <c r="K365" t="s">
        <v>58</v>
      </c>
      <c r="L365" s="43"/>
    </row>
    <row r="366" spans="1:12" x14ac:dyDescent="0.25">
      <c r="A366">
        <v>1</v>
      </c>
      <c r="B366">
        <v>4383945</v>
      </c>
      <c r="C366" t="s">
        <v>21</v>
      </c>
      <c r="D366" t="s">
        <v>21</v>
      </c>
      <c r="E366">
        <v>0</v>
      </c>
      <c r="F366" t="s">
        <v>62</v>
      </c>
      <c r="G366" s="41" t="s">
        <v>414</v>
      </c>
      <c r="H366" s="42">
        <v>0.93645833333333328</v>
      </c>
      <c r="I366" s="41" t="s">
        <v>414</v>
      </c>
      <c r="J366" s="42">
        <v>0.93653935185185189</v>
      </c>
      <c r="K366" t="s">
        <v>58</v>
      </c>
      <c r="L366" s="43"/>
    </row>
    <row r="367" spans="1:12" x14ac:dyDescent="0.25">
      <c r="A367">
        <v>1</v>
      </c>
      <c r="B367">
        <v>4383946</v>
      </c>
      <c r="C367" t="s">
        <v>21</v>
      </c>
      <c r="D367" t="s">
        <v>19</v>
      </c>
      <c r="E367">
        <v>0</v>
      </c>
      <c r="F367" t="s">
        <v>62</v>
      </c>
      <c r="G367" s="41" t="s">
        <v>414</v>
      </c>
      <c r="H367" s="42">
        <v>0.93657407407407411</v>
      </c>
      <c r="I367" s="41" t="s">
        <v>414</v>
      </c>
      <c r="J367" s="42">
        <v>0.93660879629629634</v>
      </c>
      <c r="K367" t="s">
        <v>58</v>
      </c>
      <c r="L367" s="43"/>
    </row>
    <row r="368" spans="1:12" x14ac:dyDescent="0.25">
      <c r="A368">
        <v>1</v>
      </c>
      <c r="B368">
        <v>4383948</v>
      </c>
      <c r="C368" t="s">
        <v>21</v>
      </c>
      <c r="D368" t="s">
        <v>21</v>
      </c>
      <c r="E368">
        <v>0</v>
      </c>
      <c r="F368" t="s">
        <v>62</v>
      </c>
      <c r="G368" s="41" t="s">
        <v>414</v>
      </c>
      <c r="H368" s="42">
        <v>0.93657407407407411</v>
      </c>
      <c r="I368" s="41" t="s">
        <v>414</v>
      </c>
      <c r="J368" s="42">
        <v>0.93666666666666665</v>
      </c>
      <c r="K368" t="s">
        <v>58</v>
      </c>
      <c r="L368" s="43"/>
    </row>
    <row r="369" spans="1:12" x14ac:dyDescent="0.25">
      <c r="A369">
        <v>1</v>
      </c>
      <c r="B369">
        <v>4383949</v>
      </c>
      <c r="C369" t="s">
        <v>21</v>
      </c>
      <c r="D369" t="s">
        <v>19</v>
      </c>
      <c r="E369">
        <v>0</v>
      </c>
      <c r="F369" t="s">
        <v>62</v>
      </c>
      <c r="G369" s="41" t="s">
        <v>414</v>
      </c>
      <c r="H369" s="42">
        <v>0.93668981481481484</v>
      </c>
      <c r="I369" s="41" t="s">
        <v>414</v>
      </c>
      <c r="J369" s="42">
        <v>0.9367361111111111</v>
      </c>
      <c r="K369" t="s">
        <v>58</v>
      </c>
      <c r="L369" s="43"/>
    </row>
    <row r="370" spans="1:12" x14ac:dyDescent="0.25">
      <c r="A370">
        <v>1</v>
      </c>
      <c r="B370">
        <v>4383951</v>
      </c>
      <c r="C370" t="s">
        <v>21</v>
      </c>
      <c r="D370" t="s">
        <v>21</v>
      </c>
      <c r="E370">
        <v>0</v>
      </c>
      <c r="F370" t="s">
        <v>62</v>
      </c>
      <c r="G370" s="41" t="s">
        <v>414</v>
      </c>
      <c r="H370" s="42">
        <v>0.93668981481481484</v>
      </c>
      <c r="I370" s="41" t="s">
        <v>414</v>
      </c>
      <c r="J370" s="42">
        <v>0.9368171296296296</v>
      </c>
      <c r="K370" t="s">
        <v>58</v>
      </c>
      <c r="L370" s="43"/>
    </row>
    <row r="371" spans="1:12" x14ac:dyDescent="0.25">
      <c r="A371">
        <v>1</v>
      </c>
      <c r="B371">
        <v>4383952</v>
      </c>
      <c r="C371" t="s">
        <v>21</v>
      </c>
      <c r="D371" t="s">
        <v>21</v>
      </c>
      <c r="E371">
        <v>0</v>
      </c>
      <c r="F371" t="s">
        <v>62</v>
      </c>
      <c r="G371" s="41" t="s">
        <v>414</v>
      </c>
      <c r="H371" s="42">
        <v>0.93680555555555556</v>
      </c>
      <c r="I371" s="41" t="s">
        <v>414</v>
      </c>
      <c r="J371" s="42">
        <v>0.9368981481481482</v>
      </c>
      <c r="K371" t="s">
        <v>58</v>
      </c>
      <c r="L371" s="43"/>
    </row>
    <row r="372" spans="1:12" x14ac:dyDescent="0.25">
      <c r="A372">
        <v>1</v>
      </c>
      <c r="B372">
        <v>4383953</v>
      </c>
      <c r="C372" t="s">
        <v>21</v>
      </c>
      <c r="D372" t="s">
        <v>21</v>
      </c>
      <c r="E372">
        <v>0</v>
      </c>
      <c r="F372" t="s">
        <v>62</v>
      </c>
      <c r="G372" s="41" t="s">
        <v>414</v>
      </c>
      <c r="H372" s="42">
        <v>0.93692129629629628</v>
      </c>
      <c r="I372" s="41" t="s">
        <v>414</v>
      </c>
      <c r="J372" s="42">
        <v>0.93696759259259255</v>
      </c>
      <c r="K372" t="s">
        <v>58</v>
      </c>
      <c r="L372" s="43"/>
    </row>
    <row r="373" spans="1:12" x14ac:dyDescent="0.25">
      <c r="A373">
        <v>1</v>
      </c>
      <c r="B373">
        <v>4383954</v>
      </c>
      <c r="C373" t="s">
        <v>21</v>
      </c>
      <c r="D373" t="s">
        <v>19</v>
      </c>
      <c r="E373">
        <v>0</v>
      </c>
      <c r="F373" t="s">
        <v>62</v>
      </c>
      <c r="G373" s="41" t="s">
        <v>414</v>
      </c>
      <c r="H373" s="42">
        <v>0.93692129629629628</v>
      </c>
      <c r="I373" s="41" t="s">
        <v>414</v>
      </c>
      <c r="J373" s="42">
        <v>0.937037037037037</v>
      </c>
      <c r="K373" t="s">
        <v>58</v>
      </c>
      <c r="L373" s="43"/>
    </row>
    <row r="374" spans="1:12" x14ac:dyDescent="0.25">
      <c r="A374">
        <v>1</v>
      </c>
      <c r="B374">
        <v>4383955</v>
      </c>
      <c r="C374" t="s">
        <v>21</v>
      </c>
      <c r="D374" t="s">
        <v>21</v>
      </c>
      <c r="E374">
        <v>0</v>
      </c>
      <c r="F374" t="s">
        <v>62</v>
      </c>
      <c r="G374" s="41" t="s">
        <v>414</v>
      </c>
      <c r="H374" s="42">
        <v>0.937037037037037</v>
      </c>
      <c r="I374" s="41" t="s">
        <v>414</v>
      </c>
      <c r="J374" s="42">
        <v>0.93711805555555561</v>
      </c>
      <c r="K374" t="s">
        <v>58</v>
      </c>
      <c r="L374" s="43"/>
    </row>
    <row r="375" spans="1:12" x14ac:dyDescent="0.25">
      <c r="A375">
        <v>1</v>
      </c>
      <c r="B375">
        <v>4383956</v>
      </c>
      <c r="C375" t="s">
        <v>21</v>
      </c>
      <c r="D375" t="s">
        <v>21</v>
      </c>
      <c r="E375">
        <v>0</v>
      </c>
      <c r="F375" t="s">
        <v>62</v>
      </c>
      <c r="G375" s="41" t="s">
        <v>414</v>
      </c>
      <c r="H375" s="42">
        <v>0.93715277777777772</v>
      </c>
      <c r="I375" s="41" t="s">
        <v>414</v>
      </c>
      <c r="J375" s="42">
        <v>0.93718749999999995</v>
      </c>
      <c r="K375" t="s">
        <v>58</v>
      </c>
      <c r="L375" s="43"/>
    </row>
    <row r="376" spans="1:12" x14ac:dyDescent="0.25">
      <c r="A376">
        <v>1</v>
      </c>
      <c r="B376">
        <v>4383957</v>
      </c>
      <c r="C376" t="s">
        <v>21</v>
      </c>
      <c r="D376" t="s">
        <v>21</v>
      </c>
      <c r="E376">
        <v>0</v>
      </c>
      <c r="F376" t="s">
        <v>62</v>
      </c>
      <c r="G376" s="41" t="s">
        <v>414</v>
      </c>
      <c r="H376" s="42">
        <v>0.93715277777777772</v>
      </c>
      <c r="I376" s="41" t="s">
        <v>414</v>
      </c>
      <c r="J376" s="42">
        <v>0.93725694444444441</v>
      </c>
      <c r="K376" t="s">
        <v>58</v>
      </c>
      <c r="L376" s="43"/>
    </row>
    <row r="377" spans="1:12" x14ac:dyDescent="0.25">
      <c r="A377">
        <v>1</v>
      </c>
      <c r="B377">
        <v>4383958</v>
      </c>
      <c r="C377" t="s">
        <v>21</v>
      </c>
      <c r="D377" t="s">
        <v>21</v>
      </c>
      <c r="E377">
        <v>0</v>
      </c>
      <c r="F377" t="s">
        <v>62</v>
      </c>
      <c r="G377" s="41" t="s">
        <v>414</v>
      </c>
      <c r="H377" s="42">
        <v>0.93726851851851856</v>
      </c>
      <c r="I377" s="41" t="s">
        <v>414</v>
      </c>
      <c r="J377" s="42">
        <v>0.93733796296296301</v>
      </c>
      <c r="K377" t="s">
        <v>58</v>
      </c>
      <c r="L377" s="43"/>
    </row>
    <row r="378" spans="1:12" x14ac:dyDescent="0.25">
      <c r="A378">
        <v>1</v>
      </c>
      <c r="B378">
        <v>4383959</v>
      </c>
      <c r="C378" t="s">
        <v>21</v>
      </c>
      <c r="D378" t="s">
        <v>19</v>
      </c>
      <c r="E378">
        <v>0</v>
      </c>
      <c r="F378" t="s">
        <v>62</v>
      </c>
      <c r="G378" s="41" t="s">
        <v>414</v>
      </c>
      <c r="H378" s="42">
        <v>0.93738425925925928</v>
      </c>
      <c r="I378" s="41" t="s">
        <v>414</v>
      </c>
      <c r="J378" s="42">
        <v>0.93740740740740736</v>
      </c>
      <c r="K378" t="s">
        <v>58</v>
      </c>
      <c r="L378" s="43"/>
    </row>
    <row r="379" spans="1:12" x14ac:dyDescent="0.25">
      <c r="A379">
        <v>1</v>
      </c>
      <c r="B379">
        <v>4383960</v>
      </c>
      <c r="C379" t="s">
        <v>21</v>
      </c>
      <c r="D379" t="s">
        <v>19</v>
      </c>
      <c r="E379">
        <v>0</v>
      </c>
      <c r="F379" t="s">
        <v>62</v>
      </c>
      <c r="G379" s="41" t="s">
        <v>414</v>
      </c>
      <c r="H379" s="42">
        <v>0.93738425925925928</v>
      </c>
      <c r="I379" s="41" t="s">
        <v>414</v>
      </c>
      <c r="J379" s="42">
        <v>0.93747685185185181</v>
      </c>
      <c r="K379" t="s">
        <v>58</v>
      </c>
      <c r="L379" s="43"/>
    </row>
    <row r="380" spans="1:12" x14ac:dyDescent="0.25">
      <c r="A380">
        <v>1</v>
      </c>
      <c r="B380">
        <v>4383961</v>
      </c>
      <c r="C380" t="s">
        <v>21</v>
      </c>
      <c r="D380" t="s">
        <v>21</v>
      </c>
      <c r="E380">
        <v>0</v>
      </c>
      <c r="F380" t="s">
        <v>62</v>
      </c>
      <c r="G380" s="41" t="s">
        <v>414</v>
      </c>
      <c r="H380" s="42">
        <v>0.9375</v>
      </c>
      <c r="I380" s="41" t="s">
        <v>414</v>
      </c>
      <c r="J380" s="42">
        <v>0.93756944444444446</v>
      </c>
      <c r="K380" t="s">
        <v>58</v>
      </c>
      <c r="L380" s="43"/>
    </row>
    <row r="381" spans="1:12" x14ac:dyDescent="0.25">
      <c r="A381">
        <v>1</v>
      </c>
      <c r="B381">
        <v>4383962</v>
      </c>
      <c r="C381" t="s">
        <v>21</v>
      </c>
      <c r="D381" t="s">
        <v>21</v>
      </c>
      <c r="E381">
        <v>0</v>
      </c>
      <c r="F381" t="s">
        <v>62</v>
      </c>
      <c r="G381" s="41" t="s">
        <v>414</v>
      </c>
      <c r="H381" s="42">
        <v>0.93761574074074072</v>
      </c>
      <c r="I381" s="41" t="s">
        <v>414</v>
      </c>
      <c r="J381" s="42">
        <v>0.93767361111111114</v>
      </c>
      <c r="K381" t="s">
        <v>58</v>
      </c>
      <c r="L381" s="43"/>
    </row>
    <row r="382" spans="1:12" x14ac:dyDescent="0.25">
      <c r="A382">
        <v>1</v>
      </c>
      <c r="B382">
        <v>4383963</v>
      </c>
      <c r="C382" t="s">
        <v>21</v>
      </c>
      <c r="D382" t="s">
        <v>21</v>
      </c>
      <c r="E382">
        <v>0</v>
      </c>
      <c r="F382" t="s">
        <v>62</v>
      </c>
      <c r="G382" s="41" t="s">
        <v>414</v>
      </c>
      <c r="H382" s="42">
        <v>0.93773148148148144</v>
      </c>
      <c r="I382" s="41" t="s">
        <v>414</v>
      </c>
      <c r="J382" s="42">
        <v>0.93781250000000005</v>
      </c>
      <c r="K382" t="s">
        <v>58</v>
      </c>
      <c r="L382" s="43"/>
    </row>
    <row r="383" spans="1:12" x14ac:dyDescent="0.25">
      <c r="A383">
        <v>1</v>
      </c>
      <c r="B383">
        <v>4383964</v>
      </c>
      <c r="C383" t="s">
        <v>21</v>
      </c>
      <c r="D383" t="s">
        <v>19</v>
      </c>
      <c r="E383">
        <v>0</v>
      </c>
      <c r="F383" t="s">
        <v>62</v>
      </c>
      <c r="G383" s="41" t="s">
        <v>414</v>
      </c>
      <c r="H383" s="42">
        <v>0.93784722222222228</v>
      </c>
      <c r="I383" s="41" t="s">
        <v>414</v>
      </c>
      <c r="J383" s="42">
        <v>0.93790509259259258</v>
      </c>
      <c r="K383" t="s">
        <v>58</v>
      </c>
      <c r="L383" s="43"/>
    </row>
    <row r="384" spans="1:12" x14ac:dyDescent="0.25">
      <c r="A384">
        <v>1</v>
      </c>
      <c r="B384">
        <v>4383965</v>
      </c>
      <c r="C384" t="s">
        <v>21</v>
      </c>
      <c r="D384" t="s">
        <v>21</v>
      </c>
      <c r="E384">
        <v>0</v>
      </c>
      <c r="F384" t="s">
        <v>62</v>
      </c>
      <c r="G384" s="41" t="s">
        <v>414</v>
      </c>
      <c r="H384" s="42">
        <v>0.937962962962963</v>
      </c>
      <c r="I384" s="41" t="s">
        <v>414</v>
      </c>
      <c r="J384" s="42">
        <v>0.93797453703703704</v>
      </c>
      <c r="K384" t="s">
        <v>58</v>
      </c>
      <c r="L384" s="43"/>
    </row>
    <row r="385" spans="1:12" x14ac:dyDescent="0.25">
      <c r="A385">
        <v>1</v>
      </c>
      <c r="B385">
        <v>4383966</v>
      </c>
      <c r="C385" t="s">
        <v>21</v>
      </c>
      <c r="D385" t="s">
        <v>19</v>
      </c>
      <c r="E385">
        <v>0</v>
      </c>
      <c r="F385" t="s">
        <v>62</v>
      </c>
      <c r="G385" s="41" t="s">
        <v>414</v>
      </c>
      <c r="H385" s="42">
        <v>0.937962962962963</v>
      </c>
      <c r="I385" s="41" t="s">
        <v>414</v>
      </c>
      <c r="J385" s="42">
        <v>0.93803240740740745</v>
      </c>
      <c r="K385" t="s">
        <v>58</v>
      </c>
      <c r="L385" s="43"/>
    </row>
    <row r="386" spans="1:12" x14ac:dyDescent="0.25">
      <c r="A386">
        <v>1</v>
      </c>
      <c r="B386">
        <v>4383968</v>
      </c>
      <c r="C386" t="s">
        <v>21</v>
      </c>
      <c r="D386" t="s">
        <v>21</v>
      </c>
      <c r="E386">
        <v>0</v>
      </c>
      <c r="F386" t="s">
        <v>62</v>
      </c>
      <c r="G386" s="41" t="s">
        <v>414</v>
      </c>
      <c r="H386" s="42">
        <v>0.93807870370370372</v>
      </c>
      <c r="I386" s="41" t="s">
        <v>414</v>
      </c>
      <c r="J386" s="42">
        <v>0.93809027777777776</v>
      </c>
      <c r="K386" t="s">
        <v>58</v>
      </c>
      <c r="L386" s="43"/>
    </row>
    <row r="387" spans="1:12" x14ac:dyDescent="0.25">
      <c r="A387">
        <v>1</v>
      </c>
      <c r="B387">
        <v>4383969</v>
      </c>
      <c r="C387" t="s">
        <v>21</v>
      </c>
      <c r="D387" t="s">
        <v>21</v>
      </c>
      <c r="E387">
        <v>0</v>
      </c>
      <c r="F387" t="s">
        <v>62</v>
      </c>
      <c r="G387" s="41" t="s">
        <v>414</v>
      </c>
      <c r="H387" s="42">
        <v>0.93807870370370372</v>
      </c>
      <c r="I387" s="41" t="s">
        <v>414</v>
      </c>
      <c r="J387" s="42">
        <v>0.93815972222222221</v>
      </c>
      <c r="K387" t="s">
        <v>58</v>
      </c>
      <c r="L387" s="43"/>
    </row>
    <row r="388" spans="1:12" x14ac:dyDescent="0.25">
      <c r="A388">
        <v>1</v>
      </c>
      <c r="B388">
        <v>4383970</v>
      </c>
      <c r="C388" t="s">
        <v>21</v>
      </c>
      <c r="D388" t="s">
        <v>21</v>
      </c>
      <c r="E388">
        <v>0</v>
      </c>
      <c r="F388" t="s">
        <v>62</v>
      </c>
      <c r="G388" s="41" t="s">
        <v>414</v>
      </c>
      <c r="H388" s="42">
        <v>0.93819444444444444</v>
      </c>
      <c r="I388" s="41" t="s">
        <v>414</v>
      </c>
      <c r="J388" s="42">
        <v>0.93824074074074071</v>
      </c>
      <c r="K388" t="s">
        <v>58</v>
      </c>
      <c r="L388" s="43"/>
    </row>
    <row r="389" spans="1:12" x14ac:dyDescent="0.25">
      <c r="A389">
        <v>1</v>
      </c>
      <c r="B389">
        <v>4383971</v>
      </c>
      <c r="C389" t="s">
        <v>21</v>
      </c>
      <c r="D389" t="s">
        <v>21</v>
      </c>
      <c r="E389">
        <v>0</v>
      </c>
      <c r="F389" t="s">
        <v>62</v>
      </c>
      <c r="G389" s="41" t="s">
        <v>414</v>
      </c>
      <c r="H389" s="42">
        <v>0.93819444444444444</v>
      </c>
      <c r="I389" s="41" t="s">
        <v>414</v>
      </c>
      <c r="J389" s="42">
        <v>0.93831018518518516</v>
      </c>
      <c r="K389" t="s">
        <v>58</v>
      </c>
      <c r="L389" s="43"/>
    </row>
    <row r="390" spans="1:12" x14ac:dyDescent="0.25">
      <c r="A390">
        <v>1</v>
      </c>
      <c r="B390">
        <v>4383972</v>
      </c>
      <c r="C390" t="s">
        <v>21</v>
      </c>
      <c r="D390" t="s">
        <v>19</v>
      </c>
      <c r="E390">
        <v>0</v>
      </c>
      <c r="F390" t="s">
        <v>62</v>
      </c>
      <c r="G390" s="41" t="s">
        <v>414</v>
      </c>
      <c r="H390" s="42">
        <v>0.93831018518518516</v>
      </c>
      <c r="I390" s="41" t="s">
        <v>414</v>
      </c>
      <c r="J390" s="42">
        <v>0.93840277777777781</v>
      </c>
      <c r="K390" t="s">
        <v>58</v>
      </c>
      <c r="L390" s="43"/>
    </row>
    <row r="391" spans="1:12" x14ac:dyDescent="0.25">
      <c r="A391">
        <v>1</v>
      </c>
      <c r="B391">
        <v>4383973</v>
      </c>
      <c r="C391" t="s">
        <v>21</v>
      </c>
      <c r="D391" t="s">
        <v>21</v>
      </c>
      <c r="E391">
        <v>0</v>
      </c>
      <c r="F391" t="s">
        <v>62</v>
      </c>
      <c r="G391" s="41" t="s">
        <v>414</v>
      </c>
      <c r="H391" s="42">
        <v>0.93842592592592589</v>
      </c>
      <c r="I391" s="41" t="s">
        <v>414</v>
      </c>
      <c r="J391" s="42">
        <v>0.9384837962962963</v>
      </c>
      <c r="K391" t="s">
        <v>58</v>
      </c>
      <c r="L391" s="43"/>
    </row>
    <row r="392" spans="1:12" x14ac:dyDescent="0.25">
      <c r="A392">
        <v>1</v>
      </c>
      <c r="B392">
        <v>4383974</v>
      </c>
      <c r="C392" t="s">
        <v>21</v>
      </c>
      <c r="D392" t="s">
        <v>21</v>
      </c>
      <c r="E392">
        <v>0</v>
      </c>
      <c r="F392" t="s">
        <v>62</v>
      </c>
      <c r="G392" s="41" t="s">
        <v>414</v>
      </c>
      <c r="H392" s="42">
        <v>0.93854166666666672</v>
      </c>
      <c r="I392" s="41" t="s">
        <v>414</v>
      </c>
      <c r="J392" s="42">
        <v>0.93855324074074076</v>
      </c>
      <c r="K392" t="s">
        <v>58</v>
      </c>
      <c r="L392" s="43"/>
    </row>
    <row r="393" spans="1:12" x14ac:dyDescent="0.25">
      <c r="A393">
        <v>1</v>
      </c>
      <c r="B393">
        <v>4383975</v>
      </c>
      <c r="C393" t="s">
        <v>21</v>
      </c>
      <c r="D393" t="s">
        <v>21</v>
      </c>
      <c r="E393">
        <v>0</v>
      </c>
      <c r="F393" t="s">
        <v>62</v>
      </c>
      <c r="G393" s="41" t="s">
        <v>414</v>
      </c>
      <c r="H393" s="42">
        <v>0.93854166666666672</v>
      </c>
      <c r="I393" s="41" t="s">
        <v>414</v>
      </c>
      <c r="J393" s="42">
        <v>0.93865740740740744</v>
      </c>
      <c r="K393" t="s">
        <v>58</v>
      </c>
      <c r="L393" s="43"/>
    </row>
    <row r="394" spans="1:12" x14ac:dyDescent="0.25">
      <c r="A394">
        <v>1</v>
      </c>
      <c r="B394">
        <v>4383976</v>
      </c>
      <c r="C394" t="s">
        <v>21</v>
      </c>
      <c r="D394" t="s">
        <v>21</v>
      </c>
      <c r="E394">
        <v>0</v>
      </c>
      <c r="F394" t="s">
        <v>62</v>
      </c>
      <c r="G394" s="41" t="s">
        <v>414</v>
      </c>
      <c r="H394" s="42">
        <v>0.93865740740740744</v>
      </c>
      <c r="I394" s="41" t="s">
        <v>414</v>
      </c>
      <c r="J394" s="42">
        <v>0.93877314814814816</v>
      </c>
      <c r="K394" t="s">
        <v>58</v>
      </c>
      <c r="L394" s="43"/>
    </row>
    <row r="395" spans="1:12" x14ac:dyDescent="0.25">
      <c r="A395">
        <v>1</v>
      </c>
      <c r="B395">
        <v>4383977</v>
      </c>
      <c r="C395" t="s">
        <v>21</v>
      </c>
      <c r="D395" t="s">
        <v>21</v>
      </c>
      <c r="E395">
        <v>0</v>
      </c>
      <c r="F395" t="s">
        <v>62</v>
      </c>
      <c r="G395" s="41" t="s">
        <v>414</v>
      </c>
      <c r="H395" s="42">
        <v>0.93877314814814816</v>
      </c>
      <c r="I395" s="41" t="s">
        <v>414</v>
      </c>
      <c r="J395" s="42">
        <v>0.9388657407407407</v>
      </c>
      <c r="K395" t="s">
        <v>58</v>
      </c>
      <c r="L395" s="43"/>
    </row>
    <row r="396" spans="1:12" x14ac:dyDescent="0.25">
      <c r="A396">
        <v>1</v>
      </c>
      <c r="B396">
        <v>4383978</v>
      </c>
      <c r="C396" t="s">
        <v>21</v>
      </c>
      <c r="D396" t="s">
        <v>21</v>
      </c>
      <c r="E396">
        <v>0</v>
      </c>
      <c r="F396" t="s">
        <v>62</v>
      </c>
      <c r="G396" s="41" t="s">
        <v>414</v>
      </c>
      <c r="H396" s="42">
        <v>0.93888888888888888</v>
      </c>
      <c r="I396" s="41" t="s">
        <v>414</v>
      </c>
      <c r="J396" s="42">
        <v>0.93896990740740738</v>
      </c>
      <c r="K396" t="s">
        <v>58</v>
      </c>
      <c r="L396" s="43"/>
    </row>
    <row r="397" spans="1:12" x14ac:dyDescent="0.25">
      <c r="A397">
        <v>1</v>
      </c>
      <c r="B397">
        <v>4383979</v>
      </c>
      <c r="C397" t="s">
        <v>21</v>
      </c>
      <c r="D397" t="s">
        <v>21</v>
      </c>
      <c r="E397">
        <v>0</v>
      </c>
      <c r="F397" t="s">
        <v>62</v>
      </c>
      <c r="G397" s="41" t="s">
        <v>414</v>
      </c>
      <c r="H397" s="42">
        <v>0.93900462962962961</v>
      </c>
      <c r="I397" s="41" t="s">
        <v>414</v>
      </c>
      <c r="J397" s="42">
        <v>0.93906250000000002</v>
      </c>
      <c r="K397" t="s">
        <v>58</v>
      </c>
      <c r="L397" s="43"/>
    </row>
    <row r="398" spans="1:12" x14ac:dyDescent="0.25">
      <c r="A398">
        <v>1</v>
      </c>
      <c r="B398">
        <v>4383980</v>
      </c>
      <c r="C398" t="s">
        <v>21</v>
      </c>
      <c r="D398" t="s">
        <v>21</v>
      </c>
      <c r="E398">
        <v>0</v>
      </c>
      <c r="F398" t="s">
        <v>62</v>
      </c>
      <c r="G398" s="41" t="s">
        <v>414</v>
      </c>
      <c r="H398" s="42">
        <v>0.93912037037037033</v>
      </c>
      <c r="I398" s="41" t="s">
        <v>414</v>
      </c>
      <c r="J398" s="42">
        <v>0.93915509259259256</v>
      </c>
      <c r="K398" t="s">
        <v>58</v>
      </c>
      <c r="L398" s="43"/>
    </row>
    <row r="399" spans="1:12" x14ac:dyDescent="0.25">
      <c r="A399">
        <v>1</v>
      </c>
      <c r="B399">
        <v>4383992</v>
      </c>
      <c r="C399" t="s">
        <v>21</v>
      </c>
      <c r="D399" t="s">
        <v>19</v>
      </c>
      <c r="E399">
        <v>0</v>
      </c>
      <c r="F399" t="s">
        <v>62</v>
      </c>
      <c r="G399" s="41" t="s">
        <v>414</v>
      </c>
      <c r="H399" s="42">
        <v>0.94027777777777777</v>
      </c>
      <c r="I399" s="41" t="s">
        <v>414</v>
      </c>
      <c r="J399" s="42">
        <v>0.9403125</v>
      </c>
      <c r="K399" t="s">
        <v>58</v>
      </c>
      <c r="L399" s="43"/>
    </row>
    <row r="400" spans="1:12" x14ac:dyDescent="0.25">
      <c r="A400">
        <v>1</v>
      </c>
      <c r="B400">
        <v>4383993</v>
      </c>
      <c r="C400" t="s">
        <v>21</v>
      </c>
      <c r="D400" t="s">
        <v>19</v>
      </c>
      <c r="E400">
        <v>0</v>
      </c>
      <c r="F400" t="s">
        <v>62</v>
      </c>
      <c r="G400" s="41" t="s">
        <v>414</v>
      </c>
      <c r="H400" s="42">
        <v>0.94027777777777777</v>
      </c>
      <c r="I400" s="41" t="s">
        <v>414</v>
      </c>
      <c r="J400" s="42">
        <v>0.94038194444444445</v>
      </c>
      <c r="K400" t="s">
        <v>58</v>
      </c>
      <c r="L400" s="43"/>
    </row>
    <row r="401" spans="1:12" x14ac:dyDescent="0.25">
      <c r="A401">
        <v>1</v>
      </c>
      <c r="B401">
        <v>4383998</v>
      </c>
      <c r="C401" t="s">
        <v>21</v>
      </c>
      <c r="D401" t="s">
        <v>21</v>
      </c>
      <c r="E401">
        <v>0</v>
      </c>
      <c r="F401" t="s">
        <v>62</v>
      </c>
      <c r="G401" s="41" t="s">
        <v>414</v>
      </c>
      <c r="H401" s="42">
        <v>0.94085648148148149</v>
      </c>
      <c r="I401" s="41" t="s">
        <v>414</v>
      </c>
      <c r="J401" s="42">
        <v>0.94087962962962968</v>
      </c>
      <c r="K401" t="s">
        <v>58</v>
      </c>
      <c r="L401" s="43"/>
    </row>
    <row r="402" spans="1:12" x14ac:dyDescent="0.25">
      <c r="A402">
        <v>1</v>
      </c>
      <c r="B402">
        <v>4383999</v>
      </c>
      <c r="C402" t="s">
        <v>21</v>
      </c>
      <c r="D402" t="s">
        <v>21</v>
      </c>
      <c r="E402">
        <v>0</v>
      </c>
      <c r="F402" t="s">
        <v>62</v>
      </c>
      <c r="G402" s="41" t="s">
        <v>414</v>
      </c>
      <c r="H402" s="42">
        <v>0.94085648148148149</v>
      </c>
      <c r="I402" s="41" t="s">
        <v>414</v>
      </c>
      <c r="J402" s="42">
        <v>0.94096064814814817</v>
      </c>
      <c r="K402" t="s">
        <v>58</v>
      </c>
      <c r="L402" s="43"/>
    </row>
    <row r="403" spans="1:12" x14ac:dyDescent="0.25">
      <c r="A403">
        <v>1</v>
      </c>
      <c r="B403">
        <v>4384002</v>
      </c>
      <c r="C403" t="s">
        <v>21</v>
      </c>
      <c r="D403" t="s">
        <v>182</v>
      </c>
      <c r="E403">
        <v>0</v>
      </c>
      <c r="F403" t="s">
        <v>62</v>
      </c>
      <c r="G403" s="41" t="s">
        <v>414</v>
      </c>
      <c r="H403" s="42">
        <v>0.94108796296296293</v>
      </c>
      <c r="I403" s="41" t="s">
        <v>414</v>
      </c>
      <c r="J403" s="42">
        <v>0.94116898148148154</v>
      </c>
      <c r="K403" t="s">
        <v>58</v>
      </c>
      <c r="L403" s="43"/>
    </row>
    <row r="404" spans="1:12" x14ac:dyDescent="0.25">
      <c r="A404">
        <v>1</v>
      </c>
      <c r="B404">
        <v>4384005</v>
      </c>
      <c r="C404" t="s">
        <v>21</v>
      </c>
      <c r="D404" t="s">
        <v>21</v>
      </c>
      <c r="E404">
        <v>0</v>
      </c>
      <c r="F404" t="s">
        <v>62</v>
      </c>
      <c r="G404" s="41" t="s">
        <v>414</v>
      </c>
      <c r="H404" s="42">
        <v>0.94131944444444449</v>
      </c>
      <c r="I404" s="41" t="s">
        <v>414</v>
      </c>
      <c r="J404" s="42">
        <v>0.94140046296296298</v>
      </c>
      <c r="K404" t="s">
        <v>58</v>
      </c>
      <c r="L404" s="43"/>
    </row>
    <row r="405" spans="1:12" x14ac:dyDescent="0.25">
      <c r="A405">
        <v>1</v>
      </c>
      <c r="B405">
        <v>4384006</v>
      </c>
      <c r="C405" t="s">
        <v>21</v>
      </c>
      <c r="D405" t="s">
        <v>19</v>
      </c>
      <c r="E405">
        <v>0</v>
      </c>
      <c r="F405" t="s">
        <v>62</v>
      </c>
      <c r="G405" s="41" t="s">
        <v>414</v>
      </c>
      <c r="H405" s="42">
        <v>0.94143518518518521</v>
      </c>
      <c r="I405" s="41" t="s">
        <v>414</v>
      </c>
      <c r="J405" s="42">
        <v>0.94148148148148147</v>
      </c>
      <c r="K405" t="s">
        <v>58</v>
      </c>
      <c r="L405" s="43"/>
    </row>
    <row r="406" spans="1:12" x14ac:dyDescent="0.25">
      <c r="A406">
        <v>1</v>
      </c>
      <c r="B406">
        <v>4384011</v>
      </c>
      <c r="C406" t="s">
        <v>21</v>
      </c>
      <c r="D406" t="s">
        <v>19</v>
      </c>
      <c r="E406">
        <v>0</v>
      </c>
      <c r="F406" t="s">
        <v>62</v>
      </c>
      <c r="G406" s="41" t="s">
        <v>414</v>
      </c>
      <c r="H406" s="42">
        <v>0.94178240740740737</v>
      </c>
      <c r="I406" s="41" t="s">
        <v>414</v>
      </c>
      <c r="J406" s="42">
        <v>0.94187500000000002</v>
      </c>
      <c r="K406" t="s">
        <v>58</v>
      </c>
      <c r="L406" s="43"/>
    </row>
    <row r="407" spans="1:12" x14ac:dyDescent="0.25">
      <c r="A407">
        <v>1</v>
      </c>
      <c r="B407">
        <v>4384014</v>
      </c>
      <c r="C407" t="s">
        <v>21</v>
      </c>
      <c r="D407" t="s">
        <v>21</v>
      </c>
      <c r="E407">
        <v>0</v>
      </c>
      <c r="F407" t="s">
        <v>62</v>
      </c>
      <c r="G407" s="41" t="s">
        <v>414</v>
      </c>
      <c r="H407" s="42">
        <v>0.94201388888888893</v>
      </c>
      <c r="I407" s="41" t="s">
        <v>414</v>
      </c>
      <c r="J407" s="42">
        <v>0.94209490740740742</v>
      </c>
      <c r="K407" t="s">
        <v>58</v>
      </c>
      <c r="L407" s="43"/>
    </row>
    <row r="408" spans="1:12" x14ac:dyDescent="0.25">
      <c r="A408">
        <v>1</v>
      </c>
      <c r="B408">
        <v>4384027</v>
      </c>
      <c r="C408" t="s">
        <v>21</v>
      </c>
      <c r="D408" t="s">
        <v>19</v>
      </c>
      <c r="E408">
        <v>0</v>
      </c>
      <c r="F408" t="s">
        <v>62</v>
      </c>
      <c r="G408" s="41" t="s">
        <v>414</v>
      </c>
      <c r="H408" s="42">
        <v>0.94282407407407409</v>
      </c>
      <c r="I408" s="41" t="s">
        <v>414</v>
      </c>
      <c r="J408" s="42">
        <v>0.94289351851851855</v>
      </c>
      <c r="K408" t="s">
        <v>58</v>
      </c>
      <c r="L408" s="43"/>
    </row>
    <row r="409" spans="1:12" x14ac:dyDescent="0.25">
      <c r="A409">
        <v>1</v>
      </c>
      <c r="B409">
        <v>4384028</v>
      </c>
      <c r="C409" t="s">
        <v>21</v>
      </c>
      <c r="D409" t="s">
        <v>19</v>
      </c>
      <c r="E409">
        <v>0</v>
      </c>
      <c r="F409" t="s">
        <v>62</v>
      </c>
      <c r="G409" s="41" t="s">
        <v>414</v>
      </c>
      <c r="H409" s="42">
        <v>0.94293981481481481</v>
      </c>
      <c r="I409" s="41" t="s">
        <v>414</v>
      </c>
      <c r="J409" s="42">
        <v>0.94297453703703704</v>
      </c>
      <c r="K409" t="s">
        <v>58</v>
      </c>
      <c r="L409" s="43"/>
    </row>
    <row r="410" spans="1:12" x14ac:dyDescent="0.25">
      <c r="A410">
        <v>1</v>
      </c>
      <c r="B410">
        <v>4384029</v>
      </c>
      <c r="C410" t="s">
        <v>21</v>
      </c>
      <c r="D410" t="s">
        <v>21</v>
      </c>
      <c r="E410">
        <v>0</v>
      </c>
      <c r="F410" t="s">
        <v>62</v>
      </c>
      <c r="G410" s="41" t="s">
        <v>414</v>
      </c>
      <c r="H410" s="42">
        <v>0.94293981481481481</v>
      </c>
      <c r="I410" s="41" t="s">
        <v>414</v>
      </c>
      <c r="J410" s="42">
        <v>0.9430439814814815</v>
      </c>
      <c r="K410" t="s">
        <v>58</v>
      </c>
      <c r="L410" s="43"/>
    </row>
    <row r="411" spans="1:12" x14ac:dyDescent="0.25">
      <c r="A411">
        <v>1</v>
      </c>
      <c r="B411">
        <v>4384030</v>
      </c>
      <c r="C411" t="s">
        <v>21</v>
      </c>
      <c r="D411" t="s">
        <v>21</v>
      </c>
      <c r="E411">
        <v>0</v>
      </c>
      <c r="F411" t="s">
        <v>62</v>
      </c>
      <c r="G411" s="41" t="s">
        <v>414</v>
      </c>
      <c r="H411" s="42">
        <v>0.94305555555555554</v>
      </c>
      <c r="I411" s="41" t="s">
        <v>414</v>
      </c>
      <c r="J411" s="42">
        <v>0.94313657407407403</v>
      </c>
      <c r="K411" t="s">
        <v>58</v>
      </c>
      <c r="L411" s="43"/>
    </row>
    <row r="412" spans="1:12" x14ac:dyDescent="0.25">
      <c r="A412">
        <v>1</v>
      </c>
      <c r="B412">
        <v>4384124</v>
      </c>
      <c r="C412" t="s">
        <v>21</v>
      </c>
      <c r="D412" t="s">
        <v>541</v>
      </c>
      <c r="E412">
        <v>0</v>
      </c>
      <c r="F412" t="s">
        <v>62</v>
      </c>
      <c r="G412" s="41" t="s">
        <v>477</v>
      </c>
      <c r="H412" s="42">
        <v>0.44594907407407408</v>
      </c>
      <c r="I412" s="41" t="s">
        <v>477</v>
      </c>
      <c r="J412" s="42">
        <v>0.44603009259259258</v>
      </c>
      <c r="K412" t="s">
        <v>58</v>
      </c>
      <c r="L412" s="43"/>
    </row>
    <row r="413" spans="1:12" x14ac:dyDescent="0.25">
      <c r="A413">
        <v>1</v>
      </c>
      <c r="B413">
        <v>4384157</v>
      </c>
      <c r="C413" t="s">
        <v>17</v>
      </c>
      <c r="D413" t="s">
        <v>397</v>
      </c>
      <c r="E413">
        <v>0</v>
      </c>
      <c r="F413" t="s">
        <v>62</v>
      </c>
      <c r="G413" s="41" t="s">
        <v>477</v>
      </c>
      <c r="H413" s="42">
        <v>0.40578703703703706</v>
      </c>
      <c r="I413" s="41" t="s">
        <v>477</v>
      </c>
      <c r="J413" s="42">
        <v>0.40590277777777778</v>
      </c>
      <c r="K413" t="s">
        <v>58</v>
      </c>
      <c r="L413" s="43"/>
    </row>
    <row r="414" spans="1:12" x14ac:dyDescent="0.25">
      <c r="A414">
        <v>1</v>
      </c>
      <c r="B414">
        <v>4384161</v>
      </c>
      <c r="C414" t="s">
        <v>20</v>
      </c>
      <c r="D414" t="s">
        <v>20</v>
      </c>
      <c r="E414">
        <v>0</v>
      </c>
      <c r="F414" t="s">
        <v>62</v>
      </c>
      <c r="G414" s="41" t="s">
        <v>477</v>
      </c>
      <c r="H414" s="42">
        <v>0.41539351851851852</v>
      </c>
      <c r="I414" s="41" t="s">
        <v>477</v>
      </c>
      <c r="J414" s="42">
        <v>0.41546296296296298</v>
      </c>
      <c r="K414" t="s">
        <v>58</v>
      </c>
      <c r="L414" s="43"/>
    </row>
    <row r="415" spans="1:12" x14ac:dyDescent="0.25">
      <c r="A415">
        <v>1</v>
      </c>
      <c r="B415">
        <v>4384162</v>
      </c>
      <c r="C415" t="s">
        <v>20</v>
      </c>
      <c r="D415" t="s">
        <v>20</v>
      </c>
      <c r="E415">
        <v>0</v>
      </c>
      <c r="F415" t="s">
        <v>62</v>
      </c>
      <c r="G415" s="41" t="s">
        <v>477</v>
      </c>
      <c r="H415" s="42">
        <v>0.41550925925925924</v>
      </c>
      <c r="I415" s="41" t="s">
        <v>477</v>
      </c>
      <c r="J415" s="42">
        <v>0.41554398148148147</v>
      </c>
      <c r="K415" t="s">
        <v>58</v>
      </c>
      <c r="L415" s="43"/>
    </row>
    <row r="416" spans="1:12" x14ac:dyDescent="0.25">
      <c r="A416">
        <v>1</v>
      </c>
      <c r="B416">
        <v>4384163</v>
      </c>
      <c r="C416" t="s">
        <v>20</v>
      </c>
      <c r="D416" t="s">
        <v>20</v>
      </c>
      <c r="E416">
        <v>0</v>
      </c>
      <c r="F416" t="s">
        <v>62</v>
      </c>
      <c r="G416" s="41" t="s">
        <v>477</v>
      </c>
      <c r="H416" s="42">
        <v>0.41550925925925924</v>
      </c>
      <c r="I416" s="41" t="s">
        <v>477</v>
      </c>
      <c r="J416" s="42">
        <v>0.41560185185185183</v>
      </c>
      <c r="K416" t="s">
        <v>58</v>
      </c>
      <c r="L416" s="43"/>
    </row>
    <row r="417" spans="1:12" x14ac:dyDescent="0.25">
      <c r="A417">
        <v>1</v>
      </c>
      <c r="B417">
        <v>4384164</v>
      </c>
      <c r="C417" t="s">
        <v>20</v>
      </c>
      <c r="D417" t="s">
        <v>20</v>
      </c>
      <c r="E417">
        <v>0</v>
      </c>
      <c r="F417" t="s">
        <v>62</v>
      </c>
      <c r="G417" s="41" t="s">
        <v>477</v>
      </c>
      <c r="H417" s="42">
        <v>0.41562500000000002</v>
      </c>
      <c r="I417" s="41" t="s">
        <v>477</v>
      </c>
      <c r="J417" s="42">
        <v>0.41565972222222225</v>
      </c>
      <c r="K417" t="s">
        <v>58</v>
      </c>
      <c r="L417" s="43"/>
    </row>
    <row r="418" spans="1:12" x14ac:dyDescent="0.25">
      <c r="A418">
        <v>1</v>
      </c>
      <c r="B418">
        <v>4384165</v>
      </c>
      <c r="C418" t="s">
        <v>20</v>
      </c>
      <c r="D418" t="s">
        <v>20</v>
      </c>
      <c r="E418">
        <v>0</v>
      </c>
      <c r="F418" t="s">
        <v>62</v>
      </c>
      <c r="G418" s="41" t="s">
        <v>477</v>
      </c>
      <c r="H418" s="42">
        <v>0.41562500000000002</v>
      </c>
      <c r="I418" s="41" t="s">
        <v>477</v>
      </c>
      <c r="J418" s="42">
        <v>0.41570601851851852</v>
      </c>
      <c r="K418" t="s">
        <v>58</v>
      </c>
      <c r="L418" s="43"/>
    </row>
    <row r="419" spans="1:12" x14ac:dyDescent="0.25">
      <c r="A419">
        <v>1</v>
      </c>
      <c r="B419">
        <v>4384166</v>
      </c>
      <c r="C419" t="s">
        <v>20</v>
      </c>
      <c r="D419" t="s">
        <v>20</v>
      </c>
      <c r="E419">
        <v>0</v>
      </c>
      <c r="F419" t="s">
        <v>62</v>
      </c>
      <c r="G419" s="41" t="s">
        <v>477</v>
      </c>
      <c r="H419" s="42">
        <v>0.41574074074074074</v>
      </c>
      <c r="I419" s="41" t="s">
        <v>477</v>
      </c>
      <c r="J419" s="42">
        <v>0.41576388888888888</v>
      </c>
      <c r="K419" t="s">
        <v>58</v>
      </c>
      <c r="L419" s="4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ados"/>
  <dimension ref="A1:O17"/>
  <sheetViews>
    <sheetView showGridLines="0" tabSelected="1" workbookViewId="0">
      <selection activeCell="D2" sqref="D2"/>
    </sheetView>
  </sheetViews>
  <sheetFormatPr defaultRowHeight="15" x14ac:dyDescent="0.25"/>
  <cols>
    <col min="1" max="1" width="10.42578125" bestFit="1" customWidth="1"/>
    <col min="2" max="2" width="26.28515625" bestFit="1" customWidth="1"/>
    <col min="4" max="4" width="11" bestFit="1" customWidth="1"/>
    <col min="5" max="5" width="12.28515625" bestFit="1" customWidth="1"/>
    <col min="8" max="8" width="10" customWidth="1"/>
    <col min="9" max="9" width="20.140625" bestFit="1" customWidth="1"/>
    <col min="10" max="10" width="21.5703125" customWidth="1"/>
    <col min="11" max="11" width="66.42578125" bestFit="1" customWidth="1"/>
    <col min="12" max="12" width="23.5703125" bestFit="1" customWidth="1"/>
    <col min="14" max="14" width="33.85546875" bestFit="1" customWidth="1"/>
  </cols>
  <sheetData>
    <row r="1" spans="1:15" x14ac:dyDescent="0.25">
      <c r="A1" s="3" t="s">
        <v>43</v>
      </c>
      <c r="B1" s="3" t="s">
        <v>65</v>
      </c>
      <c r="D1" s="5" t="s">
        <v>27</v>
      </c>
      <c r="E1" s="5" t="s">
        <v>14</v>
      </c>
      <c r="F1" s="6"/>
      <c r="H1" s="7" t="s">
        <v>66</v>
      </c>
      <c r="I1" s="7" t="s">
        <v>67</v>
      </c>
      <c r="J1" s="7" t="s">
        <v>68</v>
      </c>
      <c r="K1" s="7" t="s">
        <v>69</v>
      </c>
      <c r="L1" s="7" t="s">
        <v>70</v>
      </c>
      <c r="N1" t="s">
        <v>482</v>
      </c>
      <c r="O1" t="s">
        <v>551</v>
      </c>
    </row>
    <row r="2" spans="1:15" x14ac:dyDescent="0.25">
      <c r="A2" s="4">
        <v>44562</v>
      </c>
      <c r="B2" s="4" t="s">
        <v>71</v>
      </c>
      <c r="D2" s="6" t="s">
        <v>17</v>
      </c>
      <c r="E2" s="6" t="s">
        <v>72</v>
      </c>
      <c r="F2" s="6"/>
      <c r="H2" t="s">
        <v>38</v>
      </c>
      <c r="I2" t="s">
        <v>73</v>
      </c>
      <c r="J2" t="s">
        <v>74</v>
      </c>
      <c r="K2" t="s">
        <v>75</v>
      </c>
      <c r="L2" t="s">
        <v>76</v>
      </c>
    </row>
    <row r="3" spans="1:15" x14ac:dyDescent="0.25">
      <c r="A3" s="4">
        <v>44620</v>
      </c>
      <c r="B3" s="4" t="s">
        <v>77</v>
      </c>
      <c r="D3" s="6" t="s">
        <v>18</v>
      </c>
      <c r="E3" s="6" t="s">
        <v>78</v>
      </c>
      <c r="F3" s="6"/>
      <c r="H3" t="s">
        <v>79</v>
      </c>
      <c r="I3" t="s">
        <v>80</v>
      </c>
      <c r="J3" t="s">
        <v>81</v>
      </c>
      <c r="K3" t="s">
        <v>82</v>
      </c>
      <c r="L3" t="s">
        <v>83</v>
      </c>
    </row>
    <row r="4" spans="1:15" x14ac:dyDescent="0.25">
      <c r="A4" s="4">
        <v>45380</v>
      </c>
      <c r="B4" s="4" t="s">
        <v>84</v>
      </c>
      <c r="D4" s="6" t="s">
        <v>20</v>
      </c>
      <c r="E4" s="6" t="s">
        <v>85</v>
      </c>
      <c r="F4" s="6"/>
      <c r="H4" t="s">
        <v>86</v>
      </c>
      <c r="I4" t="s">
        <v>87</v>
      </c>
      <c r="J4" t="s">
        <v>88</v>
      </c>
      <c r="K4" t="s">
        <v>89</v>
      </c>
      <c r="L4" t="s">
        <v>90</v>
      </c>
    </row>
    <row r="5" spans="1:15" x14ac:dyDescent="0.25">
      <c r="A5" s="4">
        <v>44672</v>
      </c>
      <c r="B5" s="4" t="s">
        <v>91</v>
      </c>
      <c r="D5" s="6" t="s">
        <v>92</v>
      </c>
      <c r="E5" s="6" t="s">
        <v>93</v>
      </c>
      <c r="F5" s="6"/>
      <c r="H5" t="s">
        <v>94</v>
      </c>
      <c r="I5" t="s">
        <v>95</v>
      </c>
      <c r="J5" t="s">
        <v>81</v>
      </c>
      <c r="K5" t="s">
        <v>96</v>
      </c>
      <c r="L5" t="s">
        <v>83</v>
      </c>
    </row>
    <row r="6" spans="1:15" x14ac:dyDescent="0.25">
      <c r="A6" s="4">
        <v>44682</v>
      </c>
      <c r="B6" s="4" t="s">
        <v>97</v>
      </c>
      <c r="D6" s="6">
        <v>1196</v>
      </c>
      <c r="E6" s="6" t="s">
        <v>98</v>
      </c>
      <c r="F6" s="6"/>
      <c r="H6" t="s">
        <v>99</v>
      </c>
      <c r="I6" t="s">
        <v>80</v>
      </c>
      <c r="J6" t="s">
        <v>81</v>
      </c>
      <c r="K6" t="s">
        <v>100</v>
      </c>
      <c r="L6" t="s">
        <v>83</v>
      </c>
    </row>
    <row r="7" spans="1:15" x14ac:dyDescent="0.25">
      <c r="A7" s="4">
        <v>44728</v>
      </c>
      <c r="B7" s="4" t="s">
        <v>101</v>
      </c>
      <c r="D7" s="6" t="s">
        <v>102</v>
      </c>
      <c r="E7" s="6" t="s">
        <v>103</v>
      </c>
      <c r="F7" s="6"/>
      <c r="H7" t="s">
        <v>104</v>
      </c>
      <c r="I7" t="s">
        <v>105</v>
      </c>
      <c r="J7" t="s">
        <v>88</v>
      </c>
      <c r="K7" t="s">
        <v>106</v>
      </c>
      <c r="L7" t="s">
        <v>90</v>
      </c>
    </row>
    <row r="8" spans="1:15" x14ac:dyDescent="0.25">
      <c r="A8" s="4">
        <v>44811</v>
      </c>
      <c r="B8" s="4" t="s">
        <v>107</v>
      </c>
      <c r="D8" s="6" t="s">
        <v>21</v>
      </c>
      <c r="E8" s="6" t="s">
        <v>108</v>
      </c>
      <c r="F8" s="6"/>
      <c r="H8" t="s">
        <v>109</v>
      </c>
      <c r="I8" t="s">
        <v>110</v>
      </c>
      <c r="J8" t="s">
        <v>74</v>
      </c>
      <c r="K8" t="s">
        <v>111</v>
      </c>
      <c r="L8" t="s">
        <v>76</v>
      </c>
    </row>
    <row r="9" spans="1:15" x14ac:dyDescent="0.25">
      <c r="A9" s="4">
        <v>44846</v>
      </c>
      <c r="B9" s="4" t="s">
        <v>112</v>
      </c>
      <c r="H9" t="s">
        <v>113</v>
      </c>
      <c r="I9" t="s">
        <v>114</v>
      </c>
      <c r="J9" t="s">
        <v>74</v>
      </c>
      <c r="K9" t="s">
        <v>115</v>
      </c>
      <c r="L9" t="s">
        <v>76</v>
      </c>
    </row>
    <row r="10" spans="1:15" x14ac:dyDescent="0.25">
      <c r="A10" s="4">
        <v>44867</v>
      </c>
      <c r="B10" s="4" t="s">
        <v>116</v>
      </c>
      <c r="F10" s="12"/>
      <c r="G10" s="12"/>
      <c r="H10" t="s">
        <v>117</v>
      </c>
      <c r="I10" t="s">
        <v>118</v>
      </c>
      <c r="J10" t="s">
        <v>88</v>
      </c>
      <c r="K10" t="s">
        <v>119</v>
      </c>
      <c r="L10" t="s">
        <v>90</v>
      </c>
    </row>
    <row r="11" spans="1:15" x14ac:dyDescent="0.25">
      <c r="A11" s="4">
        <v>44880</v>
      </c>
      <c r="B11" s="4" t="s">
        <v>120</v>
      </c>
      <c r="F11" s="12"/>
      <c r="G11" s="12"/>
      <c r="H11" t="s">
        <v>121</v>
      </c>
      <c r="I11" t="s">
        <v>122</v>
      </c>
      <c r="J11" t="s">
        <v>81</v>
      </c>
      <c r="K11" t="s">
        <v>123</v>
      </c>
      <c r="L11" t="s">
        <v>83</v>
      </c>
    </row>
    <row r="12" spans="1:15" x14ac:dyDescent="0.25">
      <c r="A12" s="4">
        <v>44920</v>
      </c>
      <c r="B12" s="4" t="s">
        <v>124</v>
      </c>
      <c r="F12" s="12"/>
      <c r="G12" s="12"/>
      <c r="H12" t="s">
        <v>125</v>
      </c>
      <c r="I12" t="s">
        <v>126</v>
      </c>
      <c r="J12" t="s">
        <v>81</v>
      </c>
      <c r="K12" t="s">
        <v>127</v>
      </c>
      <c r="L12" t="s">
        <v>83</v>
      </c>
    </row>
    <row r="13" spans="1:15" x14ac:dyDescent="0.25">
      <c r="F13" s="12"/>
      <c r="G13" s="12"/>
      <c r="H13" t="s">
        <v>128</v>
      </c>
      <c r="I13" t="s">
        <v>122</v>
      </c>
      <c r="J13" t="s">
        <v>81</v>
      </c>
      <c r="K13" t="s">
        <v>129</v>
      </c>
      <c r="L13" t="s">
        <v>83</v>
      </c>
    </row>
    <row r="14" spans="1:15" x14ac:dyDescent="0.25">
      <c r="F14" s="12"/>
      <c r="G14" s="12"/>
      <c r="H14" t="s">
        <v>130</v>
      </c>
      <c r="I14" t="s">
        <v>131</v>
      </c>
      <c r="J14" t="s">
        <v>88</v>
      </c>
      <c r="K14" t="s">
        <v>132</v>
      </c>
      <c r="L14" t="s">
        <v>90</v>
      </c>
    </row>
    <row r="15" spans="1:15" x14ac:dyDescent="0.25">
      <c r="A15" t="s">
        <v>133</v>
      </c>
      <c r="F15" s="12"/>
      <c r="G15" s="12"/>
    </row>
    <row r="16" spans="1:15" x14ac:dyDescent="0.25">
      <c r="A16" s="14">
        <v>0.66666666666666663</v>
      </c>
      <c r="F16" s="12"/>
      <c r="G16" s="12"/>
    </row>
    <row r="17" spans="1:1" x14ac:dyDescent="0.25">
      <c r="A17" s="14">
        <v>0.33333333333333331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Rel1"/>
  <dimension ref="A1:AS784"/>
  <sheetViews>
    <sheetView showGridLines="0" topLeftCell="A1048537" zoomScale="77" zoomScaleNormal="77" workbookViewId="0">
      <selection activeCell="A1048576" sqref="A1048576"/>
    </sheetView>
  </sheetViews>
  <sheetFormatPr defaultColWidth="6.7109375" defaultRowHeight="12.75" x14ac:dyDescent="0.2"/>
  <cols>
    <col min="1" max="1" width="13.28515625" style="3" bestFit="1" customWidth="1"/>
    <col min="2" max="3" width="8.85546875" style="3" customWidth="1"/>
    <col min="4" max="7" width="6.7109375" style="3"/>
    <col min="8" max="8" width="16.140625" style="3" bestFit="1" customWidth="1"/>
    <col min="9" max="9" width="23.42578125" style="3" bestFit="1" customWidth="1"/>
    <col min="10" max="10" width="22.42578125" style="3" bestFit="1" customWidth="1"/>
    <col min="11" max="12" width="4.42578125" style="3" customWidth="1"/>
    <col min="13" max="13" width="15.85546875" style="3" bestFit="1" customWidth="1"/>
    <col min="14" max="14" width="10" style="3" bestFit="1" customWidth="1"/>
    <col min="15" max="15" width="6.7109375" style="3" bestFit="1" customWidth="1"/>
    <col min="16" max="16" width="7" style="3" bestFit="1" customWidth="1"/>
    <col min="17" max="17" width="10" style="3" bestFit="1" customWidth="1"/>
    <col min="18" max="18" width="11.42578125" style="3" bestFit="1" customWidth="1"/>
    <col min="19" max="19" width="10.85546875" style="3" bestFit="1" customWidth="1"/>
    <col min="20" max="24" width="10.140625" style="3" customWidth="1"/>
    <col min="25" max="25" width="6.7109375" style="3"/>
    <col min="26" max="26" width="30.140625" style="3" bestFit="1" customWidth="1"/>
    <col min="27" max="27" width="21.140625" style="3" bestFit="1" customWidth="1"/>
    <col min="28" max="28" width="22.42578125" style="3" bestFit="1" customWidth="1"/>
    <col min="29" max="29" width="30.140625" style="3" bestFit="1" customWidth="1"/>
    <col min="30" max="30" width="5.5703125" style="3" bestFit="1" customWidth="1"/>
    <col min="31" max="31" width="5.42578125" style="3" bestFit="1" customWidth="1"/>
    <col min="32" max="35" width="6.7109375" style="3"/>
    <col min="36" max="36" width="3.5703125" style="3" bestFit="1" customWidth="1"/>
    <col min="37" max="37" width="17.85546875" style="3" bestFit="1" customWidth="1"/>
    <col min="38" max="38" width="18.85546875" style="3" bestFit="1" customWidth="1"/>
    <col min="39" max="39" width="6.7109375" style="3"/>
    <col min="40" max="40" width="15.85546875" style="3" bestFit="1" customWidth="1"/>
    <col min="41" max="41" width="7.42578125" style="3" bestFit="1" customWidth="1"/>
    <col min="42" max="42" width="8.5703125" style="3" bestFit="1" customWidth="1"/>
    <col min="43" max="43" width="4.5703125" style="3" bestFit="1" customWidth="1"/>
    <col min="44" max="44" width="17.85546875" style="3" bestFit="1" customWidth="1"/>
    <col min="45" max="45" width="18.85546875" style="3" bestFit="1" customWidth="1"/>
    <col min="46" max="16384" width="6.7109375" style="3"/>
  </cols>
  <sheetData>
    <row r="1" spans="8:45" ht="15" x14ac:dyDescent="0.25">
      <c r="Z1"/>
      <c r="AA1"/>
      <c r="AB1"/>
      <c r="AC1"/>
      <c r="AD1"/>
      <c r="AE1"/>
      <c r="AF1"/>
      <c r="AG1"/>
      <c r="AK1"/>
      <c r="AL1"/>
      <c r="AO1"/>
      <c r="AP1"/>
      <c r="AQ1"/>
    </row>
    <row r="2" spans="8:45" ht="15" x14ac:dyDescent="0.25">
      <c r="M2" s="8"/>
      <c r="N2" s="8" t="s">
        <v>134</v>
      </c>
      <c r="O2" s="8" t="s">
        <v>135</v>
      </c>
      <c r="P2" s="8" t="s">
        <v>136</v>
      </c>
      <c r="Q2" s="8" t="s">
        <v>137</v>
      </c>
      <c r="R2" s="8" t="s">
        <v>138</v>
      </c>
      <c r="S2" s="3" t="s">
        <v>139</v>
      </c>
      <c r="Z2"/>
      <c r="AA2"/>
      <c r="AB2"/>
      <c r="AO2" s="2" t="s">
        <v>140</v>
      </c>
      <c r="AP2" t="s">
        <v>136</v>
      </c>
      <c r="AQ2"/>
    </row>
    <row r="3" spans="8:45" ht="15" x14ac:dyDescent="0.25">
      <c r="H3" s="9" t="s">
        <v>141</v>
      </c>
      <c r="I3"/>
      <c r="M3" s="8" t="s">
        <v>142</v>
      </c>
      <c r="N3" s="8">
        <f>IFERROR(VLOOKUP(M3,$H$4:$I$7,2,FALSE),0)</f>
        <v>0</v>
      </c>
      <c r="O3" s="8">
        <v>96</v>
      </c>
      <c r="P3" s="19">
        <f>IFERROR(N3/O3,0%)</f>
        <v>0</v>
      </c>
      <c r="Q3" s="8">
        <f>IF(N3&gt;=O3,N3,0)</f>
        <v>0</v>
      </c>
      <c r="R3" s="8">
        <f>IF(OR($N3="",$N3=0,$N3&lt;=$O3),0,$N3-$O3)</f>
        <v>0</v>
      </c>
      <c r="S3" s="3">
        <f>IF(OR($N3="",$N3=0,$N3&gt;$O3),0,$O3-$N3)</f>
        <v>0</v>
      </c>
      <c r="Z3" s="9" t="s">
        <v>141</v>
      </c>
      <c r="AA3" s="3" t="s">
        <v>143</v>
      </c>
      <c r="AB3"/>
      <c r="AD3" s="3" t="s">
        <v>144</v>
      </c>
      <c r="AK3" s="16" t="s">
        <v>141</v>
      </c>
      <c r="AL3" t="s">
        <v>145</v>
      </c>
      <c r="AM3"/>
      <c r="AN3" s="3" t="s">
        <v>142</v>
      </c>
      <c r="AO3" s="20">
        <f>IFERROR(VLOOKUP(AN3,$AK$4:$AL$7,2,FALSE),0)</f>
        <v>341</v>
      </c>
      <c r="AP3" s="21">
        <f>IFERROR(AO3/$AO$5,0%)</f>
        <v>0.17118473895582328</v>
      </c>
      <c r="AQ3"/>
    </row>
    <row r="4" spans="8:45" ht="15" x14ac:dyDescent="0.25">
      <c r="H4" s="10" t="s">
        <v>142</v>
      </c>
      <c r="I4"/>
      <c r="M4" s="8" t="s">
        <v>146</v>
      </c>
      <c r="N4" s="8">
        <f>IFERROR(VLOOKUP(M4,$H$4:$I$7,2,FALSE),0)</f>
        <v>0</v>
      </c>
      <c r="O4" s="8">
        <v>179</v>
      </c>
      <c r="P4" s="19">
        <f>IFERROR(N4/O4,0%)</f>
        <v>0</v>
      </c>
      <c r="Q4" s="8">
        <f>IF(N4&gt;=O4,N4,0)</f>
        <v>0</v>
      </c>
      <c r="R4" s="8">
        <f t="shared" ref="R4:R5" si="0">IF(OR($N4="",$N4=0,$N4&lt;=$O4),0,$N4-$O4)</f>
        <v>0</v>
      </c>
      <c r="S4" s="3">
        <f t="shared" ref="S4:S5" si="1">IF(OR($N4="",$N4=0,$N4&gt;$O4),0,$O4-$N4)</f>
        <v>0</v>
      </c>
      <c r="Z4" s="10" t="s">
        <v>147</v>
      </c>
      <c r="AA4" s="13">
        <v>39</v>
      </c>
      <c r="AB4"/>
      <c r="AC4" s="3" t="s">
        <v>148</v>
      </c>
      <c r="AD4" s="3">
        <f>IFERROR(VLOOKUP(AC4,$Z$4:$AA$7,2,FALSE),0)</f>
        <v>0</v>
      </c>
      <c r="AK4" s="17" t="s">
        <v>142</v>
      </c>
      <c r="AL4" s="43">
        <v>341</v>
      </c>
      <c r="AM4"/>
      <c r="AN4" s="3" t="s">
        <v>146</v>
      </c>
      <c r="AO4" s="20">
        <f t="shared" ref="AO4:AO5" si="2">IFERROR(VLOOKUP(AN4,$AK$4:$AL$7,2,FALSE),0)</f>
        <v>1651</v>
      </c>
      <c r="AP4" s="21">
        <f t="shared" ref="AP4:AP5" si="3">IFERROR(AO4/$AO$5,0%)</f>
        <v>0.82881526104417669</v>
      </c>
      <c r="AQ4"/>
    </row>
    <row r="5" spans="8:45" ht="15" x14ac:dyDescent="0.25">
      <c r="H5" s="10" t="s">
        <v>146</v>
      </c>
      <c r="I5"/>
      <c r="M5" s="8" t="s">
        <v>149</v>
      </c>
      <c r="N5" s="8">
        <f>SUM(N3:N4)</f>
        <v>0</v>
      </c>
      <c r="O5" s="8">
        <f>SUM(O3:O4)</f>
        <v>275</v>
      </c>
      <c r="P5" s="22">
        <f>IFERROR(N5/O5,0%)</f>
        <v>0</v>
      </c>
      <c r="Q5" s="8">
        <f>IF(N5&gt;=O5,N5,0)</f>
        <v>0</v>
      </c>
      <c r="R5" s="8">
        <f t="shared" si="0"/>
        <v>0</v>
      </c>
      <c r="S5" s="3">
        <f t="shared" si="1"/>
        <v>0</v>
      </c>
      <c r="Z5" s="10" t="s">
        <v>150</v>
      </c>
      <c r="AA5" s="13">
        <v>39</v>
      </c>
      <c r="AB5"/>
      <c r="AC5" s="3" t="s">
        <v>147</v>
      </c>
      <c r="AD5" s="3">
        <f t="shared" ref="AD5:AD6" si="4">IFERROR(VLOOKUP(AC5,$Z$4:$AA$7,2,FALSE),0)</f>
        <v>39</v>
      </c>
      <c r="AK5" s="17" t="s">
        <v>146</v>
      </c>
      <c r="AL5" s="43">
        <v>1651</v>
      </c>
      <c r="AM5"/>
      <c r="AN5" s="3" t="s">
        <v>150</v>
      </c>
      <c r="AO5" s="20">
        <f t="shared" si="2"/>
        <v>1992</v>
      </c>
      <c r="AP5" s="21">
        <f t="shared" si="3"/>
        <v>1</v>
      </c>
      <c r="AQ5"/>
    </row>
    <row r="6" spans="8:45" ht="15" x14ac:dyDescent="0.25">
      <c r="H6" s="10" t="s">
        <v>150</v>
      </c>
      <c r="I6"/>
      <c r="Z6"/>
      <c r="AA6"/>
      <c r="AB6"/>
      <c r="AC6" s="3" t="s">
        <v>151</v>
      </c>
      <c r="AD6" s="3">
        <f t="shared" si="4"/>
        <v>0</v>
      </c>
      <c r="AK6" s="17" t="s">
        <v>150</v>
      </c>
      <c r="AL6" s="43">
        <v>1992</v>
      </c>
      <c r="AM6"/>
      <c r="AO6"/>
      <c r="AP6"/>
      <c r="AQ6"/>
    </row>
    <row r="7" spans="8:45" ht="15" x14ac:dyDescent="0.25">
      <c r="M7" s="3" t="s">
        <v>152</v>
      </c>
      <c r="N7" s="3">
        <v>300</v>
      </c>
      <c r="Z7"/>
      <c r="AA7"/>
      <c r="AB7"/>
      <c r="AK7"/>
      <c r="AL7"/>
      <c r="AM7"/>
    </row>
    <row r="8" spans="8:45" ht="15" x14ac:dyDescent="0.25">
      <c r="M8" s="3" t="s">
        <v>153</v>
      </c>
      <c r="N8" s="3">
        <v>300</v>
      </c>
      <c r="Z8"/>
      <c r="AA8"/>
      <c r="AB8"/>
      <c r="AM8"/>
    </row>
    <row r="9" spans="8:45" ht="15" x14ac:dyDescent="0.25">
      <c r="Z9" s="9" t="s">
        <v>15</v>
      </c>
      <c r="AA9" s="3" t="s">
        <v>146</v>
      </c>
      <c r="AB9"/>
      <c r="AK9"/>
      <c r="AL9"/>
      <c r="AM9"/>
      <c r="AR9"/>
      <c r="AS9"/>
    </row>
    <row r="10" spans="8:45" ht="15" x14ac:dyDescent="0.25">
      <c r="AB10"/>
      <c r="AK10" s="16" t="s">
        <v>37</v>
      </c>
      <c r="AL10" t="s">
        <v>142</v>
      </c>
      <c r="AM10"/>
      <c r="AR10" s="16" t="s">
        <v>37</v>
      </c>
      <c r="AS10" t="s">
        <v>146</v>
      </c>
    </row>
    <row r="11" spans="8:45" ht="15" x14ac:dyDescent="0.25">
      <c r="N11" s="3" t="s">
        <v>144</v>
      </c>
      <c r="O11" s="3" t="s">
        <v>146</v>
      </c>
      <c r="Z11" s="9" t="s">
        <v>141</v>
      </c>
      <c r="AA11" s="3" t="s">
        <v>143</v>
      </c>
      <c r="AB11"/>
      <c r="AM11"/>
    </row>
    <row r="12" spans="8:45" ht="15" x14ac:dyDescent="0.25">
      <c r="M12" s="3" t="s">
        <v>136</v>
      </c>
      <c r="N12" s="3">
        <f>N3</f>
        <v>0</v>
      </c>
      <c r="O12" s="3">
        <f>N4</f>
        <v>0</v>
      </c>
      <c r="Z12" s="10" t="s">
        <v>154</v>
      </c>
      <c r="AA12" s="46">
        <v>118</v>
      </c>
      <c r="AB12"/>
      <c r="AD12" s="3" t="s">
        <v>144</v>
      </c>
      <c r="AE12" s="3" t="s">
        <v>146</v>
      </c>
      <c r="AK12" s="16" t="s">
        <v>141</v>
      </c>
      <c r="AL12" t="s">
        <v>145</v>
      </c>
      <c r="AM12"/>
      <c r="AR12" s="16" t="s">
        <v>141</v>
      </c>
      <c r="AS12" t="s">
        <v>145</v>
      </c>
    </row>
    <row r="13" spans="8:45" ht="15" x14ac:dyDescent="0.25">
      <c r="H13" s="9" t="s">
        <v>141</v>
      </c>
      <c r="I13"/>
      <c r="J13"/>
      <c r="M13" s="3" t="s">
        <v>155</v>
      </c>
      <c r="N13" s="3">
        <f>0.8%*N8</f>
        <v>2.4</v>
      </c>
      <c r="O13" s="3">
        <f>0.8%*N8</f>
        <v>2.4</v>
      </c>
      <c r="Z13" s="10" t="s">
        <v>158</v>
      </c>
      <c r="AA13" s="46">
        <v>176</v>
      </c>
      <c r="AB13"/>
      <c r="AC13" s="3" t="s">
        <v>154</v>
      </c>
      <c r="AD13" s="3">
        <f>IFERROR(VLOOKUP(AC13,$Z$22:$AA$27,2,FALSE),0)</f>
        <v>64</v>
      </c>
      <c r="AE13" s="3">
        <f>IFERROR(VLOOKUP(AC13,$Z$12:$AA$17,2,FALSE),0)</f>
        <v>118</v>
      </c>
      <c r="AK13" s="17" t="s">
        <v>397</v>
      </c>
      <c r="AL13" s="18">
        <v>1</v>
      </c>
      <c r="AM13"/>
      <c r="AR13" s="17" t="s">
        <v>496</v>
      </c>
      <c r="AS13" s="18">
        <v>1</v>
      </c>
    </row>
    <row r="14" spans="8:45" ht="15" x14ac:dyDescent="0.25">
      <c r="H14" s="10" t="s">
        <v>489</v>
      </c>
      <c r="I14"/>
      <c r="J14"/>
      <c r="M14" s="3" t="s">
        <v>157</v>
      </c>
      <c r="N14" s="3">
        <f>SUM($N$7:$N$8)-N12-N13</f>
        <v>597.6</v>
      </c>
      <c r="O14" s="3">
        <f>SUM($N$7:$N$9)-O12-O13</f>
        <v>597.6</v>
      </c>
      <c r="Z14" s="10" t="s">
        <v>156</v>
      </c>
      <c r="AA14" s="46">
        <v>136</v>
      </c>
      <c r="AB14"/>
      <c r="AC14" s="3" t="s">
        <v>158</v>
      </c>
      <c r="AD14" s="3">
        <f t="shared" ref="AD14:AD15" si="5">IFERROR(VLOOKUP(AC14,$Z$22:$AA$27,2,FALSE),0)</f>
        <v>0</v>
      </c>
      <c r="AE14" s="3">
        <f t="shared" ref="AE14:AE15" si="6">IFERROR(VLOOKUP(AC14,$Z$12:$AA$17,2,FALSE),0)</f>
        <v>176</v>
      </c>
      <c r="AK14" s="17" t="s">
        <v>412</v>
      </c>
      <c r="AL14" s="18">
        <v>1</v>
      </c>
      <c r="AM14"/>
      <c r="AR14" s="17" t="s">
        <v>18</v>
      </c>
      <c r="AS14" s="18">
        <v>5</v>
      </c>
    </row>
    <row r="15" spans="8:45" ht="15" x14ac:dyDescent="0.25">
      <c r="H15" s="10" t="s">
        <v>183</v>
      </c>
      <c r="I15"/>
      <c r="J15"/>
      <c r="M15" s="3" t="s">
        <v>135</v>
      </c>
      <c r="N15" s="3">
        <v>96</v>
      </c>
      <c r="O15" s="3">
        <v>179</v>
      </c>
      <c r="Z15" s="10" t="s">
        <v>150</v>
      </c>
      <c r="AA15" s="46">
        <v>430</v>
      </c>
      <c r="AB15"/>
      <c r="AC15" s="3" t="s">
        <v>156</v>
      </c>
      <c r="AD15" s="3">
        <f t="shared" si="5"/>
        <v>171</v>
      </c>
      <c r="AE15" s="3">
        <f t="shared" si="6"/>
        <v>136</v>
      </c>
      <c r="AK15" s="17" t="s">
        <v>419</v>
      </c>
      <c r="AL15" s="18">
        <v>5</v>
      </c>
      <c r="AM15"/>
      <c r="AR15" s="17" t="s">
        <v>541</v>
      </c>
      <c r="AS15" s="18">
        <v>8</v>
      </c>
    </row>
    <row r="16" spans="8:45" ht="15" x14ac:dyDescent="0.25">
      <c r="H16" s="10" t="s">
        <v>495</v>
      </c>
      <c r="I16"/>
      <c r="J16"/>
      <c r="M16" s="3" t="s">
        <v>155</v>
      </c>
      <c r="N16" s="3">
        <f>2%*N8</f>
        <v>6</v>
      </c>
      <c r="O16" s="3">
        <f>2%*N8</f>
        <v>6</v>
      </c>
      <c r="Z16" s="10"/>
      <c r="AB16"/>
      <c r="AK16" s="17" t="s">
        <v>19</v>
      </c>
      <c r="AL16" s="18">
        <v>9</v>
      </c>
      <c r="AM16"/>
      <c r="AR16" s="17" t="s">
        <v>182</v>
      </c>
      <c r="AS16" s="18">
        <v>43</v>
      </c>
    </row>
    <row r="17" spans="8:45" ht="15" x14ac:dyDescent="0.25">
      <c r="H17" s="10" t="s">
        <v>538</v>
      </c>
      <c r="I17"/>
      <c r="J17"/>
      <c r="M17" s="3" t="s">
        <v>157</v>
      </c>
      <c r="N17" s="3">
        <f>SUM($N$7:$N$8)-N15-N16</f>
        <v>498</v>
      </c>
      <c r="O17" s="3">
        <f>SUM($N$7:$N$9)-O15-O16</f>
        <v>415</v>
      </c>
      <c r="Z17" s="10"/>
      <c r="AB17"/>
      <c r="AK17" s="17" t="s">
        <v>309</v>
      </c>
      <c r="AL17" s="18">
        <v>25</v>
      </c>
      <c r="AM17"/>
      <c r="AR17" s="17" t="s">
        <v>19</v>
      </c>
      <c r="AS17" s="18">
        <v>754</v>
      </c>
    </row>
    <row r="18" spans="8:45" ht="15" x14ac:dyDescent="0.25">
      <c r="H18" s="10" t="s">
        <v>150</v>
      </c>
      <c r="I18"/>
      <c r="J18"/>
      <c r="Z18"/>
      <c r="AA18"/>
      <c r="AB18"/>
      <c r="AK18" s="17" t="s">
        <v>20</v>
      </c>
      <c r="AL18" s="18">
        <v>34</v>
      </c>
      <c r="AM18"/>
      <c r="AR18" s="17" t="s">
        <v>21</v>
      </c>
      <c r="AS18" s="18">
        <v>840</v>
      </c>
    </row>
    <row r="19" spans="8:45" ht="15" x14ac:dyDescent="0.25">
      <c r="H19"/>
      <c r="I19"/>
      <c r="J19"/>
      <c r="Z19" s="9" t="s">
        <v>15</v>
      </c>
      <c r="AA19" s="3" t="s">
        <v>142</v>
      </c>
      <c r="AB19"/>
      <c r="AK19" s="17" t="s">
        <v>314</v>
      </c>
      <c r="AL19" s="18">
        <v>42</v>
      </c>
      <c r="AM19"/>
      <c r="AR19" s="17" t="s">
        <v>150</v>
      </c>
      <c r="AS19" s="18">
        <v>1651</v>
      </c>
    </row>
    <row r="20" spans="8:45" ht="15" x14ac:dyDescent="0.25">
      <c r="H20"/>
      <c r="I20"/>
      <c r="J20"/>
      <c r="Z20"/>
      <c r="AA20"/>
      <c r="AB20"/>
      <c r="AK20" s="17" t="s">
        <v>17</v>
      </c>
      <c r="AL20" s="18">
        <v>224</v>
      </c>
      <c r="AM20"/>
      <c r="AR20"/>
      <c r="AS20"/>
    </row>
    <row r="21" spans="8:45" ht="15" x14ac:dyDescent="0.25">
      <c r="H21"/>
      <c r="I21"/>
      <c r="J21"/>
      <c r="Z21" s="9" t="s">
        <v>141</v>
      </c>
      <c r="AA21" s="3" t="s">
        <v>143</v>
      </c>
      <c r="AB21"/>
      <c r="AK21" s="17" t="s">
        <v>150</v>
      </c>
      <c r="AL21" s="18">
        <v>341</v>
      </c>
      <c r="AR21"/>
      <c r="AS21"/>
    </row>
    <row r="22" spans="8:45" ht="15" x14ac:dyDescent="0.25">
      <c r="H22"/>
      <c r="I22"/>
      <c r="J22"/>
      <c r="Z22" s="10" t="s">
        <v>154</v>
      </c>
      <c r="AA22" s="46">
        <v>64</v>
      </c>
      <c r="AB22"/>
      <c r="AK22"/>
      <c r="AL22"/>
      <c r="AR22"/>
      <c r="AS22"/>
    </row>
    <row r="23" spans="8:45" ht="15" x14ac:dyDescent="0.25">
      <c r="H23"/>
      <c r="I23"/>
      <c r="J23"/>
      <c r="Z23" s="10" t="s">
        <v>156</v>
      </c>
      <c r="AA23" s="46">
        <v>171</v>
      </c>
      <c r="AB23"/>
      <c r="AK23"/>
      <c r="AL23"/>
      <c r="AR23"/>
      <c r="AS23"/>
    </row>
    <row r="24" spans="8:45" ht="15" x14ac:dyDescent="0.25">
      <c r="H24"/>
      <c r="I24"/>
      <c r="J24"/>
      <c r="Z24" s="10" t="s">
        <v>150</v>
      </c>
      <c r="AA24" s="46">
        <v>235</v>
      </c>
      <c r="AB24"/>
      <c r="AK24"/>
      <c r="AL24"/>
      <c r="AR24"/>
      <c r="AS24"/>
    </row>
    <row r="25" spans="8:45" ht="15" x14ac:dyDescent="0.25">
      <c r="H25"/>
      <c r="I25"/>
      <c r="J25"/>
      <c r="Z25"/>
      <c r="AA25"/>
      <c r="AK25"/>
      <c r="AL25"/>
      <c r="AR25"/>
      <c r="AS25"/>
    </row>
    <row r="26" spans="8:45" ht="15" x14ac:dyDescent="0.25">
      <c r="H26"/>
      <c r="I26"/>
      <c r="J26"/>
      <c r="Z26"/>
      <c r="AA26"/>
      <c r="AK26"/>
      <c r="AL26"/>
    </row>
    <row r="27" spans="8:45" ht="15" x14ac:dyDescent="0.25">
      <c r="H27"/>
      <c r="I27"/>
      <c r="J27"/>
    </row>
    <row r="28" spans="8:45" ht="15" x14ac:dyDescent="0.25">
      <c r="H28"/>
      <c r="I28"/>
      <c r="J28"/>
      <c r="Z28" s="9" t="s">
        <v>15</v>
      </c>
      <c r="AA28" s="3" t="s">
        <v>142</v>
      </c>
    </row>
    <row r="29" spans="8:45" ht="15" x14ac:dyDescent="0.25">
      <c r="H29"/>
      <c r="I29"/>
      <c r="J29"/>
    </row>
    <row r="30" spans="8:45" ht="15" x14ac:dyDescent="0.25">
      <c r="H30"/>
      <c r="I30"/>
      <c r="J30"/>
      <c r="Z30" s="9" t="s">
        <v>141</v>
      </c>
      <c r="AA30" s="3" t="s">
        <v>143</v>
      </c>
    </row>
    <row r="31" spans="8:45" ht="15" x14ac:dyDescent="0.25">
      <c r="H31"/>
      <c r="I31"/>
      <c r="J31"/>
      <c r="Z31" s="10" t="s">
        <v>61</v>
      </c>
      <c r="AA31" s="46">
        <v>38</v>
      </c>
    </row>
    <row r="32" spans="8:45" ht="15" x14ac:dyDescent="0.25">
      <c r="H32"/>
      <c r="I32"/>
      <c r="J32"/>
      <c r="Z32" s="10" t="s">
        <v>59</v>
      </c>
      <c r="AA32" s="46">
        <v>44</v>
      </c>
    </row>
    <row r="33" spans="8:45" ht="15" x14ac:dyDescent="0.25">
      <c r="H33"/>
      <c r="I33"/>
      <c r="J33"/>
      <c r="Z33" s="10" t="s">
        <v>159</v>
      </c>
      <c r="AA33" s="46">
        <v>16</v>
      </c>
    </row>
    <row r="34" spans="8:45" ht="15" x14ac:dyDescent="0.25">
      <c r="H34"/>
      <c r="I34"/>
      <c r="J34"/>
      <c r="Z34" s="10" t="s">
        <v>64</v>
      </c>
      <c r="AA34" s="46">
        <v>29</v>
      </c>
    </row>
    <row r="35" spans="8:45" ht="15" x14ac:dyDescent="0.25">
      <c r="H35"/>
      <c r="I35"/>
      <c r="J35"/>
      <c r="Z35" s="10" t="s">
        <v>60</v>
      </c>
      <c r="AA35" s="46">
        <v>7</v>
      </c>
      <c r="AK35" s="16" t="s">
        <v>37</v>
      </c>
      <c r="AL35" t="s">
        <v>142</v>
      </c>
      <c r="AR35" s="16" t="s">
        <v>37</v>
      </c>
      <c r="AS35" t="s">
        <v>146</v>
      </c>
    </row>
    <row r="36" spans="8:45" ht="15" x14ac:dyDescent="0.25">
      <c r="H36"/>
      <c r="I36"/>
      <c r="J36"/>
      <c r="Z36" s="10" t="s">
        <v>63</v>
      </c>
      <c r="AA36" s="46">
        <v>56</v>
      </c>
    </row>
    <row r="37" spans="8:45" ht="15" x14ac:dyDescent="0.25">
      <c r="H37"/>
      <c r="I37"/>
      <c r="J37"/>
      <c r="Z37" s="10" t="s">
        <v>162</v>
      </c>
      <c r="AA37" s="46">
        <v>37</v>
      </c>
      <c r="AK37" s="16" t="s">
        <v>141</v>
      </c>
      <c r="AL37" t="s">
        <v>160</v>
      </c>
      <c r="AR37" s="16" t="s">
        <v>141</v>
      </c>
      <c r="AS37" t="s">
        <v>160</v>
      </c>
    </row>
    <row r="38" spans="8:45" ht="15" x14ac:dyDescent="0.25">
      <c r="H38"/>
      <c r="Z38" s="10" t="s">
        <v>62</v>
      </c>
      <c r="AA38" s="46">
        <v>8</v>
      </c>
      <c r="AK38" s="17" t="s">
        <v>38</v>
      </c>
      <c r="AL38" s="18">
        <v>41355</v>
      </c>
      <c r="AR38" s="17" t="s">
        <v>38</v>
      </c>
      <c r="AS38" s="18">
        <v>571614</v>
      </c>
    </row>
    <row r="39" spans="8:45" ht="15" x14ac:dyDescent="0.25">
      <c r="Z39" s="10" t="s">
        <v>150</v>
      </c>
      <c r="AA39" s="46">
        <v>235</v>
      </c>
      <c r="AK39" s="17" t="s">
        <v>150</v>
      </c>
      <c r="AL39" s="18">
        <v>41355</v>
      </c>
      <c r="AR39" s="17" t="s">
        <v>150</v>
      </c>
      <c r="AS39" s="18">
        <v>571614</v>
      </c>
    </row>
    <row r="40" spans="8:45" ht="15" x14ac:dyDescent="0.25">
      <c r="Z40"/>
      <c r="AA40"/>
      <c r="AD40" s="3" t="s">
        <v>144</v>
      </c>
      <c r="AE40" s="3" t="s">
        <v>146</v>
      </c>
      <c r="AK40"/>
      <c r="AL40"/>
      <c r="AR40"/>
      <c r="AS40"/>
    </row>
    <row r="41" spans="8:45" ht="15" x14ac:dyDescent="0.25">
      <c r="Z41"/>
      <c r="AA41"/>
      <c r="AC41" s="3" t="s">
        <v>62</v>
      </c>
      <c r="AD41" s="3">
        <f>IFERROR(VLOOKUP(AC41,$Z$31:$AA$47,2,FALSE),0)</f>
        <v>8</v>
      </c>
      <c r="AE41" s="3">
        <f>IFERROR(VLOOKUP(AC41,$Z$52:$AA$72,2,FALSE),0)</f>
        <v>253</v>
      </c>
      <c r="AK41"/>
      <c r="AL41"/>
    </row>
    <row r="42" spans="8:45" ht="15" x14ac:dyDescent="0.25">
      <c r="Z42"/>
      <c r="AA42"/>
      <c r="AC42" s="3" t="s">
        <v>161</v>
      </c>
      <c r="AD42" s="3">
        <f t="shared" ref="AD42:AD51" si="7">IFERROR(VLOOKUP(AC42,$Z$31:$AA$47,2,FALSE),0)</f>
        <v>0</v>
      </c>
      <c r="AE42" s="3">
        <f t="shared" ref="AE42:AE51" si="8">IFERROR(VLOOKUP(AC42,$Z$52:$AA$72,2,FALSE),0)</f>
        <v>4</v>
      </c>
    </row>
    <row r="43" spans="8:45" x14ac:dyDescent="0.2">
      <c r="AC43" s="3" t="s">
        <v>162</v>
      </c>
      <c r="AD43" s="3">
        <f t="shared" si="7"/>
        <v>37</v>
      </c>
      <c r="AE43" s="3">
        <f t="shared" si="8"/>
        <v>66</v>
      </c>
    </row>
    <row r="44" spans="8:45" x14ac:dyDescent="0.2">
      <c r="AC44" s="3" t="s">
        <v>64</v>
      </c>
      <c r="AD44" s="3">
        <f t="shared" si="7"/>
        <v>29</v>
      </c>
      <c r="AE44" s="3">
        <f t="shared" si="8"/>
        <v>56</v>
      </c>
    </row>
    <row r="45" spans="8:45" x14ac:dyDescent="0.2">
      <c r="AC45" s="3" t="s">
        <v>61</v>
      </c>
      <c r="AD45" s="3">
        <f t="shared" si="7"/>
        <v>38</v>
      </c>
      <c r="AE45" s="3">
        <f t="shared" si="8"/>
        <v>21</v>
      </c>
    </row>
    <row r="46" spans="8:45" x14ac:dyDescent="0.2">
      <c r="AC46" s="3" t="s">
        <v>60</v>
      </c>
      <c r="AD46" s="3">
        <f t="shared" si="7"/>
        <v>7</v>
      </c>
      <c r="AE46" s="3">
        <f t="shared" si="8"/>
        <v>7</v>
      </c>
    </row>
    <row r="47" spans="8:45" x14ac:dyDescent="0.2">
      <c r="AC47" s="3" t="s">
        <v>63</v>
      </c>
      <c r="AD47" s="3">
        <f t="shared" si="7"/>
        <v>56</v>
      </c>
      <c r="AE47" s="3">
        <f t="shared" si="8"/>
        <v>0</v>
      </c>
    </row>
    <row r="48" spans="8:45" x14ac:dyDescent="0.2">
      <c r="AC48" s="3" t="s">
        <v>59</v>
      </c>
      <c r="AD48" s="3">
        <f t="shared" si="7"/>
        <v>44</v>
      </c>
      <c r="AE48" s="3">
        <f t="shared" si="8"/>
        <v>23</v>
      </c>
    </row>
    <row r="49" spans="1:31" x14ac:dyDescent="0.2">
      <c r="Z49" s="9" t="s">
        <v>15</v>
      </c>
      <c r="AA49" s="3" t="s">
        <v>146</v>
      </c>
      <c r="AC49" s="3" t="s">
        <v>159</v>
      </c>
      <c r="AD49" s="3">
        <f t="shared" si="7"/>
        <v>16</v>
      </c>
      <c r="AE49" s="3">
        <f t="shared" si="8"/>
        <v>0</v>
      </c>
    </row>
    <row r="50" spans="1:31" x14ac:dyDescent="0.2">
      <c r="AC50" s="3" t="s">
        <v>57</v>
      </c>
      <c r="AD50" s="3">
        <f t="shared" si="7"/>
        <v>0</v>
      </c>
      <c r="AE50" s="3">
        <f t="shared" si="8"/>
        <v>0</v>
      </c>
    </row>
    <row r="51" spans="1:31" x14ac:dyDescent="0.2">
      <c r="H51" s="9" t="s">
        <v>15</v>
      </c>
      <c r="I51" s="3" t="s">
        <v>142</v>
      </c>
      <c r="Z51" s="9" t="s">
        <v>141</v>
      </c>
      <c r="AA51" s="3" t="s">
        <v>143</v>
      </c>
      <c r="AC51" s="3" t="s">
        <v>150</v>
      </c>
      <c r="AD51" s="3">
        <f t="shared" si="7"/>
        <v>235</v>
      </c>
      <c r="AE51" s="3">
        <f t="shared" si="8"/>
        <v>430</v>
      </c>
    </row>
    <row r="52" spans="1:31" x14ac:dyDescent="0.2">
      <c r="Z52" s="10" t="s">
        <v>61</v>
      </c>
      <c r="AA52" s="46">
        <v>21</v>
      </c>
    </row>
    <row r="53" spans="1:31" ht="15" x14ac:dyDescent="0.25">
      <c r="B53" s="3" t="s">
        <v>144</v>
      </c>
      <c r="C53" s="3" t="s">
        <v>146</v>
      </c>
      <c r="D53" s="3" t="s">
        <v>163</v>
      </c>
      <c r="H53" s="9" t="s">
        <v>141</v>
      </c>
      <c r="I53"/>
      <c r="Z53" s="10" t="s">
        <v>59</v>
      </c>
      <c r="AA53" s="46">
        <v>23</v>
      </c>
    </row>
    <row r="54" spans="1:31" ht="15" x14ac:dyDescent="0.25">
      <c r="A54" s="3" t="s">
        <v>164</v>
      </c>
      <c r="B54" s="23">
        <f>IFERROR(VLOOKUP(A54,$H$54:$I$58,2,FALSE),0)</f>
        <v>0</v>
      </c>
      <c r="C54" s="23">
        <f>IFERROR(VLOOKUP(A54,$H$64:$I$68,2,FALSE)-VLOOKUP(A54,$H$64:$I$68,2,FALSE)*2,0)</f>
        <v>0</v>
      </c>
      <c r="D54" s="3">
        <f>IFERROR(VLOOKUP(A54,$H$64:$I$68,2,FALSE),0)</f>
        <v>0</v>
      </c>
      <c r="H54" s="10" t="s">
        <v>165</v>
      </c>
      <c r="I54"/>
      <c r="Z54" s="10" t="s">
        <v>64</v>
      </c>
      <c r="AA54" s="46">
        <v>56</v>
      </c>
    </row>
    <row r="55" spans="1:31" ht="15" x14ac:dyDescent="0.25">
      <c r="A55" s="3" t="s">
        <v>165</v>
      </c>
      <c r="B55" s="23">
        <f t="shared" ref="B55:B57" si="9">IFERROR(VLOOKUP(A55,$H$54:$I$58,2,FALSE),0)</f>
        <v>0</v>
      </c>
      <c r="C55" s="23">
        <f t="shared" ref="C55:C57" si="10">IFERROR(VLOOKUP(A55,$H$64:$I$68,2,FALSE)-VLOOKUP(A55,$H$64:$I$68,2,FALSE)*2,0)</f>
        <v>0</v>
      </c>
      <c r="D55" s="3">
        <f t="shared" ref="D55:D57" si="11">IFERROR(VLOOKUP(A55,$H$64:$I$68,2,FALSE),0)</f>
        <v>0</v>
      </c>
      <c r="H55" s="10" t="s">
        <v>150</v>
      </c>
      <c r="I55"/>
      <c r="Z55" s="10" t="s">
        <v>60</v>
      </c>
      <c r="AA55" s="46">
        <v>7</v>
      </c>
    </row>
    <row r="56" spans="1:31" ht="15" x14ac:dyDescent="0.25">
      <c r="A56" s="3" t="s">
        <v>166</v>
      </c>
      <c r="B56" s="23">
        <f t="shared" si="9"/>
        <v>0</v>
      </c>
      <c r="C56" s="23">
        <f t="shared" si="10"/>
        <v>0</v>
      </c>
      <c r="D56" s="3">
        <f t="shared" si="11"/>
        <v>0</v>
      </c>
      <c r="H56"/>
      <c r="I56"/>
      <c r="Z56" s="10" t="s">
        <v>162</v>
      </c>
      <c r="AA56" s="46">
        <v>66</v>
      </c>
    </row>
    <row r="57" spans="1:31" ht="15" x14ac:dyDescent="0.25">
      <c r="A57" s="3" t="s">
        <v>167</v>
      </c>
      <c r="B57" s="23">
        <f t="shared" si="9"/>
        <v>0</v>
      </c>
      <c r="C57" s="23">
        <f t="shared" si="10"/>
        <v>0</v>
      </c>
      <c r="D57" s="3">
        <f t="shared" si="11"/>
        <v>0</v>
      </c>
      <c r="H57"/>
      <c r="I57"/>
      <c r="Z57" s="10" t="s">
        <v>62</v>
      </c>
      <c r="AA57" s="46">
        <v>253</v>
      </c>
    </row>
    <row r="58" spans="1:31" ht="15" x14ac:dyDescent="0.25">
      <c r="H58"/>
      <c r="I58"/>
      <c r="Z58" s="10" t="s">
        <v>161</v>
      </c>
      <c r="AA58" s="46">
        <v>4</v>
      </c>
    </row>
    <row r="59" spans="1:31" x14ac:dyDescent="0.2">
      <c r="Z59" s="10" t="s">
        <v>150</v>
      </c>
      <c r="AA59" s="46">
        <v>430</v>
      </c>
    </row>
    <row r="60" spans="1:31" ht="15" x14ac:dyDescent="0.25">
      <c r="Z60"/>
      <c r="AA60"/>
    </row>
    <row r="61" spans="1:31" ht="15" x14ac:dyDescent="0.25">
      <c r="H61" s="9" t="s">
        <v>15</v>
      </c>
      <c r="I61" s="3" t="s">
        <v>146</v>
      </c>
      <c r="Z61"/>
      <c r="AA61"/>
    </row>
    <row r="63" spans="1:31" ht="15" x14ac:dyDescent="0.25">
      <c r="H63" s="9" t="s">
        <v>141</v>
      </c>
      <c r="I63"/>
    </row>
    <row r="64" spans="1:31" ht="15" x14ac:dyDescent="0.25">
      <c r="H64" s="10" t="s">
        <v>165</v>
      </c>
      <c r="I64"/>
    </row>
    <row r="65" spans="8:38" ht="15" x14ac:dyDescent="0.25">
      <c r="H65" s="10" t="s">
        <v>150</v>
      </c>
      <c r="I65"/>
      <c r="AF65" s="11"/>
      <c r="AG65" s="11"/>
      <c r="AH65" s="11"/>
      <c r="AI65" s="11"/>
      <c r="AJ65" s="11"/>
      <c r="AK65" s="11"/>
      <c r="AL65" s="11"/>
    </row>
    <row r="66" spans="8:38" ht="15" x14ac:dyDescent="0.25">
      <c r="H66"/>
      <c r="I66"/>
      <c r="AF66" s="11"/>
      <c r="AG66" s="11"/>
      <c r="AH66" s="11"/>
      <c r="AI66" s="11"/>
      <c r="AJ66" s="11"/>
      <c r="AK66" s="11"/>
      <c r="AL66" s="11"/>
    </row>
    <row r="67" spans="8:38" ht="15" x14ac:dyDescent="0.25">
      <c r="H67"/>
      <c r="I67"/>
    </row>
    <row r="68" spans="8:38" ht="15" x14ac:dyDescent="0.25">
      <c r="H68"/>
      <c r="I68"/>
      <c r="Z68"/>
      <c r="AA68"/>
    </row>
    <row r="74" spans="8:38" x14ac:dyDescent="0.2">
      <c r="Z74" s="9" t="s">
        <v>141</v>
      </c>
      <c r="AA74" s="3" t="s">
        <v>143</v>
      </c>
      <c r="AD74" s="3" t="s">
        <v>168</v>
      </c>
    </row>
    <row r="75" spans="8:38" x14ac:dyDescent="0.2">
      <c r="Z75" s="10" t="s">
        <v>142</v>
      </c>
      <c r="AA75" s="46">
        <v>235</v>
      </c>
      <c r="AC75" s="3" t="s">
        <v>142</v>
      </c>
      <c r="AD75" s="3">
        <f>IFERROR(VLOOKUP(AC75,$Z$75:$AA$80,2,FALSE),0)</f>
        <v>235</v>
      </c>
      <c r="AE75" s="11"/>
    </row>
    <row r="76" spans="8:38" x14ac:dyDescent="0.2">
      <c r="Z76" s="10" t="s">
        <v>146</v>
      </c>
      <c r="AA76" s="46">
        <v>430</v>
      </c>
      <c r="AC76" s="3" t="s">
        <v>146</v>
      </c>
      <c r="AD76" s="3">
        <f t="shared" ref="AD76:AD77" si="12">IFERROR(VLOOKUP(AC76,$Z$75:$AA$80,2,FALSE),0)</f>
        <v>430</v>
      </c>
      <c r="AE76" s="11"/>
    </row>
    <row r="77" spans="8:38" x14ac:dyDescent="0.2">
      <c r="Z77" s="10" t="s">
        <v>150</v>
      </c>
      <c r="AA77" s="46">
        <v>665</v>
      </c>
      <c r="AC77" s="3" t="s">
        <v>150</v>
      </c>
      <c r="AD77" s="3">
        <f t="shared" si="12"/>
        <v>665</v>
      </c>
    </row>
    <row r="88" spans="26:45" x14ac:dyDescent="0.2">
      <c r="Z88" s="9" t="s">
        <v>15</v>
      </c>
      <c r="AA88" s="3" t="s">
        <v>142</v>
      </c>
    </row>
    <row r="89" spans="26:45" ht="15" x14ac:dyDescent="0.25">
      <c r="Z89"/>
      <c r="AA89"/>
    </row>
    <row r="90" spans="26:45" x14ac:dyDescent="0.2">
      <c r="Z90" s="9" t="s">
        <v>141</v>
      </c>
      <c r="AA90" s="3" t="s">
        <v>143</v>
      </c>
    </row>
    <row r="91" spans="26:45" x14ac:dyDescent="0.2">
      <c r="Z91" s="10" t="s">
        <v>169</v>
      </c>
      <c r="AA91" s="46">
        <v>235</v>
      </c>
    </row>
    <row r="92" spans="26:45" x14ac:dyDescent="0.2">
      <c r="Z92" s="10" t="s">
        <v>150</v>
      </c>
      <c r="AA92" s="46">
        <v>235</v>
      </c>
    </row>
    <row r="94" spans="26:45" ht="15" x14ac:dyDescent="0.25">
      <c r="AK94" s="16" t="s">
        <v>37</v>
      </c>
      <c r="AL94" t="s">
        <v>142</v>
      </c>
      <c r="AR94" s="16" t="s">
        <v>37</v>
      </c>
      <c r="AS94" t="s">
        <v>146</v>
      </c>
    </row>
    <row r="95" spans="26:45" x14ac:dyDescent="0.2">
      <c r="AD95" s="3" t="s">
        <v>144</v>
      </c>
      <c r="AE95" s="3" t="s">
        <v>146</v>
      </c>
    </row>
    <row r="96" spans="26:45" ht="15" x14ac:dyDescent="0.25">
      <c r="AC96" s="3" t="s">
        <v>16</v>
      </c>
      <c r="AD96" s="3">
        <f>IFERROR(VLOOKUP("S",$Z$90:$AA$94,2,FALSE),0)</f>
        <v>0</v>
      </c>
      <c r="AE96" s="3">
        <f>IFERROR(VLOOKUP("S",$Z$103:$AA$107,2,FALSE),0)</f>
        <v>0</v>
      </c>
      <c r="AJ96" s="3">
        <f>COUNTA(AK97:AK1000)</f>
        <v>235</v>
      </c>
      <c r="AK96" s="16" t="s">
        <v>141</v>
      </c>
      <c r="AL96"/>
      <c r="AQ96" s="3">
        <f>COUNTA(AR97:AR1000)</f>
        <v>430</v>
      </c>
      <c r="AR96" s="16" t="s">
        <v>141</v>
      </c>
      <c r="AS96"/>
    </row>
    <row r="97" spans="26:45" ht="15" x14ac:dyDescent="0.25">
      <c r="AK97" s="17">
        <v>4380794</v>
      </c>
      <c r="AL97"/>
      <c r="AR97" s="17">
        <v>4378021</v>
      </c>
      <c r="AS97"/>
    </row>
    <row r="98" spans="26:45" ht="15" x14ac:dyDescent="0.25">
      <c r="AK98" s="17">
        <v>4380796</v>
      </c>
      <c r="AL98"/>
      <c r="AR98" s="17">
        <v>4378638</v>
      </c>
      <c r="AS98"/>
    </row>
    <row r="99" spans="26:45" ht="15" x14ac:dyDescent="0.25">
      <c r="AK99" s="17">
        <v>4381187</v>
      </c>
      <c r="AR99" s="17">
        <v>4379585</v>
      </c>
    </row>
    <row r="100" spans="26:45" ht="15" x14ac:dyDescent="0.25">
      <c r="Z100" s="9" t="s">
        <v>15</v>
      </c>
      <c r="AA100" s="3" t="s">
        <v>146</v>
      </c>
      <c r="AK100" s="17">
        <v>4381191</v>
      </c>
      <c r="AR100" s="17">
        <v>4379590</v>
      </c>
    </row>
    <row r="101" spans="26:45" ht="15" x14ac:dyDescent="0.25">
      <c r="AK101" s="17">
        <v>4381193</v>
      </c>
      <c r="AR101" s="17">
        <v>4379594</v>
      </c>
    </row>
    <row r="102" spans="26:45" ht="15" x14ac:dyDescent="0.25">
      <c r="Z102" s="9" t="s">
        <v>141</v>
      </c>
      <c r="AA102" s="3" t="s">
        <v>143</v>
      </c>
      <c r="AK102" s="17">
        <v>4381194</v>
      </c>
      <c r="AR102" s="17">
        <v>4379595</v>
      </c>
    </row>
    <row r="103" spans="26:45" ht="15" x14ac:dyDescent="0.25">
      <c r="Z103" s="10" t="s">
        <v>169</v>
      </c>
      <c r="AA103" s="46">
        <v>430</v>
      </c>
      <c r="AK103" s="17">
        <v>4381304</v>
      </c>
      <c r="AR103" s="17">
        <v>4379599</v>
      </c>
    </row>
    <row r="104" spans="26:45" ht="15" x14ac:dyDescent="0.25">
      <c r="Z104" s="10" t="s">
        <v>150</v>
      </c>
      <c r="AA104" s="46">
        <v>430</v>
      </c>
      <c r="AK104" s="17">
        <v>4380797</v>
      </c>
      <c r="AR104" s="17">
        <v>4379600</v>
      </c>
    </row>
    <row r="105" spans="26:45" ht="15" x14ac:dyDescent="0.25">
      <c r="AK105" s="17">
        <v>4381016</v>
      </c>
      <c r="AR105" s="17">
        <v>4379609</v>
      </c>
    </row>
    <row r="106" spans="26:45" ht="15" x14ac:dyDescent="0.25">
      <c r="AK106" s="17">
        <v>4381383</v>
      </c>
      <c r="AR106" s="17">
        <v>4379610</v>
      </c>
    </row>
    <row r="107" spans="26:45" ht="15" x14ac:dyDescent="0.25">
      <c r="AK107" s="17">
        <v>4379075</v>
      </c>
      <c r="AR107" s="17">
        <v>4379613</v>
      </c>
    </row>
    <row r="108" spans="26:45" ht="15" x14ac:dyDescent="0.25">
      <c r="AK108" s="17">
        <v>4381020</v>
      </c>
      <c r="AR108" s="17">
        <v>4379614</v>
      </c>
    </row>
    <row r="109" spans="26:45" ht="15" x14ac:dyDescent="0.25">
      <c r="AK109" s="17">
        <v>4381574</v>
      </c>
      <c r="AR109" s="17">
        <v>4379617</v>
      </c>
    </row>
    <row r="110" spans="26:45" ht="15" x14ac:dyDescent="0.25">
      <c r="Z110" s="9" t="s">
        <v>141</v>
      </c>
      <c r="AA110" s="3" t="s">
        <v>143</v>
      </c>
      <c r="AB110" s="3" t="s">
        <v>170</v>
      </c>
      <c r="AK110" s="17">
        <v>4381575</v>
      </c>
      <c r="AR110" s="17">
        <v>4379619</v>
      </c>
    </row>
    <row r="111" spans="26:45" ht="15" x14ac:dyDescent="0.25">
      <c r="Z111" s="10" t="s">
        <v>343</v>
      </c>
      <c r="AA111" s="46">
        <v>17</v>
      </c>
      <c r="AB111" s="46">
        <v>17</v>
      </c>
      <c r="AK111" s="17">
        <v>4381704</v>
      </c>
      <c r="AR111" s="17">
        <v>4379621</v>
      </c>
    </row>
    <row r="112" spans="26:45" ht="15" x14ac:dyDescent="0.25">
      <c r="Z112" s="10" t="s">
        <v>483</v>
      </c>
      <c r="AA112" s="46">
        <v>10</v>
      </c>
      <c r="AB112" s="46">
        <v>10</v>
      </c>
      <c r="AK112" s="17">
        <v>4381706</v>
      </c>
      <c r="AR112" s="17">
        <v>4379623</v>
      </c>
    </row>
    <row r="113" spans="26:44" ht="15" x14ac:dyDescent="0.25">
      <c r="Z113" s="10" t="s">
        <v>552</v>
      </c>
      <c r="AA113" s="46">
        <v>1</v>
      </c>
      <c r="AB113" s="46">
        <v>1</v>
      </c>
      <c r="AK113" s="17">
        <v>4381707</v>
      </c>
      <c r="AR113" s="17">
        <v>4379628</v>
      </c>
    </row>
    <row r="114" spans="26:44" ht="15" x14ac:dyDescent="0.25">
      <c r="Z114" s="10" t="s">
        <v>306</v>
      </c>
      <c r="AA114" s="46">
        <v>84</v>
      </c>
      <c r="AB114" s="46">
        <v>84</v>
      </c>
      <c r="AK114" s="17">
        <v>4381710</v>
      </c>
      <c r="AR114" s="17">
        <v>4379630</v>
      </c>
    </row>
    <row r="115" spans="26:44" ht="15" x14ac:dyDescent="0.25">
      <c r="Z115" s="10" t="s">
        <v>484</v>
      </c>
      <c r="AA115" s="46">
        <v>44</v>
      </c>
      <c r="AB115" s="46">
        <v>44</v>
      </c>
      <c r="AK115" s="17">
        <v>4381712</v>
      </c>
      <c r="AR115" s="17">
        <v>4379632</v>
      </c>
    </row>
    <row r="116" spans="26:44" ht="15" x14ac:dyDescent="0.25">
      <c r="Z116" s="10" t="s">
        <v>536</v>
      </c>
      <c r="AA116" s="46">
        <v>7</v>
      </c>
      <c r="AB116" s="46">
        <v>7</v>
      </c>
      <c r="AK116" s="17">
        <v>4381717</v>
      </c>
      <c r="AR116" s="17">
        <v>4379635</v>
      </c>
    </row>
    <row r="117" spans="26:44" ht="15" x14ac:dyDescent="0.25">
      <c r="Z117" s="10" t="s">
        <v>344</v>
      </c>
      <c r="AA117" s="46">
        <v>62</v>
      </c>
      <c r="AB117" s="46">
        <v>62</v>
      </c>
      <c r="AK117" s="17">
        <v>4381718</v>
      </c>
      <c r="AR117" s="17">
        <v>4379636</v>
      </c>
    </row>
    <row r="118" spans="26:44" ht="15" x14ac:dyDescent="0.25">
      <c r="Z118" s="10" t="s">
        <v>485</v>
      </c>
      <c r="AA118" s="46">
        <v>10</v>
      </c>
      <c r="AB118" s="46">
        <v>10</v>
      </c>
      <c r="AK118" s="17">
        <v>4381719</v>
      </c>
      <c r="AR118" s="17">
        <v>4379650</v>
      </c>
    </row>
    <row r="119" spans="26:44" ht="15" x14ac:dyDescent="0.25">
      <c r="Z119" s="10" t="s">
        <v>553</v>
      </c>
      <c r="AA119" s="46">
        <v>3</v>
      </c>
      <c r="AB119" s="46">
        <v>3</v>
      </c>
      <c r="AK119" s="17">
        <v>4381724</v>
      </c>
      <c r="AR119" s="17">
        <v>4379651</v>
      </c>
    </row>
    <row r="120" spans="26:44" ht="15" x14ac:dyDescent="0.25">
      <c r="Z120" s="10" t="s">
        <v>307</v>
      </c>
      <c r="AA120" s="46">
        <v>130</v>
      </c>
      <c r="AB120" s="46">
        <v>130</v>
      </c>
      <c r="AK120" s="17">
        <v>4381729</v>
      </c>
      <c r="AR120" s="17">
        <v>4379654</v>
      </c>
    </row>
    <row r="121" spans="26:44" ht="15" x14ac:dyDescent="0.25">
      <c r="Z121" s="10" t="s">
        <v>345</v>
      </c>
      <c r="AA121" s="46">
        <v>118</v>
      </c>
      <c r="AB121" s="46">
        <v>118</v>
      </c>
      <c r="AK121" s="17">
        <v>4381733</v>
      </c>
      <c r="AR121" s="17">
        <v>4379656</v>
      </c>
    </row>
    <row r="122" spans="26:44" ht="15" x14ac:dyDescent="0.25">
      <c r="Z122" s="10" t="s">
        <v>382</v>
      </c>
      <c r="AA122" s="46">
        <v>125</v>
      </c>
      <c r="AB122" s="46">
        <v>125</v>
      </c>
      <c r="AK122" s="17">
        <v>4381738</v>
      </c>
      <c r="AR122" s="17">
        <v>4379660</v>
      </c>
    </row>
    <row r="123" spans="26:44" ht="15" x14ac:dyDescent="0.25">
      <c r="Z123" s="10" t="s">
        <v>486</v>
      </c>
      <c r="AA123" s="46">
        <v>49</v>
      </c>
      <c r="AB123" s="46">
        <v>49</v>
      </c>
      <c r="AK123" s="17">
        <v>4381751</v>
      </c>
      <c r="AR123" s="17">
        <v>4379661</v>
      </c>
    </row>
    <row r="124" spans="26:44" ht="15" x14ac:dyDescent="0.25">
      <c r="Z124" s="10" t="s">
        <v>537</v>
      </c>
      <c r="AA124" s="46">
        <v>1</v>
      </c>
      <c r="AB124" s="46">
        <v>1</v>
      </c>
      <c r="AK124" s="17">
        <v>4381752</v>
      </c>
      <c r="AR124" s="17">
        <v>4379668</v>
      </c>
    </row>
    <row r="125" spans="26:44" ht="15" x14ac:dyDescent="0.25">
      <c r="Z125" s="10" t="s">
        <v>487</v>
      </c>
      <c r="AA125" s="46">
        <v>2</v>
      </c>
      <c r="AB125" s="46">
        <v>2</v>
      </c>
      <c r="AK125" s="17">
        <v>4381754</v>
      </c>
      <c r="AR125" s="17">
        <v>4379670</v>
      </c>
    </row>
    <row r="126" spans="26:44" ht="15" x14ac:dyDescent="0.25">
      <c r="Z126" s="10" t="s">
        <v>443</v>
      </c>
      <c r="AA126" s="46">
        <v>1</v>
      </c>
      <c r="AB126" s="46">
        <v>1</v>
      </c>
      <c r="AK126" s="17">
        <v>4381930</v>
      </c>
      <c r="AR126" s="17">
        <v>4379671</v>
      </c>
    </row>
    <row r="127" spans="26:44" ht="15" x14ac:dyDescent="0.25">
      <c r="Z127" s="10" t="s">
        <v>488</v>
      </c>
      <c r="AA127" s="46">
        <v>1</v>
      </c>
      <c r="AB127" s="46">
        <v>1</v>
      </c>
      <c r="AK127" s="17">
        <v>4381935</v>
      </c>
      <c r="AR127" s="17">
        <v>4379672</v>
      </c>
    </row>
    <row r="128" spans="26:44" ht="15" x14ac:dyDescent="0.25">
      <c r="Z128" s="10" t="s">
        <v>150</v>
      </c>
      <c r="AA128" s="46">
        <v>665</v>
      </c>
      <c r="AB128" s="46">
        <v>665</v>
      </c>
      <c r="AK128" s="17">
        <v>4379076</v>
      </c>
      <c r="AR128" s="17">
        <v>4379673</v>
      </c>
    </row>
    <row r="129" spans="26:44" ht="15" x14ac:dyDescent="0.25">
      <c r="Z129"/>
      <c r="AA129"/>
      <c r="AB129"/>
      <c r="AK129" s="17">
        <v>4381634</v>
      </c>
      <c r="AR129" s="17">
        <v>4379677</v>
      </c>
    </row>
    <row r="130" spans="26:44" ht="15" x14ac:dyDescent="0.25">
      <c r="Z130"/>
      <c r="AA130"/>
      <c r="AB130"/>
      <c r="AK130" s="17">
        <v>4381635</v>
      </c>
      <c r="AR130" s="17">
        <v>4379678</v>
      </c>
    </row>
    <row r="131" spans="26:44" ht="15" x14ac:dyDescent="0.25">
      <c r="Z131"/>
      <c r="AA131"/>
      <c r="AB131"/>
      <c r="AK131" s="17">
        <v>4381636</v>
      </c>
      <c r="AR131" s="17">
        <v>4379681</v>
      </c>
    </row>
    <row r="132" spans="26:44" ht="15" x14ac:dyDescent="0.25">
      <c r="Z132"/>
      <c r="AA132"/>
      <c r="AB132"/>
      <c r="AK132" s="17">
        <v>4381912</v>
      </c>
      <c r="AR132" s="17">
        <v>4379682</v>
      </c>
    </row>
    <row r="133" spans="26:44" ht="15" x14ac:dyDescent="0.25">
      <c r="Z133"/>
      <c r="AA133"/>
      <c r="AB133"/>
      <c r="AK133" s="17">
        <v>4382004</v>
      </c>
      <c r="AR133" s="17">
        <v>4379683</v>
      </c>
    </row>
    <row r="134" spans="26:44" ht="15" x14ac:dyDescent="0.25">
      <c r="AK134" s="17">
        <v>4382012</v>
      </c>
      <c r="AR134" s="17">
        <v>4379684</v>
      </c>
    </row>
    <row r="135" spans="26:44" ht="15" x14ac:dyDescent="0.25">
      <c r="AK135" s="17">
        <v>4381637</v>
      </c>
      <c r="AR135" s="17">
        <v>4379686</v>
      </c>
    </row>
    <row r="136" spans="26:44" ht="15" x14ac:dyDescent="0.25">
      <c r="AK136" s="17">
        <v>4381638</v>
      </c>
      <c r="AR136" s="17">
        <v>4379688</v>
      </c>
    </row>
    <row r="137" spans="26:44" ht="15" x14ac:dyDescent="0.25">
      <c r="AK137" s="17">
        <v>4381639</v>
      </c>
      <c r="AR137" s="17">
        <v>4379690</v>
      </c>
    </row>
    <row r="138" spans="26:44" ht="15" x14ac:dyDescent="0.25">
      <c r="AK138" s="17">
        <v>4382161</v>
      </c>
      <c r="AR138" s="17">
        <v>4379692</v>
      </c>
    </row>
    <row r="139" spans="26:44" ht="15" x14ac:dyDescent="0.25">
      <c r="AK139" s="17">
        <v>4382162</v>
      </c>
      <c r="AR139" s="17">
        <v>4379694</v>
      </c>
    </row>
    <row r="140" spans="26:44" ht="15" x14ac:dyDescent="0.25">
      <c r="AK140" s="17">
        <v>4382163</v>
      </c>
      <c r="AR140" s="17">
        <v>4379701</v>
      </c>
    </row>
    <row r="141" spans="26:44" ht="15" x14ac:dyDescent="0.25">
      <c r="AK141" s="17">
        <v>4382164</v>
      </c>
      <c r="AR141" s="17">
        <v>4379712</v>
      </c>
    </row>
    <row r="142" spans="26:44" ht="15" x14ac:dyDescent="0.25">
      <c r="AK142" s="17">
        <v>4382165</v>
      </c>
      <c r="AR142" s="17">
        <v>4379718</v>
      </c>
    </row>
    <row r="143" spans="26:44" ht="15" x14ac:dyDescent="0.25">
      <c r="AK143" s="17">
        <v>4382166</v>
      </c>
      <c r="AR143" s="17">
        <v>4379723</v>
      </c>
    </row>
    <row r="144" spans="26:44" ht="15" x14ac:dyDescent="0.25">
      <c r="AK144" s="17">
        <v>4382167</v>
      </c>
      <c r="AR144" s="17">
        <v>4379728</v>
      </c>
    </row>
    <row r="145" spans="37:44" ht="15" x14ac:dyDescent="0.25">
      <c r="AK145" s="17">
        <v>4382168</v>
      </c>
      <c r="AR145" s="17">
        <v>4379729</v>
      </c>
    </row>
    <row r="146" spans="37:44" ht="15" x14ac:dyDescent="0.25">
      <c r="AK146" s="17">
        <v>4382169</v>
      </c>
      <c r="AR146" s="17">
        <v>4379733</v>
      </c>
    </row>
    <row r="147" spans="37:44" ht="15" x14ac:dyDescent="0.25">
      <c r="AK147" s="17">
        <v>4382170</v>
      </c>
      <c r="AR147" s="17">
        <v>4379569</v>
      </c>
    </row>
    <row r="148" spans="37:44" ht="15" x14ac:dyDescent="0.25">
      <c r="AK148" s="17">
        <v>4382171</v>
      </c>
      <c r="AR148" s="17">
        <v>4379753</v>
      </c>
    </row>
    <row r="149" spans="37:44" ht="15" x14ac:dyDescent="0.25">
      <c r="AK149" s="17">
        <v>4382172</v>
      </c>
      <c r="AR149" s="17">
        <v>4379836</v>
      </c>
    </row>
    <row r="150" spans="37:44" ht="15" x14ac:dyDescent="0.25">
      <c r="AK150" s="17">
        <v>4382495</v>
      </c>
      <c r="AR150" s="17">
        <v>4380056</v>
      </c>
    </row>
    <row r="151" spans="37:44" ht="15" x14ac:dyDescent="0.25">
      <c r="AK151" s="17">
        <v>4382519</v>
      </c>
      <c r="AR151" s="17">
        <v>4380372</v>
      </c>
    </row>
    <row r="152" spans="37:44" ht="15" x14ac:dyDescent="0.25">
      <c r="AK152" s="17">
        <v>4382520</v>
      </c>
      <c r="AR152" s="17">
        <v>4380495</v>
      </c>
    </row>
    <row r="153" spans="37:44" ht="15" x14ac:dyDescent="0.25">
      <c r="AK153" s="17">
        <v>4382528</v>
      </c>
      <c r="AR153" s="17">
        <v>4380563</v>
      </c>
    </row>
    <row r="154" spans="37:44" ht="15" x14ac:dyDescent="0.25">
      <c r="AK154" s="17">
        <v>4382530</v>
      </c>
      <c r="AR154" s="17">
        <v>4380564</v>
      </c>
    </row>
    <row r="155" spans="37:44" ht="15" x14ac:dyDescent="0.25">
      <c r="AK155" s="17">
        <v>4382531</v>
      </c>
      <c r="AR155" s="17">
        <v>4380769</v>
      </c>
    </row>
    <row r="156" spans="37:44" ht="15" x14ac:dyDescent="0.25">
      <c r="AK156" s="17">
        <v>4382544</v>
      </c>
      <c r="AR156" s="17">
        <v>4380770</v>
      </c>
    </row>
    <row r="157" spans="37:44" ht="15" x14ac:dyDescent="0.25">
      <c r="AK157" s="17">
        <v>4382557</v>
      </c>
      <c r="AR157" s="17">
        <v>4380771</v>
      </c>
    </row>
    <row r="158" spans="37:44" ht="15" x14ac:dyDescent="0.25">
      <c r="AK158" s="17">
        <v>4382565</v>
      </c>
      <c r="AR158" s="17">
        <v>4380772</v>
      </c>
    </row>
    <row r="159" spans="37:44" ht="15" x14ac:dyDescent="0.25">
      <c r="AK159" s="17">
        <v>4382285</v>
      </c>
      <c r="AR159" s="17">
        <v>4380773</v>
      </c>
    </row>
    <row r="160" spans="37:44" ht="15" x14ac:dyDescent="0.25">
      <c r="AK160" s="17">
        <v>4382701</v>
      </c>
      <c r="AR160" s="17">
        <v>4380774</v>
      </c>
    </row>
    <row r="161" spans="37:44" ht="15" x14ac:dyDescent="0.25">
      <c r="AK161" s="17">
        <v>4382702</v>
      </c>
      <c r="AR161" s="17">
        <v>4380775</v>
      </c>
    </row>
    <row r="162" spans="37:44" ht="15" x14ac:dyDescent="0.25">
      <c r="AK162" s="17">
        <v>4382703</v>
      </c>
      <c r="AR162" s="17">
        <v>4380776</v>
      </c>
    </row>
    <row r="163" spans="37:44" ht="15" x14ac:dyDescent="0.25">
      <c r="AK163" s="17">
        <v>4382704</v>
      </c>
      <c r="AR163" s="17">
        <v>4380779</v>
      </c>
    </row>
    <row r="164" spans="37:44" ht="15" x14ac:dyDescent="0.25">
      <c r="AK164" s="17">
        <v>4382705</v>
      </c>
      <c r="AR164" s="17">
        <v>4380780</v>
      </c>
    </row>
    <row r="165" spans="37:44" ht="15" x14ac:dyDescent="0.25">
      <c r="AK165" s="17">
        <v>4382717</v>
      </c>
      <c r="AR165" s="17">
        <v>4381062</v>
      </c>
    </row>
    <row r="166" spans="37:44" ht="15" x14ac:dyDescent="0.25">
      <c r="AK166" s="17">
        <v>4382729</v>
      </c>
      <c r="AR166" s="17">
        <v>4381063</v>
      </c>
    </row>
    <row r="167" spans="37:44" ht="15" x14ac:dyDescent="0.25">
      <c r="AK167" s="17">
        <v>4382730</v>
      </c>
      <c r="AR167" s="17">
        <v>4381064</v>
      </c>
    </row>
    <row r="168" spans="37:44" ht="15" x14ac:dyDescent="0.25">
      <c r="AK168" s="17">
        <v>4382763</v>
      </c>
      <c r="AR168" s="17">
        <v>4381065</v>
      </c>
    </row>
    <row r="169" spans="37:44" ht="15" x14ac:dyDescent="0.25">
      <c r="AK169" s="17">
        <v>4381913</v>
      </c>
      <c r="AR169" s="17">
        <v>4381066</v>
      </c>
    </row>
    <row r="170" spans="37:44" ht="15" x14ac:dyDescent="0.25">
      <c r="AK170" s="17">
        <v>4382286</v>
      </c>
      <c r="AR170" s="17">
        <v>4381067</v>
      </c>
    </row>
    <row r="171" spans="37:44" ht="15" x14ac:dyDescent="0.25">
      <c r="AK171" s="17">
        <v>4382287</v>
      </c>
      <c r="AR171" s="17">
        <v>4381068</v>
      </c>
    </row>
    <row r="172" spans="37:44" ht="15" x14ac:dyDescent="0.25">
      <c r="AK172" s="17">
        <v>4382288</v>
      </c>
      <c r="AR172" s="17">
        <v>4381069</v>
      </c>
    </row>
    <row r="173" spans="37:44" ht="15" x14ac:dyDescent="0.25">
      <c r="AK173" s="17">
        <v>4382289</v>
      </c>
      <c r="AR173" s="17">
        <v>4381071</v>
      </c>
    </row>
    <row r="174" spans="37:44" ht="15" x14ac:dyDescent="0.25">
      <c r="AK174" s="17">
        <v>4382290</v>
      </c>
      <c r="AR174" s="17">
        <v>4381072</v>
      </c>
    </row>
    <row r="175" spans="37:44" ht="15" x14ac:dyDescent="0.25">
      <c r="AK175" s="17">
        <v>4382291</v>
      </c>
      <c r="AR175" s="17">
        <v>4381073</v>
      </c>
    </row>
    <row r="176" spans="37:44" ht="15" x14ac:dyDescent="0.25">
      <c r="AK176" s="17">
        <v>4382292</v>
      </c>
      <c r="AR176" s="17">
        <v>4381074</v>
      </c>
    </row>
    <row r="177" spans="37:44" ht="15" x14ac:dyDescent="0.25">
      <c r="AK177" s="17">
        <v>4382293</v>
      </c>
      <c r="AR177" s="17">
        <v>4381075</v>
      </c>
    </row>
    <row r="178" spans="37:44" ht="15" x14ac:dyDescent="0.25">
      <c r="AK178" s="17">
        <v>4382294</v>
      </c>
      <c r="AR178" s="17">
        <v>4381076</v>
      </c>
    </row>
    <row r="179" spans="37:44" ht="15" x14ac:dyDescent="0.25">
      <c r="AK179" s="17">
        <v>4382295</v>
      </c>
      <c r="AR179" s="17">
        <v>4381077</v>
      </c>
    </row>
    <row r="180" spans="37:44" ht="15" x14ac:dyDescent="0.25">
      <c r="AK180" s="17">
        <v>4382296</v>
      </c>
      <c r="AR180" s="17">
        <v>4381078</v>
      </c>
    </row>
    <row r="181" spans="37:44" ht="15" x14ac:dyDescent="0.25">
      <c r="AK181" s="17">
        <v>4382297</v>
      </c>
      <c r="AR181" s="17">
        <v>4381080</v>
      </c>
    </row>
    <row r="182" spans="37:44" ht="15" x14ac:dyDescent="0.25">
      <c r="AK182" s="17">
        <v>4382298</v>
      </c>
      <c r="AR182" s="17">
        <v>4381081</v>
      </c>
    </row>
    <row r="183" spans="37:44" ht="15" x14ac:dyDescent="0.25">
      <c r="AK183" s="17">
        <v>4382299</v>
      </c>
      <c r="AR183" s="17">
        <v>4381082</v>
      </c>
    </row>
    <row r="184" spans="37:44" ht="15" x14ac:dyDescent="0.25">
      <c r="AK184" s="17">
        <v>4382300</v>
      </c>
      <c r="AR184" s="17">
        <v>4381083</v>
      </c>
    </row>
    <row r="185" spans="37:44" ht="15" x14ac:dyDescent="0.25">
      <c r="AK185" s="17">
        <v>4382706</v>
      </c>
      <c r="AR185" s="17">
        <v>4381084</v>
      </c>
    </row>
    <row r="186" spans="37:44" ht="15" x14ac:dyDescent="0.25">
      <c r="AK186" s="17">
        <v>4382707</v>
      </c>
      <c r="AR186" s="17">
        <v>4381085</v>
      </c>
    </row>
    <row r="187" spans="37:44" ht="15" x14ac:dyDescent="0.25">
      <c r="AK187" s="17">
        <v>4382708</v>
      </c>
      <c r="AR187" s="17">
        <v>4381086</v>
      </c>
    </row>
    <row r="188" spans="37:44" ht="15" x14ac:dyDescent="0.25">
      <c r="AK188" s="17">
        <v>4382709</v>
      </c>
      <c r="AR188" s="17">
        <v>4381087</v>
      </c>
    </row>
    <row r="189" spans="37:44" ht="15" x14ac:dyDescent="0.25">
      <c r="AK189" s="17">
        <v>4382710</v>
      </c>
      <c r="AR189" s="17">
        <v>4381088</v>
      </c>
    </row>
    <row r="190" spans="37:44" ht="15" x14ac:dyDescent="0.25">
      <c r="AK190" s="17">
        <v>4382711</v>
      </c>
      <c r="AR190" s="17">
        <v>4381089</v>
      </c>
    </row>
    <row r="191" spans="37:44" ht="15" x14ac:dyDescent="0.25">
      <c r="AK191" s="17">
        <v>4382712</v>
      </c>
      <c r="AR191" s="17">
        <v>4381090</v>
      </c>
    </row>
    <row r="192" spans="37:44" ht="15" x14ac:dyDescent="0.25">
      <c r="AK192" s="17">
        <v>4382713</v>
      </c>
      <c r="AR192" s="17">
        <v>4381091</v>
      </c>
    </row>
    <row r="193" spans="37:44" ht="15" x14ac:dyDescent="0.25">
      <c r="AK193" s="17">
        <v>4382714</v>
      </c>
      <c r="AR193" s="17">
        <v>4381092</v>
      </c>
    </row>
    <row r="194" spans="37:44" ht="15" x14ac:dyDescent="0.25">
      <c r="AK194" s="17">
        <v>4382715</v>
      </c>
      <c r="AR194" s="17">
        <v>4381094</v>
      </c>
    </row>
    <row r="195" spans="37:44" ht="15" x14ac:dyDescent="0.25">
      <c r="AK195" s="17">
        <v>4382716</v>
      </c>
      <c r="AR195" s="17">
        <v>4381095</v>
      </c>
    </row>
    <row r="196" spans="37:44" ht="15" x14ac:dyDescent="0.25">
      <c r="AK196" s="17">
        <v>4382718</v>
      </c>
      <c r="AR196" s="17">
        <v>4381100</v>
      </c>
    </row>
    <row r="197" spans="37:44" ht="15" x14ac:dyDescent="0.25">
      <c r="AK197" s="17">
        <v>4382719</v>
      </c>
      <c r="AR197" s="17">
        <v>4381101</v>
      </c>
    </row>
    <row r="198" spans="37:44" ht="15" x14ac:dyDescent="0.25">
      <c r="AK198" s="17">
        <v>4382720</v>
      </c>
      <c r="AR198" s="17">
        <v>4381102</v>
      </c>
    </row>
    <row r="199" spans="37:44" ht="15" x14ac:dyDescent="0.25">
      <c r="AK199" s="17">
        <v>4382721</v>
      </c>
      <c r="AR199" s="17">
        <v>4381103</v>
      </c>
    </row>
    <row r="200" spans="37:44" ht="15" x14ac:dyDescent="0.25">
      <c r="AK200" s="17">
        <v>4382722</v>
      </c>
      <c r="AR200" s="17">
        <v>4381104</v>
      </c>
    </row>
    <row r="201" spans="37:44" ht="15" x14ac:dyDescent="0.25">
      <c r="AK201" s="17">
        <v>4382723</v>
      </c>
      <c r="AR201" s="17">
        <v>4381106</v>
      </c>
    </row>
    <row r="202" spans="37:44" ht="15" x14ac:dyDescent="0.25">
      <c r="AK202" s="17">
        <v>4382724</v>
      </c>
      <c r="AR202" s="17">
        <v>4381107</v>
      </c>
    </row>
    <row r="203" spans="37:44" ht="15" x14ac:dyDescent="0.25">
      <c r="AK203" s="17">
        <v>4382725</v>
      </c>
      <c r="AR203" s="17">
        <v>4381109</v>
      </c>
    </row>
    <row r="204" spans="37:44" ht="15" x14ac:dyDescent="0.25">
      <c r="AK204" s="17">
        <v>4382726</v>
      </c>
      <c r="AR204" s="17">
        <v>4381110</v>
      </c>
    </row>
    <row r="205" spans="37:44" ht="15" x14ac:dyDescent="0.25">
      <c r="AK205" s="17">
        <v>4382727</v>
      </c>
      <c r="AR205" s="17">
        <v>4381111</v>
      </c>
    </row>
    <row r="206" spans="37:44" ht="15" x14ac:dyDescent="0.25">
      <c r="AK206" s="17">
        <v>4382728</v>
      </c>
      <c r="AR206" s="17">
        <v>4381112</v>
      </c>
    </row>
    <row r="207" spans="37:44" ht="15" x14ac:dyDescent="0.25">
      <c r="AK207" s="17">
        <v>4382731</v>
      </c>
      <c r="AR207" s="17">
        <v>4381113</v>
      </c>
    </row>
    <row r="208" spans="37:44" ht="15" x14ac:dyDescent="0.25">
      <c r="AK208" s="17">
        <v>4382732</v>
      </c>
      <c r="AR208" s="17">
        <v>4381116</v>
      </c>
    </row>
    <row r="209" spans="37:44" ht="15" x14ac:dyDescent="0.25">
      <c r="AK209" s="17">
        <v>4382733</v>
      </c>
      <c r="AR209" s="17">
        <v>4381117</v>
      </c>
    </row>
    <row r="210" spans="37:44" ht="15" x14ac:dyDescent="0.25">
      <c r="AK210" s="17">
        <v>4382734</v>
      </c>
      <c r="AR210" s="17">
        <v>4381118</v>
      </c>
    </row>
    <row r="211" spans="37:44" ht="15" x14ac:dyDescent="0.25">
      <c r="AK211" s="17">
        <v>4382735</v>
      </c>
      <c r="AR211" s="17">
        <v>4381120</v>
      </c>
    </row>
    <row r="212" spans="37:44" ht="15" x14ac:dyDescent="0.25">
      <c r="AK212" s="17">
        <v>4382736</v>
      </c>
      <c r="AR212" s="17">
        <v>4381121</v>
      </c>
    </row>
    <row r="213" spans="37:44" ht="15" x14ac:dyDescent="0.25">
      <c r="AK213" s="17">
        <v>4382737</v>
      </c>
      <c r="AR213" s="17">
        <v>4381123</v>
      </c>
    </row>
    <row r="214" spans="37:44" ht="15" x14ac:dyDescent="0.25">
      <c r="AK214" s="17">
        <v>4382738</v>
      </c>
      <c r="AR214" s="17">
        <v>4381124</v>
      </c>
    </row>
    <row r="215" spans="37:44" ht="15" x14ac:dyDescent="0.25">
      <c r="AK215" s="17">
        <v>4382566</v>
      </c>
      <c r="AR215" s="17">
        <v>4381125</v>
      </c>
    </row>
    <row r="216" spans="37:44" ht="15" x14ac:dyDescent="0.25">
      <c r="AK216" s="17">
        <v>4382020</v>
      </c>
      <c r="AR216" s="17">
        <v>4381126</v>
      </c>
    </row>
    <row r="217" spans="37:44" ht="15" x14ac:dyDescent="0.25">
      <c r="AK217" s="17">
        <v>4382761</v>
      </c>
      <c r="AR217" s="17">
        <v>4381127</v>
      </c>
    </row>
    <row r="218" spans="37:44" ht="15" x14ac:dyDescent="0.25">
      <c r="AK218" s="17">
        <v>4382762</v>
      </c>
      <c r="AR218" s="17">
        <v>4381128</v>
      </c>
    </row>
    <row r="219" spans="37:44" ht="15" x14ac:dyDescent="0.25">
      <c r="AK219" s="17">
        <v>4382764</v>
      </c>
      <c r="AR219" s="17">
        <v>4381129</v>
      </c>
    </row>
    <row r="220" spans="37:44" ht="15" x14ac:dyDescent="0.25">
      <c r="AK220" s="17">
        <v>4382773</v>
      </c>
      <c r="AR220" s="17">
        <v>4381130</v>
      </c>
    </row>
    <row r="221" spans="37:44" ht="15" x14ac:dyDescent="0.25">
      <c r="AK221" s="17">
        <v>4382813</v>
      </c>
      <c r="AR221" s="17">
        <v>4381133</v>
      </c>
    </row>
    <row r="222" spans="37:44" ht="15" x14ac:dyDescent="0.25">
      <c r="AK222" s="17">
        <v>4382814</v>
      </c>
      <c r="AR222" s="17">
        <v>4381134</v>
      </c>
    </row>
    <row r="223" spans="37:44" ht="15" x14ac:dyDescent="0.25">
      <c r="AK223" s="17">
        <v>4382816</v>
      </c>
      <c r="AR223" s="17">
        <v>4381135</v>
      </c>
    </row>
    <row r="224" spans="37:44" ht="15" x14ac:dyDescent="0.25">
      <c r="AK224" s="17">
        <v>4382817</v>
      </c>
      <c r="AR224" s="17">
        <v>4381136</v>
      </c>
    </row>
    <row r="225" spans="37:44" ht="15" x14ac:dyDescent="0.25">
      <c r="AK225" s="17">
        <v>4382818</v>
      </c>
      <c r="AR225" s="17">
        <v>4381137</v>
      </c>
    </row>
    <row r="226" spans="37:44" ht="15" x14ac:dyDescent="0.25">
      <c r="AK226" s="17">
        <v>4382819</v>
      </c>
      <c r="AR226" s="17">
        <v>4381138</v>
      </c>
    </row>
    <row r="227" spans="37:44" ht="15" x14ac:dyDescent="0.25">
      <c r="AK227" s="17">
        <v>4382820</v>
      </c>
      <c r="AR227" s="17">
        <v>4381139</v>
      </c>
    </row>
    <row r="228" spans="37:44" ht="15" x14ac:dyDescent="0.25">
      <c r="AK228" s="17">
        <v>4382821</v>
      </c>
      <c r="AR228" s="17">
        <v>4381140</v>
      </c>
    </row>
    <row r="229" spans="37:44" ht="15" x14ac:dyDescent="0.25">
      <c r="AK229" s="17">
        <v>4382739</v>
      </c>
      <c r="AR229" s="17">
        <v>4381141</v>
      </c>
    </row>
    <row r="230" spans="37:44" ht="15" x14ac:dyDescent="0.25">
      <c r="AK230" s="17">
        <v>4382765</v>
      </c>
      <c r="AR230" s="17">
        <v>4381142</v>
      </c>
    </row>
    <row r="231" spans="37:44" ht="15" x14ac:dyDescent="0.25">
      <c r="AK231" s="17">
        <v>4382796</v>
      </c>
      <c r="AR231" s="17">
        <v>4381143</v>
      </c>
    </row>
    <row r="232" spans="37:44" ht="15" x14ac:dyDescent="0.25">
      <c r="AK232" s="17">
        <v>4382798</v>
      </c>
      <c r="AR232" s="17">
        <v>4381144</v>
      </c>
    </row>
    <row r="233" spans="37:44" ht="15" x14ac:dyDescent="0.25">
      <c r="AK233" s="17">
        <v>4382799</v>
      </c>
      <c r="AR233" s="17">
        <v>4381145</v>
      </c>
    </row>
    <row r="234" spans="37:44" ht="15" x14ac:dyDescent="0.25">
      <c r="AK234" s="17">
        <v>4382800</v>
      </c>
      <c r="AR234" s="17">
        <v>4381146</v>
      </c>
    </row>
    <row r="235" spans="37:44" ht="15" x14ac:dyDescent="0.25">
      <c r="AK235" s="17">
        <v>4382961</v>
      </c>
      <c r="AR235" s="17">
        <v>4381147</v>
      </c>
    </row>
    <row r="236" spans="37:44" ht="15" x14ac:dyDescent="0.25">
      <c r="AK236" s="17">
        <v>4382962</v>
      </c>
      <c r="AR236" s="17">
        <v>4381148</v>
      </c>
    </row>
    <row r="237" spans="37:44" ht="15" x14ac:dyDescent="0.25">
      <c r="AK237" s="17">
        <v>4382963</v>
      </c>
      <c r="AR237" s="17">
        <v>4381149</v>
      </c>
    </row>
    <row r="238" spans="37:44" ht="15" x14ac:dyDescent="0.25">
      <c r="AK238" s="17">
        <v>4382964</v>
      </c>
      <c r="AR238" s="17">
        <v>4381150</v>
      </c>
    </row>
    <row r="239" spans="37:44" ht="15" x14ac:dyDescent="0.25">
      <c r="AK239" s="17">
        <v>4382965</v>
      </c>
      <c r="AR239" s="17">
        <v>4381151</v>
      </c>
    </row>
    <row r="240" spans="37:44" ht="15" x14ac:dyDescent="0.25">
      <c r="AK240" s="17">
        <v>4382966</v>
      </c>
      <c r="AR240" s="17">
        <v>4381152</v>
      </c>
    </row>
    <row r="241" spans="37:44" ht="15" x14ac:dyDescent="0.25">
      <c r="AK241" s="17">
        <v>4382967</v>
      </c>
      <c r="AR241" s="17">
        <v>4381153</v>
      </c>
    </row>
    <row r="242" spans="37:44" ht="15" x14ac:dyDescent="0.25">
      <c r="AK242" s="17">
        <v>4382968</v>
      </c>
      <c r="AR242" s="17">
        <v>4381154</v>
      </c>
    </row>
    <row r="243" spans="37:44" ht="15" x14ac:dyDescent="0.25">
      <c r="AK243" s="17">
        <v>4382969</v>
      </c>
      <c r="AR243" s="17">
        <v>4381155</v>
      </c>
    </row>
    <row r="244" spans="37:44" ht="15" x14ac:dyDescent="0.25">
      <c r="AK244" s="17">
        <v>4382970</v>
      </c>
      <c r="AR244" s="17">
        <v>4381156</v>
      </c>
    </row>
    <row r="245" spans="37:44" ht="15" x14ac:dyDescent="0.25">
      <c r="AK245" s="17">
        <v>4382971</v>
      </c>
      <c r="AR245" s="17">
        <v>4381157</v>
      </c>
    </row>
    <row r="246" spans="37:44" ht="15" x14ac:dyDescent="0.25">
      <c r="AK246" s="17">
        <v>4382972</v>
      </c>
      <c r="AR246" s="17">
        <v>4381158</v>
      </c>
    </row>
    <row r="247" spans="37:44" ht="15" x14ac:dyDescent="0.25">
      <c r="AK247" s="17">
        <v>4382973</v>
      </c>
      <c r="AR247" s="17">
        <v>4381159</v>
      </c>
    </row>
    <row r="248" spans="37:44" ht="15" x14ac:dyDescent="0.25">
      <c r="AK248" s="17">
        <v>4382974</v>
      </c>
      <c r="AR248" s="17">
        <v>4381160</v>
      </c>
    </row>
    <row r="249" spans="37:44" ht="15" x14ac:dyDescent="0.25">
      <c r="AK249" s="17">
        <v>4382975</v>
      </c>
      <c r="AR249" s="17">
        <v>4381161</v>
      </c>
    </row>
    <row r="250" spans="37:44" ht="15" x14ac:dyDescent="0.25">
      <c r="AK250" s="17">
        <v>4382976</v>
      </c>
      <c r="AR250" s="17">
        <v>4381162</v>
      </c>
    </row>
    <row r="251" spans="37:44" ht="15" x14ac:dyDescent="0.25">
      <c r="AK251" s="17">
        <v>4382977</v>
      </c>
      <c r="AR251" s="17">
        <v>4381163</v>
      </c>
    </row>
    <row r="252" spans="37:44" ht="15" x14ac:dyDescent="0.25">
      <c r="AK252" s="17">
        <v>4382978</v>
      </c>
      <c r="AR252" s="17">
        <v>4381164</v>
      </c>
    </row>
    <row r="253" spans="37:44" ht="15" x14ac:dyDescent="0.25">
      <c r="AK253" s="17">
        <v>4382979</v>
      </c>
      <c r="AR253" s="17">
        <v>4381165</v>
      </c>
    </row>
    <row r="254" spans="37:44" ht="15" x14ac:dyDescent="0.25">
      <c r="AK254" s="17">
        <v>4382980</v>
      </c>
      <c r="AR254" s="17">
        <v>4381166</v>
      </c>
    </row>
    <row r="255" spans="37:44" ht="15" x14ac:dyDescent="0.25">
      <c r="AK255" s="17">
        <v>4382981</v>
      </c>
      <c r="AR255" s="17">
        <v>4381167</v>
      </c>
    </row>
    <row r="256" spans="37:44" ht="15" x14ac:dyDescent="0.25">
      <c r="AK256" s="17">
        <v>4382982</v>
      </c>
      <c r="AR256" s="17">
        <v>4381168</v>
      </c>
    </row>
    <row r="257" spans="37:44" ht="15" x14ac:dyDescent="0.25">
      <c r="AK257" s="17">
        <v>4382983</v>
      </c>
      <c r="AR257" s="17">
        <v>4381169</v>
      </c>
    </row>
    <row r="258" spans="37:44" ht="15" x14ac:dyDescent="0.25">
      <c r="AK258" s="17">
        <v>4382984</v>
      </c>
      <c r="AR258" s="17">
        <v>4381170</v>
      </c>
    </row>
    <row r="259" spans="37:44" ht="15" x14ac:dyDescent="0.25">
      <c r="AK259" s="17">
        <v>4382985</v>
      </c>
      <c r="AR259" s="17">
        <v>4381171</v>
      </c>
    </row>
    <row r="260" spans="37:44" ht="15" x14ac:dyDescent="0.25">
      <c r="AK260" s="17">
        <v>4382986</v>
      </c>
      <c r="AR260" s="17">
        <v>4381172</v>
      </c>
    </row>
    <row r="261" spans="37:44" ht="15" x14ac:dyDescent="0.25">
      <c r="AK261" s="17">
        <v>4382987</v>
      </c>
      <c r="AR261" s="17">
        <v>4381173</v>
      </c>
    </row>
    <row r="262" spans="37:44" ht="15" x14ac:dyDescent="0.25">
      <c r="AK262" s="17">
        <v>4382988</v>
      </c>
      <c r="AR262" s="17">
        <v>4381174</v>
      </c>
    </row>
    <row r="263" spans="37:44" ht="15" x14ac:dyDescent="0.25">
      <c r="AK263" s="17">
        <v>4382989</v>
      </c>
      <c r="AR263" s="17">
        <v>4381175</v>
      </c>
    </row>
    <row r="264" spans="37:44" ht="15" x14ac:dyDescent="0.25">
      <c r="AK264" s="17">
        <v>4382812</v>
      </c>
      <c r="AR264" s="17">
        <v>4381176</v>
      </c>
    </row>
    <row r="265" spans="37:44" ht="15" x14ac:dyDescent="0.25">
      <c r="AK265" s="17">
        <v>4382865</v>
      </c>
      <c r="AR265" s="17">
        <v>4381177</v>
      </c>
    </row>
    <row r="266" spans="37:44" ht="15" x14ac:dyDescent="0.25">
      <c r="AK266" s="17">
        <v>4382314</v>
      </c>
      <c r="AR266" s="17">
        <v>4381178</v>
      </c>
    </row>
    <row r="267" spans="37:44" ht="15" x14ac:dyDescent="0.25">
      <c r="AK267" s="17">
        <v>4382315</v>
      </c>
      <c r="AR267" s="17">
        <v>4381179</v>
      </c>
    </row>
    <row r="268" spans="37:44" ht="15" x14ac:dyDescent="0.25">
      <c r="AK268" s="17">
        <v>4382316</v>
      </c>
      <c r="AR268" s="17">
        <v>4381180</v>
      </c>
    </row>
    <row r="269" spans="37:44" ht="15" x14ac:dyDescent="0.25">
      <c r="AK269" s="17">
        <v>4382869</v>
      </c>
      <c r="AR269" s="17">
        <v>4381181</v>
      </c>
    </row>
    <row r="270" spans="37:44" ht="15" x14ac:dyDescent="0.25">
      <c r="AK270" s="17">
        <v>4383021</v>
      </c>
      <c r="AR270" s="17">
        <v>4381182</v>
      </c>
    </row>
    <row r="271" spans="37:44" ht="15" x14ac:dyDescent="0.25">
      <c r="AK271" s="17">
        <v>4383022</v>
      </c>
      <c r="AR271" s="17">
        <v>4381183</v>
      </c>
    </row>
    <row r="272" spans="37:44" ht="15" x14ac:dyDescent="0.25">
      <c r="AK272" s="17">
        <v>4383023</v>
      </c>
      <c r="AR272" s="17">
        <v>4380117</v>
      </c>
    </row>
    <row r="273" spans="37:44" ht="15" x14ac:dyDescent="0.25">
      <c r="AK273" s="17">
        <v>4382990</v>
      </c>
      <c r="AR273" s="17">
        <v>4381005</v>
      </c>
    </row>
    <row r="274" spans="37:44" ht="15" x14ac:dyDescent="0.25">
      <c r="AK274" s="17">
        <v>4383081</v>
      </c>
      <c r="AR274" s="17">
        <v>4381012</v>
      </c>
    </row>
    <row r="275" spans="37:44" ht="15" x14ac:dyDescent="0.25">
      <c r="AK275" s="17">
        <v>4383083</v>
      </c>
      <c r="AR275" s="17">
        <v>4381015</v>
      </c>
    </row>
    <row r="276" spans="37:44" ht="15" x14ac:dyDescent="0.25">
      <c r="AK276" s="17">
        <v>4382771</v>
      </c>
      <c r="AR276" s="17">
        <v>4381188</v>
      </c>
    </row>
    <row r="277" spans="37:44" ht="15" x14ac:dyDescent="0.25">
      <c r="AK277" s="17">
        <v>4383049</v>
      </c>
      <c r="AR277" s="17">
        <v>4381190</v>
      </c>
    </row>
    <row r="278" spans="37:44" ht="15" x14ac:dyDescent="0.25">
      <c r="AK278" s="17">
        <v>4383065</v>
      </c>
      <c r="AR278" s="17">
        <v>4381192</v>
      </c>
    </row>
    <row r="279" spans="37:44" ht="15" x14ac:dyDescent="0.25">
      <c r="AK279" s="17">
        <v>4383066</v>
      </c>
      <c r="AR279" s="17">
        <v>4381195</v>
      </c>
    </row>
    <row r="280" spans="37:44" ht="15" x14ac:dyDescent="0.25">
      <c r="AK280" s="17">
        <v>4383067</v>
      </c>
      <c r="AR280" s="17">
        <v>4381303</v>
      </c>
    </row>
    <row r="281" spans="37:44" ht="15" x14ac:dyDescent="0.25">
      <c r="AK281" s="17">
        <v>4383068</v>
      </c>
      <c r="AR281" s="17">
        <v>4381370</v>
      </c>
    </row>
    <row r="282" spans="37:44" ht="15" x14ac:dyDescent="0.25">
      <c r="AK282" s="17">
        <v>4383069</v>
      </c>
      <c r="AR282" s="17">
        <v>4381019</v>
      </c>
    </row>
    <row r="283" spans="37:44" ht="15" x14ac:dyDescent="0.25">
      <c r="AK283" s="17">
        <v>4383070</v>
      </c>
      <c r="AR283" s="17">
        <v>4381697</v>
      </c>
    </row>
    <row r="284" spans="37:44" ht="15" x14ac:dyDescent="0.25">
      <c r="AK284" s="17">
        <v>4383071</v>
      </c>
      <c r="AR284" s="17">
        <v>4381698</v>
      </c>
    </row>
    <row r="285" spans="37:44" ht="15" x14ac:dyDescent="0.25">
      <c r="AK285" s="17">
        <v>4383072</v>
      </c>
      <c r="AR285" s="17">
        <v>4381699</v>
      </c>
    </row>
    <row r="286" spans="37:44" ht="15" x14ac:dyDescent="0.25">
      <c r="AK286" s="17">
        <v>4383073</v>
      </c>
      <c r="AR286" s="17">
        <v>4381700</v>
      </c>
    </row>
    <row r="287" spans="37:44" ht="15" x14ac:dyDescent="0.25">
      <c r="AK287" s="17">
        <v>4383074</v>
      </c>
      <c r="AR287" s="17">
        <v>4382381</v>
      </c>
    </row>
    <row r="288" spans="37:44" ht="15" x14ac:dyDescent="0.25">
      <c r="AK288" s="17">
        <v>4383075</v>
      </c>
      <c r="AR288" s="17">
        <v>4382382</v>
      </c>
    </row>
    <row r="289" spans="37:44" ht="15" x14ac:dyDescent="0.25">
      <c r="AK289" s="17">
        <v>4383076</v>
      </c>
      <c r="AR289" s="17">
        <v>4382383</v>
      </c>
    </row>
    <row r="290" spans="37:44" ht="15" x14ac:dyDescent="0.25">
      <c r="AK290" s="17">
        <v>4383077</v>
      </c>
      <c r="AR290" s="17">
        <v>4382386</v>
      </c>
    </row>
    <row r="291" spans="37:44" ht="15" x14ac:dyDescent="0.25">
      <c r="AK291" s="17">
        <v>4383113</v>
      </c>
      <c r="AR291" s="17">
        <v>4382387</v>
      </c>
    </row>
    <row r="292" spans="37:44" ht="15" x14ac:dyDescent="0.25">
      <c r="AK292" s="17">
        <v>4383120</v>
      </c>
      <c r="AR292" s="17">
        <v>4382388</v>
      </c>
    </row>
    <row r="293" spans="37:44" ht="15" x14ac:dyDescent="0.25">
      <c r="AK293" s="17">
        <v>4383162</v>
      </c>
      <c r="AR293" s="17">
        <v>4382391</v>
      </c>
    </row>
    <row r="294" spans="37:44" ht="15" x14ac:dyDescent="0.25">
      <c r="AK294" s="17">
        <v>4383024</v>
      </c>
      <c r="AR294" s="17">
        <v>4382392</v>
      </c>
    </row>
    <row r="295" spans="37:44" ht="15" x14ac:dyDescent="0.25">
      <c r="AK295" s="17">
        <v>4383025</v>
      </c>
      <c r="AR295" s="17">
        <v>4382393</v>
      </c>
    </row>
    <row r="296" spans="37:44" ht="15" x14ac:dyDescent="0.25">
      <c r="AK296" s="17">
        <v>4383026</v>
      </c>
      <c r="AR296" s="17">
        <v>4382394</v>
      </c>
    </row>
    <row r="297" spans="37:44" ht="15" x14ac:dyDescent="0.25">
      <c r="AK297" s="17">
        <v>4383027</v>
      </c>
      <c r="AR297" s="17">
        <v>4382395</v>
      </c>
    </row>
    <row r="298" spans="37:44" ht="15" x14ac:dyDescent="0.25">
      <c r="AK298" s="17">
        <v>4383217</v>
      </c>
      <c r="AR298" s="17">
        <v>4382396</v>
      </c>
    </row>
    <row r="299" spans="37:44" ht="15" x14ac:dyDescent="0.25">
      <c r="AK299" s="17">
        <v>4383218</v>
      </c>
      <c r="AR299" s="17">
        <v>4382397</v>
      </c>
    </row>
    <row r="300" spans="37:44" ht="15" x14ac:dyDescent="0.25">
      <c r="AK300" s="17">
        <v>4383219</v>
      </c>
      <c r="AR300" s="17">
        <v>4382399</v>
      </c>
    </row>
    <row r="301" spans="37:44" ht="15" x14ac:dyDescent="0.25">
      <c r="AK301" s="17">
        <v>4383220</v>
      </c>
      <c r="AR301" s="17">
        <v>4382400</v>
      </c>
    </row>
    <row r="302" spans="37:44" ht="15" x14ac:dyDescent="0.25">
      <c r="AK302" s="17">
        <v>4383248</v>
      </c>
      <c r="AR302" s="17">
        <v>4382401</v>
      </c>
    </row>
    <row r="303" spans="37:44" ht="15" x14ac:dyDescent="0.25">
      <c r="AK303" s="17">
        <v>4383282</v>
      </c>
      <c r="AR303" s="17">
        <v>4382403</v>
      </c>
    </row>
    <row r="304" spans="37:44" ht="15" x14ac:dyDescent="0.25">
      <c r="AK304" s="17">
        <v>4383287</v>
      </c>
      <c r="AR304" s="17">
        <v>4382404</v>
      </c>
    </row>
    <row r="305" spans="37:44" ht="15" x14ac:dyDescent="0.25">
      <c r="AK305" s="17">
        <v>4383324</v>
      </c>
      <c r="AR305" s="17">
        <v>4382405</v>
      </c>
    </row>
    <row r="306" spans="37:44" ht="15" x14ac:dyDescent="0.25">
      <c r="AK306" s="17">
        <v>4383570</v>
      </c>
      <c r="AR306" s="17">
        <v>4382406</v>
      </c>
    </row>
    <row r="307" spans="37:44" ht="15" x14ac:dyDescent="0.25">
      <c r="AK307" s="17">
        <v>4383571</v>
      </c>
      <c r="AR307" s="17">
        <v>4382407</v>
      </c>
    </row>
    <row r="308" spans="37:44" ht="15" x14ac:dyDescent="0.25">
      <c r="AK308" s="17">
        <v>4383572</v>
      </c>
      <c r="AR308" s="17">
        <v>4382408</v>
      </c>
    </row>
    <row r="309" spans="37:44" ht="15" x14ac:dyDescent="0.25">
      <c r="AK309" s="17">
        <v>4383028</v>
      </c>
      <c r="AR309" s="17">
        <v>4382409</v>
      </c>
    </row>
    <row r="310" spans="37:44" ht="15" x14ac:dyDescent="0.25">
      <c r="AK310" s="17">
        <v>4383029</v>
      </c>
      <c r="AR310" s="17">
        <v>4382410</v>
      </c>
    </row>
    <row r="311" spans="37:44" ht="15" x14ac:dyDescent="0.25">
      <c r="AK311" s="17">
        <v>4383030</v>
      </c>
      <c r="AR311" s="17">
        <v>4382411</v>
      </c>
    </row>
    <row r="312" spans="37:44" ht="15" x14ac:dyDescent="0.25">
      <c r="AK312" s="17">
        <v>4383031</v>
      </c>
      <c r="AR312" s="17">
        <v>4382412</v>
      </c>
    </row>
    <row r="313" spans="37:44" ht="15" x14ac:dyDescent="0.25">
      <c r="AK313" s="17">
        <v>4383032</v>
      </c>
      <c r="AR313" s="17">
        <v>4382413</v>
      </c>
    </row>
    <row r="314" spans="37:44" ht="15" x14ac:dyDescent="0.25">
      <c r="AK314" s="17">
        <v>4383136</v>
      </c>
      <c r="AR314" s="17">
        <v>4382414</v>
      </c>
    </row>
    <row r="315" spans="37:44" ht="15" x14ac:dyDescent="0.25">
      <c r="AK315" s="17">
        <v>4383164</v>
      </c>
      <c r="AR315" s="17">
        <v>4382415</v>
      </c>
    </row>
    <row r="316" spans="37:44" ht="15" x14ac:dyDescent="0.25">
      <c r="AK316" s="17">
        <v>4383567</v>
      </c>
      <c r="AR316" s="17">
        <v>4382416</v>
      </c>
    </row>
    <row r="317" spans="37:44" ht="15" x14ac:dyDescent="0.25">
      <c r="AK317" s="17">
        <v>4383305</v>
      </c>
      <c r="AR317" s="17">
        <v>4382417</v>
      </c>
    </row>
    <row r="318" spans="37:44" ht="15" x14ac:dyDescent="0.25">
      <c r="AK318" s="17">
        <v>4383306</v>
      </c>
      <c r="AR318" s="17">
        <v>4382419</v>
      </c>
    </row>
    <row r="319" spans="37:44" ht="15" x14ac:dyDescent="0.25">
      <c r="AK319" s="17">
        <v>4383307</v>
      </c>
      <c r="AR319" s="17">
        <v>4382420</v>
      </c>
    </row>
    <row r="320" spans="37:44" ht="15" x14ac:dyDescent="0.25">
      <c r="AK320" s="17">
        <v>4383033</v>
      </c>
      <c r="AR320" s="17">
        <v>4382421</v>
      </c>
    </row>
    <row r="321" spans="37:44" ht="15" x14ac:dyDescent="0.25">
      <c r="AK321" s="17">
        <v>4383573</v>
      </c>
      <c r="AR321" s="17">
        <v>4382422</v>
      </c>
    </row>
    <row r="322" spans="37:44" ht="15" x14ac:dyDescent="0.25">
      <c r="AK322" s="17">
        <v>4383034</v>
      </c>
      <c r="AR322" s="17">
        <v>4382423</v>
      </c>
    </row>
    <row r="323" spans="37:44" ht="15" x14ac:dyDescent="0.25">
      <c r="AK323" s="17">
        <v>4383040</v>
      </c>
      <c r="AR323" s="17">
        <v>4382424</v>
      </c>
    </row>
    <row r="324" spans="37:44" ht="15" x14ac:dyDescent="0.25">
      <c r="AK324" s="17">
        <v>4384161</v>
      </c>
      <c r="AR324" s="17">
        <v>4382426</v>
      </c>
    </row>
    <row r="325" spans="37:44" ht="15" x14ac:dyDescent="0.25">
      <c r="AK325" s="17">
        <v>4384162</v>
      </c>
      <c r="AR325" s="17">
        <v>4382427</v>
      </c>
    </row>
    <row r="326" spans="37:44" ht="15" x14ac:dyDescent="0.25">
      <c r="AK326" s="17">
        <v>4384163</v>
      </c>
      <c r="AR326" s="17">
        <v>4382428</v>
      </c>
    </row>
    <row r="327" spans="37:44" ht="15" x14ac:dyDescent="0.25">
      <c r="AK327" s="17">
        <v>4384164</v>
      </c>
      <c r="AR327" s="17">
        <v>4382429</v>
      </c>
    </row>
    <row r="328" spans="37:44" ht="15" x14ac:dyDescent="0.25">
      <c r="AK328" s="17">
        <v>4384165</v>
      </c>
      <c r="AR328" s="17">
        <v>4382430</v>
      </c>
    </row>
    <row r="329" spans="37:44" ht="15" x14ac:dyDescent="0.25">
      <c r="AK329" s="17">
        <v>4384166</v>
      </c>
      <c r="AR329" s="17">
        <v>4382431</v>
      </c>
    </row>
    <row r="330" spans="37:44" ht="15" x14ac:dyDescent="0.25">
      <c r="AK330" s="17">
        <v>4383568</v>
      </c>
      <c r="AR330" s="17">
        <v>4382432</v>
      </c>
    </row>
    <row r="331" spans="37:44" ht="15" x14ac:dyDescent="0.25">
      <c r="AK331" s="17">
        <v>4384157</v>
      </c>
      <c r="AR331" s="17">
        <v>4382433</v>
      </c>
    </row>
    <row r="332" spans="37:44" ht="15" x14ac:dyDescent="0.25">
      <c r="AK332"/>
      <c r="AR332" s="17">
        <v>4382434</v>
      </c>
    </row>
    <row r="333" spans="37:44" ht="15" x14ac:dyDescent="0.25">
      <c r="AK333"/>
      <c r="AR333" s="17">
        <v>4382435</v>
      </c>
    </row>
    <row r="334" spans="37:44" ht="15" x14ac:dyDescent="0.25">
      <c r="AK334"/>
      <c r="AR334" s="17">
        <v>4382436</v>
      </c>
    </row>
    <row r="335" spans="37:44" ht="15" x14ac:dyDescent="0.25">
      <c r="AK335"/>
      <c r="AR335" s="17">
        <v>4382437</v>
      </c>
    </row>
    <row r="336" spans="37:44" ht="15" x14ac:dyDescent="0.25">
      <c r="AK336"/>
      <c r="AR336" s="17">
        <v>4382438</v>
      </c>
    </row>
    <row r="337" spans="37:44" ht="15" x14ac:dyDescent="0.25">
      <c r="AK337"/>
      <c r="AR337" s="17">
        <v>4382439</v>
      </c>
    </row>
    <row r="338" spans="37:44" ht="15" x14ac:dyDescent="0.25">
      <c r="AK338"/>
      <c r="AR338" s="17">
        <v>4382440</v>
      </c>
    </row>
    <row r="339" spans="37:44" ht="15" x14ac:dyDescent="0.25">
      <c r="AK339"/>
      <c r="AR339" s="17">
        <v>4382441</v>
      </c>
    </row>
    <row r="340" spans="37:44" ht="15" x14ac:dyDescent="0.25">
      <c r="AK340"/>
      <c r="AR340" s="17">
        <v>4382442</v>
      </c>
    </row>
    <row r="341" spans="37:44" ht="15" x14ac:dyDescent="0.25">
      <c r="AK341"/>
      <c r="AR341" s="17">
        <v>4382443</v>
      </c>
    </row>
    <row r="342" spans="37:44" ht="15" x14ac:dyDescent="0.25">
      <c r="AK342"/>
      <c r="AR342" s="17">
        <v>4382444</v>
      </c>
    </row>
    <row r="343" spans="37:44" ht="15" x14ac:dyDescent="0.25">
      <c r="AK343"/>
      <c r="AR343" s="17">
        <v>4382445</v>
      </c>
    </row>
    <row r="344" spans="37:44" ht="15" x14ac:dyDescent="0.25">
      <c r="AK344"/>
      <c r="AR344" s="17">
        <v>4382446</v>
      </c>
    </row>
    <row r="345" spans="37:44" ht="15" x14ac:dyDescent="0.25">
      <c r="AK345"/>
      <c r="AR345" s="17">
        <v>4382447</v>
      </c>
    </row>
    <row r="346" spans="37:44" ht="15" x14ac:dyDescent="0.25">
      <c r="AK346"/>
      <c r="AR346" s="17">
        <v>4382448</v>
      </c>
    </row>
    <row r="347" spans="37:44" ht="15" x14ac:dyDescent="0.25">
      <c r="AK347"/>
      <c r="AR347" s="17">
        <v>4382449</v>
      </c>
    </row>
    <row r="348" spans="37:44" ht="15" x14ac:dyDescent="0.25">
      <c r="AK348"/>
      <c r="AR348" s="17">
        <v>4382450</v>
      </c>
    </row>
    <row r="349" spans="37:44" ht="15" x14ac:dyDescent="0.25">
      <c r="AK349"/>
      <c r="AR349" s="17">
        <v>4382451</v>
      </c>
    </row>
    <row r="350" spans="37:44" ht="15" x14ac:dyDescent="0.25">
      <c r="AK350"/>
      <c r="AR350" s="17">
        <v>4382452</v>
      </c>
    </row>
    <row r="351" spans="37:44" ht="15" x14ac:dyDescent="0.25">
      <c r="AK351"/>
      <c r="AR351" s="17">
        <v>4382453</v>
      </c>
    </row>
    <row r="352" spans="37:44" ht="15" x14ac:dyDescent="0.25">
      <c r="AK352"/>
      <c r="AR352" s="17">
        <v>4382454</v>
      </c>
    </row>
    <row r="353" spans="37:44" ht="15" x14ac:dyDescent="0.25">
      <c r="AK353"/>
      <c r="AR353" s="17">
        <v>4382455</v>
      </c>
    </row>
    <row r="354" spans="37:44" ht="15" x14ac:dyDescent="0.25">
      <c r="AK354"/>
      <c r="AR354" s="17">
        <v>4382456</v>
      </c>
    </row>
    <row r="355" spans="37:44" ht="15" x14ac:dyDescent="0.25">
      <c r="AK355"/>
      <c r="AR355" s="17">
        <v>4382457</v>
      </c>
    </row>
    <row r="356" spans="37:44" ht="15" x14ac:dyDescent="0.25">
      <c r="AK356"/>
      <c r="AR356" s="17">
        <v>4382458</v>
      </c>
    </row>
    <row r="357" spans="37:44" ht="15" x14ac:dyDescent="0.25">
      <c r="AK357"/>
      <c r="AR357" s="17">
        <v>4382459</v>
      </c>
    </row>
    <row r="358" spans="37:44" ht="15" x14ac:dyDescent="0.25">
      <c r="AK358"/>
      <c r="AR358" s="17">
        <v>4382460</v>
      </c>
    </row>
    <row r="359" spans="37:44" ht="15" x14ac:dyDescent="0.25">
      <c r="AK359"/>
      <c r="AR359" s="17">
        <v>4382461</v>
      </c>
    </row>
    <row r="360" spans="37:44" ht="15" x14ac:dyDescent="0.25">
      <c r="AK360"/>
      <c r="AR360" s="17">
        <v>4382462</v>
      </c>
    </row>
    <row r="361" spans="37:44" ht="15" x14ac:dyDescent="0.25">
      <c r="AK361"/>
      <c r="AR361" s="17">
        <v>4382463</v>
      </c>
    </row>
    <row r="362" spans="37:44" ht="15" x14ac:dyDescent="0.25">
      <c r="AK362"/>
      <c r="AR362" s="17">
        <v>4382464</v>
      </c>
    </row>
    <row r="363" spans="37:44" ht="15" x14ac:dyDescent="0.25">
      <c r="AK363"/>
      <c r="AR363" s="17">
        <v>4382465</v>
      </c>
    </row>
    <row r="364" spans="37:44" ht="15" x14ac:dyDescent="0.25">
      <c r="AK364"/>
      <c r="AR364" s="17">
        <v>4382466</v>
      </c>
    </row>
    <row r="365" spans="37:44" ht="15" x14ac:dyDescent="0.25">
      <c r="AK365"/>
      <c r="AR365" s="17">
        <v>4382467</v>
      </c>
    </row>
    <row r="366" spans="37:44" ht="15" x14ac:dyDescent="0.25">
      <c r="AK366"/>
      <c r="AR366" s="17">
        <v>4382468</v>
      </c>
    </row>
    <row r="367" spans="37:44" ht="15" x14ac:dyDescent="0.25">
      <c r="AK367"/>
      <c r="AR367" s="17">
        <v>4382469</v>
      </c>
    </row>
    <row r="368" spans="37:44" ht="15" x14ac:dyDescent="0.25">
      <c r="AK368"/>
      <c r="AR368" s="17">
        <v>4382470</v>
      </c>
    </row>
    <row r="369" spans="37:44" ht="15" x14ac:dyDescent="0.25">
      <c r="AK369"/>
      <c r="AR369" s="17">
        <v>4382471</v>
      </c>
    </row>
    <row r="370" spans="37:44" ht="15" x14ac:dyDescent="0.25">
      <c r="AK370"/>
      <c r="AR370" s="17">
        <v>4382472</v>
      </c>
    </row>
    <row r="371" spans="37:44" ht="15" x14ac:dyDescent="0.25">
      <c r="AK371"/>
      <c r="AR371" s="17">
        <v>4382473</v>
      </c>
    </row>
    <row r="372" spans="37:44" ht="15" x14ac:dyDescent="0.25">
      <c r="AK372"/>
      <c r="AR372" s="17">
        <v>4382474</v>
      </c>
    </row>
    <row r="373" spans="37:44" ht="15" x14ac:dyDescent="0.25">
      <c r="AK373"/>
      <c r="AR373" s="17">
        <v>4382475</v>
      </c>
    </row>
    <row r="374" spans="37:44" ht="15" x14ac:dyDescent="0.25">
      <c r="AK374"/>
      <c r="AR374" s="17">
        <v>4382476</v>
      </c>
    </row>
    <row r="375" spans="37:44" ht="15" x14ac:dyDescent="0.25">
      <c r="AK375"/>
      <c r="AR375" s="17">
        <v>4382477</v>
      </c>
    </row>
    <row r="376" spans="37:44" ht="15" x14ac:dyDescent="0.25">
      <c r="AK376"/>
      <c r="AR376" s="17">
        <v>4382478</v>
      </c>
    </row>
    <row r="377" spans="37:44" ht="15" x14ac:dyDescent="0.25">
      <c r="AK377"/>
      <c r="AR377" s="17">
        <v>4382479</v>
      </c>
    </row>
    <row r="378" spans="37:44" ht="15" x14ac:dyDescent="0.25">
      <c r="AK378"/>
      <c r="AR378" s="17">
        <v>4382480</v>
      </c>
    </row>
    <row r="379" spans="37:44" ht="15" x14ac:dyDescent="0.25">
      <c r="AK379"/>
      <c r="AR379" s="17">
        <v>4382481</v>
      </c>
    </row>
    <row r="380" spans="37:44" ht="15" x14ac:dyDescent="0.25">
      <c r="AK380"/>
      <c r="AR380" s="17">
        <v>4382482</v>
      </c>
    </row>
    <row r="381" spans="37:44" ht="15" x14ac:dyDescent="0.25">
      <c r="AK381"/>
      <c r="AR381" s="17">
        <v>4382483</v>
      </c>
    </row>
    <row r="382" spans="37:44" ht="15" x14ac:dyDescent="0.25">
      <c r="AK382"/>
      <c r="AR382" s="17">
        <v>4382484</v>
      </c>
    </row>
    <row r="383" spans="37:44" ht="15" x14ac:dyDescent="0.25">
      <c r="AK383"/>
      <c r="AR383" s="17">
        <v>4382485</v>
      </c>
    </row>
    <row r="384" spans="37:44" ht="15" x14ac:dyDescent="0.25">
      <c r="AK384"/>
      <c r="AR384" s="17">
        <v>4382486</v>
      </c>
    </row>
    <row r="385" spans="37:44" ht="15" x14ac:dyDescent="0.25">
      <c r="AK385"/>
      <c r="AR385" s="17">
        <v>4382487</v>
      </c>
    </row>
    <row r="386" spans="37:44" ht="15" x14ac:dyDescent="0.25">
      <c r="AK386"/>
      <c r="AR386" s="17">
        <v>4382488</v>
      </c>
    </row>
    <row r="387" spans="37:44" ht="15" x14ac:dyDescent="0.25">
      <c r="AK387"/>
      <c r="AR387" s="17">
        <v>4382489</v>
      </c>
    </row>
    <row r="388" spans="37:44" ht="15" x14ac:dyDescent="0.25">
      <c r="AK388"/>
      <c r="AR388" s="17">
        <v>4382490</v>
      </c>
    </row>
    <row r="389" spans="37:44" ht="15" x14ac:dyDescent="0.25">
      <c r="AK389"/>
      <c r="AR389" s="17">
        <v>4382491</v>
      </c>
    </row>
    <row r="390" spans="37:44" ht="15" x14ac:dyDescent="0.25">
      <c r="AK390"/>
      <c r="AR390" s="17">
        <v>4382492</v>
      </c>
    </row>
    <row r="391" spans="37:44" ht="15" x14ac:dyDescent="0.25">
      <c r="AK391"/>
      <c r="AR391" s="17">
        <v>4382772</v>
      </c>
    </row>
    <row r="392" spans="37:44" ht="15" x14ac:dyDescent="0.25">
      <c r="AK392"/>
      <c r="AR392" s="17">
        <v>4382811</v>
      </c>
    </row>
    <row r="393" spans="37:44" ht="15" x14ac:dyDescent="0.25">
      <c r="AK393"/>
      <c r="AR393" s="17">
        <v>4382809</v>
      </c>
    </row>
    <row r="394" spans="37:44" ht="15" x14ac:dyDescent="0.25">
      <c r="AK394"/>
      <c r="AR394" s="17">
        <v>4383406</v>
      </c>
    </row>
    <row r="395" spans="37:44" ht="15" x14ac:dyDescent="0.25">
      <c r="AK395"/>
      <c r="AR395" s="17">
        <v>4383638</v>
      </c>
    </row>
    <row r="396" spans="37:44" ht="15" x14ac:dyDescent="0.25">
      <c r="AK396"/>
      <c r="AR396" s="17">
        <v>4383639</v>
      </c>
    </row>
    <row r="397" spans="37:44" ht="15" x14ac:dyDescent="0.25">
      <c r="AK397"/>
      <c r="AR397" s="17">
        <v>4383640</v>
      </c>
    </row>
    <row r="398" spans="37:44" ht="15" x14ac:dyDescent="0.25">
      <c r="AK398"/>
      <c r="AR398" s="17">
        <v>4383901</v>
      </c>
    </row>
    <row r="399" spans="37:44" ht="15" x14ac:dyDescent="0.25">
      <c r="AK399"/>
      <c r="AR399" s="17">
        <v>4383902</v>
      </c>
    </row>
    <row r="400" spans="37:44" ht="15" x14ac:dyDescent="0.25">
      <c r="AK400"/>
      <c r="AR400" s="17">
        <v>4383903</v>
      </c>
    </row>
    <row r="401" spans="37:44" ht="15" x14ac:dyDescent="0.25">
      <c r="AK401"/>
      <c r="AR401" s="17">
        <v>4383905</v>
      </c>
    </row>
    <row r="402" spans="37:44" ht="15" x14ac:dyDescent="0.25">
      <c r="AK402"/>
      <c r="AR402" s="17">
        <v>4383906</v>
      </c>
    </row>
    <row r="403" spans="37:44" ht="15" x14ac:dyDescent="0.25">
      <c r="AK403"/>
      <c r="AR403" s="17">
        <v>4383907</v>
      </c>
    </row>
    <row r="404" spans="37:44" ht="15" x14ac:dyDescent="0.25">
      <c r="AK404"/>
      <c r="AR404" s="17">
        <v>4383908</v>
      </c>
    </row>
    <row r="405" spans="37:44" ht="15" x14ac:dyDescent="0.25">
      <c r="AK405"/>
      <c r="AR405" s="17">
        <v>4383909</v>
      </c>
    </row>
    <row r="406" spans="37:44" ht="15" x14ac:dyDescent="0.25">
      <c r="AK406"/>
      <c r="AR406" s="17">
        <v>4383910</v>
      </c>
    </row>
    <row r="407" spans="37:44" ht="15" x14ac:dyDescent="0.25">
      <c r="AK407"/>
      <c r="AR407" s="17">
        <v>4383911</v>
      </c>
    </row>
    <row r="408" spans="37:44" ht="15" x14ac:dyDescent="0.25">
      <c r="AK408"/>
      <c r="AR408" s="17">
        <v>4383912</v>
      </c>
    </row>
    <row r="409" spans="37:44" ht="15" x14ac:dyDescent="0.25">
      <c r="AK409"/>
      <c r="AR409" s="17">
        <v>4383913</v>
      </c>
    </row>
    <row r="410" spans="37:44" ht="15" x14ac:dyDescent="0.25">
      <c r="AK410"/>
      <c r="AR410" s="17">
        <v>4383914</v>
      </c>
    </row>
    <row r="411" spans="37:44" ht="15" x14ac:dyDescent="0.25">
      <c r="AK411"/>
      <c r="AR411" s="17">
        <v>4383915</v>
      </c>
    </row>
    <row r="412" spans="37:44" ht="15" x14ac:dyDescent="0.25">
      <c r="AK412"/>
      <c r="AR412" s="17">
        <v>4383916</v>
      </c>
    </row>
    <row r="413" spans="37:44" ht="15" x14ac:dyDescent="0.25">
      <c r="AK413"/>
      <c r="AR413" s="17">
        <v>4383918</v>
      </c>
    </row>
    <row r="414" spans="37:44" ht="15" x14ac:dyDescent="0.25">
      <c r="AK414"/>
      <c r="AR414" s="17">
        <v>4383919</v>
      </c>
    </row>
    <row r="415" spans="37:44" ht="15" x14ac:dyDescent="0.25">
      <c r="AK415"/>
      <c r="AR415" s="17">
        <v>4383920</v>
      </c>
    </row>
    <row r="416" spans="37:44" ht="15" x14ac:dyDescent="0.25">
      <c r="AK416"/>
      <c r="AR416" s="17">
        <v>4383921</v>
      </c>
    </row>
    <row r="417" spans="37:44" ht="15" x14ac:dyDescent="0.25">
      <c r="AK417"/>
      <c r="AR417" s="17">
        <v>4383922</v>
      </c>
    </row>
    <row r="418" spans="37:44" ht="15" x14ac:dyDescent="0.25">
      <c r="AK418"/>
      <c r="AR418" s="17">
        <v>4383923</v>
      </c>
    </row>
    <row r="419" spans="37:44" ht="15" x14ac:dyDescent="0.25">
      <c r="AK419"/>
      <c r="AR419" s="17">
        <v>4383924</v>
      </c>
    </row>
    <row r="420" spans="37:44" ht="15" x14ac:dyDescent="0.25">
      <c r="AK420"/>
      <c r="AR420" s="17">
        <v>4383925</v>
      </c>
    </row>
    <row r="421" spans="37:44" ht="15" x14ac:dyDescent="0.25">
      <c r="AK421"/>
      <c r="AR421" s="17">
        <v>4383926</v>
      </c>
    </row>
    <row r="422" spans="37:44" ht="15" x14ac:dyDescent="0.25">
      <c r="AK422"/>
      <c r="AR422" s="17">
        <v>4383927</v>
      </c>
    </row>
    <row r="423" spans="37:44" ht="15" x14ac:dyDescent="0.25">
      <c r="AK423"/>
      <c r="AR423" s="17">
        <v>4383928</v>
      </c>
    </row>
    <row r="424" spans="37:44" ht="15" x14ac:dyDescent="0.25">
      <c r="AK424"/>
      <c r="AR424" s="17">
        <v>4383929</v>
      </c>
    </row>
    <row r="425" spans="37:44" ht="15" x14ac:dyDescent="0.25">
      <c r="AK425"/>
      <c r="AR425" s="17">
        <v>4383931</v>
      </c>
    </row>
    <row r="426" spans="37:44" ht="15" x14ac:dyDescent="0.25">
      <c r="AK426"/>
      <c r="AR426" s="17">
        <v>4383932</v>
      </c>
    </row>
    <row r="427" spans="37:44" ht="15" x14ac:dyDescent="0.25">
      <c r="AK427"/>
      <c r="AR427" s="17">
        <v>4383933</v>
      </c>
    </row>
    <row r="428" spans="37:44" ht="15" x14ac:dyDescent="0.25">
      <c r="AK428"/>
      <c r="AR428" s="17">
        <v>4383934</v>
      </c>
    </row>
    <row r="429" spans="37:44" ht="15" x14ac:dyDescent="0.25">
      <c r="AK429"/>
      <c r="AR429" s="17">
        <v>4383935</v>
      </c>
    </row>
    <row r="430" spans="37:44" ht="15" x14ac:dyDescent="0.25">
      <c r="AK430"/>
      <c r="AR430" s="17">
        <v>4383936</v>
      </c>
    </row>
    <row r="431" spans="37:44" ht="15" x14ac:dyDescent="0.25">
      <c r="AK431"/>
      <c r="AR431" s="17">
        <v>4383937</v>
      </c>
    </row>
    <row r="432" spans="37:44" ht="15" x14ac:dyDescent="0.25">
      <c r="AK432"/>
      <c r="AR432" s="17">
        <v>4383938</v>
      </c>
    </row>
    <row r="433" spans="37:44" ht="15" x14ac:dyDescent="0.25">
      <c r="AK433"/>
      <c r="AR433" s="17">
        <v>4383939</v>
      </c>
    </row>
    <row r="434" spans="37:44" ht="15" x14ac:dyDescent="0.25">
      <c r="AK434"/>
      <c r="AR434" s="17">
        <v>4383940</v>
      </c>
    </row>
    <row r="435" spans="37:44" ht="15" x14ac:dyDescent="0.25">
      <c r="AK435"/>
      <c r="AR435" s="17">
        <v>4383941</v>
      </c>
    </row>
    <row r="436" spans="37:44" ht="15" x14ac:dyDescent="0.25">
      <c r="AK436"/>
      <c r="AR436" s="17">
        <v>4383942</v>
      </c>
    </row>
    <row r="437" spans="37:44" ht="15" x14ac:dyDescent="0.25">
      <c r="AK437"/>
      <c r="AR437" s="17">
        <v>4383943</v>
      </c>
    </row>
    <row r="438" spans="37:44" ht="15" x14ac:dyDescent="0.25">
      <c r="AK438"/>
      <c r="AR438" s="17">
        <v>4383944</v>
      </c>
    </row>
    <row r="439" spans="37:44" ht="15" x14ac:dyDescent="0.25">
      <c r="AK439"/>
      <c r="AR439" s="17">
        <v>4383945</v>
      </c>
    </row>
    <row r="440" spans="37:44" ht="15" x14ac:dyDescent="0.25">
      <c r="AK440"/>
      <c r="AR440" s="17">
        <v>4383946</v>
      </c>
    </row>
    <row r="441" spans="37:44" ht="15" x14ac:dyDescent="0.25">
      <c r="AK441"/>
      <c r="AR441" s="17">
        <v>4383948</v>
      </c>
    </row>
    <row r="442" spans="37:44" ht="15" x14ac:dyDescent="0.25">
      <c r="AK442"/>
      <c r="AR442" s="17">
        <v>4383949</v>
      </c>
    </row>
    <row r="443" spans="37:44" ht="15" x14ac:dyDescent="0.25">
      <c r="AK443"/>
      <c r="AR443" s="17">
        <v>4383951</v>
      </c>
    </row>
    <row r="444" spans="37:44" ht="15" x14ac:dyDescent="0.25">
      <c r="AK444"/>
      <c r="AR444" s="17">
        <v>4383952</v>
      </c>
    </row>
    <row r="445" spans="37:44" ht="15" x14ac:dyDescent="0.25">
      <c r="AK445"/>
      <c r="AR445" s="17">
        <v>4383953</v>
      </c>
    </row>
    <row r="446" spans="37:44" ht="15" x14ac:dyDescent="0.25">
      <c r="AK446"/>
      <c r="AR446" s="17">
        <v>4383954</v>
      </c>
    </row>
    <row r="447" spans="37:44" ht="15" x14ac:dyDescent="0.25">
      <c r="AK447"/>
      <c r="AR447" s="17">
        <v>4383955</v>
      </c>
    </row>
    <row r="448" spans="37:44" ht="15" x14ac:dyDescent="0.25">
      <c r="AK448"/>
      <c r="AR448" s="17">
        <v>4383956</v>
      </c>
    </row>
    <row r="449" spans="37:44" ht="15" x14ac:dyDescent="0.25">
      <c r="AK449"/>
      <c r="AR449" s="17">
        <v>4383957</v>
      </c>
    </row>
    <row r="450" spans="37:44" ht="15" x14ac:dyDescent="0.25">
      <c r="AK450"/>
      <c r="AR450" s="17">
        <v>4383958</v>
      </c>
    </row>
    <row r="451" spans="37:44" ht="15" x14ac:dyDescent="0.25">
      <c r="AK451"/>
      <c r="AR451" s="17">
        <v>4383959</v>
      </c>
    </row>
    <row r="452" spans="37:44" ht="15" x14ac:dyDescent="0.25">
      <c r="AK452"/>
      <c r="AR452" s="17">
        <v>4383960</v>
      </c>
    </row>
    <row r="453" spans="37:44" ht="15" x14ac:dyDescent="0.25">
      <c r="AK453"/>
      <c r="AR453" s="17">
        <v>4383961</v>
      </c>
    </row>
    <row r="454" spans="37:44" ht="15" x14ac:dyDescent="0.25">
      <c r="AK454"/>
      <c r="AR454" s="17">
        <v>4383962</v>
      </c>
    </row>
    <row r="455" spans="37:44" ht="15" x14ac:dyDescent="0.25">
      <c r="AK455"/>
      <c r="AR455" s="17">
        <v>4383963</v>
      </c>
    </row>
    <row r="456" spans="37:44" ht="15" x14ac:dyDescent="0.25">
      <c r="AK456"/>
      <c r="AR456" s="17">
        <v>4383964</v>
      </c>
    </row>
    <row r="457" spans="37:44" ht="15" x14ac:dyDescent="0.25">
      <c r="AK457"/>
      <c r="AR457" s="17">
        <v>4383965</v>
      </c>
    </row>
    <row r="458" spans="37:44" ht="15" x14ac:dyDescent="0.25">
      <c r="AK458"/>
      <c r="AR458" s="17">
        <v>4383966</v>
      </c>
    </row>
    <row r="459" spans="37:44" ht="15" x14ac:dyDescent="0.25">
      <c r="AK459"/>
      <c r="AR459" s="17">
        <v>4383968</v>
      </c>
    </row>
    <row r="460" spans="37:44" ht="15" x14ac:dyDescent="0.25">
      <c r="AK460"/>
      <c r="AR460" s="17">
        <v>4383969</v>
      </c>
    </row>
    <row r="461" spans="37:44" ht="15" x14ac:dyDescent="0.25">
      <c r="AK461"/>
      <c r="AR461" s="17">
        <v>4383970</v>
      </c>
    </row>
    <row r="462" spans="37:44" ht="15" x14ac:dyDescent="0.25">
      <c r="AK462"/>
      <c r="AR462" s="17">
        <v>4383971</v>
      </c>
    </row>
    <row r="463" spans="37:44" ht="15" x14ac:dyDescent="0.25">
      <c r="AK463"/>
      <c r="AR463" s="17">
        <v>4383972</v>
      </c>
    </row>
    <row r="464" spans="37:44" ht="15" x14ac:dyDescent="0.25">
      <c r="AK464"/>
      <c r="AR464" s="17">
        <v>4383973</v>
      </c>
    </row>
    <row r="465" spans="37:44" ht="15" x14ac:dyDescent="0.25">
      <c r="AK465"/>
      <c r="AR465" s="17">
        <v>4383974</v>
      </c>
    </row>
    <row r="466" spans="37:44" ht="15" x14ac:dyDescent="0.25">
      <c r="AK466"/>
      <c r="AR466" s="17">
        <v>4383975</v>
      </c>
    </row>
    <row r="467" spans="37:44" ht="15" x14ac:dyDescent="0.25">
      <c r="AK467"/>
      <c r="AR467" s="17">
        <v>4383976</v>
      </c>
    </row>
    <row r="468" spans="37:44" ht="15" x14ac:dyDescent="0.25">
      <c r="AK468"/>
      <c r="AR468" s="17">
        <v>4383977</v>
      </c>
    </row>
    <row r="469" spans="37:44" ht="15" x14ac:dyDescent="0.25">
      <c r="AK469"/>
      <c r="AR469" s="17">
        <v>4383978</v>
      </c>
    </row>
    <row r="470" spans="37:44" ht="15" x14ac:dyDescent="0.25">
      <c r="AK470"/>
      <c r="AR470" s="17">
        <v>4383979</v>
      </c>
    </row>
    <row r="471" spans="37:44" ht="15" x14ac:dyDescent="0.25">
      <c r="AK471"/>
      <c r="AR471" s="17">
        <v>4383980</v>
      </c>
    </row>
    <row r="472" spans="37:44" ht="15" x14ac:dyDescent="0.25">
      <c r="AK472"/>
      <c r="AR472" s="17">
        <v>4383981</v>
      </c>
    </row>
    <row r="473" spans="37:44" ht="15" x14ac:dyDescent="0.25">
      <c r="AK473"/>
      <c r="AR473" s="17">
        <v>4383982</v>
      </c>
    </row>
    <row r="474" spans="37:44" ht="15" x14ac:dyDescent="0.25">
      <c r="AK474"/>
      <c r="AR474" s="17">
        <v>4383983</v>
      </c>
    </row>
    <row r="475" spans="37:44" ht="15" x14ac:dyDescent="0.25">
      <c r="AK475"/>
      <c r="AR475" s="17">
        <v>4383984</v>
      </c>
    </row>
    <row r="476" spans="37:44" ht="15" x14ac:dyDescent="0.25">
      <c r="AK476"/>
      <c r="AR476" s="17">
        <v>4383985</v>
      </c>
    </row>
    <row r="477" spans="37:44" ht="15" x14ac:dyDescent="0.25">
      <c r="AK477"/>
      <c r="AR477" s="17">
        <v>4383986</v>
      </c>
    </row>
    <row r="478" spans="37:44" ht="15" x14ac:dyDescent="0.25">
      <c r="AK478"/>
      <c r="AR478" s="17">
        <v>4383987</v>
      </c>
    </row>
    <row r="479" spans="37:44" ht="15" x14ac:dyDescent="0.25">
      <c r="AK479"/>
      <c r="AR479" s="17">
        <v>4383988</v>
      </c>
    </row>
    <row r="480" spans="37:44" ht="15" x14ac:dyDescent="0.25">
      <c r="AK480"/>
      <c r="AR480" s="17">
        <v>4383989</v>
      </c>
    </row>
    <row r="481" spans="37:44" ht="15" x14ac:dyDescent="0.25">
      <c r="AK481"/>
      <c r="AR481" s="17">
        <v>4383990</v>
      </c>
    </row>
    <row r="482" spans="37:44" ht="15" x14ac:dyDescent="0.25">
      <c r="AK482"/>
      <c r="AR482" s="17">
        <v>4383991</v>
      </c>
    </row>
    <row r="483" spans="37:44" ht="15" x14ac:dyDescent="0.25">
      <c r="AK483"/>
      <c r="AR483" s="17">
        <v>4383992</v>
      </c>
    </row>
    <row r="484" spans="37:44" ht="15" x14ac:dyDescent="0.25">
      <c r="AK484"/>
      <c r="AR484" s="17">
        <v>4383993</v>
      </c>
    </row>
    <row r="485" spans="37:44" ht="15" x14ac:dyDescent="0.25">
      <c r="AK485"/>
      <c r="AR485" s="17">
        <v>4383994</v>
      </c>
    </row>
    <row r="486" spans="37:44" ht="15" x14ac:dyDescent="0.25">
      <c r="AK486"/>
      <c r="AR486" s="17">
        <v>4383995</v>
      </c>
    </row>
    <row r="487" spans="37:44" ht="15" x14ac:dyDescent="0.25">
      <c r="AK487"/>
      <c r="AR487" s="17">
        <v>4383996</v>
      </c>
    </row>
    <row r="488" spans="37:44" ht="15" x14ac:dyDescent="0.25">
      <c r="AK488"/>
      <c r="AR488" s="17">
        <v>4383997</v>
      </c>
    </row>
    <row r="489" spans="37:44" ht="15" x14ac:dyDescent="0.25">
      <c r="AK489"/>
      <c r="AR489" s="17">
        <v>4383998</v>
      </c>
    </row>
    <row r="490" spans="37:44" ht="15" x14ac:dyDescent="0.25">
      <c r="AK490"/>
      <c r="AR490" s="17">
        <v>4383999</v>
      </c>
    </row>
    <row r="491" spans="37:44" ht="15" x14ac:dyDescent="0.25">
      <c r="AK491"/>
      <c r="AR491" s="17">
        <v>4384000</v>
      </c>
    </row>
    <row r="492" spans="37:44" ht="15" x14ac:dyDescent="0.25">
      <c r="AK492"/>
      <c r="AR492" s="17">
        <v>4384001</v>
      </c>
    </row>
    <row r="493" spans="37:44" ht="15" x14ac:dyDescent="0.25">
      <c r="AK493"/>
      <c r="AR493" s="17">
        <v>4384002</v>
      </c>
    </row>
    <row r="494" spans="37:44" ht="15" x14ac:dyDescent="0.25">
      <c r="AK494"/>
      <c r="AR494" s="17">
        <v>4384003</v>
      </c>
    </row>
    <row r="495" spans="37:44" ht="15" x14ac:dyDescent="0.25">
      <c r="AK495"/>
      <c r="AR495" s="17">
        <v>4384004</v>
      </c>
    </row>
    <row r="496" spans="37:44" ht="15" x14ac:dyDescent="0.25">
      <c r="AK496"/>
      <c r="AR496" s="17">
        <v>4384005</v>
      </c>
    </row>
    <row r="497" spans="37:44" ht="15" x14ac:dyDescent="0.25">
      <c r="AK497"/>
      <c r="AR497" s="17">
        <v>4384006</v>
      </c>
    </row>
    <row r="498" spans="37:44" ht="15" x14ac:dyDescent="0.25">
      <c r="AK498"/>
      <c r="AR498" s="17">
        <v>4384007</v>
      </c>
    </row>
    <row r="499" spans="37:44" ht="15" x14ac:dyDescent="0.25">
      <c r="AK499"/>
      <c r="AR499" s="17">
        <v>4384008</v>
      </c>
    </row>
    <row r="500" spans="37:44" ht="15" x14ac:dyDescent="0.25">
      <c r="AK500"/>
      <c r="AR500" s="17">
        <v>4384009</v>
      </c>
    </row>
    <row r="501" spans="37:44" ht="15" x14ac:dyDescent="0.25">
      <c r="AK501"/>
      <c r="AR501" s="17">
        <v>4384010</v>
      </c>
    </row>
    <row r="502" spans="37:44" ht="15" x14ac:dyDescent="0.25">
      <c r="AK502"/>
      <c r="AR502" s="17">
        <v>4384011</v>
      </c>
    </row>
    <row r="503" spans="37:44" ht="15" x14ac:dyDescent="0.25">
      <c r="AK503"/>
      <c r="AR503" s="17">
        <v>4384012</v>
      </c>
    </row>
    <row r="504" spans="37:44" ht="15" x14ac:dyDescent="0.25">
      <c r="AK504"/>
      <c r="AR504" s="17">
        <v>4384013</v>
      </c>
    </row>
    <row r="505" spans="37:44" ht="15" x14ac:dyDescent="0.25">
      <c r="AK505"/>
      <c r="AR505" s="17">
        <v>4384014</v>
      </c>
    </row>
    <row r="506" spans="37:44" ht="15" x14ac:dyDescent="0.25">
      <c r="AK506"/>
      <c r="AR506" s="17">
        <v>4384015</v>
      </c>
    </row>
    <row r="507" spans="37:44" ht="15" x14ac:dyDescent="0.25">
      <c r="AK507"/>
      <c r="AR507" s="17">
        <v>4384016</v>
      </c>
    </row>
    <row r="508" spans="37:44" ht="15" x14ac:dyDescent="0.25">
      <c r="AK508"/>
      <c r="AR508" s="17">
        <v>4384017</v>
      </c>
    </row>
    <row r="509" spans="37:44" ht="15" x14ac:dyDescent="0.25">
      <c r="AK509"/>
      <c r="AR509" s="17">
        <v>4384018</v>
      </c>
    </row>
    <row r="510" spans="37:44" ht="15" x14ac:dyDescent="0.25">
      <c r="AK510"/>
      <c r="AR510" s="17">
        <v>4384019</v>
      </c>
    </row>
    <row r="511" spans="37:44" ht="15" x14ac:dyDescent="0.25">
      <c r="AK511"/>
      <c r="AR511" s="17">
        <v>4384020</v>
      </c>
    </row>
    <row r="512" spans="37:44" ht="15" x14ac:dyDescent="0.25">
      <c r="AK512"/>
      <c r="AR512" s="17">
        <v>4384021</v>
      </c>
    </row>
    <row r="513" spans="37:44" ht="15" x14ac:dyDescent="0.25">
      <c r="AK513"/>
      <c r="AR513" s="17">
        <v>4384022</v>
      </c>
    </row>
    <row r="514" spans="37:44" ht="15" x14ac:dyDescent="0.25">
      <c r="AK514"/>
      <c r="AR514" s="17">
        <v>4384023</v>
      </c>
    </row>
    <row r="515" spans="37:44" ht="15" x14ac:dyDescent="0.25">
      <c r="AK515"/>
      <c r="AR515" s="17">
        <v>4384024</v>
      </c>
    </row>
    <row r="516" spans="37:44" ht="15" x14ac:dyDescent="0.25">
      <c r="AK516"/>
      <c r="AR516" s="17">
        <v>4384025</v>
      </c>
    </row>
    <row r="517" spans="37:44" ht="15" x14ac:dyDescent="0.25">
      <c r="AK517"/>
      <c r="AR517" s="17">
        <v>4384026</v>
      </c>
    </row>
    <row r="518" spans="37:44" ht="15" x14ac:dyDescent="0.25">
      <c r="AR518" s="17">
        <v>4384027</v>
      </c>
    </row>
    <row r="519" spans="37:44" ht="15" x14ac:dyDescent="0.25">
      <c r="AR519" s="17">
        <v>4384028</v>
      </c>
    </row>
    <row r="520" spans="37:44" ht="15" x14ac:dyDescent="0.25">
      <c r="AR520" s="17">
        <v>4384029</v>
      </c>
    </row>
    <row r="521" spans="37:44" ht="15" x14ac:dyDescent="0.25">
      <c r="AR521" s="17">
        <v>4384030</v>
      </c>
    </row>
    <row r="522" spans="37:44" ht="15" x14ac:dyDescent="0.25">
      <c r="AR522" s="17">
        <v>4382895</v>
      </c>
    </row>
    <row r="523" spans="37:44" ht="15" x14ac:dyDescent="0.25">
      <c r="AR523" s="17">
        <v>4383240</v>
      </c>
    </row>
    <row r="524" spans="37:44" ht="15" x14ac:dyDescent="0.25">
      <c r="AR524" s="17">
        <v>4384123</v>
      </c>
    </row>
    <row r="525" spans="37:44" ht="15" x14ac:dyDescent="0.25">
      <c r="AR525" s="17">
        <v>4384124</v>
      </c>
    </row>
    <row r="526" spans="37:44" ht="15" x14ac:dyDescent="0.25">
      <c r="AR526" s="17">
        <v>4384322</v>
      </c>
    </row>
    <row r="527" spans="37:44" ht="15" x14ac:dyDescent="0.25">
      <c r="AR527"/>
    </row>
    <row r="528" spans="37:44" ht="15" x14ac:dyDescent="0.25">
      <c r="AR528"/>
    </row>
    <row r="529" spans="44:44" ht="15" x14ac:dyDescent="0.25">
      <c r="AR529"/>
    </row>
    <row r="530" spans="44:44" ht="15" x14ac:dyDescent="0.25">
      <c r="AR530"/>
    </row>
    <row r="531" spans="44:44" ht="15" x14ac:dyDescent="0.25">
      <c r="AR531"/>
    </row>
    <row r="532" spans="44:44" ht="15" x14ac:dyDescent="0.25">
      <c r="AR532"/>
    </row>
    <row r="533" spans="44:44" ht="15" x14ac:dyDescent="0.25">
      <c r="AR533"/>
    </row>
    <row r="534" spans="44:44" ht="15" x14ac:dyDescent="0.25">
      <c r="AR534"/>
    </row>
    <row r="535" spans="44:44" ht="15" x14ac:dyDescent="0.25">
      <c r="AR535"/>
    </row>
    <row r="536" spans="44:44" ht="15" x14ac:dyDescent="0.25">
      <c r="AR536"/>
    </row>
    <row r="537" spans="44:44" ht="15" x14ac:dyDescent="0.25">
      <c r="AR537"/>
    </row>
    <row r="538" spans="44:44" ht="15" x14ac:dyDescent="0.25">
      <c r="AR538"/>
    </row>
    <row r="539" spans="44:44" ht="15" x14ac:dyDescent="0.25">
      <c r="AR539"/>
    </row>
    <row r="540" spans="44:44" ht="15" x14ac:dyDescent="0.25">
      <c r="AR540"/>
    </row>
    <row r="541" spans="44:44" ht="15" x14ac:dyDescent="0.25">
      <c r="AR541"/>
    </row>
    <row r="542" spans="44:44" ht="15" x14ac:dyDescent="0.25">
      <c r="AR542"/>
    </row>
    <row r="543" spans="44:44" ht="15" x14ac:dyDescent="0.25">
      <c r="AR543"/>
    </row>
    <row r="544" spans="44:44" ht="15" x14ac:dyDescent="0.25">
      <c r="AR544"/>
    </row>
    <row r="545" spans="44:44" ht="15" x14ac:dyDescent="0.25">
      <c r="AR545"/>
    </row>
    <row r="546" spans="44:44" ht="15" x14ac:dyDescent="0.25">
      <c r="AR546"/>
    </row>
    <row r="547" spans="44:44" ht="15" x14ac:dyDescent="0.25">
      <c r="AR547"/>
    </row>
    <row r="548" spans="44:44" ht="15" x14ac:dyDescent="0.25">
      <c r="AR548"/>
    </row>
    <row r="549" spans="44:44" ht="15" x14ac:dyDescent="0.25">
      <c r="AR549"/>
    </row>
    <row r="550" spans="44:44" ht="15" x14ac:dyDescent="0.25">
      <c r="AR550"/>
    </row>
    <row r="551" spans="44:44" ht="15" x14ac:dyDescent="0.25">
      <c r="AR551"/>
    </row>
    <row r="552" spans="44:44" ht="15" x14ac:dyDescent="0.25">
      <c r="AR552"/>
    </row>
    <row r="553" spans="44:44" ht="15" x14ac:dyDescent="0.25">
      <c r="AR553"/>
    </row>
    <row r="554" spans="44:44" ht="15" x14ac:dyDescent="0.25">
      <c r="AR554"/>
    </row>
    <row r="555" spans="44:44" ht="15" x14ac:dyDescent="0.25">
      <c r="AR555"/>
    </row>
    <row r="556" spans="44:44" ht="15" x14ac:dyDescent="0.25">
      <c r="AR556"/>
    </row>
    <row r="557" spans="44:44" ht="15" x14ac:dyDescent="0.25">
      <c r="AR557"/>
    </row>
    <row r="558" spans="44:44" ht="15" x14ac:dyDescent="0.25">
      <c r="AR558"/>
    </row>
    <row r="559" spans="44:44" ht="15" x14ac:dyDescent="0.25">
      <c r="AR559"/>
    </row>
    <row r="560" spans="44:44" ht="15" x14ac:dyDescent="0.25">
      <c r="AR560"/>
    </row>
    <row r="561" spans="44:44" ht="15" x14ac:dyDescent="0.25">
      <c r="AR561"/>
    </row>
    <row r="562" spans="44:44" ht="15" x14ac:dyDescent="0.25">
      <c r="AR562"/>
    </row>
    <row r="563" spans="44:44" ht="15" x14ac:dyDescent="0.25">
      <c r="AR563"/>
    </row>
    <row r="564" spans="44:44" ht="15" x14ac:dyDescent="0.25">
      <c r="AR564"/>
    </row>
    <row r="565" spans="44:44" ht="15" x14ac:dyDescent="0.25">
      <c r="AR565"/>
    </row>
    <row r="566" spans="44:44" ht="15" x14ac:dyDescent="0.25">
      <c r="AR566"/>
    </row>
    <row r="567" spans="44:44" ht="15" x14ac:dyDescent="0.25">
      <c r="AR567"/>
    </row>
    <row r="568" spans="44:44" ht="15" x14ac:dyDescent="0.25">
      <c r="AR568"/>
    </row>
    <row r="569" spans="44:44" ht="15" x14ac:dyDescent="0.25">
      <c r="AR569"/>
    </row>
    <row r="570" spans="44:44" ht="15" x14ac:dyDescent="0.25">
      <c r="AR570"/>
    </row>
    <row r="571" spans="44:44" ht="15" x14ac:dyDescent="0.25">
      <c r="AR571"/>
    </row>
    <row r="572" spans="44:44" ht="15" x14ac:dyDescent="0.25">
      <c r="AR572"/>
    </row>
    <row r="573" spans="44:44" ht="15" x14ac:dyDescent="0.25">
      <c r="AR573"/>
    </row>
    <row r="574" spans="44:44" ht="15" x14ac:dyDescent="0.25">
      <c r="AR574"/>
    </row>
    <row r="575" spans="44:44" ht="15" x14ac:dyDescent="0.25">
      <c r="AR575"/>
    </row>
    <row r="576" spans="44:44" ht="15" x14ac:dyDescent="0.25">
      <c r="AR576"/>
    </row>
    <row r="577" spans="44:44" ht="15" x14ac:dyDescent="0.25">
      <c r="AR577"/>
    </row>
    <row r="578" spans="44:44" ht="15" x14ac:dyDescent="0.25">
      <c r="AR578"/>
    </row>
    <row r="579" spans="44:44" ht="15" x14ac:dyDescent="0.25">
      <c r="AR579"/>
    </row>
    <row r="580" spans="44:44" ht="15" x14ac:dyDescent="0.25">
      <c r="AR580"/>
    </row>
    <row r="581" spans="44:44" ht="15" x14ac:dyDescent="0.25">
      <c r="AR581"/>
    </row>
    <row r="582" spans="44:44" ht="15" x14ac:dyDescent="0.25">
      <c r="AR582"/>
    </row>
    <row r="583" spans="44:44" ht="15" x14ac:dyDescent="0.25">
      <c r="AR583"/>
    </row>
    <row r="584" spans="44:44" ht="15" x14ac:dyDescent="0.25">
      <c r="AR584"/>
    </row>
    <row r="585" spans="44:44" ht="15" x14ac:dyDescent="0.25">
      <c r="AR585"/>
    </row>
    <row r="586" spans="44:44" ht="15" x14ac:dyDescent="0.25">
      <c r="AR586"/>
    </row>
    <row r="587" spans="44:44" ht="15" x14ac:dyDescent="0.25">
      <c r="AR587"/>
    </row>
    <row r="588" spans="44:44" ht="15" x14ac:dyDescent="0.25">
      <c r="AR588"/>
    </row>
    <row r="589" spans="44:44" ht="15" x14ac:dyDescent="0.25">
      <c r="AR589"/>
    </row>
    <row r="590" spans="44:44" ht="15" x14ac:dyDescent="0.25">
      <c r="AR590"/>
    </row>
    <row r="591" spans="44:44" ht="15" x14ac:dyDescent="0.25">
      <c r="AR591"/>
    </row>
    <row r="592" spans="44:44" ht="15" x14ac:dyDescent="0.25">
      <c r="AR592"/>
    </row>
    <row r="593" spans="44:44" ht="15" x14ac:dyDescent="0.25">
      <c r="AR593"/>
    </row>
    <row r="594" spans="44:44" ht="15" x14ac:dyDescent="0.25">
      <c r="AR594"/>
    </row>
    <row r="595" spans="44:44" ht="15" x14ac:dyDescent="0.25">
      <c r="AR595"/>
    </row>
    <row r="596" spans="44:44" ht="15" x14ac:dyDescent="0.25">
      <c r="AR596"/>
    </row>
    <row r="597" spans="44:44" ht="15" x14ac:dyDescent="0.25">
      <c r="AR597"/>
    </row>
    <row r="598" spans="44:44" ht="15" x14ac:dyDescent="0.25">
      <c r="AR598"/>
    </row>
    <row r="599" spans="44:44" ht="15" x14ac:dyDescent="0.25">
      <c r="AR599"/>
    </row>
    <row r="600" spans="44:44" ht="15" x14ac:dyDescent="0.25">
      <c r="AR600"/>
    </row>
    <row r="601" spans="44:44" ht="15" x14ac:dyDescent="0.25">
      <c r="AR601"/>
    </row>
    <row r="602" spans="44:44" ht="15" x14ac:dyDescent="0.25">
      <c r="AR602"/>
    </row>
    <row r="603" spans="44:44" ht="15" x14ac:dyDescent="0.25">
      <c r="AR603"/>
    </row>
    <row r="604" spans="44:44" ht="15" x14ac:dyDescent="0.25">
      <c r="AR604"/>
    </row>
    <row r="605" spans="44:44" ht="15" x14ac:dyDescent="0.25">
      <c r="AR605"/>
    </row>
    <row r="606" spans="44:44" ht="15" x14ac:dyDescent="0.25">
      <c r="AR606"/>
    </row>
    <row r="607" spans="44:44" ht="15" x14ac:dyDescent="0.25">
      <c r="AR607"/>
    </row>
    <row r="608" spans="44:44" ht="15" x14ac:dyDescent="0.25">
      <c r="AR608"/>
    </row>
    <row r="609" spans="44:44" ht="15" x14ac:dyDescent="0.25">
      <c r="AR609"/>
    </row>
    <row r="610" spans="44:44" ht="15" x14ac:dyDescent="0.25">
      <c r="AR610"/>
    </row>
    <row r="611" spans="44:44" ht="15" x14ac:dyDescent="0.25">
      <c r="AR611"/>
    </row>
    <row r="612" spans="44:44" ht="15" x14ac:dyDescent="0.25">
      <c r="AR612"/>
    </row>
    <row r="613" spans="44:44" ht="15" x14ac:dyDescent="0.25">
      <c r="AR613"/>
    </row>
    <row r="614" spans="44:44" ht="15" x14ac:dyDescent="0.25">
      <c r="AR614"/>
    </row>
    <row r="615" spans="44:44" ht="15" x14ac:dyDescent="0.25">
      <c r="AR615"/>
    </row>
    <row r="616" spans="44:44" ht="15" x14ac:dyDescent="0.25">
      <c r="AR616"/>
    </row>
    <row r="617" spans="44:44" ht="15" x14ac:dyDescent="0.25">
      <c r="AR617"/>
    </row>
    <row r="618" spans="44:44" ht="15" x14ac:dyDescent="0.25">
      <c r="AR618"/>
    </row>
    <row r="619" spans="44:44" ht="15" x14ac:dyDescent="0.25">
      <c r="AR619"/>
    </row>
    <row r="620" spans="44:44" ht="15" x14ac:dyDescent="0.25">
      <c r="AR620"/>
    </row>
    <row r="621" spans="44:44" ht="15" x14ac:dyDescent="0.25">
      <c r="AR621"/>
    </row>
    <row r="622" spans="44:44" ht="15" x14ac:dyDescent="0.25">
      <c r="AR622"/>
    </row>
    <row r="623" spans="44:44" ht="15" x14ac:dyDescent="0.25">
      <c r="AR623"/>
    </row>
    <row r="624" spans="44:44" ht="15" x14ac:dyDescent="0.25">
      <c r="AR624"/>
    </row>
    <row r="625" spans="44:44" ht="15" x14ac:dyDescent="0.25">
      <c r="AR625"/>
    </row>
    <row r="626" spans="44:44" ht="15" x14ac:dyDescent="0.25">
      <c r="AR626"/>
    </row>
    <row r="627" spans="44:44" ht="15" x14ac:dyDescent="0.25">
      <c r="AR627"/>
    </row>
    <row r="628" spans="44:44" ht="15" x14ac:dyDescent="0.25">
      <c r="AR628"/>
    </row>
    <row r="629" spans="44:44" ht="15" x14ac:dyDescent="0.25">
      <c r="AR629"/>
    </row>
    <row r="630" spans="44:44" ht="15" x14ac:dyDescent="0.25">
      <c r="AR630"/>
    </row>
    <row r="631" spans="44:44" ht="15" x14ac:dyDescent="0.25">
      <c r="AR631"/>
    </row>
    <row r="632" spans="44:44" ht="15" x14ac:dyDescent="0.25">
      <c r="AR632"/>
    </row>
    <row r="633" spans="44:44" ht="15" x14ac:dyDescent="0.25">
      <c r="AR633"/>
    </row>
    <row r="634" spans="44:44" ht="15" x14ac:dyDescent="0.25">
      <c r="AR634"/>
    </row>
    <row r="635" spans="44:44" ht="15" x14ac:dyDescent="0.25">
      <c r="AR635"/>
    </row>
    <row r="636" spans="44:44" ht="15" x14ac:dyDescent="0.25">
      <c r="AR636"/>
    </row>
    <row r="637" spans="44:44" ht="15" x14ac:dyDescent="0.25">
      <c r="AR637"/>
    </row>
    <row r="638" spans="44:44" ht="15" x14ac:dyDescent="0.25">
      <c r="AR638"/>
    </row>
    <row r="639" spans="44:44" ht="15" x14ac:dyDescent="0.25">
      <c r="AR639"/>
    </row>
    <row r="640" spans="44:44" ht="15" x14ac:dyDescent="0.25">
      <c r="AR640"/>
    </row>
    <row r="641" spans="44:44" ht="15" x14ac:dyDescent="0.25">
      <c r="AR641"/>
    </row>
    <row r="642" spans="44:44" ht="15" x14ac:dyDescent="0.25">
      <c r="AR642"/>
    </row>
    <row r="643" spans="44:44" ht="15" x14ac:dyDescent="0.25">
      <c r="AR643"/>
    </row>
    <row r="644" spans="44:44" ht="15" x14ac:dyDescent="0.25">
      <c r="AR644"/>
    </row>
    <row r="645" spans="44:44" ht="15" x14ac:dyDescent="0.25">
      <c r="AR645"/>
    </row>
    <row r="646" spans="44:44" ht="15" x14ac:dyDescent="0.25">
      <c r="AR646"/>
    </row>
    <row r="647" spans="44:44" ht="15" x14ac:dyDescent="0.25">
      <c r="AR647"/>
    </row>
    <row r="648" spans="44:44" ht="15" x14ac:dyDescent="0.25">
      <c r="AR648"/>
    </row>
    <row r="649" spans="44:44" ht="15" x14ac:dyDescent="0.25">
      <c r="AR649"/>
    </row>
    <row r="650" spans="44:44" ht="15" x14ac:dyDescent="0.25">
      <c r="AR650"/>
    </row>
    <row r="651" spans="44:44" ht="15" x14ac:dyDescent="0.25">
      <c r="AR651"/>
    </row>
    <row r="652" spans="44:44" ht="15" x14ac:dyDescent="0.25">
      <c r="AR652"/>
    </row>
    <row r="653" spans="44:44" ht="15" x14ac:dyDescent="0.25">
      <c r="AR653"/>
    </row>
    <row r="654" spans="44:44" ht="15" x14ac:dyDescent="0.25">
      <c r="AR654"/>
    </row>
    <row r="655" spans="44:44" ht="15" x14ac:dyDescent="0.25">
      <c r="AR655"/>
    </row>
    <row r="656" spans="44:44" ht="15" x14ac:dyDescent="0.25">
      <c r="AR656"/>
    </row>
    <row r="657" spans="44:44" ht="15" x14ac:dyDescent="0.25">
      <c r="AR657"/>
    </row>
    <row r="658" spans="44:44" ht="15" x14ac:dyDescent="0.25">
      <c r="AR658"/>
    </row>
    <row r="659" spans="44:44" ht="15" x14ac:dyDescent="0.25">
      <c r="AR659"/>
    </row>
    <row r="660" spans="44:44" ht="15" x14ac:dyDescent="0.25">
      <c r="AR660"/>
    </row>
    <row r="661" spans="44:44" ht="15" x14ac:dyDescent="0.25">
      <c r="AR661"/>
    </row>
    <row r="662" spans="44:44" ht="15" x14ac:dyDescent="0.25">
      <c r="AR662"/>
    </row>
    <row r="663" spans="44:44" ht="15" x14ac:dyDescent="0.25">
      <c r="AR663"/>
    </row>
    <row r="664" spans="44:44" ht="15" x14ac:dyDescent="0.25">
      <c r="AR664"/>
    </row>
    <row r="665" spans="44:44" ht="15" x14ac:dyDescent="0.25">
      <c r="AR665"/>
    </row>
    <row r="666" spans="44:44" ht="15" x14ac:dyDescent="0.25">
      <c r="AR666"/>
    </row>
    <row r="667" spans="44:44" ht="15" x14ac:dyDescent="0.25">
      <c r="AR667"/>
    </row>
    <row r="668" spans="44:44" ht="15" x14ac:dyDescent="0.25">
      <c r="AR668"/>
    </row>
    <row r="669" spans="44:44" ht="15" x14ac:dyDescent="0.25">
      <c r="AR669"/>
    </row>
    <row r="670" spans="44:44" ht="15" x14ac:dyDescent="0.25">
      <c r="AR670"/>
    </row>
    <row r="671" spans="44:44" ht="15" x14ac:dyDescent="0.25">
      <c r="AR671"/>
    </row>
    <row r="672" spans="44:44" ht="15" x14ac:dyDescent="0.25">
      <c r="AR672"/>
    </row>
    <row r="673" spans="44:44" ht="15" x14ac:dyDescent="0.25">
      <c r="AR673"/>
    </row>
    <row r="674" spans="44:44" ht="15" x14ac:dyDescent="0.25">
      <c r="AR674"/>
    </row>
    <row r="675" spans="44:44" ht="15" x14ac:dyDescent="0.25">
      <c r="AR675"/>
    </row>
    <row r="676" spans="44:44" ht="15" x14ac:dyDescent="0.25">
      <c r="AR676"/>
    </row>
    <row r="677" spans="44:44" ht="15" x14ac:dyDescent="0.25">
      <c r="AR677"/>
    </row>
    <row r="678" spans="44:44" ht="15" x14ac:dyDescent="0.25">
      <c r="AR678"/>
    </row>
    <row r="679" spans="44:44" ht="15" x14ac:dyDescent="0.25">
      <c r="AR679"/>
    </row>
    <row r="680" spans="44:44" ht="15" x14ac:dyDescent="0.25">
      <c r="AR680"/>
    </row>
    <row r="681" spans="44:44" ht="15" x14ac:dyDescent="0.25">
      <c r="AR681"/>
    </row>
    <row r="682" spans="44:44" ht="15" x14ac:dyDescent="0.25">
      <c r="AR682"/>
    </row>
    <row r="683" spans="44:44" ht="15" x14ac:dyDescent="0.25">
      <c r="AR683"/>
    </row>
    <row r="684" spans="44:44" ht="15" x14ac:dyDescent="0.25">
      <c r="AR684"/>
    </row>
    <row r="685" spans="44:44" ht="15" x14ac:dyDescent="0.25">
      <c r="AR685"/>
    </row>
    <row r="686" spans="44:44" ht="15" x14ac:dyDescent="0.25">
      <c r="AR686"/>
    </row>
    <row r="687" spans="44:44" ht="15" x14ac:dyDescent="0.25">
      <c r="AR687"/>
    </row>
    <row r="688" spans="44:44" ht="15" x14ac:dyDescent="0.25">
      <c r="AR688"/>
    </row>
    <row r="689" spans="44:44" ht="15" x14ac:dyDescent="0.25">
      <c r="AR689"/>
    </row>
    <row r="690" spans="44:44" ht="15" x14ac:dyDescent="0.25">
      <c r="AR690"/>
    </row>
    <row r="691" spans="44:44" ht="15" x14ac:dyDescent="0.25">
      <c r="AR691"/>
    </row>
    <row r="692" spans="44:44" ht="15" x14ac:dyDescent="0.25">
      <c r="AR692"/>
    </row>
    <row r="693" spans="44:44" ht="15" x14ac:dyDescent="0.25">
      <c r="AR693"/>
    </row>
    <row r="694" spans="44:44" ht="15" x14ac:dyDescent="0.25">
      <c r="AR694"/>
    </row>
    <row r="695" spans="44:44" ht="15" x14ac:dyDescent="0.25">
      <c r="AR695"/>
    </row>
    <row r="696" spans="44:44" ht="15" x14ac:dyDescent="0.25">
      <c r="AR696"/>
    </row>
    <row r="697" spans="44:44" ht="15" x14ac:dyDescent="0.25">
      <c r="AR697"/>
    </row>
    <row r="698" spans="44:44" ht="15" x14ac:dyDescent="0.25">
      <c r="AR698"/>
    </row>
    <row r="699" spans="44:44" ht="15" x14ac:dyDescent="0.25">
      <c r="AR699"/>
    </row>
    <row r="700" spans="44:44" ht="15" x14ac:dyDescent="0.25">
      <c r="AR700"/>
    </row>
    <row r="701" spans="44:44" ht="15" x14ac:dyDescent="0.25">
      <c r="AR701"/>
    </row>
    <row r="702" spans="44:44" ht="15" x14ac:dyDescent="0.25">
      <c r="AR702"/>
    </row>
    <row r="703" spans="44:44" ht="15" x14ac:dyDescent="0.25">
      <c r="AR703"/>
    </row>
    <row r="704" spans="44:44" ht="15" x14ac:dyDescent="0.25">
      <c r="AR704"/>
    </row>
    <row r="705" spans="44:44" ht="15" x14ac:dyDescent="0.25">
      <c r="AR705"/>
    </row>
    <row r="706" spans="44:44" ht="15" x14ac:dyDescent="0.25">
      <c r="AR706"/>
    </row>
    <row r="707" spans="44:44" ht="15" x14ac:dyDescent="0.25">
      <c r="AR707"/>
    </row>
    <row r="708" spans="44:44" ht="15" x14ac:dyDescent="0.25">
      <c r="AR708"/>
    </row>
    <row r="709" spans="44:44" ht="15" x14ac:dyDescent="0.25">
      <c r="AR709"/>
    </row>
    <row r="710" spans="44:44" ht="15" x14ac:dyDescent="0.25">
      <c r="AR710"/>
    </row>
    <row r="711" spans="44:44" ht="15" x14ac:dyDescent="0.25">
      <c r="AR711"/>
    </row>
    <row r="712" spans="44:44" ht="15" x14ac:dyDescent="0.25">
      <c r="AR712"/>
    </row>
    <row r="713" spans="44:44" ht="15" x14ac:dyDescent="0.25">
      <c r="AR713"/>
    </row>
    <row r="714" spans="44:44" ht="15" x14ac:dyDescent="0.25">
      <c r="AR714"/>
    </row>
    <row r="715" spans="44:44" ht="15" x14ac:dyDescent="0.25">
      <c r="AR715"/>
    </row>
    <row r="716" spans="44:44" ht="15" x14ac:dyDescent="0.25">
      <c r="AR716"/>
    </row>
    <row r="717" spans="44:44" ht="15" x14ac:dyDescent="0.25">
      <c r="AR717"/>
    </row>
    <row r="718" spans="44:44" ht="15" x14ac:dyDescent="0.25">
      <c r="AR718"/>
    </row>
    <row r="719" spans="44:44" ht="15" x14ac:dyDescent="0.25">
      <c r="AR719"/>
    </row>
    <row r="720" spans="44:44" ht="15" x14ac:dyDescent="0.25">
      <c r="AR720"/>
    </row>
    <row r="721" spans="44:44" ht="15" x14ac:dyDescent="0.25">
      <c r="AR721"/>
    </row>
    <row r="722" spans="44:44" ht="15" x14ac:dyDescent="0.25">
      <c r="AR722"/>
    </row>
    <row r="723" spans="44:44" ht="15" x14ac:dyDescent="0.25">
      <c r="AR723"/>
    </row>
    <row r="724" spans="44:44" ht="15" x14ac:dyDescent="0.25">
      <c r="AR724"/>
    </row>
    <row r="725" spans="44:44" ht="15" x14ac:dyDescent="0.25">
      <c r="AR725"/>
    </row>
    <row r="726" spans="44:44" ht="15" x14ac:dyDescent="0.25">
      <c r="AR726"/>
    </row>
    <row r="727" spans="44:44" ht="15" x14ac:dyDescent="0.25">
      <c r="AR727"/>
    </row>
    <row r="728" spans="44:44" ht="15" x14ac:dyDescent="0.25">
      <c r="AR728"/>
    </row>
    <row r="729" spans="44:44" ht="15" x14ac:dyDescent="0.25">
      <c r="AR729"/>
    </row>
    <row r="730" spans="44:44" ht="15" x14ac:dyDescent="0.25">
      <c r="AR730"/>
    </row>
    <row r="731" spans="44:44" ht="15" x14ac:dyDescent="0.25">
      <c r="AR731"/>
    </row>
    <row r="732" spans="44:44" ht="15" x14ac:dyDescent="0.25">
      <c r="AR732"/>
    </row>
    <row r="733" spans="44:44" ht="15" x14ac:dyDescent="0.25">
      <c r="AR733"/>
    </row>
    <row r="734" spans="44:44" ht="15" x14ac:dyDescent="0.25">
      <c r="AR734"/>
    </row>
    <row r="735" spans="44:44" ht="15" x14ac:dyDescent="0.25">
      <c r="AR735"/>
    </row>
    <row r="736" spans="44:44" ht="15" x14ac:dyDescent="0.25">
      <c r="AR736"/>
    </row>
    <row r="737" spans="44:44" ht="15" x14ac:dyDescent="0.25">
      <c r="AR737"/>
    </row>
    <row r="738" spans="44:44" ht="15" x14ac:dyDescent="0.25">
      <c r="AR738"/>
    </row>
    <row r="739" spans="44:44" ht="15" x14ac:dyDescent="0.25">
      <c r="AR739"/>
    </row>
    <row r="740" spans="44:44" ht="15" x14ac:dyDescent="0.25">
      <c r="AR740"/>
    </row>
    <row r="741" spans="44:44" ht="15" x14ac:dyDescent="0.25">
      <c r="AR741"/>
    </row>
    <row r="742" spans="44:44" ht="15" x14ac:dyDescent="0.25">
      <c r="AR742"/>
    </row>
    <row r="743" spans="44:44" ht="15" x14ac:dyDescent="0.25">
      <c r="AR743"/>
    </row>
    <row r="744" spans="44:44" ht="15" x14ac:dyDescent="0.25">
      <c r="AR744"/>
    </row>
    <row r="745" spans="44:44" ht="15" x14ac:dyDescent="0.25">
      <c r="AR745"/>
    </row>
    <row r="746" spans="44:44" ht="15" x14ac:dyDescent="0.25">
      <c r="AR746"/>
    </row>
    <row r="747" spans="44:44" ht="15" x14ac:dyDescent="0.25">
      <c r="AR747"/>
    </row>
    <row r="748" spans="44:44" ht="15" x14ac:dyDescent="0.25">
      <c r="AR748"/>
    </row>
    <row r="749" spans="44:44" ht="15" x14ac:dyDescent="0.25">
      <c r="AR749"/>
    </row>
    <row r="750" spans="44:44" ht="15" x14ac:dyDescent="0.25">
      <c r="AR750"/>
    </row>
    <row r="751" spans="44:44" ht="15" x14ac:dyDescent="0.25">
      <c r="AR751"/>
    </row>
    <row r="752" spans="44:44" ht="15" x14ac:dyDescent="0.25">
      <c r="AR752"/>
    </row>
    <row r="753" spans="44:44" ht="15" x14ac:dyDescent="0.25">
      <c r="AR753"/>
    </row>
    <row r="754" spans="44:44" ht="15" x14ac:dyDescent="0.25">
      <c r="AR754"/>
    </row>
    <row r="755" spans="44:44" ht="15" x14ac:dyDescent="0.25">
      <c r="AR755"/>
    </row>
    <row r="756" spans="44:44" ht="15" x14ac:dyDescent="0.25">
      <c r="AR756"/>
    </row>
    <row r="757" spans="44:44" ht="15" x14ac:dyDescent="0.25">
      <c r="AR757"/>
    </row>
    <row r="758" spans="44:44" ht="15" x14ac:dyDescent="0.25">
      <c r="AR758"/>
    </row>
    <row r="759" spans="44:44" ht="15" x14ac:dyDescent="0.25">
      <c r="AR759"/>
    </row>
    <row r="760" spans="44:44" ht="15" x14ac:dyDescent="0.25">
      <c r="AR760"/>
    </row>
    <row r="761" spans="44:44" ht="15" x14ac:dyDescent="0.25">
      <c r="AR761"/>
    </row>
    <row r="762" spans="44:44" ht="15" x14ac:dyDescent="0.25">
      <c r="AR762"/>
    </row>
    <row r="763" spans="44:44" ht="15" x14ac:dyDescent="0.25">
      <c r="AR763"/>
    </row>
    <row r="764" spans="44:44" ht="15" x14ac:dyDescent="0.25">
      <c r="AR764"/>
    </row>
    <row r="765" spans="44:44" ht="15" x14ac:dyDescent="0.25">
      <c r="AR765"/>
    </row>
    <row r="766" spans="44:44" ht="15" x14ac:dyDescent="0.25">
      <c r="AR766"/>
    </row>
    <row r="767" spans="44:44" ht="15" x14ac:dyDescent="0.25">
      <c r="AR767"/>
    </row>
    <row r="768" spans="44:44" ht="15" x14ac:dyDescent="0.25">
      <c r="AR768"/>
    </row>
    <row r="769" spans="44:44" ht="15" x14ac:dyDescent="0.25">
      <c r="AR769"/>
    </row>
    <row r="770" spans="44:44" ht="15" x14ac:dyDescent="0.25">
      <c r="AR770"/>
    </row>
    <row r="771" spans="44:44" ht="15" x14ac:dyDescent="0.25">
      <c r="AR771"/>
    </row>
    <row r="772" spans="44:44" ht="15" x14ac:dyDescent="0.25">
      <c r="AR772"/>
    </row>
    <row r="773" spans="44:44" ht="15" x14ac:dyDescent="0.25">
      <c r="AR773"/>
    </row>
    <row r="774" spans="44:44" ht="15" x14ac:dyDescent="0.25">
      <c r="AR774"/>
    </row>
    <row r="775" spans="44:44" ht="15" x14ac:dyDescent="0.25">
      <c r="AR775"/>
    </row>
    <row r="776" spans="44:44" ht="15" x14ac:dyDescent="0.25">
      <c r="AR776"/>
    </row>
    <row r="777" spans="44:44" ht="15" x14ac:dyDescent="0.25">
      <c r="AR777"/>
    </row>
    <row r="778" spans="44:44" ht="15" x14ac:dyDescent="0.25">
      <c r="AR778"/>
    </row>
    <row r="779" spans="44:44" ht="15" x14ac:dyDescent="0.25">
      <c r="AR779"/>
    </row>
    <row r="780" spans="44:44" ht="15" x14ac:dyDescent="0.25">
      <c r="AR780"/>
    </row>
    <row r="781" spans="44:44" ht="15" x14ac:dyDescent="0.25">
      <c r="AR781"/>
    </row>
    <row r="782" spans="44:44" ht="15" x14ac:dyDescent="0.25">
      <c r="AR782"/>
    </row>
    <row r="783" spans="44:44" ht="15" x14ac:dyDescent="0.25">
      <c r="AR783"/>
    </row>
    <row r="784" spans="44:44" ht="15" x14ac:dyDescent="0.25">
      <c r="AR784"/>
    </row>
  </sheetData>
  <conditionalFormatting sqref="P3:P4">
    <cfRule type="cellIs" dxfId="6" priority="3" operator="equal">
      <formula>1</formula>
    </cfRule>
    <cfRule type="cellIs" dxfId="5" priority="4" operator="lessThan">
      <formula>0.99</formula>
    </cfRule>
    <cfRule type="cellIs" dxfId="4" priority="5" operator="greaterThan">
      <formula>1</formula>
    </cfRule>
  </conditionalFormatting>
  <conditionalFormatting sqref="B54:B57">
    <cfRule type="dataBar" priority="2">
      <dataBar>
        <cfvo type="min"/>
        <cfvo type="max"/>
        <color rgb="FFE1BB60"/>
      </dataBar>
      <extLst>
        <ext xmlns:x14="http://schemas.microsoft.com/office/spreadsheetml/2009/9/main" uri="{B025F937-C7B1-47D3-B67F-A62EFF666E3E}">
          <x14:id>{169F4AA2-4467-47D0-B06D-A3C3E413A652}</x14:id>
        </ext>
      </extLst>
    </cfRule>
  </conditionalFormatting>
  <conditionalFormatting sqref="C54:C57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{70C3C292-585B-466E-AC74-8EF7FC5DA46D}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21"/>
  <drawing r:id="rId2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F4AA2-4467-47D0-B06D-A3C3E413A652}">
            <x14:dataBar minLength="0" maxLength="100" border="1" gradient="0" negativeBarBorderColorSameAsPositive="0">
              <x14:cfvo type="autoMin"/>
              <x14:cfvo type="autoMax"/>
              <x14:borderColor rgb="FFE1BB60"/>
              <x14:negativeFillColor rgb="FFFF0000"/>
              <x14:negativeBorderColor rgb="FFFF0000"/>
              <x14:axisColor rgb="FF000000"/>
            </x14:dataBar>
          </x14:cfRule>
          <xm:sqref>B54:B57</xm:sqref>
        </x14:conditionalFormatting>
        <x14:conditionalFormatting xmlns:xm="http://schemas.microsoft.com/office/excel/2006/main">
          <x14:cfRule type="dataBar" id="{70C3C292-585B-466E-AC74-8EF7FC5DA46D}">
            <x14:dataBar minLength="0" maxLength="100" gradient="0">
              <x14:cfvo type="autoMin"/>
              <x14:cfvo type="autoMax"/>
              <x14:negativeFillColor rgb="FF0070C0"/>
              <x14:axisColor rgb="FF0070C0"/>
            </x14:dataBar>
          </x14:cfRule>
          <xm:sqref>C54:C57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rodução"/>
  <dimension ref="A1:K1"/>
  <sheetViews>
    <sheetView topLeftCell="A7" workbookViewId="0">
      <selection activeCell="H22" sqref="H22"/>
    </sheetView>
  </sheetViews>
  <sheetFormatPr defaultRowHeight="15" x14ac:dyDescent="0.25"/>
  <sheetData>
    <row r="1" spans="1:11" x14ac:dyDescent="0.25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 - Cockpit Reserva</vt:lpstr>
      <vt:lpstr>Base - Reservas faturadas</vt:lpstr>
      <vt:lpstr>Base - Volumetria em reservas</vt:lpstr>
      <vt:lpstr>ZT1686</vt:lpstr>
      <vt:lpstr>Hr criação</vt:lpstr>
      <vt:lpstr>Dados</vt:lpstr>
      <vt:lpstr>Tab_</vt:lpstr>
      <vt:lpstr>Produção</vt:lpstr>
    </vt:vector>
  </TitlesOfParts>
  <Manager/>
  <Company>Claro S.A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Z040713</dc:creator>
  <cp:keywords/>
  <dc:description/>
  <cp:lastModifiedBy>Alef Israel da Costa</cp:lastModifiedBy>
  <cp:revision/>
  <dcterms:created xsi:type="dcterms:W3CDTF">2022-09-06T14:43:33Z</dcterms:created>
  <dcterms:modified xsi:type="dcterms:W3CDTF">2024-06-07T14:07:08Z</dcterms:modified>
  <cp:category/>
  <cp:contentStatus/>
</cp:coreProperties>
</file>